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sharedStrings.xml" ContentType="application/vnd.openxmlformats-officedocument.spreadsheetml.sharedStrings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24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22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5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26.xml" ContentType="application/vnd.openxmlformats-officedocument.spreadsheetml.table+xml"/>
  <Override PartName="/xl/comments9.xml" ContentType="application/vnd.openxmlformats-officedocument.spreadsheetml.comment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Instructions" sheetId="1" state="visible" r:id="rId3"/>
    <sheet name="Dashboard" sheetId="2" state="visible" r:id="rId4"/>
    <sheet name="Status Report" sheetId="3" state="visible" r:id="rId5"/>
    <sheet name="Schedule Report" sheetId="4" state="visible" r:id="rId6"/>
    <sheet name="Settings" sheetId="5" state="visible" r:id="rId7"/>
    <sheet name="Tasks" sheetId="6" state="visible" r:id="rId8"/>
    <sheet name="Gantt" sheetId="7" state="visible" r:id="rId9"/>
    <sheet name="Resources" sheetId="8" state="visible" r:id="rId10"/>
    <sheet name="Sprints" sheetId="9" state="visible" r:id="rId11"/>
    <sheet name="Holidays" sheetId="10" state="visible" r:id="rId12"/>
    <sheet name="MSP_Tasks" sheetId="11" state="visible" r:id="rId13"/>
    <sheet name="MSP_Resources" sheetId="12" state="visible" r:id="rId14"/>
    <sheet name="Lists" sheetId="13" state="visible" r:id="rId15"/>
  </sheets>
  <definedNames>
    <definedName function="false" hidden="false" name="CriticalSlackDays" vbProcedure="false">Settings!$C$30</definedName>
    <definedName function="false" hidden="false" name="DefaultUnits" vbProcedure="false">Settings!$C$14</definedName>
    <definedName function="false" hidden="false" name="evm_AC" vbProcedure="false">'Status Report'!$D$20</definedName>
    <definedName function="false" hidden="false" name="evm_BAC" vbProcedure="false">'Status Report'!$D$17</definedName>
    <definedName function="false" hidden="false" name="evm_CPI" vbProcedure="false">'Status Report'!$D$24</definedName>
    <definedName function="false" hidden="false" name="evm_CV" vbProcedure="false">'Status Report'!$D$22</definedName>
    <definedName function="false" hidden="false" name="evm_EAC" vbProcedure="false">'Status Report'!$D$25</definedName>
    <definedName function="false" hidden="false" name="evm_ETC" vbProcedure="false">'Status Report'!$D$26</definedName>
    <definedName function="false" hidden="false" name="evm_EV" vbProcedure="false">'Status Report'!$D$19</definedName>
    <definedName function="false" hidden="false" name="evm_PctEarned" vbProcedure="false">'Status Report'!$D$29</definedName>
    <definedName function="false" hidden="false" name="evm_PctPlanned" vbProcedure="false">'Status Report'!$D$30</definedName>
    <definedName function="false" hidden="false" name="evm_PV" vbProcedure="false">'Status Report'!$D$18</definedName>
    <definedName function="false" hidden="false" name="evm_SPI" vbProcedure="false">'Status Report'!$D$23</definedName>
    <definedName function="false" hidden="false" name="evm_SV" vbProcedure="false">'Status Report'!$D$21</definedName>
    <definedName function="false" hidden="false" name="evm_TCPI" vbProcedure="false">'Status Report'!$D$28</definedName>
    <definedName function="false" hidden="false" name="evm_VAC" vbProcedure="false">'Status Report'!$D$27</definedName>
    <definedName function="false" hidden="false" name="FinishVarianceDays" vbProcedure="false">Settings!$C$33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ookaheadDays" vbProcedure="false">Settings!$C$34</definedName>
    <definedName function="false" hidden="false" name="LookaheadEnd" vbProcedure="false">Settings!$C$35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AG" vbProcedure="false">ListRAG[RAG]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Settings!$C$40</definedName>
    <definedName function="false" hidden="false" name="PlannedFinish" vbProcedure="false">Settings!$C$32</definedName>
    <definedName function="false" hidden="false" name="ProjectFinish" vbProcedure="false">Settings!$C$31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RAG" vbProcedure="false">OverallStatus[RAG]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AGAmberIndex" vbProcedure="false">Settings!$C$38</definedName>
    <definedName function="false" hidden="false" name="RAGAmberSlipDays" vbProcedure="false">Settings!$C$36</definedName>
    <definedName function="false" hidden="false" name="RAGRedIndex" vbProcedure="false">Settings!$C$39</definedName>
    <definedName function="false" hidden="false" name="RAGRedSlipDays" vbProcedure="false">Settings!$C$37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" vbProcedure="false">Tasks[AC]</definedName>
    <definedName function="false" hidden="false" name="tsk_ActCostInput" vbProcedure="false">Tasks[Actual Cost]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Budget" vbProcedure="false">Tasks[Budget]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CriticalKey" vbProcedure="false">Tasks[_CriticalKey]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eSoonKey" vbProcedure="false">Tasks[_DueSoonKey]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EV" vbProcedure="false">Tasks[EV]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Key" vbProcedure="false">Tasks[_LateKey]</definedName>
    <definedName function="false" hidden="false" name="tsk_LateStart" vbProcedure="false">Tasks[Late Start]</definedName>
    <definedName function="false" hidden="false" name="tsk_LeafAC" vbProcedure="false">Tasks[_LeafAC]</definedName>
    <definedName function="false" hidden="false" name="tsk_LeafBudget" vbProcedure="false">Tasks[_LeafBudget]</definedName>
    <definedName function="false" hidden="false" name="tsk_LeafEV" vbProcedure="false">Tasks[_LeafEV]</definedName>
    <definedName function="false" hidden="false" name="tsk_LeafPV" vbProcedure="false">Tasks[_LeafPV]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ilestoneOrder" vbProcedure="false">Tasks[_MilestoneOrder]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hase" vbProcedure="false">Tasks[_Phase]</definedName>
    <definedName function="false" hidden="false" name="tsk_PhaseKey" vbProcedure="false">Tasks[_PhaseKey]</definedName>
    <definedName function="false" hidden="false" name="tsk_PlanFinish" vbProcedure="false">Tasks[Planned Finish]</definedName>
    <definedName function="false" hidden="false" name="tsk_PlannedPct" vbProcedure="false">Tasks[_PlannedPct]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PV" vbProcedure="false">Tasks[PV]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SoonKey" vbProcedure="false">Tasks[_StartSoonKey]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142</xdr:colOff>
                <xdr:row>4</xdr:row>
                <xdr:rowOff>13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6</xdr:rowOff>
              </xdr:from>
              <xdr:to>
                <xdr:col>3</xdr:col>
                <xdr:colOff>142</xdr:colOff>
                <xdr:row>4</xdr:row>
                <xdr:rowOff>25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17</xdr:rowOff>
              </xdr:from>
              <xdr:to>
                <xdr:col>3</xdr:col>
                <xdr:colOff>142</xdr:colOff>
                <xdr:row>5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2</xdr:row>
                <xdr:rowOff>9</xdr:rowOff>
              </xdr:from>
              <xdr:to>
                <xdr:col>3</xdr:col>
                <xdr:colOff>142</xdr:colOff>
                <xdr:row>5</xdr:row>
                <xdr:rowOff>16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3</xdr:row>
                <xdr:rowOff>1</xdr:rowOff>
              </xdr:from>
              <xdr:to>
                <xdr:col>3</xdr:col>
                <xdr:colOff>142</xdr:colOff>
                <xdr:row>6</xdr:row>
                <xdr:rowOff>8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Earned value / planned value. Below 1 = behind.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Earned value / actual cost. Below 1 = over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Unfinished critical tasks in the phase.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Worst of finish slip, SPI and CPI against the Settings thresholds.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Cost to date of a detail task. Blank = Cost x Progress (as MS Project calculates it). Summaries roll up in the AC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19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N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P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Z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A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B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C5" authorId="0">
      <text>
        <r>
          <rPr>
            <sz val="10"/>
            <rFont val="Arial"/>
            <family val="2"/>
          </rPr>
          <t xml:space="preserve">Budget at completion: Baseline Cost once a baseline is set, otherwise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D5" authorId="0">
      <text>
        <r>
          <rPr>
            <sz val="10"/>
            <rFont val="Arial"/>
            <family val="2"/>
          </rPr>
          <t xml:space="preserve">Planned value: the budget of the work planned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E5" authorId="0">
      <text>
        <r>
          <rPr>
            <sz val="10"/>
            <rFont val="Arial"/>
            <family val="2"/>
          </rPr>
          <t xml:space="preserve">Earned value: Budget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F5" authorId="0">
      <text>
        <r>
          <rPr>
            <sz val="10"/>
            <rFont val="Arial"/>
            <family val="2"/>
          </rPr>
          <t xml:space="preserve">Actual cost to date: Actual Cost, or Cost x Progress when it is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Cost to date: Actual Cost entered on Tasks, or Cost x Progress where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<sst xmlns="http://schemas.openxmlformats.org/spreadsheetml/2006/main" count="597" uniqueCount="470">
  <si>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</si>
  <si>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</si>
  <si>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</si>
  <si>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</si>
  <si>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</si>
  <si>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</si>
  <si>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</si>
  <si>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</si>
  <si>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</si>
  <si>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</si>
  <si>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</si>
  <si>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</si>
  <si>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</si>
  <si>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</si>
  <si>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 Optionally enter Actual Cost (cost to date) on detail tasks; blank = Cost x Progress.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</si>
  <si>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</si>
  <si>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</si>
  <si>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</si>
  <si>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</si>
  <si>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</si>
  <si>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</si>
  <si>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</si>
  <si>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overall RAG, SPI, CPI, missed deadlines, link problems), status counts, upcoming milestones and sprint load vs capacity.</t>
  </si>
  <si>
    <t xml:space="preserve">9. Status Report</t>
  </si>
  <si>
    <t xml:space="preserve">For steering meetings: overall RAG and RAG by area (schedule, SPI, CPI, deadlines, critical path, plan quality), calculated from the thresholds on Settings (RAG...). Type a PM RAG to override one and say why in Comment. Earned value (BAC, PV, EV, AC, SPI, CPI, EAC, VAC, TCPI) and a commentary box for the period.</t>
  </si>
  <si>
    <t xml:space="preserve">10. Schedule Report</t>
  </si>
  <si>
    <t xml:space="preserve">Phase summary with RAG, all milestones, late tasks, tasks starting and due in the look-ahead window (Settings &gt; LookaheadDays) and open critical tasks. Lists update with every edit; drag a list's bottom corner down to show more rows.</t>
  </si>
  <si>
    <t xml:space="preserve">Earned value</t>
  </si>
  <si>
    <t xml:space="preserve">Set a baseline first: without one, Budget = current Cost and PV follows the current plan, so SPI and CPI only show progress against the latest plan. PV = budget of work planned before the status date; EV = Budget x Progress; AC = Actual Cost. SPI = EV/PV, CPI = EV/AC, EAC = AC + (BAC - EV)/CPI.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</si>
  <si>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</si>
  <si>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</si>
  <si>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</si>
  <si>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</si>
  <si>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</si>
  <si>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</si>
  <si>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</si>
  <si>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</si>
  <si>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</si>
  <si>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</si>
  <si>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</si>
  <si>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</si>
  <si>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</si>
  <si>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</si>
  <si>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</si>
  <si>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</si>
  <si>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</si>
  <si>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</si>
  <si>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</si>
  <si>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</si>
  <si>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</si>
  <si>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</si>
  <si>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</si>
  <si>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</si>
  <si>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</si>
  <si>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</si>
  <si>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</si>
  <si>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</si>
  <si>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</si>
  <si>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</si>
  <si>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</si>
  <si>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</si>
  <si>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</si>
  <si>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</si>
  <si>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</si>
  <si>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</si>
  <si>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</si>
  <si>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NextMilestones, OverallStatus, StatusRAG, EarnedValue, StatusNotes, PhaseSummary, MilestoneReport, LateTasks, StartingSoon, DueSoon, CriticalTasks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</si>
  <si>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</si>
  <si>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CriticalSlackDays, ProjectFinish, PlannedFinish, FinishVarianceDays, LookaheadDays, RAGAmberSlipDays, RAGRedSlipDays, RAGAmberIndex, RAGRedIndex, NextFreeUID. Report values: ProjectRAG, evm_BAC, evm_PV, evm_EV, evm_AC, evm_SPI, evm_CPI, evm_EAC ...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</si>
  <si>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</si>
  <si>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</si>
  <si>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</si>
  <si>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</si>
  <si>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</si>
  <si>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</si>
  <si>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</si>
  <si>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</si>
  <si>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</si>
  <si>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</si>
  <si>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</si>
  <si>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</si>
  <si>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</si>
  <si>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</si>
  <si>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</si>
  <si>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</si>
  <si>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</si>
  <si>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</si>
  <si>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</si>
  <si>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</si>
  <si>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</si>
  <si>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</si>
  <si>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</si>
  <si>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</si>
  <si>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</si>
  <si>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</si>
  <si>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</si>
  <si>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</si>
  <si>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</si>
  <si>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</si>
  <si>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Overall status (see Status Report)</t>
  </si>
  <si>
    <t xml:space="preserve">Schedule performance (SPI)</t>
  </si>
  <si>
    <t xml:space="preserve">Cost performance (CPI)</t>
  </si>
  <si>
    <t xml:space="preserve">Forecast cost at completion (EAC)</t>
  </si>
  <si>
    <t xml:space="preserve">Next milestones (forecast)</t>
  </si>
  <si>
    <t xml:space="preserve">Forecast date</t>
  </si>
  <si>
    <t xml:space="preserve">Area</t>
  </si>
  <si>
    <t xml:space="preserve">Measure</t>
  </si>
  <si>
    <t xml:space="preserve">Calculated</t>
  </si>
  <si>
    <t xml:space="preserve">PM RAG</t>
  </si>
  <si>
    <t xml:space="preserve">RAG</t>
  </si>
  <si>
    <t xml:space="preserve">Comment</t>
  </si>
  <si>
    <t xml:space="preserve">Overall</t>
  </si>
  <si>
    <t xml:space="preserve">Worst of the areas below</t>
  </si>
  <si>
    <t xml:space="preserve">Schedule</t>
  </si>
  <si>
    <t xml:space="preserve">Forecast finish vs plan (working days)</t>
  </si>
  <si>
    <t xml:space="preserve">Schedule performance</t>
  </si>
  <si>
    <t xml:space="preserve">SPI = earned value / planned value</t>
  </si>
  <si>
    <t xml:space="preserve">Cost performance</t>
  </si>
  <si>
    <t xml:space="preserve">CPI = earned value / actual cost</t>
  </si>
  <si>
    <t xml:space="preserve">Deadlines</t>
  </si>
  <si>
    <t xml:space="preserve">Tasks forecast to miss their deadline</t>
  </si>
  <si>
    <t xml:space="preserve">Critical tasks forecast to finish late</t>
  </si>
  <si>
    <t xml:space="preserve">Plan quality</t>
  </si>
  <si>
    <t xml:space="preserve">Ignored links and outline errors (see Tasks)</t>
  </si>
  <si>
    <t xml:space="preserve">EARNED VALUE at the status date</t>
  </si>
  <si>
    <t xml:space="preserve">Meaning</t>
  </si>
  <si>
    <t xml:space="preserve">Budget at completion (BAC)</t>
  </si>
  <si>
    <t xml:space="preserve">Baseline Cost once a baseline is set, otherwise Cost.</t>
  </si>
  <si>
    <t xml:space="preserve">Planned value (PV)</t>
  </si>
  <si>
    <t xml:space="preserve">Budget of the work planned before the status date.</t>
  </si>
  <si>
    <t xml:space="preserve">Earned value (EV)</t>
  </si>
  <si>
    <t xml:space="preserve">Budget of the work done (Budget x Progress).</t>
  </si>
  <si>
    <t xml:space="preserve">Actual cost (AC)</t>
  </si>
  <si>
    <t xml:space="preserve">Actual Cost on Tasks; Cost x Progress where blank.</t>
  </si>
  <si>
    <t xml:space="preserve">Schedule variance (SV)</t>
  </si>
  <si>
    <t xml:space="preserve">EV - PV. Negative = behind plan.</t>
  </si>
  <si>
    <t xml:space="preserve">Cost variance (CV)</t>
  </si>
  <si>
    <t xml:space="preserve">EV - AC. Negative = over cost.</t>
  </si>
  <si>
    <t xml:space="preserve">Schedule performance index (SPI)</t>
  </si>
  <si>
    <t xml:space="preserve">EV / PV. Below 1 = behind.</t>
  </si>
  <si>
    <t xml:space="preserve">Cost performance index (CPI)</t>
  </si>
  <si>
    <t xml:space="preserve">EV / AC. Below 1 = over cost.</t>
  </si>
  <si>
    <t xml:space="preserve">Estimate at completion (EAC)</t>
  </si>
  <si>
    <t xml:space="preserve">AC + (BAC - EV) / CPI: forecast cost at the current CPI.</t>
  </si>
  <si>
    <t xml:space="preserve">Estimate to complete (ETC)</t>
  </si>
  <si>
    <t xml:space="preserve">EAC - AC: forecast cost of the remaining work.</t>
  </si>
  <si>
    <t xml:space="preserve">Variance at completion (VAC)</t>
  </si>
  <si>
    <t xml:space="preserve">BAC - EAC. Negative = forecast overrun.</t>
  </si>
  <si>
    <t xml:space="preserve">To-complete performance index (TCPI)</t>
  </si>
  <si>
    <t xml:space="preserve">CPI the remaining work needs to finish on budget.</t>
  </si>
  <si>
    <t xml:space="preserve">% complete (earned)</t>
  </si>
  <si>
    <t xml:space="preserve">EV / BAC.</t>
  </si>
  <si>
    <t xml:space="preserve">% complete (planned)</t>
  </si>
  <si>
    <t xml:space="preserve">PV / BAC.</t>
  </si>
  <si>
    <t xml:space="preserve">COMMENTARY for this period (type in the Notes column)</t>
  </si>
  <si>
    <t xml:space="preserve">Section</t>
  </si>
  <si>
    <t xml:space="preserve">Notes</t>
  </si>
  <si>
    <t xml:space="preserve">Summary</t>
  </si>
  <si>
    <t xml:space="preserve">Achievements this period</t>
  </si>
  <si>
    <t xml:space="preserve">Planned for next period</t>
  </si>
  <si>
    <t xml:space="preserve">Issues and escalations</t>
  </si>
  <si>
    <t xml:space="preserve">Decisions needed</t>
  </si>
  <si>
    <t xml:space="preserve">Risks to watch</t>
  </si>
  <si>
    <t xml:space="preserve">_Task</t>
  </si>
  <si>
    <t xml:space="preserve">WBS</t>
  </si>
  <si>
    <t xml:space="preserve">Phase</t>
  </si>
  <si>
    <t xml:space="preserve">Planned Finish</t>
  </si>
  <si>
    <t xml:space="preserve">Forecast Finish</t>
  </si>
  <si>
    <t xml:space="preserve">Finish Var</t>
  </si>
  <si>
    <t xml:space="preserve">Progress</t>
  </si>
  <si>
    <t xml:space="preserve">Budget</t>
  </si>
  <si>
    <t xml:space="preserve">PV</t>
  </si>
  <si>
    <t xml:space="preserve">EV</t>
  </si>
  <si>
    <t xml:space="preserve">AC</t>
  </si>
  <si>
    <t xml:space="preserve">SPI</t>
  </si>
  <si>
    <t xml:space="preserve">CPI</t>
  </si>
  <si>
    <t xml:space="preserve">Open Critical</t>
  </si>
  <si>
    <t xml:space="preserve">Milestone</t>
  </si>
  <si>
    <t xml:space="preserve">Planned</t>
  </si>
  <si>
    <t xml:space="preserve">Forecast</t>
  </si>
  <si>
    <t xml:space="preserve">Deadline</t>
  </si>
  <si>
    <t xml:space="preserve">Deadline Check</t>
  </si>
  <si>
    <t xml:space="preserve">Task</t>
  </si>
  <si>
    <t xml:space="preserve">Resource</t>
  </si>
  <si>
    <t xml:space="preserve">Critical</t>
  </si>
  <si>
    <t xml:space="preserve">Forecast Start</t>
  </si>
  <si>
    <t xml:space="preserve">Duration</t>
  </si>
  <si>
    <t xml:space="preserve">Total Slack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</si>
  <si>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</si>
  <si>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</si>
  <si>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</si>
  <si>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</si>
  <si>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</si>
  <si>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</si>
  <si>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</si>
  <si>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</si>
  <si>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</si>
  <si>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</si>
  <si>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</si>
  <si>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</si>
  <si>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</si>
  <si>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</si>
  <si>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</si>
  <si>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</si>
  <si>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</si>
  <si>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</si>
  <si>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</si>
  <si>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</si>
  <si>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</si>
  <si>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</si>
  <si>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</si>
  <si>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</si>
  <si>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</si>
  <si>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</si>
  <si>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</si>
  <si>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</si>
  <si>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</si>
  <si>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</si>
  <si>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</si>
  <si>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</si>
  <si>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</si>
  <si>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</si>
  <si>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</si>
  <si>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</si>
  <si>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</si>
  <si>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</si>
  <si>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</si>
  <si>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</si>
  <si>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</si>
  <si>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</si>
  <si>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</si>
  <si>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</si>
  <si>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</si>
  <si>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</si>
  <si>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</si>
  <si>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</si>
  <si>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</si>
  <si>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</si>
  <si>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</si>
  <si>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</si>
  <si>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</si>
  <si>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</si>
  <si>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</si>
  <si>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</si>
  <si>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</si>
  <si>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</si>
  <si>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</si>
  <si>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</si>
  <si>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</si>
  <si>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</si>
  <si>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</si>
  <si>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</si>
  <si>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</si>
  <si>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</si>
  <si>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</si>
  <si>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</si>
  <si>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</si>
  <si>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</si>
  <si>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</si>
  <si>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</si>
  <si>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</si>
  <si>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</si>
  <si>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</si>
  <si>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</si>
  <si>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</si>
  <si>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</si>
  <si>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</si>
  <si>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</si>
  <si>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Planned project finish (calculated)</t>
  </si>
  <si>
    <t xml:space="preserve">PlannedFinish</t>
  </si>
  <si>
    <t xml:space="preserve">Baseline finish once a baseline is set.</t>
  </si>
  <si>
    <t xml:space="preserve">Project finish variance (calculated, working days)</t>
  </si>
  <si>
    <t xml:space="preserve">FinishVarianceDays</t>
  </si>
  <si>
    <t xml:space="preserve">Forecast finish minus planned finish. Positive = late.</t>
  </si>
  <si>
    <t xml:space="preserve">Look-ahead window (working days)</t>
  </si>
  <si>
    <t xml:space="preserve">LookaheadDays</t>
  </si>
  <si>
    <t xml:space="preserve">Schedule Report lists tasks starting or due within this many working days of the status date.</t>
  </si>
  <si>
    <t xml:space="preserve">Look-ahead window ends (calculated)</t>
  </si>
  <si>
    <t xml:space="preserve">LookaheadEnd</t>
  </si>
  <si>
    <t xml:space="preserve">RAG: amber when the finish slips by (working days)</t>
  </si>
  <si>
    <t xml:space="preserve">RAGAmberSlipDays</t>
  </si>
  <si>
    <t xml:space="preserve">Status Report thresholds. A finish slip of at least this many working days is amber.</t>
  </si>
  <si>
    <t xml:space="preserve">RAG: red when the finish slips by (working days)</t>
  </si>
  <si>
    <t xml:space="preserve">RAGRedSlipDays</t>
  </si>
  <si>
    <t xml:space="preserve">RAG: amber when SPI or CPI is below</t>
  </si>
  <si>
    <t xml:space="preserve">RAGAmberIndex</t>
  </si>
  <si>
    <t xml:space="preserve">SPI = earned value / planned value; CPI = earned value / actual cost. 1.00 = on plan.</t>
  </si>
  <si>
    <t xml:space="preserve">RAG: red when SPI or CPI is below</t>
  </si>
  <si>
    <t xml:space="preserve">RAGRedIndex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</si>
  <si>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</si>
  <si>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</si>
  <si>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</si>
  <si>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</si>
  <si>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</si>
  <si>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</si>
  <si>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</si>
  <si>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</si>
  <si>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</si>
  <si>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</si>
  <si>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</si>
  <si>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</si>
  <si>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</si>
  <si>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</si>
  <si>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EARNED VALUE (at status date)</t>
  </si>
  <si>
    <t xml:space="preserve">HELPER COLUMNS (hidden - click + above to show)</t>
  </si>
  <si>
    <t xml:space="preserve">ID</t>
  </si>
  <si>
    <t xml:space="preserve">UID</t>
  </si>
  <si>
    <t xml:space="preserve">Level</t>
  </si>
  <si>
    <t xml:space="preserve">Task Name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</si>
  <si>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</si>
  <si>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</si>
  <si>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</si>
  <si>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</si>
  <si>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</si>
  <si>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</si>
  <si>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</si>
  <si>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Planned Start</t>
  </si>
  <si>
    <t xml:space="preserve">Actual Start</t>
  </si>
  <si>
    <t xml:space="preserve">Actual Finish</t>
  </si>
  <si>
    <t xml:space="preserve">Start Var</t>
  </si>
  <si>
    <t xml:space="preserve">Late Finish</t>
  </si>
  <si>
    <t xml:space="preserve">Free Slack</t>
  </si>
  <si>
    <t xml:space="preserve">Link Check</t>
  </si>
  <si>
    <t xml:space="preserve">% Complete</t>
  </si>
  <si>
    <t xml:space="preserve">Units</t>
  </si>
  <si>
    <t xml:space="preserve">Work</t>
  </si>
  <si>
    <t xml:space="preserve">Cost</t>
  </si>
  <si>
    <t xml:space="preserve">Actual 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</si>
  <si>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</si>
  <si>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</si>
  <si>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</si>
  <si>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</si>
  <si>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</si>
  <si>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</si>
  <si>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</si>
  <si>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</si>
  <si>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</si>
  <si>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</si>
  <si>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</si>
  <si>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</si>
  <si>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</si>
  <si>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</si>
  <si>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</si>
  <si>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</si>
  <si>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</si>
  <si>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</si>
  <si>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</si>
  <si>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</si>
  <si>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</si>
  <si>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</si>
  <si>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</si>
  <si>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</si>
  <si>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</si>
  <si>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</si>
  <si>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</si>
  <si>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</si>
  <si>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</si>
  <si>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</si>
  <si>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</si>
  <si>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</si>
  <si>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</si>
  <si>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</si>
  <si>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</si>
  <si>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</si>
  <si>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</si>
  <si>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</si>
  <si>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</si>
  <si>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</si>
  <si>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</si>
  <si>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</si>
  <si>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</si>
  <si>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</si>
  <si>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</si>
  <si>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</si>
  <si>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</si>
  <si>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</si>
  <si>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</si>
  <si>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</si>
  <si>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</si>
  <si>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</si>
  <si>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</si>
  <si>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</si>
  <si>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</si>
  <si>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</si>
  <si>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</si>
  <si>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</si>
  <si>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</si>
  <si>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</si>
  <si>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_PlannedPct</t>
  </si>
  <si>
    <t xml:space="preserve">_LeafBudget</t>
  </si>
  <si>
    <t xml:space="preserve">_LeafPV</t>
  </si>
  <si>
    <t xml:space="preserve">_LeafEV</t>
  </si>
  <si>
    <t xml:space="preserve">_LeafAC</t>
  </si>
  <si>
    <t xml:space="preserve">_Phase</t>
  </si>
  <si>
    <t xml:space="preserve">_PhaseKey</t>
  </si>
  <si>
    <t xml:space="preserve">_MilestoneOrder</t>
  </si>
  <si>
    <t xml:space="preserve">_LateKey</t>
  </si>
  <si>
    <t xml:space="preserve">_StartSoonKey</t>
  </si>
  <si>
    <t xml:space="preserve">_DueSoonKey</t>
  </si>
  <si>
    <t xml:space="preserve">_CriticalKey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</si>
  <si>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</si>
  <si>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</si>
  <si>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</si>
  <si>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</si>
  <si>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</si>
  <si>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</si>
  <si>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</si>
  <si>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</si>
  <si>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</si>
  <si>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</si>
  <si>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</si>
  <si>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</si>
  <si>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</si>
  <si>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</si>
  <si>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</si>
  <si>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</si>
  <si>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</si>
  <si>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</si>
  <si>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</si>
  <si>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</si>
  <si>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</si>
  <si>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</si>
  <si>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</si>
  <si>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</si>
  <si>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</si>
  <si>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</si>
  <si>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</si>
  <si>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</si>
  <si>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</si>
  <si>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</si>
  <si>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</si>
  <si>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</si>
  <si>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</si>
  <si>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</si>
  <si>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</si>
  <si>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</si>
  <si>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</si>
  <si>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</si>
  <si>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</si>
  <si>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</si>
  <si>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</si>
  <si>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</si>
  <si>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</si>
  <si>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</si>
  <si>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</si>
  <si>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</si>
  <si>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</si>
  <si>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</si>
  <si>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</si>
  <si>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</si>
  <si>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</si>
  <si>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</si>
  <si>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</si>
  <si>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</si>
  <si>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</si>
  <si>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</si>
  <si>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</si>
  <si>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</si>
  <si>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</si>
  <si>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</si>
  <si>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</si>
  <si>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Green</t>
  </si>
  <si>
    <t xml:space="preserve">SS</t>
  </si>
  <si>
    <t xml:space="preserve">Manual</t>
  </si>
  <si>
    <t xml:space="preserve">Material</t>
  </si>
  <si>
    <t xml:space="preserve">Amber</t>
  </si>
  <si>
    <t xml:space="preserve">FF</t>
  </si>
  <si>
    <t xml:space="preserve">Red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</si>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</sst>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0"/>
    <numFmt numFmtId="173" formatCode="0.0"/>
    <numFmt numFmtId="174" formatCode="#,##0.0"/>
    <numFmt numFmtId="175" formatCode="General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2"/>
    </font>
    <font>
      <sz val="10"/>
      <color rgb="FF404040"/>
      <name val="Arial"/>
      <family val="0"/>
      <charset val="1"/>
    </font>
    <font>
      <sz val="10"/>
      <color rgb="FF7F7F7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5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  <color rgb="FFC00000"/>
      </font>
    </dxf>
    <dxf>
      <font>
        <b val="1"/>
        <color rgb="FFFFFFFF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9DC3E6"/>
      <rgbColor rgb="FFF4B183"/>
      <rgbColor rgb="FFEDEDED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C57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046129"/>
        <c:axId val="5837699"/>
      </c:barChart>
      <c:catAx>
        <c:axId val="1046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7699"/>
        <c:crosses val="autoZero"/>
        <c:auto val="1"/>
        <c:lblAlgn val="ctr"/>
        <c:lblOffset val="100"/>
        <c:noMultiLvlLbl val="0"/>
      </c:catAx>
      <c:valAx>
        <c:axId val="5837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61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467070"/>
        <c:axId val="29873899"/>
      </c:barChart>
      <c:catAx>
        <c:axId val="8467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73899"/>
        <c:crosses val="autoZero"/>
        <c:auto val="1"/>
        <c:lblAlgn val="ctr"/>
        <c:lblOffset val="100"/>
        <c:noMultiLvlLbl val="0"/>
      </c:catAx>
      <c:valAx>
        <c:axId val="29873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70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(BAC, PV, EV, AC)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'Status Report'!$B$17:$B$20</c:f>
              <c:strCache>
                <c:ptCount val="4"/>
                <c:pt idx="0">
                  <c:v>Budget at completion (BAC)</c:v>
                </c:pt>
                <c:pt idx="1">
                  <c:v>Planned value (PV)</c:v>
                </c:pt>
                <c:pt idx="2">
                  <c:v>Earned value (EV)</c:v>
                </c:pt>
                <c:pt idx="3">
                  <c:v>Actual cost (AC)</c:v>
                </c:pt>
              </c:strCache>
            </c:strRef>
          </c:cat>
          <c:val>
            <c:numRef>
              <c:f>'Status Report'!$D$17:$D$20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991503"/>
        <c:axId val="66233989"/>
      </c:barChart>
      <c:catAx>
        <c:axId val="899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33989"/>
        <c:crosses val="autoZero"/>
        <c:auto val="1"/>
        <c:lblAlgn val="ctr"/>
        <c:lblOffset val="100"/>
        <c:noMultiLvlLbl val="0"/>
      </c:catAx>
      <c:valAx>
        <c:axId val="66233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15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32</xdr:row>
      <xdr:rowOff>101160</xdr:rowOff>
    </xdr:from>
    <xdr:to>
      <xdr:col>8</xdr:col>
      <xdr:colOff>70920</xdr:colOff>
      <xdr:row>47</xdr:row>
      <xdr:rowOff>123120</xdr:rowOff>
    </xdr:to>
    <xdr:graphicFrame>
      <xdr:nvGraphicFramePr>
        <xdr:cNvPr id="1" name="Chart 2"/>
        <xdr:cNvGraphicFramePr/>
      </xdr:nvGraphicFramePr>
      <xdr:xfrm>
        <a:off x="211320" y="6286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14</xdr:row>
      <xdr:rowOff>131040</xdr:rowOff>
    </xdr:from>
    <xdr:to>
      <xdr:col>7</xdr:col>
      <xdr:colOff>3504240</xdr:colOff>
      <xdr:row>27</xdr:row>
      <xdr:rowOff>174240</xdr:rowOff>
    </xdr:to>
    <xdr:graphicFrame>
      <xdr:nvGraphicFramePr>
        <xdr:cNvPr id="2" name="Chart 1"/>
        <xdr:cNvGraphicFramePr/>
      </xdr:nvGraphicFramePr>
      <xdr:xfrm>
        <a:off x="7823880" y="2857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riticalTasks" displayName="CriticalTasks" ref="B90:J110" headerRowCount="1">
  <tableColumns count="9">
    <tableColumn id="1" name="_Task">
      <calculatedColumnFormula>IFERROR(MATCH(SMALL(tsk_CriticalKey,ROW()-ROW(CriticalTasks[[#Headers],[_Task]])),tsk_CriticalKey,0),"")</calculatedColumnFormula>
    </tableColumn>
    <tableColumn id="2" name="WBS">
      <calculatedColumnFormula>IF(CriticalTasks[[#This Row],[_Task]]="","",INDEX(tsk_WBS,CriticalTasks[[#This Row],[_Task]])&amp;"")</calculatedColumnFormula>
    </tableColumn>
    <tableColumn id="3" name="Task">
      <calculatedColumnFormula>IF(CriticalTasks[[#This Row],[_Task]]="","",INDEX(tsk_Name,CriticalTasks[[#This Row],[_Task]])&amp;"")</calculatedColumnFormula>
    </tableColumn>
    <tableColumn id="4" name="Resource">
      <calculatedColumnFormula>IF(CriticalTasks[[#This Row],[_Task]]="","",INDEX(tsk_Resource,CriticalTasks[[#This Row],[_Task]])&amp;"")</calculatedColumnFormula>
    </tableColumn>
    <tableColumn id="5" name="Forecast Start">
      <calculatedColumnFormula>IF(CriticalTasks[[#This Row],[_Task]]="","",IF(N(INDEX(tsk_FcStart,CriticalTasks[[#This Row],[_Task]]))=0,"",INDEX(tsk_FcStart,CriticalTasks[[#This Row],[_Task]])))</calculatedColumnFormula>
    </tableColumn>
    <tableColumn id="6" name="Forecast Finish">
      <calculatedColumnFormula>IF(CriticalTasks[[#This Row],[_Task]]="","",IF(N(INDEX(tsk_FcFinish,CriticalTasks[[#This Row],[_Task]]))=0,"",INDEX(tsk_FcFinish,CriticalTasks[[#This Row],[_Task]])))</calculatedColumnFormula>
    </tableColumn>
    <tableColumn id="7" name="Total Slack">
      <calculatedColumnFormula>IF(CriticalTasks[[#This Row],[_Task]]="","",INDEX(tsk_TotalSlack,CriticalTasks[[#This Row],[_Task]]))</calculatedColumnFormula>
    </tableColumn>
    <tableColumn id="8" name="Deadline Check">
      <calculatedColumnFormula>IF(CriticalTasks[[#This Row],[_Task]]="","",INDEX(tsk_DeadlineCheck,CriticalTasks[[#This Row],[_Task]])&amp;"")</calculatedColumnFormula>
    </tableColumn>
    <tableColumn id="9" name="Status">
      <calculatedColumnFormula>IF(CriticalTasks[[#This Row],[_Task]]="","",INDEX(tsk_Status,CriticalTasks[[#This Row],[_Task]])&amp;"")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DueSoon" displayName="DueSoon" ref="B72:J87" headerRowCount="1">
  <tableColumns count="9">
    <tableColumn id="1" name="_Task">
      <calculatedColumnFormula>IFERROR(MATCH(SMALL(tsk_DueSoonKey,ROW()-ROW(DueSoon[[#Headers],[_Task]])),tsk_DueSoonKey,0),"")</calculatedColumnFormula>
    </tableColumn>
    <tableColumn id="2" name="WBS">
      <calculatedColumnFormula>IF(DueSoon[[#This Row],[_Task]]="","",INDEX(tsk_WBS,DueSoon[[#This Row],[_Task]])&amp;"")</calculatedColumnFormula>
    </tableColumn>
    <tableColumn id="3" name="Task">
      <calculatedColumnFormula>IF(DueSoon[[#This Row],[_Task]]="","",INDEX(tsk_Name,DueSoon[[#This Row],[_Task]])&amp;"")</calculatedColumnFormula>
    </tableColumn>
    <tableColumn id="4" name="Resource">
      <calculatedColumnFormula>IF(DueSoon[[#This Row],[_Task]]="","",INDEX(tsk_Resource,DueSoon[[#This Row],[_Task]])&amp;"")</calculatedColumnFormula>
    </tableColumn>
    <tableColumn id="5" name="Forecast Finish">
      <calculatedColumnFormula>IF(DueSoon[[#This Row],[_Task]]="","",IF(N(INDEX(tsk_FcFinish,DueSoon[[#This Row],[_Task]]))=0,"",INDEX(tsk_FcFinish,DueSoon[[#This Row],[_Task]])))</calculatedColumnFormula>
    </tableColumn>
    <tableColumn id="6" name="Progress">
      <calculatedColumnFormula>IF(DueSoon[[#This Row],[_Task]]="","",INDEX(tsk_Progress,DueSoon[[#This Row],[_Task]]))</calculatedColumnFormula>
    </tableColumn>
    <tableColumn id="7" name="Deadline Check">
      <calculatedColumnFormula>IF(DueSoon[[#This Row],[_Task]]="","",INDEX(tsk_DeadlineCheck,DueSoon[[#This Row],[_Task]])&amp;"")</calculatedColumnFormula>
    </tableColumn>
    <tableColumn id="8" name="Status">
      <calculatedColumnFormula>IF(DueSoon[[#This Row],[_Task]]="","",INDEX(tsk_Status,DueSoon[[#This Row],[_Task]])&amp;"")</calculatedColumnFormula>
    </tableColumn>
    <tableColumn id="9" name="Critical">
      <calculatedColumnFormula>IF(DueSoon[[#This Row],[_Task]]="","",INDEX(tsk_Critical,DueSoon[[#This Row],[_Task]])&amp;"")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EarnedValue" displayName="EarnedValue" ref="B16:D30" headerRowCount="1">
  <tableColumns count="3">
    <tableColumn id="1" name="Measure"/>
    <tableColumn id="2" name="Meaning"/>
    <tableColumn id="3" name="Value"/>
  </tableColumns>
  <tableStyleInfo name="TableStyleLight1" showRowStripes="0"/>
</table>
</file>

<file path=xl/tables/table4.xml><?xml version="1.0" encoding="utf-8"?>
<table xmlns="http://schemas.openxmlformats.org/spreadsheetml/2006/main" id="4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6.xml><?xml version="1.0" encoding="utf-8"?>
<table xmlns="http://schemas.openxmlformats.org/spreadsheetml/2006/main" id="6" name="KPIs" displayName="KPIs" ref="B4:C23" headerRowCount="1">
  <tableColumns count="2">
    <tableColumn id="1" name="Key indicator"/>
    <tableColumn id="2" name="Value"/>
  </tableColumns>
  <tableStyleInfo name="TableStyleLight1" showRowStripes="0"/>
</table>
</file>

<file path=xl/tables/table7.xml><?xml version="1.0" encoding="utf-8"?>
<table xmlns="http://schemas.openxmlformats.org/spreadsheetml/2006/main" id="7" name="LateTasks" displayName="LateTasks" ref="B36:J51" headerRowCount="1">
  <tableColumns count="9">
    <tableColumn id="1" name="_Task">
      <calculatedColumnFormula>IFERROR(MATCH(LARGE(tsk_LateKey,ROW()-ROW(LateTasks[[#Headers],[_Task]])),tsk_LateKey,0),"")</calculatedColumnFormula>
    </tableColumn>
    <tableColumn id="2" name="WBS">
      <calculatedColumnFormula>IF(LateTasks[[#This Row],[_Task]]="","",INDEX(tsk_WBS,LateTasks[[#This Row],[_Task]])&amp;"")</calculatedColumnFormula>
    </tableColumn>
    <tableColumn id="3" name="Task">
      <calculatedColumnFormula>IF(LateTasks[[#This Row],[_Task]]="","",INDEX(tsk_Name,LateTasks[[#This Row],[_Task]])&amp;"")</calculatedColumnFormula>
    </tableColumn>
    <tableColumn id="4" name="Resource">
      <calculatedColumnFormula>IF(LateTasks[[#This Row],[_Task]]="","",INDEX(tsk_Resource,LateTasks[[#This Row],[_Task]])&amp;"")</calculatedColumnFormula>
    </tableColumn>
    <tableColumn id="5" name="Planned Finish">
      <calculatedColumnFormula>IF(LateTasks[[#This Row],[_Task]]="","",IF(N(INDEX(tsk_PlanFinish,LateTasks[[#This Row],[_Task]]))=0,"",INDEX(tsk_PlanFinish,LateTasks[[#This Row],[_Task]])))</calculatedColumnFormula>
    </tableColumn>
    <tableColumn id="6" name="Forecast Finish">
      <calculatedColumnFormula>IF(LateTasks[[#This Row],[_Task]]="","",IF(N(INDEX(tsk_FcFinish,LateTasks[[#This Row],[_Task]]))=0,"",INDEX(tsk_FcFinish,LateTasks[[#This Row],[_Task]])))</calculatedColumnFormula>
    </tableColumn>
    <tableColumn id="7" name="Finish Var">
      <calculatedColumnFormula>IF(LateTasks[[#This Row],[_Task]]="","",INDEX(tsk_Variance,LateTasks[[#This Row],[_Task]]))</calculatedColumnFormula>
    </tableColumn>
    <tableColumn id="8" name="Status">
      <calculatedColumnFormula>IF(LateTasks[[#This Row],[_Task]]="","",INDEX(tsk_Status,LateTasks[[#This Row],[_Task]])&amp;"")</calculatedColumnFormula>
    </tableColumn>
    <tableColumn id="9" name="Critical">
      <calculatedColumnFormula>IF(LateTasks[[#This Row],[_Task]]="","",INDEX(tsk_Critical,LateTasks[[#This Row],[_Task]])&amp;"")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ListDepType" displayName="ListDepType" ref="A1:A5" headerRowCount="1">
  <tableColumns count="1">
    <tableColumn id="1" name="Link Type"/>
  </tableColumns>
  <tableStyleInfo name="TableStyleLight1" showRowStripes="0"/>
</table>
</file>

<file path=xl/tables/table9.xml><?xml version="1.0" encoding="utf-8"?>
<table xmlns="http://schemas.openxmlformats.org/spreadsheetml/2006/main" id="9" name="ListMode" displayName="ListMode" ref="C1:C3" headerRowCount="1">
  <tableColumns count="1">
    <tableColumn id="1" name="Task Mode"/>
  </tableColumns>
  <tableStyleInfo name="TableStyleLight1" showRowStripes="0"/>
</table>
</file>

<file path=xl/tables/table10.xml><?xml version="1.0" encoding="utf-8"?>
<table xmlns="http://schemas.openxmlformats.org/spreadsheetml/2006/main" id="10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11.xml><?xml version="1.0" encoding="utf-8"?>
<table xmlns="http://schemas.openxmlformats.org/spreadsheetml/2006/main" id="11" name="ListRAG" displayName="ListRAG" ref="K1:K4" headerRowCount="1">
  <tableColumns count="1">
    <tableColumn id="1" name="RAG"/>
  </tableColumns>
  <tableStyleInfo name="TableStyleLight1" showRowStripes="0"/>
</table>
</file>

<file path=xl/tables/table12.xml><?xml version="1.0" encoding="utf-8"?>
<table xmlns="http://schemas.openxmlformats.org/spreadsheetml/2006/main" id="12" name="ListResType" displayName="ListResType" ref="G1:G4" headerRowCount="1">
  <tableColumns count="1">
    <tableColumn id="1" name="Resource Type"/>
  </tableColumns>
  <tableStyleInfo name="TableStyleLight1" showRowStripes="0"/>
</table>
</file>

<file path=xl/tables/table13.xml><?xml version="1.0" encoding="utf-8"?>
<table xmlns="http://schemas.openxmlformats.org/spreadsheetml/2006/main" id="13" name="ListYesNo" displayName="ListYesNo" ref="E1:E3" headerRowCount="1">
  <tableColumns count="1">
    <tableColumn id="1" name="Yes / No"/>
  </tableColumns>
  <tableStyleInfo name="TableStyleLight1" showRowStripes="0"/>
</table>
</file>

<file path=xl/tables/table14.xml><?xml version="1.0" encoding="utf-8"?>
<table xmlns="http://schemas.openxmlformats.org/spreadsheetml/2006/main" id="14" name="MilestoneReport" displayName="MilestoneReport" ref="B18:J33" headerRowCount="1">
  <tableColumns count="9">
    <tableColumn id="1" name="_Task">
      <calculatedColumnFormula>IFERROR(MATCH(SMALL(tsk_MilestoneOrder,ROW()-ROW(MilestoneReport[[#Headers],[_Task]])),tsk_MilestoneOrder,0),"")</calculatedColumnFormula>
    </tableColumn>
    <tableColumn id="2" name="WBS">
      <calculatedColumnFormula>IF(MilestoneReport[[#This Row],[_Task]]="","",INDEX(tsk_WBS,MilestoneReport[[#This Row],[_Task]])&amp;"")</calculatedColumnFormula>
    </tableColumn>
    <tableColumn id="3" name="Milestone">
      <calculatedColumnFormula>IF(MilestoneReport[[#This Row],[_Task]]="","",INDEX(tsk_Name,MilestoneReport[[#This Row],[_Task]])&amp;"")</calculatedColumnFormula>
    </tableColumn>
    <tableColumn id="4" name="Planned">
      <calculatedColumnFormula>IF(MilestoneReport[[#This Row],[_Task]]="","",IF(N(INDEX(tsk_PlanFinish,MilestoneReport[[#This Row],[_Task]]))=0,"",INDEX(tsk_PlanFinish,MilestoneReport[[#This Row],[_Task]])))</calculatedColumnFormula>
    </tableColumn>
    <tableColumn id="5" name="Forecast">
      <calculatedColumnFormula>IF(MilestoneReport[[#This Row],[_Task]]="","",IF(N(INDEX(tsk_FcFinish,MilestoneReport[[#This Row],[_Task]]))=0,"",INDEX(tsk_FcFinish,MilestoneReport[[#This Row],[_Task]])))</calculatedColumnFormula>
    </tableColumn>
    <tableColumn id="6" name="Finish Var">
      <calculatedColumnFormula>IF(MilestoneReport[[#This Row],[_Task]]="","",INDEX(tsk_Variance,MilestoneReport[[#This Row],[_Task]]))</calculatedColumnFormula>
    </tableColumn>
    <tableColumn id="7" name="Deadline">
      <calculatedColumnFormula>IF(MilestoneReport[[#This Row],[_Task]]="","",IF(N(INDEX(tsk_Deadline,MilestoneReport[[#This Row],[_Task]]))=0,"",INDEX(tsk_Deadline,MilestoneReport[[#This Row],[_Task]])))</calculatedColumnFormula>
    </tableColumn>
    <tableColumn id="8" name="Deadline Check">
      <calculatedColumnFormula>IF(MilestoneReport[[#This Row],[_Task]]="","",INDEX(tsk_DeadlineCheck,MilestoneReport[[#This Row],[_Task]])&amp;"")</calculatedColumnFormula>
    </tableColumn>
    <tableColumn id="9" name="Status">
      <calculatedColumnFormula>IF(MilestoneReport[[#This Row],[_Task]]="","",INDEX(tsk_Status,MilestoneReport[[#This Row],[_Task]])&amp;"")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6.xml><?xml version="1.0" encoding="utf-8"?>
<table xmlns="http://schemas.openxmlformats.org/spreadsheetml/2006/main" id="16" name="MSPTasks" displayName="MSPTasks" ref="A1:X201" headerRowCount="1">
  <autoFilter ref="A1:X201"/>
  <tableColumns count="24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Actual Cost">
      <calculatedColumnFormula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calculatedColumnFormula>
    </tableColumn>
    <tableColumn id="21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2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3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4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7.xml><?xml version="1.0" encoding="utf-8"?>
<table xmlns="http://schemas.openxmlformats.org/spreadsheetml/2006/main" id="17" name="NextMilestones" displayName="NextMilestones" ref="B26:C31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8.xml><?xml version="1.0" encoding="utf-8"?>
<table xmlns="http://schemas.openxmlformats.org/spreadsheetml/2006/main" id="18" name="OverallStatus" displayName="OverallStatus" ref="B4:H5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IF(OverallStatus[[#This Row],[PM RAG]]&lt;&gt;"",OverallStatus[[#This Row],[PM RAG]],OverallStatus[[#This Row],[Calculated]])</calculatedColumnFormula>
    </tableColumn>
    <tableColumn id="7" name="Comment"/>
  </tableColumns>
  <tableStyleInfo name="TableStyleLight1" showRowStripes="0"/>
</table>
</file>

<file path=xl/tables/table19.xml><?xml version="1.0" encoding="utf-8"?>
<table xmlns="http://schemas.openxmlformats.org/spreadsheetml/2006/main" id="19" name="PhaseSummary" displayName="PhaseSummary" ref="B5:P15" headerRowCount="1">
  <tableColumns count="15">
    <tableColumn id="1" name="_Task">
      <calculatedColumnFormula>IFERROR(MATCH(SMALL(tsk_PhaseKey,ROW()-ROW(PhaseSummary[[#Headers],[_Task]])),tsk_PhaseKey,0),"")</calculatedColumnFormula>
    </tableColumn>
    <tableColumn id="2" name="WBS">
      <calculatedColumnFormula>IF(PhaseSummary[[#This Row],[_Task]]="","",INDEX(tsk_WBS,PhaseSummary[[#This Row],[_Task]])&amp;"")</calculatedColumnFormula>
    </tableColumn>
    <tableColumn id="3" name="Phase">
      <calculatedColumnFormula>IF(PhaseSummary[[#This Row],[_Task]]="","",INDEX(tsk_Name,PhaseSummary[[#This Row],[_Task]])&amp;"")</calculatedColumnFormula>
    </tableColumn>
    <tableColumn id="4" name="Planned Finish">
      <calculatedColumnFormula>IF(PhaseSummary[[#This Row],[_Task]]="","",IF(N(INDEX(tsk_PlanFinish,PhaseSummary[[#This Row],[_Task]]))=0,"",INDEX(tsk_PlanFinish,PhaseSummary[[#This Row],[_Task]])))</calculatedColumnFormula>
    </tableColumn>
    <tableColumn id="5" name="Forecast Finish">
      <calculatedColumnFormula>IF(PhaseSummary[[#This Row],[_Task]]="","",IF(N(INDEX(tsk_FcFinish,PhaseSummary[[#This Row],[_Task]]))=0,"",INDEX(tsk_FcFinish,PhaseSummary[[#This Row],[_Task]])))</calculatedColumnFormula>
    </tableColumn>
    <tableColumn id="6" name="Finish Var">
      <calculatedColumnFormula>IF(PhaseSummary[[#This Row],[_Task]]="","",INDEX(tsk_Variance,PhaseSummary[[#This Row],[_Task]]))</calculatedColumnFormula>
    </tableColumn>
    <tableColumn id="7" name="Progress">
      <calculatedColumnFormula>IF(PhaseSummary[[#This Row],[_Task]]="","",INDEX(tsk_Progress,PhaseSummary[[#This Row],[_Task]]))</calculatedColumnFormula>
    </tableColumn>
    <tableColumn id="8" name="Budget">
      <calculatedColumnFormula>IF(PhaseSummary[[#This Row],[_Task]]="","",INDEX(tsk_Budget,PhaseSummary[[#This Row],[_Task]]))</calculatedColumnFormula>
    </tableColumn>
    <tableColumn id="9" name="PV">
      <calculatedColumnFormula>IF(PhaseSummary[[#This Row],[_Task]]="","",INDEX(tsk_PV,PhaseSummary[[#This Row],[_Task]]))</calculatedColumnFormula>
    </tableColumn>
    <tableColumn id="10" name="EV">
      <calculatedColumnFormula>IF(PhaseSummary[[#This Row],[_Task]]="","",INDEX(tsk_EV,PhaseSummary[[#This Row],[_Task]]))</calculatedColumnFormula>
    </tableColumn>
    <tableColumn id="11" name="AC">
      <calculatedColumnFormula>IF(PhaseSummary[[#This Row],[_Task]]="","",INDEX(tsk_AC,PhaseSummary[[#This Row],[_Task]]))</calculatedColumnFormula>
    </tableColumn>
    <tableColumn id="12" name="SPI">
      <calculatedColumnFormula>IF(PhaseSummary[[#This Row],[_Task]]="","",IF(N(PhaseSummary[[#This Row],[PV]])&gt;0,PhaseSummary[[#This Row],[EV]]/PhaseSummary[[#This Row],[PV]],""))</calculatedColumnFormula>
    </tableColumn>
    <tableColumn id="13" name="CPI">
      <calculatedColumnFormula>IF(PhaseSummary[[#This Row],[_Task]]="","",IF(N(PhaseSummary[[#This Row],[AC]])&gt;0,PhaseSummary[[#This Row],[EV]]/PhaseSummary[[#This Row],[AC]],""))</calculatedColumnFormula>
    </tableColumn>
    <tableColumn id="14" name="Open Critical">
      <calculatedColumnFormula>IF(PhaseSummary[[#This Row],[_Task]]="","",COUNTIFS(tsk_Phase,PhaseSummary[[#This Row],[WBS]],tsk_Critical,"Yes",tsk_IsLeaf,1))</calculatedColumnFormula>
    </tableColumn>
    <tableColumn id="15" name="RAG">
      <calculatedColumnFormula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calculatedColumnFormula>
    </tableColumn>
  </tableColumns>
  <tableStyleInfo name="TableStyleLight1" showRowStripes="0"/>
</table>
</file>

<file path=xl/tables/table20.xml><?xml version="1.0" encoding="utf-8"?>
<table xmlns="http://schemas.openxmlformats.org/spreadsheetml/2006/main" id="20" name="ResourceTable" displayName="ResourceTable" ref="B5:M55" headerRowCount="1">
  <autoFilter ref="B5:M55"/>
  <tableColumns count="12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Actual Cost">
      <calculatedColumnFormula>IF(ResourceTable[[#This Row],[Resource Name]]="","",SUMIFS(tsk_LeafAC,tsk_Resource,ResourceTable[[#This Row],[Resource Name]]))</calculatedColumnFormula>
    </tableColumn>
    <tableColumn id="12" name="Notes"/>
  </tableColumns>
  <tableStyleInfo name="TableStyleLight1" showRowStripes="0"/>
</table>
</file>

<file path=xl/tables/table21.xml><?xml version="1.0" encoding="utf-8"?>
<table xmlns="http://schemas.openxmlformats.org/spreadsheetml/2006/main" id="21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22.xml><?xml version="1.0" encoding="utf-8"?>
<table xmlns="http://schemas.openxmlformats.org/spreadsheetml/2006/main" id="22" name="StartingSoon" displayName="StartingSoon" ref="B54:J69" headerRowCount="1">
  <tableColumns count="9">
    <tableColumn id="1" name="_Task">
      <calculatedColumnFormula>IFERROR(MATCH(SMALL(tsk_StartSoonKey,ROW()-ROW(StartingSoon[[#Headers],[_Task]])),tsk_StartSoonKey,0),"")</calculatedColumnFormula>
    </tableColumn>
    <tableColumn id="2" name="WBS">
      <calculatedColumnFormula>IF(StartingSoon[[#This Row],[_Task]]="","",INDEX(tsk_WBS,StartingSoon[[#This Row],[_Task]])&amp;"")</calculatedColumnFormula>
    </tableColumn>
    <tableColumn id="3" name="Task">
      <calculatedColumnFormula>IF(StartingSoon[[#This Row],[_Task]]="","",INDEX(tsk_Name,StartingSoon[[#This Row],[_Task]])&amp;"")</calculatedColumnFormula>
    </tableColumn>
    <tableColumn id="4" name="Resource">
      <calculatedColumnFormula>IF(StartingSoon[[#This Row],[_Task]]="","",INDEX(tsk_Resource,StartingSoon[[#This Row],[_Task]])&amp;"")</calculatedColumnFormula>
    </tableColumn>
    <tableColumn id="5" name="Forecast Start">
      <calculatedColumnFormula>IF(StartingSoon[[#This Row],[_Task]]="","",IF(N(INDEX(tsk_FcStart,StartingSoon[[#This Row],[_Task]]))=0,"",INDEX(tsk_FcStart,StartingSoon[[#This Row],[_Task]])))</calculatedColumnFormula>
    </tableColumn>
    <tableColumn id="6" name="Forecast Finish">
      <calculatedColumnFormula>IF(StartingSoon[[#This Row],[_Task]]="","",IF(N(INDEX(tsk_FcFinish,StartingSoon[[#This Row],[_Task]]))=0,"",INDEX(tsk_FcFinish,StartingSoon[[#This Row],[_Task]])))</calculatedColumnFormula>
    </tableColumn>
    <tableColumn id="7" name="Duration">
      <calculatedColumnFormula>IF(StartingSoon[[#This Row],[_Task]]="","",INDEX(tsk_Duration,StartingSoon[[#This Row],[_Task]]))</calculatedColumnFormula>
    </tableColumn>
    <tableColumn id="8" name="Predecessors">
      <calculatedColumnFormula>IF(StartingSoon[[#This Row],[_Task]]="","",INDEX(tsk_Predecessors,StartingSoon[[#This Row],[_Task]])&amp;"")</calculatedColumnFormula>
    </tableColumn>
    <tableColumn id="9" name="Critical">
      <calculatedColumnFormula>IF(StartingSoon[[#This Row],[_Task]]="","",INDEX(tsk_Critical,StartingSoon[[#This Row],[_Task]])&amp;"")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StatusNotes" displayName="StatusNotes" ref="B33:C39" headerRowCount="1">
  <tableColumns count="2">
    <tableColumn id="1" name="Section"/>
    <tableColumn id="2" name="Notes"/>
  </tableColumns>
  <tableStyleInfo name="TableStyleLight1" showRowStripes="0"/>
</table>
</file>

<file path=xl/tables/table24.xml><?xml version="1.0" encoding="utf-8"?>
<table xmlns="http://schemas.openxmlformats.org/spreadsheetml/2006/main" id="24" name="StatusRAG" displayName="StatusRAG" ref="B7:H13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IF(StatusRAG[[#This Row],[PM RAG]]&lt;&gt;"",StatusRAG[[#This Row],[PM RAG]],StatusRAG[[#This Row],[Calculated]])</calculatedColumnFormula>
    </tableColumn>
    <tableColumn id="7" name="Comment"/>
  </tableColumns>
  <tableStyleInfo name="TableStyleLight1" showRowStripes="0"/>
</table>
</file>

<file path=xl/tables/table25.xml><?xml version="1.0" encoding="utf-8"?>
<table xmlns="http://schemas.openxmlformats.org/spreadsheetml/2006/main" id="25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26.xml><?xml version="1.0" encoding="utf-8"?>
<table xmlns="http://schemas.openxmlformats.org/spreadsheetml/2006/main" id="26" name="Tasks" displayName="Tasks" ref="A5:DL205" headerRowCount="1">
  <autoFilter ref="A5:DL205"/>
  <tableColumns count="116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Actual Cost"/>
    <tableColumn id="39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40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1" name="Notes"/>
    <tableColumn id="42" name="BL Source Start">
      <calculatedColumnFormula>IF(Tasks[[#This Row],[Task Name]]="","",Tasks[[#This Row],[Forecast Start]])</calculatedColumnFormula>
    </tableColumn>
    <tableColumn id="43" name="BL Source Finish">
      <calculatedColumnFormula>IF(Tasks[[#This Row],[Task Name]]="","",Tasks[[#This Row],[Forecast Finish]])</calculatedColumnFormula>
    </tableColumn>
    <tableColumn id="44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5" name="BL Source Work">
      <calculatedColumnFormula>IF(Tasks[[#This Row],[Task Name]]="","",Tasks[[#This Row],[Work]])</calculatedColumnFormula>
    </tableColumn>
    <tableColumn id="46" name="BL Source Cost">
      <calculatedColumnFormula>IF(Tasks[[#This Row],[Task Name]]="","",Tasks[[#This Row],[Cost]])</calculatedColumnFormula>
    </tableColumn>
    <tableColumn id="47" name="Baseline Start"/>
    <tableColumn id="48" name="Baseline Finish"/>
    <tableColumn id="49" name="Baseline Duration"/>
    <tableColumn id="50" name="Baseline Work"/>
    <tableColumn id="51" name="Baseline Cost"/>
    <tableColumn id="52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3" name="Work Var">
      <calculatedColumnFormula>IF(OR(Tasks[[#This Row],[Task Name]]="",Tasks[[#This Row],[Baseline Work]]=""),"",Tasks[[#This Row],[Work]]-N(Tasks[[#This Row],[Baseline Work]]))</calculatedColumnFormula>
    </tableColumn>
    <tableColumn id="54" name="Cost Var">
      <calculatedColumnFormula>IF(OR(Tasks[[#This Row],[Task Name]]="",Tasks[[#This Row],[Baseline Cost]]=""),"",Tasks[[#This Row],[Cost]]-N(Tasks[[#This Row],[Baseline Cost]]))</calculatedColumnFormula>
    </tableColumn>
    <tableColumn id="55" name="Budget">
      <calculatedColumnFormula>IF(Tasks[[#This Row],[Task Name]]="","",IF(Tasks[[#This Row],[_IsSummary]],SUM(INDEX(Tasks[_LeafBudget],Tasks[[#This Row],[_Row]]+1):INDEX(Tasks[_LeafBudget],Tasks[[#This Row],[_Row]]+Tasks[[#This Row],[_Descendants]])),Tasks[[#This Row],[_LeafBudget]]))</calculatedColumnFormula>
    </tableColumn>
    <tableColumn id="56" name="PV">
      <calculatedColumnFormula>IF(Tasks[[#This Row],[Task Name]]="","",IF(Tasks[[#This Row],[_IsSummary]],SUM(INDEX(Tasks[_LeafPV],Tasks[[#This Row],[_Row]]+1):INDEX(Tasks[_LeafPV],Tasks[[#This Row],[_Row]]+Tasks[[#This Row],[_Descendants]])),Tasks[[#This Row],[_LeafPV]]))</calculatedColumnFormula>
    </tableColumn>
    <tableColumn id="57" name="EV">
      <calculatedColumnFormula>IF(Tasks[[#This Row],[Task Name]]="","",IF(Tasks[[#This Row],[_IsSummary]],SUM(INDEX(Tasks[_LeafEV],Tasks[[#This Row],[_Row]]+1):INDEX(Tasks[_LeafEV],Tasks[[#This Row],[_Row]]+Tasks[[#This Row],[_Descendants]])),Tasks[[#This Row],[_LeafEV]]))</calculatedColumnFormula>
    </tableColumn>
    <tableColumn id="58" name="AC">
      <calculatedColumnFormula>IF(Tasks[[#This Row],[Task Name]]="","",IF(Tasks[[#This Row],[_IsSummary]],SUM(INDEX(Tasks[_LeafAC],Tasks[[#This Row],[_Row]]+1):INDEX(Tasks[_LeafAC],Tasks[[#This Row],[_Row]]+Tasks[[#This Row],[_Descendants]])),Tasks[[#This Row],[_LeafAC]]))</calculatedColumnFormula>
    </tableColumn>
    <tableColumn id="59" name="_Level">
      <calculatedColumnFormula>IF(Tasks[[#This Row],[Task Name]]="","",MAX(1,N(Tasks[[#This Row],[Level]])))</calculatedColumnFormula>
    </tableColumn>
    <tableColumn id="60" name="_Row">
      <calculatedColumnFormula>ROW()-ROW(Tasks[[#Headers],[ID]])</calculatedColumnFormula>
    </tableColumn>
    <tableColumn id="6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62" name="_NextLevel">
      <calculatedColumnFormula>IFERROR(N(INDEX(Tasks[_Level],Tasks[[#This Row],[_Row]]+1)),0)</calculatedColumnFormula>
    </tableColumn>
    <tableColumn id="63" name="_IsSummary">
      <calculatedColumnFormula>AND(Tasks[[#This Row],[Task Name]]&lt;&gt;"",Tasks[[#This Row],[_NextLevel]]&gt;Tasks[[#This Row],[_Level]])</calculatedColumnFormula>
    </tableColumn>
    <tableColumn id="64" name="_Descendants">
      <calculatedColumnFormula>IF(Tasks[[#This Row],[_IsSummary]],COUNTIF(Tasks[WBS],Tasks[[#This Row],[WBS]]&amp;".*"),0)</calculatedColumnFormula>
    </tableColumn>
    <tableColumn id="65" name="_IsLeaf">
      <calculatedColumnFormula>IF(AND(Tasks[[#This Row],[Task Name]]&lt;&gt;"",NOT(Tasks[[#This Row],[_IsSummary]])),1,0)</calculatedColumnFormula>
    </tableColumn>
    <tableColumn id="66" name="_Pred1Pos">
      <calculatedColumnFormula>IF(N(Tasks[[#This Row],[Pred1 UID]])=0,0,IFERROR(MATCH(Tasks[[#This Row],[Pred1 UID]],Tasks[UID],0),-1))</calculatedColumnFormula>
    </tableColumn>
    <tableColumn id="67" name="_Pred2Pos">
      <calculatedColumnFormula>IF(N(Tasks[[#This Row],[Pred2 UID]])=0,0,IFERROR(MATCH(Tasks[[#This Row],[Pred2 UID]],Tasks[UID],0),-1))</calculatedColumnFormula>
    </tableColumn>
    <tableColumn id="6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6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7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7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72" name="_LeafProgress">
      <calculatedColumnFormula>IF(NOT(Tasks[[#This Row],[_IsLeaf]]=1),0,IF(N(Tasks[[#This Row],[Actual Finish]])&gt;0,1,MIN(1,N(Tasks[[#This Row],[% Complete]]))))</calculatedColumnFormula>
    </tableColumn>
    <tableColumn id="7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74" name="_LeafCost">
      <calculatedColumnFormula>IF(Tasks[[#This Row],[_LeafWork]]=0,0,Tasks[[#This Row],[_LeafWork]]*IFERROR(INDEX(res_Rate,MATCH(Tasks[[#This Row],[Resource]],res_Name,0)),0))</calculatedColumnFormula>
    </tableColumn>
    <tableColumn id="75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6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7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78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79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80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81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82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83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84" name="_LeafCritical">
      <calculatedColumnFormula>AND(Tasks[[#This Row],[_IsLeaf]]=1,Tasks[[#This Row],[_LeafProgress]]&lt;1,N(Tasks[[#This Row],[_LeafTotalSlack]])&lt;=CriticalSlackDays)</calculatedColumnFormula>
    </tableColumn>
    <tableColumn id="8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8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8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9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9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9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9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9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6" name="_WorkBeforeStart">
      <calculatedColumnFormula>Tasks[[#This Row],[_WorkPerWorkday]]*(Tasks[[#This Row],[_StartWorkday]]-1)</calculatedColumnFormula>
    </tableColumn>
    <tableColumn id="97" name="_WeightDur">
      <calculatedColumnFormula>IF(Tasks[[#This Row],[_IsLeaf]]=1,MAX(N(Tasks[[#This Row],[Duration]]),0.1),0)</calculatedColumnFormula>
    </tableColumn>
    <tableColumn id="98" name="_WeightDone">
      <calculatedColumnFormula>Tasks[[#This Row],[_WeightDur]]*Tasks[[#This Row],[_LeafProgress]]</calculatedColumnFormula>
    </tableColumn>
    <tableColumn id="99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0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10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  <tableColumn id="105" name="_PlannedPct">
      <calculatedColumnFormula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calculatedColumnFormula>
    </tableColumn>
    <tableColumn id="106" name="_LeafBudget">
      <calculatedColumnFormula>IF(NOT(Tasks[[#This Row],[_IsLeaf]]=1),0,IF(Tasks[[#This Row],[Baseline Cost]]="",Tasks[[#This Row],[_LeafCost]],N(Tasks[[#This Row],[Baseline Cost]])))</calculatedColumnFormula>
    </tableColumn>
    <tableColumn id="107" name="_LeafPV">
      <calculatedColumnFormula>Tasks[[#This Row],[_LeafBudget]]*Tasks[[#This Row],[_PlannedPct]]</calculatedColumnFormula>
    </tableColumn>
    <tableColumn id="108" name="_LeafEV">
      <calculatedColumnFormula>Tasks[[#This Row],[_LeafBudget]]*Tasks[[#This Row],[_LeafProgress]]</calculatedColumnFormula>
    </tableColumn>
    <tableColumn id="109" name="_LeafAC">
      <calculatedColumnFormula>IF(NOT(Tasks[[#This Row],[_IsLeaf]]=1),0,IF(Tasks[[#This Row],[Actual Cost]]="",Tasks[[#This Row],[_LeafCost]]*Tasks[[#This Row],[_LeafProgress]],N(Tasks[[#This Row],[Actual Cost]])))</calculatedColumnFormula>
    </tableColumn>
    <tableColumn id="110" name="_Phase">
      <calculatedColumnFormula>IF(Tasks[[#This Row],[Task Name]]="","",LEFT(Tasks[[#This Row],[WBS]],FIND(".",Tasks[[#This Row],[WBS]]&amp;".")-1))</calculatedColumnFormula>
    </tableColumn>
    <tableColumn id="111" name="_PhaseKey">
      <calculatedColumnFormula>IF(AND(Tasks[[#This Row],[Task Name]]&lt;&gt;"",Tasks[[#This Row],[_Level]]=1),Tasks[[#This Row],[_Row]],"")</calculatedColumnFormula>
    </tableColumn>
    <tableColumn id="112" name="_MilestoneOrder">
      <calculatedColumnFormula>IF(AND(Tasks[[#This Row],[_IsLeaf]]=1,N(Tasks[[#This Row],[Duration]])=0),Tasks[[#This Row],[Planned Finish]]+Tasks[[#This Row],[_Row]]/100000,"")</calculatedColumnFormula>
    </tableColumn>
    <tableColumn id="113" name="_LateKey">
      <calculatedColumnFormula>IF(AND(Tasks[[#This Row],[_IsLeaf]]=1,Tasks[[#This Row],[_LeafProgress]]&lt;1,OR(N(Tasks[[#This Row],[Finish Var]])&gt;0,Tasks[[#This Row],[Status]]="Late Start")),MAX(0,Tasks[[#This Row],[Finish Var]])+1-Tasks[[#This Row],[_Row]]/1000000,"")</calculatedColumnFormula>
    </tableColumn>
    <tableColumn id="114" name="_StartSoonKey">
      <calculatedColumnFormula>IF(AND(Tasks[[#This Row],[_IsLeaf]]=1,N(Tasks[[#This Row],[Actual Start]])=0,Tasks[[#This Row],[_LeafFcstStart]]&gt;=StatusDate,Tasks[[#This Row],[_LeafFcstStart]]&lt;=LookaheadEnd),Tasks[[#This Row],[_LeafFcstStart]]+Tasks[[#This Row],[_Row]]/100000,"")</calculatedColumnFormula>
    </tableColumn>
    <tableColumn id="115" name="_DueSoonKey">
      <calculatedColumnFormula>IF(AND(Tasks[[#This Row],[_IsLeaf]]=1,Tasks[[#This Row],[_LeafProgress]]&lt;1,Tasks[[#This Row],[_LeafFcstFinish]]&gt;=StatusDate,Tasks[[#This Row],[_LeafFcstFinish]]&lt;=LookaheadEnd),Tasks[[#This Row],[_LeafFcstFinish]]+Tasks[[#This Row],[_Row]]/100000,"")</calculatedColumnFormula>
    </tableColumn>
    <tableColumn id="116" name="_CriticalKey">
      <calculatedColumnFormula>IF(Tasks[[#This Row],[_LeafCritical]],Tasks[[#This Row],[_LeafFcstStart]]+Tasks[[#This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<Relationship Id="rId3" Type="http://schemas.openxmlformats.org/officeDocument/2006/relationships/table" Target="../tables/table17.xml"/><Relationship Id="rId4" Type="http://schemas.openxmlformats.org/officeDocument/2006/relationships/table" Target="../tables/table2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table" Target="../tables/table18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Relationship Id="rId4" Type="http://schemas.openxmlformats.org/officeDocument/2006/relationships/table" Target="../tables/table2.xml"/><Relationship Id="rId5" Type="http://schemas.openxmlformats.org/officeDocument/2006/relationships/table" Target="../tables/table7.xml"/><Relationship Id="rId6" Type="http://schemas.openxmlformats.org/officeDocument/2006/relationships/table" Target="../tables/table14.xml"/><Relationship Id="rId7" Type="http://schemas.openxmlformats.org/officeDocument/2006/relationships/table" Target="../tables/table19.xml"/><Relationship Id="rId8" Type="http://schemas.openxmlformats.org/officeDocument/2006/relationships/table" Target="../tables/table2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0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Relationship Id="rId6" Type="http://schemas.openxmlformats.org/officeDocument/2006/relationships/table" Target="../tables/table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23.8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7" customFormat="false" ht="35.05" hidden="false" customHeight="false" outlineLevel="0" collapsed="false">
      <c r="B17" s="4" t="s">
        <v>23</v>
      </c>
      <c r="C17" s="5" t="s">
        <v>24</v>
      </c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35.05" hidden="false" customHeight="false" outlineLevel="0" collapsed="false">
      <c r="B19" s="4" t="s">
        <v>27</v>
      </c>
      <c r="C19" s="5" t="s">
        <v>28</v>
      </c>
    </row>
    <row r="21" customFormat="false" ht="15" hidden="false" customHeight="false" outlineLevel="0" collapsed="false">
      <c r="B21" s="2" t="s">
        <v>29</v>
      </c>
      <c r="C21" s="3"/>
    </row>
    <row r="22" customFormat="false" ht="15" hidden="false" customHeight="false" outlineLevel="0" collapsed="false">
      <c r="B22" s="4" t="s">
        <v>30</v>
      </c>
      <c r="C22" s="6" t="s">
        <v>31</v>
      </c>
    </row>
    <row r="23" customFormat="false" ht="15" hidden="false" customHeight="false" outlineLevel="0" collapsed="false">
      <c r="B23" s="4" t="s">
        <v>32</v>
      </c>
      <c r="C23" s="7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6" customFormat="false" ht="15" hidden="false" customHeight="false" outlineLevel="0" collapsed="false">
      <c r="B26" s="2" t="s">
        <v>36</v>
      </c>
      <c r="C26" s="3"/>
    </row>
    <row r="27" customFormat="false" ht="23.85" hidden="false" customHeight="false" outlineLevel="0" collapsed="false">
      <c r="B27" s="4" t="s">
        <v>37</v>
      </c>
      <c r="C27" s="5" t="s">
        <v>38</v>
      </c>
    </row>
    <row r="28" customFormat="false" ht="23.85" hidden="false" customHeight="false" outlineLevel="0" collapsed="false">
      <c r="B28" s="4" t="s">
        <v>39</v>
      </c>
      <c r="C28" s="5" t="s">
        <v>40</v>
      </c>
    </row>
    <row r="29" customFormat="false" ht="15" hidden="false" customHeight="false" outlineLevel="0" collapsed="false">
      <c r="B29" s="4" t="s">
        <v>41</v>
      </c>
      <c r="C29" s="5" t="s">
        <v>42</v>
      </c>
    </row>
    <row r="30" customFormat="false" ht="46.25" hidden="false" customHeight="false" outlineLevel="0" collapsed="false">
      <c r="B30" s="4" t="s">
        <v>43</v>
      </c>
      <c r="C30" s="5" t="s">
        <v>44</v>
      </c>
    </row>
    <row r="31" customFormat="false" ht="15" hidden="false" customHeight="false" outlineLevel="0" collapsed="false">
      <c r="B31" s="4" t="s">
        <v>45</v>
      </c>
      <c r="C31" s="5" t="s">
        <v>46</v>
      </c>
    </row>
    <row r="32" customFormat="false" ht="23.8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35.0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46.25" hidden="false" customHeight="false" outlineLevel="0" collapsed="false">
      <c r="B38" s="4" t="s">
        <v>56</v>
      </c>
      <c r="C38" s="5" t="s">
        <v>57</v>
      </c>
    </row>
    <row r="39" customFormat="false" ht="35.05" hidden="false" customHeight="false" outlineLevel="0" collapsed="false">
      <c r="B39" s="4" t="s">
        <v>58</v>
      </c>
      <c r="C39" s="5" t="s">
        <v>59</v>
      </c>
    </row>
    <row r="40" customFormat="false" ht="23.85" hidden="false" customHeight="false" outlineLevel="0" collapsed="false">
      <c r="B40" s="4" t="s">
        <v>60</v>
      </c>
      <c r="C40" s="5" t="s">
        <v>61</v>
      </c>
    </row>
    <row r="41" customFormat="false" ht="23.85" hidden="false" customHeight="false" outlineLevel="0" collapsed="false">
      <c r="B41" s="4" t="s">
        <v>62</v>
      </c>
      <c r="C41" s="5" t="s">
        <v>63</v>
      </c>
    </row>
    <row r="43" customFormat="false" ht="15" hidden="false" customHeight="false" outlineLevel="0" collapsed="false">
      <c r="B43" s="2" t="s">
        <v>64</v>
      </c>
      <c r="C43" s="3"/>
    </row>
    <row r="44" customFormat="false" ht="35.05" hidden="false" customHeight="false" outlineLevel="0" collapsed="false">
      <c r="B44" s="4" t="s">
        <v>65</v>
      </c>
      <c r="C44" s="5" t="s">
        <v>66</v>
      </c>
    </row>
    <row r="45" customFormat="false" ht="46.25" hidden="false" customHeight="false" outlineLevel="0" collapsed="false">
      <c r="B45" s="4" t="s">
        <v>67</v>
      </c>
      <c r="C45" s="5" t="s">
        <v>68</v>
      </c>
    </row>
    <row r="46" customFormat="false" ht="23.85" hidden="false" customHeight="false" outlineLevel="0" collapsed="false">
      <c r="B46" s="4" t="s">
        <v>69</v>
      </c>
      <c r="C46" s="5" t="s">
        <v>70</v>
      </c>
    </row>
    <row r="47" customFormat="false" ht="15" hidden="false" customHeight="false" outlineLevel="0" collapsed="false">
      <c r="B47" s="4" t="s">
        <v>71</v>
      </c>
      <c r="C47" s="5" t="s">
        <v>72</v>
      </c>
    </row>
    <row r="48" customFormat="false" ht="46.25" hidden="false" customHeight="false" outlineLevel="0" collapsed="false">
      <c r="B48" s="4" t="s">
        <v>73</v>
      </c>
      <c r="C48" s="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75</v>
      </c>
      <c r="C4" s="9" t="s">
        <v>76</v>
      </c>
      <c r="E4" s="9" t="s">
        <v>77</v>
      </c>
      <c r="F4" s="9" t="s">
        <v>78</v>
      </c>
    </row>
    <row r="5" customFormat="false" ht="15" hidden="false" customHeight="false" outlineLevel="0" collapsed="false">
      <c r="B5" s="10" t="s">
        <v>79</v>
      </c>
      <c r="C5" s="11" t="n">
        <f aca="false">MIN(tsk_PlanStart)</f>
        <v>0</v>
      </c>
      <c r="E5" s="12" t="s">
        <v>80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81</v>
      </c>
      <c r="C6" s="11" t="n">
        <f aca="false">MAX(tsk_PlanFinish)</f>
        <v>0</v>
      </c>
      <c r="E6" s="13" t="s">
        <v>82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83</v>
      </c>
      <c r="C7" s="11" t="n">
        <f aca="false">MAX(tsk_FcFinish)</f>
        <v>0</v>
      </c>
      <c r="E7" s="14" t="s">
        <v>84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85</v>
      </c>
      <c r="C8" s="15" t="n">
        <f aca="false">FinishVarianceDays</f>
        <v>-1</v>
      </c>
      <c r="E8" s="16" t="s">
        <v>86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87</v>
      </c>
      <c r="C9" s="17" t="n">
        <f aca="false">IFERROR(SUM(tsk_WtDone)/SUM(tsk_WtDur),0)</f>
        <v>0</v>
      </c>
      <c r="E9" s="18" t="s">
        <v>88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89</v>
      </c>
      <c r="C10" s="17" t="n">
        <f aca="false">IFERROR(SUMPRODUCT(tsk_WtDur,tsk_PlannedPct)/SUM(tsk_WtDur),0)</f>
        <v>0</v>
      </c>
    </row>
    <row r="11" customFormat="false" ht="15" hidden="false" customHeight="false" outlineLevel="0" collapsed="false">
      <c r="B11" s="10" t="s">
        <v>90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91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92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93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94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95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96</v>
      </c>
      <c r="C17" s="19" t="n">
        <f aca="false">COUNTIFS(tsk_Critical,"Yes",tsk_IsLeaf,1)</f>
        <v>0</v>
      </c>
    </row>
    <row r="18" customFormat="false" ht="15" hidden="false" customHeight="false" outlineLevel="0" collapsed="false">
      <c r="B18" s="10" t="s">
        <v>97</v>
      </c>
      <c r="C18" s="19" t="n">
        <f aca="false">COUNTIF(tsk_DeadlineCheck,"Late*")</f>
        <v>0</v>
      </c>
    </row>
    <row r="19" customFormat="false" ht="15" hidden="false" customHeight="false" outlineLevel="0" collapsed="false">
      <c r="B19" s="10" t="s">
        <v>98</v>
      </c>
      <c r="C19" s="19" t="n">
        <f aca="false">COUNTIF(tsk_LinkCheck,"?*")</f>
        <v>0</v>
      </c>
    </row>
    <row r="20" customFormat="false" ht="15" hidden="false" customHeight="false" outlineLevel="0" collapsed="false">
      <c r="B20" s="10" t="s">
        <v>99</v>
      </c>
      <c r="C20" s="22" t="str">
        <f aca="false">ProjectRAG</f>
        <v>Green</v>
      </c>
    </row>
    <row r="21" customFormat="false" ht="15" hidden="false" customHeight="false" outlineLevel="0" collapsed="false">
      <c r="B21" s="10" t="s">
        <v>100</v>
      </c>
      <c r="C21" s="23" t="str">
        <f aca="false">IF(evm_SPI="","-",evm_SPI)</f>
        <v>-</v>
      </c>
    </row>
    <row r="22" customFormat="false" ht="15" hidden="false" customHeight="false" outlineLevel="0" collapsed="false">
      <c r="B22" s="10" t="s">
        <v>101</v>
      </c>
      <c r="C22" s="23" t="str">
        <f aca="false">IF(evm_CPI="","-",evm_CPI)</f>
        <v>-</v>
      </c>
    </row>
    <row r="23" customFormat="false" ht="15" hidden="false" customHeight="false" outlineLevel="0" collapsed="false">
      <c r="B23" s="10" t="s">
        <v>102</v>
      </c>
      <c r="C23" s="21" t="n">
        <f aca="false">evm_EAC</f>
        <v>0</v>
      </c>
    </row>
    <row r="26" customFormat="false" ht="15" hidden="false" customHeight="false" outlineLevel="0" collapsed="false">
      <c r="B26" s="9" t="s">
        <v>103</v>
      </c>
      <c r="C26" s="9" t="s">
        <v>104</v>
      </c>
    </row>
    <row r="27" customFormat="false" ht="15" hidden="false" customHeight="false" outlineLevel="0" collapsed="false">
      <c r="B27" s="24" t="str">
        <f aca="false">IFERROR(INDEX(tsk_Name,MATCH(SMALL(tsk_MilestoneKey,(ROW()-ROW(NextMilestones[[#Headers],[Next milestones (forecast)]]))),tsk_MilestoneKey,0)),"")</f>
        <v/>
      </c>
      <c r="C27" s="25" t="str">
        <f aca="false">IFERROR(INDEX(tsk_FcFinish,MATCH(SMALL(tsk_MilestoneKey,(ROW()-ROW(NextMilestones[[#Headers],[Next milestones (forecast)]]))),tsk_MilestoneKey,0)),"")</f>
        <v/>
      </c>
    </row>
    <row r="28" customFormat="false" ht="15" hidden="false" customHeight="false" outlineLevel="0" collapsed="false">
      <c r="B28" s="24" t="str">
        <f aca="false">IFERROR(INDEX(tsk_Name,MATCH(SMALL(tsk_MilestoneKey,(ROW()-ROW(NextMilestones[[#Headers],[Next milestones (forecast)]]))),tsk_MilestoneKey,0)),"")</f>
        <v/>
      </c>
      <c r="C28" s="25" t="str">
        <f aca="false">IFERROR(INDEX(tsk_FcFinish,MATCH(SMALL(tsk_MilestoneKey,(ROW()-ROW(NextMilestones[[#Headers],[Next milestones (forecast)]]))),tsk_MilestoneKey,0)),"")</f>
        <v/>
      </c>
    </row>
    <row r="29" customFormat="false" ht="15" hidden="false" customHeight="false" outlineLevel="0" collapsed="false">
      <c r="B29" s="24" t="str">
        <f aca="false">IFERROR(INDEX(tsk_Name,MATCH(SMALL(tsk_MilestoneKey,(ROW()-ROW(NextMilestones[[#Headers],[Next milestones (forecast)]]))),tsk_MilestoneKey,0)),"")</f>
        <v/>
      </c>
      <c r="C29" s="25" t="str">
        <f aca="false">IFERROR(INDEX(tsk_FcFinish,MATCH(SMALL(tsk_MilestoneKey,(ROW()-ROW(NextMilestones[[#Headers],[Next milestones (forecast)]]))),tsk_MilestoneKey,0)),"")</f>
        <v/>
      </c>
    </row>
    <row r="30" customFormat="false" ht="15" hidden="false" customHeight="false" outlineLevel="0" collapsed="false">
      <c r="B30" s="24" t="str">
        <f aca="false">IFERROR(INDEX(tsk_Name,MATCH(SMALL(tsk_MilestoneKey,(ROW()-ROW(NextMilestones[[#Headers],[Next milestones (forecast)]]))),tsk_MilestoneKey,0)),"")</f>
        <v/>
      </c>
      <c r="C30" s="25" t="str">
        <f aca="false">IFERROR(INDEX(tsk_FcFinish,MATCH(SMALL(tsk_MilestoneKey,(ROW()-ROW(NextMilestones[[#Headers],[Next milestones (forecast)]]))),tsk_MilestoneKey,0)),"")</f>
        <v/>
      </c>
    </row>
    <row r="31" customFormat="false" ht="15" hidden="false" customHeight="false" outlineLevel="0" collapsed="false">
      <c r="B31" s="24" t="str">
        <f aca="false">IFERROR(INDEX(tsk_Name,MATCH(SMALL(tsk_MilestoneKey,(ROW()-ROW(NextMilestones[[#Headers],[Next milestones (forecast)]]))),tsk_MilestoneKey,0)),"")</f>
        <v/>
      </c>
      <c r="C31" s="25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1">
      <formula>C8&gt;0</formula>
    </cfRule>
    <cfRule type="expression" priority="3" aboveAverage="0" equalAverage="0" bottom="0" percent="0" rank="0" text="" dxfId="12">
      <formula>C8&lt;=0</formula>
    </cfRule>
  </conditionalFormatting>
  <conditionalFormatting sqref="C18">
    <cfRule type="expression" priority="4" aboveAverage="0" equalAverage="0" bottom="0" percent="0" rank="0" text="" dxfId="11">
      <formula>C18&gt;0</formula>
    </cfRule>
    <cfRule type="expression" priority="5" aboveAverage="0" equalAverage="0" bottom="0" percent="0" rank="0" text="" dxfId="12">
      <formula>C18&lt;=0</formula>
    </cfRule>
  </conditionalFormatting>
  <conditionalFormatting sqref="C19">
    <cfRule type="expression" priority="6" aboveAverage="0" equalAverage="0" bottom="0" percent="0" rank="0" text="" dxfId="11">
      <formula>C19&gt;0</formula>
    </cfRule>
    <cfRule type="expression" priority="7" aboveAverage="0" equalAverage="0" bottom="0" percent="0" rank="0" text="" dxfId="12">
      <formula>C19&lt;=0</formula>
    </cfRule>
  </conditionalFormatting>
  <conditionalFormatting sqref="C20">
    <cfRule type="expression" priority="8" aboveAverage="0" equalAverage="0" bottom="0" percent="0" rank="0" text="" dxfId="13">
      <formula>C20="Green"</formula>
    </cfRule>
    <cfRule type="expression" priority="9" aboveAverage="0" equalAverage="0" bottom="0" percent="0" rank="0" text="" dxfId="14">
      <formula>C20="Amber"</formula>
    </cfRule>
    <cfRule type="expression" priority="10" aboveAverage="0" equalAverage="0" bottom="0" percent="0" rank="0" text="" dxfId="15">
      <formula>C20="Red"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26" t="str">
        <f aca="false">ProjectName&amp;"  -  Status Report"</f>
        <v>New Project  -  Status Report</v>
      </c>
    </row>
    <row r="2" customFormat="false" ht="15" hidden="false" customHeight="false" outlineLevel="0" collapsed="false">
      <c r="A2" s="0" t="str">
        <f aca="false">"Status date "&amp;TEXT(StatusDate,"ddd dd-mmm-yyyy")&amp;"   Project manager: "&amp;ProjectManager&amp;"   Forecast finish "&amp;TEXT(ProjectFinish,"ddd dd-mmm-yyyy")&amp;" ("&amp;TEXT(FinishVarianceDays,"+0;-0;0")&amp;" working days vs plan)"</f>
        <v>Status date Sun 31-Dec-1899   Project manager:    Forecast finish Sat 30-Dec-1899 (-1 working days vs plan)</v>
      </c>
    </row>
    <row r="4" customFormat="false" ht="15" hidden="false" customHeight="false" outlineLevel="0" collapsed="false">
      <c r="B4" s="9" t="s">
        <v>105</v>
      </c>
      <c r="C4" s="9" t="s">
        <v>106</v>
      </c>
      <c r="D4" s="9" t="s">
        <v>76</v>
      </c>
      <c r="E4" s="9" t="s">
        <v>107</v>
      </c>
      <c r="F4" s="27" t="s">
        <v>108</v>
      </c>
      <c r="G4" s="9" t="s">
        <v>109</v>
      </c>
      <c r="H4" s="27" t="s">
        <v>110</v>
      </c>
    </row>
    <row r="5" customFormat="false" ht="15" hidden="false" customHeight="false" outlineLevel="0" collapsed="false">
      <c r="B5" s="10" t="s">
        <v>111</v>
      </c>
      <c r="C5" s="24" t="s">
        <v>112</v>
      </c>
      <c r="D5" s="24" t="str">
        <f aca="false">COUNTIF(StatusRAG[RAG],"Red")&amp;" red, "&amp;COUNTIF(StatusRAG[RAG],"Amber")&amp;" amber"</f>
        <v>0 red, 0 amber</v>
      </c>
      <c r="E5" s="28" t="str">
        <f aca="false">CHOOSE(MAX(IF(COUNTIF(StatusRAG[RAG],"Red")&gt;0,2,0),IF(COUNTIF(StatusRAG[RAG],"Amber")&gt;0,1,0))+1,"Green","Amber","Red")</f>
        <v>Green</v>
      </c>
      <c r="F5" s="29"/>
      <c r="G5" s="28" t="str">
        <f aca="false">IF(OverallStatus[[#This Row],[PM RAG]]&lt;&gt;"",OverallStatus[[#This Row],[PM RAG]],OverallStatus[[#This Row],[Calculated]])</f>
        <v>Green</v>
      </c>
      <c r="H5" s="30"/>
    </row>
    <row r="6" customFormat="false" ht="15" hidden="false" customHeight="false" outlineLevel="0" collapsed="false">
      <c r="B6" s="31"/>
    </row>
    <row r="7" customFormat="false" ht="15" hidden="false" customHeight="false" outlineLevel="0" collapsed="false">
      <c r="B7" s="32" t="s">
        <v>105</v>
      </c>
      <c r="C7" s="9" t="s">
        <v>106</v>
      </c>
      <c r="D7" s="9" t="s">
        <v>76</v>
      </c>
      <c r="E7" s="9" t="s">
        <v>107</v>
      </c>
      <c r="F7" s="27" t="s">
        <v>108</v>
      </c>
      <c r="G7" s="9" t="s">
        <v>109</v>
      </c>
      <c r="H7" s="27" t="s">
        <v>110</v>
      </c>
    </row>
    <row r="8" customFormat="false" ht="15" hidden="false" customHeight="false" outlineLevel="0" collapsed="false">
      <c r="B8" s="10" t="s">
        <v>113</v>
      </c>
      <c r="C8" s="24" t="s">
        <v>114</v>
      </c>
      <c r="D8" s="33" t="n">
        <f aca="false">FinishVarianceDays</f>
        <v>-1</v>
      </c>
      <c r="E8" s="28" t="str">
        <f aca="false">CHOOSE(IF(N(StatusRAG[[#This Row],[Value]])&gt;=RAGRedSlipDays,2,IF(N(StatusRAG[[#This Row],[Value]])&gt;=RAGAmberSlipDays,1,0))+1,"Green","Amber","Red")</f>
        <v>Green</v>
      </c>
      <c r="F8" s="29"/>
      <c r="G8" s="28" t="str">
        <f aca="false">IF(StatusRAG[[#This Row],[PM RAG]]&lt;&gt;"",StatusRAG[[#This Row],[PM RAG]],StatusRAG[[#This Row],[Calculated]])</f>
        <v>Green</v>
      </c>
      <c r="H8" s="30"/>
    </row>
    <row r="9" customFormat="false" ht="15" hidden="false" customHeight="false" outlineLevel="0" collapsed="false">
      <c r="B9" s="10" t="s">
        <v>115</v>
      </c>
      <c r="C9" s="24" t="s">
        <v>116</v>
      </c>
      <c r="D9" s="34" t="str">
        <f aca="false">evm_SPI</f>
        <v/>
      </c>
      <c r="E9" s="28" t="str">
        <f aca="false">CHOOSE(IF(ISNUMBER(StatusRAG[[#This Row],[Value]]),IF(StatusRAG[[#This Row],[Value]]&lt;RAGRedIndex,2,IF(StatusRAG[[#This Row],[Value]]&lt;RAGAmberIndex,1,0)),0)+1,"Green","Amber","Red")</f>
        <v>Green</v>
      </c>
      <c r="F9" s="29"/>
      <c r="G9" s="28" t="str">
        <f aca="false">IF(StatusRAG[[#This Row],[PM RAG]]&lt;&gt;"",StatusRAG[[#This Row],[PM RAG]],StatusRAG[[#This Row],[Calculated]])</f>
        <v>Green</v>
      </c>
      <c r="H9" s="30"/>
    </row>
    <row r="10" customFormat="false" ht="15" hidden="false" customHeight="false" outlineLevel="0" collapsed="false">
      <c r="B10" s="10" t="s">
        <v>117</v>
      </c>
      <c r="C10" s="24" t="s">
        <v>118</v>
      </c>
      <c r="D10" s="34" t="str">
        <f aca="false">evm_CPI</f>
        <v/>
      </c>
      <c r="E10" s="28" t="str">
        <f aca="false">CHOOSE(IF(ISNUMBER(StatusRAG[[#This Row],[Value]]),IF(StatusRAG[[#This Row],[Value]]&lt;RAGRedIndex,2,IF(StatusRAG[[#This Row],[Value]]&lt;RAGAmberIndex,1,0)),0)+1,"Green","Amber","Red")</f>
        <v>Green</v>
      </c>
      <c r="F10" s="29"/>
      <c r="G10" s="28" t="str">
        <f aca="false">IF(StatusRAG[[#This Row],[PM RAG]]&lt;&gt;"",StatusRAG[[#This Row],[PM RAG]],StatusRAG[[#This Row],[Calculated]])</f>
        <v>Green</v>
      </c>
      <c r="H10" s="30"/>
    </row>
    <row r="11" customFormat="false" ht="15" hidden="false" customHeight="false" outlineLevel="0" collapsed="false">
      <c r="B11" s="10" t="s">
        <v>119</v>
      </c>
      <c r="C11" s="24" t="s">
        <v>120</v>
      </c>
      <c r="D11" s="35" t="n">
        <f aca="false">COUNTIF(tsk_DeadlineCheck,"Late*")</f>
        <v>0</v>
      </c>
      <c r="E11" s="28" t="str">
        <f aca="false">CHOOSE(IF(N(StatusRAG[[#This Row],[Value]])&gt;0,2,0)+1,"Green","Amber","Red")</f>
        <v>Green</v>
      </c>
      <c r="F11" s="29"/>
      <c r="G11" s="28" t="str">
        <f aca="false">IF(StatusRAG[[#This Row],[PM RAG]]&lt;&gt;"",StatusRAG[[#This Row],[PM RAG]],StatusRAG[[#This Row],[Calculated]])</f>
        <v>Green</v>
      </c>
      <c r="H11" s="30"/>
    </row>
    <row r="12" customFormat="false" ht="15" hidden="false" customHeight="false" outlineLevel="0" collapsed="false">
      <c r="B12" s="10" t="s">
        <v>15</v>
      </c>
      <c r="C12" s="24" t="s">
        <v>121</v>
      </c>
      <c r="D12" s="35" t="n">
        <f aca="false">COUNTIFS(tsk_Critical,"Yes",tsk_IsLeaf,1,tsk_Variance,"&gt;0")</f>
        <v>0</v>
      </c>
      <c r="E12" s="28" t="str">
        <f aca="false">CHOOSE(IF(N(StatusRAG[[#This Row],[Value]])&gt;0,1,0)+1,"Green","Amber","Red")</f>
        <v>Green</v>
      </c>
      <c r="F12" s="29"/>
      <c r="G12" s="28" t="str">
        <f aca="false">IF(StatusRAG[[#This Row],[PM RAG]]&lt;&gt;"",StatusRAG[[#This Row],[PM RAG]],StatusRAG[[#This Row],[Calculated]])</f>
        <v>Green</v>
      </c>
      <c r="H12" s="30"/>
    </row>
    <row r="13" customFormat="false" ht="15" hidden="false" customHeight="false" outlineLevel="0" collapsed="false">
      <c r="B13" s="10" t="s">
        <v>122</v>
      </c>
      <c r="C13" s="24" t="s">
        <v>123</v>
      </c>
      <c r="D13" s="35" t="n">
        <f aca="false">COUNTIF(tsk_LinkCheck,"?*")+COUNTIF(tsk_WBS,"~?")</f>
        <v>0</v>
      </c>
      <c r="E13" s="28" t="str">
        <f aca="false">CHOOSE(IF(N(StatusRAG[[#This Row],[Value]])&gt;0,1,0)+1,"Green","Amber","Red")</f>
        <v>Green</v>
      </c>
      <c r="F13" s="29"/>
      <c r="G13" s="28" t="str">
        <f aca="false">IF(StatusRAG[[#This Row],[PM RAG]]&lt;&gt;"",StatusRAG[[#This Row],[PM RAG]],StatusRAG[[#This Row],[Calculated]])</f>
        <v>Green</v>
      </c>
      <c r="H13" s="30"/>
    </row>
    <row r="15" customFormat="false" ht="15" hidden="false" customHeight="false" outlineLevel="0" collapsed="false">
      <c r="B15" s="36" t="s">
        <v>124</v>
      </c>
    </row>
    <row r="16" customFormat="false" ht="15" hidden="false" customHeight="false" outlineLevel="0" collapsed="false">
      <c r="B16" s="9" t="s">
        <v>106</v>
      </c>
      <c r="C16" s="9" t="s">
        <v>125</v>
      </c>
      <c r="D16" s="9" t="s">
        <v>76</v>
      </c>
    </row>
    <row r="17" customFormat="false" ht="15" hidden="false" customHeight="false" outlineLevel="0" collapsed="false">
      <c r="B17" s="24" t="s">
        <v>126</v>
      </c>
      <c r="C17" s="24" t="s">
        <v>127</v>
      </c>
      <c r="D17" s="37" t="n">
        <f aca="false">SUM(tsk_LeafBudget)</f>
        <v>0</v>
      </c>
    </row>
    <row r="18" customFormat="false" ht="15" hidden="false" customHeight="false" outlineLevel="0" collapsed="false">
      <c r="B18" s="24" t="s">
        <v>128</v>
      </c>
      <c r="C18" s="24" t="s">
        <v>129</v>
      </c>
      <c r="D18" s="37" t="n">
        <f aca="false">SUM(tsk_LeafPV)</f>
        <v>0</v>
      </c>
    </row>
    <row r="19" customFormat="false" ht="15" hidden="false" customHeight="false" outlineLevel="0" collapsed="false">
      <c r="B19" s="24" t="s">
        <v>130</v>
      </c>
      <c r="C19" s="24" t="s">
        <v>131</v>
      </c>
      <c r="D19" s="37" t="n">
        <f aca="false">SUM(tsk_LeafEV)</f>
        <v>0</v>
      </c>
    </row>
    <row r="20" customFormat="false" ht="15" hidden="false" customHeight="false" outlineLevel="0" collapsed="false">
      <c r="B20" s="24" t="s">
        <v>132</v>
      </c>
      <c r="C20" s="24" t="s">
        <v>133</v>
      </c>
      <c r="D20" s="37" t="n">
        <f aca="false">SUM(tsk_LeafAC)</f>
        <v>0</v>
      </c>
    </row>
    <row r="21" customFormat="false" ht="15" hidden="false" customHeight="false" outlineLevel="0" collapsed="false">
      <c r="B21" s="24" t="s">
        <v>134</v>
      </c>
      <c r="C21" s="24" t="s">
        <v>135</v>
      </c>
      <c r="D21" s="37" t="n">
        <f aca="false">evm_EV-evm_PV</f>
        <v>0</v>
      </c>
    </row>
    <row r="22" customFormat="false" ht="15" hidden="false" customHeight="false" outlineLevel="0" collapsed="false">
      <c r="B22" s="24" t="s">
        <v>136</v>
      </c>
      <c r="C22" s="24" t="s">
        <v>137</v>
      </c>
      <c r="D22" s="37" t="n">
        <f aca="false">evm_EV-evm_AC</f>
        <v>0</v>
      </c>
    </row>
    <row r="23" customFormat="false" ht="15" hidden="false" customHeight="false" outlineLevel="0" collapsed="false">
      <c r="B23" s="24" t="s">
        <v>138</v>
      </c>
      <c r="C23" s="24" t="s">
        <v>139</v>
      </c>
      <c r="D23" s="38" t="str">
        <f aca="false">IF(evm_PV&gt;0,evm_EV/evm_PV,"")</f>
        <v/>
      </c>
    </row>
    <row r="24" customFormat="false" ht="15" hidden="false" customHeight="false" outlineLevel="0" collapsed="false">
      <c r="B24" s="24" t="s">
        <v>140</v>
      </c>
      <c r="C24" s="24" t="s">
        <v>141</v>
      </c>
      <c r="D24" s="38" t="str">
        <f aca="false">IF(evm_AC&gt;0,evm_EV/evm_AC,"")</f>
        <v/>
      </c>
    </row>
    <row r="25" customFormat="false" ht="15" hidden="false" customHeight="false" outlineLevel="0" collapsed="false">
      <c r="B25" s="24" t="s">
        <v>142</v>
      </c>
      <c r="C25" s="24" t="s">
        <v>143</v>
      </c>
      <c r="D25" s="37" t="n">
        <f aca="false">IF(N(evm_CPI)&gt;0,evm_AC+(evm_BAC-evm_EV)/evm_CPI,evm_AC+evm_BAC-evm_EV)</f>
        <v>0</v>
      </c>
    </row>
    <row r="26" customFormat="false" ht="15" hidden="false" customHeight="false" outlineLevel="0" collapsed="false">
      <c r="B26" s="24" t="s">
        <v>144</v>
      </c>
      <c r="C26" s="24" t="s">
        <v>145</v>
      </c>
      <c r="D26" s="37" t="n">
        <f aca="false">evm_EAC-evm_AC</f>
        <v>0</v>
      </c>
    </row>
    <row r="27" customFormat="false" ht="15" hidden="false" customHeight="false" outlineLevel="0" collapsed="false">
      <c r="B27" s="24" t="s">
        <v>146</v>
      </c>
      <c r="C27" s="24" t="s">
        <v>147</v>
      </c>
      <c r="D27" s="37" t="n">
        <f aca="false">evm_BAC-evm_EAC</f>
        <v>0</v>
      </c>
    </row>
    <row r="28" customFormat="false" ht="15" hidden="false" customHeight="false" outlineLevel="0" collapsed="false">
      <c r="B28" s="24" t="s">
        <v>148</v>
      </c>
      <c r="C28" s="24" t="s">
        <v>149</v>
      </c>
      <c r="D28" s="38" t="str">
        <f aca="false">IF(evm_BAC&gt;evm_AC,(evm_BAC-evm_EV)/(evm_BAC-evm_AC),"")</f>
        <v/>
      </c>
    </row>
    <row r="29" customFormat="false" ht="15" hidden="false" customHeight="false" outlineLevel="0" collapsed="false">
      <c r="B29" s="24" t="s">
        <v>150</v>
      </c>
      <c r="C29" s="24" t="s">
        <v>151</v>
      </c>
      <c r="D29" s="39" t="n">
        <f aca="false">IF(evm_BAC&gt;0,evm_EV/evm_BAC,0)</f>
        <v>0</v>
      </c>
    </row>
    <row r="30" customFormat="false" ht="15" hidden="false" customHeight="false" outlineLevel="0" collapsed="false">
      <c r="B30" s="24" t="s">
        <v>152</v>
      </c>
      <c r="C30" s="24" t="s">
        <v>153</v>
      </c>
      <c r="D30" s="39" t="n">
        <f aca="false">IF(evm_BAC&gt;0,evm_PV/evm_BAC,0)</f>
        <v>0</v>
      </c>
    </row>
    <row r="32" customFormat="false" ht="15" hidden="false" customHeight="false" outlineLevel="0" collapsed="false">
      <c r="B32" s="36" t="s">
        <v>154</v>
      </c>
    </row>
    <row r="33" customFormat="false" ht="15" hidden="false" customHeight="false" outlineLevel="0" collapsed="false">
      <c r="B33" s="9" t="s">
        <v>155</v>
      </c>
      <c r="C33" s="27" t="s">
        <v>156</v>
      </c>
    </row>
    <row r="34" customFormat="false" ht="36" hidden="false" customHeight="true" outlineLevel="0" collapsed="false">
      <c r="B34" s="40" t="s">
        <v>157</v>
      </c>
      <c r="C34" s="41"/>
    </row>
    <row r="35" customFormat="false" ht="36" hidden="false" customHeight="true" outlineLevel="0" collapsed="false">
      <c r="B35" s="40" t="s">
        <v>158</v>
      </c>
      <c r="C35" s="41"/>
    </row>
    <row r="36" customFormat="false" ht="36" hidden="false" customHeight="true" outlineLevel="0" collapsed="false">
      <c r="B36" s="40" t="s">
        <v>159</v>
      </c>
      <c r="C36" s="41"/>
    </row>
    <row r="37" customFormat="false" ht="36" hidden="false" customHeight="true" outlineLevel="0" collapsed="false">
      <c r="B37" s="40" t="s">
        <v>160</v>
      </c>
      <c r="C37" s="41"/>
    </row>
    <row r="38" customFormat="false" ht="36" hidden="false" customHeight="true" outlineLevel="0" collapsed="false">
      <c r="B38" s="40" t="s">
        <v>161</v>
      </c>
      <c r="C38" s="41"/>
    </row>
    <row r="39" customFormat="false" ht="36" hidden="false" customHeight="true" outlineLevel="0" collapsed="false">
      <c r="B39" s="40" t="s">
        <v>162</v>
      </c>
      <c r="C39" s="41"/>
    </row>
  </sheetData>
  <conditionalFormatting sqref="E5:G13">
    <cfRule type="expression" priority="2" aboveAverage="0" equalAverage="0" bottom="0" percent="0" rank="0" text="" dxfId="13">
      <formula>E5="Green"</formula>
    </cfRule>
    <cfRule type="expression" priority="3" aboveAverage="0" equalAverage="0" bottom="0" percent="0" rank="0" text="" dxfId="14">
      <formula>E5="Amber"</formula>
    </cfRule>
    <cfRule type="expression" priority="4" aboveAverage="0" equalAverage="0" bottom="0" percent="0" rank="0" text="" dxfId="15">
      <formula>E5="Red"</formula>
    </cfRule>
  </conditionalFormatting>
  <dataValidations count="1">
    <dataValidation allowBlank="false" errorStyle="stop" operator="between" showDropDown="false" showErrorMessage="false" showInputMessage="false" sqref="F5 F8:F13" type="list">
      <formula1>L_RAG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4" min="13" style="0" width="8"/>
    <col collapsed="false" customWidth="true" hidden="false" outlineLevel="0" max="16" min="15" style="0" width="9"/>
  </cols>
  <sheetData>
    <row r="1" customFormat="false" ht="19.7" hidden="false" customHeight="false" outlineLevel="0" collapsed="false">
      <c r="A1" s="26" t="str">
        <f aca="false">ProjectName&amp;"  -  Schedule Report"</f>
        <v>New Project  -  Schedule Report</v>
      </c>
    </row>
    <row r="2" customFormat="false" ht="15" hidden="false" customHeight="false" outlineLevel="0" collapsed="false">
      <c r="A2" s="0" t="str">
        <f aca="false">"Status date "&amp;TEXT(StatusDate,"ddd dd-mmm-yyyy")&amp;"   Forecast finish "&amp;TEXT(ProjectFinish,"ddd dd-mmm-yyyy")&amp;" ("&amp;TEXT(FinishVarianceDays,"+0;-0;0")&amp;" working days vs plan)"</f>
        <v>Status date Sun 31-Dec-1899   Forecast finish Sat 30-Dec-1899 (-1 working days vs plan)</v>
      </c>
    </row>
    <row r="4" customFormat="false" ht="15" hidden="false" customHeight="false" outlineLevel="0" collapsed="false">
      <c r="C4" s="36" t="str">
        <f aca="false">"Phases (outline level 1)"&amp;": "&amp;COUNT(tsk_PhaseKey)&amp;IF(COUNT(tsk_PhaseKey)&gt;ROWS(PhaseSummary[_Task])," (showing the first "&amp;ROWS(PhaseSummary[_Task])&amp;")","")</f>
        <v>Phases (outline level 1): 0</v>
      </c>
    </row>
    <row r="5" customFormat="false" ht="23.85" hidden="false" customHeight="false" outlineLevel="0" collapsed="false">
      <c r="B5" s="42" t="s">
        <v>163</v>
      </c>
      <c r="C5" s="9" t="s">
        <v>164</v>
      </c>
      <c r="D5" s="9" t="s">
        <v>165</v>
      </c>
      <c r="E5" s="9" t="s">
        <v>166</v>
      </c>
      <c r="F5" s="9" t="s">
        <v>167</v>
      </c>
      <c r="G5" s="9" t="s">
        <v>168</v>
      </c>
      <c r="H5" s="9" t="s">
        <v>169</v>
      </c>
      <c r="I5" s="9" t="s">
        <v>170</v>
      </c>
      <c r="J5" s="9" t="s">
        <v>171</v>
      </c>
      <c r="K5" s="9" t="s">
        <v>172</v>
      </c>
      <c r="L5" s="9" t="s">
        <v>173</v>
      </c>
      <c r="M5" s="9" t="s">
        <v>174</v>
      </c>
      <c r="N5" s="9" t="s">
        <v>175</v>
      </c>
      <c r="O5" s="9" t="s">
        <v>176</v>
      </c>
      <c r="P5" s="9" t="s">
        <v>109</v>
      </c>
    </row>
    <row r="6" customFormat="false" ht="15" hidden="false" customHeight="false" outlineLevel="0" collapsed="false">
      <c r="B6" s="43" t="str">
        <f aca="false">IFERROR(MATCH(SMALL(tsk_PhaseKey,ROW()-ROW(PhaseSummary[[#Headers],[_Task]])),tsk_PhaseKey,0),"")</f>
        <v/>
      </c>
      <c r="C6" s="24" t="str">
        <f aca="false">IF(PhaseSummary[[#This Row],[_Task]]="","",INDEX(tsk_WBS,PhaseSummary[[#This Row],[_Task]])&amp;"")</f>
        <v/>
      </c>
      <c r="D6" s="24" t="str">
        <f aca="false">IF(PhaseSummary[[#This Row],[_Task]]="","",INDEX(tsk_Name,PhaseSummary[[#This Row],[_Task]])&amp;"")</f>
        <v/>
      </c>
      <c r="E6" s="44" t="str">
        <f aca="false">IF(PhaseSummary[[#This Row],[_Task]]="","",IF(N(INDEX(tsk_PlanFinish,PhaseSummary[[#This Row],[_Task]]))=0,"",INDEX(tsk_PlanFinish,PhaseSummary[[#This Row],[_Task]])))</f>
        <v/>
      </c>
      <c r="F6" s="44" t="str">
        <f aca="false">IF(PhaseSummary[[#This Row],[_Task]]="","",IF(N(INDEX(tsk_FcFinish,PhaseSummary[[#This Row],[_Task]]))=0,"",INDEX(tsk_FcFinish,PhaseSummary[[#This Row],[_Task]])))</f>
        <v/>
      </c>
      <c r="G6" s="45" t="str">
        <f aca="false">IF(PhaseSummary[[#This Row],[_Task]]="","",INDEX(tsk_Variance,PhaseSummary[[#This Row],[_Task]]))</f>
        <v/>
      </c>
      <c r="H6" s="46" t="str">
        <f aca="false">IF(PhaseSummary[[#This Row],[_Task]]="","",INDEX(tsk_Progress,PhaseSummary[[#This Row],[_Task]]))</f>
        <v/>
      </c>
      <c r="I6" s="47" t="str">
        <f aca="false">IF(PhaseSummary[[#This Row],[_Task]]="","",INDEX(tsk_Budget,PhaseSummary[[#This Row],[_Task]]))</f>
        <v/>
      </c>
      <c r="J6" s="47" t="str">
        <f aca="false">IF(PhaseSummary[[#This Row],[_Task]]="","",INDEX(tsk_PV,PhaseSummary[[#This Row],[_Task]]))</f>
        <v/>
      </c>
      <c r="K6" s="47" t="str">
        <f aca="false">IF(PhaseSummary[[#This Row],[_Task]]="","",INDEX(tsk_EV,PhaseSummary[[#This Row],[_Task]]))</f>
        <v/>
      </c>
      <c r="L6" s="47" t="str">
        <f aca="false">IF(PhaseSummary[[#This Row],[_Task]]="","",INDEX(tsk_AC,PhaseSummary[[#This Row],[_Task]]))</f>
        <v/>
      </c>
      <c r="M6" s="48" t="str">
        <f aca="false">IF(PhaseSummary[[#This Row],[_Task]]="","",IF(N(PhaseSummary[[#This Row],[PV]])&gt;0,PhaseSummary[[#This Row],[EV]]/PhaseSummary[[#This Row],[PV]],""))</f>
        <v/>
      </c>
      <c r="N6" s="48" t="str">
        <f aca="false">IF(PhaseSummary[[#This Row],[_Task]]="","",IF(N(PhaseSummary[[#This Row],[AC]])&gt;0,PhaseSummary[[#This Row],[EV]]/PhaseSummary[[#This Row],[AC]],""))</f>
        <v/>
      </c>
      <c r="O6" s="49" t="str">
        <f aca="false">IF(PhaseSummary[[#This Row],[_Task]]="","",COUNTIFS(tsk_Phase,PhaseSummary[[#This Row],[WBS]],tsk_Critical,"Yes",tsk_IsLeaf,1))</f>
        <v/>
      </c>
      <c r="P6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7" customFormat="false" ht="15" hidden="false" customHeight="false" outlineLevel="0" collapsed="false">
      <c r="B7" s="43" t="str">
        <f aca="false">IFERROR(MATCH(SMALL(tsk_PhaseKey,ROW()-ROW(PhaseSummary[[#Headers],[_Task]])),tsk_PhaseKey,0),"")</f>
        <v/>
      </c>
      <c r="C7" s="24" t="str">
        <f aca="false">IF(PhaseSummary[[#This Row],[_Task]]="","",INDEX(tsk_WBS,PhaseSummary[[#This Row],[_Task]])&amp;"")</f>
        <v/>
      </c>
      <c r="D7" s="24" t="str">
        <f aca="false">IF(PhaseSummary[[#This Row],[_Task]]="","",INDEX(tsk_Name,PhaseSummary[[#This Row],[_Task]])&amp;"")</f>
        <v/>
      </c>
      <c r="E7" s="44" t="str">
        <f aca="false">IF(PhaseSummary[[#This Row],[_Task]]="","",IF(N(INDEX(tsk_PlanFinish,PhaseSummary[[#This Row],[_Task]]))=0,"",INDEX(tsk_PlanFinish,PhaseSummary[[#This Row],[_Task]])))</f>
        <v/>
      </c>
      <c r="F7" s="44" t="str">
        <f aca="false">IF(PhaseSummary[[#This Row],[_Task]]="","",IF(N(INDEX(tsk_FcFinish,PhaseSummary[[#This Row],[_Task]]))=0,"",INDEX(tsk_FcFinish,PhaseSummary[[#This Row],[_Task]])))</f>
        <v/>
      </c>
      <c r="G7" s="45" t="str">
        <f aca="false">IF(PhaseSummary[[#This Row],[_Task]]="","",INDEX(tsk_Variance,PhaseSummary[[#This Row],[_Task]]))</f>
        <v/>
      </c>
      <c r="H7" s="46" t="str">
        <f aca="false">IF(PhaseSummary[[#This Row],[_Task]]="","",INDEX(tsk_Progress,PhaseSummary[[#This Row],[_Task]]))</f>
        <v/>
      </c>
      <c r="I7" s="47" t="str">
        <f aca="false">IF(PhaseSummary[[#This Row],[_Task]]="","",INDEX(tsk_Budget,PhaseSummary[[#This Row],[_Task]]))</f>
        <v/>
      </c>
      <c r="J7" s="47" t="str">
        <f aca="false">IF(PhaseSummary[[#This Row],[_Task]]="","",INDEX(tsk_PV,PhaseSummary[[#This Row],[_Task]]))</f>
        <v/>
      </c>
      <c r="K7" s="47" t="str">
        <f aca="false">IF(PhaseSummary[[#This Row],[_Task]]="","",INDEX(tsk_EV,PhaseSummary[[#This Row],[_Task]]))</f>
        <v/>
      </c>
      <c r="L7" s="47" t="str">
        <f aca="false">IF(PhaseSummary[[#This Row],[_Task]]="","",INDEX(tsk_AC,PhaseSummary[[#This Row],[_Task]]))</f>
        <v/>
      </c>
      <c r="M7" s="48" t="str">
        <f aca="false">IF(PhaseSummary[[#This Row],[_Task]]="","",IF(N(PhaseSummary[[#This Row],[PV]])&gt;0,PhaseSummary[[#This Row],[EV]]/PhaseSummary[[#This Row],[PV]],""))</f>
        <v/>
      </c>
      <c r="N7" s="48" t="str">
        <f aca="false">IF(PhaseSummary[[#This Row],[_Task]]="","",IF(N(PhaseSummary[[#This Row],[AC]])&gt;0,PhaseSummary[[#This Row],[EV]]/PhaseSummary[[#This Row],[AC]],""))</f>
        <v/>
      </c>
      <c r="O7" s="49" t="str">
        <f aca="false">IF(PhaseSummary[[#This Row],[_Task]]="","",COUNTIFS(tsk_Phase,PhaseSummary[[#This Row],[WBS]],tsk_Critical,"Yes",tsk_IsLeaf,1))</f>
        <v/>
      </c>
      <c r="P7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8" customFormat="false" ht="15" hidden="false" customHeight="false" outlineLevel="0" collapsed="false">
      <c r="B8" s="43" t="str">
        <f aca="false">IFERROR(MATCH(SMALL(tsk_PhaseKey,ROW()-ROW(PhaseSummary[[#Headers],[_Task]])),tsk_PhaseKey,0),"")</f>
        <v/>
      </c>
      <c r="C8" s="24" t="str">
        <f aca="false">IF(PhaseSummary[[#This Row],[_Task]]="","",INDEX(tsk_WBS,PhaseSummary[[#This Row],[_Task]])&amp;"")</f>
        <v/>
      </c>
      <c r="D8" s="24" t="str">
        <f aca="false">IF(PhaseSummary[[#This Row],[_Task]]="","",INDEX(tsk_Name,PhaseSummary[[#This Row],[_Task]])&amp;"")</f>
        <v/>
      </c>
      <c r="E8" s="44" t="str">
        <f aca="false">IF(PhaseSummary[[#This Row],[_Task]]="","",IF(N(INDEX(tsk_PlanFinish,PhaseSummary[[#This Row],[_Task]]))=0,"",INDEX(tsk_PlanFinish,PhaseSummary[[#This Row],[_Task]])))</f>
        <v/>
      </c>
      <c r="F8" s="44" t="str">
        <f aca="false">IF(PhaseSummary[[#This Row],[_Task]]="","",IF(N(INDEX(tsk_FcFinish,PhaseSummary[[#This Row],[_Task]]))=0,"",INDEX(tsk_FcFinish,PhaseSummary[[#This Row],[_Task]])))</f>
        <v/>
      </c>
      <c r="G8" s="45" t="str">
        <f aca="false">IF(PhaseSummary[[#This Row],[_Task]]="","",INDEX(tsk_Variance,PhaseSummary[[#This Row],[_Task]]))</f>
        <v/>
      </c>
      <c r="H8" s="46" t="str">
        <f aca="false">IF(PhaseSummary[[#This Row],[_Task]]="","",INDEX(tsk_Progress,PhaseSummary[[#This Row],[_Task]]))</f>
        <v/>
      </c>
      <c r="I8" s="47" t="str">
        <f aca="false">IF(PhaseSummary[[#This Row],[_Task]]="","",INDEX(tsk_Budget,PhaseSummary[[#This Row],[_Task]]))</f>
        <v/>
      </c>
      <c r="J8" s="47" t="str">
        <f aca="false">IF(PhaseSummary[[#This Row],[_Task]]="","",INDEX(tsk_PV,PhaseSummary[[#This Row],[_Task]]))</f>
        <v/>
      </c>
      <c r="K8" s="47" t="str">
        <f aca="false">IF(PhaseSummary[[#This Row],[_Task]]="","",INDEX(tsk_EV,PhaseSummary[[#This Row],[_Task]]))</f>
        <v/>
      </c>
      <c r="L8" s="47" t="str">
        <f aca="false">IF(PhaseSummary[[#This Row],[_Task]]="","",INDEX(tsk_AC,PhaseSummary[[#This Row],[_Task]]))</f>
        <v/>
      </c>
      <c r="M8" s="48" t="str">
        <f aca="false">IF(PhaseSummary[[#This Row],[_Task]]="","",IF(N(PhaseSummary[[#This Row],[PV]])&gt;0,PhaseSummary[[#This Row],[EV]]/PhaseSummary[[#This Row],[PV]],""))</f>
        <v/>
      </c>
      <c r="N8" s="48" t="str">
        <f aca="false">IF(PhaseSummary[[#This Row],[_Task]]="","",IF(N(PhaseSummary[[#This Row],[AC]])&gt;0,PhaseSummary[[#This Row],[EV]]/PhaseSummary[[#This Row],[AC]],""))</f>
        <v/>
      </c>
      <c r="O8" s="49" t="str">
        <f aca="false">IF(PhaseSummary[[#This Row],[_Task]]="","",COUNTIFS(tsk_Phase,PhaseSummary[[#This Row],[WBS]],tsk_Critical,"Yes",tsk_IsLeaf,1))</f>
        <v/>
      </c>
      <c r="P8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9" customFormat="false" ht="15" hidden="false" customHeight="false" outlineLevel="0" collapsed="false">
      <c r="B9" s="43" t="str">
        <f aca="false">IFERROR(MATCH(SMALL(tsk_PhaseKey,ROW()-ROW(PhaseSummary[[#Headers],[_Task]])),tsk_PhaseKey,0),"")</f>
        <v/>
      </c>
      <c r="C9" s="24" t="str">
        <f aca="false">IF(PhaseSummary[[#This Row],[_Task]]="","",INDEX(tsk_WBS,PhaseSummary[[#This Row],[_Task]])&amp;"")</f>
        <v/>
      </c>
      <c r="D9" s="24" t="str">
        <f aca="false">IF(PhaseSummary[[#This Row],[_Task]]="","",INDEX(tsk_Name,PhaseSummary[[#This Row],[_Task]])&amp;"")</f>
        <v/>
      </c>
      <c r="E9" s="44" t="str">
        <f aca="false">IF(PhaseSummary[[#This Row],[_Task]]="","",IF(N(INDEX(tsk_PlanFinish,PhaseSummary[[#This Row],[_Task]]))=0,"",INDEX(tsk_PlanFinish,PhaseSummary[[#This Row],[_Task]])))</f>
        <v/>
      </c>
      <c r="F9" s="44" t="str">
        <f aca="false">IF(PhaseSummary[[#This Row],[_Task]]="","",IF(N(INDEX(tsk_FcFinish,PhaseSummary[[#This Row],[_Task]]))=0,"",INDEX(tsk_FcFinish,PhaseSummary[[#This Row],[_Task]])))</f>
        <v/>
      </c>
      <c r="G9" s="45" t="str">
        <f aca="false">IF(PhaseSummary[[#This Row],[_Task]]="","",INDEX(tsk_Variance,PhaseSummary[[#This Row],[_Task]]))</f>
        <v/>
      </c>
      <c r="H9" s="46" t="str">
        <f aca="false">IF(PhaseSummary[[#This Row],[_Task]]="","",INDEX(tsk_Progress,PhaseSummary[[#This Row],[_Task]]))</f>
        <v/>
      </c>
      <c r="I9" s="47" t="str">
        <f aca="false">IF(PhaseSummary[[#This Row],[_Task]]="","",INDEX(tsk_Budget,PhaseSummary[[#This Row],[_Task]]))</f>
        <v/>
      </c>
      <c r="J9" s="47" t="str">
        <f aca="false">IF(PhaseSummary[[#This Row],[_Task]]="","",INDEX(tsk_PV,PhaseSummary[[#This Row],[_Task]]))</f>
        <v/>
      </c>
      <c r="K9" s="47" t="str">
        <f aca="false">IF(PhaseSummary[[#This Row],[_Task]]="","",INDEX(tsk_EV,PhaseSummary[[#This Row],[_Task]]))</f>
        <v/>
      </c>
      <c r="L9" s="47" t="str">
        <f aca="false">IF(PhaseSummary[[#This Row],[_Task]]="","",INDEX(tsk_AC,PhaseSummary[[#This Row],[_Task]]))</f>
        <v/>
      </c>
      <c r="M9" s="48" t="str">
        <f aca="false">IF(PhaseSummary[[#This Row],[_Task]]="","",IF(N(PhaseSummary[[#This Row],[PV]])&gt;0,PhaseSummary[[#This Row],[EV]]/PhaseSummary[[#This Row],[PV]],""))</f>
        <v/>
      </c>
      <c r="N9" s="48" t="str">
        <f aca="false">IF(PhaseSummary[[#This Row],[_Task]]="","",IF(N(PhaseSummary[[#This Row],[AC]])&gt;0,PhaseSummary[[#This Row],[EV]]/PhaseSummary[[#This Row],[AC]],""))</f>
        <v/>
      </c>
      <c r="O9" s="49" t="str">
        <f aca="false">IF(PhaseSummary[[#This Row],[_Task]]="","",COUNTIFS(tsk_Phase,PhaseSummary[[#This Row],[WBS]],tsk_Critical,"Yes",tsk_IsLeaf,1))</f>
        <v/>
      </c>
      <c r="P9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0" customFormat="false" ht="15" hidden="false" customHeight="false" outlineLevel="0" collapsed="false">
      <c r="B10" s="43" t="str">
        <f aca="false">IFERROR(MATCH(SMALL(tsk_PhaseKey,ROW()-ROW(PhaseSummary[[#Headers],[_Task]])),tsk_PhaseKey,0),"")</f>
        <v/>
      </c>
      <c r="C10" s="24" t="str">
        <f aca="false">IF(PhaseSummary[[#This Row],[_Task]]="","",INDEX(tsk_WBS,PhaseSummary[[#This Row],[_Task]])&amp;"")</f>
        <v/>
      </c>
      <c r="D10" s="24" t="str">
        <f aca="false">IF(PhaseSummary[[#This Row],[_Task]]="","",INDEX(tsk_Name,PhaseSummary[[#This Row],[_Task]])&amp;"")</f>
        <v/>
      </c>
      <c r="E10" s="44" t="str">
        <f aca="false">IF(PhaseSummary[[#This Row],[_Task]]="","",IF(N(INDEX(tsk_PlanFinish,PhaseSummary[[#This Row],[_Task]]))=0,"",INDEX(tsk_PlanFinish,PhaseSummary[[#This Row],[_Task]])))</f>
        <v/>
      </c>
      <c r="F10" s="44" t="str">
        <f aca="false">IF(PhaseSummary[[#This Row],[_Task]]="","",IF(N(INDEX(tsk_FcFinish,PhaseSummary[[#This Row],[_Task]]))=0,"",INDEX(tsk_FcFinish,PhaseSummary[[#This Row],[_Task]])))</f>
        <v/>
      </c>
      <c r="G10" s="45" t="str">
        <f aca="false">IF(PhaseSummary[[#This Row],[_Task]]="","",INDEX(tsk_Variance,PhaseSummary[[#This Row],[_Task]]))</f>
        <v/>
      </c>
      <c r="H10" s="46" t="str">
        <f aca="false">IF(PhaseSummary[[#This Row],[_Task]]="","",INDEX(tsk_Progress,PhaseSummary[[#This Row],[_Task]]))</f>
        <v/>
      </c>
      <c r="I10" s="47" t="str">
        <f aca="false">IF(PhaseSummary[[#This Row],[_Task]]="","",INDEX(tsk_Budget,PhaseSummary[[#This Row],[_Task]]))</f>
        <v/>
      </c>
      <c r="J10" s="47" t="str">
        <f aca="false">IF(PhaseSummary[[#This Row],[_Task]]="","",INDEX(tsk_PV,PhaseSummary[[#This Row],[_Task]]))</f>
        <v/>
      </c>
      <c r="K10" s="47" t="str">
        <f aca="false">IF(PhaseSummary[[#This Row],[_Task]]="","",INDEX(tsk_EV,PhaseSummary[[#This Row],[_Task]]))</f>
        <v/>
      </c>
      <c r="L10" s="47" t="str">
        <f aca="false">IF(PhaseSummary[[#This Row],[_Task]]="","",INDEX(tsk_AC,PhaseSummary[[#This Row],[_Task]]))</f>
        <v/>
      </c>
      <c r="M10" s="48" t="str">
        <f aca="false">IF(PhaseSummary[[#This Row],[_Task]]="","",IF(N(PhaseSummary[[#This Row],[PV]])&gt;0,PhaseSummary[[#This Row],[EV]]/PhaseSummary[[#This Row],[PV]],""))</f>
        <v/>
      </c>
      <c r="N10" s="48" t="str">
        <f aca="false">IF(PhaseSummary[[#This Row],[_Task]]="","",IF(N(PhaseSummary[[#This Row],[AC]])&gt;0,PhaseSummary[[#This Row],[EV]]/PhaseSummary[[#This Row],[AC]],""))</f>
        <v/>
      </c>
      <c r="O10" s="49" t="str">
        <f aca="false">IF(PhaseSummary[[#This Row],[_Task]]="","",COUNTIFS(tsk_Phase,PhaseSummary[[#This Row],[WBS]],tsk_Critical,"Yes",tsk_IsLeaf,1))</f>
        <v/>
      </c>
      <c r="P10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1" customFormat="false" ht="15" hidden="false" customHeight="false" outlineLevel="0" collapsed="false">
      <c r="B11" s="43" t="str">
        <f aca="false">IFERROR(MATCH(SMALL(tsk_PhaseKey,ROW()-ROW(PhaseSummary[[#Headers],[_Task]])),tsk_PhaseKey,0),"")</f>
        <v/>
      </c>
      <c r="C11" s="24" t="str">
        <f aca="false">IF(PhaseSummary[[#This Row],[_Task]]="","",INDEX(tsk_WBS,PhaseSummary[[#This Row],[_Task]])&amp;"")</f>
        <v/>
      </c>
      <c r="D11" s="24" t="str">
        <f aca="false">IF(PhaseSummary[[#This Row],[_Task]]="","",INDEX(tsk_Name,PhaseSummary[[#This Row],[_Task]])&amp;"")</f>
        <v/>
      </c>
      <c r="E11" s="44" t="str">
        <f aca="false">IF(PhaseSummary[[#This Row],[_Task]]="","",IF(N(INDEX(tsk_PlanFinish,PhaseSummary[[#This Row],[_Task]]))=0,"",INDEX(tsk_PlanFinish,PhaseSummary[[#This Row],[_Task]])))</f>
        <v/>
      </c>
      <c r="F11" s="44" t="str">
        <f aca="false">IF(PhaseSummary[[#This Row],[_Task]]="","",IF(N(INDEX(tsk_FcFinish,PhaseSummary[[#This Row],[_Task]]))=0,"",INDEX(tsk_FcFinish,PhaseSummary[[#This Row],[_Task]])))</f>
        <v/>
      </c>
      <c r="G11" s="45" t="str">
        <f aca="false">IF(PhaseSummary[[#This Row],[_Task]]="","",INDEX(tsk_Variance,PhaseSummary[[#This Row],[_Task]]))</f>
        <v/>
      </c>
      <c r="H11" s="46" t="str">
        <f aca="false">IF(PhaseSummary[[#This Row],[_Task]]="","",INDEX(tsk_Progress,PhaseSummary[[#This Row],[_Task]]))</f>
        <v/>
      </c>
      <c r="I11" s="47" t="str">
        <f aca="false">IF(PhaseSummary[[#This Row],[_Task]]="","",INDEX(tsk_Budget,PhaseSummary[[#This Row],[_Task]]))</f>
        <v/>
      </c>
      <c r="J11" s="47" t="str">
        <f aca="false">IF(PhaseSummary[[#This Row],[_Task]]="","",INDEX(tsk_PV,PhaseSummary[[#This Row],[_Task]]))</f>
        <v/>
      </c>
      <c r="K11" s="47" t="str">
        <f aca="false">IF(PhaseSummary[[#This Row],[_Task]]="","",INDEX(tsk_EV,PhaseSummary[[#This Row],[_Task]]))</f>
        <v/>
      </c>
      <c r="L11" s="47" t="str">
        <f aca="false">IF(PhaseSummary[[#This Row],[_Task]]="","",INDEX(tsk_AC,PhaseSummary[[#This Row],[_Task]]))</f>
        <v/>
      </c>
      <c r="M11" s="48" t="str">
        <f aca="false">IF(PhaseSummary[[#This Row],[_Task]]="","",IF(N(PhaseSummary[[#This Row],[PV]])&gt;0,PhaseSummary[[#This Row],[EV]]/PhaseSummary[[#This Row],[PV]],""))</f>
        <v/>
      </c>
      <c r="N11" s="48" t="str">
        <f aca="false">IF(PhaseSummary[[#This Row],[_Task]]="","",IF(N(PhaseSummary[[#This Row],[AC]])&gt;0,PhaseSummary[[#This Row],[EV]]/PhaseSummary[[#This Row],[AC]],""))</f>
        <v/>
      </c>
      <c r="O11" s="49" t="str">
        <f aca="false">IF(PhaseSummary[[#This Row],[_Task]]="","",COUNTIFS(tsk_Phase,PhaseSummary[[#This Row],[WBS]],tsk_Critical,"Yes",tsk_IsLeaf,1))</f>
        <v/>
      </c>
      <c r="P11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2" customFormat="false" ht="15" hidden="false" customHeight="false" outlineLevel="0" collapsed="false">
      <c r="B12" s="43" t="str">
        <f aca="false">IFERROR(MATCH(SMALL(tsk_PhaseKey,ROW()-ROW(PhaseSummary[[#Headers],[_Task]])),tsk_PhaseKey,0),"")</f>
        <v/>
      </c>
      <c r="C12" s="24" t="str">
        <f aca="false">IF(PhaseSummary[[#This Row],[_Task]]="","",INDEX(tsk_WBS,PhaseSummary[[#This Row],[_Task]])&amp;"")</f>
        <v/>
      </c>
      <c r="D12" s="24" t="str">
        <f aca="false">IF(PhaseSummary[[#This Row],[_Task]]="","",INDEX(tsk_Name,PhaseSummary[[#This Row],[_Task]])&amp;"")</f>
        <v/>
      </c>
      <c r="E12" s="44" t="str">
        <f aca="false">IF(PhaseSummary[[#This Row],[_Task]]="","",IF(N(INDEX(tsk_PlanFinish,PhaseSummary[[#This Row],[_Task]]))=0,"",INDEX(tsk_PlanFinish,PhaseSummary[[#This Row],[_Task]])))</f>
        <v/>
      </c>
      <c r="F12" s="44" t="str">
        <f aca="false">IF(PhaseSummary[[#This Row],[_Task]]="","",IF(N(INDEX(tsk_FcFinish,PhaseSummary[[#This Row],[_Task]]))=0,"",INDEX(tsk_FcFinish,PhaseSummary[[#This Row],[_Task]])))</f>
        <v/>
      </c>
      <c r="G12" s="45" t="str">
        <f aca="false">IF(PhaseSummary[[#This Row],[_Task]]="","",INDEX(tsk_Variance,PhaseSummary[[#This Row],[_Task]]))</f>
        <v/>
      </c>
      <c r="H12" s="46" t="str">
        <f aca="false">IF(PhaseSummary[[#This Row],[_Task]]="","",INDEX(tsk_Progress,PhaseSummary[[#This Row],[_Task]]))</f>
        <v/>
      </c>
      <c r="I12" s="47" t="str">
        <f aca="false">IF(PhaseSummary[[#This Row],[_Task]]="","",INDEX(tsk_Budget,PhaseSummary[[#This Row],[_Task]]))</f>
        <v/>
      </c>
      <c r="J12" s="47" t="str">
        <f aca="false">IF(PhaseSummary[[#This Row],[_Task]]="","",INDEX(tsk_PV,PhaseSummary[[#This Row],[_Task]]))</f>
        <v/>
      </c>
      <c r="K12" s="47" t="str">
        <f aca="false">IF(PhaseSummary[[#This Row],[_Task]]="","",INDEX(tsk_EV,PhaseSummary[[#This Row],[_Task]]))</f>
        <v/>
      </c>
      <c r="L12" s="47" t="str">
        <f aca="false">IF(PhaseSummary[[#This Row],[_Task]]="","",INDEX(tsk_AC,PhaseSummary[[#This Row],[_Task]]))</f>
        <v/>
      </c>
      <c r="M12" s="48" t="str">
        <f aca="false">IF(PhaseSummary[[#This Row],[_Task]]="","",IF(N(PhaseSummary[[#This Row],[PV]])&gt;0,PhaseSummary[[#This Row],[EV]]/PhaseSummary[[#This Row],[PV]],""))</f>
        <v/>
      </c>
      <c r="N12" s="48" t="str">
        <f aca="false">IF(PhaseSummary[[#This Row],[_Task]]="","",IF(N(PhaseSummary[[#This Row],[AC]])&gt;0,PhaseSummary[[#This Row],[EV]]/PhaseSummary[[#This Row],[AC]],""))</f>
        <v/>
      </c>
      <c r="O12" s="49" t="str">
        <f aca="false">IF(PhaseSummary[[#This Row],[_Task]]="","",COUNTIFS(tsk_Phase,PhaseSummary[[#This Row],[WBS]],tsk_Critical,"Yes",tsk_IsLeaf,1))</f>
        <v/>
      </c>
      <c r="P12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3" customFormat="false" ht="15" hidden="false" customHeight="false" outlineLevel="0" collapsed="false">
      <c r="B13" s="43" t="str">
        <f aca="false">IFERROR(MATCH(SMALL(tsk_PhaseKey,ROW()-ROW(PhaseSummary[[#Headers],[_Task]])),tsk_PhaseKey,0),"")</f>
        <v/>
      </c>
      <c r="C13" s="24" t="str">
        <f aca="false">IF(PhaseSummary[[#This Row],[_Task]]="","",INDEX(tsk_WBS,PhaseSummary[[#This Row],[_Task]])&amp;"")</f>
        <v/>
      </c>
      <c r="D13" s="24" t="str">
        <f aca="false">IF(PhaseSummary[[#This Row],[_Task]]="","",INDEX(tsk_Name,PhaseSummary[[#This Row],[_Task]])&amp;"")</f>
        <v/>
      </c>
      <c r="E13" s="44" t="str">
        <f aca="false">IF(PhaseSummary[[#This Row],[_Task]]="","",IF(N(INDEX(tsk_PlanFinish,PhaseSummary[[#This Row],[_Task]]))=0,"",INDEX(tsk_PlanFinish,PhaseSummary[[#This Row],[_Task]])))</f>
        <v/>
      </c>
      <c r="F13" s="44" t="str">
        <f aca="false">IF(PhaseSummary[[#This Row],[_Task]]="","",IF(N(INDEX(tsk_FcFinish,PhaseSummary[[#This Row],[_Task]]))=0,"",INDEX(tsk_FcFinish,PhaseSummary[[#This Row],[_Task]])))</f>
        <v/>
      </c>
      <c r="G13" s="45" t="str">
        <f aca="false">IF(PhaseSummary[[#This Row],[_Task]]="","",INDEX(tsk_Variance,PhaseSummary[[#This Row],[_Task]]))</f>
        <v/>
      </c>
      <c r="H13" s="46" t="str">
        <f aca="false">IF(PhaseSummary[[#This Row],[_Task]]="","",INDEX(tsk_Progress,PhaseSummary[[#This Row],[_Task]]))</f>
        <v/>
      </c>
      <c r="I13" s="47" t="str">
        <f aca="false">IF(PhaseSummary[[#This Row],[_Task]]="","",INDEX(tsk_Budget,PhaseSummary[[#This Row],[_Task]]))</f>
        <v/>
      </c>
      <c r="J13" s="47" t="str">
        <f aca="false">IF(PhaseSummary[[#This Row],[_Task]]="","",INDEX(tsk_PV,PhaseSummary[[#This Row],[_Task]]))</f>
        <v/>
      </c>
      <c r="K13" s="47" t="str">
        <f aca="false">IF(PhaseSummary[[#This Row],[_Task]]="","",INDEX(tsk_EV,PhaseSummary[[#This Row],[_Task]]))</f>
        <v/>
      </c>
      <c r="L13" s="47" t="str">
        <f aca="false">IF(PhaseSummary[[#This Row],[_Task]]="","",INDEX(tsk_AC,PhaseSummary[[#This Row],[_Task]]))</f>
        <v/>
      </c>
      <c r="M13" s="48" t="str">
        <f aca="false">IF(PhaseSummary[[#This Row],[_Task]]="","",IF(N(PhaseSummary[[#This Row],[PV]])&gt;0,PhaseSummary[[#This Row],[EV]]/PhaseSummary[[#This Row],[PV]],""))</f>
        <v/>
      </c>
      <c r="N13" s="48" t="str">
        <f aca="false">IF(PhaseSummary[[#This Row],[_Task]]="","",IF(N(PhaseSummary[[#This Row],[AC]])&gt;0,PhaseSummary[[#This Row],[EV]]/PhaseSummary[[#This Row],[AC]],""))</f>
        <v/>
      </c>
      <c r="O13" s="49" t="str">
        <f aca="false">IF(PhaseSummary[[#This Row],[_Task]]="","",COUNTIFS(tsk_Phase,PhaseSummary[[#This Row],[WBS]],tsk_Critical,"Yes",tsk_IsLeaf,1))</f>
        <v/>
      </c>
      <c r="P13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4" customFormat="false" ht="15" hidden="false" customHeight="false" outlineLevel="0" collapsed="false">
      <c r="B14" s="43" t="str">
        <f aca="false">IFERROR(MATCH(SMALL(tsk_PhaseKey,ROW()-ROW(PhaseSummary[[#Headers],[_Task]])),tsk_PhaseKey,0),"")</f>
        <v/>
      </c>
      <c r="C14" s="24" t="str">
        <f aca="false">IF(PhaseSummary[[#This Row],[_Task]]="","",INDEX(tsk_WBS,PhaseSummary[[#This Row],[_Task]])&amp;"")</f>
        <v/>
      </c>
      <c r="D14" s="24" t="str">
        <f aca="false">IF(PhaseSummary[[#This Row],[_Task]]="","",INDEX(tsk_Name,PhaseSummary[[#This Row],[_Task]])&amp;"")</f>
        <v/>
      </c>
      <c r="E14" s="44" t="str">
        <f aca="false">IF(PhaseSummary[[#This Row],[_Task]]="","",IF(N(INDEX(tsk_PlanFinish,PhaseSummary[[#This Row],[_Task]]))=0,"",INDEX(tsk_PlanFinish,PhaseSummary[[#This Row],[_Task]])))</f>
        <v/>
      </c>
      <c r="F14" s="44" t="str">
        <f aca="false">IF(PhaseSummary[[#This Row],[_Task]]="","",IF(N(INDEX(tsk_FcFinish,PhaseSummary[[#This Row],[_Task]]))=0,"",INDEX(tsk_FcFinish,PhaseSummary[[#This Row],[_Task]])))</f>
        <v/>
      </c>
      <c r="G14" s="45" t="str">
        <f aca="false">IF(PhaseSummary[[#This Row],[_Task]]="","",INDEX(tsk_Variance,PhaseSummary[[#This Row],[_Task]]))</f>
        <v/>
      </c>
      <c r="H14" s="46" t="str">
        <f aca="false">IF(PhaseSummary[[#This Row],[_Task]]="","",INDEX(tsk_Progress,PhaseSummary[[#This Row],[_Task]]))</f>
        <v/>
      </c>
      <c r="I14" s="47" t="str">
        <f aca="false">IF(PhaseSummary[[#This Row],[_Task]]="","",INDEX(tsk_Budget,PhaseSummary[[#This Row],[_Task]]))</f>
        <v/>
      </c>
      <c r="J14" s="47" t="str">
        <f aca="false">IF(PhaseSummary[[#This Row],[_Task]]="","",INDEX(tsk_PV,PhaseSummary[[#This Row],[_Task]]))</f>
        <v/>
      </c>
      <c r="K14" s="47" t="str">
        <f aca="false">IF(PhaseSummary[[#This Row],[_Task]]="","",INDEX(tsk_EV,PhaseSummary[[#This Row],[_Task]]))</f>
        <v/>
      </c>
      <c r="L14" s="47" t="str">
        <f aca="false">IF(PhaseSummary[[#This Row],[_Task]]="","",INDEX(tsk_AC,PhaseSummary[[#This Row],[_Task]]))</f>
        <v/>
      </c>
      <c r="M14" s="48" t="str">
        <f aca="false">IF(PhaseSummary[[#This Row],[_Task]]="","",IF(N(PhaseSummary[[#This Row],[PV]])&gt;0,PhaseSummary[[#This Row],[EV]]/PhaseSummary[[#This Row],[PV]],""))</f>
        <v/>
      </c>
      <c r="N14" s="48" t="str">
        <f aca="false">IF(PhaseSummary[[#This Row],[_Task]]="","",IF(N(PhaseSummary[[#This Row],[AC]])&gt;0,PhaseSummary[[#This Row],[EV]]/PhaseSummary[[#This Row],[AC]],""))</f>
        <v/>
      </c>
      <c r="O14" s="49" t="str">
        <f aca="false">IF(PhaseSummary[[#This Row],[_Task]]="","",COUNTIFS(tsk_Phase,PhaseSummary[[#This Row],[WBS]],tsk_Critical,"Yes",tsk_IsLeaf,1))</f>
        <v/>
      </c>
      <c r="P14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5" customFormat="false" ht="15" hidden="false" customHeight="false" outlineLevel="0" collapsed="false">
      <c r="B15" s="43" t="str">
        <f aca="false">IFERROR(MATCH(SMALL(tsk_PhaseKey,ROW()-ROW(PhaseSummary[[#Headers],[_Task]])),tsk_PhaseKey,0),"")</f>
        <v/>
      </c>
      <c r="C15" s="24" t="str">
        <f aca="false">IF(PhaseSummary[[#This Row],[_Task]]="","",INDEX(tsk_WBS,PhaseSummary[[#This Row],[_Task]])&amp;"")</f>
        <v/>
      </c>
      <c r="D15" s="24" t="str">
        <f aca="false">IF(PhaseSummary[[#This Row],[_Task]]="","",INDEX(tsk_Name,PhaseSummary[[#This Row],[_Task]])&amp;"")</f>
        <v/>
      </c>
      <c r="E15" s="44" t="str">
        <f aca="false">IF(PhaseSummary[[#This Row],[_Task]]="","",IF(N(INDEX(tsk_PlanFinish,PhaseSummary[[#This Row],[_Task]]))=0,"",INDEX(tsk_PlanFinish,PhaseSummary[[#This Row],[_Task]])))</f>
        <v/>
      </c>
      <c r="F15" s="44" t="str">
        <f aca="false">IF(PhaseSummary[[#This Row],[_Task]]="","",IF(N(INDEX(tsk_FcFinish,PhaseSummary[[#This Row],[_Task]]))=0,"",INDEX(tsk_FcFinish,PhaseSummary[[#This Row],[_Task]])))</f>
        <v/>
      </c>
      <c r="G15" s="45" t="str">
        <f aca="false">IF(PhaseSummary[[#This Row],[_Task]]="","",INDEX(tsk_Variance,PhaseSummary[[#This Row],[_Task]]))</f>
        <v/>
      </c>
      <c r="H15" s="46" t="str">
        <f aca="false">IF(PhaseSummary[[#This Row],[_Task]]="","",INDEX(tsk_Progress,PhaseSummary[[#This Row],[_Task]]))</f>
        <v/>
      </c>
      <c r="I15" s="47" t="str">
        <f aca="false">IF(PhaseSummary[[#This Row],[_Task]]="","",INDEX(tsk_Budget,PhaseSummary[[#This Row],[_Task]]))</f>
        <v/>
      </c>
      <c r="J15" s="47" t="str">
        <f aca="false">IF(PhaseSummary[[#This Row],[_Task]]="","",INDEX(tsk_PV,PhaseSummary[[#This Row],[_Task]]))</f>
        <v/>
      </c>
      <c r="K15" s="47" t="str">
        <f aca="false">IF(PhaseSummary[[#This Row],[_Task]]="","",INDEX(tsk_EV,PhaseSummary[[#This Row],[_Task]]))</f>
        <v/>
      </c>
      <c r="L15" s="47" t="str">
        <f aca="false">IF(PhaseSummary[[#This Row],[_Task]]="","",INDEX(tsk_AC,PhaseSummary[[#This Row],[_Task]]))</f>
        <v/>
      </c>
      <c r="M15" s="48" t="str">
        <f aca="false">IF(PhaseSummary[[#This Row],[_Task]]="","",IF(N(PhaseSummary[[#This Row],[PV]])&gt;0,PhaseSummary[[#This Row],[EV]]/PhaseSummary[[#This Row],[PV]],""))</f>
        <v/>
      </c>
      <c r="N15" s="48" t="str">
        <f aca="false">IF(PhaseSummary[[#This Row],[_Task]]="","",IF(N(PhaseSummary[[#This Row],[AC]])&gt;0,PhaseSummary[[#This Row],[EV]]/PhaseSummary[[#This Row],[AC]],""))</f>
        <v/>
      </c>
      <c r="O15" s="49" t="str">
        <f aca="false">IF(PhaseSummary[[#This Row],[_Task]]="","",COUNTIFS(tsk_Phase,PhaseSummary[[#This Row],[WBS]],tsk_Critical,"Yes",tsk_IsLeaf,1))</f>
        <v/>
      </c>
      <c r="P15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7" customFormat="false" ht="15" hidden="false" customHeight="false" outlineLevel="0" collapsed="false">
      <c r="C17" s="36" t="str">
        <f aca="false">"Milestones (in planned order)"&amp;": "&amp;COUNT(tsk_MilestoneOrder)&amp;IF(COUNT(tsk_MilestoneOrder)&gt;ROWS(MilestoneReport[_Task])," (showing the first "&amp;ROWS(MilestoneReport[_Task])&amp;")","")</f>
        <v>Milestones (in planned order): 0</v>
      </c>
    </row>
    <row r="18" customFormat="false" ht="23.85" hidden="false" customHeight="false" outlineLevel="0" collapsed="false">
      <c r="B18" s="42" t="s">
        <v>163</v>
      </c>
      <c r="C18" s="9" t="s">
        <v>164</v>
      </c>
      <c r="D18" s="9" t="s">
        <v>177</v>
      </c>
      <c r="E18" s="9" t="s">
        <v>178</v>
      </c>
      <c r="F18" s="9" t="s">
        <v>179</v>
      </c>
      <c r="G18" s="9" t="s">
        <v>168</v>
      </c>
      <c r="H18" s="9" t="s">
        <v>180</v>
      </c>
      <c r="I18" s="9" t="s">
        <v>181</v>
      </c>
      <c r="J18" s="9" t="s">
        <v>77</v>
      </c>
    </row>
    <row r="19" customFormat="false" ht="15" hidden="false" customHeight="false" outlineLevel="0" collapsed="false">
      <c r="B19" s="43" t="str">
        <f aca="false">IFERROR(MATCH(SMALL(tsk_MilestoneOrder,ROW()-ROW(MilestoneReport[[#Headers],[_Task]])),tsk_MilestoneOrder,0),"")</f>
        <v/>
      </c>
      <c r="C19" s="24" t="str">
        <f aca="false">IF(MilestoneReport[[#This Row],[_Task]]="","",INDEX(tsk_WBS,MilestoneReport[[#This Row],[_Task]])&amp;"")</f>
        <v/>
      </c>
      <c r="D19" s="24" t="str">
        <f aca="false">IF(MilestoneReport[[#This Row],[_Task]]="","",INDEX(tsk_Name,MilestoneReport[[#This Row],[_Task]])&amp;"")</f>
        <v/>
      </c>
      <c r="E19" s="44" t="str">
        <f aca="false">IF(MilestoneReport[[#This Row],[_Task]]="","",IF(N(INDEX(tsk_PlanFinish,MilestoneReport[[#This Row],[_Task]]))=0,"",INDEX(tsk_PlanFinish,MilestoneReport[[#This Row],[_Task]])))</f>
        <v/>
      </c>
      <c r="F19" s="44" t="str">
        <f aca="false">IF(MilestoneReport[[#This Row],[_Task]]="","",IF(N(INDEX(tsk_FcFinish,MilestoneReport[[#This Row],[_Task]]))=0,"",INDEX(tsk_FcFinish,MilestoneReport[[#This Row],[_Task]])))</f>
        <v/>
      </c>
      <c r="G19" s="45" t="str">
        <f aca="false">IF(MilestoneReport[[#This Row],[_Task]]="","",INDEX(tsk_Variance,MilestoneReport[[#This Row],[_Task]]))</f>
        <v/>
      </c>
      <c r="H19" s="44" t="str">
        <f aca="false">IF(MilestoneReport[[#This Row],[_Task]]="","",IF(N(INDEX(tsk_Deadline,MilestoneReport[[#This Row],[_Task]]))=0,"",INDEX(tsk_Deadline,MilestoneReport[[#This Row],[_Task]])))</f>
        <v/>
      </c>
      <c r="I19" s="24" t="str">
        <f aca="false">IF(MilestoneReport[[#This Row],[_Task]]="","",INDEX(tsk_DeadlineCheck,MilestoneReport[[#This Row],[_Task]])&amp;"")</f>
        <v/>
      </c>
      <c r="J19" s="24" t="str">
        <f aca="false">IF(MilestoneReport[[#This Row],[_Task]]="","",INDEX(tsk_Status,MilestoneReport[[#This Row],[_Task]])&amp;"")</f>
        <v/>
      </c>
    </row>
    <row r="20" customFormat="false" ht="15" hidden="false" customHeight="false" outlineLevel="0" collapsed="false">
      <c r="B20" s="43" t="str">
        <f aca="false">IFERROR(MATCH(SMALL(tsk_MilestoneOrder,ROW()-ROW(MilestoneReport[[#Headers],[_Task]])),tsk_MilestoneOrder,0),"")</f>
        <v/>
      </c>
      <c r="C20" s="24" t="str">
        <f aca="false">IF(MilestoneReport[[#This Row],[_Task]]="","",INDEX(tsk_WBS,MilestoneReport[[#This Row],[_Task]])&amp;"")</f>
        <v/>
      </c>
      <c r="D20" s="24" t="str">
        <f aca="false">IF(MilestoneReport[[#This Row],[_Task]]="","",INDEX(tsk_Name,MilestoneReport[[#This Row],[_Task]])&amp;"")</f>
        <v/>
      </c>
      <c r="E20" s="44" t="str">
        <f aca="false">IF(MilestoneReport[[#This Row],[_Task]]="","",IF(N(INDEX(tsk_PlanFinish,MilestoneReport[[#This Row],[_Task]]))=0,"",INDEX(tsk_PlanFinish,MilestoneReport[[#This Row],[_Task]])))</f>
        <v/>
      </c>
      <c r="F20" s="44" t="str">
        <f aca="false">IF(MilestoneReport[[#This Row],[_Task]]="","",IF(N(INDEX(tsk_FcFinish,MilestoneReport[[#This Row],[_Task]]))=0,"",INDEX(tsk_FcFinish,MilestoneReport[[#This Row],[_Task]])))</f>
        <v/>
      </c>
      <c r="G20" s="45" t="str">
        <f aca="false">IF(MilestoneReport[[#This Row],[_Task]]="","",INDEX(tsk_Variance,MilestoneReport[[#This Row],[_Task]]))</f>
        <v/>
      </c>
      <c r="H20" s="44" t="str">
        <f aca="false">IF(MilestoneReport[[#This Row],[_Task]]="","",IF(N(INDEX(tsk_Deadline,MilestoneReport[[#This Row],[_Task]]))=0,"",INDEX(tsk_Deadline,MilestoneReport[[#This Row],[_Task]])))</f>
        <v/>
      </c>
      <c r="I20" s="24" t="str">
        <f aca="false">IF(MilestoneReport[[#This Row],[_Task]]="","",INDEX(tsk_DeadlineCheck,MilestoneReport[[#This Row],[_Task]])&amp;"")</f>
        <v/>
      </c>
      <c r="J20" s="24" t="str">
        <f aca="false">IF(MilestoneReport[[#This Row],[_Task]]="","",INDEX(tsk_Status,MilestoneReport[[#This Row],[_Task]])&amp;"")</f>
        <v/>
      </c>
    </row>
    <row r="21" customFormat="false" ht="15" hidden="false" customHeight="false" outlineLevel="0" collapsed="false">
      <c r="B21" s="43" t="str">
        <f aca="false">IFERROR(MATCH(SMALL(tsk_MilestoneOrder,ROW()-ROW(MilestoneReport[[#Headers],[_Task]])),tsk_MilestoneOrder,0),"")</f>
        <v/>
      </c>
      <c r="C21" s="24" t="str">
        <f aca="false">IF(MilestoneReport[[#This Row],[_Task]]="","",INDEX(tsk_WBS,MilestoneReport[[#This Row],[_Task]])&amp;"")</f>
        <v/>
      </c>
      <c r="D21" s="24" t="str">
        <f aca="false">IF(MilestoneReport[[#This Row],[_Task]]="","",INDEX(tsk_Name,MilestoneReport[[#This Row],[_Task]])&amp;"")</f>
        <v/>
      </c>
      <c r="E21" s="44" t="str">
        <f aca="false">IF(MilestoneReport[[#This Row],[_Task]]="","",IF(N(INDEX(tsk_PlanFinish,MilestoneReport[[#This Row],[_Task]]))=0,"",INDEX(tsk_PlanFinish,MilestoneReport[[#This Row],[_Task]])))</f>
        <v/>
      </c>
      <c r="F21" s="44" t="str">
        <f aca="false">IF(MilestoneReport[[#This Row],[_Task]]="","",IF(N(INDEX(tsk_FcFinish,MilestoneReport[[#This Row],[_Task]]))=0,"",INDEX(tsk_FcFinish,MilestoneReport[[#This Row],[_Task]])))</f>
        <v/>
      </c>
      <c r="G21" s="45" t="str">
        <f aca="false">IF(MilestoneReport[[#This Row],[_Task]]="","",INDEX(tsk_Variance,MilestoneReport[[#This Row],[_Task]]))</f>
        <v/>
      </c>
      <c r="H21" s="44" t="str">
        <f aca="false">IF(MilestoneReport[[#This Row],[_Task]]="","",IF(N(INDEX(tsk_Deadline,MilestoneReport[[#This Row],[_Task]]))=0,"",INDEX(tsk_Deadline,MilestoneReport[[#This Row],[_Task]])))</f>
        <v/>
      </c>
      <c r="I21" s="24" t="str">
        <f aca="false">IF(MilestoneReport[[#This Row],[_Task]]="","",INDEX(tsk_DeadlineCheck,MilestoneReport[[#This Row],[_Task]])&amp;"")</f>
        <v/>
      </c>
      <c r="J21" s="24" t="str">
        <f aca="false">IF(MilestoneReport[[#This Row],[_Task]]="","",INDEX(tsk_Status,MilestoneReport[[#This Row],[_Task]])&amp;"")</f>
        <v/>
      </c>
    </row>
    <row r="22" customFormat="false" ht="15" hidden="false" customHeight="false" outlineLevel="0" collapsed="false">
      <c r="B22" s="43" t="str">
        <f aca="false">IFERROR(MATCH(SMALL(tsk_MilestoneOrder,ROW()-ROW(MilestoneReport[[#Headers],[_Task]])),tsk_MilestoneOrder,0),"")</f>
        <v/>
      </c>
      <c r="C22" s="24" t="str">
        <f aca="false">IF(MilestoneReport[[#This Row],[_Task]]="","",INDEX(tsk_WBS,MilestoneReport[[#This Row],[_Task]])&amp;"")</f>
        <v/>
      </c>
      <c r="D22" s="24" t="str">
        <f aca="false">IF(MilestoneReport[[#This Row],[_Task]]="","",INDEX(tsk_Name,MilestoneReport[[#This Row],[_Task]])&amp;"")</f>
        <v/>
      </c>
      <c r="E22" s="44" t="str">
        <f aca="false">IF(MilestoneReport[[#This Row],[_Task]]="","",IF(N(INDEX(tsk_PlanFinish,MilestoneReport[[#This Row],[_Task]]))=0,"",INDEX(tsk_PlanFinish,MilestoneReport[[#This Row],[_Task]])))</f>
        <v/>
      </c>
      <c r="F22" s="44" t="str">
        <f aca="false">IF(MilestoneReport[[#This Row],[_Task]]="","",IF(N(INDEX(tsk_FcFinish,MilestoneReport[[#This Row],[_Task]]))=0,"",INDEX(tsk_FcFinish,MilestoneReport[[#This Row],[_Task]])))</f>
        <v/>
      </c>
      <c r="G22" s="45" t="str">
        <f aca="false">IF(MilestoneReport[[#This Row],[_Task]]="","",INDEX(tsk_Variance,MilestoneReport[[#This Row],[_Task]]))</f>
        <v/>
      </c>
      <c r="H22" s="44" t="str">
        <f aca="false">IF(MilestoneReport[[#This Row],[_Task]]="","",IF(N(INDEX(tsk_Deadline,MilestoneReport[[#This Row],[_Task]]))=0,"",INDEX(tsk_Deadline,MilestoneReport[[#This Row],[_Task]])))</f>
        <v/>
      </c>
      <c r="I22" s="24" t="str">
        <f aca="false">IF(MilestoneReport[[#This Row],[_Task]]="","",INDEX(tsk_DeadlineCheck,MilestoneReport[[#This Row],[_Task]])&amp;"")</f>
        <v/>
      </c>
      <c r="J22" s="24" t="str">
        <f aca="false">IF(MilestoneReport[[#This Row],[_Task]]="","",INDEX(tsk_Status,MilestoneReport[[#This Row],[_Task]])&amp;"")</f>
        <v/>
      </c>
    </row>
    <row r="23" customFormat="false" ht="15" hidden="false" customHeight="false" outlineLevel="0" collapsed="false">
      <c r="B23" s="43" t="str">
        <f aca="false">IFERROR(MATCH(SMALL(tsk_MilestoneOrder,ROW()-ROW(MilestoneReport[[#Headers],[_Task]])),tsk_MilestoneOrder,0),"")</f>
        <v/>
      </c>
      <c r="C23" s="24" t="str">
        <f aca="false">IF(MilestoneReport[[#This Row],[_Task]]="","",INDEX(tsk_WBS,MilestoneReport[[#This Row],[_Task]])&amp;"")</f>
        <v/>
      </c>
      <c r="D23" s="24" t="str">
        <f aca="false">IF(MilestoneReport[[#This Row],[_Task]]="","",INDEX(tsk_Name,MilestoneReport[[#This Row],[_Task]])&amp;"")</f>
        <v/>
      </c>
      <c r="E23" s="44" t="str">
        <f aca="false">IF(MilestoneReport[[#This Row],[_Task]]="","",IF(N(INDEX(tsk_PlanFinish,MilestoneReport[[#This Row],[_Task]]))=0,"",INDEX(tsk_PlanFinish,MilestoneReport[[#This Row],[_Task]])))</f>
        <v/>
      </c>
      <c r="F23" s="44" t="str">
        <f aca="false">IF(MilestoneReport[[#This Row],[_Task]]="","",IF(N(INDEX(tsk_FcFinish,MilestoneReport[[#This Row],[_Task]]))=0,"",INDEX(tsk_FcFinish,MilestoneReport[[#This Row],[_Task]])))</f>
        <v/>
      </c>
      <c r="G23" s="45" t="str">
        <f aca="false">IF(MilestoneReport[[#This Row],[_Task]]="","",INDEX(tsk_Variance,MilestoneReport[[#This Row],[_Task]]))</f>
        <v/>
      </c>
      <c r="H23" s="44" t="str">
        <f aca="false">IF(MilestoneReport[[#This Row],[_Task]]="","",IF(N(INDEX(tsk_Deadline,MilestoneReport[[#This Row],[_Task]]))=0,"",INDEX(tsk_Deadline,MilestoneReport[[#This Row],[_Task]])))</f>
        <v/>
      </c>
      <c r="I23" s="24" t="str">
        <f aca="false">IF(MilestoneReport[[#This Row],[_Task]]="","",INDEX(tsk_DeadlineCheck,MilestoneReport[[#This Row],[_Task]])&amp;"")</f>
        <v/>
      </c>
      <c r="J23" s="24" t="str">
        <f aca="false">IF(MilestoneReport[[#This Row],[_Task]]="","",INDEX(tsk_Status,MilestoneReport[[#This Row],[_Task]])&amp;"")</f>
        <v/>
      </c>
    </row>
    <row r="24" customFormat="false" ht="15" hidden="false" customHeight="false" outlineLevel="0" collapsed="false">
      <c r="B24" s="43" t="str">
        <f aca="false">IFERROR(MATCH(SMALL(tsk_MilestoneOrder,ROW()-ROW(MilestoneReport[[#Headers],[_Task]])),tsk_MilestoneOrder,0),"")</f>
        <v/>
      </c>
      <c r="C24" s="24" t="str">
        <f aca="false">IF(MilestoneReport[[#This Row],[_Task]]="","",INDEX(tsk_WBS,MilestoneReport[[#This Row],[_Task]])&amp;"")</f>
        <v/>
      </c>
      <c r="D24" s="24" t="str">
        <f aca="false">IF(MilestoneReport[[#This Row],[_Task]]="","",INDEX(tsk_Name,MilestoneReport[[#This Row],[_Task]])&amp;"")</f>
        <v/>
      </c>
      <c r="E24" s="44" t="str">
        <f aca="false">IF(MilestoneReport[[#This Row],[_Task]]="","",IF(N(INDEX(tsk_PlanFinish,MilestoneReport[[#This Row],[_Task]]))=0,"",INDEX(tsk_PlanFinish,MilestoneReport[[#This Row],[_Task]])))</f>
        <v/>
      </c>
      <c r="F24" s="44" t="str">
        <f aca="false">IF(MilestoneReport[[#This Row],[_Task]]="","",IF(N(INDEX(tsk_FcFinish,MilestoneReport[[#This Row],[_Task]]))=0,"",INDEX(tsk_FcFinish,MilestoneReport[[#This Row],[_Task]])))</f>
        <v/>
      </c>
      <c r="G24" s="45" t="str">
        <f aca="false">IF(MilestoneReport[[#This Row],[_Task]]="","",INDEX(tsk_Variance,MilestoneReport[[#This Row],[_Task]]))</f>
        <v/>
      </c>
      <c r="H24" s="44" t="str">
        <f aca="false">IF(MilestoneReport[[#This Row],[_Task]]="","",IF(N(INDEX(tsk_Deadline,MilestoneReport[[#This Row],[_Task]]))=0,"",INDEX(tsk_Deadline,MilestoneReport[[#This Row],[_Task]])))</f>
        <v/>
      </c>
      <c r="I24" s="24" t="str">
        <f aca="false">IF(MilestoneReport[[#This Row],[_Task]]="","",INDEX(tsk_DeadlineCheck,MilestoneReport[[#This Row],[_Task]])&amp;"")</f>
        <v/>
      </c>
      <c r="J24" s="24" t="str">
        <f aca="false">IF(MilestoneReport[[#This Row],[_Task]]="","",INDEX(tsk_Status,MilestoneReport[[#This Row],[_Task]])&amp;"")</f>
        <v/>
      </c>
    </row>
    <row r="25" customFormat="false" ht="15" hidden="false" customHeight="false" outlineLevel="0" collapsed="false">
      <c r="B25" s="43" t="str">
        <f aca="false">IFERROR(MATCH(SMALL(tsk_MilestoneOrder,ROW()-ROW(MilestoneReport[[#Headers],[_Task]])),tsk_MilestoneOrder,0),"")</f>
        <v/>
      </c>
      <c r="C25" s="24" t="str">
        <f aca="false">IF(MilestoneReport[[#This Row],[_Task]]="","",INDEX(tsk_WBS,MilestoneReport[[#This Row],[_Task]])&amp;"")</f>
        <v/>
      </c>
      <c r="D25" s="24" t="str">
        <f aca="false">IF(MilestoneReport[[#This Row],[_Task]]="","",INDEX(tsk_Name,MilestoneReport[[#This Row],[_Task]])&amp;"")</f>
        <v/>
      </c>
      <c r="E25" s="44" t="str">
        <f aca="false">IF(MilestoneReport[[#This Row],[_Task]]="","",IF(N(INDEX(tsk_PlanFinish,MilestoneReport[[#This Row],[_Task]]))=0,"",INDEX(tsk_PlanFinish,MilestoneReport[[#This Row],[_Task]])))</f>
        <v/>
      </c>
      <c r="F25" s="44" t="str">
        <f aca="false">IF(MilestoneReport[[#This Row],[_Task]]="","",IF(N(INDEX(tsk_FcFinish,MilestoneReport[[#This Row],[_Task]]))=0,"",INDEX(tsk_FcFinish,MilestoneReport[[#This Row],[_Task]])))</f>
        <v/>
      </c>
      <c r="G25" s="45" t="str">
        <f aca="false">IF(MilestoneReport[[#This Row],[_Task]]="","",INDEX(tsk_Variance,MilestoneReport[[#This Row],[_Task]]))</f>
        <v/>
      </c>
      <c r="H25" s="44" t="str">
        <f aca="false">IF(MilestoneReport[[#This Row],[_Task]]="","",IF(N(INDEX(tsk_Deadline,MilestoneReport[[#This Row],[_Task]]))=0,"",INDEX(tsk_Deadline,MilestoneReport[[#This Row],[_Task]])))</f>
        <v/>
      </c>
      <c r="I25" s="24" t="str">
        <f aca="false">IF(MilestoneReport[[#This Row],[_Task]]="","",INDEX(tsk_DeadlineCheck,MilestoneReport[[#This Row],[_Task]])&amp;"")</f>
        <v/>
      </c>
      <c r="J25" s="24" t="str">
        <f aca="false">IF(MilestoneReport[[#This Row],[_Task]]="","",INDEX(tsk_Status,MilestoneReport[[#This Row],[_Task]])&amp;"")</f>
        <v/>
      </c>
    </row>
    <row r="26" customFormat="false" ht="15" hidden="false" customHeight="false" outlineLevel="0" collapsed="false">
      <c r="B26" s="43" t="str">
        <f aca="false">IFERROR(MATCH(SMALL(tsk_MilestoneOrder,ROW()-ROW(MilestoneReport[[#Headers],[_Task]])),tsk_MilestoneOrder,0),"")</f>
        <v/>
      </c>
      <c r="C26" s="24" t="str">
        <f aca="false">IF(MilestoneReport[[#This Row],[_Task]]="","",INDEX(tsk_WBS,MilestoneReport[[#This Row],[_Task]])&amp;"")</f>
        <v/>
      </c>
      <c r="D26" s="24" t="str">
        <f aca="false">IF(MilestoneReport[[#This Row],[_Task]]="","",INDEX(tsk_Name,MilestoneReport[[#This Row],[_Task]])&amp;"")</f>
        <v/>
      </c>
      <c r="E26" s="44" t="str">
        <f aca="false">IF(MilestoneReport[[#This Row],[_Task]]="","",IF(N(INDEX(tsk_PlanFinish,MilestoneReport[[#This Row],[_Task]]))=0,"",INDEX(tsk_PlanFinish,MilestoneReport[[#This Row],[_Task]])))</f>
        <v/>
      </c>
      <c r="F26" s="44" t="str">
        <f aca="false">IF(MilestoneReport[[#This Row],[_Task]]="","",IF(N(INDEX(tsk_FcFinish,MilestoneReport[[#This Row],[_Task]]))=0,"",INDEX(tsk_FcFinish,MilestoneReport[[#This Row],[_Task]])))</f>
        <v/>
      </c>
      <c r="G26" s="45" t="str">
        <f aca="false">IF(MilestoneReport[[#This Row],[_Task]]="","",INDEX(tsk_Variance,MilestoneReport[[#This Row],[_Task]]))</f>
        <v/>
      </c>
      <c r="H26" s="44" t="str">
        <f aca="false">IF(MilestoneReport[[#This Row],[_Task]]="","",IF(N(INDEX(tsk_Deadline,MilestoneReport[[#This Row],[_Task]]))=0,"",INDEX(tsk_Deadline,MilestoneReport[[#This Row],[_Task]])))</f>
        <v/>
      </c>
      <c r="I26" s="24" t="str">
        <f aca="false">IF(MilestoneReport[[#This Row],[_Task]]="","",INDEX(tsk_DeadlineCheck,MilestoneReport[[#This Row],[_Task]])&amp;"")</f>
        <v/>
      </c>
      <c r="J26" s="24" t="str">
        <f aca="false">IF(MilestoneReport[[#This Row],[_Task]]="","",INDEX(tsk_Status,MilestoneReport[[#This Row],[_Task]])&amp;"")</f>
        <v/>
      </c>
    </row>
    <row r="27" customFormat="false" ht="15" hidden="false" customHeight="false" outlineLevel="0" collapsed="false">
      <c r="B27" s="43" t="str">
        <f aca="false">IFERROR(MATCH(SMALL(tsk_MilestoneOrder,ROW()-ROW(MilestoneReport[[#Headers],[_Task]])),tsk_MilestoneOrder,0),"")</f>
        <v/>
      </c>
      <c r="C27" s="24" t="str">
        <f aca="false">IF(MilestoneReport[[#This Row],[_Task]]="","",INDEX(tsk_WBS,MilestoneReport[[#This Row],[_Task]])&amp;"")</f>
        <v/>
      </c>
      <c r="D27" s="24" t="str">
        <f aca="false">IF(MilestoneReport[[#This Row],[_Task]]="","",INDEX(tsk_Name,MilestoneReport[[#This Row],[_Task]])&amp;"")</f>
        <v/>
      </c>
      <c r="E27" s="44" t="str">
        <f aca="false">IF(MilestoneReport[[#This Row],[_Task]]="","",IF(N(INDEX(tsk_PlanFinish,MilestoneReport[[#This Row],[_Task]]))=0,"",INDEX(tsk_PlanFinish,MilestoneReport[[#This Row],[_Task]])))</f>
        <v/>
      </c>
      <c r="F27" s="44" t="str">
        <f aca="false">IF(MilestoneReport[[#This Row],[_Task]]="","",IF(N(INDEX(tsk_FcFinish,MilestoneReport[[#This Row],[_Task]]))=0,"",INDEX(tsk_FcFinish,MilestoneReport[[#This Row],[_Task]])))</f>
        <v/>
      </c>
      <c r="G27" s="45" t="str">
        <f aca="false">IF(MilestoneReport[[#This Row],[_Task]]="","",INDEX(tsk_Variance,MilestoneReport[[#This Row],[_Task]]))</f>
        <v/>
      </c>
      <c r="H27" s="44" t="str">
        <f aca="false">IF(MilestoneReport[[#This Row],[_Task]]="","",IF(N(INDEX(tsk_Deadline,MilestoneReport[[#This Row],[_Task]]))=0,"",INDEX(tsk_Deadline,MilestoneReport[[#This Row],[_Task]])))</f>
        <v/>
      </c>
      <c r="I27" s="24" t="str">
        <f aca="false">IF(MilestoneReport[[#This Row],[_Task]]="","",INDEX(tsk_DeadlineCheck,MilestoneReport[[#This Row],[_Task]])&amp;"")</f>
        <v/>
      </c>
      <c r="J27" s="24" t="str">
        <f aca="false">IF(MilestoneReport[[#This Row],[_Task]]="","",INDEX(tsk_Status,MilestoneReport[[#This Row],[_Task]])&amp;"")</f>
        <v/>
      </c>
    </row>
    <row r="28" customFormat="false" ht="15" hidden="false" customHeight="false" outlineLevel="0" collapsed="false">
      <c r="B28" s="43" t="str">
        <f aca="false">IFERROR(MATCH(SMALL(tsk_MilestoneOrder,ROW()-ROW(MilestoneReport[[#Headers],[_Task]])),tsk_MilestoneOrder,0),"")</f>
        <v/>
      </c>
      <c r="C28" s="24" t="str">
        <f aca="false">IF(MilestoneReport[[#This Row],[_Task]]="","",INDEX(tsk_WBS,MilestoneReport[[#This Row],[_Task]])&amp;"")</f>
        <v/>
      </c>
      <c r="D28" s="24" t="str">
        <f aca="false">IF(MilestoneReport[[#This Row],[_Task]]="","",INDEX(tsk_Name,MilestoneReport[[#This Row],[_Task]])&amp;"")</f>
        <v/>
      </c>
      <c r="E28" s="44" t="str">
        <f aca="false">IF(MilestoneReport[[#This Row],[_Task]]="","",IF(N(INDEX(tsk_PlanFinish,MilestoneReport[[#This Row],[_Task]]))=0,"",INDEX(tsk_PlanFinish,MilestoneReport[[#This Row],[_Task]])))</f>
        <v/>
      </c>
      <c r="F28" s="44" t="str">
        <f aca="false">IF(MilestoneReport[[#This Row],[_Task]]="","",IF(N(INDEX(tsk_FcFinish,MilestoneReport[[#This Row],[_Task]]))=0,"",INDEX(tsk_FcFinish,MilestoneReport[[#This Row],[_Task]])))</f>
        <v/>
      </c>
      <c r="G28" s="45" t="str">
        <f aca="false">IF(MilestoneReport[[#This Row],[_Task]]="","",INDEX(tsk_Variance,MilestoneReport[[#This Row],[_Task]]))</f>
        <v/>
      </c>
      <c r="H28" s="44" t="str">
        <f aca="false">IF(MilestoneReport[[#This Row],[_Task]]="","",IF(N(INDEX(tsk_Deadline,MilestoneReport[[#This Row],[_Task]]))=0,"",INDEX(tsk_Deadline,MilestoneReport[[#This Row],[_Task]])))</f>
        <v/>
      </c>
      <c r="I28" s="24" t="str">
        <f aca="false">IF(MilestoneReport[[#This Row],[_Task]]="","",INDEX(tsk_DeadlineCheck,MilestoneReport[[#This Row],[_Task]])&amp;"")</f>
        <v/>
      </c>
      <c r="J28" s="24" t="str">
        <f aca="false">IF(MilestoneReport[[#This Row],[_Task]]="","",INDEX(tsk_Status,MilestoneReport[[#This Row],[_Task]])&amp;"")</f>
        <v/>
      </c>
    </row>
    <row r="29" customFormat="false" ht="15" hidden="false" customHeight="false" outlineLevel="0" collapsed="false">
      <c r="B29" s="43" t="str">
        <f aca="false">IFERROR(MATCH(SMALL(tsk_MilestoneOrder,ROW()-ROW(MilestoneReport[[#Headers],[_Task]])),tsk_MilestoneOrder,0),"")</f>
        <v/>
      </c>
      <c r="C29" s="24" t="str">
        <f aca="false">IF(MilestoneReport[[#This Row],[_Task]]="","",INDEX(tsk_WBS,MilestoneReport[[#This Row],[_Task]])&amp;"")</f>
        <v/>
      </c>
      <c r="D29" s="24" t="str">
        <f aca="false">IF(MilestoneReport[[#This Row],[_Task]]="","",INDEX(tsk_Name,MilestoneReport[[#This Row],[_Task]])&amp;"")</f>
        <v/>
      </c>
      <c r="E29" s="44" t="str">
        <f aca="false">IF(MilestoneReport[[#This Row],[_Task]]="","",IF(N(INDEX(tsk_PlanFinish,MilestoneReport[[#This Row],[_Task]]))=0,"",INDEX(tsk_PlanFinish,MilestoneReport[[#This Row],[_Task]])))</f>
        <v/>
      </c>
      <c r="F29" s="44" t="str">
        <f aca="false">IF(MilestoneReport[[#This Row],[_Task]]="","",IF(N(INDEX(tsk_FcFinish,MilestoneReport[[#This Row],[_Task]]))=0,"",INDEX(tsk_FcFinish,MilestoneReport[[#This Row],[_Task]])))</f>
        <v/>
      </c>
      <c r="G29" s="45" t="str">
        <f aca="false">IF(MilestoneReport[[#This Row],[_Task]]="","",INDEX(tsk_Variance,MilestoneReport[[#This Row],[_Task]]))</f>
        <v/>
      </c>
      <c r="H29" s="44" t="str">
        <f aca="false">IF(MilestoneReport[[#This Row],[_Task]]="","",IF(N(INDEX(tsk_Deadline,MilestoneReport[[#This Row],[_Task]]))=0,"",INDEX(tsk_Deadline,MilestoneReport[[#This Row],[_Task]])))</f>
        <v/>
      </c>
      <c r="I29" s="24" t="str">
        <f aca="false">IF(MilestoneReport[[#This Row],[_Task]]="","",INDEX(tsk_DeadlineCheck,MilestoneReport[[#This Row],[_Task]])&amp;"")</f>
        <v/>
      </c>
      <c r="J29" s="24" t="str">
        <f aca="false">IF(MilestoneReport[[#This Row],[_Task]]="","",INDEX(tsk_Status,MilestoneReport[[#This Row],[_Task]])&amp;"")</f>
        <v/>
      </c>
    </row>
    <row r="30" customFormat="false" ht="15" hidden="false" customHeight="false" outlineLevel="0" collapsed="false">
      <c r="B30" s="43" t="str">
        <f aca="false">IFERROR(MATCH(SMALL(tsk_MilestoneOrder,ROW()-ROW(MilestoneReport[[#Headers],[_Task]])),tsk_MilestoneOrder,0),"")</f>
        <v/>
      </c>
      <c r="C30" s="24" t="str">
        <f aca="false">IF(MilestoneReport[[#This Row],[_Task]]="","",INDEX(tsk_WBS,MilestoneReport[[#This Row],[_Task]])&amp;"")</f>
        <v/>
      </c>
      <c r="D30" s="24" t="str">
        <f aca="false">IF(MilestoneReport[[#This Row],[_Task]]="","",INDEX(tsk_Name,MilestoneReport[[#This Row],[_Task]])&amp;"")</f>
        <v/>
      </c>
      <c r="E30" s="44" t="str">
        <f aca="false">IF(MilestoneReport[[#This Row],[_Task]]="","",IF(N(INDEX(tsk_PlanFinish,MilestoneReport[[#This Row],[_Task]]))=0,"",INDEX(tsk_PlanFinish,MilestoneReport[[#This Row],[_Task]])))</f>
        <v/>
      </c>
      <c r="F30" s="44" t="str">
        <f aca="false">IF(MilestoneReport[[#This Row],[_Task]]="","",IF(N(INDEX(tsk_FcFinish,MilestoneReport[[#This Row],[_Task]]))=0,"",INDEX(tsk_FcFinish,MilestoneReport[[#This Row],[_Task]])))</f>
        <v/>
      </c>
      <c r="G30" s="45" t="str">
        <f aca="false">IF(MilestoneReport[[#This Row],[_Task]]="","",INDEX(tsk_Variance,MilestoneReport[[#This Row],[_Task]]))</f>
        <v/>
      </c>
      <c r="H30" s="44" t="str">
        <f aca="false">IF(MilestoneReport[[#This Row],[_Task]]="","",IF(N(INDEX(tsk_Deadline,MilestoneReport[[#This Row],[_Task]]))=0,"",INDEX(tsk_Deadline,MilestoneReport[[#This Row],[_Task]])))</f>
        <v/>
      </c>
      <c r="I30" s="24" t="str">
        <f aca="false">IF(MilestoneReport[[#This Row],[_Task]]="","",INDEX(tsk_DeadlineCheck,MilestoneReport[[#This Row],[_Task]])&amp;"")</f>
        <v/>
      </c>
      <c r="J30" s="24" t="str">
        <f aca="false">IF(MilestoneReport[[#This Row],[_Task]]="","",INDEX(tsk_Status,MilestoneReport[[#This Row],[_Task]])&amp;"")</f>
        <v/>
      </c>
    </row>
    <row r="31" customFormat="false" ht="15" hidden="false" customHeight="false" outlineLevel="0" collapsed="false">
      <c r="B31" s="43" t="str">
        <f aca="false">IFERROR(MATCH(SMALL(tsk_MilestoneOrder,ROW()-ROW(MilestoneReport[[#Headers],[_Task]])),tsk_MilestoneOrder,0),"")</f>
        <v/>
      </c>
      <c r="C31" s="24" t="str">
        <f aca="false">IF(MilestoneReport[[#This Row],[_Task]]="","",INDEX(tsk_WBS,MilestoneReport[[#This Row],[_Task]])&amp;"")</f>
        <v/>
      </c>
      <c r="D31" s="24" t="str">
        <f aca="false">IF(MilestoneReport[[#This Row],[_Task]]="","",INDEX(tsk_Name,MilestoneReport[[#This Row],[_Task]])&amp;"")</f>
        <v/>
      </c>
      <c r="E31" s="44" t="str">
        <f aca="false">IF(MilestoneReport[[#This Row],[_Task]]="","",IF(N(INDEX(tsk_PlanFinish,MilestoneReport[[#This Row],[_Task]]))=0,"",INDEX(tsk_PlanFinish,MilestoneReport[[#This Row],[_Task]])))</f>
        <v/>
      </c>
      <c r="F31" s="44" t="str">
        <f aca="false">IF(MilestoneReport[[#This Row],[_Task]]="","",IF(N(INDEX(tsk_FcFinish,MilestoneReport[[#This Row],[_Task]]))=0,"",INDEX(tsk_FcFinish,MilestoneReport[[#This Row],[_Task]])))</f>
        <v/>
      </c>
      <c r="G31" s="45" t="str">
        <f aca="false">IF(MilestoneReport[[#This Row],[_Task]]="","",INDEX(tsk_Variance,MilestoneReport[[#This Row],[_Task]]))</f>
        <v/>
      </c>
      <c r="H31" s="44" t="str">
        <f aca="false">IF(MilestoneReport[[#This Row],[_Task]]="","",IF(N(INDEX(tsk_Deadline,MilestoneReport[[#This Row],[_Task]]))=0,"",INDEX(tsk_Deadline,MilestoneReport[[#This Row],[_Task]])))</f>
        <v/>
      </c>
      <c r="I31" s="24" t="str">
        <f aca="false">IF(MilestoneReport[[#This Row],[_Task]]="","",INDEX(tsk_DeadlineCheck,MilestoneReport[[#This Row],[_Task]])&amp;"")</f>
        <v/>
      </c>
      <c r="J31" s="24" t="str">
        <f aca="false">IF(MilestoneReport[[#This Row],[_Task]]="","",INDEX(tsk_Status,MilestoneReport[[#This Row],[_Task]])&amp;"")</f>
        <v/>
      </c>
    </row>
    <row r="32" customFormat="false" ht="15" hidden="false" customHeight="false" outlineLevel="0" collapsed="false">
      <c r="B32" s="43" t="str">
        <f aca="false">IFERROR(MATCH(SMALL(tsk_MilestoneOrder,ROW()-ROW(MilestoneReport[[#Headers],[_Task]])),tsk_MilestoneOrder,0),"")</f>
        <v/>
      </c>
      <c r="C32" s="24" t="str">
        <f aca="false">IF(MilestoneReport[[#This Row],[_Task]]="","",INDEX(tsk_WBS,MilestoneReport[[#This Row],[_Task]])&amp;"")</f>
        <v/>
      </c>
      <c r="D32" s="24" t="str">
        <f aca="false">IF(MilestoneReport[[#This Row],[_Task]]="","",INDEX(tsk_Name,MilestoneReport[[#This Row],[_Task]])&amp;"")</f>
        <v/>
      </c>
      <c r="E32" s="44" t="str">
        <f aca="false">IF(MilestoneReport[[#This Row],[_Task]]="","",IF(N(INDEX(tsk_PlanFinish,MilestoneReport[[#This Row],[_Task]]))=0,"",INDEX(tsk_PlanFinish,MilestoneReport[[#This Row],[_Task]])))</f>
        <v/>
      </c>
      <c r="F32" s="44" t="str">
        <f aca="false">IF(MilestoneReport[[#This Row],[_Task]]="","",IF(N(INDEX(tsk_FcFinish,MilestoneReport[[#This Row],[_Task]]))=0,"",INDEX(tsk_FcFinish,MilestoneReport[[#This Row],[_Task]])))</f>
        <v/>
      </c>
      <c r="G32" s="45" t="str">
        <f aca="false">IF(MilestoneReport[[#This Row],[_Task]]="","",INDEX(tsk_Variance,MilestoneReport[[#This Row],[_Task]]))</f>
        <v/>
      </c>
      <c r="H32" s="44" t="str">
        <f aca="false">IF(MilestoneReport[[#This Row],[_Task]]="","",IF(N(INDEX(tsk_Deadline,MilestoneReport[[#This Row],[_Task]]))=0,"",INDEX(tsk_Deadline,MilestoneReport[[#This Row],[_Task]])))</f>
        <v/>
      </c>
      <c r="I32" s="24" t="str">
        <f aca="false">IF(MilestoneReport[[#This Row],[_Task]]="","",INDEX(tsk_DeadlineCheck,MilestoneReport[[#This Row],[_Task]])&amp;"")</f>
        <v/>
      </c>
      <c r="J32" s="24" t="str">
        <f aca="false">IF(MilestoneReport[[#This Row],[_Task]]="","",INDEX(tsk_Status,MilestoneReport[[#This Row],[_Task]])&amp;"")</f>
        <v/>
      </c>
    </row>
    <row r="33" customFormat="false" ht="15" hidden="false" customHeight="false" outlineLevel="0" collapsed="false">
      <c r="B33" s="43" t="str">
        <f aca="false">IFERROR(MATCH(SMALL(tsk_MilestoneOrder,ROW()-ROW(MilestoneReport[[#Headers],[_Task]])),tsk_MilestoneOrder,0),"")</f>
        <v/>
      </c>
      <c r="C33" s="24" t="str">
        <f aca="false">IF(MilestoneReport[[#This Row],[_Task]]="","",INDEX(tsk_WBS,MilestoneReport[[#This Row],[_Task]])&amp;"")</f>
        <v/>
      </c>
      <c r="D33" s="24" t="str">
        <f aca="false">IF(MilestoneReport[[#This Row],[_Task]]="","",INDEX(tsk_Name,MilestoneReport[[#This Row],[_Task]])&amp;"")</f>
        <v/>
      </c>
      <c r="E33" s="44" t="str">
        <f aca="false">IF(MilestoneReport[[#This Row],[_Task]]="","",IF(N(INDEX(tsk_PlanFinish,MilestoneReport[[#This Row],[_Task]]))=0,"",INDEX(tsk_PlanFinish,MilestoneReport[[#This Row],[_Task]])))</f>
        <v/>
      </c>
      <c r="F33" s="44" t="str">
        <f aca="false">IF(MilestoneReport[[#This Row],[_Task]]="","",IF(N(INDEX(tsk_FcFinish,MilestoneReport[[#This Row],[_Task]]))=0,"",INDEX(tsk_FcFinish,MilestoneReport[[#This Row],[_Task]])))</f>
        <v/>
      </c>
      <c r="G33" s="45" t="str">
        <f aca="false">IF(MilestoneReport[[#This Row],[_Task]]="","",INDEX(tsk_Variance,MilestoneReport[[#This Row],[_Task]]))</f>
        <v/>
      </c>
      <c r="H33" s="44" t="str">
        <f aca="false">IF(MilestoneReport[[#This Row],[_Task]]="","",IF(N(INDEX(tsk_Deadline,MilestoneReport[[#This Row],[_Task]]))=0,"",INDEX(tsk_Deadline,MilestoneReport[[#This Row],[_Task]])))</f>
        <v/>
      </c>
      <c r="I33" s="24" t="str">
        <f aca="false">IF(MilestoneReport[[#This Row],[_Task]]="","",INDEX(tsk_DeadlineCheck,MilestoneReport[[#This Row],[_Task]])&amp;"")</f>
        <v/>
      </c>
      <c r="J33" s="24" t="str">
        <f aca="false">IF(MilestoneReport[[#This Row],[_Task]]="","",INDEX(tsk_Status,MilestoneReport[[#This Row],[_Task]])&amp;"")</f>
        <v/>
      </c>
    </row>
    <row r="35" customFormat="false" ht="15" hidden="false" customHeight="false" outlineLevel="0" collapsed="false">
      <c r="C35" s="36" t="str">
        <f aca="false">"Late tasks (most days late first)"&amp;": "&amp;COUNT(tsk_LateKey)&amp;IF(COUNT(tsk_LateKey)&gt;ROWS(LateTasks[_Task])," (showing the first "&amp;ROWS(LateTasks[_Task])&amp;")","")</f>
        <v>Late tasks (most days late first): 0</v>
      </c>
    </row>
    <row r="36" customFormat="false" ht="23.85" hidden="false" customHeight="false" outlineLevel="0" collapsed="false">
      <c r="B36" s="42" t="s">
        <v>163</v>
      </c>
      <c r="C36" s="9" t="s">
        <v>164</v>
      </c>
      <c r="D36" s="9" t="s">
        <v>182</v>
      </c>
      <c r="E36" s="9" t="s">
        <v>183</v>
      </c>
      <c r="F36" s="9" t="s">
        <v>166</v>
      </c>
      <c r="G36" s="9" t="s">
        <v>167</v>
      </c>
      <c r="H36" s="9" t="s">
        <v>168</v>
      </c>
      <c r="I36" s="9" t="s">
        <v>77</v>
      </c>
      <c r="J36" s="9" t="s">
        <v>184</v>
      </c>
    </row>
    <row r="37" customFormat="false" ht="15" hidden="false" customHeight="false" outlineLevel="0" collapsed="false">
      <c r="B37" s="43" t="str">
        <f aca="false">IFERROR(MATCH(LARGE(tsk_LateKey,ROW()-ROW(LateTasks[[#Headers],[_Task]])),tsk_LateKey,0),"")</f>
        <v/>
      </c>
      <c r="C37" s="24" t="str">
        <f aca="false">IF(LateTasks[[#This Row],[_Task]]="","",INDEX(tsk_WBS,LateTasks[[#This Row],[_Task]])&amp;"")</f>
        <v/>
      </c>
      <c r="D37" s="24" t="str">
        <f aca="false">IF(LateTasks[[#This Row],[_Task]]="","",INDEX(tsk_Name,LateTasks[[#This Row],[_Task]])&amp;"")</f>
        <v/>
      </c>
      <c r="E37" s="24" t="str">
        <f aca="false">IF(LateTasks[[#This Row],[_Task]]="","",INDEX(tsk_Resource,LateTasks[[#This Row],[_Task]])&amp;"")</f>
        <v/>
      </c>
      <c r="F37" s="44" t="str">
        <f aca="false">IF(LateTasks[[#This Row],[_Task]]="","",IF(N(INDEX(tsk_PlanFinish,LateTasks[[#This Row],[_Task]]))=0,"",INDEX(tsk_PlanFinish,LateTasks[[#This Row],[_Task]])))</f>
        <v/>
      </c>
      <c r="G37" s="44" t="str">
        <f aca="false">IF(LateTasks[[#This Row],[_Task]]="","",IF(N(INDEX(tsk_FcFinish,LateTasks[[#This Row],[_Task]]))=0,"",INDEX(tsk_FcFinish,LateTasks[[#This Row],[_Task]])))</f>
        <v/>
      </c>
      <c r="H37" s="45" t="str">
        <f aca="false">IF(LateTasks[[#This Row],[_Task]]="","",INDEX(tsk_Variance,LateTasks[[#This Row],[_Task]]))</f>
        <v/>
      </c>
      <c r="I37" s="24" t="str">
        <f aca="false">IF(LateTasks[[#This Row],[_Task]]="","",INDEX(tsk_Status,LateTasks[[#This Row],[_Task]])&amp;"")</f>
        <v/>
      </c>
      <c r="J37" s="24" t="str">
        <f aca="false">IF(LateTasks[[#This Row],[_Task]]="","",INDEX(tsk_Critical,LateTasks[[#This Row],[_Task]])&amp;"")</f>
        <v/>
      </c>
    </row>
    <row r="38" customFormat="false" ht="15" hidden="false" customHeight="false" outlineLevel="0" collapsed="false">
      <c r="B38" s="43" t="str">
        <f aca="false">IFERROR(MATCH(LARGE(tsk_LateKey,ROW()-ROW(LateTasks[[#Headers],[_Task]])),tsk_LateKey,0),"")</f>
        <v/>
      </c>
      <c r="C38" s="24" t="str">
        <f aca="false">IF(LateTasks[[#This Row],[_Task]]="","",INDEX(tsk_WBS,LateTasks[[#This Row],[_Task]])&amp;"")</f>
        <v/>
      </c>
      <c r="D38" s="24" t="str">
        <f aca="false">IF(LateTasks[[#This Row],[_Task]]="","",INDEX(tsk_Name,LateTasks[[#This Row],[_Task]])&amp;"")</f>
        <v/>
      </c>
      <c r="E38" s="24" t="str">
        <f aca="false">IF(LateTasks[[#This Row],[_Task]]="","",INDEX(tsk_Resource,LateTasks[[#This Row],[_Task]])&amp;"")</f>
        <v/>
      </c>
      <c r="F38" s="44" t="str">
        <f aca="false">IF(LateTasks[[#This Row],[_Task]]="","",IF(N(INDEX(tsk_PlanFinish,LateTasks[[#This Row],[_Task]]))=0,"",INDEX(tsk_PlanFinish,LateTasks[[#This Row],[_Task]])))</f>
        <v/>
      </c>
      <c r="G38" s="44" t="str">
        <f aca="false">IF(LateTasks[[#This Row],[_Task]]="","",IF(N(INDEX(tsk_FcFinish,LateTasks[[#This Row],[_Task]]))=0,"",INDEX(tsk_FcFinish,LateTasks[[#This Row],[_Task]])))</f>
        <v/>
      </c>
      <c r="H38" s="45" t="str">
        <f aca="false">IF(LateTasks[[#This Row],[_Task]]="","",INDEX(tsk_Variance,LateTasks[[#This Row],[_Task]]))</f>
        <v/>
      </c>
      <c r="I38" s="24" t="str">
        <f aca="false">IF(LateTasks[[#This Row],[_Task]]="","",INDEX(tsk_Status,LateTasks[[#This Row],[_Task]])&amp;"")</f>
        <v/>
      </c>
      <c r="J38" s="24" t="str">
        <f aca="false">IF(LateTasks[[#This Row],[_Task]]="","",INDEX(tsk_Critical,LateTasks[[#This Row],[_Task]])&amp;"")</f>
        <v/>
      </c>
    </row>
    <row r="39" customFormat="false" ht="15" hidden="false" customHeight="false" outlineLevel="0" collapsed="false">
      <c r="B39" s="43" t="str">
        <f aca="false">IFERROR(MATCH(LARGE(tsk_LateKey,ROW()-ROW(LateTasks[[#Headers],[_Task]])),tsk_LateKey,0),"")</f>
        <v/>
      </c>
      <c r="C39" s="24" t="str">
        <f aca="false">IF(LateTasks[[#This Row],[_Task]]="","",INDEX(tsk_WBS,LateTasks[[#This Row],[_Task]])&amp;"")</f>
        <v/>
      </c>
      <c r="D39" s="24" t="str">
        <f aca="false">IF(LateTasks[[#This Row],[_Task]]="","",INDEX(tsk_Name,LateTasks[[#This Row],[_Task]])&amp;"")</f>
        <v/>
      </c>
      <c r="E39" s="24" t="str">
        <f aca="false">IF(LateTasks[[#This Row],[_Task]]="","",INDEX(tsk_Resource,LateTasks[[#This Row],[_Task]])&amp;"")</f>
        <v/>
      </c>
      <c r="F39" s="44" t="str">
        <f aca="false">IF(LateTasks[[#This Row],[_Task]]="","",IF(N(INDEX(tsk_PlanFinish,LateTasks[[#This Row],[_Task]]))=0,"",INDEX(tsk_PlanFinish,LateTasks[[#This Row],[_Task]])))</f>
        <v/>
      </c>
      <c r="G39" s="44" t="str">
        <f aca="false">IF(LateTasks[[#This Row],[_Task]]="","",IF(N(INDEX(tsk_FcFinish,LateTasks[[#This Row],[_Task]]))=0,"",INDEX(tsk_FcFinish,LateTasks[[#This Row],[_Task]])))</f>
        <v/>
      </c>
      <c r="H39" s="45" t="str">
        <f aca="false">IF(LateTasks[[#This Row],[_Task]]="","",INDEX(tsk_Variance,LateTasks[[#This Row],[_Task]]))</f>
        <v/>
      </c>
      <c r="I39" s="24" t="str">
        <f aca="false">IF(LateTasks[[#This Row],[_Task]]="","",INDEX(tsk_Status,LateTasks[[#This Row],[_Task]])&amp;"")</f>
        <v/>
      </c>
      <c r="J39" s="24" t="str">
        <f aca="false">IF(LateTasks[[#This Row],[_Task]]="","",INDEX(tsk_Critical,LateTasks[[#This Row],[_Task]])&amp;"")</f>
        <v/>
      </c>
    </row>
    <row r="40" customFormat="false" ht="15" hidden="false" customHeight="false" outlineLevel="0" collapsed="false">
      <c r="B40" s="43" t="str">
        <f aca="false">IFERROR(MATCH(LARGE(tsk_LateKey,ROW()-ROW(LateTasks[[#Headers],[_Task]])),tsk_LateKey,0),"")</f>
        <v/>
      </c>
      <c r="C40" s="24" t="str">
        <f aca="false">IF(LateTasks[[#This Row],[_Task]]="","",INDEX(tsk_WBS,LateTasks[[#This Row],[_Task]])&amp;"")</f>
        <v/>
      </c>
      <c r="D40" s="24" t="str">
        <f aca="false">IF(LateTasks[[#This Row],[_Task]]="","",INDEX(tsk_Name,LateTasks[[#This Row],[_Task]])&amp;"")</f>
        <v/>
      </c>
      <c r="E40" s="24" t="str">
        <f aca="false">IF(LateTasks[[#This Row],[_Task]]="","",INDEX(tsk_Resource,LateTasks[[#This Row],[_Task]])&amp;"")</f>
        <v/>
      </c>
      <c r="F40" s="44" t="str">
        <f aca="false">IF(LateTasks[[#This Row],[_Task]]="","",IF(N(INDEX(tsk_PlanFinish,LateTasks[[#This Row],[_Task]]))=0,"",INDEX(tsk_PlanFinish,LateTasks[[#This Row],[_Task]])))</f>
        <v/>
      </c>
      <c r="G40" s="44" t="str">
        <f aca="false">IF(LateTasks[[#This Row],[_Task]]="","",IF(N(INDEX(tsk_FcFinish,LateTasks[[#This Row],[_Task]]))=0,"",INDEX(tsk_FcFinish,LateTasks[[#This Row],[_Task]])))</f>
        <v/>
      </c>
      <c r="H40" s="45" t="str">
        <f aca="false">IF(LateTasks[[#This Row],[_Task]]="","",INDEX(tsk_Variance,LateTasks[[#This Row],[_Task]]))</f>
        <v/>
      </c>
      <c r="I40" s="24" t="str">
        <f aca="false">IF(LateTasks[[#This Row],[_Task]]="","",INDEX(tsk_Status,LateTasks[[#This Row],[_Task]])&amp;"")</f>
        <v/>
      </c>
      <c r="J40" s="24" t="str">
        <f aca="false">IF(LateTasks[[#This Row],[_Task]]="","",INDEX(tsk_Critical,LateTasks[[#This Row],[_Task]])&amp;"")</f>
        <v/>
      </c>
    </row>
    <row r="41" customFormat="false" ht="15" hidden="false" customHeight="false" outlineLevel="0" collapsed="false">
      <c r="B41" s="43" t="str">
        <f aca="false">IFERROR(MATCH(LARGE(tsk_LateKey,ROW()-ROW(LateTasks[[#Headers],[_Task]])),tsk_LateKey,0),"")</f>
        <v/>
      </c>
      <c r="C41" s="24" t="str">
        <f aca="false">IF(LateTasks[[#This Row],[_Task]]="","",INDEX(tsk_WBS,LateTasks[[#This Row],[_Task]])&amp;"")</f>
        <v/>
      </c>
      <c r="D41" s="24" t="str">
        <f aca="false">IF(LateTasks[[#This Row],[_Task]]="","",INDEX(tsk_Name,LateTasks[[#This Row],[_Task]])&amp;"")</f>
        <v/>
      </c>
      <c r="E41" s="24" t="str">
        <f aca="false">IF(LateTasks[[#This Row],[_Task]]="","",INDEX(tsk_Resource,LateTasks[[#This Row],[_Task]])&amp;"")</f>
        <v/>
      </c>
      <c r="F41" s="44" t="str">
        <f aca="false">IF(LateTasks[[#This Row],[_Task]]="","",IF(N(INDEX(tsk_PlanFinish,LateTasks[[#This Row],[_Task]]))=0,"",INDEX(tsk_PlanFinish,LateTasks[[#This Row],[_Task]])))</f>
        <v/>
      </c>
      <c r="G41" s="44" t="str">
        <f aca="false">IF(LateTasks[[#This Row],[_Task]]="","",IF(N(INDEX(tsk_FcFinish,LateTasks[[#This Row],[_Task]]))=0,"",INDEX(tsk_FcFinish,LateTasks[[#This Row],[_Task]])))</f>
        <v/>
      </c>
      <c r="H41" s="45" t="str">
        <f aca="false">IF(LateTasks[[#This Row],[_Task]]="","",INDEX(tsk_Variance,LateTasks[[#This Row],[_Task]]))</f>
        <v/>
      </c>
      <c r="I41" s="24" t="str">
        <f aca="false">IF(LateTasks[[#This Row],[_Task]]="","",INDEX(tsk_Status,LateTasks[[#This Row],[_Task]])&amp;"")</f>
        <v/>
      </c>
      <c r="J41" s="24" t="str">
        <f aca="false">IF(LateTasks[[#This Row],[_Task]]="","",INDEX(tsk_Critical,LateTasks[[#This Row],[_Task]])&amp;"")</f>
        <v/>
      </c>
    </row>
    <row r="42" customFormat="false" ht="15" hidden="false" customHeight="false" outlineLevel="0" collapsed="false">
      <c r="B42" s="43" t="str">
        <f aca="false">IFERROR(MATCH(LARGE(tsk_LateKey,ROW()-ROW(LateTasks[[#Headers],[_Task]])),tsk_LateKey,0),"")</f>
        <v/>
      </c>
      <c r="C42" s="24" t="str">
        <f aca="false">IF(LateTasks[[#This Row],[_Task]]="","",INDEX(tsk_WBS,LateTasks[[#This Row],[_Task]])&amp;"")</f>
        <v/>
      </c>
      <c r="D42" s="24" t="str">
        <f aca="false">IF(LateTasks[[#This Row],[_Task]]="","",INDEX(tsk_Name,LateTasks[[#This Row],[_Task]])&amp;"")</f>
        <v/>
      </c>
      <c r="E42" s="24" t="str">
        <f aca="false">IF(LateTasks[[#This Row],[_Task]]="","",INDEX(tsk_Resource,LateTasks[[#This Row],[_Task]])&amp;"")</f>
        <v/>
      </c>
      <c r="F42" s="44" t="str">
        <f aca="false">IF(LateTasks[[#This Row],[_Task]]="","",IF(N(INDEX(tsk_PlanFinish,LateTasks[[#This Row],[_Task]]))=0,"",INDEX(tsk_PlanFinish,LateTasks[[#This Row],[_Task]])))</f>
        <v/>
      </c>
      <c r="G42" s="44" t="str">
        <f aca="false">IF(LateTasks[[#This Row],[_Task]]="","",IF(N(INDEX(tsk_FcFinish,LateTasks[[#This Row],[_Task]]))=0,"",INDEX(tsk_FcFinish,LateTasks[[#This Row],[_Task]])))</f>
        <v/>
      </c>
      <c r="H42" s="45" t="str">
        <f aca="false">IF(LateTasks[[#This Row],[_Task]]="","",INDEX(tsk_Variance,LateTasks[[#This Row],[_Task]]))</f>
        <v/>
      </c>
      <c r="I42" s="24" t="str">
        <f aca="false">IF(LateTasks[[#This Row],[_Task]]="","",INDEX(tsk_Status,LateTasks[[#This Row],[_Task]])&amp;"")</f>
        <v/>
      </c>
      <c r="J42" s="24" t="str">
        <f aca="false">IF(LateTasks[[#This Row],[_Task]]="","",INDEX(tsk_Critical,LateTasks[[#This Row],[_Task]])&amp;"")</f>
        <v/>
      </c>
    </row>
    <row r="43" customFormat="false" ht="15" hidden="false" customHeight="false" outlineLevel="0" collapsed="false">
      <c r="B43" s="43" t="str">
        <f aca="false">IFERROR(MATCH(LARGE(tsk_LateKey,ROW()-ROW(LateTasks[[#Headers],[_Task]])),tsk_LateKey,0),"")</f>
        <v/>
      </c>
      <c r="C43" s="24" t="str">
        <f aca="false">IF(LateTasks[[#This Row],[_Task]]="","",INDEX(tsk_WBS,LateTasks[[#This Row],[_Task]])&amp;"")</f>
        <v/>
      </c>
      <c r="D43" s="24" t="str">
        <f aca="false">IF(LateTasks[[#This Row],[_Task]]="","",INDEX(tsk_Name,LateTasks[[#This Row],[_Task]])&amp;"")</f>
        <v/>
      </c>
      <c r="E43" s="24" t="str">
        <f aca="false">IF(LateTasks[[#This Row],[_Task]]="","",INDEX(tsk_Resource,LateTasks[[#This Row],[_Task]])&amp;"")</f>
        <v/>
      </c>
      <c r="F43" s="44" t="str">
        <f aca="false">IF(LateTasks[[#This Row],[_Task]]="","",IF(N(INDEX(tsk_PlanFinish,LateTasks[[#This Row],[_Task]]))=0,"",INDEX(tsk_PlanFinish,LateTasks[[#This Row],[_Task]])))</f>
        <v/>
      </c>
      <c r="G43" s="44" t="str">
        <f aca="false">IF(LateTasks[[#This Row],[_Task]]="","",IF(N(INDEX(tsk_FcFinish,LateTasks[[#This Row],[_Task]]))=0,"",INDEX(tsk_FcFinish,LateTasks[[#This Row],[_Task]])))</f>
        <v/>
      </c>
      <c r="H43" s="45" t="str">
        <f aca="false">IF(LateTasks[[#This Row],[_Task]]="","",INDEX(tsk_Variance,LateTasks[[#This Row],[_Task]]))</f>
        <v/>
      </c>
      <c r="I43" s="24" t="str">
        <f aca="false">IF(LateTasks[[#This Row],[_Task]]="","",INDEX(tsk_Status,LateTasks[[#This Row],[_Task]])&amp;"")</f>
        <v/>
      </c>
      <c r="J43" s="24" t="str">
        <f aca="false">IF(LateTasks[[#This Row],[_Task]]="","",INDEX(tsk_Critical,LateTasks[[#This Row],[_Task]])&amp;"")</f>
        <v/>
      </c>
    </row>
    <row r="44" customFormat="false" ht="15" hidden="false" customHeight="false" outlineLevel="0" collapsed="false">
      <c r="B44" s="43" t="str">
        <f aca="false">IFERROR(MATCH(LARGE(tsk_LateKey,ROW()-ROW(LateTasks[[#Headers],[_Task]])),tsk_LateKey,0),"")</f>
        <v/>
      </c>
      <c r="C44" s="24" t="str">
        <f aca="false">IF(LateTasks[[#This Row],[_Task]]="","",INDEX(tsk_WBS,LateTasks[[#This Row],[_Task]])&amp;"")</f>
        <v/>
      </c>
      <c r="D44" s="24" t="str">
        <f aca="false">IF(LateTasks[[#This Row],[_Task]]="","",INDEX(tsk_Name,LateTasks[[#This Row],[_Task]])&amp;"")</f>
        <v/>
      </c>
      <c r="E44" s="24" t="str">
        <f aca="false">IF(LateTasks[[#This Row],[_Task]]="","",INDEX(tsk_Resource,LateTasks[[#This Row],[_Task]])&amp;"")</f>
        <v/>
      </c>
      <c r="F44" s="44" t="str">
        <f aca="false">IF(LateTasks[[#This Row],[_Task]]="","",IF(N(INDEX(tsk_PlanFinish,LateTasks[[#This Row],[_Task]]))=0,"",INDEX(tsk_PlanFinish,LateTasks[[#This Row],[_Task]])))</f>
        <v/>
      </c>
      <c r="G44" s="44" t="str">
        <f aca="false">IF(LateTasks[[#This Row],[_Task]]="","",IF(N(INDEX(tsk_FcFinish,LateTasks[[#This Row],[_Task]]))=0,"",INDEX(tsk_FcFinish,LateTasks[[#This Row],[_Task]])))</f>
        <v/>
      </c>
      <c r="H44" s="45" t="str">
        <f aca="false">IF(LateTasks[[#This Row],[_Task]]="","",INDEX(tsk_Variance,LateTasks[[#This Row],[_Task]]))</f>
        <v/>
      </c>
      <c r="I44" s="24" t="str">
        <f aca="false">IF(LateTasks[[#This Row],[_Task]]="","",INDEX(tsk_Status,LateTasks[[#This Row],[_Task]])&amp;"")</f>
        <v/>
      </c>
      <c r="J44" s="24" t="str">
        <f aca="false">IF(LateTasks[[#This Row],[_Task]]="","",INDEX(tsk_Critical,LateTasks[[#This Row],[_Task]])&amp;"")</f>
        <v/>
      </c>
    </row>
    <row r="45" customFormat="false" ht="15" hidden="false" customHeight="false" outlineLevel="0" collapsed="false">
      <c r="B45" s="43" t="str">
        <f aca="false">IFERROR(MATCH(LARGE(tsk_LateKey,ROW()-ROW(LateTasks[[#Headers],[_Task]])),tsk_LateKey,0),"")</f>
        <v/>
      </c>
      <c r="C45" s="24" t="str">
        <f aca="false">IF(LateTasks[[#This Row],[_Task]]="","",INDEX(tsk_WBS,LateTasks[[#This Row],[_Task]])&amp;"")</f>
        <v/>
      </c>
      <c r="D45" s="24" t="str">
        <f aca="false">IF(LateTasks[[#This Row],[_Task]]="","",INDEX(tsk_Name,LateTasks[[#This Row],[_Task]])&amp;"")</f>
        <v/>
      </c>
      <c r="E45" s="24" t="str">
        <f aca="false">IF(LateTasks[[#This Row],[_Task]]="","",INDEX(tsk_Resource,LateTasks[[#This Row],[_Task]])&amp;"")</f>
        <v/>
      </c>
      <c r="F45" s="44" t="str">
        <f aca="false">IF(LateTasks[[#This Row],[_Task]]="","",IF(N(INDEX(tsk_PlanFinish,LateTasks[[#This Row],[_Task]]))=0,"",INDEX(tsk_PlanFinish,LateTasks[[#This Row],[_Task]])))</f>
        <v/>
      </c>
      <c r="G45" s="44" t="str">
        <f aca="false">IF(LateTasks[[#This Row],[_Task]]="","",IF(N(INDEX(tsk_FcFinish,LateTasks[[#This Row],[_Task]]))=0,"",INDEX(tsk_FcFinish,LateTasks[[#This Row],[_Task]])))</f>
        <v/>
      </c>
      <c r="H45" s="45" t="str">
        <f aca="false">IF(LateTasks[[#This Row],[_Task]]="","",INDEX(tsk_Variance,LateTasks[[#This Row],[_Task]]))</f>
        <v/>
      </c>
      <c r="I45" s="24" t="str">
        <f aca="false">IF(LateTasks[[#This Row],[_Task]]="","",INDEX(tsk_Status,LateTasks[[#This Row],[_Task]])&amp;"")</f>
        <v/>
      </c>
      <c r="J45" s="24" t="str">
        <f aca="false">IF(LateTasks[[#This Row],[_Task]]="","",INDEX(tsk_Critical,LateTasks[[#This Row],[_Task]])&amp;"")</f>
        <v/>
      </c>
    </row>
    <row r="46" customFormat="false" ht="15" hidden="false" customHeight="false" outlineLevel="0" collapsed="false">
      <c r="B46" s="43" t="str">
        <f aca="false">IFERROR(MATCH(LARGE(tsk_LateKey,ROW()-ROW(LateTasks[[#Headers],[_Task]])),tsk_LateKey,0),"")</f>
        <v/>
      </c>
      <c r="C46" s="24" t="str">
        <f aca="false">IF(LateTasks[[#This Row],[_Task]]="","",INDEX(tsk_WBS,LateTasks[[#This Row],[_Task]])&amp;"")</f>
        <v/>
      </c>
      <c r="D46" s="24" t="str">
        <f aca="false">IF(LateTasks[[#This Row],[_Task]]="","",INDEX(tsk_Name,LateTasks[[#This Row],[_Task]])&amp;"")</f>
        <v/>
      </c>
      <c r="E46" s="24" t="str">
        <f aca="false">IF(LateTasks[[#This Row],[_Task]]="","",INDEX(tsk_Resource,LateTasks[[#This Row],[_Task]])&amp;"")</f>
        <v/>
      </c>
      <c r="F46" s="44" t="str">
        <f aca="false">IF(LateTasks[[#This Row],[_Task]]="","",IF(N(INDEX(tsk_PlanFinish,LateTasks[[#This Row],[_Task]]))=0,"",INDEX(tsk_PlanFinish,LateTasks[[#This Row],[_Task]])))</f>
        <v/>
      </c>
      <c r="G46" s="44" t="str">
        <f aca="false">IF(LateTasks[[#This Row],[_Task]]="","",IF(N(INDEX(tsk_FcFinish,LateTasks[[#This Row],[_Task]]))=0,"",INDEX(tsk_FcFinish,LateTasks[[#This Row],[_Task]])))</f>
        <v/>
      </c>
      <c r="H46" s="45" t="str">
        <f aca="false">IF(LateTasks[[#This Row],[_Task]]="","",INDEX(tsk_Variance,LateTasks[[#This Row],[_Task]]))</f>
        <v/>
      </c>
      <c r="I46" s="24" t="str">
        <f aca="false">IF(LateTasks[[#This Row],[_Task]]="","",INDEX(tsk_Status,LateTasks[[#This Row],[_Task]])&amp;"")</f>
        <v/>
      </c>
      <c r="J46" s="24" t="str">
        <f aca="false">IF(LateTasks[[#This Row],[_Task]]="","",INDEX(tsk_Critical,LateTasks[[#This Row],[_Task]])&amp;"")</f>
        <v/>
      </c>
    </row>
    <row r="47" customFormat="false" ht="15" hidden="false" customHeight="false" outlineLevel="0" collapsed="false">
      <c r="B47" s="43" t="str">
        <f aca="false">IFERROR(MATCH(LARGE(tsk_LateKey,ROW()-ROW(LateTasks[[#Headers],[_Task]])),tsk_LateKey,0),"")</f>
        <v/>
      </c>
      <c r="C47" s="24" t="str">
        <f aca="false">IF(LateTasks[[#This Row],[_Task]]="","",INDEX(tsk_WBS,LateTasks[[#This Row],[_Task]])&amp;"")</f>
        <v/>
      </c>
      <c r="D47" s="24" t="str">
        <f aca="false">IF(LateTasks[[#This Row],[_Task]]="","",INDEX(tsk_Name,LateTasks[[#This Row],[_Task]])&amp;"")</f>
        <v/>
      </c>
      <c r="E47" s="24" t="str">
        <f aca="false">IF(LateTasks[[#This Row],[_Task]]="","",INDEX(tsk_Resource,LateTasks[[#This Row],[_Task]])&amp;"")</f>
        <v/>
      </c>
      <c r="F47" s="44" t="str">
        <f aca="false">IF(LateTasks[[#This Row],[_Task]]="","",IF(N(INDEX(tsk_PlanFinish,LateTasks[[#This Row],[_Task]]))=0,"",INDEX(tsk_PlanFinish,LateTasks[[#This Row],[_Task]])))</f>
        <v/>
      </c>
      <c r="G47" s="44" t="str">
        <f aca="false">IF(LateTasks[[#This Row],[_Task]]="","",IF(N(INDEX(tsk_FcFinish,LateTasks[[#This Row],[_Task]]))=0,"",INDEX(tsk_FcFinish,LateTasks[[#This Row],[_Task]])))</f>
        <v/>
      </c>
      <c r="H47" s="45" t="str">
        <f aca="false">IF(LateTasks[[#This Row],[_Task]]="","",INDEX(tsk_Variance,LateTasks[[#This Row],[_Task]]))</f>
        <v/>
      </c>
      <c r="I47" s="24" t="str">
        <f aca="false">IF(LateTasks[[#This Row],[_Task]]="","",INDEX(tsk_Status,LateTasks[[#This Row],[_Task]])&amp;"")</f>
        <v/>
      </c>
      <c r="J47" s="24" t="str">
        <f aca="false">IF(LateTasks[[#This Row],[_Task]]="","",INDEX(tsk_Critical,LateTasks[[#This Row],[_Task]])&amp;"")</f>
        <v/>
      </c>
    </row>
    <row r="48" customFormat="false" ht="15" hidden="false" customHeight="false" outlineLevel="0" collapsed="false">
      <c r="B48" s="43" t="str">
        <f aca="false">IFERROR(MATCH(LARGE(tsk_LateKey,ROW()-ROW(LateTasks[[#Headers],[_Task]])),tsk_LateKey,0),"")</f>
        <v/>
      </c>
      <c r="C48" s="24" t="str">
        <f aca="false">IF(LateTasks[[#This Row],[_Task]]="","",INDEX(tsk_WBS,LateTasks[[#This Row],[_Task]])&amp;"")</f>
        <v/>
      </c>
      <c r="D48" s="24" t="str">
        <f aca="false">IF(LateTasks[[#This Row],[_Task]]="","",INDEX(tsk_Name,LateTasks[[#This Row],[_Task]])&amp;"")</f>
        <v/>
      </c>
      <c r="E48" s="24" t="str">
        <f aca="false">IF(LateTasks[[#This Row],[_Task]]="","",INDEX(tsk_Resource,LateTasks[[#This Row],[_Task]])&amp;"")</f>
        <v/>
      </c>
      <c r="F48" s="44" t="str">
        <f aca="false">IF(LateTasks[[#This Row],[_Task]]="","",IF(N(INDEX(tsk_PlanFinish,LateTasks[[#This Row],[_Task]]))=0,"",INDEX(tsk_PlanFinish,LateTasks[[#This Row],[_Task]])))</f>
        <v/>
      </c>
      <c r="G48" s="44" t="str">
        <f aca="false">IF(LateTasks[[#This Row],[_Task]]="","",IF(N(INDEX(tsk_FcFinish,LateTasks[[#This Row],[_Task]]))=0,"",INDEX(tsk_FcFinish,LateTasks[[#This Row],[_Task]])))</f>
        <v/>
      </c>
      <c r="H48" s="45" t="str">
        <f aca="false">IF(LateTasks[[#This Row],[_Task]]="","",INDEX(tsk_Variance,LateTasks[[#This Row],[_Task]]))</f>
        <v/>
      </c>
      <c r="I48" s="24" t="str">
        <f aca="false">IF(LateTasks[[#This Row],[_Task]]="","",INDEX(tsk_Status,LateTasks[[#This Row],[_Task]])&amp;"")</f>
        <v/>
      </c>
      <c r="J48" s="24" t="str">
        <f aca="false">IF(LateTasks[[#This Row],[_Task]]="","",INDEX(tsk_Critical,LateTasks[[#This Row],[_Task]])&amp;"")</f>
        <v/>
      </c>
    </row>
    <row r="49" customFormat="false" ht="15" hidden="false" customHeight="false" outlineLevel="0" collapsed="false">
      <c r="B49" s="43" t="str">
        <f aca="false">IFERROR(MATCH(LARGE(tsk_LateKey,ROW()-ROW(LateTasks[[#Headers],[_Task]])),tsk_LateKey,0),"")</f>
        <v/>
      </c>
      <c r="C49" s="24" t="str">
        <f aca="false">IF(LateTasks[[#This Row],[_Task]]="","",INDEX(tsk_WBS,LateTasks[[#This Row],[_Task]])&amp;"")</f>
        <v/>
      </c>
      <c r="D49" s="24" t="str">
        <f aca="false">IF(LateTasks[[#This Row],[_Task]]="","",INDEX(tsk_Name,LateTasks[[#This Row],[_Task]])&amp;"")</f>
        <v/>
      </c>
      <c r="E49" s="24" t="str">
        <f aca="false">IF(LateTasks[[#This Row],[_Task]]="","",INDEX(tsk_Resource,LateTasks[[#This Row],[_Task]])&amp;"")</f>
        <v/>
      </c>
      <c r="F49" s="44" t="str">
        <f aca="false">IF(LateTasks[[#This Row],[_Task]]="","",IF(N(INDEX(tsk_PlanFinish,LateTasks[[#This Row],[_Task]]))=0,"",INDEX(tsk_PlanFinish,LateTasks[[#This Row],[_Task]])))</f>
        <v/>
      </c>
      <c r="G49" s="44" t="str">
        <f aca="false">IF(LateTasks[[#This Row],[_Task]]="","",IF(N(INDEX(tsk_FcFinish,LateTasks[[#This Row],[_Task]]))=0,"",INDEX(tsk_FcFinish,LateTasks[[#This Row],[_Task]])))</f>
        <v/>
      </c>
      <c r="H49" s="45" t="str">
        <f aca="false">IF(LateTasks[[#This Row],[_Task]]="","",INDEX(tsk_Variance,LateTasks[[#This Row],[_Task]]))</f>
        <v/>
      </c>
      <c r="I49" s="24" t="str">
        <f aca="false">IF(LateTasks[[#This Row],[_Task]]="","",INDEX(tsk_Status,LateTasks[[#This Row],[_Task]])&amp;"")</f>
        <v/>
      </c>
      <c r="J49" s="24" t="str">
        <f aca="false">IF(LateTasks[[#This Row],[_Task]]="","",INDEX(tsk_Critical,LateTasks[[#This Row],[_Task]])&amp;"")</f>
        <v/>
      </c>
    </row>
    <row r="50" customFormat="false" ht="15" hidden="false" customHeight="false" outlineLevel="0" collapsed="false">
      <c r="B50" s="43" t="str">
        <f aca="false">IFERROR(MATCH(LARGE(tsk_LateKey,ROW()-ROW(LateTasks[[#Headers],[_Task]])),tsk_LateKey,0),"")</f>
        <v/>
      </c>
      <c r="C50" s="24" t="str">
        <f aca="false">IF(LateTasks[[#This Row],[_Task]]="","",INDEX(tsk_WBS,LateTasks[[#This Row],[_Task]])&amp;"")</f>
        <v/>
      </c>
      <c r="D50" s="24" t="str">
        <f aca="false">IF(LateTasks[[#This Row],[_Task]]="","",INDEX(tsk_Name,LateTasks[[#This Row],[_Task]])&amp;"")</f>
        <v/>
      </c>
      <c r="E50" s="24" t="str">
        <f aca="false">IF(LateTasks[[#This Row],[_Task]]="","",INDEX(tsk_Resource,LateTasks[[#This Row],[_Task]])&amp;"")</f>
        <v/>
      </c>
      <c r="F50" s="44" t="str">
        <f aca="false">IF(LateTasks[[#This Row],[_Task]]="","",IF(N(INDEX(tsk_PlanFinish,LateTasks[[#This Row],[_Task]]))=0,"",INDEX(tsk_PlanFinish,LateTasks[[#This Row],[_Task]])))</f>
        <v/>
      </c>
      <c r="G50" s="44" t="str">
        <f aca="false">IF(LateTasks[[#This Row],[_Task]]="","",IF(N(INDEX(tsk_FcFinish,LateTasks[[#This Row],[_Task]]))=0,"",INDEX(tsk_FcFinish,LateTasks[[#This Row],[_Task]])))</f>
        <v/>
      </c>
      <c r="H50" s="45" t="str">
        <f aca="false">IF(LateTasks[[#This Row],[_Task]]="","",INDEX(tsk_Variance,LateTasks[[#This Row],[_Task]]))</f>
        <v/>
      </c>
      <c r="I50" s="24" t="str">
        <f aca="false">IF(LateTasks[[#This Row],[_Task]]="","",INDEX(tsk_Status,LateTasks[[#This Row],[_Task]])&amp;"")</f>
        <v/>
      </c>
      <c r="J50" s="24" t="str">
        <f aca="false">IF(LateTasks[[#This Row],[_Task]]="","",INDEX(tsk_Critical,LateTasks[[#This Row],[_Task]])&amp;"")</f>
        <v/>
      </c>
    </row>
    <row r="51" customFormat="false" ht="15" hidden="false" customHeight="false" outlineLevel="0" collapsed="false">
      <c r="B51" s="43" t="str">
        <f aca="false">IFERROR(MATCH(LARGE(tsk_LateKey,ROW()-ROW(LateTasks[[#Headers],[_Task]])),tsk_LateKey,0),"")</f>
        <v/>
      </c>
      <c r="C51" s="24" t="str">
        <f aca="false">IF(LateTasks[[#This Row],[_Task]]="","",INDEX(tsk_WBS,LateTasks[[#This Row],[_Task]])&amp;"")</f>
        <v/>
      </c>
      <c r="D51" s="24" t="str">
        <f aca="false">IF(LateTasks[[#This Row],[_Task]]="","",INDEX(tsk_Name,LateTasks[[#This Row],[_Task]])&amp;"")</f>
        <v/>
      </c>
      <c r="E51" s="24" t="str">
        <f aca="false">IF(LateTasks[[#This Row],[_Task]]="","",INDEX(tsk_Resource,LateTasks[[#This Row],[_Task]])&amp;"")</f>
        <v/>
      </c>
      <c r="F51" s="44" t="str">
        <f aca="false">IF(LateTasks[[#This Row],[_Task]]="","",IF(N(INDEX(tsk_PlanFinish,LateTasks[[#This Row],[_Task]]))=0,"",INDEX(tsk_PlanFinish,LateTasks[[#This Row],[_Task]])))</f>
        <v/>
      </c>
      <c r="G51" s="44" t="str">
        <f aca="false">IF(LateTasks[[#This Row],[_Task]]="","",IF(N(INDEX(tsk_FcFinish,LateTasks[[#This Row],[_Task]]))=0,"",INDEX(tsk_FcFinish,LateTasks[[#This Row],[_Task]])))</f>
        <v/>
      </c>
      <c r="H51" s="45" t="str">
        <f aca="false">IF(LateTasks[[#This Row],[_Task]]="","",INDEX(tsk_Variance,LateTasks[[#This Row],[_Task]]))</f>
        <v/>
      </c>
      <c r="I51" s="24" t="str">
        <f aca="false">IF(LateTasks[[#This Row],[_Task]]="","",INDEX(tsk_Status,LateTasks[[#This Row],[_Task]])&amp;"")</f>
        <v/>
      </c>
      <c r="J51" s="24" t="str">
        <f aca="false">IF(LateTasks[[#This Row],[_Task]]="","",INDEX(tsk_Critical,LateTasks[[#This Row],[_Task]])&amp;"")</f>
        <v/>
      </c>
    </row>
    <row r="53" customFormat="false" ht="15" hidden="false" customHeight="false" outlineLevel="0" collapsed="false">
      <c r="C53" s="36" t="str">
        <f aca="false">"Starting by "&amp;TEXT(LookaheadEnd,"ddd dd-mmm")&amp;" (look-ahead "&amp;LookaheadDays&amp;" working days)"&amp;": "&amp;COUNT(tsk_StartSoonKey)&amp;IF(COUNT(tsk_StartSoonKey)&gt;ROWS(StartingSoon[_Task])," (showing the first "&amp;ROWS(StartingSoon[_Task])&amp;")","")</f>
        <v>Starting by Fri 12-Jan (look-ahead 10 working days): 0</v>
      </c>
    </row>
    <row r="54" customFormat="false" ht="23.85" hidden="false" customHeight="false" outlineLevel="0" collapsed="false">
      <c r="B54" s="42" t="s">
        <v>163</v>
      </c>
      <c r="C54" s="9" t="s">
        <v>164</v>
      </c>
      <c r="D54" s="9" t="s">
        <v>182</v>
      </c>
      <c r="E54" s="9" t="s">
        <v>183</v>
      </c>
      <c r="F54" s="9" t="s">
        <v>185</v>
      </c>
      <c r="G54" s="9" t="s">
        <v>167</v>
      </c>
      <c r="H54" s="9" t="s">
        <v>186</v>
      </c>
      <c r="I54" s="9" t="s">
        <v>43</v>
      </c>
      <c r="J54" s="9" t="s">
        <v>184</v>
      </c>
    </row>
    <row r="55" customFormat="false" ht="15" hidden="false" customHeight="false" outlineLevel="0" collapsed="false">
      <c r="B55" s="43" t="str">
        <f aca="false">IFERROR(MATCH(SMALL(tsk_StartSoonKey,ROW()-ROW(StartingSoon[[#Headers],[_Task]])),tsk_StartSoonKey,0),"")</f>
        <v/>
      </c>
      <c r="C55" s="24" t="str">
        <f aca="false">IF(StartingSoon[[#This Row],[_Task]]="","",INDEX(tsk_WBS,StartingSoon[[#This Row],[_Task]])&amp;"")</f>
        <v/>
      </c>
      <c r="D55" s="24" t="str">
        <f aca="false">IF(StartingSoon[[#This Row],[_Task]]="","",INDEX(tsk_Name,StartingSoon[[#This Row],[_Task]])&amp;"")</f>
        <v/>
      </c>
      <c r="E55" s="24" t="str">
        <f aca="false">IF(StartingSoon[[#This Row],[_Task]]="","",INDEX(tsk_Resource,StartingSoon[[#This Row],[_Task]])&amp;"")</f>
        <v/>
      </c>
      <c r="F55" s="44" t="str">
        <f aca="false">IF(StartingSoon[[#This Row],[_Task]]="","",IF(N(INDEX(tsk_FcStart,StartingSoon[[#This Row],[_Task]]))=0,"",INDEX(tsk_FcStart,StartingSoon[[#This Row],[_Task]])))</f>
        <v/>
      </c>
      <c r="G55" s="44" t="str">
        <f aca="false">IF(StartingSoon[[#This Row],[_Task]]="","",IF(N(INDEX(tsk_FcFinish,StartingSoon[[#This Row],[_Task]]))=0,"",INDEX(tsk_FcFinish,StartingSoon[[#This Row],[_Task]])))</f>
        <v/>
      </c>
      <c r="H55" s="28" t="str">
        <f aca="false">IF(StartingSoon[[#This Row],[_Task]]="","",INDEX(tsk_Duration,StartingSoon[[#This Row],[_Task]]))</f>
        <v/>
      </c>
      <c r="I55" s="24" t="str">
        <f aca="false">IF(StartingSoon[[#This Row],[_Task]]="","",INDEX(tsk_Predecessors,StartingSoon[[#This Row],[_Task]])&amp;"")</f>
        <v/>
      </c>
      <c r="J55" s="24" t="str">
        <f aca="false">IF(StartingSoon[[#This Row],[_Task]]="","",INDEX(tsk_Critical,StartingSoon[[#This Row],[_Task]])&amp;"")</f>
        <v/>
      </c>
    </row>
    <row r="56" customFormat="false" ht="15" hidden="false" customHeight="false" outlineLevel="0" collapsed="false">
      <c r="B56" s="43" t="str">
        <f aca="false">IFERROR(MATCH(SMALL(tsk_StartSoonKey,ROW()-ROW(StartingSoon[[#Headers],[_Task]])),tsk_StartSoonKey,0),"")</f>
        <v/>
      </c>
      <c r="C56" s="24" t="str">
        <f aca="false">IF(StartingSoon[[#This Row],[_Task]]="","",INDEX(tsk_WBS,StartingSoon[[#This Row],[_Task]])&amp;"")</f>
        <v/>
      </c>
      <c r="D56" s="24" t="str">
        <f aca="false">IF(StartingSoon[[#This Row],[_Task]]="","",INDEX(tsk_Name,StartingSoon[[#This Row],[_Task]])&amp;"")</f>
        <v/>
      </c>
      <c r="E56" s="24" t="str">
        <f aca="false">IF(StartingSoon[[#This Row],[_Task]]="","",INDEX(tsk_Resource,StartingSoon[[#This Row],[_Task]])&amp;"")</f>
        <v/>
      </c>
      <c r="F56" s="44" t="str">
        <f aca="false">IF(StartingSoon[[#This Row],[_Task]]="","",IF(N(INDEX(tsk_FcStart,StartingSoon[[#This Row],[_Task]]))=0,"",INDEX(tsk_FcStart,StartingSoon[[#This Row],[_Task]])))</f>
        <v/>
      </c>
      <c r="G56" s="44" t="str">
        <f aca="false">IF(StartingSoon[[#This Row],[_Task]]="","",IF(N(INDEX(tsk_FcFinish,StartingSoon[[#This Row],[_Task]]))=0,"",INDEX(tsk_FcFinish,StartingSoon[[#This Row],[_Task]])))</f>
        <v/>
      </c>
      <c r="H56" s="28" t="str">
        <f aca="false">IF(StartingSoon[[#This Row],[_Task]]="","",INDEX(tsk_Duration,StartingSoon[[#This Row],[_Task]]))</f>
        <v/>
      </c>
      <c r="I56" s="24" t="str">
        <f aca="false">IF(StartingSoon[[#This Row],[_Task]]="","",INDEX(tsk_Predecessors,StartingSoon[[#This Row],[_Task]])&amp;"")</f>
        <v/>
      </c>
      <c r="J56" s="24" t="str">
        <f aca="false">IF(StartingSoon[[#This Row],[_Task]]="","",INDEX(tsk_Critical,StartingSoon[[#This Row],[_Task]])&amp;"")</f>
        <v/>
      </c>
    </row>
    <row r="57" customFormat="false" ht="15" hidden="false" customHeight="false" outlineLevel="0" collapsed="false">
      <c r="B57" s="43" t="str">
        <f aca="false">IFERROR(MATCH(SMALL(tsk_StartSoonKey,ROW()-ROW(StartingSoon[[#Headers],[_Task]])),tsk_StartSoonKey,0),"")</f>
        <v/>
      </c>
      <c r="C57" s="24" t="str">
        <f aca="false">IF(StartingSoon[[#This Row],[_Task]]="","",INDEX(tsk_WBS,StartingSoon[[#This Row],[_Task]])&amp;"")</f>
        <v/>
      </c>
      <c r="D57" s="24" t="str">
        <f aca="false">IF(StartingSoon[[#This Row],[_Task]]="","",INDEX(tsk_Name,StartingSoon[[#This Row],[_Task]])&amp;"")</f>
        <v/>
      </c>
      <c r="E57" s="24" t="str">
        <f aca="false">IF(StartingSoon[[#This Row],[_Task]]="","",INDEX(tsk_Resource,StartingSoon[[#This Row],[_Task]])&amp;"")</f>
        <v/>
      </c>
      <c r="F57" s="44" t="str">
        <f aca="false">IF(StartingSoon[[#This Row],[_Task]]="","",IF(N(INDEX(tsk_FcStart,StartingSoon[[#This Row],[_Task]]))=0,"",INDEX(tsk_FcStart,StartingSoon[[#This Row],[_Task]])))</f>
        <v/>
      </c>
      <c r="G57" s="44" t="str">
        <f aca="false">IF(StartingSoon[[#This Row],[_Task]]="","",IF(N(INDEX(tsk_FcFinish,StartingSoon[[#This Row],[_Task]]))=0,"",INDEX(tsk_FcFinish,StartingSoon[[#This Row],[_Task]])))</f>
        <v/>
      </c>
      <c r="H57" s="28" t="str">
        <f aca="false">IF(StartingSoon[[#This Row],[_Task]]="","",INDEX(tsk_Duration,StartingSoon[[#This Row],[_Task]]))</f>
        <v/>
      </c>
      <c r="I57" s="24" t="str">
        <f aca="false">IF(StartingSoon[[#This Row],[_Task]]="","",INDEX(tsk_Predecessors,StartingSoon[[#This Row],[_Task]])&amp;"")</f>
        <v/>
      </c>
      <c r="J57" s="24" t="str">
        <f aca="false">IF(StartingSoon[[#This Row],[_Task]]="","",INDEX(tsk_Critical,StartingSoon[[#This Row],[_Task]])&amp;"")</f>
        <v/>
      </c>
    </row>
    <row r="58" customFormat="false" ht="15" hidden="false" customHeight="false" outlineLevel="0" collapsed="false">
      <c r="B58" s="43" t="str">
        <f aca="false">IFERROR(MATCH(SMALL(tsk_StartSoonKey,ROW()-ROW(StartingSoon[[#Headers],[_Task]])),tsk_StartSoonKey,0),"")</f>
        <v/>
      </c>
      <c r="C58" s="24" t="str">
        <f aca="false">IF(StartingSoon[[#This Row],[_Task]]="","",INDEX(tsk_WBS,StartingSoon[[#This Row],[_Task]])&amp;"")</f>
        <v/>
      </c>
      <c r="D58" s="24" t="str">
        <f aca="false">IF(StartingSoon[[#This Row],[_Task]]="","",INDEX(tsk_Name,StartingSoon[[#This Row],[_Task]])&amp;"")</f>
        <v/>
      </c>
      <c r="E58" s="24" t="str">
        <f aca="false">IF(StartingSoon[[#This Row],[_Task]]="","",INDEX(tsk_Resource,StartingSoon[[#This Row],[_Task]])&amp;"")</f>
        <v/>
      </c>
      <c r="F58" s="44" t="str">
        <f aca="false">IF(StartingSoon[[#This Row],[_Task]]="","",IF(N(INDEX(tsk_FcStart,StartingSoon[[#This Row],[_Task]]))=0,"",INDEX(tsk_FcStart,StartingSoon[[#This Row],[_Task]])))</f>
        <v/>
      </c>
      <c r="G58" s="44" t="str">
        <f aca="false">IF(StartingSoon[[#This Row],[_Task]]="","",IF(N(INDEX(tsk_FcFinish,StartingSoon[[#This Row],[_Task]]))=0,"",INDEX(tsk_FcFinish,StartingSoon[[#This Row],[_Task]])))</f>
        <v/>
      </c>
      <c r="H58" s="28" t="str">
        <f aca="false">IF(StartingSoon[[#This Row],[_Task]]="","",INDEX(tsk_Duration,StartingSoon[[#This Row],[_Task]]))</f>
        <v/>
      </c>
      <c r="I58" s="24" t="str">
        <f aca="false">IF(StartingSoon[[#This Row],[_Task]]="","",INDEX(tsk_Predecessors,StartingSoon[[#This Row],[_Task]])&amp;"")</f>
        <v/>
      </c>
      <c r="J58" s="24" t="str">
        <f aca="false">IF(StartingSoon[[#This Row],[_Task]]="","",INDEX(tsk_Critical,StartingSoon[[#This Row],[_Task]])&amp;"")</f>
        <v/>
      </c>
    </row>
    <row r="59" customFormat="false" ht="15" hidden="false" customHeight="false" outlineLevel="0" collapsed="false">
      <c r="B59" s="43" t="str">
        <f aca="false">IFERROR(MATCH(SMALL(tsk_StartSoonKey,ROW()-ROW(StartingSoon[[#Headers],[_Task]])),tsk_StartSoonKey,0),"")</f>
        <v/>
      </c>
      <c r="C59" s="24" t="str">
        <f aca="false">IF(StartingSoon[[#This Row],[_Task]]="","",INDEX(tsk_WBS,StartingSoon[[#This Row],[_Task]])&amp;"")</f>
        <v/>
      </c>
      <c r="D59" s="24" t="str">
        <f aca="false">IF(StartingSoon[[#This Row],[_Task]]="","",INDEX(tsk_Name,StartingSoon[[#This Row],[_Task]])&amp;"")</f>
        <v/>
      </c>
      <c r="E59" s="24" t="str">
        <f aca="false">IF(StartingSoon[[#This Row],[_Task]]="","",INDEX(tsk_Resource,StartingSoon[[#This Row],[_Task]])&amp;"")</f>
        <v/>
      </c>
      <c r="F59" s="44" t="str">
        <f aca="false">IF(StartingSoon[[#This Row],[_Task]]="","",IF(N(INDEX(tsk_FcStart,StartingSoon[[#This Row],[_Task]]))=0,"",INDEX(tsk_FcStart,StartingSoon[[#This Row],[_Task]])))</f>
        <v/>
      </c>
      <c r="G59" s="44" t="str">
        <f aca="false">IF(StartingSoon[[#This Row],[_Task]]="","",IF(N(INDEX(tsk_FcFinish,StartingSoon[[#This Row],[_Task]]))=0,"",INDEX(tsk_FcFinish,StartingSoon[[#This Row],[_Task]])))</f>
        <v/>
      </c>
      <c r="H59" s="28" t="str">
        <f aca="false">IF(StartingSoon[[#This Row],[_Task]]="","",INDEX(tsk_Duration,StartingSoon[[#This Row],[_Task]]))</f>
        <v/>
      </c>
      <c r="I59" s="24" t="str">
        <f aca="false">IF(StartingSoon[[#This Row],[_Task]]="","",INDEX(tsk_Predecessors,StartingSoon[[#This Row],[_Task]])&amp;"")</f>
        <v/>
      </c>
      <c r="J59" s="24" t="str">
        <f aca="false">IF(StartingSoon[[#This Row],[_Task]]="","",INDEX(tsk_Critical,StartingSoon[[#This Row],[_Task]])&amp;"")</f>
        <v/>
      </c>
    </row>
    <row r="60" customFormat="false" ht="15" hidden="false" customHeight="false" outlineLevel="0" collapsed="false">
      <c r="B60" s="43" t="str">
        <f aca="false">IFERROR(MATCH(SMALL(tsk_StartSoonKey,ROW()-ROW(StartingSoon[[#Headers],[_Task]])),tsk_StartSoonKey,0),"")</f>
        <v/>
      </c>
      <c r="C60" s="24" t="str">
        <f aca="false">IF(StartingSoon[[#This Row],[_Task]]="","",INDEX(tsk_WBS,StartingSoon[[#This Row],[_Task]])&amp;"")</f>
        <v/>
      </c>
      <c r="D60" s="24" t="str">
        <f aca="false">IF(StartingSoon[[#This Row],[_Task]]="","",INDEX(tsk_Name,StartingSoon[[#This Row],[_Task]])&amp;"")</f>
        <v/>
      </c>
      <c r="E60" s="24" t="str">
        <f aca="false">IF(StartingSoon[[#This Row],[_Task]]="","",INDEX(tsk_Resource,StartingSoon[[#This Row],[_Task]])&amp;"")</f>
        <v/>
      </c>
      <c r="F60" s="44" t="str">
        <f aca="false">IF(StartingSoon[[#This Row],[_Task]]="","",IF(N(INDEX(tsk_FcStart,StartingSoon[[#This Row],[_Task]]))=0,"",INDEX(tsk_FcStart,StartingSoon[[#This Row],[_Task]])))</f>
        <v/>
      </c>
      <c r="G60" s="44" t="str">
        <f aca="false">IF(StartingSoon[[#This Row],[_Task]]="","",IF(N(INDEX(tsk_FcFinish,StartingSoon[[#This Row],[_Task]]))=0,"",INDEX(tsk_FcFinish,StartingSoon[[#This Row],[_Task]])))</f>
        <v/>
      </c>
      <c r="H60" s="28" t="str">
        <f aca="false">IF(StartingSoon[[#This Row],[_Task]]="","",INDEX(tsk_Duration,StartingSoon[[#This Row],[_Task]]))</f>
        <v/>
      </c>
      <c r="I60" s="24" t="str">
        <f aca="false">IF(StartingSoon[[#This Row],[_Task]]="","",INDEX(tsk_Predecessors,StartingSoon[[#This Row],[_Task]])&amp;"")</f>
        <v/>
      </c>
      <c r="J60" s="24" t="str">
        <f aca="false">IF(StartingSoon[[#This Row],[_Task]]="","",INDEX(tsk_Critical,StartingSoon[[#This Row],[_Task]])&amp;"")</f>
        <v/>
      </c>
    </row>
    <row r="61" customFormat="false" ht="15" hidden="false" customHeight="false" outlineLevel="0" collapsed="false">
      <c r="B61" s="43" t="str">
        <f aca="false">IFERROR(MATCH(SMALL(tsk_StartSoonKey,ROW()-ROW(StartingSoon[[#Headers],[_Task]])),tsk_StartSoonKey,0),"")</f>
        <v/>
      </c>
      <c r="C61" s="24" t="str">
        <f aca="false">IF(StartingSoon[[#This Row],[_Task]]="","",INDEX(tsk_WBS,StartingSoon[[#This Row],[_Task]])&amp;"")</f>
        <v/>
      </c>
      <c r="D61" s="24" t="str">
        <f aca="false">IF(StartingSoon[[#This Row],[_Task]]="","",INDEX(tsk_Name,StartingSoon[[#This Row],[_Task]])&amp;"")</f>
        <v/>
      </c>
      <c r="E61" s="24" t="str">
        <f aca="false">IF(StartingSoon[[#This Row],[_Task]]="","",INDEX(tsk_Resource,StartingSoon[[#This Row],[_Task]])&amp;"")</f>
        <v/>
      </c>
      <c r="F61" s="44" t="str">
        <f aca="false">IF(StartingSoon[[#This Row],[_Task]]="","",IF(N(INDEX(tsk_FcStart,StartingSoon[[#This Row],[_Task]]))=0,"",INDEX(tsk_FcStart,StartingSoon[[#This Row],[_Task]])))</f>
        <v/>
      </c>
      <c r="G61" s="44" t="str">
        <f aca="false">IF(StartingSoon[[#This Row],[_Task]]="","",IF(N(INDEX(tsk_FcFinish,StartingSoon[[#This Row],[_Task]]))=0,"",INDEX(tsk_FcFinish,StartingSoon[[#This Row],[_Task]])))</f>
        <v/>
      </c>
      <c r="H61" s="28" t="str">
        <f aca="false">IF(StartingSoon[[#This Row],[_Task]]="","",INDEX(tsk_Duration,StartingSoon[[#This Row],[_Task]]))</f>
        <v/>
      </c>
      <c r="I61" s="24" t="str">
        <f aca="false">IF(StartingSoon[[#This Row],[_Task]]="","",INDEX(tsk_Predecessors,StartingSoon[[#This Row],[_Task]])&amp;"")</f>
        <v/>
      </c>
      <c r="J61" s="24" t="str">
        <f aca="false">IF(StartingSoon[[#This Row],[_Task]]="","",INDEX(tsk_Critical,StartingSoon[[#This Row],[_Task]])&amp;"")</f>
        <v/>
      </c>
    </row>
    <row r="62" customFormat="false" ht="15" hidden="false" customHeight="false" outlineLevel="0" collapsed="false">
      <c r="B62" s="43" t="str">
        <f aca="false">IFERROR(MATCH(SMALL(tsk_StartSoonKey,ROW()-ROW(StartingSoon[[#Headers],[_Task]])),tsk_StartSoonKey,0),"")</f>
        <v/>
      </c>
      <c r="C62" s="24" t="str">
        <f aca="false">IF(StartingSoon[[#This Row],[_Task]]="","",INDEX(tsk_WBS,StartingSoon[[#This Row],[_Task]])&amp;"")</f>
        <v/>
      </c>
      <c r="D62" s="24" t="str">
        <f aca="false">IF(StartingSoon[[#This Row],[_Task]]="","",INDEX(tsk_Name,StartingSoon[[#This Row],[_Task]])&amp;"")</f>
        <v/>
      </c>
      <c r="E62" s="24" t="str">
        <f aca="false">IF(StartingSoon[[#This Row],[_Task]]="","",INDEX(tsk_Resource,StartingSoon[[#This Row],[_Task]])&amp;"")</f>
        <v/>
      </c>
      <c r="F62" s="44" t="str">
        <f aca="false">IF(StartingSoon[[#This Row],[_Task]]="","",IF(N(INDEX(tsk_FcStart,StartingSoon[[#This Row],[_Task]]))=0,"",INDEX(tsk_FcStart,StartingSoon[[#This Row],[_Task]])))</f>
        <v/>
      </c>
      <c r="G62" s="44" t="str">
        <f aca="false">IF(StartingSoon[[#This Row],[_Task]]="","",IF(N(INDEX(tsk_FcFinish,StartingSoon[[#This Row],[_Task]]))=0,"",INDEX(tsk_FcFinish,StartingSoon[[#This Row],[_Task]])))</f>
        <v/>
      </c>
      <c r="H62" s="28" t="str">
        <f aca="false">IF(StartingSoon[[#This Row],[_Task]]="","",INDEX(tsk_Duration,StartingSoon[[#This Row],[_Task]]))</f>
        <v/>
      </c>
      <c r="I62" s="24" t="str">
        <f aca="false">IF(StartingSoon[[#This Row],[_Task]]="","",INDEX(tsk_Predecessors,StartingSoon[[#This Row],[_Task]])&amp;"")</f>
        <v/>
      </c>
      <c r="J62" s="24" t="str">
        <f aca="false">IF(StartingSoon[[#This Row],[_Task]]="","",INDEX(tsk_Critical,StartingSoon[[#This Row],[_Task]])&amp;"")</f>
        <v/>
      </c>
    </row>
    <row r="63" customFormat="false" ht="15" hidden="false" customHeight="false" outlineLevel="0" collapsed="false">
      <c r="B63" s="43" t="str">
        <f aca="false">IFERROR(MATCH(SMALL(tsk_StartSoonKey,ROW()-ROW(StartingSoon[[#Headers],[_Task]])),tsk_StartSoonKey,0),"")</f>
        <v/>
      </c>
      <c r="C63" s="24" t="str">
        <f aca="false">IF(StartingSoon[[#This Row],[_Task]]="","",INDEX(tsk_WBS,StartingSoon[[#This Row],[_Task]])&amp;"")</f>
        <v/>
      </c>
      <c r="D63" s="24" t="str">
        <f aca="false">IF(StartingSoon[[#This Row],[_Task]]="","",INDEX(tsk_Name,StartingSoon[[#This Row],[_Task]])&amp;"")</f>
        <v/>
      </c>
      <c r="E63" s="24" t="str">
        <f aca="false">IF(StartingSoon[[#This Row],[_Task]]="","",INDEX(tsk_Resource,StartingSoon[[#This Row],[_Task]])&amp;"")</f>
        <v/>
      </c>
      <c r="F63" s="44" t="str">
        <f aca="false">IF(StartingSoon[[#This Row],[_Task]]="","",IF(N(INDEX(tsk_FcStart,StartingSoon[[#This Row],[_Task]]))=0,"",INDEX(tsk_FcStart,StartingSoon[[#This Row],[_Task]])))</f>
        <v/>
      </c>
      <c r="G63" s="44" t="str">
        <f aca="false">IF(StartingSoon[[#This Row],[_Task]]="","",IF(N(INDEX(tsk_FcFinish,StartingSoon[[#This Row],[_Task]]))=0,"",INDEX(tsk_FcFinish,StartingSoon[[#This Row],[_Task]])))</f>
        <v/>
      </c>
      <c r="H63" s="28" t="str">
        <f aca="false">IF(StartingSoon[[#This Row],[_Task]]="","",INDEX(tsk_Duration,StartingSoon[[#This Row],[_Task]]))</f>
        <v/>
      </c>
      <c r="I63" s="24" t="str">
        <f aca="false">IF(StartingSoon[[#This Row],[_Task]]="","",INDEX(tsk_Predecessors,StartingSoon[[#This Row],[_Task]])&amp;"")</f>
        <v/>
      </c>
      <c r="J63" s="24" t="str">
        <f aca="false">IF(StartingSoon[[#This Row],[_Task]]="","",INDEX(tsk_Critical,StartingSoon[[#This Row],[_Task]])&amp;"")</f>
        <v/>
      </c>
    </row>
    <row r="64" customFormat="false" ht="15" hidden="false" customHeight="false" outlineLevel="0" collapsed="false">
      <c r="B64" s="43" t="str">
        <f aca="false">IFERROR(MATCH(SMALL(tsk_StartSoonKey,ROW()-ROW(StartingSoon[[#Headers],[_Task]])),tsk_StartSoonKey,0),"")</f>
        <v/>
      </c>
      <c r="C64" s="24" t="str">
        <f aca="false">IF(StartingSoon[[#This Row],[_Task]]="","",INDEX(tsk_WBS,StartingSoon[[#This Row],[_Task]])&amp;"")</f>
        <v/>
      </c>
      <c r="D64" s="24" t="str">
        <f aca="false">IF(StartingSoon[[#This Row],[_Task]]="","",INDEX(tsk_Name,StartingSoon[[#This Row],[_Task]])&amp;"")</f>
        <v/>
      </c>
      <c r="E64" s="24" t="str">
        <f aca="false">IF(StartingSoon[[#This Row],[_Task]]="","",INDEX(tsk_Resource,StartingSoon[[#This Row],[_Task]])&amp;"")</f>
        <v/>
      </c>
      <c r="F64" s="44" t="str">
        <f aca="false">IF(StartingSoon[[#This Row],[_Task]]="","",IF(N(INDEX(tsk_FcStart,StartingSoon[[#This Row],[_Task]]))=0,"",INDEX(tsk_FcStart,StartingSoon[[#This Row],[_Task]])))</f>
        <v/>
      </c>
      <c r="G64" s="44" t="str">
        <f aca="false">IF(StartingSoon[[#This Row],[_Task]]="","",IF(N(INDEX(tsk_FcFinish,StartingSoon[[#This Row],[_Task]]))=0,"",INDEX(tsk_FcFinish,StartingSoon[[#This Row],[_Task]])))</f>
        <v/>
      </c>
      <c r="H64" s="28" t="str">
        <f aca="false">IF(StartingSoon[[#This Row],[_Task]]="","",INDEX(tsk_Duration,StartingSoon[[#This Row],[_Task]]))</f>
        <v/>
      </c>
      <c r="I64" s="24" t="str">
        <f aca="false">IF(StartingSoon[[#This Row],[_Task]]="","",INDEX(tsk_Predecessors,StartingSoon[[#This Row],[_Task]])&amp;"")</f>
        <v/>
      </c>
      <c r="J64" s="24" t="str">
        <f aca="false">IF(StartingSoon[[#This Row],[_Task]]="","",INDEX(tsk_Critical,StartingSoon[[#This Row],[_Task]])&amp;"")</f>
        <v/>
      </c>
    </row>
    <row r="65" customFormat="false" ht="15" hidden="false" customHeight="false" outlineLevel="0" collapsed="false">
      <c r="B65" s="43" t="str">
        <f aca="false">IFERROR(MATCH(SMALL(tsk_StartSoonKey,ROW()-ROW(StartingSoon[[#Headers],[_Task]])),tsk_StartSoonKey,0),"")</f>
        <v/>
      </c>
      <c r="C65" s="24" t="str">
        <f aca="false">IF(StartingSoon[[#This Row],[_Task]]="","",INDEX(tsk_WBS,StartingSoon[[#This Row],[_Task]])&amp;"")</f>
        <v/>
      </c>
      <c r="D65" s="24" t="str">
        <f aca="false">IF(StartingSoon[[#This Row],[_Task]]="","",INDEX(tsk_Name,StartingSoon[[#This Row],[_Task]])&amp;"")</f>
        <v/>
      </c>
      <c r="E65" s="24" t="str">
        <f aca="false">IF(StartingSoon[[#This Row],[_Task]]="","",INDEX(tsk_Resource,StartingSoon[[#This Row],[_Task]])&amp;"")</f>
        <v/>
      </c>
      <c r="F65" s="44" t="str">
        <f aca="false">IF(StartingSoon[[#This Row],[_Task]]="","",IF(N(INDEX(tsk_FcStart,StartingSoon[[#This Row],[_Task]]))=0,"",INDEX(tsk_FcStart,StartingSoon[[#This Row],[_Task]])))</f>
        <v/>
      </c>
      <c r="G65" s="44" t="str">
        <f aca="false">IF(StartingSoon[[#This Row],[_Task]]="","",IF(N(INDEX(tsk_FcFinish,StartingSoon[[#This Row],[_Task]]))=0,"",INDEX(tsk_FcFinish,StartingSoon[[#This Row],[_Task]])))</f>
        <v/>
      </c>
      <c r="H65" s="28" t="str">
        <f aca="false">IF(StartingSoon[[#This Row],[_Task]]="","",INDEX(tsk_Duration,StartingSoon[[#This Row],[_Task]]))</f>
        <v/>
      </c>
      <c r="I65" s="24" t="str">
        <f aca="false">IF(StartingSoon[[#This Row],[_Task]]="","",INDEX(tsk_Predecessors,StartingSoon[[#This Row],[_Task]])&amp;"")</f>
        <v/>
      </c>
      <c r="J65" s="24" t="str">
        <f aca="false">IF(StartingSoon[[#This Row],[_Task]]="","",INDEX(tsk_Critical,StartingSoon[[#This Row],[_Task]])&amp;"")</f>
        <v/>
      </c>
    </row>
    <row r="66" customFormat="false" ht="15" hidden="false" customHeight="false" outlineLevel="0" collapsed="false">
      <c r="B66" s="43" t="str">
        <f aca="false">IFERROR(MATCH(SMALL(tsk_StartSoonKey,ROW()-ROW(StartingSoon[[#Headers],[_Task]])),tsk_StartSoonKey,0),"")</f>
        <v/>
      </c>
      <c r="C66" s="24" t="str">
        <f aca="false">IF(StartingSoon[[#This Row],[_Task]]="","",INDEX(tsk_WBS,StartingSoon[[#This Row],[_Task]])&amp;"")</f>
        <v/>
      </c>
      <c r="D66" s="24" t="str">
        <f aca="false">IF(StartingSoon[[#This Row],[_Task]]="","",INDEX(tsk_Name,StartingSoon[[#This Row],[_Task]])&amp;"")</f>
        <v/>
      </c>
      <c r="E66" s="24" t="str">
        <f aca="false">IF(StartingSoon[[#This Row],[_Task]]="","",INDEX(tsk_Resource,StartingSoon[[#This Row],[_Task]])&amp;"")</f>
        <v/>
      </c>
      <c r="F66" s="44" t="str">
        <f aca="false">IF(StartingSoon[[#This Row],[_Task]]="","",IF(N(INDEX(tsk_FcStart,StartingSoon[[#This Row],[_Task]]))=0,"",INDEX(tsk_FcStart,StartingSoon[[#This Row],[_Task]])))</f>
        <v/>
      </c>
      <c r="G66" s="44" t="str">
        <f aca="false">IF(StartingSoon[[#This Row],[_Task]]="","",IF(N(INDEX(tsk_FcFinish,StartingSoon[[#This Row],[_Task]]))=0,"",INDEX(tsk_FcFinish,StartingSoon[[#This Row],[_Task]])))</f>
        <v/>
      </c>
      <c r="H66" s="28" t="str">
        <f aca="false">IF(StartingSoon[[#This Row],[_Task]]="","",INDEX(tsk_Duration,StartingSoon[[#This Row],[_Task]]))</f>
        <v/>
      </c>
      <c r="I66" s="24" t="str">
        <f aca="false">IF(StartingSoon[[#This Row],[_Task]]="","",INDEX(tsk_Predecessors,StartingSoon[[#This Row],[_Task]])&amp;"")</f>
        <v/>
      </c>
      <c r="J66" s="24" t="str">
        <f aca="false">IF(StartingSoon[[#This Row],[_Task]]="","",INDEX(tsk_Critical,StartingSoon[[#This Row],[_Task]])&amp;"")</f>
        <v/>
      </c>
    </row>
    <row r="67" customFormat="false" ht="15" hidden="false" customHeight="false" outlineLevel="0" collapsed="false">
      <c r="B67" s="43" t="str">
        <f aca="false">IFERROR(MATCH(SMALL(tsk_StartSoonKey,ROW()-ROW(StartingSoon[[#Headers],[_Task]])),tsk_StartSoonKey,0),"")</f>
        <v/>
      </c>
      <c r="C67" s="24" t="str">
        <f aca="false">IF(StartingSoon[[#This Row],[_Task]]="","",INDEX(tsk_WBS,StartingSoon[[#This Row],[_Task]])&amp;"")</f>
        <v/>
      </c>
      <c r="D67" s="24" t="str">
        <f aca="false">IF(StartingSoon[[#This Row],[_Task]]="","",INDEX(tsk_Name,StartingSoon[[#This Row],[_Task]])&amp;"")</f>
        <v/>
      </c>
      <c r="E67" s="24" t="str">
        <f aca="false">IF(StartingSoon[[#This Row],[_Task]]="","",INDEX(tsk_Resource,StartingSoon[[#This Row],[_Task]])&amp;"")</f>
        <v/>
      </c>
      <c r="F67" s="44" t="str">
        <f aca="false">IF(StartingSoon[[#This Row],[_Task]]="","",IF(N(INDEX(tsk_FcStart,StartingSoon[[#This Row],[_Task]]))=0,"",INDEX(tsk_FcStart,StartingSoon[[#This Row],[_Task]])))</f>
        <v/>
      </c>
      <c r="G67" s="44" t="str">
        <f aca="false">IF(StartingSoon[[#This Row],[_Task]]="","",IF(N(INDEX(tsk_FcFinish,StartingSoon[[#This Row],[_Task]]))=0,"",INDEX(tsk_FcFinish,StartingSoon[[#This Row],[_Task]])))</f>
        <v/>
      </c>
      <c r="H67" s="28" t="str">
        <f aca="false">IF(StartingSoon[[#This Row],[_Task]]="","",INDEX(tsk_Duration,StartingSoon[[#This Row],[_Task]]))</f>
        <v/>
      </c>
      <c r="I67" s="24" t="str">
        <f aca="false">IF(StartingSoon[[#This Row],[_Task]]="","",INDEX(tsk_Predecessors,StartingSoon[[#This Row],[_Task]])&amp;"")</f>
        <v/>
      </c>
      <c r="J67" s="24" t="str">
        <f aca="false">IF(StartingSoon[[#This Row],[_Task]]="","",INDEX(tsk_Critical,StartingSoon[[#This Row],[_Task]])&amp;"")</f>
        <v/>
      </c>
    </row>
    <row r="68" customFormat="false" ht="15" hidden="false" customHeight="false" outlineLevel="0" collapsed="false">
      <c r="B68" s="43" t="str">
        <f aca="false">IFERROR(MATCH(SMALL(tsk_StartSoonKey,ROW()-ROW(StartingSoon[[#Headers],[_Task]])),tsk_StartSoonKey,0),"")</f>
        <v/>
      </c>
      <c r="C68" s="24" t="str">
        <f aca="false">IF(StartingSoon[[#This Row],[_Task]]="","",INDEX(tsk_WBS,StartingSoon[[#This Row],[_Task]])&amp;"")</f>
        <v/>
      </c>
      <c r="D68" s="24" t="str">
        <f aca="false">IF(StartingSoon[[#This Row],[_Task]]="","",INDEX(tsk_Name,StartingSoon[[#This Row],[_Task]])&amp;"")</f>
        <v/>
      </c>
      <c r="E68" s="24" t="str">
        <f aca="false">IF(StartingSoon[[#This Row],[_Task]]="","",INDEX(tsk_Resource,StartingSoon[[#This Row],[_Task]])&amp;"")</f>
        <v/>
      </c>
      <c r="F68" s="44" t="str">
        <f aca="false">IF(StartingSoon[[#This Row],[_Task]]="","",IF(N(INDEX(tsk_FcStart,StartingSoon[[#This Row],[_Task]]))=0,"",INDEX(tsk_FcStart,StartingSoon[[#This Row],[_Task]])))</f>
        <v/>
      </c>
      <c r="G68" s="44" t="str">
        <f aca="false">IF(StartingSoon[[#This Row],[_Task]]="","",IF(N(INDEX(tsk_FcFinish,StartingSoon[[#This Row],[_Task]]))=0,"",INDEX(tsk_FcFinish,StartingSoon[[#This Row],[_Task]])))</f>
        <v/>
      </c>
      <c r="H68" s="28" t="str">
        <f aca="false">IF(StartingSoon[[#This Row],[_Task]]="","",INDEX(tsk_Duration,StartingSoon[[#This Row],[_Task]]))</f>
        <v/>
      </c>
      <c r="I68" s="24" t="str">
        <f aca="false">IF(StartingSoon[[#This Row],[_Task]]="","",INDEX(tsk_Predecessors,StartingSoon[[#This Row],[_Task]])&amp;"")</f>
        <v/>
      </c>
      <c r="J68" s="24" t="str">
        <f aca="false">IF(StartingSoon[[#This Row],[_Task]]="","",INDEX(tsk_Critical,StartingSoon[[#This Row],[_Task]])&amp;"")</f>
        <v/>
      </c>
    </row>
    <row r="69" customFormat="false" ht="15" hidden="false" customHeight="false" outlineLevel="0" collapsed="false">
      <c r="B69" s="43" t="str">
        <f aca="false">IFERROR(MATCH(SMALL(tsk_StartSoonKey,ROW()-ROW(StartingSoon[[#Headers],[_Task]])),tsk_StartSoonKey,0),"")</f>
        <v/>
      </c>
      <c r="C69" s="24" t="str">
        <f aca="false">IF(StartingSoon[[#This Row],[_Task]]="","",INDEX(tsk_WBS,StartingSoon[[#This Row],[_Task]])&amp;"")</f>
        <v/>
      </c>
      <c r="D69" s="24" t="str">
        <f aca="false">IF(StartingSoon[[#This Row],[_Task]]="","",INDEX(tsk_Name,StartingSoon[[#This Row],[_Task]])&amp;"")</f>
        <v/>
      </c>
      <c r="E69" s="24" t="str">
        <f aca="false">IF(StartingSoon[[#This Row],[_Task]]="","",INDEX(tsk_Resource,StartingSoon[[#This Row],[_Task]])&amp;"")</f>
        <v/>
      </c>
      <c r="F69" s="44" t="str">
        <f aca="false">IF(StartingSoon[[#This Row],[_Task]]="","",IF(N(INDEX(tsk_FcStart,StartingSoon[[#This Row],[_Task]]))=0,"",INDEX(tsk_FcStart,StartingSoon[[#This Row],[_Task]])))</f>
        <v/>
      </c>
      <c r="G69" s="44" t="str">
        <f aca="false">IF(StartingSoon[[#This Row],[_Task]]="","",IF(N(INDEX(tsk_FcFinish,StartingSoon[[#This Row],[_Task]]))=0,"",INDEX(tsk_FcFinish,StartingSoon[[#This Row],[_Task]])))</f>
        <v/>
      </c>
      <c r="H69" s="28" t="str">
        <f aca="false">IF(StartingSoon[[#This Row],[_Task]]="","",INDEX(tsk_Duration,StartingSoon[[#This Row],[_Task]]))</f>
        <v/>
      </c>
      <c r="I69" s="24" t="str">
        <f aca="false">IF(StartingSoon[[#This Row],[_Task]]="","",INDEX(tsk_Predecessors,StartingSoon[[#This Row],[_Task]])&amp;"")</f>
        <v/>
      </c>
      <c r="J69" s="24" t="str">
        <f aca="false">IF(StartingSoon[[#This Row],[_Task]]="","",INDEX(tsk_Critical,StartingSoon[[#This Row],[_Task]])&amp;"")</f>
        <v/>
      </c>
    </row>
    <row r="71" customFormat="false" ht="15" hidden="false" customHeight="false" outlineLevel="0" collapsed="false">
      <c r="C71" s="36" t="str">
        <f aca="false">"Due by "&amp;TEXT(LookaheadEnd,"ddd dd-mmm")&amp;": "&amp;COUNT(tsk_DueSoonKey)&amp;IF(COUNT(tsk_DueSoonKey)&gt;ROWS(DueSoon[_Task])," (showing the first "&amp;ROWS(DueSoon[_Task])&amp;")","")</f>
        <v>Due by Fri 12-Jan: 0</v>
      </c>
    </row>
    <row r="72" customFormat="false" ht="23.85" hidden="false" customHeight="false" outlineLevel="0" collapsed="false">
      <c r="B72" s="42" t="s">
        <v>163</v>
      </c>
      <c r="C72" s="9" t="s">
        <v>164</v>
      </c>
      <c r="D72" s="9" t="s">
        <v>182</v>
      </c>
      <c r="E72" s="9" t="s">
        <v>183</v>
      </c>
      <c r="F72" s="9" t="s">
        <v>167</v>
      </c>
      <c r="G72" s="9" t="s">
        <v>169</v>
      </c>
      <c r="H72" s="9" t="s">
        <v>181</v>
      </c>
      <c r="I72" s="9" t="s">
        <v>77</v>
      </c>
      <c r="J72" s="9" t="s">
        <v>184</v>
      </c>
    </row>
    <row r="73" customFormat="false" ht="15" hidden="false" customHeight="false" outlineLevel="0" collapsed="false">
      <c r="B73" s="43" t="str">
        <f aca="false">IFERROR(MATCH(SMALL(tsk_DueSoonKey,ROW()-ROW(DueSoon[[#Headers],[_Task]])),tsk_DueSoonKey,0),"")</f>
        <v/>
      </c>
      <c r="C73" s="24" t="str">
        <f aca="false">IF(DueSoon[[#This Row],[_Task]]="","",INDEX(tsk_WBS,DueSoon[[#This Row],[_Task]])&amp;"")</f>
        <v/>
      </c>
      <c r="D73" s="24" t="str">
        <f aca="false">IF(DueSoon[[#This Row],[_Task]]="","",INDEX(tsk_Name,DueSoon[[#This Row],[_Task]])&amp;"")</f>
        <v/>
      </c>
      <c r="E73" s="24" t="str">
        <f aca="false">IF(DueSoon[[#This Row],[_Task]]="","",INDEX(tsk_Resource,DueSoon[[#This Row],[_Task]])&amp;"")</f>
        <v/>
      </c>
      <c r="F73" s="44" t="str">
        <f aca="false">IF(DueSoon[[#This Row],[_Task]]="","",IF(N(INDEX(tsk_FcFinish,DueSoon[[#This Row],[_Task]]))=0,"",INDEX(tsk_FcFinish,DueSoon[[#This Row],[_Task]])))</f>
        <v/>
      </c>
      <c r="G73" s="46" t="str">
        <f aca="false">IF(DueSoon[[#This Row],[_Task]]="","",INDEX(tsk_Progress,DueSoon[[#This Row],[_Task]]))</f>
        <v/>
      </c>
      <c r="H73" s="24" t="str">
        <f aca="false">IF(DueSoon[[#This Row],[_Task]]="","",INDEX(tsk_DeadlineCheck,DueSoon[[#This Row],[_Task]])&amp;"")</f>
        <v/>
      </c>
      <c r="I73" s="24" t="str">
        <f aca="false">IF(DueSoon[[#This Row],[_Task]]="","",INDEX(tsk_Status,DueSoon[[#This Row],[_Task]])&amp;"")</f>
        <v/>
      </c>
      <c r="J73" s="24" t="str">
        <f aca="false">IF(DueSoon[[#This Row],[_Task]]="","",INDEX(tsk_Critical,DueSoon[[#This Row],[_Task]])&amp;"")</f>
        <v/>
      </c>
    </row>
    <row r="74" customFormat="false" ht="15" hidden="false" customHeight="false" outlineLevel="0" collapsed="false">
      <c r="B74" s="43" t="str">
        <f aca="false">IFERROR(MATCH(SMALL(tsk_DueSoonKey,ROW()-ROW(DueSoon[[#Headers],[_Task]])),tsk_DueSoonKey,0),"")</f>
        <v/>
      </c>
      <c r="C74" s="24" t="str">
        <f aca="false">IF(DueSoon[[#This Row],[_Task]]="","",INDEX(tsk_WBS,DueSoon[[#This Row],[_Task]])&amp;"")</f>
        <v/>
      </c>
      <c r="D74" s="24" t="str">
        <f aca="false">IF(DueSoon[[#This Row],[_Task]]="","",INDEX(tsk_Name,DueSoon[[#This Row],[_Task]])&amp;"")</f>
        <v/>
      </c>
      <c r="E74" s="24" t="str">
        <f aca="false">IF(DueSoon[[#This Row],[_Task]]="","",INDEX(tsk_Resource,DueSoon[[#This Row],[_Task]])&amp;"")</f>
        <v/>
      </c>
      <c r="F74" s="44" t="str">
        <f aca="false">IF(DueSoon[[#This Row],[_Task]]="","",IF(N(INDEX(tsk_FcFinish,DueSoon[[#This Row],[_Task]]))=0,"",INDEX(tsk_FcFinish,DueSoon[[#This Row],[_Task]])))</f>
        <v/>
      </c>
      <c r="G74" s="46" t="str">
        <f aca="false">IF(DueSoon[[#This Row],[_Task]]="","",INDEX(tsk_Progress,DueSoon[[#This Row],[_Task]]))</f>
        <v/>
      </c>
      <c r="H74" s="24" t="str">
        <f aca="false">IF(DueSoon[[#This Row],[_Task]]="","",INDEX(tsk_DeadlineCheck,DueSoon[[#This Row],[_Task]])&amp;"")</f>
        <v/>
      </c>
      <c r="I74" s="24" t="str">
        <f aca="false">IF(DueSoon[[#This Row],[_Task]]="","",INDEX(tsk_Status,DueSoon[[#This Row],[_Task]])&amp;"")</f>
        <v/>
      </c>
      <c r="J74" s="24" t="str">
        <f aca="false">IF(DueSoon[[#This Row],[_Task]]="","",INDEX(tsk_Critical,DueSoon[[#This Row],[_Task]])&amp;"")</f>
        <v/>
      </c>
    </row>
    <row r="75" customFormat="false" ht="15" hidden="false" customHeight="false" outlineLevel="0" collapsed="false">
      <c r="B75" s="43" t="str">
        <f aca="false">IFERROR(MATCH(SMALL(tsk_DueSoonKey,ROW()-ROW(DueSoon[[#Headers],[_Task]])),tsk_DueSoonKey,0),"")</f>
        <v/>
      </c>
      <c r="C75" s="24" t="str">
        <f aca="false">IF(DueSoon[[#This Row],[_Task]]="","",INDEX(tsk_WBS,DueSoon[[#This Row],[_Task]])&amp;"")</f>
        <v/>
      </c>
      <c r="D75" s="24" t="str">
        <f aca="false">IF(DueSoon[[#This Row],[_Task]]="","",INDEX(tsk_Name,DueSoon[[#This Row],[_Task]])&amp;"")</f>
        <v/>
      </c>
      <c r="E75" s="24" t="str">
        <f aca="false">IF(DueSoon[[#This Row],[_Task]]="","",INDEX(tsk_Resource,DueSoon[[#This Row],[_Task]])&amp;"")</f>
        <v/>
      </c>
      <c r="F75" s="44" t="str">
        <f aca="false">IF(DueSoon[[#This Row],[_Task]]="","",IF(N(INDEX(tsk_FcFinish,DueSoon[[#This Row],[_Task]]))=0,"",INDEX(tsk_FcFinish,DueSoon[[#This Row],[_Task]])))</f>
        <v/>
      </c>
      <c r="G75" s="46" t="str">
        <f aca="false">IF(DueSoon[[#This Row],[_Task]]="","",INDEX(tsk_Progress,DueSoon[[#This Row],[_Task]]))</f>
        <v/>
      </c>
      <c r="H75" s="24" t="str">
        <f aca="false">IF(DueSoon[[#This Row],[_Task]]="","",INDEX(tsk_DeadlineCheck,DueSoon[[#This Row],[_Task]])&amp;"")</f>
        <v/>
      </c>
      <c r="I75" s="24" t="str">
        <f aca="false">IF(DueSoon[[#This Row],[_Task]]="","",INDEX(tsk_Status,DueSoon[[#This Row],[_Task]])&amp;"")</f>
        <v/>
      </c>
      <c r="J75" s="24" t="str">
        <f aca="false">IF(DueSoon[[#This Row],[_Task]]="","",INDEX(tsk_Critical,DueSoon[[#This Row],[_Task]])&amp;"")</f>
        <v/>
      </c>
    </row>
    <row r="76" customFormat="false" ht="15" hidden="false" customHeight="false" outlineLevel="0" collapsed="false">
      <c r="B76" s="43" t="str">
        <f aca="false">IFERROR(MATCH(SMALL(tsk_DueSoonKey,ROW()-ROW(DueSoon[[#Headers],[_Task]])),tsk_DueSoonKey,0),"")</f>
        <v/>
      </c>
      <c r="C76" s="24" t="str">
        <f aca="false">IF(DueSoon[[#This Row],[_Task]]="","",INDEX(tsk_WBS,DueSoon[[#This Row],[_Task]])&amp;"")</f>
        <v/>
      </c>
      <c r="D76" s="24" t="str">
        <f aca="false">IF(DueSoon[[#This Row],[_Task]]="","",INDEX(tsk_Name,DueSoon[[#This Row],[_Task]])&amp;"")</f>
        <v/>
      </c>
      <c r="E76" s="24" t="str">
        <f aca="false">IF(DueSoon[[#This Row],[_Task]]="","",INDEX(tsk_Resource,DueSoon[[#This Row],[_Task]])&amp;"")</f>
        <v/>
      </c>
      <c r="F76" s="44" t="str">
        <f aca="false">IF(DueSoon[[#This Row],[_Task]]="","",IF(N(INDEX(tsk_FcFinish,DueSoon[[#This Row],[_Task]]))=0,"",INDEX(tsk_FcFinish,DueSoon[[#This Row],[_Task]])))</f>
        <v/>
      </c>
      <c r="G76" s="46" t="str">
        <f aca="false">IF(DueSoon[[#This Row],[_Task]]="","",INDEX(tsk_Progress,DueSoon[[#This Row],[_Task]]))</f>
        <v/>
      </c>
      <c r="H76" s="24" t="str">
        <f aca="false">IF(DueSoon[[#This Row],[_Task]]="","",INDEX(tsk_DeadlineCheck,DueSoon[[#This Row],[_Task]])&amp;"")</f>
        <v/>
      </c>
      <c r="I76" s="24" t="str">
        <f aca="false">IF(DueSoon[[#This Row],[_Task]]="","",INDEX(tsk_Status,DueSoon[[#This Row],[_Task]])&amp;"")</f>
        <v/>
      </c>
      <c r="J76" s="24" t="str">
        <f aca="false">IF(DueSoon[[#This Row],[_Task]]="","",INDEX(tsk_Critical,DueSoon[[#This Row],[_Task]])&amp;"")</f>
        <v/>
      </c>
    </row>
    <row r="77" customFormat="false" ht="15" hidden="false" customHeight="false" outlineLevel="0" collapsed="false">
      <c r="B77" s="43" t="str">
        <f aca="false">IFERROR(MATCH(SMALL(tsk_DueSoonKey,ROW()-ROW(DueSoon[[#Headers],[_Task]])),tsk_DueSoonKey,0),"")</f>
        <v/>
      </c>
      <c r="C77" s="24" t="str">
        <f aca="false">IF(DueSoon[[#This Row],[_Task]]="","",INDEX(tsk_WBS,DueSoon[[#This Row],[_Task]])&amp;"")</f>
        <v/>
      </c>
      <c r="D77" s="24" t="str">
        <f aca="false">IF(DueSoon[[#This Row],[_Task]]="","",INDEX(tsk_Name,DueSoon[[#This Row],[_Task]])&amp;"")</f>
        <v/>
      </c>
      <c r="E77" s="24" t="str">
        <f aca="false">IF(DueSoon[[#This Row],[_Task]]="","",INDEX(tsk_Resource,DueSoon[[#This Row],[_Task]])&amp;"")</f>
        <v/>
      </c>
      <c r="F77" s="44" t="str">
        <f aca="false">IF(DueSoon[[#This Row],[_Task]]="","",IF(N(INDEX(tsk_FcFinish,DueSoon[[#This Row],[_Task]]))=0,"",INDEX(tsk_FcFinish,DueSoon[[#This Row],[_Task]])))</f>
        <v/>
      </c>
      <c r="G77" s="46" t="str">
        <f aca="false">IF(DueSoon[[#This Row],[_Task]]="","",INDEX(tsk_Progress,DueSoon[[#This Row],[_Task]]))</f>
        <v/>
      </c>
      <c r="H77" s="24" t="str">
        <f aca="false">IF(DueSoon[[#This Row],[_Task]]="","",INDEX(tsk_DeadlineCheck,DueSoon[[#This Row],[_Task]])&amp;"")</f>
        <v/>
      </c>
      <c r="I77" s="24" t="str">
        <f aca="false">IF(DueSoon[[#This Row],[_Task]]="","",INDEX(tsk_Status,DueSoon[[#This Row],[_Task]])&amp;"")</f>
        <v/>
      </c>
      <c r="J77" s="24" t="str">
        <f aca="false">IF(DueSoon[[#This Row],[_Task]]="","",INDEX(tsk_Critical,DueSoon[[#This Row],[_Task]])&amp;"")</f>
        <v/>
      </c>
    </row>
    <row r="78" customFormat="false" ht="15" hidden="false" customHeight="false" outlineLevel="0" collapsed="false">
      <c r="B78" s="43" t="str">
        <f aca="false">IFERROR(MATCH(SMALL(tsk_DueSoonKey,ROW()-ROW(DueSoon[[#Headers],[_Task]])),tsk_DueSoonKey,0),"")</f>
        <v/>
      </c>
      <c r="C78" s="24" t="str">
        <f aca="false">IF(DueSoon[[#This Row],[_Task]]="","",INDEX(tsk_WBS,DueSoon[[#This Row],[_Task]])&amp;"")</f>
        <v/>
      </c>
      <c r="D78" s="24" t="str">
        <f aca="false">IF(DueSoon[[#This Row],[_Task]]="","",INDEX(tsk_Name,DueSoon[[#This Row],[_Task]])&amp;"")</f>
        <v/>
      </c>
      <c r="E78" s="24" t="str">
        <f aca="false">IF(DueSoon[[#This Row],[_Task]]="","",INDEX(tsk_Resource,DueSoon[[#This Row],[_Task]])&amp;"")</f>
        <v/>
      </c>
      <c r="F78" s="44" t="str">
        <f aca="false">IF(DueSoon[[#This Row],[_Task]]="","",IF(N(INDEX(tsk_FcFinish,DueSoon[[#This Row],[_Task]]))=0,"",INDEX(tsk_FcFinish,DueSoon[[#This Row],[_Task]])))</f>
        <v/>
      </c>
      <c r="G78" s="46" t="str">
        <f aca="false">IF(DueSoon[[#This Row],[_Task]]="","",INDEX(tsk_Progress,DueSoon[[#This Row],[_Task]]))</f>
        <v/>
      </c>
      <c r="H78" s="24" t="str">
        <f aca="false">IF(DueSoon[[#This Row],[_Task]]="","",INDEX(tsk_DeadlineCheck,DueSoon[[#This Row],[_Task]])&amp;"")</f>
        <v/>
      </c>
      <c r="I78" s="24" t="str">
        <f aca="false">IF(DueSoon[[#This Row],[_Task]]="","",INDEX(tsk_Status,DueSoon[[#This Row],[_Task]])&amp;"")</f>
        <v/>
      </c>
      <c r="J78" s="24" t="str">
        <f aca="false">IF(DueSoon[[#This Row],[_Task]]="","",INDEX(tsk_Critical,DueSoon[[#This Row],[_Task]])&amp;"")</f>
        <v/>
      </c>
    </row>
    <row r="79" customFormat="false" ht="15" hidden="false" customHeight="false" outlineLevel="0" collapsed="false">
      <c r="B79" s="43" t="str">
        <f aca="false">IFERROR(MATCH(SMALL(tsk_DueSoonKey,ROW()-ROW(DueSoon[[#Headers],[_Task]])),tsk_DueSoonKey,0),"")</f>
        <v/>
      </c>
      <c r="C79" s="24" t="str">
        <f aca="false">IF(DueSoon[[#This Row],[_Task]]="","",INDEX(tsk_WBS,DueSoon[[#This Row],[_Task]])&amp;"")</f>
        <v/>
      </c>
      <c r="D79" s="24" t="str">
        <f aca="false">IF(DueSoon[[#This Row],[_Task]]="","",INDEX(tsk_Name,DueSoon[[#This Row],[_Task]])&amp;"")</f>
        <v/>
      </c>
      <c r="E79" s="24" t="str">
        <f aca="false">IF(DueSoon[[#This Row],[_Task]]="","",INDEX(tsk_Resource,DueSoon[[#This Row],[_Task]])&amp;"")</f>
        <v/>
      </c>
      <c r="F79" s="44" t="str">
        <f aca="false">IF(DueSoon[[#This Row],[_Task]]="","",IF(N(INDEX(tsk_FcFinish,DueSoon[[#This Row],[_Task]]))=0,"",INDEX(tsk_FcFinish,DueSoon[[#This Row],[_Task]])))</f>
        <v/>
      </c>
      <c r="G79" s="46" t="str">
        <f aca="false">IF(DueSoon[[#This Row],[_Task]]="","",INDEX(tsk_Progress,DueSoon[[#This Row],[_Task]]))</f>
        <v/>
      </c>
      <c r="H79" s="24" t="str">
        <f aca="false">IF(DueSoon[[#This Row],[_Task]]="","",INDEX(tsk_DeadlineCheck,DueSoon[[#This Row],[_Task]])&amp;"")</f>
        <v/>
      </c>
      <c r="I79" s="24" t="str">
        <f aca="false">IF(DueSoon[[#This Row],[_Task]]="","",INDEX(tsk_Status,DueSoon[[#This Row],[_Task]])&amp;"")</f>
        <v/>
      </c>
      <c r="J79" s="24" t="str">
        <f aca="false">IF(DueSoon[[#This Row],[_Task]]="","",INDEX(tsk_Critical,DueSoon[[#This Row],[_Task]])&amp;"")</f>
        <v/>
      </c>
    </row>
    <row r="80" customFormat="false" ht="15" hidden="false" customHeight="false" outlineLevel="0" collapsed="false">
      <c r="B80" s="43" t="str">
        <f aca="false">IFERROR(MATCH(SMALL(tsk_DueSoonKey,ROW()-ROW(DueSoon[[#Headers],[_Task]])),tsk_DueSoonKey,0),"")</f>
        <v/>
      </c>
      <c r="C80" s="24" t="str">
        <f aca="false">IF(DueSoon[[#This Row],[_Task]]="","",INDEX(tsk_WBS,DueSoon[[#This Row],[_Task]])&amp;"")</f>
        <v/>
      </c>
      <c r="D80" s="24" t="str">
        <f aca="false">IF(DueSoon[[#This Row],[_Task]]="","",INDEX(tsk_Name,DueSoon[[#This Row],[_Task]])&amp;"")</f>
        <v/>
      </c>
      <c r="E80" s="24" t="str">
        <f aca="false">IF(DueSoon[[#This Row],[_Task]]="","",INDEX(tsk_Resource,DueSoon[[#This Row],[_Task]])&amp;"")</f>
        <v/>
      </c>
      <c r="F80" s="44" t="str">
        <f aca="false">IF(DueSoon[[#This Row],[_Task]]="","",IF(N(INDEX(tsk_FcFinish,DueSoon[[#This Row],[_Task]]))=0,"",INDEX(tsk_FcFinish,DueSoon[[#This Row],[_Task]])))</f>
        <v/>
      </c>
      <c r="G80" s="46" t="str">
        <f aca="false">IF(DueSoon[[#This Row],[_Task]]="","",INDEX(tsk_Progress,DueSoon[[#This Row],[_Task]]))</f>
        <v/>
      </c>
      <c r="H80" s="24" t="str">
        <f aca="false">IF(DueSoon[[#This Row],[_Task]]="","",INDEX(tsk_DeadlineCheck,DueSoon[[#This Row],[_Task]])&amp;"")</f>
        <v/>
      </c>
      <c r="I80" s="24" t="str">
        <f aca="false">IF(DueSoon[[#This Row],[_Task]]="","",INDEX(tsk_Status,DueSoon[[#This Row],[_Task]])&amp;"")</f>
        <v/>
      </c>
      <c r="J80" s="24" t="str">
        <f aca="false">IF(DueSoon[[#This Row],[_Task]]="","",INDEX(tsk_Critical,DueSoon[[#This Row],[_Task]])&amp;"")</f>
        <v/>
      </c>
    </row>
    <row r="81" customFormat="false" ht="15" hidden="false" customHeight="false" outlineLevel="0" collapsed="false">
      <c r="B81" s="43" t="str">
        <f aca="false">IFERROR(MATCH(SMALL(tsk_DueSoonKey,ROW()-ROW(DueSoon[[#Headers],[_Task]])),tsk_DueSoonKey,0),"")</f>
        <v/>
      </c>
      <c r="C81" s="24" t="str">
        <f aca="false">IF(DueSoon[[#This Row],[_Task]]="","",INDEX(tsk_WBS,DueSoon[[#This Row],[_Task]])&amp;"")</f>
        <v/>
      </c>
      <c r="D81" s="24" t="str">
        <f aca="false">IF(DueSoon[[#This Row],[_Task]]="","",INDEX(tsk_Name,DueSoon[[#This Row],[_Task]])&amp;"")</f>
        <v/>
      </c>
      <c r="E81" s="24" t="str">
        <f aca="false">IF(DueSoon[[#This Row],[_Task]]="","",INDEX(tsk_Resource,DueSoon[[#This Row],[_Task]])&amp;"")</f>
        <v/>
      </c>
      <c r="F81" s="44" t="str">
        <f aca="false">IF(DueSoon[[#This Row],[_Task]]="","",IF(N(INDEX(tsk_FcFinish,DueSoon[[#This Row],[_Task]]))=0,"",INDEX(tsk_FcFinish,DueSoon[[#This Row],[_Task]])))</f>
        <v/>
      </c>
      <c r="G81" s="46" t="str">
        <f aca="false">IF(DueSoon[[#This Row],[_Task]]="","",INDEX(tsk_Progress,DueSoon[[#This Row],[_Task]]))</f>
        <v/>
      </c>
      <c r="H81" s="24" t="str">
        <f aca="false">IF(DueSoon[[#This Row],[_Task]]="","",INDEX(tsk_DeadlineCheck,DueSoon[[#This Row],[_Task]])&amp;"")</f>
        <v/>
      </c>
      <c r="I81" s="24" t="str">
        <f aca="false">IF(DueSoon[[#This Row],[_Task]]="","",INDEX(tsk_Status,DueSoon[[#This Row],[_Task]])&amp;"")</f>
        <v/>
      </c>
      <c r="J81" s="24" t="str">
        <f aca="false">IF(DueSoon[[#This Row],[_Task]]="","",INDEX(tsk_Critical,DueSoon[[#This Row],[_Task]])&amp;"")</f>
        <v/>
      </c>
    </row>
    <row r="82" customFormat="false" ht="15" hidden="false" customHeight="false" outlineLevel="0" collapsed="false">
      <c r="B82" s="43" t="str">
        <f aca="false">IFERROR(MATCH(SMALL(tsk_DueSoonKey,ROW()-ROW(DueSoon[[#Headers],[_Task]])),tsk_DueSoonKey,0),"")</f>
        <v/>
      </c>
      <c r="C82" s="24" t="str">
        <f aca="false">IF(DueSoon[[#This Row],[_Task]]="","",INDEX(tsk_WBS,DueSoon[[#This Row],[_Task]])&amp;"")</f>
        <v/>
      </c>
      <c r="D82" s="24" t="str">
        <f aca="false">IF(DueSoon[[#This Row],[_Task]]="","",INDEX(tsk_Name,DueSoon[[#This Row],[_Task]])&amp;"")</f>
        <v/>
      </c>
      <c r="E82" s="24" t="str">
        <f aca="false">IF(DueSoon[[#This Row],[_Task]]="","",INDEX(tsk_Resource,DueSoon[[#This Row],[_Task]])&amp;"")</f>
        <v/>
      </c>
      <c r="F82" s="44" t="str">
        <f aca="false">IF(DueSoon[[#This Row],[_Task]]="","",IF(N(INDEX(tsk_FcFinish,DueSoon[[#This Row],[_Task]]))=0,"",INDEX(tsk_FcFinish,DueSoon[[#This Row],[_Task]])))</f>
        <v/>
      </c>
      <c r="G82" s="46" t="str">
        <f aca="false">IF(DueSoon[[#This Row],[_Task]]="","",INDEX(tsk_Progress,DueSoon[[#This Row],[_Task]]))</f>
        <v/>
      </c>
      <c r="H82" s="24" t="str">
        <f aca="false">IF(DueSoon[[#This Row],[_Task]]="","",INDEX(tsk_DeadlineCheck,DueSoon[[#This Row],[_Task]])&amp;"")</f>
        <v/>
      </c>
      <c r="I82" s="24" t="str">
        <f aca="false">IF(DueSoon[[#This Row],[_Task]]="","",INDEX(tsk_Status,DueSoon[[#This Row],[_Task]])&amp;"")</f>
        <v/>
      </c>
      <c r="J82" s="24" t="str">
        <f aca="false">IF(DueSoon[[#This Row],[_Task]]="","",INDEX(tsk_Critical,DueSoon[[#This Row],[_Task]])&amp;"")</f>
        <v/>
      </c>
    </row>
    <row r="83" customFormat="false" ht="15" hidden="false" customHeight="false" outlineLevel="0" collapsed="false">
      <c r="B83" s="43" t="str">
        <f aca="false">IFERROR(MATCH(SMALL(tsk_DueSoonKey,ROW()-ROW(DueSoon[[#Headers],[_Task]])),tsk_DueSoonKey,0),"")</f>
        <v/>
      </c>
      <c r="C83" s="24" t="str">
        <f aca="false">IF(DueSoon[[#This Row],[_Task]]="","",INDEX(tsk_WBS,DueSoon[[#This Row],[_Task]])&amp;"")</f>
        <v/>
      </c>
      <c r="D83" s="24" t="str">
        <f aca="false">IF(DueSoon[[#This Row],[_Task]]="","",INDEX(tsk_Name,DueSoon[[#This Row],[_Task]])&amp;"")</f>
        <v/>
      </c>
      <c r="E83" s="24" t="str">
        <f aca="false">IF(DueSoon[[#This Row],[_Task]]="","",INDEX(tsk_Resource,DueSoon[[#This Row],[_Task]])&amp;"")</f>
        <v/>
      </c>
      <c r="F83" s="44" t="str">
        <f aca="false">IF(DueSoon[[#This Row],[_Task]]="","",IF(N(INDEX(tsk_FcFinish,DueSoon[[#This Row],[_Task]]))=0,"",INDEX(tsk_FcFinish,DueSoon[[#This Row],[_Task]])))</f>
        <v/>
      </c>
      <c r="G83" s="46" t="str">
        <f aca="false">IF(DueSoon[[#This Row],[_Task]]="","",INDEX(tsk_Progress,DueSoon[[#This Row],[_Task]]))</f>
        <v/>
      </c>
      <c r="H83" s="24" t="str">
        <f aca="false">IF(DueSoon[[#This Row],[_Task]]="","",INDEX(tsk_DeadlineCheck,DueSoon[[#This Row],[_Task]])&amp;"")</f>
        <v/>
      </c>
      <c r="I83" s="24" t="str">
        <f aca="false">IF(DueSoon[[#This Row],[_Task]]="","",INDEX(tsk_Status,DueSoon[[#This Row],[_Task]])&amp;"")</f>
        <v/>
      </c>
      <c r="J83" s="24" t="str">
        <f aca="false">IF(DueSoon[[#This Row],[_Task]]="","",INDEX(tsk_Critical,DueSoon[[#This Row],[_Task]])&amp;"")</f>
        <v/>
      </c>
    </row>
    <row r="84" customFormat="false" ht="15" hidden="false" customHeight="false" outlineLevel="0" collapsed="false">
      <c r="B84" s="43" t="str">
        <f aca="false">IFERROR(MATCH(SMALL(tsk_DueSoonKey,ROW()-ROW(DueSoon[[#Headers],[_Task]])),tsk_DueSoonKey,0),"")</f>
        <v/>
      </c>
      <c r="C84" s="24" t="str">
        <f aca="false">IF(DueSoon[[#This Row],[_Task]]="","",INDEX(tsk_WBS,DueSoon[[#This Row],[_Task]])&amp;"")</f>
        <v/>
      </c>
      <c r="D84" s="24" t="str">
        <f aca="false">IF(DueSoon[[#This Row],[_Task]]="","",INDEX(tsk_Name,DueSoon[[#This Row],[_Task]])&amp;"")</f>
        <v/>
      </c>
      <c r="E84" s="24" t="str">
        <f aca="false">IF(DueSoon[[#This Row],[_Task]]="","",INDEX(tsk_Resource,DueSoon[[#This Row],[_Task]])&amp;"")</f>
        <v/>
      </c>
      <c r="F84" s="44" t="str">
        <f aca="false">IF(DueSoon[[#This Row],[_Task]]="","",IF(N(INDEX(tsk_FcFinish,DueSoon[[#This Row],[_Task]]))=0,"",INDEX(tsk_FcFinish,DueSoon[[#This Row],[_Task]])))</f>
        <v/>
      </c>
      <c r="G84" s="46" t="str">
        <f aca="false">IF(DueSoon[[#This Row],[_Task]]="","",INDEX(tsk_Progress,DueSoon[[#This Row],[_Task]]))</f>
        <v/>
      </c>
      <c r="H84" s="24" t="str">
        <f aca="false">IF(DueSoon[[#This Row],[_Task]]="","",INDEX(tsk_DeadlineCheck,DueSoon[[#This Row],[_Task]])&amp;"")</f>
        <v/>
      </c>
      <c r="I84" s="24" t="str">
        <f aca="false">IF(DueSoon[[#This Row],[_Task]]="","",INDEX(tsk_Status,DueSoon[[#This Row],[_Task]])&amp;"")</f>
        <v/>
      </c>
      <c r="J84" s="24" t="str">
        <f aca="false">IF(DueSoon[[#This Row],[_Task]]="","",INDEX(tsk_Critical,DueSoon[[#This Row],[_Task]])&amp;"")</f>
        <v/>
      </c>
    </row>
    <row r="85" customFormat="false" ht="15" hidden="false" customHeight="false" outlineLevel="0" collapsed="false">
      <c r="B85" s="43" t="str">
        <f aca="false">IFERROR(MATCH(SMALL(tsk_DueSoonKey,ROW()-ROW(DueSoon[[#Headers],[_Task]])),tsk_DueSoonKey,0),"")</f>
        <v/>
      </c>
      <c r="C85" s="24" t="str">
        <f aca="false">IF(DueSoon[[#This Row],[_Task]]="","",INDEX(tsk_WBS,DueSoon[[#This Row],[_Task]])&amp;"")</f>
        <v/>
      </c>
      <c r="D85" s="24" t="str">
        <f aca="false">IF(DueSoon[[#This Row],[_Task]]="","",INDEX(tsk_Name,DueSoon[[#This Row],[_Task]])&amp;"")</f>
        <v/>
      </c>
      <c r="E85" s="24" t="str">
        <f aca="false">IF(DueSoon[[#This Row],[_Task]]="","",INDEX(tsk_Resource,DueSoon[[#This Row],[_Task]])&amp;"")</f>
        <v/>
      </c>
      <c r="F85" s="44" t="str">
        <f aca="false">IF(DueSoon[[#This Row],[_Task]]="","",IF(N(INDEX(tsk_FcFinish,DueSoon[[#This Row],[_Task]]))=0,"",INDEX(tsk_FcFinish,DueSoon[[#This Row],[_Task]])))</f>
        <v/>
      </c>
      <c r="G85" s="46" t="str">
        <f aca="false">IF(DueSoon[[#This Row],[_Task]]="","",INDEX(tsk_Progress,DueSoon[[#This Row],[_Task]]))</f>
        <v/>
      </c>
      <c r="H85" s="24" t="str">
        <f aca="false">IF(DueSoon[[#This Row],[_Task]]="","",INDEX(tsk_DeadlineCheck,DueSoon[[#This Row],[_Task]])&amp;"")</f>
        <v/>
      </c>
      <c r="I85" s="24" t="str">
        <f aca="false">IF(DueSoon[[#This Row],[_Task]]="","",INDEX(tsk_Status,DueSoon[[#This Row],[_Task]])&amp;"")</f>
        <v/>
      </c>
      <c r="J85" s="24" t="str">
        <f aca="false">IF(DueSoon[[#This Row],[_Task]]="","",INDEX(tsk_Critical,DueSoon[[#This Row],[_Task]])&amp;"")</f>
        <v/>
      </c>
    </row>
    <row r="86" customFormat="false" ht="15" hidden="false" customHeight="false" outlineLevel="0" collapsed="false">
      <c r="B86" s="43" t="str">
        <f aca="false">IFERROR(MATCH(SMALL(tsk_DueSoonKey,ROW()-ROW(DueSoon[[#Headers],[_Task]])),tsk_DueSoonKey,0),"")</f>
        <v/>
      </c>
      <c r="C86" s="24" t="str">
        <f aca="false">IF(DueSoon[[#This Row],[_Task]]="","",INDEX(tsk_WBS,DueSoon[[#This Row],[_Task]])&amp;"")</f>
        <v/>
      </c>
      <c r="D86" s="24" t="str">
        <f aca="false">IF(DueSoon[[#This Row],[_Task]]="","",INDEX(tsk_Name,DueSoon[[#This Row],[_Task]])&amp;"")</f>
        <v/>
      </c>
      <c r="E86" s="24" t="str">
        <f aca="false">IF(DueSoon[[#This Row],[_Task]]="","",INDEX(tsk_Resource,DueSoon[[#This Row],[_Task]])&amp;"")</f>
        <v/>
      </c>
      <c r="F86" s="44" t="str">
        <f aca="false">IF(DueSoon[[#This Row],[_Task]]="","",IF(N(INDEX(tsk_FcFinish,DueSoon[[#This Row],[_Task]]))=0,"",INDEX(tsk_FcFinish,DueSoon[[#This Row],[_Task]])))</f>
        <v/>
      </c>
      <c r="G86" s="46" t="str">
        <f aca="false">IF(DueSoon[[#This Row],[_Task]]="","",INDEX(tsk_Progress,DueSoon[[#This Row],[_Task]]))</f>
        <v/>
      </c>
      <c r="H86" s="24" t="str">
        <f aca="false">IF(DueSoon[[#This Row],[_Task]]="","",INDEX(tsk_DeadlineCheck,DueSoon[[#This Row],[_Task]])&amp;"")</f>
        <v/>
      </c>
      <c r="I86" s="24" t="str">
        <f aca="false">IF(DueSoon[[#This Row],[_Task]]="","",INDEX(tsk_Status,DueSoon[[#This Row],[_Task]])&amp;"")</f>
        <v/>
      </c>
      <c r="J86" s="24" t="str">
        <f aca="false">IF(DueSoon[[#This Row],[_Task]]="","",INDEX(tsk_Critical,DueSoon[[#This Row],[_Task]])&amp;"")</f>
        <v/>
      </c>
    </row>
    <row r="87" customFormat="false" ht="15" hidden="false" customHeight="false" outlineLevel="0" collapsed="false">
      <c r="B87" s="43" t="str">
        <f aca="false">IFERROR(MATCH(SMALL(tsk_DueSoonKey,ROW()-ROW(DueSoon[[#Headers],[_Task]])),tsk_DueSoonKey,0),"")</f>
        <v/>
      </c>
      <c r="C87" s="24" t="str">
        <f aca="false">IF(DueSoon[[#This Row],[_Task]]="","",INDEX(tsk_WBS,DueSoon[[#This Row],[_Task]])&amp;"")</f>
        <v/>
      </c>
      <c r="D87" s="24" t="str">
        <f aca="false">IF(DueSoon[[#This Row],[_Task]]="","",INDEX(tsk_Name,DueSoon[[#This Row],[_Task]])&amp;"")</f>
        <v/>
      </c>
      <c r="E87" s="24" t="str">
        <f aca="false">IF(DueSoon[[#This Row],[_Task]]="","",INDEX(tsk_Resource,DueSoon[[#This Row],[_Task]])&amp;"")</f>
        <v/>
      </c>
      <c r="F87" s="44" t="str">
        <f aca="false">IF(DueSoon[[#This Row],[_Task]]="","",IF(N(INDEX(tsk_FcFinish,DueSoon[[#This Row],[_Task]]))=0,"",INDEX(tsk_FcFinish,DueSoon[[#This Row],[_Task]])))</f>
        <v/>
      </c>
      <c r="G87" s="46" t="str">
        <f aca="false">IF(DueSoon[[#This Row],[_Task]]="","",INDEX(tsk_Progress,DueSoon[[#This Row],[_Task]]))</f>
        <v/>
      </c>
      <c r="H87" s="24" t="str">
        <f aca="false">IF(DueSoon[[#This Row],[_Task]]="","",INDEX(tsk_DeadlineCheck,DueSoon[[#This Row],[_Task]])&amp;"")</f>
        <v/>
      </c>
      <c r="I87" s="24" t="str">
        <f aca="false">IF(DueSoon[[#This Row],[_Task]]="","",INDEX(tsk_Status,DueSoon[[#This Row],[_Task]])&amp;"")</f>
        <v/>
      </c>
      <c r="J87" s="24" t="str">
        <f aca="false">IF(DueSoon[[#This Row],[_Task]]="","",INDEX(tsk_Critical,DueSoon[[#This Row],[_Task]])&amp;"")</f>
        <v/>
      </c>
    </row>
    <row r="89" customFormat="false" ht="15" hidden="false" customHeight="false" outlineLevel="0" collapsed="false">
      <c r="C89" s="36" t="str">
        <f aca="false">"Open critical tasks (by forecast start)"&amp;": "&amp;COUNT(tsk_CriticalKey)&amp;IF(COUNT(tsk_CriticalKey)&gt;ROWS(CriticalTasks[_Task])," (showing the first "&amp;ROWS(CriticalTasks[_Task])&amp;")","")</f>
        <v>Open critical tasks (by forecast start): 0</v>
      </c>
    </row>
    <row r="90" customFormat="false" ht="23.85" hidden="false" customHeight="false" outlineLevel="0" collapsed="false">
      <c r="B90" s="42" t="s">
        <v>163</v>
      </c>
      <c r="C90" s="9" t="s">
        <v>164</v>
      </c>
      <c r="D90" s="9" t="s">
        <v>182</v>
      </c>
      <c r="E90" s="9" t="s">
        <v>183</v>
      </c>
      <c r="F90" s="9" t="s">
        <v>185</v>
      </c>
      <c r="G90" s="9" t="s">
        <v>167</v>
      </c>
      <c r="H90" s="9" t="s">
        <v>187</v>
      </c>
      <c r="I90" s="9" t="s">
        <v>181</v>
      </c>
      <c r="J90" s="9" t="s">
        <v>77</v>
      </c>
    </row>
    <row r="91" customFormat="false" ht="15" hidden="false" customHeight="false" outlineLevel="0" collapsed="false">
      <c r="B91" s="43" t="str">
        <f aca="false">IFERROR(MATCH(SMALL(tsk_CriticalKey,ROW()-ROW(CriticalTasks[[#Headers],[_Task]])),tsk_CriticalKey,0),"")</f>
        <v/>
      </c>
      <c r="C91" s="24" t="str">
        <f aca="false">IF(CriticalTasks[[#This Row],[_Task]]="","",INDEX(tsk_WBS,CriticalTasks[[#This Row],[_Task]])&amp;"")</f>
        <v/>
      </c>
      <c r="D91" s="24" t="str">
        <f aca="false">IF(CriticalTasks[[#This Row],[_Task]]="","",INDEX(tsk_Name,CriticalTasks[[#This Row],[_Task]])&amp;"")</f>
        <v/>
      </c>
      <c r="E91" s="24" t="str">
        <f aca="false">IF(CriticalTasks[[#This Row],[_Task]]="","",INDEX(tsk_Resource,CriticalTasks[[#This Row],[_Task]])&amp;"")</f>
        <v/>
      </c>
      <c r="F91" s="44" t="str">
        <f aca="false">IF(CriticalTasks[[#This Row],[_Task]]="","",IF(N(INDEX(tsk_FcStart,CriticalTasks[[#This Row],[_Task]]))=0,"",INDEX(tsk_FcStart,CriticalTasks[[#This Row],[_Task]])))</f>
        <v/>
      </c>
      <c r="G91" s="44" t="str">
        <f aca="false">IF(CriticalTasks[[#This Row],[_Task]]="","",IF(N(INDEX(tsk_FcFinish,CriticalTasks[[#This Row],[_Task]]))=0,"",INDEX(tsk_FcFinish,CriticalTasks[[#This Row],[_Task]])))</f>
        <v/>
      </c>
      <c r="H91" s="28" t="str">
        <f aca="false">IF(CriticalTasks[[#This Row],[_Task]]="","",INDEX(tsk_TotalSlack,CriticalTasks[[#This Row],[_Task]]))</f>
        <v/>
      </c>
      <c r="I91" s="24" t="str">
        <f aca="false">IF(CriticalTasks[[#This Row],[_Task]]="","",INDEX(tsk_DeadlineCheck,CriticalTasks[[#This Row],[_Task]])&amp;"")</f>
        <v/>
      </c>
      <c r="J91" s="24" t="str">
        <f aca="false">IF(CriticalTasks[[#This Row],[_Task]]="","",INDEX(tsk_Status,CriticalTasks[[#This Row],[_Task]])&amp;"")</f>
        <v/>
      </c>
    </row>
    <row r="92" customFormat="false" ht="15" hidden="false" customHeight="false" outlineLevel="0" collapsed="false">
      <c r="B92" s="43" t="str">
        <f aca="false">IFERROR(MATCH(SMALL(tsk_CriticalKey,ROW()-ROW(CriticalTasks[[#Headers],[_Task]])),tsk_CriticalKey,0),"")</f>
        <v/>
      </c>
      <c r="C92" s="24" t="str">
        <f aca="false">IF(CriticalTasks[[#This Row],[_Task]]="","",INDEX(tsk_WBS,CriticalTasks[[#This Row],[_Task]])&amp;"")</f>
        <v/>
      </c>
      <c r="D92" s="24" t="str">
        <f aca="false">IF(CriticalTasks[[#This Row],[_Task]]="","",INDEX(tsk_Name,CriticalTasks[[#This Row],[_Task]])&amp;"")</f>
        <v/>
      </c>
      <c r="E92" s="24" t="str">
        <f aca="false">IF(CriticalTasks[[#This Row],[_Task]]="","",INDEX(tsk_Resource,CriticalTasks[[#This Row],[_Task]])&amp;"")</f>
        <v/>
      </c>
      <c r="F92" s="44" t="str">
        <f aca="false">IF(CriticalTasks[[#This Row],[_Task]]="","",IF(N(INDEX(tsk_FcStart,CriticalTasks[[#This Row],[_Task]]))=0,"",INDEX(tsk_FcStart,CriticalTasks[[#This Row],[_Task]])))</f>
        <v/>
      </c>
      <c r="G92" s="44" t="str">
        <f aca="false">IF(CriticalTasks[[#This Row],[_Task]]="","",IF(N(INDEX(tsk_FcFinish,CriticalTasks[[#This Row],[_Task]]))=0,"",INDEX(tsk_FcFinish,CriticalTasks[[#This Row],[_Task]])))</f>
        <v/>
      </c>
      <c r="H92" s="28" t="str">
        <f aca="false">IF(CriticalTasks[[#This Row],[_Task]]="","",INDEX(tsk_TotalSlack,CriticalTasks[[#This Row],[_Task]]))</f>
        <v/>
      </c>
      <c r="I92" s="24" t="str">
        <f aca="false">IF(CriticalTasks[[#This Row],[_Task]]="","",INDEX(tsk_DeadlineCheck,CriticalTasks[[#This Row],[_Task]])&amp;"")</f>
        <v/>
      </c>
      <c r="J92" s="24" t="str">
        <f aca="false">IF(CriticalTasks[[#This Row],[_Task]]="","",INDEX(tsk_Status,CriticalTasks[[#This Row],[_Task]])&amp;"")</f>
        <v/>
      </c>
    </row>
    <row r="93" customFormat="false" ht="15" hidden="false" customHeight="false" outlineLevel="0" collapsed="false">
      <c r="B93" s="43" t="str">
        <f aca="false">IFERROR(MATCH(SMALL(tsk_CriticalKey,ROW()-ROW(CriticalTasks[[#Headers],[_Task]])),tsk_CriticalKey,0),"")</f>
        <v/>
      </c>
      <c r="C93" s="24" t="str">
        <f aca="false">IF(CriticalTasks[[#This Row],[_Task]]="","",INDEX(tsk_WBS,CriticalTasks[[#This Row],[_Task]])&amp;"")</f>
        <v/>
      </c>
      <c r="D93" s="24" t="str">
        <f aca="false">IF(CriticalTasks[[#This Row],[_Task]]="","",INDEX(tsk_Name,CriticalTasks[[#This Row],[_Task]])&amp;"")</f>
        <v/>
      </c>
      <c r="E93" s="24" t="str">
        <f aca="false">IF(CriticalTasks[[#This Row],[_Task]]="","",INDEX(tsk_Resource,CriticalTasks[[#This Row],[_Task]])&amp;"")</f>
        <v/>
      </c>
      <c r="F93" s="44" t="str">
        <f aca="false">IF(CriticalTasks[[#This Row],[_Task]]="","",IF(N(INDEX(tsk_FcStart,CriticalTasks[[#This Row],[_Task]]))=0,"",INDEX(tsk_FcStart,CriticalTasks[[#This Row],[_Task]])))</f>
        <v/>
      </c>
      <c r="G93" s="44" t="str">
        <f aca="false">IF(CriticalTasks[[#This Row],[_Task]]="","",IF(N(INDEX(tsk_FcFinish,CriticalTasks[[#This Row],[_Task]]))=0,"",INDEX(tsk_FcFinish,CriticalTasks[[#This Row],[_Task]])))</f>
        <v/>
      </c>
      <c r="H93" s="28" t="str">
        <f aca="false">IF(CriticalTasks[[#This Row],[_Task]]="","",INDEX(tsk_TotalSlack,CriticalTasks[[#This Row],[_Task]]))</f>
        <v/>
      </c>
      <c r="I93" s="24" t="str">
        <f aca="false">IF(CriticalTasks[[#This Row],[_Task]]="","",INDEX(tsk_DeadlineCheck,CriticalTasks[[#This Row],[_Task]])&amp;"")</f>
        <v/>
      </c>
      <c r="J93" s="24" t="str">
        <f aca="false">IF(CriticalTasks[[#This Row],[_Task]]="","",INDEX(tsk_Status,CriticalTasks[[#This Row],[_Task]])&amp;"")</f>
        <v/>
      </c>
    </row>
    <row r="94" customFormat="false" ht="15" hidden="false" customHeight="false" outlineLevel="0" collapsed="false">
      <c r="B94" s="43" t="str">
        <f aca="false">IFERROR(MATCH(SMALL(tsk_CriticalKey,ROW()-ROW(CriticalTasks[[#Headers],[_Task]])),tsk_CriticalKey,0),"")</f>
        <v/>
      </c>
      <c r="C94" s="24" t="str">
        <f aca="false">IF(CriticalTasks[[#This Row],[_Task]]="","",INDEX(tsk_WBS,CriticalTasks[[#This Row],[_Task]])&amp;"")</f>
        <v/>
      </c>
      <c r="D94" s="24" t="str">
        <f aca="false">IF(CriticalTasks[[#This Row],[_Task]]="","",INDEX(tsk_Name,CriticalTasks[[#This Row],[_Task]])&amp;"")</f>
        <v/>
      </c>
      <c r="E94" s="24" t="str">
        <f aca="false">IF(CriticalTasks[[#This Row],[_Task]]="","",INDEX(tsk_Resource,CriticalTasks[[#This Row],[_Task]])&amp;"")</f>
        <v/>
      </c>
      <c r="F94" s="44" t="str">
        <f aca="false">IF(CriticalTasks[[#This Row],[_Task]]="","",IF(N(INDEX(tsk_FcStart,CriticalTasks[[#This Row],[_Task]]))=0,"",INDEX(tsk_FcStart,CriticalTasks[[#This Row],[_Task]])))</f>
        <v/>
      </c>
      <c r="G94" s="44" t="str">
        <f aca="false">IF(CriticalTasks[[#This Row],[_Task]]="","",IF(N(INDEX(tsk_FcFinish,CriticalTasks[[#This Row],[_Task]]))=0,"",INDEX(tsk_FcFinish,CriticalTasks[[#This Row],[_Task]])))</f>
        <v/>
      </c>
      <c r="H94" s="28" t="str">
        <f aca="false">IF(CriticalTasks[[#This Row],[_Task]]="","",INDEX(tsk_TotalSlack,CriticalTasks[[#This Row],[_Task]]))</f>
        <v/>
      </c>
      <c r="I94" s="24" t="str">
        <f aca="false">IF(CriticalTasks[[#This Row],[_Task]]="","",INDEX(tsk_DeadlineCheck,CriticalTasks[[#This Row],[_Task]])&amp;"")</f>
        <v/>
      </c>
      <c r="J94" s="24" t="str">
        <f aca="false">IF(CriticalTasks[[#This Row],[_Task]]="","",INDEX(tsk_Status,CriticalTasks[[#This Row],[_Task]])&amp;"")</f>
        <v/>
      </c>
    </row>
    <row r="95" customFormat="false" ht="15" hidden="false" customHeight="false" outlineLevel="0" collapsed="false">
      <c r="B95" s="43" t="str">
        <f aca="false">IFERROR(MATCH(SMALL(tsk_CriticalKey,ROW()-ROW(CriticalTasks[[#Headers],[_Task]])),tsk_CriticalKey,0),"")</f>
        <v/>
      </c>
      <c r="C95" s="24" t="str">
        <f aca="false">IF(CriticalTasks[[#This Row],[_Task]]="","",INDEX(tsk_WBS,CriticalTasks[[#This Row],[_Task]])&amp;"")</f>
        <v/>
      </c>
      <c r="D95" s="24" t="str">
        <f aca="false">IF(CriticalTasks[[#This Row],[_Task]]="","",INDEX(tsk_Name,CriticalTasks[[#This Row],[_Task]])&amp;"")</f>
        <v/>
      </c>
      <c r="E95" s="24" t="str">
        <f aca="false">IF(CriticalTasks[[#This Row],[_Task]]="","",INDEX(tsk_Resource,CriticalTasks[[#This Row],[_Task]])&amp;"")</f>
        <v/>
      </c>
      <c r="F95" s="44" t="str">
        <f aca="false">IF(CriticalTasks[[#This Row],[_Task]]="","",IF(N(INDEX(tsk_FcStart,CriticalTasks[[#This Row],[_Task]]))=0,"",INDEX(tsk_FcStart,CriticalTasks[[#This Row],[_Task]])))</f>
        <v/>
      </c>
      <c r="G95" s="44" t="str">
        <f aca="false">IF(CriticalTasks[[#This Row],[_Task]]="","",IF(N(INDEX(tsk_FcFinish,CriticalTasks[[#This Row],[_Task]]))=0,"",INDEX(tsk_FcFinish,CriticalTasks[[#This Row],[_Task]])))</f>
        <v/>
      </c>
      <c r="H95" s="28" t="str">
        <f aca="false">IF(CriticalTasks[[#This Row],[_Task]]="","",INDEX(tsk_TotalSlack,CriticalTasks[[#This Row],[_Task]]))</f>
        <v/>
      </c>
      <c r="I95" s="24" t="str">
        <f aca="false">IF(CriticalTasks[[#This Row],[_Task]]="","",INDEX(tsk_DeadlineCheck,CriticalTasks[[#This Row],[_Task]])&amp;"")</f>
        <v/>
      </c>
      <c r="J95" s="24" t="str">
        <f aca="false">IF(CriticalTasks[[#This Row],[_Task]]="","",INDEX(tsk_Status,CriticalTasks[[#This Row],[_Task]])&amp;"")</f>
        <v/>
      </c>
    </row>
    <row r="96" customFormat="false" ht="15" hidden="false" customHeight="false" outlineLevel="0" collapsed="false">
      <c r="B96" s="43" t="str">
        <f aca="false">IFERROR(MATCH(SMALL(tsk_CriticalKey,ROW()-ROW(CriticalTasks[[#Headers],[_Task]])),tsk_CriticalKey,0),"")</f>
        <v/>
      </c>
      <c r="C96" s="24" t="str">
        <f aca="false">IF(CriticalTasks[[#This Row],[_Task]]="","",INDEX(tsk_WBS,CriticalTasks[[#This Row],[_Task]])&amp;"")</f>
        <v/>
      </c>
      <c r="D96" s="24" t="str">
        <f aca="false">IF(CriticalTasks[[#This Row],[_Task]]="","",INDEX(tsk_Name,CriticalTasks[[#This Row],[_Task]])&amp;"")</f>
        <v/>
      </c>
      <c r="E96" s="24" t="str">
        <f aca="false">IF(CriticalTasks[[#This Row],[_Task]]="","",INDEX(tsk_Resource,CriticalTasks[[#This Row],[_Task]])&amp;"")</f>
        <v/>
      </c>
      <c r="F96" s="44" t="str">
        <f aca="false">IF(CriticalTasks[[#This Row],[_Task]]="","",IF(N(INDEX(tsk_FcStart,CriticalTasks[[#This Row],[_Task]]))=0,"",INDEX(tsk_FcStart,CriticalTasks[[#This Row],[_Task]])))</f>
        <v/>
      </c>
      <c r="G96" s="44" t="str">
        <f aca="false">IF(CriticalTasks[[#This Row],[_Task]]="","",IF(N(INDEX(tsk_FcFinish,CriticalTasks[[#This Row],[_Task]]))=0,"",INDEX(tsk_FcFinish,CriticalTasks[[#This Row],[_Task]])))</f>
        <v/>
      </c>
      <c r="H96" s="28" t="str">
        <f aca="false">IF(CriticalTasks[[#This Row],[_Task]]="","",INDEX(tsk_TotalSlack,CriticalTasks[[#This Row],[_Task]]))</f>
        <v/>
      </c>
      <c r="I96" s="24" t="str">
        <f aca="false">IF(CriticalTasks[[#This Row],[_Task]]="","",INDEX(tsk_DeadlineCheck,CriticalTasks[[#This Row],[_Task]])&amp;"")</f>
        <v/>
      </c>
      <c r="J96" s="24" t="str">
        <f aca="false">IF(CriticalTasks[[#This Row],[_Task]]="","",INDEX(tsk_Status,CriticalTasks[[#This Row],[_Task]])&amp;"")</f>
        <v/>
      </c>
    </row>
    <row r="97" customFormat="false" ht="15" hidden="false" customHeight="false" outlineLevel="0" collapsed="false">
      <c r="B97" s="43" t="str">
        <f aca="false">IFERROR(MATCH(SMALL(tsk_CriticalKey,ROW()-ROW(CriticalTasks[[#Headers],[_Task]])),tsk_CriticalKey,0),"")</f>
        <v/>
      </c>
      <c r="C97" s="24" t="str">
        <f aca="false">IF(CriticalTasks[[#This Row],[_Task]]="","",INDEX(tsk_WBS,CriticalTasks[[#This Row],[_Task]])&amp;"")</f>
        <v/>
      </c>
      <c r="D97" s="24" t="str">
        <f aca="false">IF(CriticalTasks[[#This Row],[_Task]]="","",INDEX(tsk_Name,CriticalTasks[[#This Row],[_Task]])&amp;"")</f>
        <v/>
      </c>
      <c r="E97" s="24" t="str">
        <f aca="false">IF(CriticalTasks[[#This Row],[_Task]]="","",INDEX(tsk_Resource,CriticalTasks[[#This Row],[_Task]])&amp;"")</f>
        <v/>
      </c>
      <c r="F97" s="44" t="str">
        <f aca="false">IF(CriticalTasks[[#This Row],[_Task]]="","",IF(N(INDEX(tsk_FcStart,CriticalTasks[[#This Row],[_Task]]))=0,"",INDEX(tsk_FcStart,CriticalTasks[[#This Row],[_Task]])))</f>
        <v/>
      </c>
      <c r="G97" s="44" t="str">
        <f aca="false">IF(CriticalTasks[[#This Row],[_Task]]="","",IF(N(INDEX(tsk_FcFinish,CriticalTasks[[#This Row],[_Task]]))=0,"",INDEX(tsk_FcFinish,CriticalTasks[[#This Row],[_Task]])))</f>
        <v/>
      </c>
      <c r="H97" s="28" t="str">
        <f aca="false">IF(CriticalTasks[[#This Row],[_Task]]="","",INDEX(tsk_TotalSlack,CriticalTasks[[#This Row],[_Task]]))</f>
        <v/>
      </c>
      <c r="I97" s="24" t="str">
        <f aca="false">IF(CriticalTasks[[#This Row],[_Task]]="","",INDEX(tsk_DeadlineCheck,CriticalTasks[[#This Row],[_Task]])&amp;"")</f>
        <v/>
      </c>
      <c r="J97" s="24" t="str">
        <f aca="false">IF(CriticalTasks[[#This Row],[_Task]]="","",INDEX(tsk_Status,CriticalTasks[[#This Row],[_Task]])&amp;"")</f>
        <v/>
      </c>
    </row>
    <row r="98" customFormat="false" ht="15" hidden="false" customHeight="false" outlineLevel="0" collapsed="false">
      <c r="B98" s="43" t="str">
        <f aca="false">IFERROR(MATCH(SMALL(tsk_CriticalKey,ROW()-ROW(CriticalTasks[[#Headers],[_Task]])),tsk_CriticalKey,0),"")</f>
        <v/>
      </c>
      <c r="C98" s="24" t="str">
        <f aca="false">IF(CriticalTasks[[#This Row],[_Task]]="","",INDEX(tsk_WBS,CriticalTasks[[#This Row],[_Task]])&amp;"")</f>
        <v/>
      </c>
      <c r="D98" s="24" t="str">
        <f aca="false">IF(CriticalTasks[[#This Row],[_Task]]="","",INDEX(tsk_Name,CriticalTasks[[#This Row],[_Task]])&amp;"")</f>
        <v/>
      </c>
      <c r="E98" s="24" t="str">
        <f aca="false">IF(CriticalTasks[[#This Row],[_Task]]="","",INDEX(tsk_Resource,CriticalTasks[[#This Row],[_Task]])&amp;"")</f>
        <v/>
      </c>
      <c r="F98" s="44" t="str">
        <f aca="false">IF(CriticalTasks[[#This Row],[_Task]]="","",IF(N(INDEX(tsk_FcStart,CriticalTasks[[#This Row],[_Task]]))=0,"",INDEX(tsk_FcStart,CriticalTasks[[#This Row],[_Task]])))</f>
        <v/>
      </c>
      <c r="G98" s="44" t="str">
        <f aca="false">IF(CriticalTasks[[#This Row],[_Task]]="","",IF(N(INDEX(tsk_FcFinish,CriticalTasks[[#This Row],[_Task]]))=0,"",INDEX(tsk_FcFinish,CriticalTasks[[#This Row],[_Task]])))</f>
        <v/>
      </c>
      <c r="H98" s="28" t="str">
        <f aca="false">IF(CriticalTasks[[#This Row],[_Task]]="","",INDEX(tsk_TotalSlack,CriticalTasks[[#This Row],[_Task]]))</f>
        <v/>
      </c>
      <c r="I98" s="24" t="str">
        <f aca="false">IF(CriticalTasks[[#This Row],[_Task]]="","",INDEX(tsk_DeadlineCheck,CriticalTasks[[#This Row],[_Task]])&amp;"")</f>
        <v/>
      </c>
      <c r="J98" s="24" t="str">
        <f aca="false">IF(CriticalTasks[[#This Row],[_Task]]="","",INDEX(tsk_Status,CriticalTasks[[#This Row],[_Task]])&amp;"")</f>
        <v/>
      </c>
    </row>
    <row r="99" customFormat="false" ht="15" hidden="false" customHeight="false" outlineLevel="0" collapsed="false">
      <c r="B99" s="43" t="str">
        <f aca="false">IFERROR(MATCH(SMALL(tsk_CriticalKey,ROW()-ROW(CriticalTasks[[#Headers],[_Task]])),tsk_CriticalKey,0),"")</f>
        <v/>
      </c>
      <c r="C99" s="24" t="str">
        <f aca="false">IF(CriticalTasks[[#This Row],[_Task]]="","",INDEX(tsk_WBS,CriticalTasks[[#This Row],[_Task]])&amp;"")</f>
        <v/>
      </c>
      <c r="D99" s="24" t="str">
        <f aca="false">IF(CriticalTasks[[#This Row],[_Task]]="","",INDEX(tsk_Name,CriticalTasks[[#This Row],[_Task]])&amp;"")</f>
        <v/>
      </c>
      <c r="E99" s="24" t="str">
        <f aca="false">IF(CriticalTasks[[#This Row],[_Task]]="","",INDEX(tsk_Resource,CriticalTasks[[#This Row],[_Task]])&amp;"")</f>
        <v/>
      </c>
      <c r="F99" s="44" t="str">
        <f aca="false">IF(CriticalTasks[[#This Row],[_Task]]="","",IF(N(INDEX(tsk_FcStart,CriticalTasks[[#This Row],[_Task]]))=0,"",INDEX(tsk_FcStart,CriticalTasks[[#This Row],[_Task]])))</f>
        <v/>
      </c>
      <c r="G99" s="44" t="str">
        <f aca="false">IF(CriticalTasks[[#This Row],[_Task]]="","",IF(N(INDEX(tsk_FcFinish,CriticalTasks[[#This Row],[_Task]]))=0,"",INDEX(tsk_FcFinish,CriticalTasks[[#This Row],[_Task]])))</f>
        <v/>
      </c>
      <c r="H99" s="28" t="str">
        <f aca="false">IF(CriticalTasks[[#This Row],[_Task]]="","",INDEX(tsk_TotalSlack,CriticalTasks[[#This Row],[_Task]]))</f>
        <v/>
      </c>
      <c r="I99" s="24" t="str">
        <f aca="false">IF(CriticalTasks[[#This Row],[_Task]]="","",INDEX(tsk_DeadlineCheck,CriticalTasks[[#This Row],[_Task]])&amp;"")</f>
        <v/>
      </c>
      <c r="J99" s="24" t="str">
        <f aca="false">IF(CriticalTasks[[#This Row],[_Task]]="","",INDEX(tsk_Status,CriticalTasks[[#This Row],[_Task]])&amp;"")</f>
        <v/>
      </c>
    </row>
    <row r="100" customFormat="false" ht="15" hidden="false" customHeight="false" outlineLevel="0" collapsed="false">
      <c r="B100" s="43" t="str">
        <f aca="false">IFERROR(MATCH(SMALL(tsk_CriticalKey,ROW()-ROW(CriticalTasks[[#Headers],[_Task]])),tsk_CriticalKey,0),"")</f>
        <v/>
      </c>
      <c r="C100" s="24" t="str">
        <f aca="false">IF(CriticalTasks[[#This Row],[_Task]]="","",INDEX(tsk_WBS,CriticalTasks[[#This Row],[_Task]])&amp;"")</f>
        <v/>
      </c>
      <c r="D100" s="24" t="str">
        <f aca="false">IF(CriticalTasks[[#This Row],[_Task]]="","",INDEX(tsk_Name,CriticalTasks[[#This Row],[_Task]])&amp;"")</f>
        <v/>
      </c>
      <c r="E100" s="24" t="str">
        <f aca="false">IF(CriticalTasks[[#This Row],[_Task]]="","",INDEX(tsk_Resource,CriticalTasks[[#This Row],[_Task]])&amp;"")</f>
        <v/>
      </c>
      <c r="F100" s="44" t="str">
        <f aca="false">IF(CriticalTasks[[#This Row],[_Task]]="","",IF(N(INDEX(tsk_FcStart,CriticalTasks[[#This Row],[_Task]]))=0,"",INDEX(tsk_FcStart,CriticalTasks[[#This Row],[_Task]])))</f>
        <v/>
      </c>
      <c r="G100" s="44" t="str">
        <f aca="false">IF(CriticalTasks[[#This Row],[_Task]]="","",IF(N(INDEX(tsk_FcFinish,CriticalTasks[[#This Row],[_Task]]))=0,"",INDEX(tsk_FcFinish,CriticalTasks[[#This Row],[_Task]])))</f>
        <v/>
      </c>
      <c r="H100" s="28" t="str">
        <f aca="false">IF(CriticalTasks[[#This Row],[_Task]]="","",INDEX(tsk_TotalSlack,CriticalTasks[[#This Row],[_Task]]))</f>
        <v/>
      </c>
      <c r="I100" s="24" t="str">
        <f aca="false">IF(CriticalTasks[[#This Row],[_Task]]="","",INDEX(tsk_DeadlineCheck,CriticalTasks[[#This Row],[_Task]])&amp;"")</f>
        <v/>
      </c>
      <c r="J100" s="24" t="str">
        <f aca="false">IF(CriticalTasks[[#This Row],[_Task]]="","",INDEX(tsk_Status,CriticalTasks[[#This Row],[_Task]])&amp;"")</f>
        <v/>
      </c>
    </row>
    <row r="101" customFormat="false" ht="15" hidden="false" customHeight="false" outlineLevel="0" collapsed="false">
      <c r="B101" s="43" t="str">
        <f aca="false">IFERROR(MATCH(SMALL(tsk_CriticalKey,ROW()-ROW(CriticalTasks[[#Headers],[_Task]])),tsk_CriticalKey,0),"")</f>
        <v/>
      </c>
      <c r="C101" s="24" t="str">
        <f aca="false">IF(CriticalTasks[[#This Row],[_Task]]="","",INDEX(tsk_WBS,CriticalTasks[[#This Row],[_Task]])&amp;"")</f>
        <v/>
      </c>
      <c r="D101" s="24" t="str">
        <f aca="false">IF(CriticalTasks[[#This Row],[_Task]]="","",INDEX(tsk_Name,CriticalTasks[[#This Row],[_Task]])&amp;"")</f>
        <v/>
      </c>
      <c r="E101" s="24" t="str">
        <f aca="false">IF(CriticalTasks[[#This Row],[_Task]]="","",INDEX(tsk_Resource,CriticalTasks[[#This Row],[_Task]])&amp;"")</f>
        <v/>
      </c>
      <c r="F101" s="44" t="str">
        <f aca="false">IF(CriticalTasks[[#This Row],[_Task]]="","",IF(N(INDEX(tsk_FcStart,CriticalTasks[[#This Row],[_Task]]))=0,"",INDEX(tsk_FcStart,CriticalTasks[[#This Row],[_Task]])))</f>
        <v/>
      </c>
      <c r="G101" s="44" t="str">
        <f aca="false">IF(CriticalTasks[[#This Row],[_Task]]="","",IF(N(INDEX(tsk_FcFinish,CriticalTasks[[#This Row],[_Task]]))=0,"",INDEX(tsk_FcFinish,CriticalTasks[[#This Row],[_Task]])))</f>
        <v/>
      </c>
      <c r="H101" s="28" t="str">
        <f aca="false">IF(CriticalTasks[[#This Row],[_Task]]="","",INDEX(tsk_TotalSlack,CriticalTasks[[#This Row],[_Task]]))</f>
        <v/>
      </c>
      <c r="I101" s="24" t="str">
        <f aca="false">IF(CriticalTasks[[#This Row],[_Task]]="","",INDEX(tsk_DeadlineCheck,CriticalTasks[[#This Row],[_Task]])&amp;"")</f>
        <v/>
      </c>
      <c r="J101" s="24" t="str">
        <f aca="false">IF(CriticalTasks[[#This Row],[_Task]]="","",INDEX(tsk_Status,CriticalTasks[[#This Row],[_Task]])&amp;"")</f>
        <v/>
      </c>
    </row>
    <row r="102" customFormat="false" ht="15" hidden="false" customHeight="false" outlineLevel="0" collapsed="false">
      <c r="B102" s="43" t="str">
        <f aca="false">IFERROR(MATCH(SMALL(tsk_CriticalKey,ROW()-ROW(CriticalTasks[[#Headers],[_Task]])),tsk_CriticalKey,0),"")</f>
        <v/>
      </c>
      <c r="C102" s="24" t="str">
        <f aca="false">IF(CriticalTasks[[#This Row],[_Task]]="","",INDEX(tsk_WBS,CriticalTasks[[#This Row],[_Task]])&amp;"")</f>
        <v/>
      </c>
      <c r="D102" s="24" t="str">
        <f aca="false">IF(CriticalTasks[[#This Row],[_Task]]="","",INDEX(tsk_Name,CriticalTasks[[#This Row],[_Task]])&amp;"")</f>
        <v/>
      </c>
      <c r="E102" s="24" t="str">
        <f aca="false">IF(CriticalTasks[[#This Row],[_Task]]="","",INDEX(tsk_Resource,CriticalTasks[[#This Row],[_Task]])&amp;"")</f>
        <v/>
      </c>
      <c r="F102" s="44" t="str">
        <f aca="false">IF(CriticalTasks[[#This Row],[_Task]]="","",IF(N(INDEX(tsk_FcStart,CriticalTasks[[#This Row],[_Task]]))=0,"",INDEX(tsk_FcStart,CriticalTasks[[#This Row],[_Task]])))</f>
        <v/>
      </c>
      <c r="G102" s="44" t="str">
        <f aca="false">IF(CriticalTasks[[#This Row],[_Task]]="","",IF(N(INDEX(tsk_FcFinish,CriticalTasks[[#This Row],[_Task]]))=0,"",INDEX(tsk_FcFinish,CriticalTasks[[#This Row],[_Task]])))</f>
        <v/>
      </c>
      <c r="H102" s="28" t="str">
        <f aca="false">IF(CriticalTasks[[#This Row],[_Task]]="","",INDEX(tsk_TotalSlack,CriticalTasks[[#This Row],[_Task]]))</f>
        <v/>
      </c>
      <c r="I102" s="24" t="str">
        <f aca="false">IF(CriticalTasks[[#This Row],[_Task]]="","",INDEX(tsk_DeadlineCheck,CriticalTasks[[#This Row],[_Task]])&amp;"")</f>
        <v/>
      </c>
      <c r="J102" s="24" t="str">
        <f aca="false">IF(CriticalTasks[[#This Row],[_Task]]="","",INDEX(tsk_Status,CriticalTasks[[#This Row],[_Task]])&amp;"")</f>
        <v/>
      </c>
    </row>
    <row r="103" customFormat="false" ht="15" hidden="false" customHeight="false" outlineLevel="0" collapsed="false">
      <c r="B103" s="43" t="str">
        <f aca="false">IFERROR(MATCH(SMALL(tsk_CriticalKey,ROW()-ROW(CriticalTasks[[#Headers],[_Task]])),tsk_CriticalKey,0),"")</f>
        <v/>
      </c>
      <c r="C103" s="24" t="str">
        <f aca="false">IF(CriticalTasks[[#This Row],[_Task]]="","",INDEX(tsk_WBS,CriticalTasks[[#This Row],[_Task]])&amp;"")</f>
        <v/>
      </c>
      <c r="D103" s="24" t="str">
        <f aca="false">IF(CriticalTasks[[#This Row],[_Task]]="","",INDEX(tsk_Name,CriticalTasks[[#This Row],[_Task]])&amp;"")</f>
        <v/>
      </c>
      <c r="E103" s="24" t="str">
        <f aca="false">IF(CriticalTasks[[#This Row],[_Task]]="","",INDEX(tsk_Resource,CriticalTasks[[#This Row],[_Task]])&amp;"")</f>
        <v/>
      </c>
      <c r="F103" s="44" t="str">
        <f aca="false">IF(CriticalTasks[[#This Row],[_Task]]="","",IF(N(INDEX(tsk_FcStart,CriticalTasks[[#This Row],[_Task]]))=0,"",INDEX(tsk_FcStart,CriticalTasks[[#This Row],[_Task]])))</f>
        <v/>
      </c>
      <c r="G103" s="44" t="str">
        <f aca="false">IF(CriticalTasks[[#This Row],[_Task]]="","",IF(N(INDEX(tsk_FcFinish,CriticalTasks[[#This Row],[_Task]]))=0,"",INDEX(tsk_FcFinish,CriticalTasks[[#This Row],[_Task]])))</f>
        <v/>
      </c>
      <c r="H103" s="28" t="str">
        <f aca="false">IF(CriticalTasks[[#This Row],[_Task]]="","",INDEX(tsk_TotalSlack,CriticalTasks[[#This Row],[_Task]]))</f>
        <v/>
      </c>
      <c r="I103" s="24" t="str">
        <f aca="false">IF(CriticalTasks[[#This Row],[_Task]]="","",INDEX(tsk_DeadlineCheck,CriticalTasks[[#This Row],[_Task]])&amp;"")</f>
        <v/>
      </c>
      <c r="J103" s="24" t="str">
        <f aca="false">IF(CriticalTasks[[#This Row],[_Task]]="","",INDEX(tsk_Status,CriticalTasks[[#This Row],[_Task]])&amp;"")</f>
        <v/>
      </c>
    </row>
    <row r="104" customFormat="false" ht="15" hidden="false" customHeight="false" outlineLevel="0" collapsed="false">
      <c r="B104" s="43" t="str">
        <f aca="false">IFERROR(MATCH(SMALL(tsk_CriticalKey,ROW()-ROW(CriticalTasks[[#Headers],[_Task]])),tsk_CriticalKey,0),"")</f>
        <v/>
      </c>
      <c r="C104" s="24" t="str">
        <f aca="false">IF(CriticalTasks[[#This Row],[_Task]]="","",INDEX(tsk_WBS,CriticalTasks[[#This Row],[_Task]])&amp;"")</f>
        <v/>
      </c>
      <c r="D104" s="24" t="str">
        <f aca="false">IF(CriticalTasks[[#This Row],[_Task]]="","",INDEX(tsk_Name,CriticalTasks[[#This Row],[_Task]])&amp;"")</f>
        <v/>
      </c>
      <c r="E104" s="24" t="str">
        <f aca="false">IF(CriticalTasks[[#This Row],[_Task]]="","",INDEX(tsk_Resource,CriticalTasks[[#This Row],[_Task]])&amp;"")</f>
        <v/>
      </c>
      <c r="F104" s="44" t="str">
        <f aca="false">IF(CriticalTasks[[#This Row],[_Task]]="","",IF(N(INDEX(tsk_FcStart,CriticalTasks[[#This Row],[_Task]]))=0,"",INDEX(tsk_FcStart,CriticalTasks[[#This Row],[_Task]])))</f>
        <v/>
      </c>
      <c r="G104" s="44" t="str">
        <f aca="false">IF(CriticalTasks[[#This Row],[_Task]]="","",IF(N(INDEX(tsk_FcFinish,CriticalTasks[[#This Row],[_Task]]))=0,"",INDEX(tsk_FcFinish,CriticalTasks[[#This Row],[_Task]])))</f>
        <v/>
      </c>
      <c r="H104" s="28" t="str">
        <f aca="false">IF(CriticalTasks[[#This Row],[_Task]]="","",INDEX(tsk_TotalSlack,CriticalTasks[[#This Row],[_Task]]))</f>
        <v/>
      </c>
      <c r="I104" s="24" t="str">
        <f aca="false">IF(CriticalTasks[[#This Row],[_Task]]="","",INDEX(tsk_DeadlineCheck,CriticalTasks[[#This Row],[_Task]])&amp;"")</f>
        <v/>
      </c>
      <c r="J104" s="24" t="str">
        <f aca="false">IF(CriticalTasks[[#This Row],[_Task]]="","",INDEX(tsk_Status,CriticalTasks[[#This Row],[_Task]])&amp;"")</f>
        <v/>
      </c>
    </row>
    <row r="105" customFormat="false" ht="15" hidden="false" customHeight="false" outlineLevel="0" collapsed="false">
      <c r="B105" s="43" t="str">
        <f aca="false">IFERROR(MATCH(SMALL(tsk_CriticalKey,ROW()-ROW(CriticalTasks[[#Headers],[_Task]])),tsk_CriticalKey,0),"")</f>
        <v/>
      </c>
      <c r="C105" s="24" t="str">
        <f aca="false">IF(CriticalTasks[[#This Row],[_Task]]="","",INDEX(tsk_WBS,CriticalTasks[[#This Row],[_Task]])&amp;"")</f>
        <v/>
      </c>
      <c r="D105" s="24" t="str">
        <f aca="false">IF(CriticalTasks[[#This Row],[_Task]]="","",INDEX(tsk_Name,CriticalTasks[[#This Row],[_Task]])&amp;"")</f>
        <v/>
      </c>
      <c r="E105" s="24" t="str">
        <f aca="false">IF(CriticalTasks[[#This Row],[_Task]]="","",INDEX(tsk_Resource,CriticalTasks[[#This Row],[_Task]])&amp;"")</f>
        <v/>
      </c>
      <c r="F105" s="44" t="str">
        <f aca="false">IF(CriticalTasks[[#This Row],[_Task]]="","",IF(N(INDEX(tsk_FcStart,CriticalTasks[[#This Row],[_Task]]))=0,"",INDEX(tsk_FcStart,CriticalTasks[[#This Row],[_Task]])))</f>
        <v/>
      </c>
      <c r="G105" s="44" t="str">
        <f aca="false">IF(CriticalTasks[[#This Row],[_Task]]="","",IF(N(INDEX(tsk_FcFinish,CriticalTasks[[#This Row],[_Task]]))=0,"",INDEX(tsk_FcFinish,CriticalTasks[[#This Row],[_Task]])))</f>
        <v/>
      </c>
      <c r="H105" s="28" t="str">
        <f aca="false">IF(CriticalTasks[[#This Row],[_Task]]="","",INDEX(tsk_TotalSlack,CriticalTasks[[#This Row],[_Task]]))</f>
        <v/>
      </c>
      <c r="I105" s="24" t="str">
        <f aca="false">IF(CriticalTasks[[#This Row],[_Task]]="","",INDEX(tsk_DeadlineCheck,CriticalTasks[[#This Row],[_Task]])&amp;"")</f>
        <v/>
      </c>
      <c r="J105" s="24" t="str">
        <f aca="false">IF(CriticalTasks[[#This Row],[_Task]]="","",INDEX(tsk_Status,CriticalTasks[[#This Row],[_Task]])&amp;"")</f>
        <v/>
      </c>
    </row>
    <row r="106" customFormat="false" ht="15" hidden="false" customHeight="false" outlineLevel="0" collapsed="false">
      <c r="B106" s="43" t="str">
        <f aca="false">IFERROR(MATCH(SMALL(tsk_CriticalKey,ROW()-ROW(CriticalTasks[[#Headers],[_Task]])),tsk_CriticalKey,0),"")</f>
        <v/>
      </c>
      <c r="C106" s="24" t="str">
        <f aca="false">IF(CriticalTasks[[#This Row],[_Task]]="","",INDEX(tsk_WBS,CriticalTasks[[#This Row],[_Task]])&amp;"")</f>
        <v/>
      </c>
      <c r="D106" s="24" t="str">
        <f aca="false">IF(CriticalTasks[[#This Row],[_Task]]="","",INDEX(tsk_Name,CriticalTasks[[#This Row],[_Task]])&amp;"")</f>
        <v/>
      </c>
      <c r="E106" s="24" t="str">
        <f aca="false">IF(CriticalTasks[[#This Row],[_Task]]="","",INDEX(tsk_Resource,CriticalTasks[[#This Row],[_Task]])&amp;"")</f>
        <v/>
      </c>
      <c r="F106" s="44" t="str">
        <f aca="false">IF(CriticalTasks[[#This Row],[_Task]]="","",IF(N(INDEX(tsk_FcStart,CriticalTasks[[#This Row],[_Task]]))=0,"",INDEX(tsk_FcStart,CriticalTasks[[#This Row],[_Task]])))</f>
        <v/>
      </c>
      <c r="G106" s="44" t="str">
        <f aca="false">IF(CriticalTasks[[#This Row],[_Task]]="","",IF(N(INDEX(tsk_FcFinish,CriticalTasks[[#This Row],[_Task]]))=0,"",INDEX(tsk_FcFinish,CriticalTasks[[#This Row],[_Task]])))</f>
        <v/>
      </c>
      <c r="H106" s="28" t="str">
        <f aca="false">IF(CriticalTasks[[#This Row],[_Task]]="","",INDEX(tsk_TotalSlack,CriticalTasks[[#This Row],[_Task]]))</f>
        <v/>
      </c>
      <c r="I106" s="24" t="str">
        <f aca="false">IF(CriticalTasks[[#This Row],[_Task]]="","",INDEX(tsk_DeadlineCheck,CriticalTasks[[#This Row],[_Task]])&amp;"")</f>
        <v/>
      </c>
      <c r="J106" s="24" t="str">
        <f aca="false">IF(CriticalTasks[[#This Row],[_Task]]="","",INDEX(tsk_Status,CriticalTasks[[#This Row],[_Task]])&amp;"")</f>
        <v/>
      </c>
    </row>
    <row r="107" customFormat="false" ht="15" hidden="false" customHeight="false" outlineLevel="0" collapsed="false">
      <c r="B107" s="43" t="str">
        <f aca="false">IFERROR(MATCH(SMALL(tsk_CriticalKey,ROW()-ROW(CriticalTasks[[#Headers],[_Task]])),tsk_CriticalKey,0),"")</f>
        <v/>
      </c>
      <c r="C107" s="24" t="str">
        <f aca="false">IF(CriticalTasks[[#This Row],[_Task]]="","",INDEX(tsk_WBS,CriticalTasks[[#This Row],[_Task]])&amp;"")</f>
        <v/>
      </c>
      <c r="D107" s="24" t="str">
        <f aca="false">IF(CriticalTasks[[#This Row],[_Task]]="","",INDEX(tsk_Name,CriticalTasks[[#This Row],[_Task]])&amp;"")</f>
        <v/>
      </c>
      <c r="E107" s="24" t="str">
        <f aca="false">IF(CriticalTasks[[#This Row],[_Task]]="","",INDEX(tsk_Resource,CriticalTasks[[#This Row],[_Task]])&amp;"")</f>
        <v/>
      </c>
      <c r="F107" s="44" t="str">
        <f aca="false">IF(CriticalTasks[[#This Row],[_Task]]="","",IF(N(INDEX(tsk_FcStart,CriticalTasks[[#This Row],[_Task]]))=0,"",INDEX(tsk_FcStart,CriticalTasks[[#This Row],[_Task]])))</f>
        <v/>
      </c>
      <c r="G107" s="44" t="str">
        <f aca="false">IF(CriticalTasks[[#This Row],[_Task]]="","",IF(N(INDEX(tsk_FcFinish,CriticalTasks[[#This Row],[_Task]]))=0,"",INDEX(tsk_FcFinish,CriticalTasks[[#This Row],[_Task]])))</f>
        <v/>
      </c>
      <c r="H107" s="28" t="str">
        <f aca="false">IF(CriticalTasks[[#This Row],[_Task]]="","",INDEX(tsk_TotalSlack,CriticalTasks[[#This Row],[_Task]]))</f>
        <v/>
      </c>
      <c r="I107" s="24" t="str">
        <f aca="false">IF(CriticalTasks[[#This Row],[_Task]]="","",INDEX(tsk_DeadlineCheck,CriticalTasks[[#This Row],[_Task]])&amp;"")</f>
        <v/>
      </c>
      <c r="J107" s="24" t="str">
        <f aca="false">IF(CriticalTasks[[#This Row],[_Task]]="","",INDEX(tsk_Status,CriticalTasks[[#This Row],[_Task]])&amp;"")</f>
        <v/>
      </c>
    </row>
    <row r="108" customFormat="false" ht="15" hidden="false" customHeight="false" outlineLevel="0" collapsed="false">
      <c r="B108" s="43" t="str">
        <f aca="false">IFERROR(MATCH(SMALL(tsk_CriticalKey,ROW()-ROW(CriticalTasks[[#Headers],[_Task]])),tsk_CriticalKey,0),"")</f>
        <v/>
      </c>
      <c r="C108" s="24" t="str">
        <f aca="false">IF(CriticalTasks[[#This Row],[_Task]]="","",INDEX(tsk_WBS,CriticalTasks[[#This Row],[_Task]])&amp;"")</f>
        <v/>
      </c>
      <c r="D108" s="24" t="str">
        <f aca="false">IF(CriticalTasks[[#This Row],[_Task]]="","",INDEX(tsk_Name,CriticalTasks[[#This Row],[_Task]])&amp;"")</f>
        <v/>
      </c>
      <c r="E108" s="24" t="str">
        <f aca="false">IF(CriticalTasks[[#This Row],[_Task]]="","",INDEX(tsk_Resource,CriticalTasks[[#This Row],[_Task]])&amp;"")</f>
        <v/>
      </c>
      <c r="F108" s="44" t="str">
        <f aca="false">IF(CriticalTasks[[#This Row],[_Task]]="","",IF(N(INDEX(tsk_FcStart,CriticalTasks[[#This Row],[_Task]]))=0,"",INDEX(tsk_FcStart,CriticalTasks[[#This Row],[_Task]])))</f>
        <v/>
      </c>
      <c r="G108" s="44" t="str">
        <f aca="false">IF(CriticalTasks[[#This Row],[_Task]]="","",IF(N(INDEX(tsk_FcFinish,CriticalTasks[[#This Row],[_Task]]))=0,"",INDEX(tsk_FcFinish,CriticalTasks[[#This Row],[_Task]])))</f>
        <v/>
      </c>
      <c r="H108" s="28" t="str">
        <f aca="false">IF(CriticalTasks[[#This Row],[_Task]]="","",INDEX(tsk_TotalSlack,CriticalTasks[[#This Row],[_Task]]))</f>
        <v/>
      </c>
      <c r="I108" s="24" t="str">
        <f aca="false">IF(CriticalTasks[[#This Row],[_Task]]="","",INDEX(tsk_DeadlineCheck,CriticalTasks[[#This Row],[_Task]])&amp;"")</f>
        <v/>
      </c>
      <c r="J108" s="24" t="str">
        <f aca="false">IF(CriticalTasks[[#This Row],[_Task]]="","",INDEX(tsk_Status,CriticalTasks[[#This Row],[_Task]])&amp;"")</f>
        <v/>
      </c>
    </row>
    <row r="109" customFormat="false" ht="15" hidden="false" customHeight="false" outlineLevel="0" collapsed="false">
      <c r="B109" s="43" t="str">
        <f aca="false">IFERROR(MATCH(SMALL(tsk_CriticalKey,ROW()-ROW(CriticalTasks[[#Headers],[_Task]])),tsk_CriticalKey,0),"")</f>
        <v/>
      </c>
      <c r="C109" s="24" t="str">
        <f aca="false">IF(CriticalTasks[[#This Row],[_Task]]="","",INDEX(tsk_WBS,CriticalTasks[[#This Row],[_Task]])&amp;"")</f>
        <v/>
      </c>
      <c r="D109" s="24" t="str">
        <f aca="false">IF(CriticalTasks[[#This Row],[_Task]]="","",INDEX(tsk_Name,CriticalTasks[[#This Row],[_Task]])&amp;"")</f>
        <v/>
      </c>
      <c r="E109" s="24" t="str">
        <f aca="false">IF(CriticalTasks[[#This Row],[_Task]]="","",INDEX(tsk_Resource,CriticalTasks[[#This Row],[_Task]])&amp;"")</f>
        <v/>
      </c>
      <c r="F109" s="44" t="str">
        <f aca="false">IF(CriticalTasks[[#This Row],[_Task]]="","",IF(N(INDEX(tsk_FcStart,CriticalTasks[[#This Row],[_Task]]))=0,"",INDEX(tsk_FcStart,CriticalTasks[[#This Row],[_Task]])))</f>
        <v/>
      </c>
      <c r="G109" s="44" t="str">
        <f aca="false">IF(CriticalTasks[[#This Row],[_Task]]="","",IF(N(INDEX(tsk_FcFinish,CriticalTasks[[#This Row],[_Task]]))=0,"",INDEX(tsk_FcFinish,CriticalTasks[[#This Row],[_Task]])))</f>
        <v/>
      </c>
      <c r="H109" s="28" t="str">
        <f aca="false">IF(CriticalTasks[[#This Row],[_Task]]="","",INDEX(tsk_TotalSlack,CriticalTasks[[#This Row],[_Task]]))</f>
        <v/>
      </c>
      <c r="I109" s="24" t="str">
        <f aca="false">IF(CriticalTasks[[#This Row],[_Task]]="","",INDEX(tsk_DeadlineCheck,CriticalTasks[[#This Row],[_Task]])&amp;"")</f>
        <v/>
      </c>
      <c r="J109" s="24" t="str">
        <f aca="false">IF(CriticalTasks[[#This Row],[_Task]]="","",INDEX(tsk_Status,CriticalTasks[[#This Row],[_Task]])&amp;"")</f>
        <v/>
      </c>
    </row>
    <row r="110" customFormat="false" ht="15" hidden="false" customHeight="false" outlineLevel="0" collapsed="false">
      <c r="B110" s="43" t="str">
        <f aca="false">IFERROR(MATCH(SMALL(tsk_CriticalKey,ROW()-ROW(CriticalTasks[[#Headers],[_Task]])),tsk_CriticalKey,0),"")</f>
        <v/>
      </c>
      <c r="C110" s="24" t="str">
        <f aca="false">IF(CriticalTasks[[#This Row],[_Task]]="","",INDEX(tsk_WBS,CriticalTasks[[#This Row],[_Task]])&amp;"")</f>
        <v/>
      </c>
      <c r="D110" s="24" t="str">
        <f aca="false">IF(CriticalTasks[[#This Row],[_Task]]="","",INDEX(tsk_Name,CriticalTasks[[#This Row],[_Task]])&amp;"")</f>
        <v/>
      </c>
      <c r="E110" s="24" t="str">
        <f aca="false">IF(CriticalTasks[[#This Row],[_Task]]="","",INDEX(tsk_Resource,CriticalTasks[[#This Row],[_Task]])&amp;"")</f>
        <v/>
      </c>
      <c r="F110" s="44" t="str">
        <f aca="false">IF(CriticalTasks[[#This Row],[_Task]]="","",IF(N(INDEX(tsk_FcStart,CriticalTasks[[#This Row],[_Task]]))=0,"",INDEX(tsk_FcStart,CriticalTasks[[#This Row],[_Task]])))</f>
        <v/>
      </c>
      <c r="G110" s="44" t="str">
        <f aca="false">IF(CriticalTasks[[#This Row],[_Task]]="","",IF(N(INDEX(tsk_FcFinish,CriticalTasks[[#This Row],[_Task]]))=0,"",INDEX(tsk_FcFinish,CriticalTasks[[#This Row],[_Task]])))</f>
        <v/>
      </c>
      <c r="H110" s="28" t="str">
        <f aca="false">IF(CriticalTasks[[#This Row],[_Task]]="","",INDEX(tsk_TotalSlack,CriticalTasks[[#This Row],[_Task]]))</f>
        <v/>
      </c>
      <c r="I110" s="24" t="str">
        <f aca="false">IF(CriticalTasks[[#This Row],[_Task]]="","",INDEX(tsk_DeadlineCheck,CriticalTasks[[#This Row],[_Task]])&amp;"")</f>
        <v/>
      </c>
      <c r="J110" s="24" t="str">
        <f aca="false">IF(CriticalTasks[[#This Row],[_Task]]="","",INDEX(tsk_Status,CriticalTasks[[#This Row],[_Task]])&amp;"")</f>
        <v/>
      </c>
    </row>
  </sheetData>
  <conditionalFormatting sqref="P6:P15">
    <cfRule type="expression" priority="2" aboveAverage="0" equalAverage="0" bottom="0" percent="0" rank="0" text="" dxfId="13">
      <formula>P6="Green"</formula>
    </cfRule>
    <cfRule type="expression" priority="3" aboveAverage="0" equalAverage="0" bottom="0" percent="0" rank="0" text="" dxfId="14">
      <formula>P6="Amber"</formula>
    </cfRule>
    <cfRule type="expression" priority="4" aboveAverage="0" equalAverage="0" bottom="0" percent="0" rank="0" text="" dxfId="15">
      <formula>P6="Red"</formula>
    </cfRule>
  </conditionalFormatting>
  <conditionalFormatting sqref="G6:G15">
    <cfRule type="expression" priority="5" aboveAverage="0" equalAverage="0" bottom="0" percent="0" rank="0" text="" dxfId="20">
      <formula>AND(ISNUMBER(G6),G6&gt;0)</formula>
    </cfRule>
  </conditionalFormatting>
  <conditionalFormatting sqref="G19:G33">
    <cfRule type="expression" priority="6" aboveAverage="0" equalAverage="0" bottom="0" percent="0" rank="0" text="" dxfId="20">
      <formula>AND(ISNUMBER(G19),G19&gt;0)</formula>
    </cfRule>
  </conditionalFormatting>
  <conditionalFormatting sqref="I19:I33">
    <cfRule type="expression" priority="7" aboveAverage="0" equalAverage="0" bottom="0" percent="0" rank="0" text="" dxfId="20">
      <formula>LEFT(I19,4)="Late"</formula>
    </cfRule>
  </conditionalFormatting>
  <conditionalFormatting sqref="H37:H51">
    <cfRule type="expression" priority="8" aboveAverage="0" equalAverage="0" bottom="0" percent="0" rank="0" text="" dxfId="20">
      <formula>AND(ISNUMBER(H37),H37&gt;0)</formula>
    </cfRule>
  </conditionalFormatting>
  <conditionalFormatting sqref="J37:J51">
    <cfRule type="expression" priority="9" aboveAverage="0" equalAverage="0" bottom="0" percent="0" rank="0" text="" dxfId="21">
      <formula>J37="Yes"</formula>
    </cfRule>
  </conditionalFormatting>
  <conditionalFormatting sqref="J55:J69">
    <cfRule type="expression" priority="10" aboveAverage="0" equalAverage="0" bottom="0" percent="0" rank="0" text="" dxfId="21">
      <formula>J55="Yes"</formula>
    </cfRule>
  </conditionalFormatting>
  <conditionalFormatting sqref="J73:J87">
    <cfRule type="expression" priority="11" aboveAverage="0" equalAverage="0" bottom="0" percent="0" rank="0" text="" dxfId="21">
      <formula>J73="Yes"</formula>
    </cfRule>
  </conditionalFormatting>
  <conditionalFormatting sqref="H73:H87">
    <cfRule type="expression" priority="12" aboveAverage="0" equalAverage="0" bottom="0" percent="0" rank="0" text="" dxfId="20">
      <formula>LEFT(H73,4)="Late"</formula>
    </cfRule>
  </conditionalFormatting>
  <conditionalFormatting sqref="I91:I110">
    <cfRule type="expression" priority="13" aboveAverage="0" equalAverage="0" bottom="0" percent="0" rank="0" text="" dxfId="20">
      <formula>LEFT(I91,4)="Late"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6" t="s">
        <v>188</v>
      </c>
    </row>
    <row r="2" customFormat="false" ht="15" hidden="false" customHeight="false" outlineLevel="0" collapsed="false">
      <c r="A2" s="8" t="s">
        <v>189</v>
      </c>
    </row>
    <row r="4" customFormat="false" ht="15" hidden="false" customHeight="false" outlineLevel="0" collapsed="false">
      <c r="B4" s="9" t="s">
        <v>190</v>
      </c>
      <c r="C4" s="9" t="s">
        <v>76</v>
      </c>
      <c r="D4" s="9" t="s">
        <v>191</v>
      </c>
      <c r="E4" s="9" t="s">
        <v>156</v>
      </c>
    </row>
    <row r="5" customFormat="false" ht="15" hidden="false" customHeight="false" outlineLevel="0" collapsed="false">
      <c r="B5" s="50" t="s">
        <v>192</v>
      </c>
      <c r="C5" s="51" t="s">
        <v>193</v>
      </c>
      <c r="D5" s="52" t="s">
        <v>194</v>
      </c>
      <c r="E5" s="8" t="s">
        <v>195</v>
      </c>
    </row>
    <row r="6" customFormat="false" ht="15" hidden="false" customHeight="false" outlineLevel="0" collapsed="false">
      <c r="B6" s="50" t="s">
        <v>196</v>
      </c>
      <c r="C6" s="51"/>
      <c r="D6" s="52" t="s">
        <v>197</v>
      </c>
      <c r="E6" s="8"/>
    </row>
    <row r="7" customFormat="false" ht="15" hidden="false" customHeight="false" outlineLevel="0" collapsed="false">
      <c r="B7" s="50" t="s">
        <v>198</v>
      </c>
      <c r="C7" s="53"/>
      <c r="D7" s="52" t="s">
        <v>199</v>
      </c>
      <c r="E7" s="8" t="s">
        <v>200</v>
      </c>
    </row>
    <row r="8" customFormat="false" ht="15" hidden="false" customHeight="false" outlineLevel="0" collapsed="false">
      <c r="B8" s="50" t="s">
        <v>201</v>
      </c>
      <c r="C8" s="25" t="n">
        <f aca="false">MAX(1,N(ProjectStartDate))</f>
        <v>1</v>
      </c>
      <c r="D8" s="52" t="s">
        <v>202</v>
      </c>
      <c r="E8" s="8" t="s">
        <v>203</v>
      </c>
    </row>
    <row r="9" customFormat="false" ht="15" hidden="false" customHeight="false" outlineLevel="0" collapsed="false">
      <c r="B9" s="50" t="s">
        <v>204</v>
      </c>
      <c r="C9" s="53"/>
      <c r="D9" s="52" t="s">
        <v>205</v>
      </c>
      <c r="E9" s="8" t="s">
        <v>206</v>
      </c>
    </row>
    <row r="10" customFormat="false" ht="15" hidden="false" customHeight="false" outlineLevel="0" collapsed="false">
      <c r="B10" s="50" t="s">
        <v>207</v>
      </c>
      <c r="C10" s="25" t="n">
        <f aca="false">IF(N(StatusDateInput)&gt;0,StatusDateInput,ProjectStart)</f>
        <v>1</v>
      </c>
      <c r="D10" s="52" t="s">
        <v>208</v>
      </c>
      <c r="E10" s="8" t="s">
        <v>209</v>
      </c>
    </row>
    <row r="11" customFormat="false" ht="15" hidden="false" customHeight="false" outlineLevel="0" collapsed="false">
      <c r="B11" s="50" t="s">
        <v>210</v>
      </c>
      <c r="C11" s="25" t="n">
        <f aca="false">WORKDAY.INTL(StatusDate-1,1,WorkWeek,Holidays)</f>
        <v>2</v>
      </c>
      <c r="D11" s="52" t="s">
        <v>211</v>
      </c>
      <c r="E11" s="8"/>
    </row>
    <row r="12" customFormat="false" ht="15" hidden="false" customHeight="false" outlineLevel="0" collapsed="false">
      <c r="B12" s="50" t="s">
        <v>212</v>
      </c>
      <c r="C12" s="51" t="s">
        <v>213</v>
      </c>
      <c r="D12" s="52" t="s">
        <v>214</v>
      </c>
      <c r="E12" s="8" t="s">
        <v>215</v>
      </c>
    </row>
    <row r="13" customFormat="false" ht="15" hidden="false" customHeight="false" outlineLevel="0" collapsed="false">
      <c r="B13" s="50" t="s">
        <v>216</v>
      </c>
      <c r="C13" s="54" t="n">
        <v>8</v>
      </c>
      <c r="D13" s="52" t="s">
        <v>217</v>
      </c>
      <c r="E13" s="8" t="s">
        <v>218</v>
      </c>
    </row>
    <row r="14" customFormat="false" ht="15" hidden="false" customHeight="false" outlineLevel="0" collapsed="false">
      <c r="B14" s="50" t="s">
        <v>219</v>
      </c>
      <c r="C14" s="55" t="n">
        <v>1</v>
      </c>
      <c r="D14" s="52" t="s">
        <v>220</v>
      </c>
      <c r="E14" s="8" t="s">
        <v>221</v>
      </c>
    </row>
    <row r="15" customFormat="false" ht="15" hidden="false" customHeight="false" outlineLevel="0" collapsed="false">
      <c r="B15" s="50" t="s">
        <v>222</v>
      </c>
      <c r="C15" s="51" t="s">
        <v>213</v>
      </c>
      <c r="D15" s="52" t="s">
        <v>223</v>
      </c>
      <c r="E15" s="8" t="s">
        <v>224</v>
      </c>
    </row>
    <row r="16" customFormat="false" ht="15" hidden="false" customHeight="false" outlineLevel="0" collapsed="false">
      <c r="B16" s="50" t="s">
        <v>225</v>
      </c>
      <c r="C16" s="51" t="s">
        <v>213</v>
      </c>
      <c r="D16" s="52" t="s">
        <v>226</v>
      </c>
      <c r="E16" s="8"/>
    </row>
    <row r="17" customFormat="false" ht="15" hidden="false" customHeight="false" outlineLevel="0" collapsed="false">
      <c r="B17" s="50" t="s">
        <v>227</v>
      </c>
      <c r="C17" s="51" t="s">
        <v>213</v>
      </c>
      <c r="D17" s="52" t="s">
        <v>228</v>
      </c>
      <c r="E17" s="8"/>
    </row>
    <row r="18" customFormat="false" ht="15" hidden="false" customHeight="false" outlineLevel="0" collapsed="false">
      <c r="B18" s="50" t="s">
        <v>229</v>
      </c>
      <c r="C18" s="51" t="s">
        <v>213</v>
      </c>
      <c r="D18" s="52" t="s">
        <v>230</v>
      </c>
      <c r="E18" s="8"/>
    </row>
    <row r="19" customFormat="false" ht="15" hidden="false" customHeight="false" outlineLevel="0" collapsed="false">
      <c r="B19" s="50" t="s">
        <v>231</v>
      </c>
      <c r="C19" s="51" t="s">
        <v>213</v>
      </c>
      <c r="D19" s="52" t="s">
        <v>232</v>
      </c>
      <c r="E19" s="8"/>
    </row>
    <row r="20" customFormat="false" ht="15" hidden="false" customHeight="false" outlineLevel="0" collapsed="false">
      <c r="B20" s="50" t="s">
        <v>233</v>
      </c>
      <c r="C20" s="51" t="s">
        <v>234</v>
      </c>
      <c r="D20" s="52" t="s">
        <v>235</v>
      </c>
      <c r="E20" s="8"/>
    </row>
    <row r="21" customFormat="false" ht="15" hidden="false" customHeight="false" outlineLevel="0" collapsed="false">
      <c r="B21" s="50" t="s">
        <v>236</v>
      </c>
      <c r="C21" s="51" t="s">
        <v>234</v>
      </c>
      <c r="D21" s="52" t="s">
        <v>237</v>
      </c>
      <c r="E21" s="8"/>
    </row>
    <row r="22" customFormat="false" ht="15" hidden="false" customHeight="false" outlineLevel="0" collapsed="false">
      <c r="B22" s="50" t="s">
        <v>238</v>
      </c>
      <c r="C22" s="56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52" t="s">
        <v>239</v>
      </c>
      <c r="E22" s="8" t="s">
        <v>240</v>
      </c>
    </row>
    <row r="23" customFormat="false" ht="15" hidden="false" customHeight="false" outlineLevel="0" collapsed="false">
      <c r="B23" s="50" t="s">
        <v>241</v>
      </c>
      <c r="C23" s="53" t="n">
        <f aca="false">ProjectStart-WEEKDAY(ProjectStart,3)</f>
        <v>-5</v>
      </c>
      <c r="D23" s="52" t="s">
        <v>242</v>
      </c>
      <c r="E23" s="8" t="s">
        <v>243</v>
      </c>
    </row>
    <row r="24" customFormat="false" ht="15" hidden="false" customHeight="false" outlineLevel="0" collapsed="false">
      <c r="B24" s="50" t="s">
        <v>244</v>
      </c>
      <c r="C24" s="57" t="n">
        <v>1</v>
      </c>
      <c r="D24" s="52" t="s">
        <v>245</v>
      </c>
      <c r="E24" s="8" t="s">
        <v>246</v>
      </c>
    </row>
    <row r="25" customFormat="false" ht="15" hidden="false" customHeight="false" outlineLevel="0" collapsed="false">
      <c r="B25" s="50" t="s">
        <v>247</v>
      </c>
      <c r="C25" s="53" t="n">
        <f aca="false">ProjectStart</f>
        <v>1</v>
      </c>
      <c r="D25" s="52" t="s">
        <v>248</v>
      </c>
      <c r="E25" s="8" t="s">
        <v>249</v>
      </c>
    </row>
    <row r="26" customFormat="false" ht="15" hidden="false" customHeight="false" outlineLevel="0" collapsed="false">
      <c r="B26" s="50" t="s">
        <v>250</v>
      </c>
      <c r="C26" s="57" t="n">
        <v>14</v>
      </c>
      <c r="D26" s="52" t="s">
        <v>251</v>
      </c>
      <c r="E26" s="8" t="s">
        <v>252</v>
      </c>
    </row>
    <row r="27" customFormat="false" ht="15" hidden="false" customHeight="false" outlineLevel="0" collapsed="false">
      <c r="B27" s="50" t="s">
        <v>253</v>
      </c>
      <c r="C27" s="57" t="n">
        <v>12</v>
      </c>
      <c r="D27" s="52" t="s">
        <v>254</v>
      </c>
      <c r="E27" s="8" t="s">
        <v>255</v>
      </c>
    </row>
    <row r="28" customFormat="false" ht="15" hidden="false" customHeight="false" outlineLevel="0" collapsed="false">
      <c r="B28" s="50" t="s">
        <v>256</v>
      </c>
      <c r="C28" s="51" t="s">
        <v>257</v>
      </c>
      <c r="D28" s="52" t="s">
        <v>258</v>
      </c>
      <c r="E28" s="8" t="s">
        <v>259</v>
      </c>
    </row>
    <row r="29" customFormat="false" ht="15" hidden="false" customHeight="false" outlineLevel="0" collapsed="false">
      <c r="B29" s="50" t="s">
        <v>260</v>
      </c>
      <c r="C29" s="25" t="n">
        <f aca="false">INDEX(spr_End,SprintCount)</f>
        <v>168</v>
      </c>
      <c r="D29" s="52" t="s">
        <v>261</v>
      </c>
      <c r="E29" s="8"/>
    </row>
    <row r="30" customFormat="false" ht="15" hidden="false" customHeight="false" outlineLevel="0" collapsed="false">
      <c r="B30" s="50" t="s">
        <v>262</v>
      </c>
      <c r="C30" s="57" t="n">
        <v>0</v>
      </c>
      <c r="D30" s="52" t="s">
        <v>263</v>
      </c>
      <c r="E30" s="8" t="s">
        <v>264</v>
      </c>
    </row>
    <row r="31" customFormat="false" ht="15" hidden="false" customHeight="false" outlineLevel="0" collapsed="false">
      <c r="B31" s="50" t="s">
        <v>265</v>
      </c>
      <c r="C31" s="25" t="n">
        <f aca="false">MAX(tsk_FcFinish)</f>
        <v>0</v>
      </c>
      <c r="D31" s="52" t="s">
        <v>266</v>
      </c>
      <c r="E31" s="8" t="s">
        <v>267</v>
      </c>
    </row>
    <row r="32" customFormat="false" ht="15" hidden="false" customHeight="false" outlineLevel="0" collapsed="false">
      <c r="B32" s="50" t="s">
        <v>268</v>
      </c>
      <c r="C32" s="25" t="n">
        <f aca="false">MAX(tsk_PlanFinish)</f>
        <v>0</v>
      </c>
      <c r="D32" s="52" t="s">
        <v>269</v>
      </c>
      <c r="E32" s="8" t="s">
        <v>270</v>
      </c>
    </row>
    <row r="33" customFormat="false" ht="15" hidden="false" customHeight="false" outlineLevel="0" collapsed="false">
      <c r="B33" s="50" t="s">
        <v>271</v>
      </c>
      <c r="C33" s="58" t="n">
        <f aca="false">IF(ProjectFinish&gt;=PlannedFinish,NETWORKDAYS.INTL(PlannedFinish,ProjectFinish,WorkWeek,Holidays)-1,1-NETWORKDAYS.INTL(ProjectFinish,PlannedFinish,WorkWeek,Holidays))</f>
        <v>-1</v>
      </c>
      <c r="D33" s="52" t="s">
        <v>272</v>
      </c>
      <c r="E33" s="8" t="s">
        <v>273</v>
      </c>
    </row>
    <row r="34" customFormat="false" ht="15" hidden="false" customHeight="false" outlineLevel="0" collapsed="false">
      <c r="B34" s="50" t="s">
        <v>274</v>
      </c>
      <c r="C34" s="57" t="n">
        <v>10</v>
      </c>
      <c r="D34" s="52" t="s">
        <v>275</v>
      </c>
      <c r="E34" s="8" t="s">
        <v>276</v>
      </c>
    </row>
    <row r="35" customFormat="false" ht="15" hidden="false" customHeight="false" outlineLevel="0" collapsed="false">
      <c r="B35" s="50" t="s">
        <v>277</v>
      </c>
      <c r="C35" s="25" t="n">
        <f aca="false">WORKDAY.INTL(StatusDate-1,LookaheadDays,WorkWeek,Holidays)</f>
        <v>13</v>
      </c>
      <c r="D35" s="52" t="s">
        <v>278</v>
      </c>
      <c r="E35" s="8"/>
    </row>
    <row r="36" customFormat="false" ht="15" hidden="false" customHeight="false" outlineLevel="0" collapsed="false">
      <c r="B36" s="50" t="s">
        <v>279</v>
      </c>
      <c r="C36" s="57" t="n">
        <v>3</v>
      </c>
      <c r="D36" s="52" t="s">
        <v>280</v>
      </c>
      <c r="E36" s="8" t="s">
        <v>281</v>
      </c>
    </row>
    <row r="37" customFormat="false" ht="15" hidden="false" customHeight="false" outlineLevel="0" collapsed="false">
      <c r="B37" s="50" t="s">
        <v>282</v>
      </c>
      <c r="C37" s="57" t="n">
        <v>10</v>
      </c>
      <c r="D37" s="52" t="s">
        <v>283</v>
      </c>
      <c r="E37" s="8"/>
    </row>
    <row r="38" customFormat="false" ht="15" hidden="false" customHeight="false" outlineLevel="0" collapsed="false">
      <c r="B38" s="50" t="s">
        <v>284</v>
      </c>
      <c r="C38" s="59" t="n">
        <v>0.95</v>
      </c>
      <c r="D38" s="52" t="s">
        <v>285</v>
      </c>
      <c r="E38" s="8" t="s">
        <v>286</v>
      </c>
    </row>
    <row r="39" customFormat="false" ht="15" hidden="false" customHeight="false" outlineLevel="0" collapsed="false">
      <c r="B39" s="50" t="s">
        <v>287</v>
      </c>
      <c r="C39" s="59" t="n">
        <v>0.85</v>
      </c>
      <c r="D39" s="52" t="s">
        <v>288</v>
      </c>
      <c r="E39" s="8"/>
    </row>
    <row r="40" customFormat="false" ht="15" hidden="false" customHeight="false" outlineLevel="0" collapsed="false">
      <c r="B40" s="50" t="s">
        <v>289</v>
      </c>
      <c r="C40" s="60" t="n">
        <f aca="false">MAX(tsk_UID)+1</f>
        <v>201</v>
      </c>
      <c r="D40" s="52" t="s">
        <v>290</v>
      </c>
      <c r="E40" s="8" t="s">
        <v>291</v>
      </c>
    </row>
  </sheetData>
  <conditionalFormatting sqref="C7">
    <cfRule type="expression" priority="2" aboveAverage="0" equalAverage="0" bottom="0" percent="0" rank="0" text="" dxfId="22">
      <formula>N(C7)=0</formula>
    </cfRule>
  </conditionalFormatting>
  <conditionalFormatting sqref="C9">
    <cfRule type="expression" priority="3" aboveAverage="0" equalAverage="0" bottom="0" percent="0" rank="0" text="" dxfId="22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DL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8" min="37" style="0" width="11"/>
    <col collapsed="false" customWidth="true" hidden="false" outlineLevel="0" max="39" min="39" style="0" width="10"/>
    <col collapsed="false" customWidth="true" hidden="false" outlineLevel="0" max="40" min="40" style="0" width="14"/>
    <col collapsed="false" customWidth="true" hidden="false" outlineLevel="0" max="41" min="41" style="0" width="40"/>
    <col collapsed="false" customWidth="true" hidden="false" outlineLevel="0" max="43" min="42" style="0" width="15"/>
    <col collapsed="false" customWidth="true" hidden="false" outlineLevel="0" max="45" min="44" style="0" width="9"/>
    <col collapsed="false" customWidth="true" hidden="false" outlineLevel="0" max="46" min="46" style="0" width="11"/>
    <col collapsed="false" customWidth="true" hidden="false" outlineLevel="0" max="48" min="47" style="0" width="15"/>
    <col collapsed="false" customWidth="true" hidden="false" outlineLevel="0" max="50" min="49" style="0" width="9"/>
    <col collapsed="false" customWidth="true" hidden="false" outlineLevel="0" max="51" min="51" style="0" width="11"/>
    <col collapsed="false" customWidth="true" hidden="false" outlineLevel="0" max="53" min="52" style="0" width="9"/>
    <col collapsed="false" customWidth="true" hidden="false" outlineLevel="0" max="58" min="54" style="0" width="11"/>
    <col collapsed="false" customWidth="true" hidden="true" outlineLevel="1" max="116" min="59" style="0" width="11"/>
  </cols>
  <sheetData>
    <row r="1" customFormat="false" ht="19.7" hidden="false" customHeight="false" outlineLevel="0" collapsed="false">
      <c r="A1" s="26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292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293</v>
      </c>
      <c r="F4" s="36" t="s">
        <v>294</v>
      </c>
      <c r="P4" s="36" t="s">
        <v>295</v>
      </c>
      <c r="V4" s="36" t="s">
        <v>296</v>
      </c>
      <c r="X4" s="36" t="s">
        <v>297</v>
      </c>
      <c r="AC4" s="36" t="s">
        <v>298</v>
      </c>
      <c r="AE4" s="36" t="s">
        <v>299</v>
      </c>
      <c r="AH4" s="36" t="s">
        <v>300</v>
      </c>
      <c r="AP4" s="36" t="s">
        <v>301</v>
      </c>
      <c r="AZ4" s="36" t="s">
        <v>302</v>
      </c>
      <c r="BC4" s="36" t="s">
        <v>303</v>
      </c>
      <c r="BG4" s="36" t="s">
        <v>304</v>
      </c>
    </row>
    <row r="5" customFormat="false" ht="42" hidden="false" customHeight="true" outlineLevel="0" collapsed="false">
      <c r="A5" s="9" t="s">
        <v>305</v>
      </c>
      <c r="B5" s="27" t="s">
        <v>306</v>
      </c>
      <c r="C5" s="9" t="s">
        <v>164</v>
      </c>
      <c r="D5" s="27" t="s">
        <v>307</v>
      </c>
      <c r="E5" s="27" t="s">
        <v>308</v>
      </c>
      <c r="F5" s="27" t="s">
        <v>45</v>
      </c>
      <c r="G5" s="27" t="s">
        <v>186</v>
      </c>
      <c r="H5" s="27" t="s">
        <v>309</v>
      </c>
      <c r="I5" s="27" t="s">
        <v>310</v>
      </c>
      <c r="J5" s="27" t="s">
        <v>311</v>
      </c>
      <c r="K5" s="27" t="s">
        <v>312</v>
      </c>
      <c r="L5" s="27" t="s">
        <v>313</v>
      </c>
      <c r="M5" s="27" t="s">
        <v>314</v>
      </c>
      <c r="N5" s="27" t="s">
        <v>315</v>
      </c>
      <c r="O5" s="27" t="s">
        <v>180</v>
      </c>
      <c r="P5" s="9" t="s">
        <v>316</v>
      </c>
      <c r="Q5" s="9" t="s">
        <v>166</v>
      </c>
      <c r="R5" s="27" t="s">
        <v>317</v>
      </c>
      <c r="S5" s="27" t="s">
        <v>318</v>
      </c>
      <c r="T5" s="9" t="s">
        <v>185</v>
      </c>
      <c r="U5" s="9" t="s">
        <v>167</v>
      </c>
      <c r="V5" s="9" t="s">
        <v>319</v>
      </c>
      <c r="W5" s="9" t="s">
        <v>168</v>
      </c>
      <c r="X5" s="9" t="s">
        <v>86</v>
      </c>
      <c r="Y5" s="9" t="s">
        <v>320</v>
      </c>
      <c r="Z5" s="9" t="s">
        <v>187</v>
      </c>
      <c r="AA5" s="9" t="s">
        <v>321</v>
      </c>
      <c r="AB5" s="9" t="s">
        <v>184</v>
      </c>
      <c r="AC5" s="9" t="s">
        <v>181</v>
      </c>
      <c r="AD5" s="9" t="s">
        <v>322</v>
      </c>
      <c r="AE5" s="27" t="s">
        <v>323</v>
      </c>
      <c r="AF5" s="9" t="s">
        <v>169</v>
      </c>
      <c r="AG5" s="9" t="s">
        <v>77</v>
      </c>
      <c r="AH5" s="27" t="s">
        <v>183</v>
      </c>
      <c r="AI5" s="27" t="s">
        <v>324</v>
      </c>
      <c r="AJ5" s="9" t="s">
        <v>325</v>
      </c>
      <c r="AK5" s="9" t="s">
        <v>326</v>
      </c>
      <c r="AL5" s="27" t="s">
        <v>327</v>
      </c>
      <c r="AM5" s="9" t="s">
        <v>328</v>
      </c>
      <c r="AN5" s="9" t="s">
        <v>43</v>
      </c>
      <c r="AO5" s="27" t="s">
        <v>156</v>
      </c>
      <c r="AP5" s="9" t="s">
        <v>329</v>
      </c>
      <c r="AQ5" s="9" t="s">
        <v>330</v>
      </c>
      <c r="AR5" s="9" t="s">
        <v>331</v>
      </c>
      <c r="AS5" s="9" t="s">
        <v>332</v>
      </c>
      <c r="AT5" s="9" t="s">
        <v>333</v>
      </c>
      <c r="AU5" s="27" t="s">
        <v>334</v>
      </c>
      <c r="AV5" s="27" t="s">
        <v>335</v>
      </c>
      <c r="AW5" s="27" t="s">
        <v>336</v>
      </c>
      <c r="AX5" s="27" t="s">
        <v>337</v>
      </c>
      <c r="AY5" s="27" t="s">
        <v>338</v>
      </c>
      <c r="AZ5" s="9" t="s">
        <v>339</v>
      </c>
      <c r="BA5" s="9" t="s">
        <v>340</v>
      </c>
      <c r="BB5" s="9" t="s">
        <v>341</v>
      </c>
      <c r="BC5" s="9" t="s">
        <v>170</v>
      </c>
      <c r="BD5" s="9" t="s">
        <v>171</v>
      </c>
      <c r="BE5" s="9" t="s">
        <v>172</v>
      </c>
      <c r="BF5" s="9" t="s">
        <v>173</v>
      </c>
      <c r="BG5" s="42" t="s">
        <v>342</v>
      </c>
      <c r="BH5" s="42" t="s">
        <v>343</v>
      </c>
      <c r="BI5" s="42" t="s">
        <v>344</v>
      </c>
      <c r="BJ5" s="42" t="s">
        <v>345</v>
      </c>
      <c r="BK5" s="42" t="s">
        <v>346</v>
      </c>
      <c r="BL5" s="42" t="s">
        <v>347</v>
      </c>
      <c r="BM5" s="42" t="s">
        <v>348</v>
      </c>
      <c r="BN5" s="42" t="s">
        <v>349</v>
      </c>
      <c r="BO5" s="42" t="s">
        <v>350</v>
      </c>
      <c r="BP5" s="42" t="s">
        <v>351</v>
      </c>
      <c r="BQ5" s="42" t="s">
        <v>352</v>
      </c>
      <c r="BR5" s="42" t="s">
        <v>353</v>
      </c>
      <c r="BS5" s="42" t="s">
        <v>354</v>
      </c>
      <c r="BT5" s="42" t="s">
        <v>355</v>
      </c>
      <c r="BU5" s="42" t="s">
        <v>356</v>
      </c>
      <c r="BV5" s="42" t="s">
        <v>357</v>
      </c>
      <c r="BW5" s="42" t="s">
        <v>358</v>
      </c>
      <c r="BX5" s="42" t="s">
        <v>359</v>
      </c>
      <c r="BY5" s="42" t="s">
        <v>360</v>
      </c>
      <c r="BZ5" s="42" t="s">
        <v>361</v>
      </c>
      <c r="CA5" s="42" t="s">
        <v>362</v>
      </c>
      <c r="CB5" s="42" t="s">
        <v>363</v>
      </c>
      <c r="CC5" s="42" t="s">
        <v>364</v>
      </c>
      <c r="CD5" s="42" t="s">
        <v>365</v>
      </c>
      <c r="CE5" s="42" t="s">
        <v>366</v>
      </c>
      <c r="CF5" s="42" t="s">
        <v>367</v>
      </c>
      <c r="CG5" s="42" t="s">
        <v>368</v>
      </c>
      <c r="CH5" s="42" t="s">
        <v>369</v>
      </c>
      <c r="CI5" s="42" t="s">
        <v>370</v>
      </c>
      <c r="CJ5" s="42" t="s">
        <v>371</v>
      </c>
      <c r="CK5" s="42" t="s">
        <v>372</v>
      </c>
      <c r="CL5" s="42" t="s">
        <v>373</v>
      </c>
      <c r="CM5" s="42" t="s">
        <v>374</v>
      </c>
      <c r="CN5" s="42" t="s">
        <v>375</v>
      </c>
      <c r="CO5" s="42" t="s">
        <v>376</v>
      </c>
      <c r="CP5" s="42" t="s">
        <v>377</v>
      </c>
      <c r="CQ5" s="42" t="s">
        <v>378</v>
      </c>
      <c r="CR5" s="42" t="s">
        <v>379</v>
      </c>
      <c r="CS5" s="42" t="s">
        <v>380</v>
      </c>
      <c r="CT5" s="42" t="s">
        <v>381</v>
      </c>
      <c r="CU5" s="42" t="s">
        <v>382</v>
      </c>
      <c r="CV5" s="42" t="s">
        <v>383</v>
      </c>
      <c r="CW5" s="42" t="s">
        <v>384</v>
      </c>
      <c r="CX5" s="42" t="s">
        <v>385</v>
      </c>
      <c r="CY5" s="42" t="s">
        <v>386</v>
      </c>
      <c r="CZ5" s="42" t="s">
        <v>387</v>
      </c>
      <c r="DA5" s="42" t="s">
        <v>388</v>
      </c>
      <c r="DB5" s="42" t="s">
        <v>389</v>
      </c>
      <c r="DC5" s="42" t="s">
        <v>390</v>
      </c>
      <c r="DD5" s="42" t="s">
        <v>391</v>
      </c>
      <c r="DE5" s="42" t="s">
        <v>392</v>
      </c>
      <c r="DF5" s="42" t="s">
        <v>393</v>
      </c>
      <c r="DG5" s="42" t="s">
        <v>394</v>
      </c>
      <c r="DH5" s="42" t="s">
        <v>395</v>
      </c>
      <c r="DI5" s="42" t="s">
        <v>396</v>
      </c>
      <c r="DJ5" s="42" t="s">
        <v>397</v>
      </c>
      <c r="DK5" s="42" t="s">
        <v>398</v>
      </c>
      <c r="DL5" s="42" t="s">
        <v>399</v>
      </c>
    </row>
    <row r="6" customFormat="false" ht="15" hidden="false" customHeight="false" outlineLevel="0" collapsed="false">
      <c r="A6" s="28" t="str">
        <f aca="false">IF(Tasks[[#This Row],[Task Name]]="","",COUNTA(Tasks[[#Headers],[Task Name]]:Tasks[[#This Row],[Task Name]])-1)</f>
        <v/>
      </c>
      <c r="B6" s="29" t="n">
        <v>1</v>
      </c>
      <c r="C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29"/>
      <c r="E6" s="30"/>
      <c r="F6" s="29"/>
      <c r="G6" s="29"/>
      <c r="H6" s="29"/>
      <c r="I6" s="29"/>
      <c r="J6" s="29"/>
      <c r="K6" s="29"/>
      <c r="L6" s="29"/>
      <c r="M6" s="29"/>
      <c r="N6" s="53"/>
      <c r="O6" s="53"/>
      <c r="P6" s="25" t="str">
        <f aca="false">IF(Tasks[[#This Row],[Task Name]]="","",IF(N(Tasks[[#This Row],[Baseline Start]])&gt;0,Tasks[[#This Row],[Baseline Start]],Tasks[[#This Row],[_CalcStart]]))</f>
        <v/>
      </c>
      <c r="Q6" s="25" t="str">
        <f aca="false">IF(Tasks[[#This Row],[Task Name]]="","",IF(N(Tasks[[#This Row],[Baseline Finish]])&gt;0,Tasks[[#This Row],[Baseline Finish]],Tasks[[#This Row],[_CalcFinish]]))</f>
        <v/>
      </c>
      <c r="R6" s="53"/>
      <c r="S6" s="53"/>
      <c r="T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55"/>
      <c r="AF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" s="30"/>
      <c r="AI6" s="55"/>
      <c r="AJ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" s="64"/>
      <c r="AM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" s="30"/>
      <c r="AP6" s="25" t="str">
        <f aca="false">IF(Tasks[[#This Row],[Task Name]]="","",Tasks[[#This Row],[Forecast Start]])</f>
        <v/>
      </c>
      <c r="AQ6" s="25" t="str">
        <f aca="false">IF(Tasks[[#This Row],[Task Name]]="","",Tasks[[#This Row],[Forecast Finish]])</f>
        <v/>
      </c>
      <c r="AR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" s="62" t="str">
        <f aca="false">IF(Tasks[[#This Row],[Task Name]]="","",Tasks[[#This Row],[Work]])</f>
        <v/>
      </c>
      <c r="AT6" s="63" t="str">
        <f aca="false">IF(Tasks[[#This Row],[Task Name]]="","",Tasks[[#This Row],[Cost]])</f>
        <v/>
      </c>
      <c r="AU6" s="53"/>
      <c r="AV6" s="53"/>
      <c r="AW6" s="29"/>
      <c r="AX6" s="65"/>
      <c r="AY6" s="64"/>
      <c r="AZ6" s="28" t="str">
        <f aca="false">IF(OR(Tasks[[#This Row],[Task Name]]="",Tasks[[#This Row],[Baseline Duration]]=""),"",Tasks[[#This Row],[BL Source Duration]]-N(Tasks[[#This Row],[Baseline Duration]]))</f>
        <v/>
      </c>
      <c r="BA6" s="62" t="str">
        <f aca="false">IF(OR(Tasks[[#This Row],[Task Name]]="",Tasks[[#This Row],[Baseline Work]]=""),"",Tasks[[#This Row],[Work]]-N(Tasks[[#This Row],[Baseline Work]]))</f>
        <v/>
      </c>
      <c r="BB6" s="63" t="str">
        <f aca="false">IF(OR(Tasks[[#This Row],[Task Name]]="",Tasks[[#This Row],[Baseline Cost]]=""),"",Tasks[[#This Row],[Cost]]-N(Tasks[[#This Row],[Baseline Cost]]))</f>
        <v/>
      </c>
      <c r="BC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" s="43" t="str">
        <f aca="false">IF(Tasks[[#This Row],[Task Name]]="","",MAX(1,N(Tasks[[#This Row],[Level]])))</f>
        <v/>
      </c>
      <c r="BH6" s="43" t="n">
        <f aca="false">ROW()-ROW(Tasks[[#Headers],[ID]])</f>
        <v>1</v>
      </c>
      <c r="BI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" s="43" t="n">
        <f aca="false">IFERROR(N(INDEX(Tasks[_Level],Tasks[[#This Row],[_Row]]+1)),0)</f>
        <v>0</v>
      </c>
      <c r="BK6" s="66" t="b">
        <f aca="false">AND(Tasks[[#This Row],[Task Name]]&lt;&gt;"",Tasks[[#This Row],[_NextLevel]]&gt;Tasks[[#This Row],[_Level]])</f>
        <v>0</v>
      </c>
      <c r="BL6" s="43" t="n">
        <f aca="false">IF(Tasks[[#This Row],[_IsSummary]],COUNTIF(Tasks[WBS],Tasks[[#This Row],[WBS]]&amp;".*"),0)</f>
        <v>0</v>
      </c>
      <c r="BM6" s="43" t="n">
        <f aca="false">IF(AND(Tasks[[#This Row],[Task Name]]&lt;&gt;"",NOT(Tasks[[#This Row],[_IsSummary]])),1,0)</f>
        <v>0</v>
      </c>
      <c r="BN6" s="43" t="n">
        <f aca="false">IF(N(Tasks[[#This Row],[Pred1 UID]])=0,0,IFERROR(MATCH(Tasks[[#This Row],[Pred1 UID]],Tasks[UID],0),-1))</f>
        <v>0</v>
      </c>
      <c r="BO6" s="43" t="n">
        <f aca="false">IF(N(Tasks[[#This Row],[Pred2 UID]])=0,0,IFERROR(MATCH(Tasks[[#This Row],[Pred2 UID]],Tasks[UID],0),-1))</f>
        <v>0</v>
      </c>
      <c r="BP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" s="43" t="n">
        <f aca="false">IF(NOT(Tasks[[#This Row],[_IsLeaf]]=1),0,IF(N(Tasks[[#This Row],[Actual Finish]])&gt;0,1,MIN(1,N(Tasks[[#This Row],[% Complete]]))))</f>
        <v>0</v>
      </c>
      <c r="BU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" s="43" t="n">
        <f aca="false">IF(Tasks[[#This Row],[_LeafWork]]=0,0,Tasks[[#This Row],[_LeafWork]]*IFERROR(INDEX(res_Rate,MATCH(Tasks[[#This Row],[Resource]],res_Name,0)),0))</f>
        <v>0</v>
      </c>
      <c r="BW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" s="43" t="n">
        <f aca="false">IF(NOT(Tasks[[#This Row],[_IsLeaf]]=1),0,MAX(_xlfn.MAXIFS(Tasks[_Row],Tasks[Pred1 UID],Tasks[[#This Row],[UID]]),_xlfn.MAXIFS(Tasks[_Row],Tasks[Pred2 UID],Tasks[[#This Row],[UID]])))</f>
        <v>0</v>
      </c>
      <c r="CB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" s="67" t="str">
        <f aca="false">IF(NOT(Tasks[[#This Row],[_IsLeaf]]=1),"",MIN(ProjectFinish,IF(N(Tasks[[#This Row],[Deadline]])&gt;0,Tasks[[#This Row],[Deadline]],2958465),Tasks[[#This Row],[_SuccessorFinishLimit]]))</f>
        <v/>
      </c>
      <c r="CD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" s="66" t="b">
        <f aca="false">AND(Tasks[[#This Row],[_IsLeaf]]=1,Tasks[[#This Row],[_LeafProgress]]&lt;1,N(Tasks[[#This Row],[_LeafTotalSlack]])&lt;=CriticalSlackDays)</f>
        <v>0</v>
      </c>
      <c r="CG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" s="43" t="n">
        <f aca="false">IF(AND(Tasks[[#This Row],[_IsLeaf]]=1,Tasks[[#This Row],[_LeafWork]]&gt;0),NETWORKDAYS.INTL(ProjectStart,Tasks[[#This Row],[_LeafFcstStart]],WorkWeek,Holidays),0)</f>
        <v>0</v>
      </c>
      <c r="CP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" s="43" t="n">
        <f aca="false">IF(AND(Tasks[[#This Row],[_IsLeaf]]=1,Tasks[[#This Row],[_LeafWork]]&gt;0),Tasks[[#This Row],[_LeafWork]]/(Tasks[[#This Row],[_FinishWorkday]]-Tasks[[#This Row],[_StartWorkday]]+1),0)</f>
        <v>0</v>
      </c>
      <c r="CR6" s="43" t="n">
        <f aca="false">Tasks[[#This Row],[_WorkPerWorkday]]*(Tasks[[#This Row],[_StartWorkday]]-1)</f>
        <v>-0</v>
      </c>
      <c r="CS6" s="43" t="n">
        <f aca="false">IF(Tasks[[#This Row],[_IsLeaf]]=1,MAX(N(Tasks[[#This Row],[Duration]]),0.1),0)</f>
        <v>0</v>
      </c>
      <c r="CT6" s="43" t="n">
        <f aca="false">Tasks[[#This Row],[_WeightDur]]*Tasks[[#This Row],[_LeafProgress]]</f>
        <v>0</v>
      </c>
      <c r="CU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" s="43" t="str">
        <f aca="false">IF(AND(Tasks[[#This Row],[_IsLeaf]]=1,N(Tasks[[#This Row],[Duration]])=0,Tasks[[#This Row],[_LeafProgress]]&lt;1),Tasks[[#This Row],[_LeafFcstFinish]]+Tasks[[#This Row],[_Row]]/100000,"")</f>
        <v/>
      </c>
      <c r="DA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" s="43" t="n">
        <f aca="false">IF(NOT(Tasks[[#This Row],[_IsLeaf]]=1),0,IF(Tasks[[#This Row],[Baseline Cost]]="",Tasks[[#This Row],[_LeafCost]],N(Tasks[[#This Row],[Baseline Cost]])))</f>
        <v>0</v>
      </c>
      <c r="DC6" s="43" t="n">
        <f aca="false">Tasks[[#This Row],[_LeafBudget]]*Tasks[[#This Row],[_PlannedPct]]</f>
        <v>0</v>
      </c>
      <c r="DD6" s="43" t="n">
        <f aca="false">Tasks[[#This Row],[_LeafBudget]]*Tasks[[#This Row],[_LeafProgress]]</f>
        <v>0</v>
      </c>
      <c r="DE6" s="43" t="n">
        <f aca="false">IF(NOT(Tasks[[#This Row],[_IsLeaf]]=1),0,IF(Tasks[[#This Row],[Actual Cost]]="",Tasks[[#This Row],[_LeafCost]]*Tasks[[#This Row],[_LeafProgress]],N(Tasks[[#This Row],[Actual Cost]])))</f>
        <v>0</v>
      </c>
      <c r="DF6" s="43" t="str">
        <f aca="false">IF(Tasks[[#This Row],[Task Name]]="","",LEFT(Tasks[[#This Row],[WBS]],FIND(".",Tasks[[#This Row],[WBS]]&amp;".")-1))</f>
        <v/>
      </c>
      <c r="DG6" s="43" t="str">
        <f aca="false">IF(AND(Tasks[[#This Row],[Task Name]]&lt;&gt;"",Tasks[[#This Row],[_Level]]=1),Tasks[[#This Row],[_Row]],"")</f>
        <v/>
      </c>
      <c r="DH6" s="43" t="str">
        <f aca="false">IF(AND(Tasks[[#This Row],[_IsLeaf]]=1,N(Tasks[[#This Row],[Duration]])=0),Tasks[[#This Row],[Planned Finish]]+Tasks[[#This Row],[_Row]]/100000,"")</f>
        <v/>
      </c>
      <c r="DI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" s="43" t="str">
        <f aca="false">IF(Tasks[[#This Row],[_LeafCritical]],Tasks[[#This Row],[_LeafFcstStart]]+Tasks[[#This Row],[_Row]]/100000,"")</f>
        <v/>
      </c>
    </row>
    <row r="7" customFormat="false" ht="15" hidden="false" customHeight="false" outlineLevel="0" collapsed="false">
      <c r="A7" s="28" t="str">
        <f aca="false">IF(Tasks[[#This Row],[Task Name]]="","",COUNTA(Tasks[[#Headers],[Task Name]]:Tasks[[#This Row],[Task Name]])-1)</f>
        <v/>
      </c>
      <c r="B7" s="29" t="n">
        <v>2</v>
      </c>
      <c r="C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29"/>
      <c r="E7" s="30"/>
      <c r="F7" s="29"/>
      <c r="G7" s="29"/>
      <c r="H7" s="29"/>
      <c r="I7" s="29"/>
      <c r="J7" s="29"/>
      <c r="K7" s="29"/>
      <c r="L7" s="29"/>
      <c r="M7" s="29"/>
      <c r="N7" s="53"/>
      <c r="O7" s="53"/>
      <c r="P7" s="25" t="str">
        <f aca="false">IF(Tasks[[#This Row],[Task Name]]="","",IF(N(Tasks[[#This Row],[Baseline Start]])&gt;0,Tasks[[#This Row],[Baseline Start]],Tasks[[#This Row],[_CalcStart]]))</f>
        <v/>
      </c>
      <c r="Q7" s="25" t="str">
        <f aca="false">IF(Tasks[[#This Row],[Task Name]]="","",IF(N(Tasks[[#This Row],[Baseline Finish]])&gt;0,Tasks[[#This Row],[Baseline Finish]],Tasks[[#This Row],[_CalcFinish]]))</f>
        <v/>
      </c>
      <c r="R7" s="53"/>
      <c r="S7" s="53"/>
      <c r="T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55"/>
      <c r="AF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" s="30"/>
      <c r="AI7" s="55"/>
      <c r="AJ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" s="64"/>
      <c r="AM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" s="30"/>
      <c r="AP7" s="25" t="str">
        <f aca="false">IF(Tasks[[#This Row],[Task Name]]="","",Tasks[[#This Row],[Forecast Start]])</f>
        <v/>
      </c>
      <c r="AQ7" s="25" t="str">
        <f aca="false">IF(Tasks[[#This Row],[Task Name]]="","",Tasks[[#This Row],[Forecast Finish]])</f>
        <v/>
      </c>
      <c r="AR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" s="62" t="str">
        <f aca="false">IF(Tasks[[#This Row],[Task Name]]="","",Tasks[[#This Row],[Work]])</f>
        <v/>
      </c>
      <c r="AT7" s="63" t="str">
        <f aca="false">IF(Tasks[[#This Row],[Task Name]]="","",Tasks[[#This Row],[Cost]])</f>
        <v/>
      </c>
      <c r="AU7" s="53"/>
      <c r="AV7" s="53"/>
      <c r="AW7" s="29"/>
      <c r="AX7" s="65"/>
      <c r="AY7" s="64"/>
      <c r="AZ7" s="28" t="str">
        <f aca="false">IF(OR(Tasks[[#This Row],[Task Name]]="",Tasks[[#This Row],[Baseline Duration]]=""),"",Tasks[[#This Row],[BL Source Duration]]-N(Tasks[[#This Row],[Baseline Duration]]))</f>
        <v/>
      </c>
      <c r="BA7" s="62" t="str">
        <f aca="false">IF(OR(Tasks[[#This Row],[Task Name]]="",Tasks[[#This Row],[Baseline Work]]=""),"",Tasks[[#This Row],[Work]]-N(Tasks[[#This Row],[Baseline Work]]))</f>
        <v/>
      </c>
      <c r="BB7" s="63" t="str">
        <f aca="false">IF(OR(Tasks[[#This Row],[Task Name]]="",Tasks[[#This Row],[Baseline Cost]]=""),"",Tasks[[#This Row],[Cost]]-N(Tasks[[#This Row],[Baseline Cost]]))</f>
        <v/>
      </c>
      <c r="BC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" s="43" t="str">
        <f aca="false">IF(Tasks[[#This Row],[Task Name]]="","",MAX(1,N(Tasks[[#This Row],[Level]])))</f>
        <v/>
      </c>
      <c r="BH7" s="43" t="n">
        <f aca="false">ROW()-ROW(Tasks[[#Headers],[ID]])</f>
        <v>2</v>
      </c>
      <c r="BI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" s="43" t="n">
        <f aca="false">IFERROR(N(INDEX(Tasks[_Level],Tasks[[#This Row],[_Row]]+1)),0)</f>
        <v>0</v>
      </c>
      <c r="BK7" s="66" t="b">
        <f aca="false">AND(Tasks[[#This Row],[Task Name]]&lt;&gt;"",Tasks[[#This Row],[_NextLevel]]&gt;Tasks[[#This Row],[_Level]])</f>
        <v>0</v>
      </c>
      <c r="BL7" s="43" t="n">
        <f aca="false">IF(Tasks[[#This Row],[_IsSummary]],COUNTIF(Tasks[WBS],Tasks[[#This Row],[WBS]]&amp;".*"),0)</f>
        <v>0</v>
      </c>
      <c r="BM7" s="43" t="n">
        <f aca="false">IF(AND(Tasks[[#This Row],[Task Name]]&lt;&gt;"",NOT(Tasks[[#This Row],[_IsSummary]])),1,0)</f>
        <v>0</v>
      </c>
      <c r="BN7" s="43" t="n">
        <f aca="false">IF(N(Tasks[[#This Row],[Pred1 UID]])=0,0,IFERROR(MATCH(Tasks[[#This Row],[Pred1 UID]],Tasks[UID],0),-1))</f>
        <v>0</v>
      </c>
      <c r="BO7" s="43" t="n">
        <f aca="false">IF(N(Tasks[[#This Row],[Pred2 UID]])=0,0,IFERROR(MATCH(Tasks[[#This Row],[Pred2 UID]],Tasks[UID],0),-1))</f>
        <v>0</v>
      </c>
      <c r="BP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" s="43" t="n">
        <f aca="false">IF(NOT(Tasks[[#This Row],[_IsLeaf]]=1),0,IF(N(Tasks[[#This Row],[Actual Finish]])&gt;0,1,MIN(1,N(Tasks[[#This Row],[% Complete]]))))</f>
        <v>0</v>
      </c>
      <c r="BU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" s="43" t="n">
        <f aca="false">IF(Tasks[[#This Row],[_LeafWork]]=0,0,Tasks[[#This Row],[_LeafWork]]*IFERROR(INDEX(res_Rate,MATCH(Tasks[[#This Row],[Resource]],res_Name,0)),0))</f>
        <v>0</v>
      </c>
      <c r="BW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" s="43" t="n">
        <f aca="false">IF(NOT(Tasks[[#This Row],[_IsLeaf]]=1),0,MAX(_xlfn.MAXIFS(Tasks[_Row],Tasks[Pred1 UID],Tasks[[#This Row],[UID]]),_xlfn.MAXIFS(Tasks[_Row],Tasks[Pred2 UID],Tasks[[#This Row],[UID]])))</f>
        <v>0</v>
      </c>
      <c r="CB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" s="67" t="str">
        <f aca="false">IF(NOT(Tasks[[#This Row],[_IsLeaf]]=1),"",MIN(ProjectFinish,IF(N(Tasks[[#This Row],[Deadline]])&gt;0,Tasks[[#This Row],[Deadline]],2958465),Tasks[[#This Row],[_SuccessorFinishLimit]]))</f>
        <v/>
      </c>
      <c r="CD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" s="66" t="b">
        <f aca="false">AND(Tasks[[#This Row],[_IsLeaf]]=1,Tasks[[#This Row],[_LeafProgress]]&lt;1,N(Tasks[[#This Row],[_LeafTotalSlack]])&lt;=CriticalSlackDays)</f>
        <v>0</v>
      </c>
      <c r="CG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" s="43" t="n">
        <f aca="false">IF(AND(Tasks[[#This Row],[_IsLeaf]]=1,Tasks[[#This Row],[_LeafWork]]&gt;0),NETWORKDAYS.INTL(ProjectStart,Tasks[[#This Row],[_LeafFcstStart]],WorkWeek,Holidays),0)</f>
        <v>0</v>
      </c>
      <c r="CP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" s="43" t="n">
        <f aca="false">IF(AND(Tasks[[#This Row],[_IsLeaf]]=1,Tasks[[#This Row],[_LeafWork]]&gt;0),Tasks[[#This Row],[_LeafWork]]/(Tasks[[#This Row],[_FinishWorkday]]-Tasks[[#This Row],[_StartWorkday]]+1),0)</f>
        <v>0</v>
      </c>
      <c r="CR7" s="43" t="n">
        <f aca="false">Tasks[[#This Row],[_WorkPerWorkday]]*(Tasks[[#This Row],[_StartWorkday]]-1)</f>
        <v>-0</v>
      </c>
      <c r="CS7" s="43" t="n">
        <f aca="false">IF(Tasks[[#This Row],[_IsLeaf]]=1,MAX(N(Tasks[[#This Row],[Duration]]),0.1),0)</f>
        <v>0</v>
      </c>
      <c r="CT7" s="43" t="n">
        <f aca="false">Tasks[[#This Row],[_WeightDur]]*Tasks[[#This Row],[_LeafProgress]]</f>
        <v>0</v>
      </c>
      <c r="CU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" s="43" t="str">
        <f aca="false">IF(AND(Tasks[[#This Row],[_IsLeaf]]=1,N(Tasks[[#This Row],[Duration]])=0,Tasks[[#This Row],[_LeafProgress]]&lt;1),Tasks[[#This Row],[_LeafFcstFinish]]+Tasks[[#This Row],[_Row]]/100000,"")</f>
        <v/>
      </c>
      <c r="DA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" s="43" t="n">
        <f aca="false">IF(NOT(Tasks[[#This Row],[_IsLeaf]]=1),0,IF(Tasks[[#This Row],[Baseline Cost]]="",Tasks[[#This Row],[_LeafCost]],N(Tasks[[#This Row],[Baseline Cost]])))</f>
        <v>0</v>
      </c>
      <c r="DC7" s="43" t="n">
        <f aca="false">Tasks[[#This Row],[_LeafBudget]]*Tasks[[#This Row],[_PlannedPct]]</f>
        <v>0</v>
      </c>
      <c r="DD7" s="43" t="n">
        <f aca="false">Tasks[[#This Row],[_LeafBudget]]*Tasks[[#This Row],[_LeafProgress]]</f>
        <v>0</v>
      </c>
      <c r="DE7" s="43" t="n">
        <f aca="false">IF(NOT(Tasks[[#This Row],[_IsLeaf]]=1),0,IF(Tasks[[#This Row],[Actual Cost]]="",Tasks[[#This Row],[_LeafCost]]*Tasks[[#This Row],[_LeafProgress]],N(Tasks[[#This Row],[Actual Cost]])))</f>
        <v>0</v>
      </c>
      <c r="DF7" s="43" t="str">
        <f aca="false">IF(Tasks[[#This Row],[Task Name]]="","",LEFT(Tasks[[#This Row],[WBS]],FIND(".",Tasks[[#This Row],[WBS]]&amp;".")-1))</f>
        <v/>
      </c>
      <c r="DG7" s="43" t="str">
        <f aca="false">IF(AND(Tasks[[#This Row],[Task Name]]&lt;&gt;"",Tasks[[#This Row],[_Level]]=1),Tasks[[#This Row],[_Row]],"")</f>
        <v/>
      </c>
      <c r="DH7" s="43" t="str">
        <f aca="false">IF(AND(Tasks[[#This Row],[_IsLeaf]]=1,N(Tasks[[#This Row],[Duration]])=0),Tasks[[#This Row],[Planned Finish]]+Tasks[[#This Row],[_Row]]/100000,"")</f>
        <v/>
      </c>
      <c r="DI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" s="43" t="str">
        <f aca="false">IF(Tasks[[#This Row],[_LeafCritical]],Tasks[[#This Row],[_LeafFcstStart]]+Tasks[[#This Row],[_Row]]/100000,"")</f>
        <v/>
      </c>
    </row>
    <row r="8" customFormat="false" ht="15" hidden="false" customHeight="false" outlineLevel="0" collapsed="false">
      <c r="A8" s="28" t="str">
        <f aca="false">IF(Tasks[[#This Row],[Task Name]]="","",COUNTA(Tasks[[#Headers],[Task Name]]:Tasks[[#This Row],[Task Name]])-1)</f>
        <v/>
      </c>
      <c r="B8" s="29" t="n">
        <v>3</v>
      </c>
      <c r="C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29"/>
      <c r="E8" s="30"/>
      <c r="F8" s="29"/>
      <c r="G8" s="29"/>
      <c r="H8" s="29"/>
      <c r="I8" s="29"/>
      <c r="J8" s="29"/>
      <c r="K8" s="29"/>
      <c r="L8" s="29"/>
      <c r="M8" s="29"/>
      <c r="N8" s="53"/>
      <c r="O8" s="53"/>
      <c r="P8" s="25" t="str">
        <f aca="false">IF(Tasks[[#This Row],[Task Name]]="","",IF(N(Tasks[[#This Row],[Baseline Start]])&gt;0,Tasks[[#This Row],[Baseline Start]],Tasks[[#This Row],[_CalcStart]]))</f>
        <v/>
      </c>
      <c r="Q8" s="25" t="str">
        <f aca="false">IF(Tasks[[#This Row],[Task Name]]="","",IF(N(Tasks[[#This Row],[Baseline Finish]])&gt;0,Tasks[[#This Row],[Baseline Finish]],Tasks[[#This Row],[_CalcFinish]]))</f>
        <v/>
      </c>
      <c r="R8" s="53"/>
      <c r="S8" s="53"/>
      <c r="T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55"/>
      <c r="AF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" s="30"/>
      <c r="AI8" s="55"/>
      <c r="AJ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" s="64"/>
      <c r="AM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" s="30"/>
      <c r="AP8" s="25" t="str">
        <f aca="false">IF(Tasks[[#This Row],[Task Name]]="","",Tasks[[#This Row],[Forecast Start]])</f>
        <v/>
      </c>
      <c r="AQ8" s="25" t="str">
        <f aca="false">IF(Tasks[[#This Row],[Task Name]]="","",Tasks[[#This Row],[Forecast Finish]])</f>
        <v/>
      </c>
      <c r="AR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" s="62" t="str">
        <f aca="false">IF(Tasks[[#This Row],[Task Name]]="","",Tasks[[#This Row],[Work]])</f>
        <v/>
      </c>
      <c r="AT8" s="63" t="str">
        <f aca="false">IF(Tasks[[#This Row],[Task Name]]="","",Tasks[[#This Row],[Cost]])</f>
        <v/>
      </c>
      <c r="AU8" s="53"/>
      <c r="AV8" s="53"/>
      <c r="AW8" s="29"/>
      <c r="AX8" s="65"/>
      <c r="AY8" s="64"/>
      <c r="AZ8" s="28" t="str">
        <f aca="false">IF(OR(Tasks[[#This Row],[Task Name]]="",Tasks[[#This Row],[Baseline Duration]]=""),"",Tasks[[#This Row],[BL Source Duration]]-N(Tasks[[#This Row],[Baseline Duration]]))</f>
        <v/>
      </c>
      <c r="BA8" s="62" t="str">
        <f aca="false">IF(OR(Tasks[[#This Row],[Task Name]]="",Tasks[[#This Row],[Baseline Work]]=""),"",Tasks[[#This Row],[Work]]-N(Tasks[[#This Row],[Baseline Work]]))</f>
        <v/>
      </c>
      <c r="BB8" s="63" t="str">
        <f aca="false">IF(OR(Tasks[[#This Row],[Task Name]]="",Tasks[[#This Row],[Baseline Cost]]=""),"",Tasks[[#This Row],[Cost]]-N(Tasks[[#This Row],[Baseline Cost]]))</f>
        <v/>
      </c>
      <c r="BC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" s="43" t="str">
        <f aca="false">IF(Tasks[[#This Row],[Task Name]]="","",MAX(1,N(Tasks[[#This Row],[Level]])))</f>
        <v/>
      </c>
      <c r="BH8" s="43" t="n">
        <f aca="false">ROW()-ROW(Tasks[[#Headers],[ID]])</f>
        <v>3</v>
      </c>
      <c r="BI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" s="43" t="n">
        <f aca="false">IFERROR(N(INDEX(Tasks[_Level],Tasks[[#This Row],[_Row]]+1)),0)</f>
        <v>0</v>
      </c>
      <c r="BK8" s="66" t="b">
        <f aca="false">AND(Tasks[[#This Row],[Task Name]]&lt;&gt;"",Tasks[[#This Row],[_NextLevel]]&gt;Tasks[[#This Row],[_Level]])</f>
        <v>0</v>
      </c>
      <c r="BL8" s="43" t="n">
        <f aca="false">IF(Tasks[[#This Row],[_IsSummary]],COUNTIF(Tasks[WBS],Tasks[[#This Row],[WBS]]&amp;".*"),0)</f>
        <v>0</v>
      </c>
      <c r="BM8" s="43" t="n">
        <f aca="false">IF(AND(Tasks[[#This Row],[Task Name]]&lt;&gt;"",NOT(Tasks[[#This Row],[_IsSummary]])),1,0)</f>
        <v>0</v>
      </c>
      <c r="BN8" s="43" t="n">
        <f aca="false">IF(N(Tasks[[#This Row],[Pred1 UID]])=0,0,IFERROR(MATCH(Tasks[[#This Row],[Pred1 UID]],Tasks[UID],0),-1))</f>
        <v>0</v>
      </c>
      <c r="BO8" s="43" t="n">
        <f aca="false">IF(N(Tasks[[#This Row],[Pred2 UID]])=0,0,IFERROR(MATCH(Tasks[[#This Row],[Pred2 UID]],Tasks[UID],0),-1))</f>
        <v>0</v>
      </c>
      <c r="BP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" s="43" t="n">
        <f aca="false">IF(NOT(Tasks[[#This Row],[_IsLeaf]]=1),0,IF(N(Tasks[[#This Row],[Actual Finish]])&gt;0,1,MIN(1,N(Tasks[[#This Row],[% Complete]]))))</f>
        <v>0</v>
      </c>
      <c r="BU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" s="43" t="n">
        <f aca="false">IF(Tasks[[#This Row],[_LeafWork]]=0,0,Tasks[[#This Row],[_LeafWork]]*IFERROR(INDEX(res_Rate,MATCH(Tasks[[#This Row],[Resource]],res_Name,0)),0))</f>
        <v>0</v>
      </c>
      <c r="BW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" s="43" t="n">
        <f aca="false">IF(NOT(Tasks[[#This Row],[_IsLeaf]]=1),0,MAX(_xlfn.MAXIFS(Tasks[_Row],Tasks[Pred1 UID],Tasks[[#This Row],[UID]]),_xlfn.MAXIFS(Tasks[_Row],Tasks[Pred2 UID],Tasks[[#This Row],[UID]])))</f>
        <v>0</v>
      </c>
      <c r="CB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" s="67" t="str">
        <f aca="false">IF(NOT(Tasks[[#This Row],[_IsLeaf]]=1),"",MIN(ProjectFinish,IF(N(Tasks[[#This Row],[Deadline]])&gt;0,Tasks[[#This Row],[Deadline]],2958465),Tasks[[#This Row],[_SuccessorFinishLimit]]))</f>
        <v/>
      </c>
      <c r="CD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" s="66" t="b">
        <f aca="false">AND(Tasks[[#This Row],[_IsLeaf]]=1,Tasks[[#This Row],[_LeafProgress]]&lt;1,N(Tasks[[#This Row],[_LeafTotalSlack]])&lt;=CriticalSlackDays)</f>
        <v>0</v>
      </c>
      <c r="CG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" s="43" t="n">
        <f aca="false">IF(AND(Tasks[[#This Row],[_IsLeaf]]=1,Tasks[[#This Row],[_LeafWork]]&gt;0),NETWORKDAYS.INTL(ProjectStart,Tasks[[#This Row],[_LeafFcstStart]],WorkWeek,Holidays),0)</f>
        <v>0</v>
      </c>
      <c r="CP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" s="43" t="n">
        <f aca="false">IF(AND(Tasks[[#This Row],[_IsLeaf]]=1,Tasks[[#This Row],[_LeafWork]]&gt;0),Tasks[[#This Row],[_LeafWork]]/(Tasks[[#This Row],[_FinishWorkday]]-Tasks[[#This Row],[_StartWorkday]]+1),0)</f>
        <v>0</v>
      </c>
      <c r="CR8" s="43" t="n">
        <f aca="false">Tasks[[#This Row],[_WorkPerWorkday]]*(Tasks[[#This Row],[_StartWorkday]]-1)</f>
        <v>-0</v>
      </c>
      <c r="CS8" s="43" t="n">
        <f aca="false">IF(Tasks[[#This Row],[_IsLeaf]]=1,MAX(N(Tasks[[#This Row],[Duration]]),0.1),0)</f>
        <v>0</v>
      </c>
      <c r="CT8" s="43" t="n">
        <f aca="false">Tasks[[#This Row],[_WeightDur]]*Tasks[[#This Row],[_LeafProgress]]</f>
        <v>0</v>
      </c>
      <c r="CU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" s="43" t="str">
        <f aca="false">IF(AND(Tasks[[#This Row],[_IsLeaf]]=1,N(Tasks[[#This Row],[Duration]])=0,Tasks[[#This Row],[_LeafProgress]]&lt;1),Tasks[[#This Row],[_LeafFcstFinish]]+Tasks[[#This Row],[_Row]]/100000,"")</f>
        <v/>
      </c>
      <c r="DA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" s="43" t="n">
        <f aca="false">IF(NOT(Tasks[[#This Row],[_IsLeaf]]=1),0,IF(Tasks[[#This Row],[Baseline Cost]]="",Tasks[[#This Row],[_LeafCost]],N(Tasks[[#This Row],[Baseline Cost]])))</f>
        <v>0</v>
      </c>
      <c r="DC8" s="43" t="n">
        <f aca="false">Tasks[[#This Row],[_LeafBudget]]*Tasks[[#This Row],[_PlannedPct]]</f>
        <v>0</v>
      </c>
      <c r="DD8" s="43" t="n">
        <f aca="false">Tasks[[#This Row],[_LeafBudget]]*Tasks[[#This Row],[_LeafProgress]]</f>
        <v>0</v>
      </c>
      <c r="DE8" s="43" t="n">
        <f aca="false">IF(NOT(Tasks[[#This Row],[_IsLeaf]]=1),0,IF(Tasks[[#This Row],[Actual Cost]]="",Tasks[[#This Row],[_LeafCost]]*Tasks[[#This Row],[_LeafProgress]],N(Tasks[[#This Row],[Actual Cost]])))</f>
        <v>0</v>
      </c>
      <c r="DF8" s="43" t="str">
        <f aca="false">IF(Tasks[[#This Row],[Task Name]]="","",LEFT(Tasks[[#This Row],[WBS]],FIND(".",Tasks[[#This Row],[WBS]]&amp;".")-1))</f>
        <v/>
      </c>
      <c r="DG8" s="43" t="str">
        <f aca="false">IF(AND(Tasks[[#This Row],[Task Name]]&lt;&gt;"",Tasks[[#This Row],[_Level]]=1),Tasks[[#This Row],[_Row]],"")</f>
        <v/>
      </c>
      <c r="DH8" s="43" t="str">
        <f aca="false">IF(AND(Tasks[[#This Row],[_IsLeaf]]=1,N(Tasks[[#This Row],[Duration]])=0),Tasks[[#This Row],[Planned Finish]]+Tasks[[#This Row],[_Row]]/100000,"")</f>
        <v/>
      </c>
      <c r="DI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" s="43" t="str">
        <f aca="false">IF(Tasks[[#This Row],[_LeafCritical]],Tasks[[#This Row],[_LeafFcstStart]]+Tasks[[#This Row],[_Row]]/100000,"")</f>
        <v/>
      </c>
    </row>
    <row r="9" customFormat="false" ht="15" hidden="false" customHeight="false" outlineLevel="0" collapsed="false">
      <c r="A9" s="28" t="str">
        <f aca="false">IF(Tasks[[#This Row],[Task Name]]="","",COUNTA(Tasks[[#Headers],[Task Name]]:Tasks[[#This Row],[Task Name]])-1)</f>
        <v/>
      </c>
      <c r="B9" s="29" t="n">
        <v>4</v>
      </c>
      <c r="C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29"/>
      <c r="E9" s="30"/>
      <c r="F9" s="29"/>
      <c r="G9" s="29"/>
      <c r="H9" s="29"/>
      <c r="I9" s="29"/>
      <c r="J9" s="29"/>
      <c r="K9" s="29"/>
      <c r="L9" s="29"/>
      <c r="M9" s="29"/>
      <c r="N9" s="53"/>
      <c r="O9" s="53"/>
      <c r="P9" s="25" t="str">
        <f aca="false">IF(Tasks[[#This Row],[Task Name]]="","",IF(N(Tasks[[#This Row],[Baseline Start]])&gt;0,Tasks[[#This Row],[Baseline Start]],Tasks[[#This Row],[_CalcStart]]))</f>
        <v/>
      </c>
      <c r="Q9" s="25" t="str">
        <f aca="false">IF(Tasks[[#This Row],[Task Name]]="","",IF(N(Tasks[[#This Row],[Baseline Finish]])&gt;0,Tasks[[#This Row],[Baseline Finish]],Tasks[[#This Row],[_CalcFinish]]))</f>
        <v/>
      </c>
      <c r="R9" s="53"/>
      <c r="S9" s="53"/>
      <c r="T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55"/>
      <c r="AF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" s="30"/>
      <c r="AI9" s="55"/>
      <c r="AJ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" s="64"/>
      <c r="AM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" s="30"/>
      <c r="AP9" s="25" t="str">
        <f aca="false">IF(Tasks[[#This Row],[Task Name]]="","",Tasks[[#This Row],[Forecast Start]])</f>
        <v/>
      </c>
      <c r="AQ9" s="25" t="str">
        <f aca="false">IF(Tasks[[#This Row],[Task Name]]="","",Tasks[[#This Row],[Forecast Finish]])</f>
        <v/>
      </c>
      <c r="AR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" s="62" t="str">
        <f aca="false">IF(Tasks[[#This Row],[Task Name]]="","",Tasks[[#This Row],[Work]])</f>
        <v/>
      </c>
      <c r="AT9" s="63" t="str">
        <f aca="false">IF(Tasks[[#This Row],[Task Name]]="","",Tasks[[#This Row],[Cost]])</f>
        <v/>
      </c>
      <c r="AU9" s="53"/>
      <c r="AV9" s="53"/>
      <c r="AW9" s="29"/>
      <c r="AX9" s="65"/>
      <c r="AY9" s="64"/>
      <c r="AZ9" s="28" t="str">
        <f aca="false">IF(OR(Tasks[[#This Row],[Task Name]]="",Tasks[[#This Row],[Baseline Duration]]=""),"",Tasks[[#This Row],[BL Source Duration]]-N(Tasks[[#This Row],[Baseline Duration]]))</f>
        <v/>
      </c>
      <c r="BA9" s="62" t="str">
        <f aca="false">IF(OR(Tasks[[#This Row],[Task Name]]="",Tasks[[#This Row],[Baseline Work]]=""),"",Tasks[[#This Row],[Work]]-N(Tasks[[#This Row],[Baseline Work]]))</f>
        <v/>
      </c>
      <c r="BB9" s="63" t="str">
        <f aca="false">IF(OR(Tasks[[#This Row],[Task Name]]="",Tasks[[#This Row],[Baseline Cost]]=""),"",Tasks[[#This Row],[Cost]]-N(Tasks[[#This Row],[Baseline Cost]]))</f>
        <v/>
      </c>
      <c r="BC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" s="43" t="str">
        <f aca="false">IF(Tasks[[#This Row],[Task Name]]="","",MAX(1,N(Tasks[[#This Row],[Level]])))</f>
        <v/>
      </c>
      <c r="BH9" s="43" t="n">
        <f aca="false">ROW()-ROW(Tasks[[#Headers],[ID]])</f>
        <v>4</v>
      </c>
      <c r="BI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" s="43" t="n">
        <f aca="false">IFERROR(N(INDEX(Tasks[_Level],Tasks[[#This Row],[_Row]]+1)),0)</f>
        <v>0</v>
      </c>
      <c r="BK9" s="66" t="b">
        <f aca="false">AND(Tasks[[#This Row],[Task Name]]&lt;&gt;"",Tasks[[#This Row],[_NextLevel]]&gt;Tasks[[#This Row],[_Level]])</f>
        <v>0</v>
      </c>
      <c r="BL9" s="43" t="n">
        <f aca="false">IF(Tasks[[#This Row],[_IsSummary]],COUNTIF(Tasks[WBS],Tasks[[#This Row],[WBS]]&amp;".*"),0)</f>
        <v>0</v>
      </c>
      <c r="BM9" s="43" t="n">
        <f aca="false">IF(AND(Tasks[[#This Row],[Task Name]]&lt;&gt;"",NOT(Tasks[[#This Row],[_IsSummary]])),1,0)</f>
        <v>0</v>
      </c>
      <c r="BN9" s="43" t="n">
        <f aca="false">IF(N(Tasks[[#This Row],[Pred1 UID]])=0,0,IFERROR(MATCH(Tasks[[#This Row],[Pred1 UID]],Tasks[UID],0),-1))</f>
        <v>0</v>
      </c>
      <c r="BO9" s="43" t="n">
        <f aca="false">IF(N(Tasks[[#This Row],[Pred2 UID]])=0,0,IFERROR(MATCH(Tasks[[#This Row],[Pred2 UID]],Tasks[UID],0),-1))</f>
        <v>0</v>
      </c>
      <c r="BP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" s="43" t="n">
        <f aca="false">IF(NOT(Tasks[[#This Row],[_IsLeaf]]=1),0,IF(N(Tasks[[#This Row],[Actual Finish]])&gt;0,1,MIN(1,N(Tasks[[#This Row],[% Complete]]))))</f>
        <v>0</v>
      </c>
      <c r="BU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" s="43" t="n">
        <f aca="false">IF(Tasks[[#This Row],[_LeafWork]]=0,0,Tasks[[#This Row],[_LeafWork]]*IFERROR(INDEX(res_Rate,MATCH(Tasks[[#This Row],[Resource]],res_Name,0)),0))</f>
        <v>0</v>
      </c>
      <c r="BW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" s="43" t="n">
        <f aca="false">IF(NOT(Tasks[[#This Row],[_IsLeaf]]=1),0,MAX(_xlfn.MAXIFS(Tasks[_Row],Tasks[Pred1 UID],Tasks[[#This Row],[UID]]),_xlfn.MAXIFS(Tasks[_Row],Tasks[Pred2 UID],Tasks[[#This Row],[UID]])))</f>
        <v>0</v>
      </c>
      <c r="CB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" s="67" t="str">
        <f aca="false">IF(NOT(Tasks[[#This Row],[_IsLeaf]]=1),"",MIN(ProjectFinish,IF(N(Tasks[[#This Row],[Deadline]])&gt;0,Tasks[[#This Row],[Deadline]],2958465),Tasks[[#This Row],[_SuccessorFinishLimit]]))</f>
        <v/>
      </c>
      <c r="CD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" s="66" t="b">
        <f aca="false">AND(Tasks[[#This Row],[_IsLeaf]]=1,Tasks[[#This Row],[_LeafProgress]]&lt;1,N(Tasks[[#This Row],[_LeafTotalSlack]])&lt;=CriticalSlackDays)</f>
        <v>0</v>
      </c>
      <c r="CG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" s="43" t="n">
        <f aca="false">IF(AND(Tasks[[#This Row],[_IsLeaf]]=1,Tasks[[#This Row],[_LeafWork]]&gt;0),NETWORKDAYS.INTL(ProjectStart,Tasks[[#This Row],[_LeafFcstStart]],WorkWeek,Holidays),0)</f>
        <v>0</v>
      </c>
      <c r="CP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" s="43" t="n">
        <f aca="false">IF(AND(Tasks[[#This Row],[_IsLeaf]]=1,Tasks[[#This Row],[_LeafWork]]&gt;0),Tasks[[#This Row],[_LeafWork]]/(Tasks[[#This Row],[_FinishWorkday]]-Tasks[[#This Row],[_StartWorkday]]+1),0)</f>
        <v>0</v>
      </c>
      <c r="CR9" s="43" t="n">
        <f aca="false">Tasks[[#This Row],[_WorkPerWorkday]]*(Tasks[[#This Row],[_StartWorkday]]-1)</f>
        <v>-0</v>
      </c>
      <c r="CS9" s="43" t="n">
        <f aca="false">IF(Tasks[[#This Row],[_IsLeaf]]=1,MAX(N(Tasks[[#This Row],[Duration]]),0.1),0)</f>
        <v>0</v>
      </c>
      <c r="CT9" s="43" t="n">
        <f aca="false">Tasks[[#This Row],[_WeightDur]]*Tasks[[#This Row],[_LeafProgress]]</f>
        <v>0</v>
      </c>
      <c r="CU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" s="43" t="str">
        <f aca="false">IF(AND(Tasks[[#This Row],[_IsLeaf]]=1,N(Tasks[[#This Row],[Duration]])=0,Tasks[[#This Row],[_LeafProgress]]&lt;1),Tasks[[#This Row],[_LeafFcstFinish]]+Tasks[[#This Row],[_Row]]/100000,"")</f>
        <v/>
      </c>
      <c r="DA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" s="43" t="n">
        <f aca="false">IF(NOT(Tasks[[#This Row],[_IsLeaf]]=1),0,IF(Tasks[[#This Row],[Baseline Cost]]="",Tasks[[#This Row],[_LeafCost]],N(Tasks[[#This Row],[Baseline Cost]])))</f>
        <v>0</v>
      </c>
      <c r="DC9" s="43" t="n">
        <f aca="false">Tasks[[#This Row],[_LeafBudget]]*Tasks[[#This Row],[_PlannedPct]]</f>
        <v>0</v>
      </c>
      <c r="DD9" s="43" t="n">
        <f aca="false">Tasks[[#This Row],[_LeafBudget]]*Tasks[[#This Row],[_LeafProgress]]</f>
        <v>0</v>
      </c>
      <c r="DE9" s="43" t="n">
        <f aca="false">IF(NOT(Tasks[[#This Row],[_IsLeaf]]=1),0,IF(Tasks[[#This Row],[Actual Cost]]="",Tasks[[#This Row],[_LeafCost]]*Tasks[[#This Row],[_LeafProgress]],N(Tasks[[#This Row],[Actual Cost]])))</f>
        <v>0</v>
      </c>
      <c r="DF9" s="43" t="str">
        <f aca="false">IF(Tasks[[#This Row],[Task Name]]="","",LEFT(Tasks[[#This Row],[WBS]],FIND(".",Tasks[[#This Row],[WBS]]&amp;".")-1))</f>
        <v/>
      </c>
      <c r="DG9" s="43" t="str">
        <f aca="false">IF(AND(Tasks[[#This Row],[Task Name]]&lt;&gt;"",Tasks[[#This Row],[_Level]]=1),Tasks[[#This Row],[_Row]],"")</f>
        <v/>
      </c>
      <c r="DH9" s="43" t="str">
        <f aca="false">IF(AND(Tasks[[#This Row],[_IsLeaf]]=1,N(Tasks[[#This Row],[Duration]])=0),Tasks[[#This Row],[Planned Finish]]+Tasks[[#This Row],[_Row]]/100000,"")</f>
        <v/>
      </c>
      <c r="DI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" s="43" t="str">
        <f aca="false">IF(Tasks[[#This Row],[_LeafCritical]],Tasks[[#This Row],[_LeafFcstStart]]+Tasks[[#This Row],[_Row]]/100000,"")</f>
        <v/>
      </c>
    </row>
    <row r="10" customFormat="false" ht="15" hidden="false" customHeight="false" outlineLevel="0" collapsed="false">
      <c r="A10" s="28" t="str">
        <f aca="false">IF(Tasks[[#This Row],[Task Name]]="","",COUNTA(Tasks[[#Headers],[Task Name]]:Tasks[[#This Row],[Task Name]])-1)</f>
        <v/>
      </c>
      <c r="B10" s="29" t="n">
        <v>5</v>
      </c>
      <c r="C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29"/>
      <c r="E10" s="30"/>
      <c r="F10" s="29"/>
      <c r="G10" s="29"/>
      <c r="H10" s="29"/>
      <c r="I10" s="29"/>
      <c r="J10" s="29"/>
      <c r="K10" s="29"/>
      <c r="L10" s="29"/>
      <c r="M10" s="29"/>
      <c r="N10" s="53"/>
      <c r="O10" s="53"/>
      <c r="P10" s="25" t="str">
        <f aca="false">IF(Tasks[[#This Row],[Task Name]]="","",IF(N(Tasks[[#This Row],[Baseline Start]])&gt;0,Tasks[[#This Row],[Baseline Start]],Tasks[[#This Row],[_CalcStart]]))</f>
        <v/>
      </c>
      <c r="Q10" s="25" t="str">
        <f aca="false">IF(Tasks[[#This Row],[Task Name]]="","",IF(N(Tasks[[#This Row],[Baseline Finish]])&gt;0,Tasks[[#This Row],[Baseline Finish]],Tasks[[#This Row],[_CalcFinish]]))</f>
        <v/>
      </c>
      <c r="R10" s="53"/>
      <c r="S10" s="53"/>
      <c r="T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55"/>
      <c r="AF1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" s="30"/>
      <c r="AI10" s="55"/>
      <c r="AJ1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" s="64"/>
      <c r="AM1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" s="30"/>
      <c r="AP10" s="25" t="str">
        <f aca="false">IF(Tasks[[#This Row],[Task Name]]="","",Tasks[[#This Row],[Forecast Start]])</f>
        <v/>
      </c>
      <c r="AQ10" s="25" t="str">
        <f aca="false">IF(Tasks[[#This Row],[Task Name]]="","",Tasks[[#This Row],[Forecast Finish]])</f>
        <v/>
      </c>
      <c r="AR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" s="62" t="str">
        <f aca="false">IF(Tasks[[#This Row],[Task Name]]="","",Tasks[[#This Row],[Work]])</f>
        <v/>
      </c>
      <c r="AT10" s="63" t="str">
        <f aca="false">IF(Tasks[[#This Row],[Task Name]]="","",Tasks[[#This Row],[Cost]])</f>
        <v/>
      </c>
      <c r="AU10" s="53"/>
      <c r="AV10" s="53"/>
      <c r="AW10" s="29"/>
      <c r="AX10" s="65"/>
      <c r="AY10" s="64"/>
      <c r="AZ10" s="28" t="str">
        <f aca="false">IF(OR(Tasks[[#This Row],[Task Name]]="",Tasks[[#This Row],[Baseline Duration]]=""),"",Tasks[[#This Row],[BL Source Duration]]-N(Tasks[[#This Row],[Baseline Duration]]))</f>
        <v/>
      </c>
      <c r="BA10" s="62" t="str">
        <f aca="false">IF(OR(Tasks[[#This Row],[Task Name]]="",Tasks[[#This Row],[Baseline Work]]=""),"",Tasks[[#This Row],[Work]]-N(Tasks[[#This Row],[Baseline Work]]))</f>
        <v/>
      </c>
      <c r="BB10" s="63" t="str">
        <f aca="false">IF(OR(Tasks[[#This Row],[Task Name]]="",Tasks[[#This Row],[Baseline Cost]]=""),"",Tasks[[#This Row],[Cost]]-N(Tasks[[#This Row],[Baseline Cost]]))</f>
        <v/>
      </c>
      <c r="BC1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" s="43" t="str">
        <f aca="false">IF(Tasks[[#This Row],[Task Name]]="","",MAX(1,N(Tasks[[#This Row],[Level]])))</f>
        <v/>
      </c>
      <c r="BH10" s="43" t="n">
        <f aca="false">ROW()-ROW(Tasks[[#Headers],[ID]])</f>
        <v>5</v>
      </c>
      <c r="BI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" s="43" t="n">
        <f aca="false">IFERROR(N(INDEX(Tasks[_Level],Tasks[[#This Row],[_Row]]+1)),0)</f>
        <v>0</v>
      </c>
      <c r="BK10" s="66" t="b">
        <f aca="false">AND(Tasks[[#This Row],[Task Name]]&lt;&gt;"",Tasks[[#This Row],[_NextLevel]]&gt;Tasks[[#This Row],[_Level]])</f>
        <v>0</v>
      </c>
      <c r="BL10" s="43" t="n">
        <f aca="false">IF(Tasks[[#This Row],[_IsSummary]],COUNTIF(Tasks[WBS],Tasks[[#This Row],[WBS]]&amp;".*"),0)</f>
        <v>0</v>
      </c>
      <c r="BM10" s="43" t="n">
        <f aca="false">IF(AND(Tasks[[#This Row],[Task Name]]&lt;&gt;"",NOT(Tasks[[#This Row],[_IsSummary]])),1,0)</f>
        <v>0</v>
      </c>
      <c r="BN10" s="43" t="n">
        <f aca="false">IF(N(Tasks[[#This Row],[Pred1 UID]])=0,0,IFERROR(MATCH(Tasks[[#This Row],[Pred1 UID]],Tasks[UID],0),-1))</f>
        <v>0</v>
      </c>
      <c r="BO10" s="43" t="n">
        <f aca="false">IF(N(Tasks[[#This Row],[Pred2 UID]])=0,0,IFERROR(MATCH(Tasks[[#This Row],[Pred2 UID]],Tasks[UID],0),-1))</f>
        <v>0</v>
      </c>
      <c r="BP1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" s="43" t="n">
        <f aca="false">IF(NOT(Tasks[[#This Row],[_IsLeaf]]=1),0,IF(N(Tasks[[#This Row],[Actual Finish]])&gt;0,1,MIN(1,N(Tasks[[#This Row],[% Complete]]))))</f>
        <v>0</v>
      </c>
      <c r="BU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" s="43" t="n">
        <f aca="false">IF(Tasks[[#This Row],[_LeafWork]]=0,0,Tasks[[#This Row],[_LeafWork]]*IFERROR(INDEX(res_Rate,MATCH(Tasks[[#This Row],[Resource]],res_Name,0)),0))</f>
        <v>0</v>
      </c>
      <c r="BW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" s="43" t="n">
        <f aca="false">IF(NOT(Tasks[[#This Row],[_IsLeaf]]=1),0,MAX(_xlfn.MAXIFS(Tasks[_Row],Tasks[Pred1 UID],Tasks[[#This Row],[UID]]),_xlfn.MAXIFS(Tasks[_Row],Tasks[Pred2 UID],Tasks[[#This Row],[UID]])))</f>
        <v>0</v>
      </c>
      <c r="CB1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" s="67" t="str">
        <f aca="false">IF(NOT(Tasks[[#This Row],[_IsLeaf]]=1),"",MIN(ProjectFinish,IF(N(Tasks[[#This Row],[Deadline]])&gt;0,Tasks[[#This Row],[Deadline]],2958465),Tasks[[#This Row],[_SuccessorFinishLimit]]))</f>
        <v/>
      </c>
      <c r="CD1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" s="66" t="b">
        <f aca="false">AND(Tasks[[#This Row],[_IsLeaf]]=1,Tasks[[#This Row],[_LeafProgress]]&lt;1,N(Tasks[[#This Row],[_LeafTotalSlack]])&lt;=CriticalSlackDays)</f>
        <v>0</v>
      </c>
      <c r="CG1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" s="43" t="n">
        <f aca="false">IF(AND(Tasks[[#This Row],[_IsLeaf]]=1,Tasks[[#This Row],[_LeafWork]]&gt;0),NETWORKDAYS.INTL(ProjectStart,Tasks[[#This Row],[_LeafFcstStart]],WorkWeek,Holidays),0)</f>
        <v>0</v>
      </c>
      <c r="CP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" s="43" t="n">
        <f aca="false">IF(AND(Tasks[[#This Row],[_IsLeaf]]=1,Tasks[[#This Row],[_LeafWork]]&gt;0),Tasks[[#This Row],[_LeafWork]]/(Tasks[[#This Row],[_FinishWorkday]]-Tasks[[#This Row],[_StartWorkday]]+1),0)</f>
        <v>0</v>
      </c>
      <c r="CR10" s="43" t="n">
        <f aca="false">Tasks[[#This Row],[_WorkPerWorkday]]*(Tasks[[#This Row],[_StartWorkday]]-1)</f>
        <v>-0</v>
      </c>
      <c r="CS10" s="43" t="n">
        <f aca="false">IF(Tasks[[#This Row],[_IsLeaf]]=1,MAX(N(Tasks[[#This Row],[Duration]]),0.1),0)</f>
        <v>0</v>
      </c>
      <c r="CT10" s="43" t="n">
        <f aca="false">Tasks[[#This Row],[_WeightDur]]*Tasks[[#This Row],[_LeafProgress]]</f>
        <v>0</v>
      </c>
      <c r="CU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" s="43" t="str">
        <f aca="false">IF(AND(Tasks[[#This Row],[_IsLeaf]]=1,N(Tasks[[#This Row],[Duration]])=0,Tasks[[#This Row],[_LeafProgress]]&lt;1),Tasks[[#This Row],[_LeafFcstFinish]]+Tasks[[#This Row],[_Row]]/100000,"")</f>
        <v/>
      </c>
      <c r="DA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" s="43" t="n">
        <f aca="false">IF(NOT(Tasks[[#This Row],[_IsLeaf]]=1),0,IF(Tasks[[#This Row],[Baseline Cost]]="",Tasks[[#This Row],[_LeafCost]],N(Tasks[[#This Row],[Baseline Cost]])))</f>
        <v>0</v>
      </c>
      <c r="DC10" s="43" t="n">
        <f aca="false">Tasks[[#This Row],[_LeafBudget]]*Tasks[[#This Row],[_PlannedPct]]</f>
        <v>0</v>
      </c>
      <c r="DD10" s="43" t="n">
        <f aca="false">Tasks[[#This Row],[_LeafBudget]]*Tasks[[#This Row],[_LeafProgress]]</f>
        <v>0</v>
      </c>
      <c r="DE10" s="43" t="n">
        <f aca="false">IF(NOT(Tasks[[#This Row],[_IsLeaf]]=1),0,IF(Tasks[[#This Row],[Actual Cost]]="",Tasks[[#This Row],[_LeafCost]]*Tasks[[#This Row],[_LeafProgress]],N(Tasks[[#This Row],[Actual Cost]])))</f>
        <v>0</v>
      </c>
      <c r="DF10" s="43" t="str">
        <f aca="false">IF(Tasks[[#This Row],[Task Name]]="","",LEFT(Tasks[[#This Row],[WBS]],FIND(".",Tasks[[#This Row],[WBS]]&amp;".")-1))</f>
        <v/>
      </c>
      <c r="DG10" s="43" t="str">
        <f aca="false">IF(AND(Tasks[[#This Row],[Task Name]]&lt;&gt;"",Tasks[[#This Row],[_Level]]=1),Tasks[[#This Row],[_Row]],"")</f>
        <v/>
      </c>
      <c r="DH10" s="43" t="str">
        <f aca="false">IF(AND(Tasks[[#This Row],[_IsLeaf]]=1,N(Tasks[[#This Row],[Duration]])=0),Tasks[[#This Row],[Planned Finish]]+Tasks[[#This Row],[_Row]]/100000,"")</f>
        <v/>
      </c>
      <c r="DI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" s="43" t="str">
        <f aca="false">IF(Tasks[[#This Row],[_LeafCritical]],Tasks[[#This Row],[_LeafFcstStart]]+Tasks[[#This Row],[_Row]]/100000,"")</f>
        <v/>
      </c>
    </row>
    <row r="11" customFormat="false" ht="15" hidden="false" customHeight="false" outlineLevel="0" collapsed="false">
      <c r="A11" s="28" t="str">
        <f aca="false">IF(Tasks[[#This Row],[Task Name]]="","",COUNTA(Tasks[[#Headers],[Task Name]]:Tasks[[#This Row],[Task Name]])-1)</f>
        <v/>
      </c>
      <c r="B11" s="29" t="n">
        <v>6</v>
      </c>
      <c r="C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29"/>
      <c r="E11" s="30"/>
      <c r="F11" s="29"/>
      <c r="G11" s="29"/>
      <c r="H11" s="29"/>
      <c r="I11" s="29"/>
      <c r="J11" s="29"/>
      <c r="K11" s="29"/>
      <c r="L11" s="29"/>
      <c r="M11" s="29"/>
      <c r="N11" s="53"/>
      <c r="O11" s="53"/>
      <c r="P11" s="25" t="str">
        <f aca="false">IF(Tasks[[#This Row],[Task Name]]="","",IF(N(Tasks[[#This Row],[Baseline Start]])&gt;0,Tasks[[#This Row],[Baseline Start]],Tasks[[#This Row],[_CalcStart]]))</f>
        <v/>
      </c>
      <c r="Q11" s="25" t="str">
        <f aca="false">IF(Tasks[[#This Row],[Task Name]]="","",IF(N(Tasks[[#This Row],[Baseline Finish]])&gt;0,Tasks[[#This Row],[Baseline Finish]],Tasks[[#This Row],[_CalcFinish]]))</f>
        <v/>
      </c>
      <c r="R11" s="53"/>
      <c r="S11" s="53"/>
      <c r="T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55"/>
      <c r="AF1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" s="30"/>
      <c r="AI11" s="55"/>
      <c r="AJ1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" s="64"/>
      <c r="AM1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" s="30"/>
      <c r="AP11" s="25" t="str">
        <f aca="false">IF(Tasks[[#This Row],[Task Name]]="","",Tasks[[#This Row],[Forecast Start]])</f>
        <v/>
      </c>
      <c r="AQ11" s="25" t="str">
        <f aca="false">IF(Tasks[[#This Row],[Task Name]]="","",Tasks[[#This Row],[Forecast Finish]])</f>
        <v/>
      </c>
      <c r="AR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" s="62" t="str">
        <f aca="false">IF(Tasks[[#This Row],[Task Name]]="","",Tasks[[#This Row],[Work]])</f>
        <v/>
      </c>
      <c r="AT11" s="63" t="str">
        <f aca="false">IF(Tasks[[#This Row],[Task Name]]="","",Tasks[[#This Row],[Cost]])</f>
        <v/>
      </c>
      <c r="AU11" s="53"/>
      <c r="AV11" s="53"/>
      <c r="AW11" s="29"/>
      <c r="AX11" s="65"/>
      <c r="AY11" s="64"/>
      <c r="AZ11" s="28" t="str">
        <f aca="false">IF(OR(Tasks[[#This Row],[Task Name]]="",Tasks[[#This Row],[Baseline Duration]]=""),"",Tasks[[#This Row],[BL Source Duration]]-N(Tasks[[#This Row],[Baseline Duration]]))</f>
        <v/>
      </c>
      <c r="BA11" s="62" t="str">
        <f aca="false">IF(OR(Tasks[[#This Row],[Task Name]]="",Tasks[[#This Row],[Baseline Work]]=""),"",Tasks[[#This Row],[Work]]-N(Tasks[[#This Row],[Baseline Work]]))</f>
        <v/>
      </c>
      <c r="BB11" s="63" t="str">
        <f aca="false">IF(OR(Tasks[[#This Row],[Task Name]]="",Tasks[[#This Row],[Baseline Cost]]=""),"",Tasks[[#This Row],[Cost]]-N(Tasks[[#This Row],[Baseline Cost]]))</f>
        <v/>
      </c>
      <c r="BC1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" s="43" t="str">
        <f aca="false">IF(Tasks[[#This Row],[Task Name]]="","",MAX(1,N(Tasks[[#This Row],[Level]])))</f>
        <v/>
      </c>
      <c r="BH11" s="43" t="n">
        <f aca="false">ROW()-ROW(Tasks[[#Headers],[ID]])</f>
        <v>6</v>
      </c>
      <c r="BI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" s="43" t="n">
        <f aca="false">IFERROR(N(INDEX(Tasks[_Level],Tasks[[#This Row],[_Row]]+1)),0)</f>
        <v>0</v>
      </c>
      <c r="BK11" s="66" t="b">
        <f aca="false">AND(Tasks[[#This Row],[Task Name]]&lt;&gt;"",Tasks[[#This Row],[_NextLevel]]&gt;Tasks[[#This Row],[_Level]])</f>
        <v>0</v>
      </c>
      <c r="BL11" s="43" t="n">
        <f aca="false">IF(Tasks[[#This Row],[_IsSummary]],COUNTIF(Tasks[WBS],Tasks[[#This Row],[WBS]]&amp;".*"),0)</f>
        <v>0</v>
      </c>
      <c r="BM11" s="43" t="n">
        <f aca="false">IF(AND(Tasks[[#This Row],[Task Name]]&lt;&gt;"",NOT(Tasks[[#This Row],[_IsSummary]])),1,0)</f>
        <v>0</v>
      </c>
      <c r="BN11" s="43" t="n">
        <f aca="false">IF(N(Tasks[[#This Row],[Pred1 UID]])=0,0,IFERROR(MATCH(Tasks[[#This Row],[Pred1 UID]],Tasks[UID],0),-1))</f>
        <v>0</v>
      </c>
      <c r="BO11" s="43" t="n">
        <f aca="false">IF(N(Tasks[[#This Row],[Pred2 UID]])=0,0,IFERROR(MATCH(Tasks[[#This Row],[Pred2 UID]],Tasks[UID],0),-1))</f>
        <v>0</v>
      </c>
      <c r="BP1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" s="43" t="n">
        <f aca="false">IF(NOT(Tasks[[#This Row],[_IsLeaf]]=1),0,IF(N(Tasks[[#This Row],[Actual Finish]])&gt;0,1,MIN(1,N(Tasks[[#This Row],[% Complete]]))))</f>
        <v>0</v>
      </c>
      <c r="BU1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" s="43" t="n">
        <f aca="false">IF(Tasks[[#This Row],[_LeafWork]]=0,0,Tasks[[#This Row],[_LeafWork]]*IFERROR(INDEX(res_Rate,MATCH(Tasks[[#This Row],[Resource]],res_Name,0)),0))</f>
        <v>0</v>
      </c>
      <c r="BW1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" s="43" t="n">
        <f aca="false">IF(NOT(Tasks[[#This Row],[_IsLeaf]]=1),0,MAX(_xlfn.MAXIFS(Tasks[_Row],Tasks[Pred1 UID],Tasks[[#This Row],[UID]]),_xlfn.MAXIFS(Tasks[_Row],Tasks[Pred2 UID],Tasks[[#This Row],[UID]])))</f>
        <v>0</v>
      </c>
      <c r="CB1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" s="67" t="str">
        <f aca="false">IF(NOT(Tasks[[#This Row],[_IsLeaf]]=1),"",MIN(ProjectFinish,IF(N(Tasks[[#This Row],[Deadline]])&gt;0,Tasks[[#This Row],[Deadline]],2958465),Tasks[[#This Row],[_SuccessorFinishLimit]]))</f>
        <v/>
      </c>
      <c r="CD1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" s="66" t="b">
        <f aca="false">AND(Tasks[[#This Row],[_IsLeaf]]=1,Tasks[[#This Row],[_LeafProgress]]&lt;1,N(Tasks[[#This Row],[_LeafTotalSlack]])&lt;=CriticalSlackDays)</f>
        <v>0</v>
      </c>
      <c r="CG1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" s="43" t="n">
        <f aca="false">IF(AND(Tasks[[#This Row],[_IsLeaf]]=1,Tasks[[#This Row],[_LeafWork]]&gt;0),NETWORKDAYS.INTL(ProjectStart,Tasks[[#This Row],[_LeafFcstStart]],WorkWeek,Holidays),0)</f>
        <v>0</v>
      </c>
      <c r="CP1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" s="43" t="n">
        <f aca="false">IF(AND(Tasks[[#This Row],[_IsLeaf]]=1,Tasks[[#This Row],[_LeafWork]]&gt;0),Tasks[[#This Row],[_LeafWork]]/(Tasks[[#This Row],[_FinishWorkday]]-Tasks[[#This Row],[_StartWorkday]]+1),0)</f>
        <v>0</v>
      </c>
      <c r="CR11" s="43" t="n">
        <f aca="false">Tasks[[#This Row],[_WorkPerWorkday]]*(Tasks[[#This Row],[_StartWorkday]]-1)</f>
        <v>-0</v>
      </c>
      <c r="CS11" s="43" t="n">
        <f aca="false">IF(Tasks[[#This Row],[_IsLeaf]]=1,MAX(N(Tasks[[#This Row],[Duration]]),0.1),0)</f>
        <v>0</v>
      </c>
      <c r="CT11" s="43" t="n">
        <f aca="false">Tasks[[#This Row],[_WeightDur]]*Tasks[[#This Row],[_LeafProgress]]</f>
        <v>0</v>
      </c>
      <c r="CU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" s="43" t="str">
        <f aca="false">IF(AND(Tasks[[#This Row],[_IsLeaf]]=1,N(Tasks[[#This Row],[Duration]])=0,Tasks[[#This Row],[_LeafProgress]]&lt;1),Tasks[[#This Row],[_LeafFcstFinish]]+Tasks[[#This Row],[_Row]]/100000,"")</f>
        <v/>
      </c>
      <c r="DA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" s="43" t="n">
        <f aca="false">IF(NOT(Tasks[[#This Row],[_IsLeaf]]=1),0,IF(Tasks[[#This Row],[Baseline Cost]]="",Tasks[[#This Row],[_LeafCost]],N(Tasks[[#This Row],[Baseline Cost]])))</f>
        <v>0</v>
      </c>
      <c r="DC11" s="43" t="n">
        <f aca="false">Tasks[[#This Row],[_LeafBudget]]*Tasks[[#This Row],[_PlannedPct]]</f>
        <v>0</v>
      </c>
      <c r="DD11" s="43" t="n">
        <f aca="false">Tasks[[#This Row],[_LeafBudget]]*Tasks[[#This Row],[_LeafProgress]]</f>
        <v>0</v>
      </c>
      <c r="DE11" s="43" t="n">
        <f aca="false">IF(NOT(Tasks[[#This Row],[_IsLeaf]]=1),0,IF(Tasks[[#This Row],[Actual Cost]]="",Tasks[[#This Row],[_LeafCost]]*Tasks[[#This Row],[_LeafProgress]],N(Tasks[[#This Row],[Actual Cost]])))</f>
        <v>0</v>
      </c>
      <c r="DF11" s="43" t="str">
        <f aca="false">IF(Tasks[[#This Row],[Task Name]]="","",LEFT(Tasks[[#This Row],[WBS]],FIND(".",Tasks[[#This Row],[WBS]]&amp;".")-1))</f>
        <v/>
      </c>
      <c r="DG11" s="43" t="str">
        <f aca="false">IF(AND(Tasks[[#This Row],[Task Name]]&lt;&gt;"",Tasks[[#This Row],[_Level]]=1),Tasks[[#This Row],[_Row]],"")</f>
        <v/>
      </c>
      <c r="DH11" s="43" t="str">
        <f aca="false">IF(AND(Tasks[[#This Row],[_IsLeaf]]=1,N(Tasks[[#This Row],[Duration]])=0),Tasks[[#This Row],[Planned Finish]]+Tasks[[#This Row],[_Row]]/100000,"")</f>
        <v/>
      </c>
      <c r="DI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" s="43" t="str">
        <f aca="false">IF(Tasks[[#This Row],[_LeafCritical]],Tasks[[#This Row],[_LeafFcstStart]]+Tasks[[#This Row],[_Row]]/100000,"")</f>
        <v/>
      </c>
    </row>
    <row r="12" customFormat="false" ht="15" hidden="false" customHeight="false" outlineLevel="0" collapsed="false">
      <c r="A12" s="28" t="str">
        <f aca="false">IF(Tasks[[#This Row],[Task Name]]="","",COUNTA(Tasks[[#Headers],[Task Name]]:Tasks[[#This Row],[Task Name]])-1)</f>
        <v/>
      </c>
      <c r="B12" s="29" t="n">
        <v>7</v>
      </c>
      <c r="C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29"/>
      <c r="E12" s="30"/>
      <c r="F12" s="29"/>
      <c r="G12" s="29"/>
      <c r="H12" s="29"/>
      <c r="I12" s="29"/>
      <c r="J12" s="29"/>
      <c r="K12" s="29"/>
      <c r="L12" s="29"/>
      <c r="M12" s="29"/>
      <c r="N12" s="53"/>
      <c r="O12" s="53"/>
      <c r="P12" s="25" t="str">
        <f aca="false">IF(Tasks[[#This Row],[Task Name]]="","",IF(N(Tasks[[#This Row],[Baseline Start]])&gt;0,Tasks[[#This Row],[Baseline Start]],Tasks[[#This Row],[_CalcStart]]))</f>
        <v/>
      </c>
      <c r="Q12" s="25" t="str">
        <f aca="false">IF(Tasks[[#This Row],[Task Name]]="","",IF(N(Tasks[[#This Row],[Baseline Finish]])&gt;0,Tasks[[#This Row],[Baseline Finish]],Tasks[[#This Row],[_CalcFinish]]))</f>
        <v/>
      </c>
      <c r="R12" s="53"/>
      <c r="S12" s="53"/>
      <c r="T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55"/>
      <c r="AF1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" s="30"/>
      <c r="AI12" s="55"/>
      <c r="AJ1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" s="64"/>
      <c r="AM1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" s="30"/>
      <c r="AP12" s="25" t="str">
        <f aca="false">IF(Tasks[[#This Row],[Task Name]]="","",Tasks[[#This Row],[Forecast Start]])</f>
        <v/>
      </c>
      <c r="AQ12" s="25" t="str">
        <f aca="false">IF(Tasks[[#This Row],[Task Name]]="","",Tasks[[#This Row],[Forecast Finish]])</f>
        <v/>
      </c>
      <c r="AR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" s="62" t="str">
        <f aca="false">IF(Tasks[[#This Row],[Task Name]]="","",Tasks[[#This Row],[Work]])</f>
        <v/>
      </c>
      <c r="AT12" s="63" t="str">
        <f aca="false">IF(Tasks[[#This Row],[Task Name]]="","",Tasks[[#This Row],[Cost]])</f>
        <v/>
      </c>
      <c r="AU12" s="53"/>
      <c r="AV12" s="53"/>
      <c r="AW12" s="29"/>
      <c r="AX12" s="65"/>
      <c r="AY12" s="64"/>
      <c r="AZ12" s="28" t="str">
        <f aca="false">IF(OR(Tasks[[#This Row],[Task Name]]="",Tasks[[#This Row],[Baseline Duration]]=""),"",Tasks[[#This Row],[BL Source Duration]]-N(Tasks[[#This Row],[Baseline Duration]]))</f>
        <v/>
      </c>
      <c r="BA12" s="62" t="str">
        <f aca="false">IF(OR(Tasks[[#This Row],[Task Name]]="",Tasks[[#This Row],[Baseline Work]]=""),"",Tasks[[#This Row],[Work]]-N(Tasks[[#This Row],[Baseline Work]]))</f>
        <v/>
      </c>
      <c r="BB12" s="63" t="str">
        <f aca="false">IF(OR(Tasks[[#This Row],[Task Name]]="",Tasks[[#This Row],[Baseline Cost]]=""),"",Tasks[[#This Row],[Cost]]-N(Tasks[[#This Row],[Baseline Cost]]))</f>
        <v/>
      </c>
      <c r="BC1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" s="43" t="str">
        <f aca="false">IF(Tasks[[#This Row],[Task Name]]="","",MAX(1,N(Tasks[[#This Row],[Level]])))</f>
        <v/>
      </c>
      <c r="BH12" s="43" t="n">
        <f aca="false">ROW()-ROW(Tasks[[#Headers],[ID]])</f>
        <v>7</v>
      </c>
      <c r="BI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" s="43" t="n">
        <f aca="false">IFERROR(N(INDEX(Tasks[_Level],Tasks[[#This Row],[_Row]]+1)),0)</f>
        <v>0</v>
      </c>
      <c r="BK12" s="66" t="b">
        <f aca="false">AND(Tasks[[#This Row],[Task Name]]&lt;&gt;"",Tasks[[#This Row],[_NextLevel]]&gt;Tasks[[#This Row],[_Level]])</f>
        <v>0</v>
      </c>
      <c r="BL12" s="43" t="n">
        <f aca="false">IF(Tasks[[#This Row],[_IsSummary]],COUNTIF(Tasks[WBS],Tasks[[#This Row],[WBS]]&amp;".*"),0)</f>
        <v>0</v>
      </c>
      <c r="BM12" s="43" t="n">
        <f aca="false">IF(AND(Tasks[[#This Row],[Task Name]]&lt;&gt;"",NOT(Tasks[[#This Row],[_IsSummary]])),1,0)</f>
        <v>0</v>
      </c>
      <c r="BN12" s="43" t="n">
        <f aca="false">IF(N(Tasks[[#This Row],[Pred1 UID]])=0,0,IFERROR(MATCH(Tasks[[#This Row],[Pred1 UID]],Tasks[UID],0),-1))</f>
        <v>0</v>
      </c>
      <c r="BO12" s="43" t="n">
        <f aca="false">IF(N(Tasks[[#This Row],[Pred2 UID]])=0,0,IFERROR(MATCH(Tasks[[#This Row],[Pred2 UID]],Tasks[UID],0),-1))</f>
        <v>0</v>
      </c>
      <c r="BP1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" s="43" t="n">
        <f aca="false">IF(NOT(Tasks[[#This Row],[_IsLeaf]]=1),0,IF(N(Tasks[[#This Row],[Actual Finish]])&gt;0,1,MIN(1,N(Tasks[[#This Row],[% Complete]]))))</f>
        <v>0</v>
      </c>
      <c r="BU1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" s="43" t="n">
        <f aca="false">IF(Tasks[[#This Row],[_LeafWork]]=0,0,Tasks[[#This Row],[_LeafWork]]*IFERROR(INDEX(res_Rate,MATCH(Tasks[[#This Row],[Resource]],res_Name,0)),0))</f>
        <v>0</v>
      </c>
      <c r="BW1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" s="43" t="n">
        <f aca="false">IF(NOT(Tasks[[#This Row],[_IsLeaf]]=1),0,MAX(_xlfn.MAXIFS(Tasks[_Row],Tasks[Pred1 UID],Tasks[[#This Row],[UID]]),_xlfn.MAXIFS(Tasks[_Row],Tasks[Pred2 UID],Tasks[[#This Row],[UID]])))</f>
        <v>0</v>
      </c>
      <c r="CB1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" s="67" t="str">
        <f aca="false">IF(NOT(Tasks[[#This Row],[_IsLeaf]]=1),"",MIN(ProjectFinish,IF(N(Tasks[[#This Row],[Deadline]])&gt;0,Tasks[[#This Row],[Deadline]],2958465),Tasks[[#This Row],[_SuccessorFinishLimit]]))</f>
        <v/>
      </c>
      <c r="CD1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" s="66" t="b">
        <f aca="false">AND(Tasks[[#This Row],[_IsLeaf]]=1,Tasks[[#This Row],[_LeafProgress]]&lt;1,N(Tasks[[#This Row],[_LeafTotalSlack]])&lt;=CriticalSlackDays)</f>
        <v>0</v>
      </c>
      <c r="CG1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" s="43" t="n">
        <f aca="false">IF(AND(Tasks[[#This Row],[_IsLeaf]]=1,Tasks[[#This Row],[_LeafWork]]&gt;0),NETWORKDAYS.INTL(ProjectStart,Tasks[[#This Row],[_LeafFcstStart]],WorkWeek,Holidays),0)</f>
        <v>0</v>
      </c>
      <c r="CP1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" s="43" t="n">
        <f aca="false">IF(AND(Tasks[[#This Row],[_IsLeaf]]=1,Tasks[[#This Row],[_LeafWork]]&gt;0),Tasks[[#This Row],[_LeafWork]]/(Tasks[[#This Row],[_FinishWorkday]]-Tasks[[#This Row],[_StartWorkday]]+1),0)</f>
        <v>0</v>
      </c>
      <c r="CR12" s="43" t="n">
        <f aca="false">Tasks[[#This Row],[_WorkPerWorkday]]*(Tasks[[#This Row],[_StartWorkday]]-1)</f>
        <v>-0</v>
      </c>
      <c r="CS12" s="43" t="n">
        <f aca="false">IF(Tasks[[#This Row],[_IsLeaf]]=1,MAX(N(Tasks[[#This Row],[Duration]]),0.1),0)</f>
        <v>0</v>
      </c>
      <c r="CT12" s="43" t="n">
        <f aca="false">Tasks[[#This Row],[_WeightDur]]*Tasks[[#This Row],[_LeafProgress]]</f>
        <v>0</v>
      </c>
      <c r="CU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" s="43" t="str">
        <f aca="false">IF(AND(Tasks[[#This Row],[_IsLeaf]]=1,N(Tasks[[#This Row],[Duration]])=0,Tasks[[#This Row],[_LeafProgress]]&lt;1),Tasks[[#This Row],[_LeafFcstFinish]]+Tasks[[#This Row],[_Row]]/100000,"")</f>
        <v/>
      </c>
      <c r="DA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" s="43" t="n">
        <f aca="false">IF(NOT(Tasks[[#This Row],[_IsLeaf]]=1),0,IF(Tasks[[#This Row],[Baseline Cost]]="",Tasks[[#This Row],[_LeafCost]],N(Tasks[[#This Row],[Baseline Cost]])))</f>
        <v>0</v>
      </c>
      <c r="DC12" s="43" t="n">
        <f aca="false">Tasks[[#This Row],[_LeafBudget]]*Tasks[[#This Row],[_PlannedPct]]</f>
        <v>0</v>
      </c>
      <c r="DD12" s="43" t="n">
        <f aca="false">Tasks[[#This Row],[_LeafBudget]]*Tasks[[#This Row],[_LeafProgress]]</f>
        <v>0</v>
      </c>
      <c r="DE12" s="43" t="n">
        <f aca="false">IF(NOT(Tasks[[#This Row],[_IsLeaf]]=1),0,IF(Tasks[[#This Row],[Actual Cost]]="",Tasks[[#This Row],[_LeafCost]]*Tasks[[#This Row],[_LeafProgress]],N(Tasks[[#This Row],[Actual Cost]])))</f>
        <v>0</v>
      </c>
      <c r="DF12" s="43" t="str">
        <f aca="false">IF(Tasks[[#This Row],[Task Name]]="","",LEFT(Tasks[[#This Row],[WBS]],FIND(".",Tasks[[#This Row],[WBS]]&amp;".")-1))</f>
        <v/>
      </c>
      <c r="DG12" s="43" t="str">
        <f aca="false">IF(AND(Tasks[[#This Row],[Task Name]]&lt;&gt;"",Tasks[[#This Row],[_Level]]=1),Tasks[[#This Row],[_Row]],"")</f>
        <v/>
      </c>
      <c r="DH12" s="43" t="str">
        <f aca="false">IF(AND(Tasks[[#This Row],[_IsLeaf]]=1,N(Tasks[[#This Row],[Duration]])=0),Tasks[[#This Row],[Planned Finish]]+Tasks[[#This Row],[_Row]]/100000,"")</f>
        <v/>
      </c>
      <c r="DI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" s="43" t="str">
        <f aca="false">IF(Tasks[[#This Row],[_LeafCritical]],Tasks[[#This Row],[_LeafFcstStart]]+Tasks[[#This Row],[_Row]]/100000,"")</f>
        <v/>
      </c>
    </row>
    <row r="13" customFormat="false" ht="15" hidden="false" customHeight="false" outlineLevel="0" collapsed="false">
      <c r="A13" s="28" t="str">
        <f aca="false">IF(Tasks[[#This Row],[Task Name]]="","",COUNTA(Tasks[[#Headers],[Task Name]]:Tasks[[#This Row],[Task Name]])-1)</f>
        <v/>
      </c>
      <c r="B13" s="29" t="n">
        <v>8</v>
      </c>
      <c r="C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29"/>
      <c r="E13" s="30"/>
      <c r="F13" s="29"/>
      <c r="G13" s="29"/>
      <c r="H13" s="29"/>
      <c r="I13" s="29"/>
      <c r="J13" s="29"/>
      <c r="K13" s="29"/>
      <c r="L13" s="29"/>
      <c r="M13" s="29"/>
      <c r="N13" s="53"/>
      <c r="O13" s="53"/>
      <c r="P13" s="25" t="str">
        <f aca="false">IF(Tasks[[#This Row],[Task Name]]="","",IF(N(Tasks[[#This Row],[Baseline Start]])&gt;0,Tasks[[#This Row],[Baseline Start]],Tasks[[#This Row],[_CalcStart]]))</f>
        <v/>
      </c>
      <c r="Q13" s="25" t="str">
        <f aca="false">IF(Tasks[[#This Row],[Task Name]]="","",IF(N(Tasks[[#This Row],[Baseline Finish]])&gt;0,Tasks[[#This Row],[Baseline Finish]],Tasks[[#This Row],[_CalcFinish]]))</f>
        <v/>
      </c>
      <c r="R13" s="53"/>
      <c r="S13" s="53"/>
      <c r="T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55"/>
      <c r="AF1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" s="30"/>
      <c r="AI13" s="55"/>
      <c r="AJ1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" s="64"/>
      <c r="AM1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" s="30"/>
      <c r="AP13" s="25" t="str">
        <f aca="false">IF(Tasks[[#This Row],[Task Name]]="","",Tasks[[#This Row],[Forecast Start]])</f>
        <v/>
      </c>
      <c r="AQ13" s="25" t="str">
        <f aca="false">IF(Tasks[[#This Row],[Task Name]]="","",Tasks[[#This Row],[Forecast Finish]])</f>
        <v/>
      </c>
      <c r="AR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" s="62" t="str">
        <f aca="false">IF(Tasks[[#This Row],[Task Name]]="","",Tasks[[#This Row],[Work]])</f>
        <v/>
      </c>
      <c r="AT13" s="63" t="str">
        <f aca="false">IF(Tasks[[#This Row],[Task Name]]="","",Tasks[[#This Row],[Cost]])</f>
        <v/>
      </c>
      <c r="AU13" s="53"/>
      <c r="AV13" s="53"/>
      <c r="AW13" s="29"/>
      <c r="AX13" s="65"/>
      <c r="AY13" s="64"/>
      <c r="AZ13" s="28" t="str">
        <f aca="false">IF(OR(Tasks[[#This Row],[Task Name]]="",Tasks[[#This Row],[Baseline Duration]]=""),"",Tasks[[#This Row],[BL Source Duration]]-N(Tasks[[#This Row],[Baseline Duration]]))</f>
        <v/>
      </c>
      <c r="BA13" s="62" t="str">
        <f aca="false">IF(OR(Tasks[[#This Row],[Task Name]]="",Tasks[[#This Row],[Baseline Work]]=""),"",Tasks[[#This Row],[Work]]-N(Tasks[[#This Row],[Baseline Work]]))</f>
        <v/>
      </c>
      <c r="BB13" s="63" t="str">
        <f aca="false">IF(OR(Tasks[[#This Row],[Task Name]]="",Tasks[[#This Row],[Baseline Cost]]=""),"",Tasks[[#This Row],[Cost]]-N(Tasks[[#This Row],[Baseline Cost]]))</f>
        <v/>
      </c>
      <c r="BC1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" s="43" t="str">
        <f aca="false">IF(Tasks[[#This Row],[Task Name]]="","",MAX(1,N(Tasks[[#This Row],[Level]])))</f>
        <v/>
      </c>
      <c r="BH13" s="43" t="n">
        <f aca="false">ROW()-ROW(Tasks[[#Headers],[ID]])</f>
        <v>8</v>
      </c>
      <c r="BI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" s="43" t="n">
        <f aca="false">IFERROR(N(INDEX(Tasks[_Level],Tasks[[#This Row],[_Row]]+1)),0)</f>
        <v>0</v>
      </c>
      <c r="BK13" s="66" t="b">
        <f aca="false">AND(Tasks[[#This Row],[Task Name]]&lt;&gt;"",Tasks[[#This Row],[_NextLevel]]&gt;Tasks[[#This Row],[_Level]])</f>
        <v>0</v>
      </c>
      <c r="BL13" s="43" t="n">
        <f aca="false">IF(Tasks[[#This Row],[_IsSummary]],COUNTIF(Tasks[WBS],Tasks[[#This Row],[WBS]]&amp;".*"),0)</f>
        <v>0</v>
      </c>
      <c r="BM13" s="43" t="n">
        <f aca="false">IF(AND(Tasks[[#This Row],[Task Name]]&lt;&gt;"",NOT(Tasks[[#This Row],[_IsSummary]])),1,0)</f>
        <v>0</v>
      </c>
      <c r="BN13" s="43" t="n">
        <f aca="false">IF(N(Tasks[[#This Row],[Pred1 UID]])=0,0,IFERROR(MATCH(Tasks[[#This Row],[Pred1 UID]],Tasks[UID],0),-1))</f>
        <v>0</v>
      </c>
      <c r="BO13" s="43" t="n">
        <f aca="false">IF(N(Tasks[[#This Row],[Pred2 UID]])=0,0,IFERROR(MATCH(Tasks[[#This Row],[Pred2 UID]],Tasks[UID],0),-1))</f>
        <v>0</v>
      </c>
      <c r="BP1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" s="43" t="n">
        <f aca="false">IF(NOT(Tasks[[#This Row],[_IsLeaf]]=1),0,IF(N(Tasks[[#This Row],[Actual Finish]])&gt;0,1,MIN(1,N(Tasks[[#This Row],[% Complete]]))))</f>
        <v>0</v>
      </c>
      <c r="BU1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" s="43" t="n">
        <f aca="false">IF(Tasks[[#This Row],[_LeafWork]]=0,0,Tasks[[#This Row],[_LeafWork]]*IFERROR(INDEX(res_Rate,MATCH(Tasks[[#This Row],[Resource]],res_Name,0)),0))</f>
        <v>0</v>
      </c>
      <c r="BW1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" s="43" t="n">
        <f aca="false">IF(NOT(Tasks[[#This Row],[_IsLeaf]]=1),0,MAX(_xlfn.MAXIFS(Tasks[_Row],Tasks[Pred1 UID],Tasks[[#This Row],[UID]]),_xlfn.MAXIFS(Tasks[_Row],Tasks[Pred2 UID],Tasks[[#This Row],[UID]])))</f>
        <v>0</v>
      </c>
      <c r="CB1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" s="67" t="str">
        <f aca="false">IF(NOT(Tasks[[#This Row],[_IsLeaf]]=1),"",MIN(ProjectFinish,IF(N(Tasks[[#This Row],[Deadline]])&gt;0,Tasks[[#This Row],[Deadline]],2958465),Tasks[[#This Row],[_SuccessorFinishLimit]]))</f>
        <v/>
      </c>
      <c r="CD1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" s="66" t="b">
        <f aca="false">AND(Tasks[[#This Row],[_IsLeaf]]=1,Tasks[[#This Row],[_LeafProgress]]&lt;1,N(Tasks[[#This Row],[_LeafTotalSlack]])&lt;=CriticalSlackDays)</f>
        <v>0</v>
      </c>
      <c r="CG1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" s="43" t="n">
        <f aca="false">IF(AND(Tasks[[#This Row],[_IsLeaf]]=1,Tasks[[#This Row],[_LeafWork]]&gt;0),NETWORKDAYS.INTL(ProjectStart,Tasks[[#This Row],[_LeafFcstStart]],WorkWeek,Holidays),0)</f>
        <v>0</v>
      </c>
      <c r="CP1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" s="43" t="n">
        <f aca="false">IF(AND(Tasks[[#This Row],[_IsLeaf]]=1,Tasks[[#This Row],[_LeafWork]]&gt;0),Tasks[[#This Row],[_LeafWork]]/(Tasks[[#This Row],[_FinishWorkday]]-Tasks[[#This Row],[_StartWorkday]]+1),0)</f>
        <v>0</v>
      </c>
      <c r="CR13" s="43" t="n">
        <f aca="false">Tasks[[#This Row],[_WorkPerWorkday]]*(Tasks[[#This Row],[_StartWorkday]]-1)</f>
        <v>-0</v>
      </c>
      <c r="CS13" s="43" t="n">
        <f aca="false">IF(Tasks[[#This Row],[_IsLeaf]]=1,MAX(N(Tasks[[#This Row],[Duration]]),0.1),0)</f>
        <v>0</v>
      </c>
      <c r="CT13" s="43" t="n">
        <f aca="false">Tasks[[#This Row],[_WeightDur]]*Tasks[[#This Row],[_LeafProgress]]</f>
        <v>0</v>
      </c>
      <c r="CU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" s="43" t="str">
        <f aca="false">IF(AND(Tasks[[#This Row],[_IsLeaf]]=1,N(Tasks[[#This Row],[Duration]])=0,Tasks[[#This Row],[_LeafProgress]]&lt;1),Tasks[[#This Row],[_LeafFcstFinish]]+Tasks[[#This Row],[_Row]]/100000,"")</f>
        <v/>
      </c>
      <c r="DA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" s="43" t="n">
        <f aca="false">IF(NOT(Tasks[[#This Row],[_IsLeaf]]=1),0,IF(Tasks[[#This Row],[Baseline Cost]]="",Tasks[[#This Row],[_LeafCost]],N(Tasks[[#This Row],[Baseline Cost]])))</f>
        <v>0</v>
      </c>
      <c r="DC13" s="43" t="n">
        <f aca="false">Tasks[[#This Row],[_LeafBudget]]*Tasks[[#This Row],[_PlannedPct]]</f>
        <v>0</v>
      </c>
      <c r="DD13" s="43" t="n">
        <f aca="false">Tasks[[#This Row],[_LeafBudget]]*Tasks[[#This Row],[_LeafProgress]]</f>
        <v>0</v>
      </c>
      <c r="DE13" s="43" t="n">
        <f aca="false">IF(NOT(Tasks[[#This Row],[_IsLeaf]]=1),0,IF(Tasks[[#This Row],[Actual Cost]]="",Tasks[[#This Row],[_LeafCost]]*Tasks[[#This Row],[_LeafProgress]],N(Tasks[[#This Row],[Actual Cost]])))</f>
        <v>0</v>
      </c>
      <c r="DF13" s="43" t="str">
        <f aca="false">IF(Tasks[[#This Row],[Task Name]]="","",LEFT(Tasks[[#This Row],[WBS]],FIND(".",Tasks[[#This Row],[WBS]]&amp;".")-1))</f>
        <v/>
      </c>
      <c r="DG13" s="43" t="str">
        <f aca="false">IF(AND(Tasks[[#This Row],[Task Name]]&lt;&gt;"",Tasks[[#This Row],[_Level]]=1),Tasks[[#This Row],[_Row]],"")</f>
        <v/>
      </c>
      <c r="DH13" s="43" t="str">
        <f aca="false">IF(AND(Tasks[[#This Row],[_IsLeaf]]=1,N(Tasks[[#This Row],[Duration]])=0),Tasks[[#This Row],[Planned Finish]]+Tasks[[#This Row],[_Row]]/100000,"")</f>
        <v/>
      </c>
      <c r="DI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" s="43" t="str">
        <f aca="false">IF(Tasks[[#This Row],[_LeafCritical]],Tasks[[#This Row],[_LeafFcstStart]]+Tasks[[#This Row],[_Row]]/100000,"")</f>
        <v/>
      </c>
    </row>
    <row r="14" customFormat="false" ht="15" hidden="false" customHeight="false" outlineLevel="0" collapsed="false">
      <c r="A14" s="28" t="str">
        <f aca="false">IF(Tasks[[#This Row],[Task Name]]="","",COUNTA(Tasks[[#Headers],[Task Name]]:Tasks[[#This Row],[Task Name]])-1)</f>
        <v/>
      </c>
      <c r="B14" s="29" t="n">
        <v>9</v>
      </c>
      <c r="C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29"/>
      <c r="E14" s="30"/>
      <c r="F14" s="29"/>
      <c r="G14" s="29"/>
      <c r="H14" s="29"/>
      <c r="I14" s="29"/>
      <c r="J14" s="29"/>
      <c r="K14" s="29"/>
      <c r="L14" s="29"/>
      <c r="M14" s="29"/>
      <c r="N14" s="53"/>
      <c r="O14" s="53"/>
      <c r="P14" s="25" t="str">
        <f aca="false">IF(Tasks[[#This Row],[Task Name]]="","",IF(N(Tasks[[#This Row],[Baseline Start]])&gt;0,Tasks[[#This Row],[Baseline Start]],Tasks[[#This Row],[_CalcStart]]))</f>
        <v/>
      </c>
      <c r="Q14" s="25" t="str">
        <f aca="false">IF(Tasks[[#This Row],[Task Name]]="","",IF(N(Tasks[[#This Row],[Baseline Finish]])&gt;0,Tasks[[#This Row],[Baseline Finish]],Tasks[[#This Row],[_CalcFinish]]))</f>
        <v/>
      </c>
      <c r="R14" s="53"/>
      <c r="S14" s="53"/>
      <c r="T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55"/>
      <c r="AF1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" s="30"/>
      <c r="AI14" s="55"/>
      <c r="AJ1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" s="64"/>
      <c r="AM1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" s="30"/>
      <c r="AP14" s="25" t="str">
        <f aca="false">IF(Tasks[[#This Row],[Task Name]]="","",Tasks[[#This Row],[Forecast Start]])</f>
        <v/>
      </c>
      <c r="AQ14" s="25" t="str">
        <f aca="false">IF(Tasks[[#This Row],[Task Name]]="","",Tasks[[#This Row],[Forecast Finish]])</f>
        <v/>
      </c>
      <c r="AR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" s="62" t="str">
        <f aca="false">IF(Tasks[[#This Row],[Task Name]]="","",Tasks[[#This Row],[Work]])</f>
        <v/>
      </c>
      <c r="AT14" s="63" t="str">
        <f aca="false">IF(Tasks[[#This Row],[Task Name]]="","",Tasks[[#This Row],[Cost]])</f>
        <v/>
      </c>
      <c r="AU14" s="53"/>
      <c r="AV14" s="53"/>
      <c r="AW14" s="29"/>
      <c r="AX14" s="65"/>
      <c r="AY14" s="64"/>
      <c r="AZ14" s="28" t="str">
        <f aca="false">IF(OR(Tasks[[#This Row],[Task Name]]="",Tasks[[#This Row],[Baseline Duration]]=""),"",Tasks[[#This Row],[BL Source Duration]]-N(Tasks[[#This Row],[Baseline Duration]]))</f>
        <v/>
      </c>
      <c r="BA14" s="62" t="str">
        <f aca="false">IF(OR(Tasks[[#This Row],[Task Name]]="",Tasks[[#This Row],[Baseline Work]]=""),"",Tasks[[#This Row],[Work]]-N(Tasks[[#This Row],[Baseline Work]]))</f>
        <v/>
      </c>
      <c r="BB14" s="63" t="str">
        <f aca="false">IF(OR(Tasks[[#This Row],[Task Name]]="",Tasks[[#This Row],[Baseline Cost]]=""),"",Tasks[[#This Row],[Cost]]-N(Tasks[[#This Row],[Baseline Cost]]))</f>
        <v/>
      </c>
      <c r="BC1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" s="43" t="str">
        <f aca="false">IF(Tasks[[#This Row],[Task Name]]="","",MAX(1,N(Tasks[[#This Row],[Level]])))</f>
        <v/>
      </c>
      <c r="BH14" s="43" t="n">
        <f aca="false">ROW()-ROW(Tasks[[#Headers],[ID]])</f>
        <v>9</v>
      </c>
      <c r="BI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" s="43" t="n">
        <f aca="false">IFERROR(N(INDEX(Tasks[_Level],Tasks[[#This Row],[_Row]]+1)),0)</f>
        <v>0</v>
      </c>
      <c r="BK14" s="66" t="b">
        <f aca="false">AND(Tasks[[#This Row],[Task Name]]&lt;&gt;"",Tasks[[#This Row],[_NextLevel]]&gt;Tasks[[#This Row],[_Level]])</f>
        <v>0</v>
      </c>
      <c r="BL14" s="43" t="n">
        <f aca="false">IF(Tasks[[#This Row],[_IsSummary]],COUNTIF(Tasks[WBS],Tasks[[#This Row],[WBS]]&amp;".*"),0)</f>
        <v>0</v>
      </c>
      <c r="BM14" s="43" t="n">
        <f aca="false">IF(AND(Tasks[[#This Row],[Task Name]]&lt;&gt;"",NOT(Tasks[[#This Row],[_IsSummary]])),1,0)</f>
        <v>0</v>
      </c>
      <c r="BN14" s="43" t="n">
        <f aca="false">IF(N(Tasks[[#This Row],[Pred1 UID]])=0,0,IFERROR(MATCH(Tasks[[#This Row],[Pred1 UID]],Tasks[UID],0),-1))</f>
        <v>0</v>
      </c>
      <c r="BO14" s="43" t="n">
        <f aca="false">IF(N(Tasks[[#This Row],[Pred2 UID]])=0,0,IFERROR(MATCH(Tasks[[#This Row],[Pred2 UID]],Tasks[UID],0),-1))</f>
        <v>0</v>
      </c>
      <c r="BP1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" s="43" t="n">
        <f aca="false">IF(NOT(Tasks[[#This Row],[_IsLeaf]]=1),0,IF(N(Tasks[[#This Row],[Actual Finish]])&gt;0,1,MIN(1,N(Tasks[[#This Row],[% Complete]]))))</f>
        <v>0</v>
      </c>
      <c r="BU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" s="43" t="n">
        <f aca="false">IF(Tasks[[#This Row],[_LeafWork]]=0,0,Tasks[[#This Row],[_LeafWork]]*IFERROR(INDEX(res_Rate,MATCH(Tasks[[#This Row],[Resource]],res_Name,0)),0))</f>
        <v>0</v>
      </c>
      <c r="BW1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" s="43" t="n">
        <f aca="false">IF(NOT(Tasks[[#This Row],[_IsLeaf]]=1),0,MAX(_xlfn.MAXIFS(Tasks[_Row],Tasks[Pred1 UID],Tasks[[#This Row],[UID]]),_xlfn.MAXIFS(Tasks[_Row],Tasks[Pred2 UID],Tasks[[#This Row],[UID]])))</f>
        <v>0</v>
      </c>
      <c r="CB1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" s="67" t="str">
        <f aca="false">IF(NOT(Tasks[[#This Row],[_IsLeaf]]=1),"",MIN(ProjectFinish,IF(N(Tasks[[#This Row],[Deadline]])&gt;0,Tasks[[#This Row],[Deadline]],2958465),Tasks[[#This Row],[_SuccessorFinishLimit]]))</f>
        <v/>
      </c>
      <c r="CD1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" s="66" t="b">
        <f aca="false">AND(Tasks[[#This Row],[_IsLeaf]]=1,Tasks[[#This Row],[_LeafProgress]]&lt;1,N(Tasks[[#This Row],[_LeafTotalSlack]])&lt;=CriticalSlackDays)</f>
        <v>0</v>
      </c>
      <c r="CG1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" s="43" t="n">
        <f aca="false">IF(AND(Tasks[[#This Row],[_IsLeaf]]=1,Tasks[[#This Row],[_LeafWork]]&gt;0),NETWORKDAYS.INTL(ProjectStart,Tasks[[#This Row],[_LeafFcstStart]],WorkWeek,Holidays),0)</f>
        <v>0</v>
      </c>
      <c r="CP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" s="43" t="n">
        <f aca="false">IF(AND(Tasks[[#This Row],[_IsLeaf]]=1,Tasks[[#This Row],[_LeafWork]]&gt;0),Tasks[[#This Row],[_LeafWork]]/(Tasks[[#This Row],[_FinishWorkday]]-Tasks[[#This Row],[_StartWorkday]]+1),0)</f>
        <v>0</v>
      </c>
      <c r="CR14" s="43" t="n">
        <f aca="false">Tasks[[#This Row],[_WorkPerWorkday]]*(Tasks[[#This Row],[_StartWorkday]]-1)</f>
        <v>-0</v>
      </c>
      <c r="CS14" s="43" t="n">
        <f aca="false">IF(Tasks[[#This Row],[_IsLeaf]]=1,MAX(N(Tasks[[#This Row],[Duration]]),0.1),0)</f>
        <v>0</v>
      </c>
      <c r="CT14" s="43" t="n">
        <f aca="false">Tasks[[#This Row],[_WeightDur]]*Tasks[[#This Row],[_LeafProgress]]</f>
        <v>0</v>
      </c>
      <c r="CU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" s="43" t="str">
        <f aca="false">IF(AND(Tasks[[#This Row],[_IsLeaf]]=1,N(Tasks[[#This Row],[Duration]])=0,Tasks[[#This Row],[_LeafProgress]]&lt;1),Tasks[[#This Row],[_LeafFcstFinish]]+Tasks[[#This Row],[_Row]]/100000,"")</f>
        <v/>
      </c>
      <c r="DA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" s="43" t="n">
        <f aca="false">IF(NOT(Tasks[[#This Row],[_IsLeaf]]=1),0,IF(Tasks[[#This Row],[Baseline Cost]]="",Tasks[[#This Row],[_LeafCost]],N(Tasks[[#This Row],[Baseline Cost]])))</f>
        <v>0</v>
      </c>
      <c r="DC14" s="43" t="n">
        <f aca="false">Tasks[[#This Row],[_LeafBudget]]*Tasks[[#This Row],[_PlannedPct]]</f>
        <v>0</v>
      </c>
      <c r="DD14" s="43" t="n">
        <f aca="false">Tasks[[#This Row],[_LeafBudget]]*Tasks[[#This Row],[_LeafProgress]]</f>
        <v>0</v>
      </c>
      <c r="DE14" s="43" t="n">
        <f aca="false">IF(NOT(Tasks[[#This Row],[_IsLeaf]]=1),0,IF(Tasks[[#This Row],[Actual Cost]]="",Tasks[[#This Row],[_LeafCost]]*Tasks[[#This Row],[_LeafProgress]],N(Tasks[[#This Row],[Actual Cost]])))</f>
        <v>0</v>
      </c>
      <c r="DF14" s="43" t="str">
        <f aca="false">IF(Tasks[[#This Row],[Task Name]]="","",LEFT(Tasks[[#This Row],[WBS]],FIND(".",Tasks[[#This Row],[WBS]]&amp;".")-1))</f>
        <v/>
      </c>
      <c r="DG14" s="43" t="str">
        <f aca="false">IF(AND(Tasks[[#This Row],[Task Name]]&lt;&gt;"",Tasks[[#This Row],[_Level]]=1),Tasks[[#This Row],[_Row]],"")</f>
        <v/>
      </c>
      <c r="DH14" s="43" t="str">
        <f aca="false">IF(AND(Tasks[[#This Row],[_IsLeaf]]=1,N(Tasks[[#This Row],[Duration]])=0),Tasks[[#This Row],[Planned Finish]]+Tasks[[#This Row],[_Row]]/100000,"")</f>
        <v/>
      </c>
      <c r="DI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" s="43" t="str">
        <f aca="false">IF(Tasks[[#This Row],[_LeafCritical]],Tasks[[#This Row],[_LeafFcstStart]]+Tasks[[#This Row],[_Row]]/100000,"")</f>
        <v/>
      </c>
    </row>
    <row r="15" customFormat="false" ht="15" hidden="false" customHeight="false" outlineLevel="0" collapsed="false">
      <c r="A15" s="28" t="str">
        <f aca="false">IF(Tasks[[#This Row],[Task Name]]="","",COUNTA(Tasks[[#Headers],[Task Name]]:Tasks[[#This Row],[Task Name]])-1)</f>
        <v/>
      </c>
      <c r="B15" s="29" t="n">
        <v>10</v>
      </c>
      <c r="C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29"/>
      <c r="E15" s="30"/>
      <c r="F15" s="29"/>
      <c r="G15" s="29"/>
      <c r="H15" s="29"/>
      <c r="I15" s="29"/>
      <c r="J15" s="29"/>
      <c r="K15" s="29"/>
      <c r="L15" s="29"/>
      <c r="M15" s="29"/>
      <c r="N15" s="53"/>
      <c r="O15" s="53"/>
      <c r="P15" s="25" t="str">
        <f aca="false">IF(Tasks[[#This Row],[Task Name]]="","",IF(N(Tasks[[#This Row],[Baseline Start]])&gt;0,Tasks[[#This Row],[Baseline Start]],Tasks[[#This Row],[_CalcStart]]))</f>
        <v/>
      </c>
      <c r="Q15" s="25" t="str">
        <f aca="false">IF(Tasks[[#This Row],[Task Name]]="","",IF(N(Tasks[[#This Row],[Baseline Finish]])&gt;0,Tasks[[#This Row],[Baseline Finish]],Tasks[[#This Row],[_CalcFinish]]))</f>
        <v/>
      </c>
      <c r="R15" s="53"/>
      <c r="S15" s="53"/>
      <c r="T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55"/>
      <c r="AF1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" s="30"/>
      <c r="AI15" s="55"/>
      <c r="AJ1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" s="64"/>
      <c r="AM1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" s="30"/>
      <c r="AP15" s="25" t="str">
        <f aca="false">IF(Tasks[[#This Row],[Task Name]]="","",Tasks[[#This Row],[Forecast Start]])</f>
        <v/>
      </c>
      <c r="AQ15" s="25" t="str">
        <f aca="false">IF(Tasks[[#This Row],[Task Name]]="","",Tasks[[#This Row],[Forecast Finish]])</f>
        <v/>
      </c>
      <c r="AR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" s="62" t="str">
        <f aca="false">IF(Tasks[[#This Row],[Task Name]]="","",Tasks[[#This Row],[Work]])</f>
        <v/>
      </c>
      <c r="AT15" s="63" t="str">
        <f aca="false">IF(Tasks[[#This Row],[Task Name]]="","",Tasks[[#This Row],[Cost]])</f>
        <v/>
      </c>
      <c r="AU15" s="53"/>
      <c r="AV15" s="53"/>
      <c r="AW15" s="29"/>
      <c r="AX15" s="65"/>
      <c r="AY15" s="64"/>
      <c r="AZ15" s="28" t="str">
        <f aca="false">IF(OR(Tasks[[#This Row],[Task Name]]="",Tasks[[#This Row],[Baseline Duration]]=""),"",Tasks[[#This Row],[BL Source Duration]]-N(Tasks[[#This Row],[Baseline Duration]]))</f>
        <v/>
      </c>
      <c r="BA15" s="62" t="str">
        <f aca="false">IF(OR(Tasks[[#This Row],[Task Name]]="",Tasks[[#This Row],[Baseline Work]]=""),"",Tasks[[#This Row],[Work]]-N(Tasks[[#This Row],[Baseline Work]]))</f>
        <v/>
      </c>
      <c r="BB15" s="63" t="str">
        <f aca="false">IF(OR(Tasks[[#This Row],[Task Name]]="",Tasks[[#This Row],[Baseline Cost]]=""),"",Tasks[[#This Row],[Cost]]-N(Tasks[[#This Row],[Baseline Cost]]))</f>
        <v/>
      </c>
      <c r="BC1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" s="43" t="str">
        <f aca="false">IF(Tasks[[#This Row],[Task Name]]="","",MAX(1,N(Tasks[[#This Row],[Level]])))</f>
        <v/>
      </c>
      <c r="BH15" s="43" t="n">
        <f aca="false">ROW()-ROW(Tasks[[#Headers],[ID]])</f>
        <v>10</v>
      </c>
      <c r="BI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" s="43" t="n">
        <f aca="false">IFERROR(N(INDEX(Tasks[_Level],Tasks[[#This Row],[_Row]]+1)),0)</f>
        <v>0</v>
      </c>
      <c r="BK15" s="66" t="b">
        <f aca="false">AND(Tasks[[#This Row],[Task Name]]&lt;&gt;"",Tasks[[#This Row],[_NextLevel]]&gt;Tasks[[#This Row],[_Level]])</f>
        <v>0</v>
      </c>
      <c r="BL15" s="43" t="n">
        <f aca="false">IF(Tasks[[#This Row],[_IsSummary]],COUNTIF(Tasks[WBS],Tasks[[#This Row],[WBS]]&amp;".*"),0)</f>
        <v>0</v>
      </c>
      <c r="BM15" s="43" t="n">
        <f aca="false">IF(AND(Tasks[[#This Row],[Task Name]]&lt;&gt;"",NOT(Tasks[[#This Row],[_IsSummary]])),1,0)</f>
        <v>0</v>
      </c>
      <c r="BN15" s="43" t="n">
        <f aca="false">IF(N(Tasks[[#This Row],[Pred1 UID]])=0,0,IFERROR(MATCH(Tasks[[#This Row],[Pred1 UID]],Tasks[UID],0),-1))</f>
        <v>0</v>
      </c>
      <c r="BO15" s="43" t="n">
        <f aca="false">IF(N(Tasks[[#This Row],[Pred2 UID]])=0,0,IFERROR(MATCH(Tasks[[#This Row],[Pred2 UID]],Tasks[UID],0),-1))</f>
        <v>0</v>
      </c>
      <c r="BP1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" s="43" t="n">
        <f aca="false">IF(NOT(Tasks[[#This Row],[_IsLeaf]]=1),0,IF(N(Tasks[[#This Row],[Actual Finish]])&gt;0,1,MIN(1,N(Tasks[[#This Row],[% Complete]]))))</f>
        <v>0</v>
      </c>
      <c r="BU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" s="43" t="n">
        <f aca="false">IF(Tasks[[#This Row],[_LeafWork]]=0,0,Tasks[[#This Row],[_LeafWork]]*IFERROR(INDEX(res_Rate,MATCH(Tasks[[#This Row],[Resource]],res_Name,0)),0))</f>
        <v>0</v>
      </c>
      <c r="BW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" s="43" t="n">
        <f aca="false">IF(NOT(Tasks[[#This Row],[_IsLeaf]]=1),0,MAX(_xlfn.MAXIFS(Tasks[_Row],Tasks[Pred1 UID],Tasks[[#This Row],[UID]]),_xlfn.MAXIFS(Tasks[_Row],Tasks[Pred2 UID],Tasks[[#This Row],[UID]])))</f>
        <v>0</v>
      </c>
      <c r="CB1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" s="67" t="str">
        <f aca="false">IF(NOT(Tasks[[#This Row],[_IsLeaf]]=1),"",MIN(ProjectFinish,IF(N(Tasks[[#This Row],[Deadline]])&gt;0,Tasks[[#This Row],[Deadline]],2958465),Tasks[[#This Row],[_SuccessorFinishLimit]]))</f>
        <v/>
      </c>
      <c r="CD1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" s="66" t="b">
        <f aca="false">AND(Tasks[[#This Row],[_IsLeaf]]=1,Tasks[[#This Row],[_LeafProgress]]&lt;1,N(Tasks[[#This Row],[_LeafTotalSlack]])&lt;=CriticalSlackDays)</f>
        <v>0</v>
      </c>
      <c r="CG1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" s="43" t="n">
        <f aca="false">IF(AND(Tasks[[#This Row],[_IsLeaf]]=1,Tasks[[#This Row],[_LeafWork]]&gt;0),NETWORKDAYS.INTL(ProjectStart,Tasks[[#This Row],[_LeafFcstStart]],WorkWeek,Holidays),0)</f>
        <v>0</v>
      </c>
      <c r="CP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" s="43" t="n">
        <f aca="false">IF(AND(Tasks[[#This Row],[_IsLeaf]]=1,Tasks[[#This Row],[_LeafWork]]&gt;0),Tasks[[#This Row],[_LeafWork]]/(Tasks[[#This Row],[_FinishWorkday]]-Tasks[[#This Row],[_StartWorkday]]+1),0)</f>
        <v>0</v>
      </c>
      <c r="CR15" s="43" t="n">
        <f aca="false">Tasks[[#This Row],[_WorkPerWorkday]]*(Tasks[[#This Row],[_StartWorkday]]-1)</f>
        <v>-0</v>
      </c>
      <c r="CS15" s="43" t="n">
        <f aca="false">IF(Tasks[[#This Row],[_IsLeaf]]=1,MAX(N(Tasks[[#This Row],[Duration]]),0.1),0)</f>
        <v>0</v>
      </c>
      <c r="CT15" s="43" t="n">
        <f aca="false">Tasks[[#This Row],[_WeightDur]]*Tasks[[#This Row],[_LeafProgress]]</f>
        <v>0</v>
      </c>
      <c r="CU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" s="43" t="str">
        <f aca="false">IF(AND(Tasks[[#This Row],[_IsLeaf]]=1,N(Tasks[[#This Row],[Duration]])=0,Tasks[[#This Row],[_LeafProgress]]&lt;1),Tasks[[#This Row],[_LeafFcstFinish]]+Tasks[[#This Row],[_Row]]/100000,"")</f>
        <v/>
      </c>
      <c r="DA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" s="43" t="n">
        <f aca="false">IF(NOT(Tasks[[#This Row],[_IsLeaf]]=1),0,IF(Tasks[[#This Row],[Baseline Cost]]="",Tasks[[#This Row],[_LeafCost]],N(Tasks[[#This Row],[Baseline Cost]])))</f>
        <v>0</v>
      </c>
      <c r="DC15" s="43" t="n">
        <f aca="false">Tasks[[#This Row],[_LeafBudget]]*Tasks[[#This Row],[_PlannedPct]]</f>
        <v>0</v>
      </c>
      <c r="DD15" s="43" t="n">
        <f aca="false">Tasks[[#This Row],[_LeafBudget]]*Tasks[[#This Row],[_LeafProgress]]</f>
        <v>0</v>
      </c>
      <c r="DE15" s="43" t="n">
        <f aca="false">IF(NOT(Tasks[[#This Row],[_IsLeaf]]=1),0,IF(Tasks[[#This Row],[Actual Cost]]="",Tasks[[#This Row],[_LeafCost]]*Tasks[[#This Row],[_LeafProgress]],N(Tasks[[#This Row],[Actual Cost]])))</f>
        <v>0</v>
      </c>
      <c r="DF15" s="43" t="str">
        <f aca="false">IF(Tasks[[#This Row],[Task Name]]="","",LEFT(Tasks[[#This Row],[WBS]],FIND(".",Tasks[[#This Row],[WBS]]&amp;".")-1))</f>
        <v/>
      </c>
      <c r="DG15" s="43" t="str">
        <f aca="false">IF(AND(Tasks[[#This Row],[Task Name]]&lt;&gt;"",Tasks[[#This Row],[_Level]]=1),Tasks[[#This Row],[_Row]],"")</f>
        <v/>
      </c>
      <c r="DH15" s="43" t="str">
        <f aca="false">IF(AND(Tasks[[#This Row],[_IsLeaf]]=1,N(Tasks[[#This Row],[Duration]])=0),Tasks[[#This Row],[Planned Finish]]+Tasks[[#This Row],[_Row]]/100000,"")</f>
        <v/>
      </c>
      <c r="DI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" s="43" t="str">
        <f aca="false">IF(Tasks[[#This Row],[_LeafCritical]],Tasks[[#This Row],[_LeafFcstStart]]+Tasks[[#This Row],[_Row]]/100000,"")</f>
        <v/>
      </c>
    </row>
    <row r="16" customFormat="false" ht="15" hidden="false" customHeight="false" outlineLevel="0" collapsed="false">
      <c r="A16" s="28" t="str">
        <f aca="false">IF(Tasks[[#This Row],[Task Name]]="","",COUNTA(Tasks[[#Headers],[Task Name]]:Tasks[[#This Row],[Task Name]])-1)</f>
        <v/>
      </c>
      <c r="B16" s="29" t="n">
        <v>11</v>
      </c>
      <c r="C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29"/>
      <c r="E16" s="30"/>
      <c r="F16" s="29"/>
      <c r="G16" s="29"/>
      <c r="H16" s="29"/>
      <c r="I16" s="29"/>
      <c r="J16" s="29"/>
      <c r="K16" s="29"/>
      <c r="L16" s="29"/>
      <c r="M16" s="29"/>
      <c r="N16" s="53"/>
      <c r="O16" s="53"/>
      <c r="P16" s="25" t="str">
        <f aca="false">IF(Tasks[[#This Row],[Task Name]]="","",IF(N(Tasks[[#This Row],[Baseline Start]])&gt;0,Tasks[[#This Row],[Baseline Start]],Tasks[[#This Row],[_CalcStart]]))</f>
        <v/>
      </c>
      <c r="Q16" s="25" t="str">
        <f aca="false">IF(Tasks[[#This Row],[Task Name]]="","",IF(N(Tasks[[#This Row],[Baseline Finish]])&gt;0,Tasks[[#This Row],[Baseline Finish]],Tasks[[#This Row],[_CalcFinish]]))</f>
        <v/>
      </c>
      <c r="R16" s="53"/>
      <c r="S16" s="53"/>
      <c r="T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55"/>
      <c r="AF1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" s="30"/>
      <c r="AI16" s="55"/>
      <c r="AJ1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" s="64"/>
      <c r="AM1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" s="30"/>
      <c r="AP16" s="25" t="str">
        <f aca="false">IF(Tasks[[#This Row],[Task Name]]="","",Tasks[[#This Row],[Forecast Start]])</f>
        <v/>
      </c>
      <c r="AQ16" s="25" t="str">
        <f aca="false">IF(Tasks[[#This Row],[Task Name]]="","",Tasks[[#This Row],[Forecast Finish]])</f>
        <v/>
      </c>
      <c r="AR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" s="62" t="str">
        <f aca="false">IF(Tasks[[#This Row],[Task Name]]="","",Tasks[[#This Row],[Work]])</f>
        <v/>
      </c>
      <c r="AT16" s="63" t="str">
        <f aca="false">IF(Tasks[[#This Row],[Task Name]]="","",Tasks[[#This Row],[Cost]])</f>
        <v/>
      </c>
      <c r="AU16" s="53"/>
      <c r="AV16" s="53"/>
      <c r="AW16" s="29"/>
      <c r="AX16" s="65"/>
      <c r="AY16" s="64"/>
      <c r="AZ16" s="28" t="str">
        <f aca="false">IF(OR(Tasks[[#This Row],[Task Name]]="",Tasks[[#This Row],[Baseline Duration]]=""),"",Tasks[[#This Row],[BL Source Duration]]-N(Tasks[[#This Row],[Baseline Duration]]))</f>
        <v/>
      </c>
      <c r="BA16" s="62" t="str">
        <f aca="false">IF(OR(Tasks[[#This Row],[Task Name]]="",Tasks[[#This Row],[Baseline Work]]=""),"",Tasks[[#This Row],[Work]]-N(Tasks[[#This Row],[Baseline Work]]))</f>
        <v/>
      </c>
      <c r="BB16" s="63" t="str">
        <f aca="false">IF(OR(Tasks[[#This Row],[Task Name]]="",Tasks[[#This Row],[Baseline Cost]]=""),"",Tasks[[#This Row],[Cost]]-N(Tasks[[#This Row],[Baseline Cost]]))</f>
        <v/>
      </c>
      <c r="BC1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" s="43" t="str">
        <f aca="false">IF(Tasks[[#This Row],[Task Name]]="","",MAX(1,N(Tasks[[#This Row],[Level]])))</f>
        <v/>
      </c>
      <c r="BH16" s="43" t="n">
        <f aca="false">ROW()-ROW(Tasks[[#Headers],[ID]])</f>
        <v>11</v>
      </c>
      <c r="BI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" s="43" t="n">
        <f aca="false">IFERROR(N(INDEX(Tasks[_Level],Tasks[[#This Row],[_Row]]+1)),0)</f>
        <v>0</v>
      </c>
      <c r="BK16" s="66" t="b">
        <f aca="false">AND(Tasks[[#This Row],[Task Name]]&lt;&gt;"",Tasks[[#This Row],[_NextLevel]]&gt;Tasks[[#This Row],[_Level]])</f>
        <v>0</v>
      </c>
      <c r="BL16" s="43" t="n">
        <f aca="false">IF(Tasks[[#This Row],[_IsSummary]],COUNTIF(Tasks[WBS],Tasks[[#This Row],[WBS]]&amp;".*"),0)</f>
        <v>0</v>
      </c>
      <c r="BM16" s="43" t="n">
        <f aca="false">IF(AND(Tasks[[#This Row],[Task Name]]&lt;&gt;"",NOT(Tasks[[#This Row],[_IsSummary]])),1,0)</f>
        <v>0</v>
      </c>
      <c r="BN16" s="43" t="n">
        <f aca="false">IF(N(Tasks[[#This Row],[Pred1 UID]])=0,0,IFERROR(MATCH(Tasks[[#This Row],[Pred1 UID]],Tasks[UID],0),-1))</f>
        <v>0</v>
      </c>
      <c r="BO16" s="43" t="n">
        <f aca="false">IF(N(Tasks[[#This Row],[Pred2 UID]])=0,0,IFERROR(MATCH(Tasks[[#This Row],[Pred2 UID]],Tasks[UID],0),-1))</f>
        <v>0</v>
      </c>
      <c r="BP1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" s="43" t="n">
        <f aca="false">IF(NOT(Tasks[[#This Row],[_IsLeaf]]=1),0,IF(N(Tasks[[#This Row],[Actual Finish]])&gt;0,1,MIN(1,N(Tasks[[#This Row],[% Complete]]))))</f>
        <v>0</v>
      </c>
      <c r="BU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" s="43" t="n">
        <f aca="false">IF(Tasks[[#This Row],[_LeafWork]]=0,0,Tasks[[#This Row],[_LeafWork]]*IFERROR(INDEX(res_Rate,MATCH(Tasks[[#This Row],[Resource]],res_Name,0)),0))</f>
        <v>0</v>
      </c>
      <c r="BW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" s="43" t="n">
        <f aca="false">IF(NOT(Tasks[[#This Row],[_IsLeaf]]=1),0,MAX(_xlfn.MAXIFS(Tasks[_Row],Tasks[Pred1 UID],Tasks[[#This Row],[UID]]),_xlfn.MAXIFS(Tasks[_Row],Tasks[Pred2 UID],Tasks[[#This Row],[UID]])))</f>
        <v>0</v>
      </c>
      <c r="CB1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" s="67" t="str">
        <f aca="false">IF(NOT(Tasks[[#This Row],[_IsLeaf]]=1),"",MIN(ProjectFinish,IF(N(Tasks[[#This Row],[Deadline]])&gt;0,Tasks[[#This Row],[Deadline]],2958465),Tasks[[#This Row],[_SuccessorFinishLimit]]))</f>
        <v/>
      </c>
      <c r="CD1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" s="66" t="b">
        <f aca="false">AND(Tasks[[#This Row],[_IsLeaf]]=1,Tasks[[#This Row],[_LeafProgress]]&lt;1,N(Tasks[[#This Row],[_LeafTotalSlack]])&lt;=CriticalSlackDays)</f>
        <v>0</v>
      </c>
      <c r="CG1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" s="43" t="n">
        <f aca="false">IF(AND(Tasks[[#This Row],[_IsLeaf]]=1,Tasks[[#This Row],[_LeafWork]]&gt;0),NETWORKDAYS.INTL(ProjectStart,Tasks[[#This Row],[_LeafFcstStart]],WorkWeek,Holidays),0)</f>
        <v>0</v>
      </c>
      <c r="CP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" s="43" t="n">
        <f aca="false">IF(AND(Tasks[[#This Row],[_IsLeaf]]=1,Tasks[[#This Row],[_LeafWork]]&gt;0),Tasks[[#This Row],[_LeafWork]]/(Tasks[[#This Row],[_FinishWorkday]]-Tasks[[#This Row],[_StartWorkday]]+1),0)</f>
        <v>0</v>
      </c>
      <c r="CR16" s="43" t="n">
        <f aca="false">Tasks[[#This Row],[_WorkPerWorkday]]*(Tasks[[#This Row],[_StartWorkday]]-1)</f>
        <v>-0</v>
      </c>
      <c r="CS16" s="43" t="n">
        <f aca="false">IF(Tasks[[#This Row],[_IsLeaf]]=1,MAX(N(Tasks[[#This Row],[Duration]]),0.1),0)</f>
        <v>0</v>
      </c>
      <c r="CT16" s="43" t="n">
        <f aca="false">Tasks[[#This Row],[_WeightDur]]*Tasks[[#This Row],[_LeafProgress]]</f>
        <v>0</v>
      </c>
      <c r="CU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" s="43" t="str">
        <f aca="false">IF(AND(Tasks[[#This Row],[_IsLeaf]]=1,N(Tasks[[#This Row],[Duration]])=0,Tasks[[#This Row],[_LeafProgress]]&lt;1),Tasks[[#This Row],[_LeafFcstFinish]]+Tasks[[#This Row],[_Row]]/100000,"")</f>
        <v/>
      </c>
      <c r="DA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" s="43" t="n">
        <f aca="false">IF(NOT(Tasks[[#This Row],[_IsLeaf]]=1),0,IF(Tasks[[#This Row],[Baseline Cost]]="",Tasks[[#This Row],[_LeafCost]],N(Tasks[[#This Row],[Baseline Cost]])))</f>
        <v>0</v>
      </c>
      <c r="DC16" s="43" t="n">
        <f aca="false">Tasks[[#This Row],[_LeafBudget]]*Tasks[[#This Row],[_PlannedPct]]</f>
        <v>0</v>
      </c>
      <c r="DD16" s="43" t="n">
        <f aca="false">Tasks[[#This Row],[_LeafBudget]]*Tasks[[#This Row],[_LeafProgress]]</f>
        <v>0</v>
      </c>
      <c r="DE16" s="43" t="n">
        <f aca="false">IF(NOT(Tasks[[#This Row],[_IsLeaf]]=1),0,IF(Tasks[[#This Row],[Actual Cost]]="",Tasks[[#This Row],[_LeafCost]]*Tasks[[#This Row],[_LeafProgress]],N(Tasks[[#This Row],[Actual Cost]])))</f>
        <v>0</v>
      </c>
      <c r="DF16" s="43" t="str">
        <f aca="false">IF(Tasks[[#This Row],[Task Name]]="","",LEFT(Tasks[[#This Row],[WBS]],FIND(".",Tasks[[#This Row],[WBS]]&amp;".")-1))</f>
        <v/>
      </c>
      <c r="DG16" s="43" t="str">
        <f aca="false">IF(AND(Tasks[[#This Row],[Task Name]]&lt;&gt;"",Tasks[[#This Row],[_Level]]=1),Tasks[[#This Row],[_Row]],"")</f>
        <v/>
      </c>
      <c r="DH16" s="43" t="str">
        <f aca="false">IF(AND(Tasks[[#This Row],[_IsLeaf]]=1,N(Tasks[[#This Row],[Duration]])=0),Tasks[[#This Row],[Planned Finish]]+Tasks[[#This Row],[_Row]]/100000,"")</f>
        <v/>
      </c>
      <c r="DI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" s="43" t="str">
        <f aca="false">IF(Tasks[[#This Row],[_LeafCritical]],Tasks[[#This Row],[_LeafFcstStart]]+Tasks[[#This Row],[_Row]]/100000,"")</f>
        <v/>
      </c>
    </row>
    <row r="17" customFormat="false" ht="15" hidden="false" customHeight="false" outlineLevel="0" collapsed="false">
      <c r="A17" s="28" t="str">
        <f aca="false">IF(Tasks[[#This Row],[Task Name]]="","",COUNTA(Tasks[[#Headers],[Task Name]]:Tasks[[#This Row],[Task Name]])-1)</f>
        <v/>
      </c>
      <c r="B17" s="29" t="n">
        <v>12</v>
      </c>
      <c r="C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29"/>
      <c r="E17" s="30"/>
      <c r="F17" s="29"/>
      <c r="G17" s="29"/>
      <c r="H17" s="29"/>
      <c r="I17" s="29"/>
      <c r="J17" s="29"/>
      <c r="K17" s="29"/>
      <c r="L17" s="29"/>
      <c r="M17" s="29"/>
      <c r="N17" s="53"/>
      <c r="O17" s="53"/>
      <c r="P17" s="25" t="str">
        <f aca="false">IF(Tasks[[#This Row],[Task Name]]="","",IF(N(Tasks[[#This Row],[Baseline Start]])&gt;0,Tasks[[#This Row],[Baseline Start]],Tasks[[#This Row],[_CalcStart]]))</f>
        <v/>
      </c>
      <c r="Q17" s="25" t="str">
        <f aca="false">IF(Tasks[[#This Row],[Task Name]]="","",IF(N(Tasks[[#This Row],[Baseline Finish]])&gt;0,Tasks[[#This Row],[Baseline Finish]],Tasks[[#This Row],[_CalcFinish]]))</f>
        <v/>
      </c>
      <c r="R17" s="53"/>
      <c r="S17" s="53"/>
      <c r="T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55"/>
      <c r="AF1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" s="30"/>
      <c r="AI17" s="55"/>
      <c r="AJ1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" s="64"/>
      <c r="AM1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" s="30"/>
      <c r="AP17" s="25" t="str">
        <f aca="false">IF(Tasks[[#This Row],[Task Name]]="","",Tasks[[#This Row],[Forecast Start]])</f>
        <v/>
      </c>
      <c r="AQ17" s="25" t="str">
        <f aca="false">IF(Tasks[[#This Row],[Task Name]]="","",Tasks[[#This Row],[Forecast Finish]])</f>
        <v/>
      </c>
      <c r="AR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" s="62" t="str">
        <f aca="false">IF(Tasks[[#This Row],[Task Name]]="","",Tasks[[#This Row],[Work]])</f>
        <v/>
      </c>
      <c r="AT17" s="63" t="str">
        <f aca="false">IF(Tasks[[#This Row],[Task Name]]="","",Tasks[[#This Row],[Cost]])</f>
        <v/>
      </c>
      <c r="AU17" s="53"/>
      <c r="AV17" s="53"/>
      <c r="AW17" s="29"/>
      <c r="AX17" s="65"/>
      <c r="AY17" s="64"/>
      <c r="AZ17" s="28" t="str">
        <f aca="false">IF(OR(Tasks[[#This Row],[Task Name]]="",Tasks[[#This Row],[Baseline Duration]]=""),"",Tasks[[#This Row],[BL Source Duration]]-N(Tasks[[#This Row],[Baseline Duration]]))</f>
        <v/>
      </c>
      <c r="BA17" s="62" t="str">
        <f aca="false">IF(OR(Tasks[[#This Row],[Task Name]]="",Tasks[[#This Row],[Baseline Work]]=""),"",Tasks[[#This Row],[Work]]-N(Tasks[[#This Row],[Baseline Work]]))</f>
        <v/>
      </c>
      <c r="BB17" s="63" t="str">
        <f aca="false">IF(OR(Tasks[[#This Row],[Task Name]]="",Tasks[[#This Row],[Baseline Cost]]=""),"",Tasks[[#This Row],[Cost]]-N(Tasks[[#This Row],[Baseline Cost]]))</f>
        <v/>
      </c>
      <c r="BC1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" s="43" t="str">
        <f aca="false">IF(Tasks[[#This Row],[Task Name]]="","",MAX(1,N(Tasks[[#This Row],[Level]])))</f>
        <v/>
      </c>
      <c r="BH17" s="43" t="n">
        <f aca="false">ROW()-ROW(Tasks[[#Headers],[ID]])</f>
        <v>12</v>
      </c>
      <c r="BI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" s="43" t="n">
        <f aca="false">IFERROR(N(INDEX(Tasks[_Level],Tasks[[#This Row],[_Row]]+1)),0)</f>
        <v>0</v>
      </c>
      <c r="BK17" s="66" t="b">
        <f aca="false">AND(Tasks[[#This Row],[Task Name]]&lt;&gt;"",Tasks[[#This Row],[_NextLevel]]&gt;Tasks[[#This Row],[_Level]])</f>
        <v>0</v>
      </c>
      <c r="BL17" s="43" t="n">
        <f aca="false">IF(Tasks[[#This Row],[_IsSummary]],COUNTIF(Tasks[WBS],Tasks[[#This Row],[WBS]]&amp;".*"),0)</f>
        <v>0</v>
      </c>
      <c r="BM17" s="43" t="n">
        <f aca="false">IF(AND(Tasks[[#This Row],[Task Name]]&lt;&gt;"",NOT(Tasks[[#This Row],[_IsSummary]])),1,0)</f>
        <v>0</v>
      </c>
      <c r="BN17" s="43" t="n">
        <f aca="false">IF(N(Tasks[[#This Row],[Pred1 UID]])=0,0,IFERROR(MATCH(Tasks[[#This Row],[Pred1 UID]],Tasks[UID],0),-1))</f>
        <v>0</v>
      </c>
      <c r="BO17" s="43" t="n">
        <f aca="false">IF(N(Tasks[[#This Row],[Pred2 UID]])=0,0,IFERROR(MATCH(Tasks[[#This Row],[Pred2 UID]],Tasks[UID],0),-1))</f>
        <v>0</v>
      </c>
      <c r="BP1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" s="43" t="n">
        <f aca="false">IF(NOT(Tasks[[#This Row],[_IsLeaf]]=1),0,IF(N(Tasks[[#This Row],[Actual Finish]])&gt;0,1,MIN(1,N(Tasks[[#This Row],[% Complete]]))))</f>
        <v>0</v>
      </c>
      <c r="BU1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" s="43" t="n">
        <f aca="false">IF(Tasks[[#This Row],[_LeafWork]]=0,0,Tasks[[#This Row],[_LeafWork]]*IFERROR(INDEX(res_Rate,MATCH(Tasks[[#This Row],[Resource]],res_Name,0)),0))</f>
        <v>0</v>
      </c>
      <c r="BW1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" s="43" t="n">
        <f aca="false">IF(NOT(Tasks[[#This Row],[_IsLeaf]]=1),0,MAX(_xlfn.MAXIFS(Tasks[_Row],Tasks[Pred1 UID],Tasks[[#This Row],[UID]]),_xlfn.MAXIFS(Tasks[_Row],Tasks[Pred2 UID],Tasks[[#This Row],[UID]])))</f>
        <v>0</v>
      </c>
      <c r="CB1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" s="67" t="str">
        <f aca="false">IF(NOT(Tasks[[#This Row],[_IsLeaf]]=1),"",MIN(ProjectFinish,IF(N(Tasks[[#This Row],[Deadline]])&gt;0,Tasks[[#This Row],[Deadline]],2958465),Tasks[[#This Row],[_SuccessorFinishLimit]]))</f>
        <v/>
      </c>
      <c r="CD1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" s="66" t="b">
        <f aca="false">AND(Tasks[[#This Row],[_IsLeaf]]=1,Tasks[[#This Row],[_LeafProgress]]&lt;1,N(Tasks[[#This Row],[_LeafTotalSlack]])&lt;=CriticalSlackDays)</f>
        <v>0</v>
      </c>
      <c r="CG1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" s="43" t="n">
        <f aca="false">IF(AND(Tasks[[#This Row],[_IsLeaf]]=1,Tasks[[#This Row],[_LeafWork]]&gt;0),NETWORKDAYS.INTL(ProjectStart,Tasks[[#This Row],[_LeafFcstStart]],WorkWeek,Holidays),0)</f>
        <v>0</v>
      </c>
      <c r="CP1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" s="43" t="n">
        <f aca="false">IF(AND(Tasks[[#This Row],[_IsLeaf]]=1,Tasks[[#This Row],[_LeafWork]]&gt;0),Tasks[[#This Row],[_LeafWork]]/(Tasks[[#This Row],[_FinishWorkday]]-Tasks[[#This Row],[_StartWorkday]]+1),0)</f>
        <v>0</v>
      </c>
      <c r="CR17" s="43" t="n">
        <f aca="false">Tasks[[#This Row],[_WorkPerWorkday]]*(Tasks[[#This Row],[_StartWorkday]]-1)</f>
        <v>-0</v>
      </c>
      <c r="CS17" s="43" t="n">
        <f aca="false">IF(Tasks[[#This Row],[_IsLeaf]]=1,MAX(N(Tasks[[#This Row],[Duration]]),0.1),0)</f>
        <v>0</v>
      </c>
      <c r="CT17" s="43" t="n">
        <f aca="false">Tasks[[#This Row],[_WeightDur]]*Tasks[[#This Row],[_LeafProgress]]</f>
        <v>0</v>
      </c>
      <c r="CU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" s="43" t="str">
        <f aca="false">IF(AND(Tasks[[#This Row],[_IsLeaf]]=1,N(Tasks[[#This Row],[Duration]])=0,Tasks[[#This Row],[_LeafProgress]]&lt;1),Tasks[[#This Row],[_LeafFcstFinish]]+Tasks[[#This Row],[_Row]]/100000,"")</f>
        <v/>
      </c>
      <c r="DA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" s="43" t="n">
        <f aca="false">IF(NOT(Tasks[[#This Row],[_IsLeaf]]=1),0,IF(Tasks[[#This Row],[Baseline Cost]]="",Tasks[[#This Row],[_LeafCost]],N(Tasks[[#This Row],[Baseline Cost]])))</f>
        <v>0</v>
      </c>
      <c r="DC17" s="43" t="n">
        <f aca="false">Tasks[[#This Row],[_LeafBudget]]*Tasks[[#This Row],[_PlannedPct]]</f>
        <v>0</v>
      </c>
      <c r="DD17" s="43" t="n">
        <f aca="false">Tasks[[#This Row],[_LeafBudget]]*Tasks[[#This Row],[_LeafProgress]]</f>
        <v>0</v>
      </c>
      <c r="DE17" s="43" t="n">
        <f aca="false">IF(NOT(Tasks[[#This Row],[_IsLeaf]]=1),0,IF(Tasks[[#This Row],[Actual Cost]]="",Tasks[[#This Row],[_LeafCost]]*Tasks[[#This Row],[_LeafProgress]],N(Tasks[[#This Row],[Actual Cost]])))</f>
        <v>0</v>
      </c>
      <c r="DF17" s="43" t="str">
        <f aca="false">IF(Tasks[[#This Row],[Task Name]]="","",LEFT(Tasks[[#This Row],[WBS]],FIND(".",Tasks[[#This Row],[WBS]]&amp;".")-1))</f>
        <v/>
      </c>
      <c r="DG17" s="43" t="str">
        <f aca="false">IF(AND(Tasks[[#This Row],[Task Name]]&lt;&gt;"",Tasks[[#This Row],[_Level]]=1),Tasks[[#This Row],[_Row]],"")</f>
        <v/>
      </c>
      <c r="DH17" s="43" t="str">
        <f aca="false">IF(AND(Tasks[[#This Row],[_IsLeaf]]=1,N(Tasks[[#This Row],[Duration]])=0),Tasks[[#This Row],[Planned Finish]]+Tasks[[#This Row],[_Row]]/100000,"")</f>
        <v/>
      </c>
      <c r="DI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" s="43" t="str">
        <f aca="false">IF(Tasks[[#This Row],[_LeafCritical]],Tasks[[#This Row],[_LeafFcstStart]]+Tasks[[#This Row],[_Row]]/100000,"")</f>
        <v/>
      </c>
    </row>
    <row r="18" customFormat="false" ht="15" hidden="false" customHeight="false" outlineLevel="0" collapsed="false">
      <c r="A18" s="28" t="str">
        <f aca="false">IF(Tasks[[#This Row],[Task Name]]="","",COUNTA(Tasks[[#Headers],[Task Name]]:Tasks[[#This Row],[Task Name]])-1)</f>
        <v/>
      </c>
      <c r="B18" s="29" t="n">
        <v>13</v>
      </c>
      <c r="C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29"/>
      <c r="E18" s="30"/>
      <c r="F18" s="29"/>
      <c r="G18" s="29"/>
      <c r="H18" s="29"/>
      <c r="I18" s="29"/>
      <c r="J18" s="29"/>
      <c r="K18" s="29"/>
      <c r="L18" s="29"/>
      <c r="M18" s="29"/>
      <c r="N18" s="53"/>
      <c r="O18" s="53"/>
      <c r="P18" s="25" t="str">
        <f aca="false">IF(Tasks[[#This Row],[Task Name]]="","",IF(N(Tasks[[#This Row],[Baseline Start]])&gt;0,Tasks[[#This Row],[Baseline Start]],Tasks[[#This Row],[_CalcStart]]))</f>
        <v/>
      </c>
      <c r="Q18" s="25" t="str">
        <f aca="false">IF(Tasks[[#This Row],[Task Name]]="","",IF(N(Tasks[[#This Row],[Baseline Finish]])&gt;0,Tasks[[#This Row],[Baseline Finish]],Tasks[[#This Row],[_CalcFinish]]))</f>
        <v/>
      </c>
      <c r="R18" s="53"/>
      <c r="S18" s="53"/>
      <c r="T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55"/>
      <c r="AF1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" s="30"/>
      <c r="AI18" s="55"/>
      <c r="AJ1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" s="64"/>
      <c r="AM1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" s="30"/>
      <c r="AP18" s="25" t="str">
        <f aca="false">IF(Tasks[[#This Row],[Task Name]]="","",Tasks[[#This Row],[Forecast Start]])</f>
        <v/>
      </c>
      <c r="AQ18" s="25" t="str">
        <f aca="false">IF(Tasks[[#This Row],[Task Name]]="","",Tasks[[#This Row],[Forecast Finish]])</f>
        <v/>
      </c>
      <c r="AR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" s="62" t="str">
        <f aca="false">IF(Tasks[[#This Row],[Task Name]]="","",Tasks[[#This Row],[Work]])</f>
        <v/>
      </c>
      <c r="AT18" s="63" t="str">
        <f aca="false">IF(Tasks[[#This Row],[Task Name]]="","",Tasks[[#This Row],[Cost]])</f>
        <v/>
      </c>
      <c r="AU18" s="53"/>
      <c r="AV18" s="53"/>
      <c r="AW18" s="29"/>
      <c r="AX18" s="65"/>
      <c r="AY18" s="64"/>
      <c r="AZ18" s="28" t="str">
        <f aca="false">IF(OR(Tasks[[#This Row],[Task Name]]="",Tasks[[#This Row],[Baseline Duration]]=""),"",Tasks[[#This Row],[BL Source Duration]]-N(Tasks[[#This Row],[Baseline Duration]]))</f>
        <v/>
      </c>
      <c r="BA18" s="62" t="str">
        <f aca="false">IF(OR(Tasks[[#This Row],[Task Name]]="",Tasks[[#This Row],[Baseline Work]]=""),"",Tasks[[#This Row],[Work]]-N(Tasks[[#This Row],[Baseline Work]]))</f>
        <v/>
      </c>
      <c r="BB18" s="63" t="str">
        <f aca="false">IF(OR(Tasks[[#This Row],[Task Name]]="",Tasks[[#This Row],[Baseline Cost]]=""),"",Tasks[[#This Row],[Cost]]-N(Tasks[[#This Row],[Baseline Cost]]))</f>
        <v/>
      </c>
      <c r="BC1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" s="43" t="str">
        <f aca="false">IF(Tasks[[#This Row],[Task Name]]="","",MAX(1,N(Tasks[[#This Row],[Level]])))</f>
        <v/>
      </c>
      <c r="BH18" s="43" t="n">
        <f aca="false">ROW()-ROW(Tasks[[#Headers],[ID]])</f>
        <v>13</v>
      </c>
      <c r="BI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" s="43" t="n">
        <f aca="false">IFERROR(N(INDEX(Tasks[_Level],Tasks[[#This Row],[_Row]]+1)),0)</f>
        <v>0</v>
      </c>
      <c r="BK18" s="66" t="b">
        <f aca="false">AND(Tasks[[#This Row],[Task Name]]&lt;&gt;"",Tasks[[#This Row],[_NextLevel]]&gt;Tasks[[#This Row],[_Level]])</f>
        <v>0</v>
      </c>
      <c r="BL18" s="43" t="n">
        <f aca="false">IF(Tasks[[#This Row],[_IsSummary]],COUNTIF(Tasks[WBS],Tasks[[#This Row],[WBS]]&amp;".*"),0)</f>
        <v>0</v>
      </c>
      <c r="BM18" s="43" t="n">
        <f aca="false">IF(AND(Tasks[[#This Row],[Task Name]]&lt;&gt;"",NOT(Tasks[[#This Row],[_IsSummary]])),1,0)</f>
        <v>0</v>
      </c>
      <c r="BN18" s="43" t="n">
        <f aca="false">IF(N(Tasks[[#This Row],[Pred1 UID]])=0,0,IFERROR(MATCH(Tasks[[#This Row],[Pred1 UID]],Tasks[UID],0),-1))</f>
        <v>0</v>
      </c>
      <c r="BO18" s="43" t="n">
        <f aca="false">IF(N(Tasks[[#This Row],[Pred2 UID]])=0,0,IFERROR(MATCH(Tasks[[#This Row],[Pred2 UID]],Tasks[UID],0),-1))</f>
        <v>0</v>
      </c>
      <c r="BP1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" s="43" t="n">
        <f aca="false">IF(NOT(Tasks[[#This Row],[_IsLeaf]]=1),0,IF(N(Tasks[[#This Row],[Actual Finish]])&gt;0,1,MIN(1,N(Tasks[[#This Row],[% Complete]]))))</f>
        <v>0</v>
      </c>
      <c r="BU1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" s="43" t="n">
        <f aca="false">IF(Tasks[[#This Row],[_LeafWork]]=0,0,Tasks[[#This Row],[_LeafWork]]*IFERROR(INDEX(res_Rate,MATCH(Tasks[[#This Row],[Resource]],res_Name,0)),0))</f>
        <v>0</v>
      </c>
      <c r="BW1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" s="43" t="n">
        <f aca="false">IF(NOT(Tasks[[#This Row],[_IsLeaf]]=1),0,MAX(_xlfn.MAXIFS(Tasks[_Row],Tasks[Pred1 UID],Tasks[[#This Row],[UID]]),_xlfn.MAXIFS(Tasks[_Row],Tasks[Pred2 UID],Tasks[[#This Row],[UID]])))</f>
        <v>0</v>
      </c>
      <c r="CB1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" s="67" t="str">
        <f aca="false">IF(NOT(Tasks[[#This Row],[_IsLeaf]]=1),"",MIN(ProjectFinish,IF(N(Tasks[[#This Row],[Deadline]])&gt;0,Tasks[[#This Row],[Deadline]],2958465),Tasks[[#This Row],[_SuccessorFinishLimit]]))</f>
        <v/>
      </c>
      <c r="CD1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" s="66" t="b">
        <f aca="false">AND(Tasks[[#This Row],[_IsLeaf]]=1,Tasks[[#This Row],[_LeafProgress]]&lt;1,N(Tasks[[#This Row],[_LeafTotalSlack]])&lt;=CriticalSlackDays)</f>
        <v>0</v>
      </c>
      <c r="CG1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" s="43" t="n">
        <f aca="false">IF(AND(Tasks[[#This Row],[_IsLeaf]]=1,Tasks[[#This Row],[_LeafWork]]&gt;0),NETWORKDAYS.INTL(ProjectStart,Tasks[[#This Row],[_LeafFcstStart]],WorkWeek,Holidays),0)</f>
        <v>0</v>
      </c>
      <c r="CP1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" s="43" t="n">
        <f aca="false">IF(AND(Tasks[[#This Row],[_IsLeaf]]=1,Tasks[[#This Row],[_LeafWork]]&gt;0),Tasks[[#This Row],[_LeafWork]]/(Tasks[[#This Row],[_FinishWorkday]]-Tasks[[#This Row],[_StartWorkday]]+1),0)</f>
        <v>0</v>
      </c>
      <c r="CR18" s="43" t="n">
        <f aca="false">Tasks[[#This Row],[_WorkPerWorkday]]*(Tasks[[#This Row],[_StartWorkday]]-1)</f>
        <v>-0</v>
      </c>
      <c r="CS18" s="43" t="n">
        <f aca="false">IF(Tasks[[#This Row],[_IsLeaf]]=1,MAX(N(Tasks[[#This Row],[Duration]]),0.1),0)</f>
        <v>0</v>
      </c>
      <c r="CT18" s="43" t="n">
        <f aca="false">Tasks[[#This Row],[_WeightDur]]*Tasks[[#This Row],[_LeafProgress]]</f>
        <v>0</v>
      </c>
      <c r="CU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" s="43" t="str">
        <f aca="false">IF(AND(Tasks[[#This Row],[_IsLeaf]]=1,N(Tasks[[#This Row],[Duration]])=0,Tasks[[#This Row],[_LeafProgress]]&lt;1),Tasks[[#This Row],[_LeafFcstFinish]]+Tasks[[#This Row],[_Row]]/100000,"")</f>
        <v/>
      </c>
      <c r="DA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" s="43" t="n">
        <f aca="false">IF(NOT(Tasks[[#This Row],[_IsLeaf]]=1),0,IF(Tasks[[#This Row],[Baseline Cost]]="",Tasks[[#This Row],[_LeafCost]],N(Tasks[[#This Row],[Baseline Cost]])))</f>
        <v>0</v>
      </c>
      <c r="DC18" s="43" t="n">
        <f aca="false">Tasks[[#This Row],[_LeafBudget]]*Tasks[[#This Row],[_PlannedPct]]</f>
        <v>0</v>
      </c>
      <c r="DD18" s="43" t="n">
        <f aca="false">Tasks[[#This Row],[_LeafBudget]]*Tasks[[#This Row],[_LeafProgress]]</f>
        <v>0</v>
      </c>
      <c r="DE18" s="43" t="n">
        <f aca="false">IF(NOT(Tasks[[#This Row],[_IsLeaf]]=1),0,IF(Tasks[[#This Row],[Actual Cost]]="",Tasks[[#This Row],[_LeafCost]]*Tasks[[#This Row],[_LeafProgress]],N(Tasks[[#This Row],[Actual Cost]])))</f>
        <v>0</v>
      </c>
      <c r="DF18" s="43" t="str">
        <f aca="false">IF(Tasks[[#This Row],[Task Name]]="","",LEFT(Tasks[[#This Row],[WBS]],FIND(".",Tasks[[#This Row],[WBS]]&amp;".")-1))</f>
        <v/>
      </c>
      <c r="DG18" s="43" t="str">
        <f aca="false">IF(AND(Tasks[[#This Row],[Task Name]]&lt;&gt;"",Tasks[[#This Row],[_Level]]=1),Tasks[[#This Row],[_Row]],"")</f>
        <v/>
      </c>
      <c r="DH18" s="43" t="str">
        <f aca="false">IF(AND(Tasks[[#This Row],[_IsLeaf]]=1,N(Tasks[[#This Row],[Duration]])=0),Tasks[[#This Row],[Planned Finish]]+Tasks[[#This Row],[_Row]]/100000,"")</f>
        <v/>
      </c>
      <c r="DI1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" s="43" t="str">
        <f aca="false">IF(Tasks[[#This Row],[_LeafCritical]],Tasks[[#This Row],[_LeafFcstStart]]+Tasks[[#This Row],[_Row]]/100000,"")</f>
        <v/>
      </c>
    </row>
    <row r="19" customFormat="false" ht="15" hidden="false" customHeight="false" outlineLevel="0" collapsed="false">
      <c r="A19" s="28" t="str">
        <f aca="false">IF(Tasks[[#This Row],[Task Name]]="","",COUNTA(Tasks[[#Headers],[Task Name]]:Tasks[[#This Row],[Task Name]])-1)</f>
        <v/>
      </c>
      <c r="B19" s="29" t="n">
        <v>14</v>
      </c>
      <c r="C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29"/>
      <c r="E19" s="30"/>
      <c r="F19" s="29"/>
      <c r="G19" s="29"/>
      <c r="H19" s="29"/>
      <c r="I19" s="29"/>
      <c r="J19" s="29"/>
      <c r="K19" s="29"/>
      <c r="L19" s="29"/>
      <c r="M19" s="29"/>
      <c r="N19" s="53"/>
      <c r="O19" s="53"/>
      <c r="P19" s="25" t="str">
        <f aca="false">IF(Tasks[[#This Row],[Task Name]]="","",IF(N(Tasks[[#This Row],[Baseline Start]])&gt;0,Tasks[[#This Row],[Baseline Start]],Tasks[[#This Row],[_CalcStart]]))</f>
        <v/>
      </c>
      <c r="Q19" s="25" t="str">
        <f aca="false">IF(Tasks[[#This Row],[Task Name]]="","",IF(N(Tasks[[#This Row],[Baseline Finish]])&gt;0,Tasks[[#This Row],[Baseline Finish]],Tasks[[#This Row],[_CalcFinish]]))</f>
        <v/>
      </c>
      <c r="R19" s="53"/>
      <c r="S19" s="53"/>
      <c r="T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55"/>
      <c r="AF1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" s="30"/>
      <c r="AI19" s="55"/>
      <c r="AJ1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" s="64"/>
      <c r="AM1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" s="30"/>
      <c r="AP19" s="25" t="str">
        <f aca="false">IF(Tasks[[#This Row],[Task Name]]="","",Tasks[[#This Row],[Forecast Start]])</f>
        <v/>
      </c>
      <c r="AQ19" s="25" t="str">
        <f aca="false">IF(Tasks[[#This Row],[Task Name]]="","",Tasks[[#This Row],[Forecast Finish]])</f>
        <v/>
      </c>
      <c r="AR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" s="62" t="str">
        <f aca="false">IF(Tasks[[#This Row],[Task Name]]="","",Tasks[[#This Row],[Work]])</f>
        <v/>
      </c>
      <c r="AT19" s="63" t="str">
        <f aca="false">IF(Tasks[[#This Row],[Task Name]]="","",Tasks[[#This Row],[Cost]])</f>
        <v/>
      </c>
      <c r="AU19" s="53"/>
      <c r="AV19" s="53"/>
      <c r="AW19" s="29"/>
      <c r="AX19" s="65"/>
      <c r="AY19" s="64"/>
      <c r="AZ19" s="28" t="str">
        <f aca="false">IF(OR(Tasks[[#This Row],[Task Name]]="",Tasks[[#This Row],[Baseline Duration]]=""),"",Tasks[[#This Row],[BL Source Duration]]-N(Tasks[[#This Row],[Baseline Duration]]))</f>
        <v/>
      </c>
      <c r="BA19" s="62" t="str">
        <f aca="false">IF(OR(Tasks[[#This Row],[Task Name]]="",Tasks[[#This Row],[Baseline Work]]=""),"",Tasks[[#This Row],[Work]]-N(Tasks[[#This Row],[Baseline Work]]))</f>
        <v/>
      </c>
      <c r="BB19" s="63" t="str">
        <f aca="false">IF(OR(Tasks[[#This Row],[Task Name]]="",Tasks[[#This Row],[Baseline Cost]]=""),"",Tasks[[#This Row],[Cost]]-N(Tasks[[#This Row],[Baseline Cost]]))</f>
        <v/>
      </c>
      <c r="BC1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" s="43" t="str">
        <f aca="false">IF(Tasks[[#This Row],[Task Name]]="","",MAX(1,N(Tasks[[#This Row],[Level]])))</f>
        <v/>
      </c>
      <c r="BH19" s="43" t="n">
        <f aca="false">ROW()-ROW(Tasks[[#Headers],[ID]])</f>
        <v>14</v>
      </c>
      <c r="BI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" s="43" t="n">
        <f aca="false">IFERROR(N(INDEX(Tasks[_Level],Tasks[[#This Row],[_Row]]+1)),0)</f>
        <v>0</v>
      </c>
      <c r="BK19" s="66" t="b">
        <f aca="false">AND(Tasks[[#This Row],[Task Name]]&lt;&gt;"",Tasks[[#This Row],[_NextLevel]]&gt;Tasks[[#This Row],[_Level]])</f>
        <v>0</v>
      </c>
      <c r="BL19" s="43" t="n">
        <f aca="false">IF(Tasks[[#This Row],[_IsSummary]],COUNTIF(Tasks[WBS],Tasks[[#This Row],[WBS]]&amp;".*"),0)</f>
        <v>0</v>
      </c>
      <c r="BM19" s="43" t="n">
        <f aca="false">IF(AND(Tasks[[#This Row],[Task Name]]&lt;&gt;"",NOT(Tasks[[#This Row],[_IsSummary]])),1,0)</f>
        <v>0</v>
      </c>
      <c r="BN19" s="43" t="n">
        <f aca="false">IF(N(Tasks[[#This Row],[Pred1 UID]])=0,0,IFERROR(MATCH(Tasks[[#This Row],[Pred1 UID]],Tasks[UID],0),-1))</f>
        <v>0</v>
      </c>
      <c r="BO19" s="43" t="n">
        <f aca="false">IF(N(Tasks[[#This Row],[Pred2 UID]])=0,0,IFERROR(MATCH(Tasks[[#This Row],[Pred2 UID]],Tasks[UID],0),-1))</f>
        <v>0</v>
      </c>
      <c r="BP1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" s="43" t="n">
        <f aca="false">IF(NOT(Tasks[[#This Row],[_IsLeaf]]=1),0,IF(N(Tasks[[#This Row],[Actual Finish]])&gt;0,1,MIN(1,N(Tasks[[#This Row],[% Complete]]))))</f>
        <v>0</v>
      </c>
      <c r="BU1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" s="43" t="n">
        <f aca="false">IF(Tasks[[#This Row],[_LeafWork]]=0,0,Tasks[[#This Row],[_LeafWork]]*IFERROR(INDEX(res_Rate,MATCH(Tasks[[#This Row],[Resource]],res_Name,0)),0))</f>
        <v>0</v>
      </c>
      <c r="BW1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" s="43" t="n">
        <f aca="false">IF(NOT(Tasks[[#This Row],[_IsLeaf]]=1),0,MAX(_xlfn.MAXIFS(Tasks[_Row],Tasks[Pred1 UID],Tasks[[#This Row],[UID]]),_xlfn.MAXIFS(Tasks[_Row],Tasks[Pred2 UID],Tasks[[#This Row],[UID]])))</f>
        <v>0</v>
      </c>
      <c r="CB1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" s="67" t="str">
        <f aca="false">IF(NOT(Tasks[[#This Row],[_IsLeaf]]=1),"",MIN(ProjectFinish,IF(N(Tasks[[#This Row],[Deadline]])&gt;0,Tasks[[#This Row],[Deadline]],2958465),Tasks[[#This Row],[_SuccessorFinishLimit]]))</f>
        <v/>
      </c>
      <c r="CD1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" s="66" t="b">
        <f aca="false">AND(Tasks[[#This Row],[_IsLeaf]]=1,Tasks[[#This Row],[_LeafProgress]]&lt;1,N(Tasks[[#This Row],[_LeafTotalSlack]])&lt;=CriticalSlackDays)</f>
        <v>0</v>
      </c>
      <c r="CG1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" s="43" t="n">
        <f aca="false">IF(AND(Tasks[[#This Row],[_IsLeaf]]=1,Tasks[[#This Row],[_LeafWork]]&gt;0),NETWORKDAYS.INTL(ProjectStart,Tasks[[#This Row],[_LeafFcstStart]],WorkWeek,Holidays),0)</f>
        <v>0</v>
      </c>
      <c r="CP1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" s="43" t="n">
        <f aca="false">IF(AND(Tasks[[#This Row],[_IsLeaf]]=1,Tasks[[#This Row],[_LeafWork]]&gt;0),Tasks[[#This Row],[_LeafWork]]/(Tasks[[#This Row],[_FinishWorkday]]-Tasks[[#This Row],[_StartWorkday]]+1),0)</f>
        <v>0</v>
      </c>
      <c r="CR19" s="43" t="n">
        <f aca="false">Tasks[[#This Row],[_WorkPerWorkday]]*(Tasks[[#This Row],[_StartWorkday]]-1)</f>
        <v>-0</v>
      </c>
      <c r="CS19" s="43" t="n">
        <f aca="false">IF(Tasks[[#This Row],[_IsLeaf]]=1,MAX(N(Tasks[[#This Row],[Duration]]),0.1),0)</f>
        <v>0</v>
      </c>
      <c r="CT19" s="43" t="n">
        <f aca="false">Tasks[[#This Row],[_WeightDur]]*Tasks[[#This Row],[_LeafProgress]]</f>
        <v>0</v>
      </c>
      <c r="CU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" s="43" t="str">
        <f aca="false">IF(AND(Tasks[[#This Row],[_IsLeaf]]=1,N(Tasks[[#This Row],[Duration]])=0,Tasks[[#This Row],[_LeafProgress]]&lt;1),Tasks[[#This Row],[_LeafFcstFinish]]+Tasks[[#This Row],[_Row]]/100000,"")</f>
        <v/>
      </c>
      <c r="DA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" s="43" t="n">
        <f aca="false">IF(NOT(Tasks[[#This Row],[_IsLeaf]]=1),0,IF(Tasks[[#This Row],[Baseline Cost]]="",Tasks[[#This Row],[_LeafCost]],N(Tasks[[#This Row],[Baseline Cost]])))</f>
        <v>0</v>
      </c>
      <c r="DC19" s="43" t="n">
        <f aca="false">Tasks[[#This Row],[_LeafBudget]]*Tasks[[#This Row],[_PlannedPct]]</f>
        <v>0</v>
      </c>
      <c r="DD19" s="43" t="n">
        <f aca="false">Tasks[[#This Row],[_LeafBudget]]*Tasks[[#This Row],[_LeafProgress]]</f>
        <v>0</v>
      </c>
      <c r="DE19" s="43" t="n">
        <f aca="false">IF(NOT(Tasks[[#This Row],[_IsLeaf]]=1),0,IF(Tasks[[#This Row],[Actual Cost]]="",Tasks[[#This Row],[_LeafCost]]*Tasks[[#This Row],[_LeafProgress]],N(Tasks[[#This Row],[Actual Cost]])))</f>
        <v>0</v>
      </c>
      <c r="DF19" s="43" t="str">
        <f aca="false">IF(Tasks[[#This Row],[Task Name]]="","",LEFT(Tasks[[#This Row],[WBS]],FIND(".",Tasks[[#This Row],[WBS]]&amp;".")-1))</f>
        <v/>
      </c>
      <c r="DG19" s="43" t="str">
        <f aca="false">IF(AND(Tasks[[#This Row],[Task Name]]&lt;&gt;"",Tasks[[#This Row],[_Level]]=1),Tasks[[#This Row],[_Row]],"")</f>
        <v/>
      </c>
      <c r="DH19" s="43" t="str">
        <f aca="false">IF(AND(Tasks[[#This Row],[_IsLeaf]]=1,N(Tasks[[#This Row],[Duration]])=0),Tasks[[#This Row],[Planned Finish]]+Tasks[[#This Row],[_Row]]/100000,"")</f>
        <v/>
      </c>
      <c r="DI1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" s="43" t="str">
        <f aca="false">IF(Tasks[[#This Row],[_LeafCritical]],Tasks[[#This Row],[_LeafFcstStart]]+Tasks[[#This Row],[_Row]]/100000,"")</f>
        <v/>
      </c>
    </row>
    <row r="20" customFormat="false" ht="15" hidden="false" customHeight="false" outlineLevel="0" collapsed="false">
      <c r="A20" s="28" t="str">
        <f aca="false">IF(Tasks[[#This Row],[Task Name]]="","",COUNTA(Tasks[[#Headers],[Task Name]]:Tasks[[#This Row],[Task Name]])-1)</f>
        <v/>
      </c>
      <c r="B20" s="29" t="n">
        <v>15</v>
      </c>
      <c r="C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29"/>
      <c r="E20" s="30"/>
      <c r="F20" s="29"/>
      <c r="G20" s="29"/>
      <c r="H20" s="29"/>
      <c r="I20" s="29"/>
      <c r="J20" s="29"/>
      <c r="K20" s="29"/>
      <c r="L20" s="29"/>
      <c r="M20" s="29"/>
      <c r="N20" s="53"/>
      <c r="O20" s="53"/>
      <c r="P20" s="25" t="str">
        <f aca="false">IF(Tasks[[#This Row],[Task Name]]="","",IF(N(Tasks[[#This Row],[Baseline Start]])&gt;0,Tasks[[#This Row],[Baseline Start]],Tasks[[#This Row],[_CalcStart]]))</f>
        <v/>
      </c>
      <c r="Q20" s="25" t="str">
        <f aca="false">IF(Tasks[[#This Row],[Task Name]]="","",IF(N(Tasks[[#This Row],[Baseline Finish]])&gt;0,Tasks[[#This Row],[Baseline Finish]],Tasks[[#This Row],[_CalcFinish]]))</f>
        <v/>
      </c>
      <c r="R20" s="53"/>
      <c r="S20" s="53"/>
      <c r="T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55"/>
      <c r="AF2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" s="30"/>
      <c r="AI20" s="55"/>
      <c r="AJ2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" s="64"/>
      <c r="AM2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" s="30"/>
      <c r="AP20" s="25" t="str">
        <f aca="false">IF(Tasks[[#This Row],[Task Name]]="","",Tasks[[#This Row],[Forecast Start]])</f>
        <v/>
      </c>
      <c r="AQ20" s="25" t="str">
        <f aca="false">IF(Tasks[[#This Row],[Task Name]]="","",Tasks[[#This Row],[Forecast Finish]])</f>
        <v/>
      </c>
      <c r="AR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" s="62" t="str">
        <f aca="false">IF(Tasks[[#This Row],[Task Name]]="","",Tasks[[#This Row],[Work]])</f>
        <v/>
      </c>
      <c r="AT20" s="63" t="str">
        <f aca="false">IF(Tasks[[#This Row],[Task Name]]="","",Tasks[[#This Row],[Cost]])</f>
        <v/>
      </c>
      <c r="AU20" s="53"/>
      <c r="AV20" s="53"/>
      <c r="AW20" s="29"/>
      <c r="AX20" s="65"/>
      <c r="AY20" s="64"/>
      <c r="AZ20" s="28" t="str">
        <f aca="false">IF(OR(Tasks[[#This Row],[Task Name]]="",Tasks[[#This Row],[Baseline Duration]]=""),"",Tasks[[#This Row],[BL Source Duration]]-N(Tasks[[#This Row],[Baseline Duration]]))</f>
        <v/>
      </c>
      <c r="BA20" s="62" t="str">
        <f aca="false">IF(OR(Tasks[[#This Row],[Task Name]]="",Tasks[[#This Row],[Baseline Work]]=""),"",Tasks[[#This Row],[Work]]-N(Tasks[[#This Row],[Baseline Work]]))</f>
        <v/>
      </c>
      <c r="BB20" s="63" t="str">
        <f aca="false">IF(OR(Tasks[[#This Row],[Task Name]]="",Tasks[[#This Row],[Baseline Cost]]=""),"",Tasks[[#This Row],[Cost]]-N(Tasks[[#This Row],[Baseline Cost]]))</f>
        <v/>
      </c>
      <c r="BC2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" s="43" t="str">
        <f aca="false">IF(Tasks[[#This Row],[Task Name]]="","",MAX(1,N(Tasks[[#This Row],[Level]])))</f>
        <v/>
      </c>
      <c r="BH20" s="43" t="n">
        <f aca="false">ROW()-ROW(Tasks[[#Headers],[ID]])</f>
        <v>15</v>
      </c>
      <c r="BI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" s="43" t="n">
        <f aca="false">IFERROR(N(INDEX(Tasks[_Level],Tasks[[#This Row],[_Row]]+1)),0)</f>
        <v>0</v>
      </c>
      <c r="BK20" s="66" t="b">
        <f aca="false">AND(Tasks[[#This Row],[Task Name]]&lt;&gt;"",Tasks[[#This Row],[_NextLevel]]&gt;Tasks[[#This Row],[_Level]])</f>
        <v>0</v>
      </c>
      <c r="BL20" s="43" t="n">
        <f aca="false">IF(Tasks[[#This Row],[_IsSummary]],COUNTIF(Tasks[WBS],Tasks[[#This Row],[WBS]]&amp;".*"),0)</f>
        <v>0</v>
      </c>
      <c r="BM20" s="43" t="n">
        <f aca="false">IF(AND(Tasks[[#This Row],[Task Name]]&lt;&gt;"",NOT(Tasks[[#This Row],[_IsSummary]])),1,0)</f>
        <v>0</v>
      </c>
      <c r="BN20" s="43" t="n">
        <f aca="false">IF(N(Tasks[[#This Row],[Pred1 UID]])=0,0,IFERROR(MATCH(Tasks[[#This Row],[Pred1 UID]],Tasks[UID],0),-1))</f>
        <v>0</v>
      </c>
      <c r="BO20" s="43" t="n">
        <f aca="false">IF(N(Tasks[[#This Row],[Pred2 UID]])=0,0,IFERROR(MATCH(Tasks[[#This Row],[Pred2 UID]],Tasks[UID],0),-1))</f>
        <v>0</v>
      </c>
      <c r="BP2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" s="43" t="n">
        <f aca="false">IF(NOT(Tasks[[#This Row],[_IsLeaf]]=1),0,IF(N(Tasks[[#This Row],[Actual Finish]])&gt;0,1,MIN(1,N(Tasks[[#This Row],[% Complete]]))))</f>
        <v>0</v>
      </c>
      <c r="BU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" s="43" t="n">
        <f aca="false">IF(Tasks[[#This Row],[_LeafWork]]=0,0,Tasks[[#This Row],[_LeafWork]]*IFERROR(INDEX(res_Rate,MATCH(Tasks[[#This Row],[Resource]],res_Name,0)),0))</f>
        <v>0</v>
      </c>
      <c r="BW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" s="43" t="n">
        <f aca="false">IF(NOT(Tasks[[#This Row],[_IsLeaf]]=1),0,MAX(_xlfn.MAXIFS(Tasks[_Row],Tasks[Pred1 UID],Tasks[[#This Row],[UID]]),_xlfn.MAXIFS(Tasks[_Row],Tasks[Pred2 UID],Tasks[[#This Row],[UID]])))</f>
        <v>0</v>
      </c>
      <c r="CB2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" s="67" t="str">
        <f aca="false">IF(NOT(Tasks[[#This Row],[_IsLeaf]]=1),"",MIN(ProjectFinish,IF(N(Tasks[[#This Row],[Deadline]])&gt;0,Tasks[[#This Row],[Deadline]],2958465),Tasks[[#This Row],[_SuccessorFinishLimit]]))</f>
        <v/>
      </c>
      <c r="CD2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" s="66" t="b">
        <f aca="false">AND(Tasks[[#This Row],[_IsLeaf]]=1,Tasks[[#This Row],[_LeafProgress]]&lt;1,N(Tasks[[#This Row],[_LeafTotalSlack]])&lt;=CriticalSlackDays)</f>
        <v>0</v>
      </c>
      <c r="CG2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" s="43" t="n">
        <f aca="false">IF(AND(Tasks[[#This Row],[_IsLeaf]]=1,Tasks[[#This Row],[_LeafWork]]&gt;0),NETWORKDAYS.INTL(ProjectStart,Tasks[[#This Row],[_LeafFcstStart]],WorkWeek,Holidays),0)</f>
        <v>0</v>
      </c>
      <c r="CP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" s="43" t="n">
        <f aca="false">IF(AND(Tasks[[#This Row],[_IsLeaf]]=1,Tasks[[#This Row],[_LeafWork]]&gt;0),Tasks[[#This Row],[_LeafWork]]/(Tasks[[#This Row],[_FinishWorkday]]-Tasks[[#This Row],[_StartWorkday]]+1),0)</f>
        <v>0</v>
      </c>
      <c r="CR20" s="43" t="n">
        <f aca="false">Tasks[[#This Row],[_WorkPerWorkday]]*(Tasks[[#This Row],[_StartWorkday]]-1)</f>
        <v>-0</v>
      </c>
      <c r="CS20" s="43" t="n">
        <f aca="false">IF(Tasks[[#This Row],[_IsLeaf]]=1,MAX(N(Tasks[[#This Row],[Duration]]),0.1),0)</f>
        <v>0</v>
      </c>
      <c r="CT20" s="43" t="n">
        <f aca="false">Tasks[[#This Row],[_WeightDur]]*Tasks[[#This Row],[_LeafProgress]]</f>
        <v>0</v>
      </c>
      <c r="CU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" s="43" t="str">
        <f aca="false">IF(AND(Tasks[[#This Row],[_IsLeaf]]=1,N(Tasks[[#This Row],[Duration]])=0,Tasks[[#This Row],[_LeafProgress]]&lt;1),Tasks[[#This Row],[_LeafFcstFinish]]+Tasks[[#This Row],[_Row]]/100000,"")</f>
        <v/>
      </c>
      <c r="DA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" s="43" t="n">
        <f aca="false">IF(NOT(Tasks[[#This Row],[_IsLeaf]]=1),0,IF(Tasks[[#This Row],[Baseline Cost]]="",Tasks[[#This Row],[_LeafCost]],N(Tasks[[#This Row],[Baseline Cost]])))</f>
        <v>0</v>
      </c>
      <c r="DC20" s="43" t="n">
        <f aca="false">Tasks[[#This Row],[_LeafBudget]]*Tasks[[#This Row],[_PlannedPct]]</f>
        <v>0</v>
      </c>
      <c r="DD20" s="43" t="n">
        <f aca="false">Tasks[[#This Row],[_LeafBudget]]*Tasks[[#This Row],[_LeafProgress]]</f>
        <v>0</v>
      </c>
      <c r="DE20" s="43" t="n">
        <f aca="false">IF(NOT(Tasks[[#This Row],[_IsLeaf]]=1),0,IF(Tasks[[#This Row],[Actual Cost]]="",Tasks[[#This Row],[_LeafCost]]*Tasks[[#This Row],[_LeafProgress]],N(Tasks[[#This Row],[Actual Cost]])))</f>
        <v>0</v>
      </c>
      <c r="DF20" s="43" t="str">
        <f aca="false">IF(Tasks[[#This Row],[Task Name]]="","",LEFT(Tasks[[#This Row],[WBS]],FIND(".",Tasks[[#This Row],[WBS]]&amp;".")-1))</f>
        <v/>
      </c>
      <c r="DG20" s="43" t="str">
        <f aca="false">IF(AND(Tasks[[#This Row],[Task Name]]&lt;&gt;"",Tasks[[#This Row],[_Level]]=1),Tasks[[#This Row],[_Row]],"")</f>
        <v/>
      </c>
      <c r="DH20" s="43" t="str">
        <f aca="false">IF(AND(Tasks[[#This Row],[_IsLeaf]]=1,N(Tasks[[#This Row],[Duration]])=0),Tasks[[#This Row],[Planned Finish]]+Tasks[[#This Row],[_Row]]/100000,"")</f>
        <v/>
      </c>
      <c r="DI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" s="43" t="str">
        <f aca="false">IF(Tasks[[#This Row],[_LeafCritical]],Tasks[[#This Row],[_LeafFcstStart]]+Tasks[[#This Row],[_Row]]/100000,"")</f>
        <v/>
      </c>
    </row>
    <row r="21" customFormat="false" ht="15" hidden="false" customHeight="false" outlineLevel="0" collapsed="false">
      <c r="A21" s="28" t="str">
        <f aca="false">IF(Tasks[[#This Row],[Task Name]]="","",COUNTA(Tasks[[#Headers],[Task Name]]:Tasks[[#This Row],[Task Name]])-1)</f>
        <v/>
      </c>
      <c r="B21" s="29" t="n">
        <v>16</v>
      </c>
      <c r="C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29"/>
      <c r="E21" s="30"/>
      <c r="F21" s="29"/>
      <c r="G21" s="29"/>
      <c r="H21" s="29"/>
      <c r="I21" s="29"/>
      <c r="J21" s="29"/>
      <c r="K21" s="29"/>
      <c r="L21" s="29"/>
      <c r="M21" s="29"/>
      <c r="N21" s="53"/>
      <c r="O21" s="53"/>
      <c r="P21" s="25" t="str">
        <f aca="false">IF(Tasks[[#This Row],[Task Name]]="","",IF(N(Tasks[[#This Row],[Baseline Start]])&gt;0,Tasks[[#This Row],[Baseline Start]],Tasks[[#This Row],[_CalcStart]]))</f>
        <v/>
      </c>
      <c r="Q21" s="25" t="str">
        <f aca="false">IF(Tasks[[#This Row],[Task Name]]="","",IF(N(Tasks[[#This Row],[Baseline Finish]])&gt;0,Tasks[[#This Row],[Baseline Finish]],Tasks[[#This Row],[_CalcFinish]]))</f>
        <v/>
      </c>
      <c r="R21" s="53"/>
      <c r="S21" s="53"/>
      <c r="T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55"/>
      <c r="AF2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1" s="30"/>
      <c r="AI21" s="55"/>
      <c r="AJ2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1" s="64"/>
      <c r="AM2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1" s="30"/>
      <c r="AP21" s="25" t="str">
        <f aca="false">IF(Tasks[[#This Row],[Task Name]]="","",Tasks[[#This Row],[Forecast Start]])</f>
        <v/>
      </c>
      <c r="AQ21" s="25" t="str">
        <f aca="false">IF(Tasks[[#This Row],[Task Name]]="","",Tasks[[#This Row],[Forecast Finish]])</f>
        <v/>
      </c>
      <c r="AR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1" s="62" t="str">
        <f aca="false">IF(Tasks[[#This Row],[Task Name]]="","",Tasks[[#This Row],[Work]])</f>
        <v/>
      </c>
      <c r="AT21" s="63" t="str">
        <f aca="false">IF(Tasks[[#This Row],[Task Name]]="","",Tasks[[#This Row],[Cost]])</f>
        <v/>
      </c>
      <c r="AU21" s="53"/>
      <c r="AV21" s="53"/>
      <c r="AW21" s="29"/>
      <c r="AX21" s="65"/>
      <c r="AY21" s="64"/>
      <c r="AZ21" s="28" t="str">
        <f aca="false">IF(OR(Tasks[[#This Row],[Task Name]]="",Tasks[[#This Row],[Baseline Duration]]=""),"",Tasks[[#This Row],[BL Source Duration]]-N(Tasks[[#This Row],[Baseline Duration]]))</f>
        <v/>
      </c>
      <c r="BA21" s="62" t="str">
        <f aca="false">IF(OR(Tasks[[#This Row],[Task Name]]="",Tasks[[#This Row],[Baseline Work]]=""),"",Tasks[[#This Row],[Work]]-N(Tasks[[#This Row],[Baseline Work]]))</f>
        <v/>
      </c>
      <c r="BB21" s="63" t="str">
        <f aca="false">IF(OR(Tasks[[#This Row],[Task Name]]="",Tasks[[#This Row],[Baseline Cost]]=""),"",Tasks[[#This Row],[Cost]]-N(Tasks[[#This Row],[Baseline Cost]]))</f>
        <v/>
      </c>
      <c r="BC2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1" s="43" t="str">
        <f aca="false">IF(Tasks[[#This Row],[Task Name]]="","",MAX(1,N(Tasks[[#This Row],[Level]])))</f>
        <v/>
      </c>
      <c r="BH21" s="43" t="n">
        <f aca="false">ROW()-ROW(Tasks[[#Headers],[ID]])</f>
        <v>16</v>
      </c>
      <c r="BI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1" s="43" t="n">
        <f aca="false">IFERROR(N(INDEX(Tasks[_Level],Tasks[[#This Row],[_Row]]+1)),0)</f>
        <v>0</v>
      </c>
      <c r="BK21" s="66" t="b">
        <f aca="false">AND(Tasks[[#This Row],[Task Name]]&lt;&gt;"",Tasks[[#This Row],[_NextLevel]]&gt;Tasks[[#This Row],[_Level]])</f>
        <v>0</v>
      </c>
      <c r="BL21" s="43" t="n">
        <f aca="false">IF(Tasks[[#This Row],[_IsSummary]],COUNTIF(Tasks[WBS],Tasks[[#This Row],[WBS]]&amp;".*"),0)</f>
        <v>0</v>
      </c>
      <c r="BM21" s="43" t="n">
        <f aca="false">IF(AND(Tasks[[#This Row],[Task Name]]&lt;&gt;"",NOT(Tasks[[#This Row],[_IsSummary]])),1,0)</f>
        <v>0</v>
      </c>
      <c r="BN21" s="43" t="n">
        <f aca="false">IF(N(Tasks[[#This Row],[Pred1 UID]])=0,0,IFERROR(MATCH(Tasks[[#This Row],[Pred1 UID]],Tasks[UID],0),-1))</f>
        <v>0</v>
      </c>
      <c r="BO21" s="43" t="n">
        <f aca="false">IF(N(Tasks[[#This Row],[Pred2 UID]])=0,0,IFERROR(MATCH(Tasks[[#This Row],[Pred2 UID]],Tasks[UID],0),-1))</f>
        <v>0</v>
      </c>
      <c r="BP2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1" s="43" t="n">
        <f aca="false">IF(NOT(Tasks[[#This Row],[_IsLeaf]]=1),0,IF(N(Tasks[[#This Row],[Actual Finish]])&gt;0,1,MIN(1,N(Tasks[[#This Row],[% Complete]]))))</f>
        <v>0</v>
      </c>
      <c r="BU2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1" s="43" t="n">
        <f aca="false">IF(Tasks[[#This Row],[_LeafWork]]=0,0,Tasks[[#This Row],[_LeafWork]]*IFERROR(INDEX(res_Rate,MATCH(Tasks[[#This Row],[Resource]],res_Name,0)),0))</f>
        <v>0</v>
      </c>
      <c r="BW2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1" s="43" t="n">
        <f aca="false">IF(NOT(Tasks[[#This Row],[_IsLeaf]]=1),0,MAX(_xlfn.MAXIFS(Tasks[_Row],Tasks[Pred1 UID],Tasks[[#This Row],[UID]]),_xlfn.MAXIFS(Tasks[_Row],Tasks[Pred2 UID],Tasks[[#This Row],[UID]])))</f>
        <v>0</v>
      </c>
      <c r="CB2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1" s="67" t="str">
        <f aca="false">IF(NOT(Tasks[[#This Row],[_IsLeaf]]=1),"",MIN(ProjectFinish,IF(N(Tasks[[#This Row],[Deadline]])&gt;0,Tasks[[#This Row],[Deadline]],2958465),Tasks[[#This Row],[_SuccessorFinishLimit]]))</f>
        <v/>
      </c>
      <c r="CD2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1" s="66" t="b">
        <f aca="false">AND(Tasks[[#This Row],[_IsLeaf]]=1,Tasks[[#This Row],[_LeafProgress]]&lt;1,N(Tasks[[#This Row],[_LeafTotalSlack]])&lt;=CriticalSlackDays)</f>
        <v>0</v>
      </c>
      <c r="CG2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1" s="43" t="n">
        <f aca="false">IF(AND(Tasks[[#This Row],[_IsLeaf]]=1,Tasks[[#This Row],[_LeafWork]]&gt;0),NETWORKDAYS.INTL(ProjectStart,Tasks[[#This Row],[_LeafFcstStart]],WorkWeek,Holidays),0)</f>
        <v>0</v>
      </c>
      <c r="CP2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1" s="43" t="n">
        <f aca="false">IF(AND(Tasks[[#This Row],[_IsLeaf]]=1,Tasks[[#This Row],[_LeafWork]]&gt;0),Tasks[[#This Row],[_LeafWork]]/(Tasks[[#This Row],[_FinishWorkday]]-Tasks[[#This Row],[_StartWorkday]]+1),0)</f>
        <v>0</v>
      </c>
      <c r="CR21" s="43" t="n">
        <f aca="false">Tasks[[#This Row],[_WorkPerWorkday]]*(Tasks[[#This Row],[_StartWorkday]]-1)</f>
        <v>-0</v>
      </c>
      <c r="CS21" s="43" t="n">
        <f aca="false">IF(Tasks[[#This Row],[_IsLeaf]]=1,MAX(N(Tasks[[#This Row],[Duration]]),0.1),0)</f>
        <v>0</v>
      </c>
      <c r="CT21" s="43" t="n">
        <f aca="false">Tasks[[#This Row],[_WeightDur]]*Tasks[[#This Row],[_LeafProgress]]</f>
        <v>0</v>
      </c>
      <c r="CU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1" s="43" t="str">
        <f aca="false">IF(AND(Tasks[[#This Row],[_IsLeaf]]=1,N(Tasks[[#This Row],[Duration]])=0,Tasks[[#This Row],[_LeafProgress]]&lt;1),Tasks[[#This Row],[_LeafFcstFinish]]+Tasks[[#This Row],[_Row]]/100000,"")</f>
        <v/>
      </c>
      <c r="DA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1" s="43" t="n">
        <f aca="false">IF(NOT(Tasks[[#This Row],[_IsLeaf]]=1),0,IF(Tasks[[#This Row],[Baseline Cost]]="",Tasks[[#This Row],[_LeafCost]],N(Tasks[[#This Row],[Baseline Cost]])))</f>
        <v>0</v>
      </c>
      <c r="DC21" s="43" t="n">
        <f aca="false">Tasks[[#This Row],[_LeafBudget]]*Tasks[[#This Row],[_PlannedPct]]</f>
        <v>0</v>
      </c>
      <c r="DD21" s="43" t="n">
        <f aca="false">Tasks[[#This Row],[_LeafBudget]]*Tasks[[#This Row],[_LeafProgress]]</f>
        <v>0</v>
      </c>
      <c r="DE21" s="43" t="n">
        <f aca="false">IF(NOT(Tasks[[#This Row],[_IsLeaf]]=1),0,IF(Tasks[[#This Row],[Actual Cost]]="",Tasks[[#This Row],[_LeafCost]]*Tasks[[#This Row],[_LeafProgress]],N(Tasks[[#This Row],[Actual Cost]])))</f>
        <v>0</v>
      </c>
      <c r="DF21" s="43" t="str">
        <f aca="false">IF(Tasks[[#This Row],[Task Name]]="","",LEFT(Tasks[[#This Row],[WBS]],FIND(".",Tasks[[#This Row],[WBS]]&amp;".")-1))</f>
        <v/>
      </c>
      <c r="DG21" s="43" t="str">
        <f aca="false">IF(AND(Tasks[[#This Row],[Task Name]]&lt;&gt;"",Tasks[[#This Row],[_Level]]=1),Tasks[[#This Row],[_Row]],"")</f>
        <v/>
      </c>
      <c r="DH21" s="43" t="str">
        <f aca="false">IF(AND(Tasks[[#This Row],[_IsLeaf]]=1,N(Tasks[[#This Row],[Duration]])=0),Tasks[[#This Row],[Planned Finish]]+Tasks[[#This Row],[_Row]]/100000,"")</f>
        <v/>
      </c>
      <c r="DI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1" s="43" t="str">
        <f aca="false">IF(Tasks[[#This Row],[_LeafCritical]],Tasks[[#This Row],[_LeafFcstStart]]+Tasks[[#This Row],[_Row]]/100000,"")</f>
        <v/>
      </c>
    </row>
    <row r="22" customFormat="false" ht="15" hidden="false" customHeight="false" outlineLevel="0" collapsed="false">
      <c r="A22" s="28" t="str">
        <f aca="false">IF(Tasks[[#This Row],[Task Name]]="","",COUNTA(Tasks[[#Headers],[Task Name]]:Tasks[[#This Row],[Task Name]])-1)</f>
        <v/>
      </c>
      <c r="B22" s="29" t="n">
        <v>17</v>
      </c>
      <c r="C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29"/>
      <c r="E22" s="30"/>
      <c r="F22" s="29"/>
      <c r="G22" s="29"/>
      <c r="H22" s="29"/>
      <c r="I22" s="29"/>
      <c r="J22" s="29"/>
      <c r="K22" s="29"/>
      <c r="L22" s="29"/>
      <c r="M22" s="29"/>
      <c r="N22" s="53"/>
      <c r="O22" s="53"/>
      <c r="P22" s="25" t="str">
        <f aca="false">IF(Tasks[[#This Row],[Task Name]]="","",IF(N(Tasks[[#This Row],[Baseline Start]])&gt;0,Tasks[[#This Row],[Baseline Start]],Tasks[[#This Row],[_CalcStart]]))</f>
        <v/>
      </c>
      <c r="Q22" s="25" t="str">
        <f aca="false">IF(Tasks[[#This Row],[Task Name]]="","",IF(N(Tasks[[#This Row],[Baseline Finish]])&gt;0,Tasks[[#This Row],[Baseline Finish]],Tasks[[#This Row],[_CalcFinish]]))</f>
        <v/>
      </c>
      <c r="R22" s="53"/>
      <c r="S22" s="53"/>
      <c r="T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55"/>
      <c r="AF2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2" s="30"/>
      <c r="AI22" s="55"/>
      <c r="AJ2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2" s="64"/>
      <c r="AM2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2" s="30"/>
      <c r="AP22" s="25" t="str">
        <f aca="false">IF(Tasks[[#This Row],[Task Name]]="","",Tasks[[#This Row],[Forecast Start]])</f>
        <v/>
      </c>
      <c r="AQ22" s="25" t="str">
        <f aca="false">IF(Tasks[[#This Row],[Task Name]]="","",Tasks[[#This Row],[Forecast Finish]])</f>
        <v/>
      </c>
      <c r="AR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2" s="62" t="str">
        <f aca="false">IF(Tasks[[#This Row],[Task Name]]="","",Tasks[[#This Row],[Work]])</f>
        <v/>
      </c>
      <c r="AT22" s="63" t="str">
        <f aca="false">IF(Tasks[[#This Row],[Task Name]]="","",Tasks[[#This Row],[Cost]])</f>
        <v/>
      </c>
      <c r="AU22" s="53"/>
      <c r="AV22" s="53"/>
      <c r="AW22" s="29"/>
      <c r="AX22" s="65"/>
      <c r="AY22" s="64"/>
      <c r="AZ22" s="28" t="str">
        <f aca="false">IF(OR(Tasks[[#This Row],[Task Name]]="",Tasks[[#This Row],[Baseline Duration]]=""),"",Tasks[[#This Row],[BL Source Duration]]-N(Tasks[[#This Row],[Baseline Duration]]))</f>
        <v/>
      </c>
      <c r="BA22" s="62" t="str">
        <f aca="false">IF(OR(Tasks[[#This Row],[Task Name]]="",Tasks[[#This Row],[Baseline Work]]=""),"",Tasks[[#This Row],[Work]]-N(Tasks[[#This Row],[Baseline Work]]))</f>
        <v/>
      </c>
      <c r="BB22" s="63" t="str">
        <f aca="false">IF(OR(Tasks[[#This Row],[Task Name]]="",Tasks[[#This Row],[Baseline Cost]]=""),"",Tasks[[#This Row],[Cost]]-N(Tasks[[#This Row],[Baseline Cost]]))</f>
        <v/>
      </c>
      <c r="BC2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2" s="43" t="str">
        <f aca="false">IF(Tasks[[#This Row],[Task Name]]="","",MAX(1,N(Tasks[[#This Row],[Level]])))</f>
        <v/>
      </c>
      <c r="BH22" s="43" t="n">
        <f aca="false">ROW()-ROW(Tasks[[#Headers],[ID]])</f>
        <v>17</v>
      </c>
      <c r="BI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2" s="43" t="n">
        <f aca="false">IFERROR(N(INDEX(Tasks[_Level],Tasks[[#This Row],[_Row]]+1)),0)</f>
        <v>0</v>
      </c>
      <c r="BK22" s="66" t="b">
        <f aca="false">AND(Tasks[[#This Row],[Task Name]]&lt;&gt;"",Tasks[[#This Row],[_NextLevel]]&gt;Tasks[[#This Row],[_Level]])</f>
        <v>0</v>
      </c>
      <c r="BL22" s="43" t="n">
        <f aca="false">IF(Tasks[[#This Row],[_IsSummary]],COUNTIF(Tasks[WBS],Tasks[[#This Row],[WBS]]&amp;".*"),0)</f>
        <v>0</v>
      </c>
      <c r="BM22" s="43" t="n">
        <f aca="false">IF(AND(Tasks[[#This Row],[Task Name]]&lt;&gt;"",NOT(Tasks[[#This Row],[_IsSummary]])),1,0)</f>
        <v>0</v>
      </c>
      <c r="BN22" s="43" t="n">
        <f aca="false">IF(N(Tasks[[#This Row],[Pred1 UID]])=0,0,IFERROR(MATCH(Tasks[[#This Row],[Pred1 UID]],Tasks[UID],0),-1))</f>
        <v>0</v>
      </c>
      <c r="BO22" s="43" t="n">
        <f aca="false">IF(N(Tasks[[#This Row],[Pred2 UID]])=0,0,IFERROR(MATCH(Tasks[[#This Row],[Pred2 UID]],Tasks[UID],0),-1))</f>
        <v>0</v>
      </c>
      <c r="BP2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2" s="43" t="n">
        <f aca="false">IF(NOT(Tasks[[#This Row],[_IsLeaf]]=1),0,IF(N(Tasks[[#This Row],[Actual Finish]])&gt;0,1,MIN(1,N(Tasks[[#This Row],[% Complete]]))))</f>
        <v>0</v>
      </c>
      <c r="BU2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2" s="43" t="n">
        <f aca="false">IF(Tasks[[#This Row],[_LeafWork]]=0,0,Tasks[[#This Row],[_LeafWork]]*IFERROR(INDEX(res_Rate,MATCH(Tasks[[#This Row],[Resource]],res_Name,0)),0))</f>
        <v>0</v>
      </c>
      <c r="BW2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2" s="43" t="n">
        <f aca="false">IF(NOT(Tasks[[#This Row],[_IsLeaf]]=1),0,MAX(_xlfn.MAXIFS(Tasks[_Row],Tasks[Pred1 UID],Tasks[[#This Row],[UID]]),_xlfn.MAXIFS(Tasks[_Row],Tasks[Pred2 UID],Tasks[[#This Row],[UID]])))</f>
        <v>0</v>
      </c>
      <c r="CB2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2" s="67" t="str">
        <f aca="false">IF(NOT(Tasks[[#This Row],[_IsLeaf]]=1),"",MIN(ProjectFinish,IF(N(Tasks[[#This Row],[Deadline]])&gt;0,Tasks[[#This Row],[Deadline]],2958465),Tasks[[#This Row],[_SuccessorFinishLimit]]))</f>
        <v/>
      </c>
      <c r="CD2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2" s="66" t="b">
        <f aca="false">AND(Tasks[[#This Row],[_IsLeaf]]=1,Tasks[[#This Row],[_LeafProgress]]&lt;1,N(Tasks[[#This Row],[_LeafTotalSlack]])&lt;=CriticalSlackDays)</f>
        <v>0</v>
      </c>
      <c r="CG2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2" s="43" t="n">
        <f aca="false">IF(AND(Tasks[[#This Row],[_IsLeaf]]=1,Tasks[[#This Row],[_LeafWork]]&gt;0),NETWORKDAYS.INTL(ProjectStart,Tasks[[#This Row],[_LeafFcstStart]],WorkWeek,Holidays),0)</f>
        <v>0</v>
      </c>
      <c r="CP2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2" s="43" t="n">
        <f aca="false">IF(AND(Tasks[[#This Row],[_IsLeaf]]=1,Tasks[[#This Row],[_LeafWork]]&gt;0),Tasks[[#This Row],[_LeafWork]]/(Tasks[[#This Row],[_FinishWorkday]]-Tasks[[#This Row],[_StartWorkday]]+1),0)</f>
        <v>0</v>
      </c>
      <c r="CR22" s="43" t="n">
        <f aca="false">Tasks[[#This Row],[_WorkPerWorkday]]*(Tasks[[#This Row],[_StartWorkday]]-1)</f>
        <v>-0</v>
      </c>
      <c r="CS22" s="43" t="n">
        <f aca="false">IF(Tasks[[#This Row],[_IsLeaf]]=1,MAX(N(Tasks[[#This Row],[Duration]]),0.1),0)</f>
        <v>0</v>
      </c>
      <c r="CT22" s="43" t="n">
        <f aca="false">Tasks[[#This Row],[_WeightDur]]*Tasks[[#This Row],[_LeafProgress]]</f>
        <v>0</v>
      </c>
      <c r="CU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2" s="43" t="str">
        <f aca="false">IF(AND(Tasks[[#This Row],[_IsLeaf]]=1,N(Tasks[[#This Row],[Duration]])=0,Tasks[[#This Row],[_LeafProgress]]&lt;1),Tasks[[#This Row],[_LeafFcstFinish]]+Tasks[[#This Row],[_Row]]/100000,"")</f>
        <v/>
      </c>
      <c r="DA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2" s="43" t="n">
        <f aca="false">IF(NOT(Tasks[[#This Row],[_IsLeaf]]=1),0,IF(Tasks[[#This Row],[Baseline Cost]]="",Tasks[[#This Row],[_LeafCost]],N(Tasks[[#This Row],[Baseline Cost]])))</f>
        <v>0</v>
      </c>
      <c r="DC22" s="43" t="n">
        <f aca="false">Tasks[[#This Row],[_LeafBudget]]*Tasks[[#This Row],[_PlannedPct]]</f>
        <v>0</v>
      </c>
      <c r="DD22" s="43" t="n">
        <f aca="false">Tasks[[#This Row],[_LeafBudget]]*Tasks[[#This Row],[_LeafProgress]]</f>
        <v>0</v>
      </c>
      <c r="DE22" s="43" t="n">
        <f aca="false">IF(NOT(Tasks[[#This Row],[_IsLeaf]]=1),0,IF(Tasks[[#This Row],[Actual Cost]]="",Tasks[[#This Row],[_LeafCost]]*Tasks[[#This Row],[_LeafProgress]],N(Tasks[[#This Row],[Actual Cost]])))</f>
        <v>0</v>
      </c>
      <c r="DF22" s="43" t="str">
        <f aca="false">IF(Tasks[[#This Row],[Task Name]]="","",LEFT(Tasks[[#This Row],[WBS]],FIND(".",Tasks[[#This Row],[WBS]]&amp;".")-1))</f>
        <v/>
      </c>
      <c r="DG22" s="43" t="str">
        <f aca="false">IF(AND(Tasks[[#This Row],[Task Name]]&lt;&gt;"",Tasks[[#This Row],[_Level]]=1),Tasks[[#This Row],[_Row]],"")</f>
        <v/>
      </c>
      <c r="DH22" s="43" t="str">
        <f aca="false">IF(AND(Tasks[[#This Row],[_IsLeaf]]=1,N(Tasks[[#This Row],[Duration]])=0),Tasks[[#This Row],[Planned Finish]]+Tasks[[#This Row],[_Row]]/100000,"")</f>
        <v/>
      </c>
      <c r="DI2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2" s="43" t="str">
        <f aca="false">IF(Tasks[[#This Row],[_LeafCritical]],Tasks[[#This Row],[_LeafFcstStart]]+Tasks[[#This Row],[_Row]]/100000,"")</f>
        <v/>
      </c>
    </row>
    <row r="23" customFormat="false" ht="15" hidden="false" customHeight="false" outlineLevel="0" collapsed="false">
      <c r="A23" s="28" t="str">
        <f aca="false">IF(Tasks[[#This Row],[Task Name]]="","",COUNTA(Tasks[[#Headers],[Task Name]]:Tasks[[#This Row],[Task Name]])-1)</f>
        <v/>
      </c>
      <c r="B23" s="29" t="n">
        <v>18</v>
      </c>
      <c r="C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29"/>
      <c r="E23" s="30"/>
      <c r="F23" s="29"/>
      <c r="G23" s="29"/>
      <c r="H23" s="29"/>
      <c r="I23" s="29"/>
      <c r="J23" s="29"/>
      <c r="K23" s="29"/>
      <c r="L23" s="29"/>
      <c r="M23" s="29"/>
      <c r="N23" s="53"/>
      <c r="O23" s="53"/>
      <c r="P23" s="25" t="str">
        <f aca="false">IF(Tasks[[#This Row],[Task Name]]="","",IF(N(Tasks[[#This Row],[Baseline Start]])&gt;0,Tasks[[#This Row],[Baseline Start]],Tasks[[#This Row],[_CalcStart]]))</f>
        <v/>
      </c>
      <c r="Q23" s="25" t="str">
        <f aca="false">IF(Tasks[[#This Row],[Task Name]]="","",IF(N(Tasks[[#This Row],[Baseline Finish]])&gt;0,Tasks[[#This Row],[Baseline Finish]],Tasks[[#This Row],[_CalcFinish]]))</f>
        <v/>
      </c>
      <c r="R23" s="53"/>
      <c r="S23" s="53"/>
      <c r="T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55"/>
      <c r="AF2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3" s="30"/>
      <c r="AI23" s="55"/>
      <c r="AJ2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3" s="64"/>
      <c r="AM2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3" s="30"/>
      <c r="AP23" s="25" t="str">
        <f aca="false">IF(Tasks[[#This Row],[Task Name]]="","",Tasks[[#This Row],[Forecast Start]])</f>
        <v/>
      </c>
      <c r="AQ23" s="25" t="str">
        <f aca="false">IF(Tasks[[#This Row],[Task Name]]="","",Tasks[[#This Row],[Forecast Finish]])</f>
        <v/>
      </c>
      <c r="AR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3" s="62" t="str">
        <f aca="false">IF(Tasks[[#This Row],[Task Name]]="","",Tasks[[#This Row],[Work]])</f>
        <v/>
      </c>
      <c r="AT23" s="63" t="str">
        <f aca="false">IF(Tasks[[#This Row],[Task Name]]="","",Tasks[[#This Row],[Cost]])</f>
        <v/>
      </c>
      <c r="AU23" s="53"/>
      <c r="AV23" s="53"/>
      <c r="AW23" s="29"/>
      <c r="AX23" s="65"/>
      <c r="AY23" s="64"/>
      <c r="AZ23" s="28" t="str">
        <f aca="false">IF(OR(Tasks[[#This Row],[Task Name]]="",Tasks[[#This Row],[Baseline Duration]]=""),"",Tasks[[#This Row],[BL Source Duration]]-N(Tasks[[#This Row],[Baseline Duration]]))</f>
        <v/>
      </c>
      <c r="BA23" s="62" t="str">
        <f aca="false">IF(OR(Tasks[[#This Row],[Task Name]]="",Tasks[[#This Row],[Baseline Work]]=""),"",Tasks[[#This Row],[Work]]-N(Tasks[[#This Row],[Baseline Work]]))</f>
        <v/>
      </c>
      <c r="BB23" s="63" t="str">
        <f aca="false">IF(OR(Tasks[[#This Row],[Task Name]]="",Tasks[[#This Row],[Baseline Cost]]=""),"",Tasks[[#This Row],[Cost]]-N(Tasks[[#This Row],[Baseline Cost]]))</f>
        <v/>
      </c>
      <c r="BC2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3" s="43" t="str">
        <f aca="false">IF(Tasks[[#This Row],[Task Name]]="","",MAX(1,N(Tasks[[#This Row],[Level]])))</f>
        <v/>
      </c>
      <c r="BH23" s="43" t="n">
        <f aca="false">ROW()-ROW(Tasks[[#Headers],[ID]])</f>
        <v>18</v>
      </c>
      <c r="BI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3" s="43" t="n">
        <f aca="false">IFERROR(N(INDEX(Tasks[_Level],Tasks[[#This Row],[_Row]]+1)),0)</f>
        <v>0</v>
      </c>
      <c r="BK23" s="66" t="b">
        <f aca="false">AND(Tasks[[#This Row],[Task Name]]&lt;&gt;"",Tasks[[#This Row],[_NextLevel]]&gt;Tasks[[#This Row],[_Level]])</f>
        <v>0</v>
      </c>
      <c r="BL23" s="43" t="n">
        <f aca="false">IF(Tasks[[#This Row],[_IsSummary]],COUNTIF(Tasks[WBS],Tasks[[#This Row],[WBS]]&amp;".*"),0)</f>
        <v>0</v>
      </c>
      <c r="BM23" s="43" t="n">
        <f aca="false">IF(AND(Tasks[[#This Row],[Task Name]]&lt;&gt;"",NOT(Tasks[[#This Row],[_IsSummary]])),1,0)</f>
        <v>0</v>
      </c>
      <c r="BN23" s="43" t="n">
        <f aca="false">IF(N(Tasks[[#This Row],[Pred1 UID]])=0,0,IFERROR(MATCH(Tasks[[#This Row],[Pred1 UID]],Tasks[UID],0),-1))</f>
        <v>0</v>
      </c>
      <c r="BO23" s="43" t="n">
        <f aca="false">IF(N(Tasks[[#This Row],[Pred2 UID]])=0,0,IFERROR(MATCH(Tasks[[#This Row],[Pred2 UID]],Tasks[UID],0),-1))</f>
        <v>0</v>
      </c>
      <c r="BP2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3" s="43" t="n">
        <f aca="false">IF(NOT(Tasks[[#This Row],[_IsLeaf]]=1),0,IF(N(Tasks[[#This Row],[Actual Finish]])&gt;0,1,MIN(1,N(Tasks[[#This Row],[% Complete]]))))</f>
        <v>0</v>
      </c>
      <c r="BU2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3" s="43" t="n">
        <f aca="false">IF(Tasks[[#This Row],[_LeafWork]]=0,0,Tasks[[#This Row],[_LeafWork]]*IFERROR(INDEX(res_Rate,MATCH(Tasks[[#This Row],[Resource]],res_Name,0)),0))</f>
        <v>0</v>
      </c>
      <c r="BW2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3" s="43" t="n">
        <f aca="false">IF(NOT(Tasks[[#This Row],[_IsLeaf]]=1),0,MAX(_xlfn.MAXIFS(Tasks[_Row],Tasks[Pred1 UID],Tasks[[#This Row],[UID]]),_xlfn.MAXIFS(Tasks[_Row],Tasks[Pred2 UID],Tasks[[#This Row],[UID]])))</f>
        <v>0</v>
      </c>
      <c r="CB2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3" s="67" t="str">
        <f aca="false">IF(NOT(Tasks[[#This Row],[_IsLeaf]]=1),"",MIN(ProjectFinish,IF(N(Tasks[[#This Row],[Deadline]])&gt;0,Tasks[[#This Row],[Deadline]],2958465),Tasks[[#This Row],[_SuccessorFinishLimit]]))</f>
        <v/>
      </c>
      <c r="CD2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3" s="66" t="b">
        <f aca="false">AND(Tasks[[#This Row],[_IsLeaf]]=1,Tasks[[#This Row],[_LeafProgress]]&lt;1,N(Tasks[[#This Row],[_LeafTotalSlack]])&lt;=CriticalSlackDays)</f>
        <v>0</v>
      </c>
      <c r="CG2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3" s="43" t="n">
        <f aca="false">IF(AND(Tasks[[#This Row],[_IsLeaf]]=1,Tasks[[#This Row],[_LeafWork]]&gt;0),NETWORKDAYS.INTL(ProjectStart,Tasks[[#This Row],[_LeafFcstStart]],WorkWeek,Holidays),0)</f>
        <v>0</v>
      </c>
      <c r="CP2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3" s="43" t="n">
        <f aca="false">IF(AND(Tasks[[#This Row],[_IsLeaf]]=1,Tasks[[#This Row],[_LeafWork]]&gt;0),Tasks[[#This Row],[_LeafWork]]/(Tasks[[#This Row],[_FinishWorkday]]-Tasks[[#This Row],[_StartWorkday]]+1),0)</f>
        <v>0</v>
      </c>
      <c r="CR23" s="43" t="n">
        <f aca="false">Tasks[[#This Row],[_WorkPerWorkday]]*(Tasks[[#This Row],[_StartWorkday]]-1)</f>
        <v>-0</v>
      </c>
      <c r="CS23" s="43" t="n">
        <f aca="false">IF(Tasks[[#This Row],[_IsLeaf]]=1,MAX(N(Tasks[[#This Row],[Duration]]),0.1),0)</f>
        <v>0</v>
      </c>
      <c r="CT23" s="43" t="n">
        <f aca="false">Tasks[[#This Row],[_WeightDur]]*Tasks[[#This Row],[_LeafProgress]]</f>
        <v>0</v>
      </c>
      <c r="CU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3" s="43" t="str">
        <f aca="false">IF(AND(Tasks[[#This Row],[_IsLeaf]]=1,N(Tasks[[#This Row],[Duration]])=0,Tasks[[#This Row],[_LeafProgress]]&lt;1),Tasks[[#This Row],[_LeafFcstFinish]]+Tasks[[#This Row],[_Row]]/100000,"")</f>
        <v/>
      </c>
      <c r="DA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3" s="43" t="n">
        <f aca="false">IF(NOT(Tasks[[#This Row],[_IsLeaf]]=1),0,IF(Tasks[[#This Row],[Baseline Cost]]="",Tasks[[#This Row],[_LeafCost]],N(Tasks[[#This Row],[Baseline Cost]])))</f>
        <v>0</v>
      </c>
      <c r="DC23" s="43" t="n">
        <f aca="false">Tasks[[#This Row],[_LeafBudget]]*Tasks[[#This Row],[_PlannedPct]]</f>
        <v>0</v>
      </c>
      <c r="DD23" s="43" t="n">
        <f aca="false">Tasks[[#This Row],[_LeafBudget]]*Tasks[[#This Row],[_LeafProgress]]</f>
        <v>0</v>
      </c>
      <c r="DE23" s="43" t="n">
        <f aca="false">IF(NOT(Tasks[[#This Row],[_IsLeaf]]=1),0,IF(Tasks[[#This Row],[Actual Cost]]="",Tasks[[#This Row],[_LeafCost]]*Tasks[[#This Row],[_LeafProgress]],N(Tasks[[#This Row],[Actual Cost]])))</f>
        <v>0</v>
      </c>
      <c r="DF23" s="43" t="str">
        <f aca="false">IF(Tasks[[#This Row],[Task Name]]="","",LEFT(Tasks[[#This Row],[WBS]],FIND(".",Tasks[[#This Row],[WBS]]&amp;".")-1))</f>
        <v/>
      </c>
      <c r="DG23" s="43" t="str">
        <f aca="false">IF(AND(Tasks[[#This Row],[Task Name]]&lt;&gt;"",Tasks[[#This Row],[_Level]]=1),Tasks[[#This Row],[_Row]],"")</f>
        <v/>
      </c>
      <c r="DH23" s="43" t="str">
        <f aca="false">IF(AND(Tasks[[#This Row],[_IsLeaf]]=1,N(Tasks[[#This Row],[Duration]])=0),Tasks[[#This Row],[Planned Finish]]+Tasks[[#This Row],[_Row]]/100000,"")</f>
        <v/>
      </c>
      <c r="DI2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3" s="43" t="str">
        <f aca="false">IF(Tasks[[#This Row],[_LeafCritical]],Tasks[[#This Row],[_LeafFcstStart]]+Tasks[[#This Row],[_Row]]/100000,"")</f>
        <v/>
      </c>
    </row>
    <row r="24" customFormat="false" ht="15" hidden="false" customHeight="false" outlineLevel="0" collapsed="false">
      <c r="A24" s="28" t="str">
        <f aca="false">IF(Tasks[[#This Row],[Task Name]]="","",COUNTA(Tasks[[#Headers],[Task Name]]:Tasks[[#This Row],[Task Name]])-1)</f>
        <v/>
      </c>
      <c r="B24" s="29" t="n">
        <v>19</v>
      </c>
      <c r="C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29"/>
      <c r="E24" s="30"/>
      <c r="F24" s="29"/>
      <c r="G24" s="29"/>
      <c r="H24" s="29"/>
      <c r="I24" s="29"/>
      <c r="J24" s="29"/>
      <c r="K24" s="29"/>
      <c r="L24" s="29"/>
      <c r="M24" s="29"/>
      <c r="N24" s="53"/>
      <c r="O24" s="53"/>
      <c r="P24" s="25" t="str">
        <f aca="false">IF(Tasks[[#This Row],[Task Name]]="","",IF(N(Tasks[[#This Row],[Baseline Start]])&gt;0,Tasks[[#This Row],[Baseline Start]],Tasks[[#This Row],[_CalcStart]]))</f>
        <v/>
      </c>
      <c r="Q24" s="25" t="str">
        <f aca="false">IF(Tasks[[#This Row],[Task Name]]="","",IF(N(Tasks[[#This Row],[Baseline Finish]])&gt;0,Tasks[[#This Row],[Baseline Finish]],Tasks[[#This Row],[_CalcFinish]]))</f>
        <v/>
      </c>
      <c r="R24" s="53"/>
      <c r="S24" s="53"/>
      <c r="T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55"/>
      <c r="AF2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4" s="30"/>
      <c r="AI24" s="55"/>
      <c r="AJ2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4" s="64"/>
      <c r="AM2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4" s="30"/>
      <c r="AP24" s="25" t="str">
        <f aca="false">IF(Tasks[[#This Row],[Task Name]]="","",Tasks[[#This Row],[Forecast Start]])</f>
        <v/>
      </c>
      <c r="AQ24" s="25" t="str">
        <f aca="false">IF(Tasks[[#This Row],[Task Name]]="","",Tasks[[#This Row],[Forecast Finish]])</f>
        <v/>
      </c>
      <c r="AR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4" s="62" t="str">
        <f aca="false">IF(Tasks[[#This Row],[Task Name]]="","",Tasks[[#This Row],[Work]])</f>
        <v/>
      </c>
      <c r="AT24" s="63" t="str">
        <f aca="false">IF(Tasks[[#This Row],[Task Name]]="","",Tasks[[#This Row],[Cost]])</f>
        <v/>
      </c>
      <c r="AU24" s="53"/>
      <c r="AV24" s="53"/>
      <c r="AW24" s="29"/>
      <c r="AX24" s="65"/>
      <c r="AY24" s="64"/>
      <c r="AZ24" s="28" t="str">
        <f aca="false">IF(OR(Tasks[[#This Row],[Task Name]]="",Tasks[[#This Row],[Baseline Duration]]=""),"",Tasks[[#This Row],[BL Source Duration]]-N(Tasks[[#This Row],[Baseline Duration]]))</f>
        <v/>
      </c>
      <c r="BA24" s="62" t="str">
        <f aca="false">IF(OR(Tasks[[#This Row],[Task Name]]="",Tasks[[#This Row],[Baseline Work]]=""),"",Tasks[[#This Row],[Work]]-N(Tasks[[#This Row],[Baseline Work]]))</f>
        <v/>
      </c>
      <c r="BB24" s="63" t="str">
        <f aca="false">IF(OR(Tasks[[#This Row],[Task Name]]="",Tasks[[#This Row],[Baseline Cost]]=""),"",Tasks[[#This Row],[Cost]]-N(Tasks[[#This Row],[Baseline Cost]]))</f>
        <v/>
      </c>
      <c r="BC2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4" s="43" t="str">
        <f aca="false">IF(Tasks[[#This Row],[Task Name]]="","",MAX(1,N(Tasks[[#This Row],[Level]])))</f>
        <v/>
      </c>
      <c r="BH24" s="43" t="n">
        <f aca="false">ROW()-ROW(Tasks[[#Headers],[ID]])</f>
        <v>19</v>
      </c>
      <c r="BI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4" s="43" t="n">
        <f aca="false">IFERROR(N(INDEX(Tasks[_Level],Tasks[[#This Row],[_Row]]+1)),0)</f>
        <v>0</v>
      </c>
      <c r="BK24" s="66" t="b">
        <f aca="false">AND(Tasks[[#This Row],[Task Name]]&lt;&gt;"",Tasks[[#This Row],[_NextLevel]]&gt;Tasks[[#This Row],[_Level]])</f>
        <v>0</v>
      </c>
      <c r="BL24" s="43" t="n">
        <f aca="false">IF(Tasks[[#This Row],[_IsSummary]],COUNTIF(Tasks[WBS],Tasks[[#This Row],[WBS]]&amp;".*"),0)</f>
        <v>0</v>
      </c>
      <c r="BM24" s="43" t="n">
        <f aca="false">IF(AND(Tasks[[#This Row],[Task Name]]&lt;&gt;"",NOT(Tasks[[#This Row],[_IsSummary]])),1,0)</f>
        <v>0</v>
      </c>
      <c r="BN24" s="43" t="n">
        <f aca="false">IF(N(Tasks[[#This Row],[Pred1 UID]])=0,0,IFERROR(MATCH(Tasks[[#This Row],[Pred1 UID]],Tasks[UID],0),-1))</f>
        <v>0</v>
      </c>
      <c r="BO24" s="43" t="n">
        <f aca="false">IF(N(Tasks[[#This Row],[Pred2 UID]])=0,0,IFERROR(MATCH(Tasks[[#This Row],[Pred2 UID]],Tasks[UID],0),-1))</f>
        <v>0</v>
      </c>
      <c r="BP2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4" s="43" t="n">
        <f aca="false">IF(NOT(Tasks[[#This Row],[_IsLeaf]]=1),0,IF(N(Tasks[[#This Row],[Actual Finish]])&gt;0,1,MIN(1,N(Tasks[[#This Row],[% Complete]]))))</f>
        <v>0</v>
      </c>
      <c r="BU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4" s="43" t="n">
        <f aca="false">IF(Tasks[[#This Row],[_LeafWork]]=0,0,Tasks[[#This Row],[_LeafWork]]*IFERROR(INDEX(res_Rate,MATCH(Tasks[[#This Row],[Resource]],res_Name,0)),0))</f>
        <v>0</v>
      </c>
      <c r="BW2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4" s="43" t="n">
        <f aca="false">IF(NOT(Tasks[[#This Row],[_IsLeaf]]=1),0,MAX(_xlfn.MAXIFS(Tasks[_Row],Tasks[Pred1 UID],Tasks[[#This Row],[UID]]),_xlfn.MAXIFS(Tasks[_Row],Tasks[Pred2 UID],Tasks[[#This Row],[UID]])))</f>
        <v>0</v>
      </c>
      <c r="CB2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4" s="67" t="str">
        <f aca="false">IF(NOT(Tasks[[#This Row],[_IsLeaf]]=1),"",MIN(ProjectFinish,IF(N(Tasks[[#This Row],[Deadline]])&gt;0,Tasks[[#This Row],[Deadline]],2958465),Tasks[[#This Row],[_SuccessorFinishLimit]]))</f>
        <v/>
      </c>
      <c r="CD2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4" s="66" t="b">
        <f aca="false">AND(Tasks[[#This Row],[_IsLeaf]]=1,Tasks[[#This Row],[_LeafProgress]]&lt;1,N(Tasks[[#This Row],[_LeafTotalSlack]])&lt;=CriticalSlackDays)</f>
        <v>0</v>
      </c>
      <c r="CG2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4" s="43" t="n">
        <f aca="false">IF(AND(Tasks[[#This Row],[_IsLeaf]]=1,Tasks[[#This Row],[_LeafWork]]&gt;0),NETWORKDAYS.INTL(ProjectStart,Tasks[[#This Row],[_LeafFcstStart]],WorkWeek,Holidays),0)</f>
        <v>0</v>
      </c>
      <c r="CP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4" s="43" t="n">
        <f aca="false">IF(AND(Tasks[[#This Row],[_IsLeaf]]=1,Tasks[[#This Row],[_LeafWork]]&gt;0),Tasks[[#This Row],[_LeafWork]]/(Tasks[[#This Row],[_FinishWorkday]]-Tasks[[#This Row],[_StartWorkday]]+1),0)</f>
        <v>0</v>
      </c>
      <c r="CR24" s="43" t="n">
        <f aca="false">Tasks[[#This Row],[_WorkPerWorkday]]*(Tasks[[#This Row],[_StartWorkday]]-1)</f>
        <v>-0</v>
      </c>
      <c r="CS24" s="43" t="n">
        <f aca="false">IF(Tasks[[#This Row],[_IsLeaf]]=1,MAX(N(Tasks[[#This Row],[Duration]]),0.1),0)</f>
        <v>0</v>
      </c>
      <c r="CT24" s="43" t="n">
        <f aca="false">Tasks[[#This Row],[_WeightDur]]*Tasks[[#This Row],[_LeafProgress]]</f>
        <v>0</v>
      </c>
      <c r="CU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4" s="43" t="str">
        <f aca="false">IF(AND(Tasks[[#This Row],[_IsLeaf]]=1,N(Tasks[[#This Row],[Duration]])=0,Tasks[[#This Row],[_LeafProgress]]&lt;1),Tasks[[#This Row],[_LeafFcstFinish]]+Tasks[[#This Row],[_Row]]/100000,"")</f>
        <v/>
      </c>
      <c r="DA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4" s="43" t="n">
        <f aca="false">IF(NOT(Tasks[[#This Row],[_IsLeaf]]=1),0,IF(Tasks[[#This Row],[Baseline Cost]]="",Tasks[[#This Row],[_LeafCost]],N(Tasks[[#This Row],[Baseline Cost]])))</f>
        <v>0</v>
      </c>
      <c r="DC24" s="43" t="n">
        <f aca="false">Tasks[[#This Row],[_LeafBudget]]*Tasks[[#This Row],[_PlannedPct]]</f>
        <v>0</v>
      </c>
      <c r="DD24" s="43" t="n">
        <f aca="false">Tasks[[#This Row],[_LeafBudget]]*Tasks[[#This Row],[_LeafProgress]]</f>
        <v>0</v>
      </c>
      <c r="DE24" s="43" t="n">
        <f aca="false">IF(NOT(Tasks[[#This Row],[_IsLeaf]]=1),0,IF(Tasks[[#This Row],[Actual Cost]]="",Tasks[[#This Row],[_LeafCost]]*Tasks[[#This Row],[_LeafProgress]],N(Tasks[[#This Row],[Actual Cost]])))</f>
        <v>0</v>
      </c>
      <c r="DF24" s="43" t="str">
        <f aca="false">IF(Tasks[[#This Row],[Task Name]]="","",LEFT(Tasks[[#This Row],[WBS]],FIND(".",Tasks[[#This Row],[WBS]]&amp;".")-1))</f>
        <v/>
      </c>
      <c r="DG24" s="43" t="str">
        <f aca="false">IF(AND(Tasks[[#This Row],[Task Name]]&lt;&gt;"",Tasks[[#This Row],[_Level]]=1),Tasks[[#This Row],[_Row]],"")</f>
        <v/>
      </c>
      <c r="DH24" s="43" t="str">
        <f aca="false">IF(AND(Tasks[[#This Row],[_IsLeaf]]=1,N(Tasks[[#This Row],[Duration]])=0),Tasks[[#This Row],[Planned Finish]]+Tasks[[#This Row],[_Row]]/100000,"")</f>
        <v/>
      </c>
      <c r="DI2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4" s="43" t="str">
        <f aca="false">IF(Tasks[[#This Row],[_LeafCritical]],Tasks[[#This Row],[_LeafFcstStart]]+Tasks[[#This Row],[_Row]]/100000,"")</f>
        <v/>
      </c>
    </row>
    <row r="25" customFormat="false" ht="15" hidden="false" customHeight="false" outlineLevel="0" collapsed="false">
      <c r="A25" s="28" t="str">
        <f aca="false">IF(Tasks[[#This Row],[Task Name]]="","",COUNTA(Tasks[[#Headers],[Task Name]]:Tasks[[#This Row],[Task Name]])-1)</f>
        <v/>
      </c>
      <c r="B25" s="29" t="n">
        <v>20</v>
      </c>
      <c r="C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29"/>
      <c r="E25" s="30"/>
      <c r="F25" s="29"/>
      <c r="G25" s="29"/>
      <c r="H25" s="29"/>
      <c r="I25" s="29"/>
      <c r="J25" s="29"/>
      <c r="K25" s="29"/>
      <c r="L25" s="29"/>
      <c r="M25" s="29"/>
      <c r="N25" s="53"/>
      <c r="O25" s="53"/>
      <c r="P25" s="25" t="str">
        <f aca="false">IF(Tasks[[#This Row],[Task Name]]="","",IF(N(Tasks[[#This Row],[Baseline Start]])&gt;0,Tasks[[#This Row],[Baseline Start]],Tasks[[#This Row],[_CalcStart]]))</f>
        <v/>
      </c>
      <c r="Q25" s="25" t="str">
        <f aca="false">IF(Tasks[[#This Row],[Task Name]]="","",IF(N(Tasks[[#This Row],[Baseline Finish]])&gt;0,Tasks[[#This Row],[Baseline Finish]],Tasks[[#This Row],[_CalcFinish]]))</f>
        <v/>
      </c>
      <c r="R25" s="53"/>
      <c r="S25" s="53"/>
      <c r="T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55"/>
      <c r="AF2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5" s="30"/>
      <c r="AI25" s="55"/>
      <c r="AJ2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5" s="64"/>
      <c r="AM2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5" s="30"/>
      <c r="AP25" s="25" t="str">
        <f aca="false">IF(Tasks[[#This Row],[Task Name]]="","",Tasks[[#This Row],[Forecast Start]])</f>
        <v/>
      </c>
      <c r="AQ25" s="25" t="str">
        <f aca="false">IF(Tasks[[#This Row],[Task Name]]="","",Tasks[[#This Row],[Forecast Finish]])</f>
        <v/>
      </c>
      <c r="AR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5" s="62" t="str">
        <f aca="false">IF(Tasks[[#This Row],[Task Name]]="","",Tasks[[#This Row],[Work]])</f>
        <v/>
      </c>
      <c r="AT25" s="63" t="str">
        <f aca="false">IF(Tasks[[#This Row],[Task Name]]="","",Tasks[[#This Row],[Cost]])</f>
        <v/>
      </c>
      <c r="AU25" s="53"/>
      <c r="AV25" s="53"/>
      <c r="AW25" s="29"/>
      <c r="AX25" s="65"/>
      <c r="AY25" s="64"/>
      <c r="AZ25" s="28" t="str">
        <f aca="false">IF(OR(Tasks[[#This Row],[Task Name]]="",Tasks[[#This Row],[Baseline Duration]]=""),"",Tasks[[#This Row],[BL Source Duration]]-N(Tasks[[#This Row],[Baseline Duration]]))</f>
        <v/>
      </c>
      <c r="BA25" s="62" t="str">
        <f aca="false">IF(OR(Tasks[[#This Row],[Task Name]]="",Tasks[[#This Row],[Baseline Work]]=""),"",Tasks[[#This Row],[Work]]-N(Tasks[[#This Row],[Baseline Work]]))</f>
        <v/>
      </c>
      <c r="BB25" s="63" t="str">
        <f aca="false">IF(OR(Tasks[[#This Row],[Task Name]]="",Tasks[[#This Row],[Baseline Cost]]=""),"",Tasks[[#This Row],[Cost]]-N(Tasks[[#This Row],[Baseline Cost]]))</f>
        <v/>
      </c>
      <c r="BC2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5" s="43" t="str">
        <f aca="false">IF(Tasks[[#This Row],[Task Name]]="","",MAX(1,N(Tasks[[#This Row],[Level]])))</f>
        <v/>
      </c>
      <c r="BH25" s="43" t="n">
        <f aca="false">ROW()-ROW(Tasks[[#Headers],[ID]])</f>
        <v>20</v>
      </c>
      <c r="BI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5" s="43" t="n">
        <f aca="false">IFERROR(N(INDEX(Tasks[_Level],Tasks[[#This Row],[_Row]]+1)),0)</f>
        <v>0</v>
      </c>
      <c r="BK25" s="66" t="b">
        <f aca="false">AND(Tasks[[#This Row],[Task Name]]&lt;&gt;"",Tasks[[#This Row],[_NextLevel]]&gt;Tasks[[#This Row],[_Level]])</f>
        <v>0</v>
      </c>
      <c r="BL25" s="43" t="n">
        <f aca="false">IF(Tasks[[#This Row],[_IsSummary]],COUNTIF(Tasks[WBS],Tasks[[#This Row],[WBS]]&amp;".*"),0)</f>
        <v>0</v>
      </c>
      <c r="BM25" s="43" t="n">
        <f aca="false">IF(AND(Tasks[[#This Row],[Task Name]]&lt;&gt;"",NOT(Tasks[[#This Row],[_IsSummary]])),1,0)</f>
        <v>0</v>
      </c>
      <c r="BN25" s="43" t="n">
        <f aca="false">IF(N(Tasks[[#This Row],[Pred1 UID]])=0,0,IFERROR(MATCH(Tasks[[#This Row],[Pred1 UID]],Tasks[UID],0),-1))</f>
        <v>0</v>
      </c>
      <c r="BO25" s="43" t="n">
        <f aca="false">IF(N(Tasks[[#This Row],[Pred2 UID]])=0,0,IFERROR(MATCH(Tasks[[#This Row],[Pred2 UID]],Tasks[UID],0),-1))</f>
        <v>0</v>
      </c>
      <c r="BP2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5" s="43" t="n">
        <f aca="false">IF(NOT(Tasks[[#This Row],[_IsLeaf]]=1),0,IF(N(Tasks[[#This Row],[Actual Finish]])&gt;0,1,MIN(1,N(Tasks[[#This Row],[% Complete]]))))</f>
        <v>0</v>
      </c>
      <c r="BU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5" s="43" t="n">
        <f aca="false">IF(Tasks[[#This Row],[_LeafWork]]=0,0,Tasks[[#This Row],[_LeafWork]]*IFERROR(INDEX(res_Rate,MATCH(Tasks[[#This Row],[Resource]],res_Name,0)),0))</f>
        <v>0</v>
      </c>
      <c r="BW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5" s="43" t="n">
        <f aca="false">IF(NOT(Tasks[[#This Row],[_IsLeaf]]=1),0,MAX(_xlfn.MAXIFS(Tasks[_Row],Tasks[Pred1 UID],Tasks[[#This Row],[UID]]),_xlfn.MAXIFS(Tasks[_Row],Tasks[Pred2 UID],Tasks[[#This Row],[UID]])))</f>
        <v>0</v>
      </c>
      <c r="CB2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5" s="67" t="str">
        <f aca="false">IF(NOT(Tasks[[#This Row],[_IsLeaf]]=1),"",MIN(ProjectFinish,IF(N(Tasks[[#This Row],[Deadline]])&gt;0,Tasks[[#This Row],[Deadline]],2958465),Tasks[[#This Row],[_SuccessorFinishLimit]]))</f>
        <v/>
      </c>
      <c r="CD2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5" s="66" t="b">
        <f aca="false">AND(Tasks[[#This Row],[_IsLeaf]]=1,Tasks[[#This Row],[_LeafProgress]]&lt;1,N(Tasks[[#This Row],[_LeafTotalSlack]])&lt;=CriticalSlackDays)</f>
        <v>0</v>
      </c>
      <c r="CG2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5" s="43" t="n">
        <f aca="false">IF(AND(Tasks[[#This Row],[_IsLeaf]]=1,Tasks[[#This Row],[_LeafWork]]&gt;0),NETWORKDAYS.INTL(ProjectStart,Tasks[[#This Row],[_LeafFcstStart]],WorkWeek,Holidays),0)</f>
        <v>0</v>
      </c>
      <c r="CP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5" s="43" t="n">
        <f aca="false">IF(AND(Tasks[[#This Row],[_IsLeaf]]=1,Tasks[[#This Row],[_LeafWork]]&gt;0),Tasks[[#This Row],[_LeafWork]]/(Tasks[[#This Row],[_FinishWorkday]]-Tasks[[#This Row],[_StartWorkday]]+1),0)</f>
        <v>0</v>
      </c>
      <c r="CR25" s="43" t="n">
        <f aca="false">Tasks[[#This Row],[_WorkPerWorkday]]*(Tasks[[#This Row],[_StartWorkday]]-1)</f>
        <v>-0</v>
      </c>
      <c r="CS25" s="43" t="n">
        <f aca="false">IF(Tasks[[#This Row],[_IsLeaf]]=1,MAX(N(Tasks[[#This Row],[Duration]]),0.1),0)</f>
        <v>0</v>
      </c>
      <c r="CT25" s="43" t="n">
        <f aca="false">Tasks[[#This Row],[_WeightDur]]*Tasks[[#This Row],[_LeafProgress]]</f>
        <v>0</v>
      </c>
      <c r="CU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5" s="43" t="str">
        <f aca="false">IF(AND(Tasks[[#This Row],[_IsLeaf]]=1,N(Tasks[[#This Row],[Duration]])=0,Tasks[[#This Row],[_LeafProgress]]&lt;1),Tasks[[#This Row],[_LeafFcstFinish]]+Tasks[[#This Row],[_Row]]/100000,"")</f>
        <v/>
      </c>
      <c r="DA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5" s="43" t="n">
        <f aca="false">IF(NOT(Tasks[[#This Row],[_IsLeaf]]=1),0,IF(Tasks[[#This Row],[Baseline Cost]]="",Tasks[[#This Row],[_LeafCost]],N(Tasks[[#This Row],[Baseline Cost]])))</f>
        <v>0</v>
      </c>
      <c r="DC25" s="43" t="n">
        <f aca="false">Tasks[[#This Row],[_LeafBudget]]*Tasks[[#This Row],[_PlannedPct]]</f>
        <v>0</v>
      </c>
      <c r="DD25" s="43" t="n">
        <f aca="false">Tasks[[#This Row],[_LeafBudget]]*Tasks[[#This Row],[_LeafProgress]]</f>
        <v>0</v>
      </c>
      <c r="DE25" s="43" t="n">
        <f aca="false">IF(NOT(Tasks[[#This Row],[_IsLeaf]]=1),0,IF(Tasks[[#This Row],[Actual Cost]]="",Tasks[[#This Row],[_LeafCost]]*Tasks[[#This Row],[_LeafProgress]],N(Tasks[[#This Row],[Actual Cost]])))</f>
        <v>0</v>
      </c>
      <c r="DF25" s="43" t="str">
        <f aca="false">IF(Tasks[[#This Row],[Task Name]]="","",LEFT(Tasks[[#This Row],[WBS]],FIND(".",Tasks[[#This Row],[WBS]]&amp;".")-1))</f>
        <v/>
      </c>
      <c r="DG25" s="43" t="str">
        <f aca="false">IF(AND(Tasks[[#This Row],[Task Name]]&lt;&gt;"",Tasks[[#This Row],[_Level]]=1),Tasks[[#This Row],[_Row]],"")</f>
        <v/>
      </c>
      <c r="DH25" s="43" t="str">
        <f aca="false">IF(AND(Tasks[[#This Row],[_IsLeaf]]=1,N(Tasks[[#This Row],[Duration]])=0),Tasks[[#This Row],[Planned Finish]]+Tasks[[#This Row],[_Row]]/100000,"")</f>
        <v/>
      </c>
      <c r="DI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5" s="43" t="str">
        <f aca="false">IF(Tasks[[#This Row],[_LeafCritical]],Tasks[[#This Row],[_LeafFcstStart]]+Tasks[[#This Row],[_Row]]/100000,"")</f>
        <v/>
      </c>
    </row>
    <row r="26" customFormat="false" ht="15" hidden="false" customHeight="false" outlineLevel="0" collapsed="false">
      <c r="A26" s="28" t="str">
        <f aca="false">IF(Tasks[[#This Row],[Task Name]]="","",COUNTA(Tasks[[#Headers],[Task Name]]:Tasks[[#This Row],[Task Name]])-1)</f>
        <v/>
      </c>
      <c r="B26" s="29" t="n">
        <v>21</v>
      </c>
      <c r="C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29"/>
      <c r="E26" s="30"/>
      <c r="F26" s="29"/>
      <c r="G26" s="29"/>
      <c r="H26" s="29"/>
      <c r="I26" s="29"/>
      <c r="J26" s="29"/>
      <c r="K26" s="29"/>
      <c r="L26" s="29"/>
      <c r="M26" s="29"/>
      <c r="N26" s="53"/>
      <c r="O26" s="53"/>
      <c r="P26" s="25" t="str">
        <f aca="false">IF(Tasks[[#This Row],[Task Name]]="","",IF(N(Tasks[[#This Row],[Baseline Start]])&gt;0,Tasks[[#This Row],[Baseline Start]],Tasks[[#This Row],[_CalcStart]]))</f>
        <v/>
      </c>
      <c r="Q26" s="25" t="str">
        <f aca="false">IF(Tasks[[#This Row],[Task Name]]="","",IF(N(Tasks[[#This Row],[Baseline Finish]])&gt;0,Tasks[[#This Row],[Baseline Finish]],Tasks[[#This Row],[_CalcFinish]]))</f>
        <v/>
      </c>
      <c r="R26" s="53"/>
      <c r="S26" s="53"/>
      <c r="T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55"/>
      <c r="AF2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6" s="30"/>
      <c r="AI26" s="55"/>
      <c r="AJ2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6" s="64"/>
      <c r="AM2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6" s="30"/>
      <c r="AP26" s="25" t="str">
        <f aca="false">IF(Tasks[[#This Row],[Task Name]]="","",Tasks[[#This Row],[Forecast Start]])</f>
        <v/>
      </c>
      <c r="AQ26" s="25" t="str">
        <f aca="false">IF(Tasks[[#This Row],[Task Name]]="","",Tasks[[#This Row],[Forecast Finish]])</f>
        <v/>
      </c>
      <c r="AR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6" s="62" t="str">
        <f aca="false">IF(Tasks[[#This Row],[Task Name]]="","",Tasks[[#This Row],[Work]])</f>
        <v/>
      </c>
      <c r="AT26" s="63" t="str">
        <f aca="false">IF(Tasks[[#This Row],[Task Name]]="","",Tasks[[#This Row],[Cost]])</f>
        <v/>
      </c>
      <c r="AU26" s="53"/>
      <c r="AV26" s="53"/>
      <c r="AW26" s="29"/>
      <c r="AX26" s="65"/>
      <c r="AY26" s="64"/>
      <c r="AZ26" s="28" t="str">
        <f aca="false">IF(OR(Tasks[[#This Row],[Task Name]]="",Tasks[[#This Row],[Baseline Duration]]=""),"",Tasks[[#This Row],[BL Source Duration]]-N(Tasks[[#This Row],[Baseline Duration]]))</f>
        <v/>
      </c>
      <c r="BA26" s="62" t="str">
        <f aca="false">IF(OR(Tasks[[#This Row],[Task Name]]="",Tasks[[#This Row],[Baseline Work]]=""),"",Tasks[[#This Row],[Work]]-N(Tasks[[#This Row],[Baseline Work]]))</f>
        <v/>
      </c>
      <c r="BB26" s="63" t="str">
        <f aca="false">IF(OR(Tasks[[#This Row],[Task Name]]="",Tasks[[#This Row],[Baseline Cost]]=""),"",Tasks[[#This Row],[Cost]]-N(Tasks[[#This Row],[Baseline Cost]]))</f>
        <v/>
      </c>
      <c r="BC2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6" s="43" t="str">
        <f aca="false">IF(Tasks[[#This Row],[Task Name]]="","",MAX(1,N(Tasks[[#This Row],[Level]])))</f>
        <v/>
      </c>
      <c r="BH26" s="43" t="n">
        <f aca="false">ROW()-ROW(Tasks[[#Headers],[ID]])</f>
        <v>21</v>
      </c>
      <c r="BI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6" s="43" t="n">
        <f aca="false">IFERROR(N(INDEX(Tasks[_Level],Tasks[[#This Row],[_Row]]+1)),0)</f>
        <v>0</v>
      </c>
      <c r="BK26" s="66" t="b">
        <f aca="false">AND(Tasks[[#This Row],[Task Name]]&lt;&gt;"",Tasks[[#This Row],[_NextLevel]]&gt;Tasks[[#This Row],[_Level]])</f>
        <v>0</v>
      </c>
      <c r="BL26" s="43" t="n">
        <f aca="false">IF(Tasks[[#This Row],[_IsSummary]],COUNTIF(Tasks[WBS],Tasks[[#This Row],[WBS]]&amp;".*"),0)</f>
        <v>0</v>
      </c>
      <c r="BM26" s="43" t="n">
        <f aca="false">IF(AND(Tasks[[#This Row],[Task Name]]&lt;&gt;"",NOT(Tasks[[#This Row],[_IsSummary]])),1,0)</f>
        <v>0</v>
      </c>
      <c r="BN26" s="43" t="n">
        <f aca="false">IF(N(Tasks[[#This Row],[Pred1 UID]])=0,0,IFERROR(MATCH(Tasks[[#This Row],[Pred1 UID]],Tasks[UID],0),-1))</f>
        <v>0</v>
      </c>
      <c r="BO26" s="43" t="n">
        <f aca="false">IF(N(Tasks[[#This Row],[Pred2 UID]])=0,0,IFERROR(MATCH(Tasks[[#This Row],[Pred2 UID]],Tasks[UID],0),-1))</f>
        <v>0</v>
      </c>
      <c r="BP2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6" s="43" t="n">
        <f aca="false">IF(NOT(Tasks[[#This Row],[_IsLeaf]]=1),0,IF(N(Tasks[[#This Row],[Actual Finish]])&gt;0,1,MIN(1,N(Tasks[[#This Row],[% Complete]]))))</f>
        <v>0</v>
      </c>
      <c r="BU2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6" s="43" t="n">
        <f aca="false">IF(Tasks[[#This Row],[_LeafWork]]=0,0,Tasks[[#This Row],[_LeafWork]]*IFERROR(INDEX(res_Rate,MATCH(Tasks[[#This Row],[Resource]],res_Name,0)),0))</f>
        <v>0</v>
      </c>
      <c r="BW2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6" s="43" t="n">
        <f aca="false">IF(NOT(Tasks[[#This Row],[_IsLeaf]]=1),0,MAX(_xlfn.MAXIFS(Tasks[_Row],Tasks[Pred1 UID],Tasks[[#This Row],[UID]]),_xlfn.MAXIFS(Tasks[_Row],Tasks[Pred2 UID],Tasks[[#This Row],[UID]])))</f>
        <v>0</v>
      </c>
      <c r="CB2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6" s="67" t="str">
        <f aca="false">IF(NOT(Tasks[[#This Row],[_IsLeaf]]=1),"",MIN(ProjectFinish,IF(N(Tasks[[#This Row],[Deadline]])&gt;0,Tasks[[#This Row],[Deadline]],2958465),Tasks[[#This Row],[_SuccessorFinishLimit]]))</f>
        <v/>
      </c>
      <c r="CD2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6" s="66" t="b">
        <f aca="false">AND(Tasks[[#This Row],[_IsLeaf]]=1,Tasks[[#This Row],[_LeafProgress]]&lt;1,N(Tasks[[#This Row],[_LeafTotalSlack]])&lt;=CriticalSlackDays)</f>
        <v>0</v>
      </c>
      <c r="CG2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6" s="43" t="n">
        <f aca="false">IF(AND(Tasks[[#This Row],[_IsLeaf]]=1,Tasks[[#This Row],[_LeafWork]]&gt;0),NETWORKDAYS.INTL(ProjectStart,Tasks[[#This Row],[_LeafFcstStart]],WorkWeek,Holidays),0)</f>
        <v>0</v>
      </c>
      <c r="CP2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6" s="43" t="n">
        <f aca="false">IF(AND(Tasks[[#This Row],[_IsLeaf]]=1,Tasks[[#This Row],[_LeafWork]]&gt;0),Tasks[[#This Row],[_LeafWork]]/(Tasks[[#This Row],[_FinishWorkday]]-Tasks[[#This Row],[_StartWorkday]]+1),0)</f>
        <v>0</v>
      </c>
      <c r="CR26" s="43" t="n">
        <f aca="false">Tasks[[#This Row],[_WorkPerWorkday]]*(Tasks[[#This Row],[_StartWorkday]]-1)</f>
        <v>-0</v>
      </c>
      <c r="CS26" s="43" t="n">
        <f aca="false">IF(Tasks[[#This Row],[_IsLeaf]]=1,MAX(N(Tasks[[#This Row],[Duration]]),0.1),0)</f>
        <v>0</v>
      </c>
      <c r="CT26" s="43" t="n">
        <f aca="false">Tasks[[#This Row],[_WeightDur]]*Tasks[[#This Row],[_LeafProgress]]</f>
        <v>0</v>
      </c>
      <c r="CU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6" s="43" t="str">
        <f aca="false">IF(AND(Tasks[[#This Row],[_IsLeaf]]=1,N(Tasks[[#This Row],[Duration]])=0,Tasks[[#This Row],[_LeafProgress]]&lt;1),Tasks[[#This Row],[_LeafFcstFinish]]+Tasks[[#This Row],[_Row]]/100000,"")</f>
        <v/>
      </c>
      <c r="DA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6" s="43" t="n">
        <f aca="false">IF(NOT(Tasks[[#This Row],[_IsLeaf]]=1),0,IF(Tasks[[#This Row],[Baseline Cost]]="",Tasks[[#This Row],[_LeafCost]],N(Tasks[[#This Row],[Baseline Cost]])))</f>
        <v>0</v>
      </c>
      <c r="DC26" s="43" t="n">
        <f aca="false">Tasks[[#This Row],[_LeafBudget]]*Tasks[[#This Row],[_PlannedPct]]</f>
        <v>0</v>
      </c>
      <c r="DD26" s="43" t="n">
        <f aca="false">Tasks[[#This Row],[_LeafBudget]]*Tasks[[#This Row],[_LeafProgress]]</f>
        <v>0</v>
      </c>
      <c r="DE26" s="43" t="n">
        <f aca="false">IF(NOT(Tasks[[#This Row],[_IsLeaf]]=1),0,IF(Tasks[[#This Row],[Actual Cost]]="",Tasks[[#This Row],[_LeafCost]]*Tasks[[#This Row],[_LeafProgress]],N(Tasks[[#This Row],[Actual Cost]])))</f>
        <v>0</v>
      </c>
      <c r="DF26" s="43" t="str">
        <f aca="false">IF(Tasks[[#This Row],[Task Name]]="","",LEFT(Tasks[[#This Row],[WBS]],FIND(".",Tasks[[#This Row],[WBS]]&amp;".")-1))</f>
        <v/>
      </c>
      <c r="DG26" s="43" t="str">
        <f aca="false">IF(AND(Tasks[[#This Row],[Task Name]]&lt;&gt;"",Tasks[[#This Row],[_Level]]=1),Tasks[[#This Row],[_Row]],"")</f>
        <v/>
      </c>
      <c r="DH26" s="43" t="str">
        <f aca="false">IF(AND(Tasks[[#This Row],[_IsLeaf]]=1,N(Tasks[[#This Row],[Duration]])=0),Tasks[[#This Row],[Planned Finish]]+Tasks[[#This Row],[_Row]]/100000,"")</f>
        <v/>
      </c>
      <c r="DI2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6" s="43" t="str">
        <f aca="false">IF(Tasks[[#This Row],[_LeafCritical]],Tasks[[#This Row],[_LeafFcstStart]]+Tasks[[#This Row],[_Row]]/100000,"")</f>
        <v/>
      </c>
    </row>
    <row r="27" customFormat="false" ht="15" hidden="false" customHeight="false" outlineLevel="0" collapsed="false">
      <c r="A27" s="28" t="str">
        <f aca="false">IF(Tasks[[#This Row],[Task Name]]="","",COUNTA(Tasks[[#Headers],[Task Name]]:Tasks[[#This Row],[Task Name]])-1)</f>
        <v/>
      </c>
      <c r="B27" s="29" t="n">
        <v>22</v>
      </c>
      <c r="C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29"/>
      <c r="E27" s="30"/>
      <c r="F27" s="29"/>
      <c r="G27" s="29"/>
      <c r="H27" s="29"/>
      <c r="I27" s="29"/>
      <c r="J27" s="29"/>
      <c r="K27" s="29"/>
      <c r="L27" s="29"/>
      <c r="M27" s="29"/>
      <c r="N27" s="53"/>
      <c r="O27" s="53"/>
      <c r="P27" s="25" t="str">
        <f aca="false">IF(Tasks[[#This Row],[Task Name]]="","",IF(N(Tasks[[#This Row],[Baseline Start]])&gt;0,Tasks[[#This Row],[Baseline Start]],Tasks[[#This Row],[_CalcStart]]))</f>
        <v/>
      </c>
      <c r="Q27" s="25" t="str">
        <f aca="false">IF(Tasks[[#This Row],[Task Name]]="","",IF(N(Tasks[[#This Row],[Baseline Finish]])&gt;0,Tasks[[#This Row],[Baseline Finish]],Tasks[[#This Row],[_CalcFinish]]))</f>
        <v/>
      </c>
      <c r="R27" s="53"/>
      <c r="S27" s="53"/>
      <c r="T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55"/>
      <c r="AF2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7" s="30"/>
      <c r="AI27" s="55"/>
      <c r="AJ2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7" s="64"/>
      <c r="AM2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7" s="30"/>
      <c r="AP27" s="25" t="str">
        <f aca="false">IF(Tasks[[#This Row],[Task Name]]="","",Tasks[[#This Row],[Forecast Start]])</f>
        <v/>
      </c>
      <c r="AQ27" s="25" t="str">
        <f aca="false">IF(Tasks[[#This Row],[Task Name]]="","",Tasks[[#This Row],[Forecast Finish]])</f>
        <v/>
      </c>
      <c r="AR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7" s="62" t="str">
        <f aca="false">IF(Tasks[[#This Row],[Task Name]]="","",Tasks[[#This Row],[Work]])</f>
        <v/>
      </c>
      <c r="AT27" s="63" t="str">
        <f aca="false">IF(Tasks[[#This Row],[Task Name]]="","",Tasks[[#This Row],[Cost]])</f>
        <v/>
      </c>
      <c r="AU27" s="53"/>
      <c r="AV27" s="53"/>
      <c r="AW27" s="29"/>
      <c r="AX27" s="65"/>
      <c r="AY27" s="64"/>
      <c r="AZ27" s="28" t="str">
        <f aca="false">IF(OR(Tasks[[#This Row],[Task Name]]="",Tasks[[#This Row],[Baseline Duration]]=""),"",Tasks[[#This Row],[BL Source Duration]]-N(Tasks[[#This Row],[Baseline Duration]]))</f>
        <v/>
      </c>
      <c r="BA27" s="62" t="str">
        <f aca="false">IF(OR(Tasks[[#This Row],[Task Name]]="",Tasks[[#This Row],[Baseline Work]]=""),"",Tasks[[#This Row],[Work]]-N(Tasks[[#This Row],[Baseline Work]]))</f>
        <v/>
      </c>
      <c r="BB27" s="63" t="str">
        <f aca="false">IF(OR(Tasks[[#This Row],[Task Name]]="",Tasks[[#This Row],[Baseline Cost]]=""),"",Tasks[[#This Row],[Cost]]-N(Tasks[[#This Row],[Baseline Cost]]))</f>
        <v/>
      </c>
      <c r="BC2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7" s="43" t="str">
        <f aca="false">IF(Tasks[[#This Row],[Task Name]]="","",MAX(1,N(Tasks[[#This Row],[Level]])))</f>
        <v/>
      </c>
      <c r="BH27" s="43" t="n">
        <f aca="false">ROW()-ROW(Tasks[[#Headers],[ID]])</f>
        <v>22</v>
      </c>
      <c r="BI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7" s="43" t="n">
        <f aca="false">IFERROR(N(INDEX(Tasks[_Level],Tasks[[#This Row],[_Row]]+1)),0)</f>
        <v>0</v>
      </c>
      <c r="BK27" s="66" t="b">
        <f aca="false">AND(Tasks[[#This Row],[Task Name]]&lt;&gt;"",Tasks[[#This Row],[_NextLevel]]&gt;Tasks[[#This Row],[_Level]])</f>
        <v>0</v>
      </c>
      <c r="BL27" s="43" t="n">
        <f aca="false">IF(Tasks[[#This Row],[_IsSummary]],COUNTIF(Tasks[WBS],Tasks[[#This Row],[WBS]]&amp;".*"),0)</f>
        <v>0</v>
      </c>
      <c r="BM27" s="43" t="n">
        <f aca="false">IF(AND(Tasks[[#This Row],[Task Name]]&lt;&gt;"",NOT(Tasks[[#This Row],[_IsSummary]])),1,0)</f>
        <v>0</v>
      </c>
      <c r="BN27" s="43" t="n">
        <f aca="false">IF(N(Tasks[[#This Row],[Pred1 UID]])=0,0,IFERROR(MATCH(Tasks[[#This Row],[Pred1 UID]],Tasks[UID],0),-1))</f>
        <v>0</v>
      </c>
      <c r="BO27" s="43" t="n">
        <f aca="false">IF(N(Tasks[[#This Row],[Pred2 UID]])=0,0,IFERROR(MATCH(Tasks[[#This Row],[Pred2 UID]],Tasks[UID],0),-1))</f>
        <v>0</v>
      </c>
      <c r="BP2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7" s="43" t="n">
        <f aca="false">IF(NOT(Tasks[[#This Row],[_IsLeaf]]=1),0,IF(N(Tasks[[#This Row],[Actual Finish]])&gt;0,1,MIN(1,N(Tasks[[#This Row],[% Complete]]))))</f>
        <v>0</v>
      </c>
      <c r="BU2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7" s="43" t="n">
        <f aca="false">IF(Tasks[[#This Row],[_LeafWork]]=0,0,Tasks[[#This Row],[_LeafWork]]*IFERROR(INDEX(res_Rate,MATCH(Tasks[[#This Row],[Resource]],res_Name,0)),0))</f>
        <v>0</v>
      </c>
      <c r="BW2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7" s="43" t="n">
        <f aca="false">IF(NOT(Tasks[[#This Row],[_IsLeaf]]=1),0,MAX(_xlfn.MAXIFS(Tasks[_Row],Tasks[Pred1 UID],Tasks[[#This Row],[UID]]),_xlfn.MAXIFS(Tasks[_Row],Tasks[Pred2 UID],Tasks[[#This Row],[UID]])))</f>
        <v>0</v>
      </c>
      <c r="CB2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7" s="67" t="str">
        <f aca="false">IF(NOT(Tasks[[#This Row],[_IsLeaf]]=1),"",MIN(ProjectFinish,IF(N(Tasks[[#This Row],[Deadline]])&gt;0,Tasks[[#This Row],[Deadline]],2958465),Tasks[[#This Row],[_SuccessorFinishLimit]]))</f>
        <v/>
      </c>
      <c r="CD2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7" s="66" t="b">
        <f aca="false">AND(Tasks[[#This Row],[_IsLeaf]]=1,Tasks[[#This Row],[_LeafProgress]]&lt;1,N(Tasks[[#This Row],[_LeafTotalSlack]])&lt;=CriticalSlackDays)</f>
        <v>0</v>
      </c>
      <c r="CG2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7" s="43" t="n">
        <f aca="false">IF(AND(Tasks[[#This Row],[_IsLeaf]]=1,Tasks[[#This Row],[_LeafWork]]&gt;0),NETWORKDAYS.INTL(ProjectStart,Tasks[[#This Row],[_LeafFcstStart]],WorkWeek,Holidays),0)</f>
        <v>0</v>
      </c>
      <c r="CP2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7" s="43" t="n">
        <f aca="false">IF(AND(Tasks[[#This Row],[_IsLeaf]]=1,Tasks[[#This Row],[_LeafWork]]&gt;0),Tasks[[#This Row],[_LeafWork]]/(Tasks[[#This Row],[_FinishWorkday]]-Tasks[[#This Row],[_StartWorkday]]+1),0)</f>
        <v>0</v>
      </c>
      <c r="CR27" s="43" t="n">
        <f aca="false">Tasks[[#This Row],[_WorkPerWorkday]]*(Tasks[[#This Row],[_StartWorkday]]-1)</f>
        <v>-0</v>
      </c>
      <c r="CS27" s="43" t="n">
        <f aca="false">IF(Tasks[[#This Row],[_IsLeaf]]=1,MAX(N(Tasks[[#This Row],[Duration]]),0.1),0)</f>
        <v>0</v>
      </c>
      <c r="CT27" s="43" t="n">
        <f aca="false">Tasks[[#This Row],[_WeightDur]]*Tasks[[#This Row],[_LeafProgress]]</f>
        <v>0</v>
      </c>
      <c r="CU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7" s="43" t="str">
        <f aca="false">IF(AND(Tasks[[#This Row],[_IsLeaf]]=1,N(Tasks[[#This Row],[Duration]])=0,Tasks[[#This Row],[_LeafProgress]]&lt;1),Tasks[[#This Row],[_LeafFcstFinish]]+Tasks[[#This Row],[_Row]]/100000,"")</f>
        <v/>
      </c>
      <c r="DA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7" s="43" t="n">
        <f aca="false">IF(NOT(Tasks[[#This Row],[_IsLeaf]]=1),0,IF(Tasks[[#This Row],[Baseline Cost]]="",Tasks[[#This Row],[_LeafCost]],N(Tasks[[#This Row],[Baseline Cost]])))</f>
        <v>0</v>
      </c>
      <c r="DC27" s="43" t="n">
        <f aca="false">Tasks[[#This Row],[_LeafBudget]]*Tasks[[#This Row],[_PlannedPct]]</f>
        <v>0</v>
      </c>
      <c r="DD27" s="43" t="n">
        <f aca="false">Tasks[[#This Row],[_LeafBudget]]*Tasks[[#This Row],[_LeafProgress]]</f>
        <v>0</v>
      </c>
      <c r="DE27" s="43" t="n">
        <f aca="false">IF(NOT(Tasks[[#This Row],[_IsLeaf]]=1),0,IF(Tasks[[#This Row],[Actual Cost]]="",Tasks[[#This Row],[_LeafCost]]*Tasks[[#This Row],[_LeafProgress]],N(Tasks[[#This Row],[Actual Cost]])))</f>
        <v>0</v>
      </c>
      <c r="DF27" s="43" t="str">
        <f aca="false">IF(Tasks[[#This Row],[Task Name]]="","",LEFT(Tasks[[#This Row],[WBS]],FIND(".",Tasks[[#This Row],[WBS]]&amp;".")-1))</f>
        <v/>
      </c>
      <c r="DG27" s="43" t="str">
        <f aca="false">IF(AND(Tasks[[#This Row],[Task Name]]&lt;&gt;"",Tasks[[#This Row],[_Level]]=1),Tasks[[#This Row],[_Row]],"")</f>
        <v/>
      </c>
      <c r="DH27" s="43" t="str">
        <f aca="false">IF(AND(Tasks[[#This Row],[_IsLeaf]]=1,N(Tasks[[#This Row],[Duration]])=0),Tasks[[#This Row],[Planned Finish]]+Tasks[[#This Row],[_Row]]/100000,"")</f>
        <v/>
      </c>
      <c r="DI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7" s="43" t="str">
        <f aca="false">IF(Tasks[[#This Row],[_LeafCritical]],Tasks[[#This Row],[_LeafFcstStart]]+Tasks[[#This Row],[_Row]]/100000,"")</f>
        <v/>
      </c>
    </row>
    <row r="28" customFormat="false" ht="15" hidden="false" customHeight="false" outlineLevel="0" collapsed="false">
      <c r="A28" s="28" t="str">
        <f aca="false">IF(Tasks[[#This Row],[Task Name]]="","",COUNTA(Tasks[[#Headers],[Task Name]]:Tasks[[#This Row],[Task Name]])-1)</f>
        <v/>
      </c>
      <c r="B28" s="29" t="n">
        <v>23</v>
      </c>
      <c r="C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29"/>
      <c r="E28" s="30"/>
      <c r="F28" s="29"/>
      <c r="G28" s="29"/>
      <c r="H28" s="29"/>
      <c r="I28" s="29"/>
      <c r="J28" s="29"/>
      <c r="K28" s="29"/>
      <c r="L28" s="29"/>
      <c r="M28" s="29"/>
      <c r="N28" s="53"/>
      <c r="O28" s="53"/>
      <c r="P28" s="25" t="str">
        <f aca="false">IF(Tasks[[#This Row],[Task Name]]="","",IF(N(Tasks[[#This Row],[Baseline Start]])&gt;0,Tasks[[#This Row],[Baseline Start]],Tasks[[#This Row],[_CalcStart]]))</f>
        <v/>
      </c>
      <c r="Q28" s="25" t="str">
        <f aca="false">IF(Tasks[[#This Row],[Task Name]]="","",IF(N(Tasks[[#This Row],[Baseline Finish]])&gt;0,Tasks[[#This Row],[Baseline Finish]],Tasks[[#This Row],[_CalcFinish]]))</f>
        <v/>
      </c>
      <c r="R28" s="53"/>
      <c r="S28" s="53"/>
      <c r="T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55"/>
      <c r="AF2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8" s="30"/>
      <c r="AI28" s="55"/>
      <c r="AJ2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8" s="64"/>
      <c r="AM2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8" s="30"/>
      <c r="AP28" s="25" t="str">
        <f aca="false">IF(Tasks[[#This Row],[Task Name]]="","",Tasks[[#This Row],[Forecast Start]])</f>
        <v/>
      </c>
      <c r="AQ28" s="25" t="str">
        <f aca="false">IF(Tasks[[#This Row],[Task Name]]="","",Tasks[[#This Row],[Forecast Finish]])</f>
        <v/>
      </c>
      <c r="AR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8" s="62" t="str">
        <f aca="false">IF(Tasks[[#This Row],[Task Name]]="","",Tasks[[#This Row],[Work]])</f>
        <v/>
      </c>
      <c r="AT28" s="63" t="str">
        <f aca="false">IF(Tasks[[#This Row],[Task Name]]="","",Tasks[[#This Row],[Cost]])</f>
        <v/>
      </c>
      <c r="AU28" s="53"/>
      <c r="AV28" s="53"/>
      <c r="AW28" s="29"/>
      <c r="AX28" s="65"/>
      <c r="AY28" s="64"/>
      <c r="AZ28" s="28" t="str">
        <f aca="false">IF(OR(Tasks[[#This Row],[Task Name]]="",Tasks[[#This Row],[Baseline Duration]]=""),"",Tasks[[#This Row],[BL Source Duration]]-N(Tasks[[#This Row],[Baseline Duration]]))</f>
        <v/>
      </c>
      <c r="BA28" s="62" t="str">
        <f aca="false">IF(OR(Tasks[[#This Row],[Task Name]]="",Tasks[[#This Row],[Baseline Work]]=""),"",Tasks[[#This Row],[Work]]-N(Tasks[[#This Row],[Baseline Work]]))</f>
        <v/>
      </c>
      <c r="BB28" s="63" t="str">
        <f aca="false">IF(OR(Tasks[[#This Row],[Task Name]]="",Tasks[[#This Row],[Baseline Cost]]=""),"",Tasks[[#This Row],[Cost]]-N(Tasks[[#This Row],[Baseline Cost]]))</f>
        <v/>
      </c>
      <c r="BC2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8" s="43" t="str">
        <f aca="false">IF(Tasks[[#This Row],[Task Name]]="","",MAX(1,N(Tasks[[#This Row],[Level]])))</f>
        <v/>
      </c>
      <c r="BH28" s="43" t="n">
        <f aca="false">ROW()-ROW(Tasks[[#Headers],[ID]])</f>
        <v>23</v>
      </c>
      <c r="BI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8" s="43" t="n">
        <f aca="false">IFERROR(N(INDEX(Tasks[_Level],Tasks[[#This Row],[_Row]]+1)),0)</f>
        <v>0</v>
      </c>
      <c r="BK28" s="66" t="b">
        <f aca="false">AND(Tasks[[#This Row],[Task Name]]&lt;&gt;"",Tasks[[#This Row],[_NextLevel]]&gt;Tasks[[#This Row],[_Level]])</f>
        <v>0</v>
      </c>
      <c r="BL28" s="43" t="n">
        <f aca="false">IF(Tasks[[#This Row],[_IsSummary]],COUNTIF(Tasks[WBS],Tasks[[#This Row],[WBS]]&amp;".*"),0)</f>
        <v>0</v>
      </c>
      <c r="BM28" s="43" t="n">
        <f aca="false">IF(AND(Tasks[[#This Row],[Task Name]]&lt;&gt;"",NOT(Tasks[[#This Row],[_IsSummary]])),1,0)</f>
        <v>0</v>
      </c>
      <c r="BN28" s="43" t="n">
        <f aca="false">IF(N(Tasks[[#This Row],[Pred1 UID]])=0,0,IFERROR(MATCH(Tasks[[#This Row],[Pred1 UID]],Tasks[UID],0),-1))</f>
        <v>0</v>
      </c>
      <c r="BO28" s="43" t="n">
        <f aca="false">IF(N(Tasks[[#This Row],[Pred2 UID]])=0,0,IFERROR(MATCH(Tasks[[#This Row],[Pred2 UID]],Tasks[UID],0),-1))</f>
        <v>0</v>
      </c>
      <c r="BP2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8" s="43" t="n">
        <f aca="false">IF(NOT(Tasks[[#This Row],[_IsLeaf]]=1),0,IF(N(Tasks[[#This Row],[Actual Finish]])&gt;0,1,MIN(1,N(Tasks[[#This Row],[% Complete]]))))</f>
        <v>0</v>
      </c>
      <c r="BU2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8" s="43" t="n">
        <f aca="false">IF(Tasks[[#This Row],[_LeafWork]]=0,0,Tasks[[#This Row],[_LeafWork]]*IFERROR(INDEX(res_Rate,MATCH(Tasks[[#This Row],[Resource]],res_Name,0)),0))</f>
        <v>0</v>
      </c>
      <c r="BW2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8" s="43" t="n">
        <f aca="false">IF(NOT(Tasks[[#This Row],[_IsLeaf]]=1),0,MAX(_xlfn.MAXIFS(Tasks[_Row],Tasks[Pred1 UID],Tasks[[#This Row],[UID]]),_xlfn.MAXIFS(Tasks[_Row],Tasks[Pred2 UID],Tasks[[#This Row],[UID]])))</f>
        <v>0</v>
      </c>
      <c r="CB2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8" s="67" t="str">
        <f aca="false">IF(NOT(Tasks[[#This Row],[_IsLeaf]]=1),"",MIN(ProjectFinish,IF(N(Tasks[[#This Row],[Deadline]])&gt;0,Tasks[[#This Row],[Deadline]],2958465),Tasks[[#This Row],[_SuccessorFinishLimit]]))</f>
        <v/>
      </c>
      <c r="CD2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8" s="66" t="b">
        <f aca="false">AND(Tasks[[#This Row],[_IsLeaf]]=1,Tasks[[#This Row],[_LeafProgress]]&lt;1,N(Tasks[[#This Row],[_LeafTotalSlack]])&lt;=CriticalSlackDays)</f>
        <v>0</v>
      </c>
      <c r="CG2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8" s="43" t="n">
        <f aca="false">IF(AND(Tasks[[#This Row],[_IsLeaf]]=1,Tasks[[#This Row],[_LeafWork]]&gt;0),NETWORKDAYS.INTL(ProjectStart,Tasks[[#This Row],[_LeafFcstStart]],WorkWeek,Holidays),0)</f>
        <v>0</v>
      </c>
      <c r="CP2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8" s="43" t="n">
        <f aca="false">IF(AND(Tasks[[#This Row],[_IsLeaf]]=1,Tasks[[#This Row],[_LeafWork]]&gt;0),Tasks[[#This Row],[_LeafWork]]/(Tasks[[#This Row],[_FinishWorkday]]-Tasks[[#This Row],[_StartWorkday]]+1),0)</f>
        <v>0</v>
      </c>
      <c r="CR28" s="43" t="n">
        <f aca="false">Tasks[[#This Row],[_WorkPerWorkday]]*(Tasks[[#This Row],[_StartWorkday]]-1)</f>
        <v>-0</v>
      </c>
      <c r="CS28" s="43" t="n">
        <f aca="false">IF(Tasks[[#This Row],[_IsLeaf]]=1,MAX(N(Tasks[[#This Row],[Duration]]),0.1),0)</f>
        <v>0</v>
      </c>
      <c r="CT28" s="43" t="n">
        <f aca="false">Tasks[[#This Row],[_WeightDur]]*Tasks[[#This Row],[_LeafProgress]]</f>
        <v>0</v>
      </c>
      <c r="CU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8" s="43" t="str">
        <f aca="false">IF(AND(Tasks[[#This Row],[_IsLeaf]]=1,N(Tasks[[#This Row],[Duration]])=0,Tasks[[#This Row],[_LeafProgress]]&lt;1),Tasks[[#This Row],[_LeafFcstFinish]]+Tasks[[#This Row],[_Row]]/100000,"")</f>
        <v/>
      </c>
      <c r="DA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8" s="43" t="n">
        <f aca="false">IF(NOT(Tasks[[#This Row],[_IsLeaf]]=1),0,IF(Tasks[[#This Row],[Baseline Cost]]="",Tasks[[#This Row],[_LeafCost]],N(Tasks[[#This Row],[Baseline Cost]])))</f>
        <v>0</v>
      </c>
      <c r="DC28" s="43" t="n">
        <f aca="false">Tasks[[#This Row],[_LeafBudget]]*Tasks[[#This Row],[_PlannedPct]]</f>
        <v>0</v>
      </c>
      <c r="DD28" s="43" t="n">
        <f aca="false">Tasks[[#This Row],[_LeafBudget]]*Tasks[[#This Row],[_LeafProgress]]</f>
        <v>0</v>
      </c>
      <c r="DE28" s="43" t="n">
        <f aca="false">IF(NOT(Tasks[[#This Row],[_IsLeaf]]=1),0,IF(Tasks[[#This Row],[Actual Cost]]="",Tasks[[#This Row],[_LeafCost]]*Tasks[[#This Row],[_LeafProgress]],N(Tasks[[#This Row],[Actual Cost]])))</f>
        <v>0</v>
      </c>
      <c r="DF28" s="43" t="str">
        <f aca="false">IF(Tasks[[#This Row],[Task Name]]="","",LEFT(Tasks[[#This Row],[WBS]],FIND(".",Tasks[[#This Row],[WBS]]&amp;".")-1))</f>
        <v/>
      </c>
      <c r="DG28" s="43" t="str">
        <f aca="false">IF(AND(Tasks[[#This Row],[Task Name]]&lt;&gt;"",Tasks[[#This Row],[_Level]]=1),Tasks[[#This Row],[_Row]],"")</f>
        <v/>
      </c>
      <c r="DH28" s="43" t="str">
        <f aca="false">IF(AND(Tasks[[#This Row],[_IsLeaf]]=1,N(Tasks[[#This Row],[Duration]])=0),Tasks[[#This Row],[Planned Finish]]+Tasks[[#This Row],[_Row]]/100000,"")</f>
        <v/>
      </c>
      <c r="DI2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8" s="43" t="str">
        <f aca="false">IF(Tasks[[#This Row],[_LeafCritical]],Tasks[[#This Row],[_LeafFcstStart]]+Tasks[[#This Row],[_Row]]/100000,"")</f>
        <v/>
      </c>
    </row>
    <row r="29" customFormat="false" ht="15" hidden="false" customHeight="false" outlineLevel="0" collapsed="false">
      <c r="A29" s="28" t="str">
        <f aca="false">IF(Tasks[[#This Row],[Task Name]]="","",COUNTA(Tasks[[#Headers],[Task Name]]:Tasks[[#This Row],[Task Name]])-1)</f>
        <v/>
      </c>
      <c r="B29" s="29" t="n">
        <v>24</v>
      </c>
      <c r="C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29"/>
      <c r="E29" s="30"/>
      <c r="F29" s="29"/>
      <c r="G29" s="29"/>
      <c r="H29" s="29"/>
      <c r="I29" s="29"/>
      <c r="J29" s="29"/>
      <c r="K29" s="29"/>
      <c r="L29" s="29"/>
      <c r="M29" s="29"/>
      <c r="N29" s="53"/>
      <c r="O29" s="53"/>
      <c r="P29" s="25" t="str">
        <f aca="false">IF(Tasks[[#This Row],[Task Name]]="","",IF(N(Tasks[[#This Row],[Baseline Start]])&gt;0,Tasks[[#This Row],[Baseline Start]],Tasks[[#This Row],[_CalcStart]]))</f>
        <v/>
      </c>
      <c r="Q29" s="25" t="str">
        <f aca="false">IF(Tasks[[#This Row],[Task Name]]="","",IF(N(Tasks[[#This Row],[Baseline Finish]])&gt;0,Tasks[[#This Row],[Baseline Finish]],Tasks[[#This Row],[_CalcFinish]]))</f>
        <v/>
      </c>
      <c r="R29" s="53"/>
      <c r="S29" s="53"/>
      <c r="T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55"/>
      <c r="AF2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9" s="30"/>
      <c r="AI29" s="55"/>
      <c r="AJ2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9" s="64"/>
      <c r="AM2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9" s="30"/>
      <c r="AP29" s="25" t="str">
        <f aca="false">IF(Tasks[[#This Row],[Task Name]]="","",Tasks[[#This Row],[Forecast Start]])</f>
        <v/>
      </c>
      <c r="AQ29" s="25" t="str">
        <f aca="false">IF(Tasks[[#This Row],[Task Name]]="","",Tasks[[#This Row],[Forecast Finish]])</f>
        <v/>
      </c>
      <c r="AR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9" s="62" t="str">
        <f aca="false">IF(Tasks[[#This Row],[Task Name]]="","",Tasks[[#This Row],[Work]])</f>
        <v/>
      </c>
      <c r="AT29" s="63" t="str">
        <f aca="false">IF(Tasks[[#This Row],[Task Name]]="","",Tasks[[#This Row],[Cost]])</f>
        <v/>
      </c>
      <c r="AU29" s="53"/>
      <c r="AV29" s="53"/>
      <c r="AW29" s="29"/>
      <c r="AX29" s="65"/>
      <c r="AY29" s="64"/>
      <c r="AZ29" s="28" t="str">
        <f aca="false">IF(OR(Tasks[[#This Row],[Task Name]]="",Tasks[[#This Row],[Baseline Duration]]=""),"",Tasks[[#This Row],[BL Source Duration]]-N(Tasks[[#This Row],[Baseline Duration]]))</f>
        <v/>
      </c>
      <c r="BA29" s="62" t="str">
        <f aca="false">IF(OR(Tasks[[#This Row],[Task Name]]="",Tasks[[#This Row],[Baseline Work]]=""),"",Tasks[[#This Row],[Work]]-N(Tasks[[#This Row],[Baseline Work]]))</f>
        <v/>
      </c>
      <c r="BB29" s="63" t="str">
        <f aca="false">IF(OR(Tasks[[#This Row],[Task Name]]="",Tasks[[#This Row],[Baseline Cost]]=""),"",Tasks[[#This Row],[Cost]]-N(Tasks[[#This Row],[Baseline Cost]]))</f>
        <v/>
      </c>
      <c r="BC2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9" s="43" t="str">
        <f aca="false">IF(Tasks[[#This Row],[Task Name]]="","",MAX(1,N(Tasks[[#This Row],[Level]])))</f>
        <v/>
      </c>
      <c r="BH29" s="43" t="n">
        <f aca="false">ROW()-ROW(Tasks[[#Headers],[ID]])</f>
        <v>24</v>
      </c>
      <c r="BI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9" s="43" t="n">
        <f aca="false">IFERROR(N(INDEX(Tasks[_Level],Tasks[[#This Row],[_Row]]+1)),0)</f>
        <v>0</v>
      </c>
      <c r="BK29" s="66" t="b">
        <f aca="false">AND(Tasks[[#This Row],[Task Name]]&lt;&gt;"",Tasks[[#This Row],[_NextLevel]]&gt;Tasks[[#This Row],[_Level]])</f>
        <v>0</v>
      </c>
      <c r="BL29" s="43" t="n">
        <f aca="false">IF(Tasks[[#This Row],[_IsSummary]],COUNTIF(Tasks[WBS],Tasks[[#This Row],[WBS]]&amp;".*"),0)</f>
        <v>0</v>
      </c>
      <c r="BM29" s="43" t="n">
        <f aca="false">IF(AND(Tasks[[#This Row],[Task Name]]&lt;&gt;"",NOT(Tasks[[#This Row],[_IsSummary]])),1,0)</f>
        <v>0</v>
      </c>
      <c r="BN29" s="43" t="n">
        <f aca="false">IF(N(Tasks[[#This Row],[Pred1 UID]])=0,0,IFERROR(MATCH(Tasks[[#This Row],[Pred1 UID]],Tasks[UID],0),-1))</f>
        <v>0</v>
      </c>
      <c r="BO29" s="43" t="n">
        <f aca="false">IF(N(Tasks[[#This Row],[Pred2 UID]])=0,0,IFERROR(MATCH(Tasks[[#This Row],[Pred2 UID]],Tasks[UID],0),-1))</f>
        <v>0</v>
      </c>
      <c r="BP2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9" s="43" t="n">
        <f aca="false">IF(NOT(Tasks[[#This Row],[_IsLeaf]]=1),0,IF(N(Tasks[[#This Row],[Actual Finish]])&gt;0,1,MIN(1,N(Tasks[[#This Row],[% Complete]]))))</f>
        <v>0</v>
      </c>
      <c r="BU2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9" s="43" t="n">
        <f aca="false">IF(Tasks[[#This Row],[_LeafWork]]=0,0,Tasks[[#This Row],[_LeafWork]]*IFERROR(INDEX(res_Rate,MATCH(Tasks[[#This Row],[Resource]],res_Name,0)),0))</f>
        <v>0</v>
      </c>
      <c r="BW2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9" s="43" t="n">
        <f aca="false">IF(NOT(Tasks[[#This Row],[_IsLeaf]]=1),0,MAX(_xlfn.MAXIFS(Tasks[_Row],Tasks[Pred1 UID],Tasks[[#This Row],[UID]]),_xlfn.MAXIFS(Tasks[_Row],Tasks[Pred2 UID],Tasks[[#This Row],[UID]])))</f>
        <v>0</v>
      </c>
      <c r="CB2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9" s="67" t="str">
        <f aca="false">IF(NOT(Tasks[[#This Row],[_IsLeaf]]=1),"",MIN(ProjectFinish,IF(N(Tasks[[#This Row],[Deadline]])&gt;0,Tasks[[#This Row],[Deadline]],2958465),Tasks[[#This Row],[_SuccessorFinishLimit]]))</f>
        <v/>
      </c>
      <c r="CD2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9" s="66" t="b">
        <f aca="false">AND(Tasks[[#This Row],[_IsLeaf]]=1,Tasks[[#This Row],[_LeafProgress]]&lt;1,N(Tasks[[#This Row],[_LeafTotalSlack]])&lt;=CriticalSlackDays)</f>
        <v>0</v>
      </c>
      <c r="CG2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9" s="43" t="n">
        <f aca="false">IF(AND(Tasks[[#This Row],[_IsLeaf]]=1,Tasks[[#This Row],[_LeafWork]]&gt;0),NETWORKDAYS.INTL(ProjectStart,Tasks[[#This Row],[_LeafFcstStart]],WorkWeek,Holidays),0)</f>
        <v>0</v>
      </c>
      <c r="CP2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9" s="43" t="n">
        <f aca="false">IF(AND(Tasks[[#This Row],[_IsLeaf]]=1,Tasks[[#This Row],[_LeafWork]]&gt;0),Tasks[[#This Row],[_LeafWork]]/(Tasks[[#This Row],[_FinishWorkday]]-Tasks[[#This Row],[_StartWorkday]]+1),0)</f>
        <v>0</v>
      </c>
      <c r="CR29" s="43" t="n">
        <f aca="false">Tasks[[#This Row],[_WorkPerWorkday]]*(Tasks[[#This Row],[_StartWorkday]]-1)</f>
        <v>-0</v>
      </c>
      <c r="CS29" s="43" t="n">
        <f aca="false">IF(Tasks[[#This Row],[_IsLeaf]]=1,MAX(N(Tasks[[#This Row],[Duration]]),0.1),0)</f>
        <v>0</v>
      </c>
      <c r="CT29" s="43" t="n">
        <f aca="false">Tasks[[#This Row],[_WeightDur]]*Tasks[[#This Row],[_LeafProgress]]</f>
        <v>0</v>
      </c>
      <c r="CU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9" s="43" t="str">
        <f aca="false">IF(AND(Tasks[[#This Row],[_IsLeaf]]=1,N(Tasks[[#This Row],[Duration]])=0,Tasks[[#This Row],[_LeafProgress]]&lt;1),Tasks[[#This Row],[_LeafFcstFinish]]+Tasks[[#This Row],[_Row]]/100000,"")</f>
        <v/>
      </c>
      <c r="DA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9" s="43" t="n">
        <f aca="false">IF(NOT(Tasks[[#This Row],[_IsLeaf]]=1),0,IF(Tasks[[#This Row],[Baseline Cost]]="",Tasks[[#This Row],[_LeafCost]],N(Tasks[[#This Row],[Baseline Cost]])))</f>
        <v>0</v>
      </c>
      <c r="DC29" s="43" t="n">
        <f aca="false">Tasks[[#This Row],[_LeafBudget]]*Tasks[[#This Row],[_PlannedPct]]</f>
        <v>0</v>
      </c>
      <c r="DD29" s="43" t="n">
        <f aca="false">Tasks[[#This Row],[_LeafBudget]]*Tasks[[#This Row],[_LeafProgress]]</f>
        <v>0</v>
      </c>
      <c r="DE29" s="43" t="n">
        <f aca="false">IF(NOT(Tasks[[#This Row],[_IsLeaf]]=1),0,IF(Tasks[[#This Row],[Actual Cost]]="",Tasks[[#This Row],[_LeafCost]]*Tasks[[#This Row],[_LeafProgress]],N(Tasks[[#This Row],[Actual Cost]])))</f>
        <v>0</v>
      </c>
      <c r="DF29" s="43" t="str">
        <f aca="false">IF(Tasks[[#This Row],[Task Name]]="","",LEFT(Tasks[[#This Row],[WBS]],FIND(".",Tasks[[#This Row],[WBS]]&amp;".")-1))</f>
        <v/>
      </c>
      <c r="DG29" s="43" t="str">
        <f aca="false">IF(AND(Tasks[[#This Row],[Task Name]]&lt;&gt;"",Tasks[[#This Row],[_Level]]=1),Tasks[[#This Row],[_Row]],"")</f>
        <v/>
      </c>
      <c r="DH29" s="43" t="str">
        <f aca="false">IF(AND(Tasks[[#This Row],[_IsLeaf]]=1,N(Tasks[[#This Row],[Duration]])=0),Tasks[[#This Row],[Planned Finish]]+Tasks[[#This Row],[_Row]]/100000,"")</f>
        <v/>
      </c>
      <c r="DI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9" s="43" t="str">
        <f aca="false">IF(Tasks[[#This Row],[_LeafCritical]],Tasks[[#This Row],[_LeafFcstStart]]+Tasks[[#This Row],[_Row]]/100000,"")</f>
        <v/>
      </c>
    </row>
    <row r="30" customFormat="false" ht="15" hidden="false" customHeight="false" outlineLevel="0" collapsed="false">
      <c r="A30" s="28" t="str">
        <f aca="false">IF(Tasks[[#This Row],[Task Name]]="","",COUNTA(Tasks[[#Headers],[Task Name]]:Tasks[[#This Row],[Task Name]])-1)</f>
        <v/>
      </c>
      <c r="B30" s="29" t="n">
        <v>25</v>
      </c>
      <c r="C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29"/>
      <c r="E30" s="30"/>
      <c r="F30" s="29"/>
      <c r="G30" s="29"/>
      <c r="H30" s="29"/>
      <c r="I30" s="29"/>
      <c r="J30" s="29"/>
      <c r="K30" s="29"/>
      <c r="L30" s="29"/>
      <c r="M30" s="29"/>
      <c r="N30" s="53"/>
      <c r="O30" s="53"/>
      <c r="P30" s="25" t="str">
        <f aca="false">IF(Tasks[[#This Row],[Task Name]]="","",IF(N(Tasks[[#This Row],[Baseline Start]])&gt;0,Tasks[[#This Row],[Baseline Start]],Tasks[[#This Row],[_CalcStart]]))</f>
        <v/>
      </c>
      <c r="Q30" s="25" t="str">
        <f aca="false">IF(Tasks[[#This Row],[Task Name]]="","",IF(N(Tasks[[#This Row],[Baseline Finish]])&gt;0,Tasks[[#This Row],[Baseline Finish]],Tasks[[#This Row],[_CalcFinish]]))</f>
        <v/>
      </c>
      <c r="R30" s="53"/>
      <c r="S30" s="53"/>
      <c r="T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55"/>
      <c r="AF3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0" s="30"/>
      <c r="AI30" s="55"/>
      <c r="AJ3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0" s="64"/>
      <c r="AM3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0" s="30"/>
      <c r="AP30" s="25" t="str">
        <f aca="false">IF(Tasks[[#This Row],[Task Name]]="","",Tasks[[#This Row],[Forecast Start]])</f>
        <v/>
      </c>
      <c r="AQ30" s="25" t="str">
        <f aca="false">IF(Tasks[[#This Row],[Task Name]]="","",Tasks[[#This Row],[Forecast Finish]])</f>
        <v/>
      </c>
      <c r="AR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0" s="62" t="str">
        <f aca="false">IF(Tasks[[#This Row],[Task Name]]="","",Tasks[[#This Row],[Work]])</f>
        <v/>
      </c>
      <c r="AT30" s="63" t="str">
        <f aca="false">IF(Tasks[[#This Row],[Task Name]]="","",Tasks[[#This Row],[Cost]])</f>
        <v/>
      </c>
      <c r="AU30" s="53"/>
      <c r="AV30" s="53"/>
      <c r="AW30" s="29"/>
      <c r="AX30" s="65"/>
      <c r="AY30" s="64"/>
      <c r="AZ30" s="28" t="str">
        <f aca="false">IF(OR(Tasks[[#This Row],[Task Name]]="",Tasks[[#This Row],[Baseline Duration]]=""),"",Tasks[[#This Row],[BL Source Duration]]-N(Tasks[[#This Row],[Baseline Duration]]))</f>
        <v/>
      </c>
      <c r="BA30" s="62" t="str">
        <f aca="false">IF(OR(Tasks[[#This Row],[Task Name]]="",Tasks[[#This Row],[Baseline Work]]=""),"",Tasks[[#This Row],[Work]]-N(Tasks[[#This Row],[Baseline Work]]))</f>
        <v/>
      </c>
      <c r="BB30" s="63" t="str">
        <f aca="false">IF(OR(Tasks[[#This Row],[Task Name]]="",Tasks[[#This Row],[Baseline Cost]]=""),"",Tasks[[#This Row],[Cost]]-N(Tasks[[#This Row],[Baseline Cost]]))</f>
        <v/>
      </c>
      <c r="BC3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0" s="43" t="str">
        <f aca="false">IF(Tasks[[#This Row],[Task Name]]="","",MAX(1,N(Tasks[[#This Row],[Level]])))</f>
        <v/>
      </c>
      <c r="BH30" s="43" t="n">
        <f aca="false">ROW()-ROW(Tasks[[#Headers],[ID]])</f>
        <v>25</v>
      </c>
      <c r="BI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0" s="43" t="n">
        <f aca="false">IFERROR(N(INDEX(Tasks[_Level],Tasks[[#This Row],[_Row]]+1)),0)</f>
        <v>0</v>
      </c>
      <c r="BK30" s="66" t="b">
        <f aca="false">AND(Tasks[[#This Row],[Task Name]]&lt;&gt;"",Tasks[[#This Row],[_NextLevel]]&gt;Tasks[[#This Row],[_Level]])</f>
        <v>0</v>
      </c>
      <c r="BL30" s="43" t="n">
        <f aca="false">IF(Tasks[[#This Row],[_IsSummary]],COUNTIF(Tasks[WBS],Tasks[[#This Row],[WBS]]&amp;".*"),0)</f>
        <v>0</v>
      </c>
      <c r="BM30" s="43" t="n">
        <f aca="false">IF(AND(Tasks[[#This Row],[Task Name]]&lt;&gt;"",NOT(Tasks[[#This Row],[_IsSummary]])),1,0)</f>
        <v>0</v>
      </c>
      <c r="BN30" s="43" t="n">
        <f aca="false">IF(N(Tasks[[#This Row],[Pred1 UID]])=0,0,IFERROR(MATCH(Tasks[[#This Row],[Pred1 UID]],Tasks[UID],0),-1))</f>
        <v>0</v>
      </c>
      <c r="BO30" s="43" t="n">
        <f aca="false">IF(N(Tasks[[#This Row],[Pred2 UID]])=0,0,IFERROR(MATCH(Tasks[[#This Row],[Pred2 UID]],Tasks[UID],0),-1))</f>
        <v>0</v>
      </c>
      <c r="BP3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0" s="43" t="n">
        <f aca="false">IF(NOT(Tasks[[#This Row],[_IsLeaf]]=1),0,IF(N(Tasks[[#This Row],[Actual Finish]])&gt;0,1,MIN(1,N(Tasks[[#This Row],[% Complete]]))))</f>
        <v>0</v>
      </c>
      <c r="BU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0" s="43" t="n">
        <f aca="false">IF(Tasks[[#This Row],[_LeafWork]]=0,0,Tasks[[#This Row],[_LeafWork]]*IFERROR(INDEX(res_Rate,MATCH(Tasks[[#This Row],[Resource]],res_Name,0)),0))</f>
        <v>0</v>
      </c>
      <c r="BW3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0" s="43" t="n">
        <f aca="false">IF(NOT(Tasks[[#This Row],[_IsLeaf]]=1),0,MAX(_xlfn.MAXIFS(Tasks[_Row],Tasks[Pred1 UID],Tasks[[#This Row],[UID]]),_xlfn.MAXIFS(Tasks[_Row],Tasks[Pred2 UID],Tasks[[#This Row],[UID]])))</f>
        <v>0</v>
      </c>
      <c r="CB3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0" s="67" t="str">
        <f aca="false">IF(NOT(Tasks[[#This Row],[_IsLeaf]]=1),"",MIN(ProjectFinish,IF(N(Tasks[[#This Row],[Deadline]])&gt;0,Tasks[[#This Row],[Deadline]],2958465),Tasks[[#This Row],[_SuccessorFinishLimit]]))</f>
        <v/>
      </c>
      <c r="CD3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0" s="66" t="b">
        <f aca="false">AND(Tasks[[#This Row],[_IsLeaf]]=1,Tasks[[#This Row],[_LeafProgress]]&lt;1,N(Tasks[[#This Row],[_LeafTotalSlack]])&lt;=CriticalSlackDays)</f>
        <v>0</v>
      </c>
      <c r="CG3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0" s="43" t="n">
        <f aca="false">IF(AND(Tasks[[#This Row],[_IsLeaf]]=1,Tasks[[#This Row],[_LeafWork]]&gt;0),NETWORKDAYS.INTL(ProjectStart,Tasks[[#This Row],[_LeafFcstStart]],WorkWeek,Holidays),0)</f>
        <v>0</v>
      </c>
      <c r="CP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0" s="43" t="n">
        <f aca="false">IF(AND(Tasks[[#This Row],[_IsLeaf]]=1,Tasks[[#This Row],[_LeafWork]]&gt;0),Tasks[[#This Row],[_LeafWork]]/(Tasks[[#This Row],[_FinishWorkday]]-Tasks[[#This Row],[_StartWorkday]]+1),0)</f>
        <v>0</v>
      </c>
      <c r="CR30" s="43" t="n">
        <f aca="false">Tasks[[#This Row],[_WorkPerWorkday]]*(Tasks[[#This Row],[_StartWorkday]]-1)</f>
        <v>-0</v>
      </c>
      <c r="CS30" s="43" t="n">
        <f aca="false">IF(Tasks[[#This Row],[_IsLeaf]]=1,MAX(N(Tasks[[#This Row],[Duration]]),0.1),0)</f>
        <v>0</v>
      </c>
      <c r="CT30" s="43" t="n">
        <f aca="false">Tasks[[#This Row],[_WeightDur]]*Tasks[[#This Row],[_LeafProgress]]</f>
        <v>0</v>
      </c>
      <c r="CU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0" s="43" t="str">
        <f aca="false">IF(AND(Tasks[[#This Row],[_IsLeaf]]=1,N(Tasks[[#This Row],[Duration]])=0,Tasks[[#This Row],[_LeafProgress]]&lt;1),Tasks[[#This Row],[_LeafFcstFinish]]+Tasks[[#This Row],[_Row]]/100000,"")</f>
        <v/>
      </c>
      <c r="DA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0" s="43" t="n">
        <f aca="false">IF(NOT(Tasks[[#This Row],[_IsLeaf]]=1),0,IF(Tasks[[#This Row],[Baseline Cost]]="",Tasks[[#This Row],[_LeafCost]],N(Tasks[[#This Row],[Baseline Cost]])))</f>
        <v>0</v>
      </c>
      <c r="DC30" s="43" t="n">
        <f aca="false">Tasks[[#This Row],[_LeafBudget]]*Tasks[[#This Row],[_PlannedPct]]</f>
        <v>0</v>
      </c>
      <c r="DD30" s="43" t="n">
        <f aca="false">Tasks[[#This Row],[_LeafBudget]]*Tasks[[#This Row],[_LeafProgress]]</f>
        <v>0</v>
      </c>
      <c r="DE30" s="43" t="n">
        <f aca="false">IF(NOT(Tasks[[#This Row],[_IsLeaf]]=1),0,IF(Tasks[[#This Row],[Actual Cost]]="",Tasks[[#This Row],[_LeafCost]]*Tasks[[#This Row],[_LeafProgress]],N(Tasks[[#This Row],[Actual Cost]])))</f>
        <v>0</v>
      </c>
      <c r="DF30" s="43" t="str">
        <f aca="false">IF(Tasks[[#This Row],[Task Name]]="","",LEFT(Tasks[[#This Row],[WBS]],FIND(".",Tasks[[#This Row],[WBS]]&amp;".")-1))</f>
        <v/>
      </c>
      <c r="DG30" s="43" t="str">
        <f aca="false">IF(AND(Tasks[[#This Row],[Task Name]]&lt;&gt;"",Tasks[[#This Row],[_Level]]=1),Tasks[[#This Row],[_Row]],"")</f>
        <v/>
      </c>
      <c r="DH30" s="43" t="str">
        <f aca="false">IF(AND(Tasks[[#This Row],[_IsLeaf]]=1,N(Tasks[[#This Row],[Duration]])=0),Tasks[[#This Row],[Planned Finish]]+Tasks[[#This Row],[_Row]]/100000,"")</f>
        <v/>
      </c>
      <c r="DI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0" s="43" t="str">
        <f aca="false">IF(Tasks[[#This Row],[_LeafCritical]],Tasks[[#This Row],[_LeafFcstStart]]+Tasks[[#This Row],[_Row]]/100000,"")</f>
        <v/>
      </c>
    </row>
    <row r="31" customFormat="false" ht="15" hidden="false" customHeight="false" outlineLevel="0" collapsed="false">
      <c r="A31" s="28" t="str">
        <f aca="false">IF(Tasks[[#This Row],[Task Name]]="","",COUNTA(Tasks[[#Headers],[Task Name]]:Tasks[[#This Row],[Task Name]])-1)</f>
        <v/>
      </c>
      <c r="B31" s="29" t="n">
        <v>26</v>
      </c>
      <c r="C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29"/>
      <c r="E31" s="30"/>
      <c r="F31" s="29"/>
      <c r="G31" s="29"/>
      <c r="H31" s="29"/>
      <c r="I31" s="29"/>
      <c r="J31" s="29"/>
      <c r="K31" s="29"/>
      <c r="L31" s="29"/>
      <c r="M31" s="29"/>
      <c r="N31" s="53"/>
      <c r="O31" s="53"/>
      <c r="P31" s="25" t="str">
        <f aca="false">IF(Tasks[[#This Row],[Task Name]]="","",IF(N(Tasks[[#This Row],[Baseline Start]])&gt;0,Tasks[[#This Row],[Baseline Start]],Tasks[[#This Row],[_CalcStart]]))</f>
        <v/>
      </c>
      <c r="Q31" s="25" t="str">
        <f aca="false">IF(Tasks[[#This Row],[Task Name]]="","",IF(N(Tasks[[#This Row],[Baseline Finish]])&gt;0,Tasks[[#This Row],[Baseline Finish]],Tasks[[#This Row],[_CalcFinish]]))</f>
        <v/>
      </c>
      <c r="R31" s="53"/>
      <c r="S31" s="53"/>
      <c r="T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55"/>
      <c r="AF3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1" s="30"/>
      <c r="AI31" s="55"/>
      <c r="AJ3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1" s="64"/>
      <c r="AM3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1" s="30"/>
      <c r="AP31" s="25" t="str">
        <f aca="false">IF(Tasks[[#This Row],[Task Name]]="","",Tasks[[#This Row],[Forecast Start]])</f>
        <v/>
      </c>
      <c r="AQ31" s="25" t="str">
        <f aca="false">IF(Tasks[[#This Row],[Task Name]]="","",Tasks[[#This Row],[Forecast Finish]])</f>
        <v/>
      </c>
      <c r="AR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1" s="62" t="str">
        <f aca="false">IF(Tasks[[#This Row],[Task Name]]="","",Tasks[[#This Row],[Work]])</f>
        <v/>
      </c>
      <c r="AT31" s="63" t="str">
        <f aca="false">IF(Tasks[[#This Row],[Task Name]]="","",Tasks[[#This Row],[Cost]])</f>
        <v/>
      </c>
      <c r="AU31" s="53"/>
      <c r="AV31" s="53"/>
      <c r="AW31" s="29"/>
      <c r="AX31" s="65"/>
      <c r="AY31" s="64"/>
      <c r="AZ31" s="28" t="str">
        <f aca="false">IF(OR(Tasks[[#This Row],[Task Name]]="",Tasks[[#This Row],[Baseline Duration]]=""),"",Tasks[[#This Row],[BL Source Duration]]-N(Tasks[[#This Row],[Baseline Duration]]))</f>
        <v/>
      </c>
      <c r="BA31" s="62" t="str">
        <f aca="false">IF(OR(Tasks[[#This Row],[Task Name]]="",Tasks[[#This Row],[Baseline Work]]=""),"",Tasks[[#This Row],[Work]]-N(Tasks[[#This Row],[Baseline Work]]))</f>
        <v/>
      </c>
      <c r="BB31" s="63" t="str">
        <f aca="false">IF(OR(Tasks[[#This Row],[Task Name]]="",Tasks[[#This Row],[Baseline Cost]]=""),"",Tasks[[#This Row],[Cost]]-N(Tasks[[#This Row],[Baseline Cost]]))</f>
        <v/>
      </c>
      <c r="BC3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1" s="43" t="str">
        <f aca="false">IF(Tasks[[#This Row],[Task Name]]="","",MAX(1,N(Tasks[[#This Row],[Level]])))</f>
        <v/>
      </c>
      <c r="BH31" s="43" t="n">
        <f aca="false">ROW()-ROW(Tasks[[#Headers],[ID]])</f>
        <v>26</v>
      </c>
      <c r="BI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1" s="43" t="n">
        <f aca="false">IFERROR(N(INDEX(Tasks[_Level],Tasks[[#This Row],[_Row]]+1)),0)</f>
        <v>0</v>
      </c>
      <c r="BK31" s="66" t="b">
        <f aca="false">AND(Tasks[[#This Row],[Task Name]]&lt;&gt;"",Tasks[[#This Row],[_NextLevel]]&gt;Tasks[[#This Row],[_Level]])</f>
        <v>0</v>
      </c>
      <c r="BL31" s="43" t="n">
        <f aca="false">IF(Tasks[[#This Row],[_IsSummary]],COUNTIF(Tasks[WBS],Tasks[[#This Row],[WBS]]&amp;".*"),0)</f>
        <v>0</v>
      </c>
      <c r="BM31" s="43" t="n">
        <f aca="false">IF(AND(Tasks[[#This Row],[Task Name]]&lt;&gt;"",NOT(Tasks[[#This Row],[_IsSummary]])),1,0)</f>
        <v>0</v>
      </c>
      <c r="BN31" s="43" t="n">
        <f aca="false">IF(N(Tasks[[#This Row],[Pred1 UID]])=0,0,IFERROR(MATCH(Tasks[[#This Row],[Pred1 UID]],Tasks[UID],0),-1))</f>
        <v>0</v>
      </c>
      <c r="BO31" s="43" t="n">
        <f aca="false">IF(N(Tasks[[#This Row],[Pred2 UID]])=0,0,IFERROR(MATCH(Tasks[[#This Row],[Pred2 UID]],Tasks[UID],0),-1))</f>
        <v>0</v>
      </c>
      <c r="BP3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1" s="43" t="n">
        <f aca="false">IF(NOT(Tasks[[#This Row],[_IsLeaf]]=1),0,IF(N(Tasks[[#This Row],[Actual Finish]])&gt;0,1,MIN(1,N(Tasks[[#This Row],[% Complete]]))))</f>
        <v>0</v>
      </c>
      <c r="BU3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1" s="43" t="n">
        <f aca="false">IF(Tasks[[#This Row],[_LeafWork]]=0,0,Tasks[[#This Row],[_LeafWork]]*IFERROR(INDEX(res_Rate,MATCH(Tasks[[#This Row],[Resource]],res_Name,0)),0))</f>
        <v>0</v>
      </c>
      <c r="BW3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1" s="43" t="n">
        <f aca="false">IF(NOT(Tasks[[#This Row],[_IsLeaf]]=1),0,MAX(_xlfn.MAXIFS(Tasks[_Row],Tasks[Pred1 UID],Tasks[[#This Row],[UID]]),_xlfn.MAXIFS(Tasks[_Row],Tasks[Pred2 UID],Tasks[[#This Row],[UID]])))</f>
        <v>0</v>
      </c>
      <c r="CB3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1" s="67" t="str">
        <f aca="false">IF(NOT(Tasks[[#This Row],[_IsLeaf]]=1),"",MIN(ProjectFinish,IF(N(Tasks[[#This Row],[Deadline]])&gt;0,Tasks[[#This Row],[Deadline]],2958465),Tasks[[#This Row],[_SuccessorFinishLimit]]))</f>
        <v/>
      </c>
      <c r="CD3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1" s="66" t="b">
        <f aca="false">AND(Tasks[[#This Row],[_IsLeaf]]=1,Tasks[[#This Row],[_LeafProgress]]&lt;1,N(Tasks[[#This Row],[_LeafTotalSlack]])&lt;=CriticalSlackDays)</f>
        <v>0</v>
      </c>
      <c r="CG3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1" s="43" t="n">
        <f aca="false">IF(AND(Tasks[[#This Row],[_IsLeaf]]=1,Tasks[[#This Row],[_LeafWork]]&gt;0),NETWORKDAYS.INTL(ProjectStart,Tasks[[#This Row],[_LeafFcstStart]],WorkWeek,Holidays),0)</f>
        <v>0</v>
      </c>
      <c r="CP3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1" s="43" t="n">
        <f aca="false">IF(AND(Tasks[[#This Row],[_IsLeaf]]=1,Tasks[[#This Row],[_LeafWork]]&gt;0),Tasks[[#This Row],[_LeafWork]]/(Tasks[[#This Row],[_FinishWorkday]]-Tasks[[#This Row],[_StartWorkday]]+1),0)</f>
        <v>0</v>
      </c>
      <c r="CR31" s="43" t="n">
        <f aca="false">Tasks[[#This Row],[_WorkPerWorkday]]*(Tasks[[#This Row],[_StartWorkday]]-1)</f>
        <v>-0</v>
      </c>
      <c r="CS31" s="43" t="n">
        <f aca="false">IF(Tasks[[#This Row],[_IsLeaf]]=1,MAX(N(Tasks[[#This Row],[Duration]]),0.1),0)</f>
        <v>0</v>
      </c>
      <c r="CT31" s="43" t="n">
        <f aca="false">Tasks[[#This Row],[_WeightDur]]*Tasks[[#This Row],[_LeafProgress]]</f>
        <v>0</v>
      </c>
      <c r="CU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1" s="43" t="str">
        <f aca="false">IF(AND(Tasks[[#This Row],[_IsLeaf]]=1,N(Tasks[[#This Row],[Duration]])=0,Tasks[[#This Row],[_LeafProgress]]&lt;1),Tasks[[#This Row],[_LeafFcstFinish]]+Tasks[[#This Row],[_Row]]/100000,"")</f>
        <v/>
      </c>
      <c r="DA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1" s="43" t="n">
        <f aca="false">IF(NOT(Tasks[[#This Row],[_IsLeaf]]=1),0,IF(Tasks[[#This Row],[Baseline Cost]]="",Tasks[[#This Row],[_LeafCost]],N(Tasks[[#This Row],[Baseline Cost]])))</f>
        <v>0</v>
      </c>
      <c r="DC31" s="43" t="n">
        <f aca="false">Tasks[[#This Row],[_LeafBudget]]*Tasks[[#This Row],[_PlannedPct]]</f>
        <v>0</v>
      </c>
      <c r="DD31" s="43" t="n">
        <f aca="false">Tasks[[#This Row],[_LeafBudget]]*Tasks[[#This Row],[_LeafProgress]]</f>
        <v>0</v>
      </c>
      <c r="DE31" s="43" t="n">
        <f aca="false">IF(NOT(Tasks[[#This Row],[_IsLeaf]]=1),0,IF(Tasks[[#This Row],[Actual Cost]]="",Tasks[[#This Row],[_LeafCost]]*Tasks[[#This Row],[_LeafProgress]],N(Tasks[[#This Row],[Actual Cost]])))</f>
        <v>0</v>
      </c>
      <c r="DF31" s="43" t="str">
        <f aca="false">IF(Tasks[[#This Row],[Task Name]]="","",LEFT(Tasks[[#This Row],[WBS]],FIND(".",Tasks[[#This Row],[WBS]]&amp;".")-1))</f>
        <v/>
      </c>
      <c r="DG31" s="43" t="str">
        <f aca="false">IF(AND(Tasks[[#This Row],[Task Name]]&lt;&gt;"",Tasks[[#This Row],[_Level]]=1),Tasks[[#This Row],[_Row]],"")</f>
        <v/>
      </c>
      <c r="DH31" s="43" t="str">
        <f aca="false">IF(AND(Tasks[[#This Row],[_IsLeaf]]=1,N(Tasks[[#This Row],[Duration]])=0),Tasks[[#This Row],[Planned Finish]]+Tasks[[#This Row],[_Row]]/100000,"")</f>
        <v/>
      </c>
      <c r="DI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1" s="43" t="str">
        <f aca="false">IF(Tasks[[#This Row],[_LeafCritical]],Tasks[[#This Row],[_LeafFcstStart]]+Tasks[[#This Row],[_Row]]/100000,"")</f>
        <v/>
      </c>
    </row>
    <row r="32" customFormat="false" ht="15" hidden="false" customHeight="false" outlineLevel="0" collapsed="false">
      <c r="A32" s="28" t="str">
        <f aca="false">IF(Tasks[[#This Row],[Task Name]]="","",COUNTA(Tasks[[#Headers],[Task Name]]:Tasks[[#This Row],[Task Name]])-1)</f>
        <v/>
      </c>
      <c r="B32" s="29" t="n">
        <v>27</v>
      </c>
      <c r="C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29"/>
      <c r="E32" s="30"/>
      <c r="F32" s="29"/>
      <c r="G32" s="29"/>
      <c r="H32" s="29"/>
      <c r="I32" s="29"/>
      <c r="J32" s="29"/>
      <c r="K32" s="29"/>
      <c r="L32" s="29"/>
      <c r="M32" s="29"/>
      <c r="N32" s="53"/>
      <c r="O32" s="53"/>
      <c r="P32" s="25" t="str">
        <f aca="false">IF(Tasks[[#This Row],[Task Name]]="","",IF(N(Tasks[[#This Row],[Baseline Start]])&gt;0,Tasks[[#This Row],[Baseline Start]],Tasks[[#This Row],[_CalcStart]]))</f>
        <v/>
      </c>
      <c r="Q32" s="25" t="str">
        <f aca="false">IF(Tasks[[#This Row],[Task Name]]="","",IF(N(Tasks[[#This Row],[Baseline Finish]])&gt;0,Tasks[[#This Row],[Baseline Finish]],Tasks[[#This Row],[_CalcFinish]]))</f>
        <v/>
      </c>
      <c r="R32" s="53"/>
      <c r="S32" s="53"/>
      <c r="T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55"/>
      <c r="AF3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2" s="30"/>
      <c r="AI32" s="55"/>
      <c r="AJ3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2" s="64"/>
      <c r="AM3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2" s="30"/>
      <c r="AP32" s="25" t="str">
        <f aca="false">IF(Tasks[[#This Row],[Task Name]]="","",Tasks[[#This Row],[Forecast Start]])</f>
        <v/>
      </c>
      <c r="AQ32" s="25" t="str">
        <f aca="false">IF(Tasks[[#This Row],[Task Name]]="","",Tasks[[#This Row],[Forecast Finish]])</f>
        <v/>
      </c>
      <c r="AR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2" s="62" t="str">
        <f aca="false">IF(Tasks[[#This Row],[Task Name]]="","",Tasks[[#This Row],[Work]])</f>
        <v/>
      </c>
      <c r="AT32" s="63" t="str">
        <f aca="false">IF(Tasks[[#This Row],[Task Name]]="","",Tasks[[#This Row],[Cost]])</f>
        <v/>
      </c>
      <c r="AU32" s="53"/>
      <c r="AV32" s="53"/>
      <c r="AW32" s="29"/>
      <c r="AX32" s="65"/>
      <c r="AY32" s="64"/>
      <c r="AZ32" s="28" t="str">
        <f aca="false">IF(OR(Tasks[[#This Row],[Task Name]]="",Tasks[[#This Row],[Baseline Duration]]=""),"",Tasks[[#This Row],[BL Source Duration]]-N(Tasks[[#This Row],[Baseline Duration]]))</f>
        <v/>
      </c>
      <c r="BA32" s="62" t="str">
        <f aca="false">IF(OR(Tasks[[#This Row],[Task Name]]="",Tasks[[#This Row],[Baseline Work]]=""),"",Tasks[[#This Row],[Work]]-N(Tasks[[#This Row],[Baseline Work]]))</f>
        <v/>
      </c>
      <c r="BB32" s="63" t="str">
        <f aca="false">IF(OR(Tasks[[#This Row],[Task Name]]="",Tasks[[#This Row],[Baseline Cost]]=""),"",Tasks[[#This Row],[Cost]]-N(Tasks[[#This Row],[Baseline Cost]]))</f>
        <v/>
      </c>
      <c r="BC3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2" s="43" t="str">
        <f aca="false">IF(Tasks[[#This Row],[Task Name]]="","",MAX(1,N(Tasks[[#This Row],[Level]])))</f>
        <v/>
      </c>
      <c r="BH32" s="43" t="n">
        <f aca="false">ROW()-ROW(Tasks[[#Headers],[ID]])</f>
        <v>27</v>
      </c>
      <c r="BI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2" s="43" t="n">
        <f aca="false">IFERROR(N(INDEX(Tasks[_Level],Tasks[[#This Row],[_Row]]+1)),0)</f>
        <v>0</v>
      </c>
      <c r="BK32" s="66" t="b">
        <f aca="false">AND(Tasks[[#This Row],[Task Name]]&lt;&gt;"",Tasks[[#This Row],[_NextLevel]]&gt;Tasks[[#This Row],[_Level]])</f>
        <v>0</v>
      </c>
      <c r="BL32" s="43" t="n">
        <f aca="false">IF(Tasks[[#This Row],[_IsSummary]],COUNTIF(Tasks[WBS],Tasks[[#This Row],[WBS]]&amp;".*"),0)</f>
        <v>0</v>
      </c>
      <c r="BM32" s="43" t="n">
        <f aca="false">IF(AND(Tasks[[#This Row],[Task Name]]&lt;&gt;"",NOT(Tasks[[#This Row],[_IsSummary]])),1,0)</f>
        <v>0</v>
      </c>
      <c r="BN32" s="43" t="n">
        <f aca="false">IF(N(Tasks[[#This Row],[Pred1 UID]])=0,0,IFERROR(MATCH(Tasks[[#This Row],[Pred1 UID]],Tasks[UID],0),-1))</f>
        <v>0</v>
      </c>
      <c r="BO32" s="43" t="n">
        <f aca="false">IF(N(Tasks[[#This Row],[Pred2 UID]])=0,0,IFERROR(MATCH(Tasks[[#This Row],[Pred2 UID]],Tasks[UID],0),-1))</f>
        <v>0</v>
      </c>
      <c r="BP3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2" s="43" t="n">
        <f aca="false">IF(NOT(Tasks[[#This Row],[_IsLeaf]]=1),0,IF(N(Tasks[[#This Row],[Actual Finish]])&gt;0,1,MIN(1,N(Tasks[[#This Row],[% Complete]]))))</f>
        <v>0</v>
      </c>
      <c r="BU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2" s="43" t="n">
        <f aca="false">IF(Tasks[[#This Row],[_LeafWork]]=0,0,Tasks[[#This Row],[_LeafWork]]*IFERROR(INDEX(res_Rate,MATCH(Tasks[[#This Row],[Resource]],res_Name,0)),0))</f>
        <v>0</v>
      </c>
      <c r="BW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2" s="43" t="n">
        <f aca="false">IF(NOT(Tasks[[#This Row],[_IsLeaf]]=1),0,MAX(_xlfn.MAXIFS(Tasks[_Row],Tasks[Pred1 UID],Tasks[[#This Row],[UID]]),_xlfn.MAXIFS(Tasks[_Row],Tasks[Pred2 UID],Tasks[[#This Row],[UID]])))</f>
        <v>0</v>
      </c>
      <c r="CB3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2" s="67" t="str">
        <f aca="false">IF(NOT(Tasks[[#This Row],[_IsLeaf]]=1),"",MIN(ProjectFinish,IF(N(Tasks[[#This Row],[Deadline]])&gt;0,Tasks[[#This Row],[Deadline]],2958465),Tasks[[#This Row],[_SuccessorFinishLimit]]))</f>
        <v/>
      </c>
      <c r="CD3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2" s="66" t="b">
        <f aca="false">AND(Tasks[[#This Row],[_IsLeaf]]=1,Tasks[[#This Row],[_LeafProgress]]&lt;1,N(Tasks[[#This Row],[_LeafTotalSlack]])&lt;=CriticalSlackDays)</f>
        <v>0</v>
      </c>
      <c r="CG3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2" s="43" t="n">
        <f aca="false">IF(AND(Tasks[[#This Row],[_IsLeaf]]=1,Tasks[[#This Row],[_LeafWork]]&gt;0),NETWORKDAYS.INTL(ProjectStart,Tasks[[#This Row],[_LeafFcstStart]],WorkWeek,Holidays),0)</f>
        <v>0</v>
      </c>
      <c r="CP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2" s="43" t="n">
        <f aca="false">IF(AND(Tasks[[#This Row],[_IsLeaf]]=1,Tasks[[#This Row],[_LeafWork]]&gt;0),Tasks[[#This Row],[_LeafWork]]/(Tasks[[#This Row],[_FinishWorkday]]-Tasks[[#This Row],[_StartWorkday]]+1),0)</f>
        <v>0</v>
      </c>
      <c r="CR32" s="43" t="n">
        <f aca="false">Tasks[[#This Row],[_WorkPerWorkday]]*(Tasks[[#This Row],[_StartWorkday]]-1)</f>
        <v>-0</v>
      </c>
      <c r="CS32" s="43" t="n">
        <f aca="false">IF(Tasks[[#This Row],[_IsLeaf]]=1,MAX(N(Tasks[[#This Row],[Duration]]),0.1),0)</f>
        <v>0</v>
      </c>
      <c r="CT32" s="43" t="n">
        <f aca="false">Tasks[[#This Row],[_WeightDur]]*Tasks[[#This Row],[_LeafProgress]]</f>
        <v>0</v>
      </c>
      <c r="CU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2" s="43" t="str">
        <f aca="false">IF(AND(Tasks[[#This Row],[_IsLeaf]]=1,N(Tasks[[#This Row],[Duration]])=0,Tasks[[#This Row],[_LeafProgress]]&lt;1),Tasks[[#This Row],[_LeafFcstFinish]]+Tasks[[#This Row],[_Row]]/100000,"")</f>
        <v/>
      </c>
      <c r="DA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2" s="43" t="n">
        <f aca="false">IF(NOT(Tasks[[#This Row],[_IsLeaf]]=1),0,IF(Tasks[[#This Row],[Baseline Cost]]="",Tasks[[#This Row],[_LeafCost]],N(Tasks[[#This Row],[Baseline Cost]])))</f>
        <v>0</v>
      </c>
      <c r="DC32" s="43" t="n">
        <f aca="false">Tasks[[#This Row],[_LeafBudget]]*Tasks[[#This Row],[_PlannedPct]]</f>
        <v>0</v>
      </c>
      <c r="DD32" s="43" t="n">
        <f aca="false">Tasks[[#This Row],[_LeafBudget]]*Tasks[[#This Row],[_LeafProgress]]</f>
        <v>0</v>
      </c>
      <c r="DE32" s="43" t="n">
        <f aca="false">IF(NOT(Tasks[[#This Row],[_IsLeaf]]=1),0,IF(Tasks[[#This Row],[Actual Cost]]="",Tasks[[#This Row],[_LeafCost]]*Tasks[[#This Row],[_LeafProgress]],N(Tasks[[#This Row],[Actual Cost]])))</f>
        <v>0</v>
      </c>
      <c r="DF32" s="43" t="str">
        <f aca="false">IF(Tasks[[#This Row],[Task Name]]="","",LEFT(Tasks[[#This Row],[WBS]],FIND(".",Tasks[[#This Row],[WBS]]&amp;".")-1))</f>
        <v/>
      </c>
      <c r="DG32" s="43" t="str">
        <f aca="false">IF(AND(Tasks[[#This Row],[Task Name]]&lt;&gt;"",Tasks[[#This Row],[_Level]]=1),Tasks[[#This Row],[_Row]],"")</f>
        <v/>
      </c>
      <c r="DH32" s="43" t="str">
        <f aca="false">IF(AND(Tasks[[#This Row],[_IsLeaf]]=1,N(Tasks[[#This Row],[Duration]])=0),Tasks[[#This Row],[Planned Finish]]+Tasks[[#This Row],[_Row]]/100000,"")</f>
        <v/>
      </c>
      <c r="DI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2" s="43" t="str">
        <f aca="false">IF(Tasks[[#This Row],[_LeafCritical]],Tasks[[#This Row],[_LeafFcstStart]]+Tasks[[#This Row],[_Row]]/100000,"")</f>
        <v/>
      </c>
    </row>
    <row r="33" customFormat="false" ht="15" hidden="false" customHeight="false" outlineLevel="0" collapsed="false">
      <c r="A33" s="28" t="str">
        <f aca="false">IF(Tasks[[#This Row],[Task Name]]="","",COUNTA(Tasks[[#Headers],[Task Name]]:Tasks[[#This Row],[Task Name]])-1)</f>
        <v/>
      </c>
      <c r="B33" s="29" t="n">
        <v>28</v>
      </c>
      <c r="C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29"/>
      <c r="E33" s="30"/>
      <c r="F33" s="29"/>
      <c r="G33" s="29"/>
      <c r="H33" s="29"/>
      <c r="I33" s="29"/>
      <c r="J33" s="29"/>
      <c r="K33" s="29"/>
      <c r="L33" s="29"/>
      <c r="M33" s="29"/>
      <c r="N33" s="53"/>
      <c r="O33" s="53"/>
      <c r="P33" s="25" t="str">
        <f aca="false">IF(Tasks[[#This Row],[Task Name]]="","",IF(N(Tasks[[#This Row],[Baseline Start]])&gt;0,Tasks[[#This Row],[Baseline Start]],Tasks[[#This Row],[_CalcStart]]))</f>
        <v/>
      </c>
      <c r="Q33" s="25" t="str">
        <f aca="false">IF(Tasks[[#This Row],[Task Name]]="","",IF(N(Tasks[[#This Row],[Baseline Finish]])&gt;0,Tasks[[#This Row],[Baseline Finish]],Tasks[[#This Row],[_CalcFinish]]))</f>
        <v/>
      </c>
      <c r="R33" s="53"/>
      <c r="S33" s="53"/>
      <c r="T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55"/>
      <c r="AF3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3" s="30"/>
      <c r="AI33" s="55"/>
      <c r="AJ3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3" s="64"/>
      <c r="AM3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3" s="30"/>
      <c r="AP33" s="25" t="str">
        <f aca="false">IF(Tasks[[#This Row],[Task Name]]="","",Tasks[[#This Row],[Forecast Start]])</f>
        <v/>
      </c>
      <c r="AQ33" s="25" t="str">
        <f aca="false">IF(Tasks[[#This Row],[Task Name]]="","",Tasks[[#This Row],[Forecast Finish]])</f>
        <v/>
      </c>
      <c r="AR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3" s="62" t="str">
        <f aca="false">IF(Tasks[[#This Row],[Task Name]]="","",Tasks[[#This Row],[Work]])</f>
        <v/>
      </c>
      <c r="AT33" s="63" t="str">
        <f aca="false">IF(Tasks[[#This Row],[Task Name]]="","",Tasks[[#This Row],[Cost]])</f>
        <v/>
      </c>
      <c r="AU33" s="53"/>
      <c r="AV33" s="53"/>
      <c r="AW33" s="29"/>
      <c r="AX33" s="65"/>
      <c r="AY33" s="64"/>
      <c r="AZ33" s="28" t="str">
        <f aca="false">IF(OR(Tasks[[#This Row],[Task Name]]="",Tasks[[#This Row],[Baseline Duration]]=""),"",Tasks[[#This Row],[BL Source Duration]]-N(Tasks[[#This Row],[Baseline Duration]]))</f>
        <v/>
      </c>
      <c r="BA33" s="62" t="str">
        <f aca="false">IF(OR(Tasks[[#This Row],[Task Name]]="",Tasks[[#This Row],[Baseline Work]]=""),"",Tasks[[#This Row],[Work]]-N(Tasks[[#This Row],[Baseline Work]]))</f>
        <v/>
      </c>
      <c r="BB33" s="63" t="str">
        <f aca="false">IF(OR(Tasks[[#This Row],[Task Name]]="",Tasks[[#This Row],[Baseline Cost]]=""),"",Tasks[[#This Row],[Cost]]-N(Tasks[[#This Row],[Baseline Cost]]))</f>
        <v/>
      </c>
      <c r="BC3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3" s="43" t="str">
        <f aca="false">IF(Tasks[[#This Row],[Task Name]]="","",MAX(1,N(Tasks[[#This Row],[Level]])))</f>
        <v/>
      </c>
      <c r="BH33" s="43" t="n">
        <f aca="false">ROW()-ROW(Tasks[[#Headers],[ID]])</f>
        <v>28</v>
      </c>
      <c r="BI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3" s="43" t="n">
        <f aca="false">IFERROR(N(INDEX(Tasks[_Level],Tasks[[#This Row],[_Row]]+1)),0)</f>
        <v>0</v>
      </c>
      <c r="BK33" s="66" t="b">
        <f aca="false">AND(Tasks[[#This Row],[Task Name]]&lt;&gt;"",Tasks[[#This Row],[_NextLevel]]&gt;Tasks[[#This Row],[_Level]])</f>
        <v>0</v>
      </c>
      <c r="BL33" s="43" t="n">
        <f aca="false">IF(Tasks[[#This Row],[_IsSummary]],COUNTIF(Tasks[WBS],Tasks[[#This Row],[WBS]]&amp;".*"),0)</f>
        <v>0</v>
      </c>
      <c r="BM33" s="43" t="n">
        <f aca="false">IF(AND(Tasks[[#This Row],[Task Name]]&lt;&gt;"",NOT(Tasks[[#This Row],[_IsSummary]])),1,0)</f>
        <v>0</v>
      </c>
      <c r="BN33" s="43" t="n">
        <f aca="false">IF(N(Tasks[[#This Row],[Pred1 UID]])=0,0,IFERROR(MATCH(Tasks[[#This Row],[Pred1 UID]],Tasks[UID],0),-1))</f>
        <v>0</v>
      </c>
      <c r="BO33" s="43" t="n">
        <f aca="false">IF(N(Tasks[[#This Row],[Pred2 UID]])=0,0,IFERROR(MATCH(Tasks[[#This Row],[Pred2 UID]],Tasks[UID],0),-1))</f>
        <v>0</v>
      </c>
      <c r="BP3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3" s="43" t="n">
        <f aca="false">IF(NOT(Tasks[[#This Row],[_IsLeaf]]=1),0,IF(N(Tasks[[#This Row],[Actual Finish]])&gt;0,1,MIN(1,N(Tasks[[#This Row],[% Complete]]))))</f>
        <v>0</v>
      </c>
      <c r="BU3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3" s="43" t="n">
        <f aca="false">IF(Tasks[[#This Row],[_LeafWork]]=0,0,Tasks[[#This Row],[_LeafWork]]*IFERROR(INDEX(res_Rate,MATCH(Tasks[[#This Row],[Resource]],res_Name,0)),0))</f>
        <v>0</v>
      </c>
      <c r="BW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3" s="43" t="n">
        <f aca="false">IF(NOT(Tasks[[#This Row],[_IsLeaf]]=1),0,MAX(_xlfn.MAXIFS(Tasks[_Row],Tasks[Pred1 UID],Tasks[[#This Row],[UID]]),_xlfn.MAXIFS(Tasks[_Row],Tasks[Pred2 UID],Tasks[[#This Row],[UID]])))</f>
        <v>0</v>
      </c>
      <c r="CB3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3" s="67" t="str">
        <f aca="false">IF(NOT(Tasks[[#This Row],[_IsLeaf]]=1),"",MIN(ProjectFinish,IF(N(Tasks[[#This Row],[Deadline]])&gt;0,Tasks[[#This Row],[Deadline]],2958465),Tasks[[#This Row],[_SuccessorFinishLimit]]))</f>
        <v/>
      </c>
      <c r="CD3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3" s="66" t="b">
        <f aca="false">AND(Tasks[[#This Row],[_IsLeaf]]=1,Tasks[[#This Row],[_LeafProgress]]&lt;1,N(Tasks[[#This Row],[_LeafTotalSlack]])&lt;=CriticalSlackDays)</f>
        <v>0</v>
      </c>
      <c r="CG3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3" s="43" t="n">
        <f aca="false">IF(AND(Tasks[[#This Row],[_IsLeaf]]=1,Tasks[[#This Row],[_LeafWork]]&gt;0),NETWORKDAYS.INTL(ProjectStart,Tasks[[#This Row],[_LeafFcstStart]],WorkWeek,Holidays),0)</f>
        <v>0</v>
      </c>
      <c r="CP3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3" s="43" t="n">
        <f aca="false">IF(AND(Tasks[[#This Row],[_IsLeaf]]=1,Tasks[[#This Row],[_LeafWork]]&gt;0),Tasks[[#This Row],[_LeafWork]]/(Tasks[[#This Row],[_FinishWorkday]]-Tasks[[#This Row],[_StartWorkday]]+1),0)</f>
        <v>0</v>
      </c>
      <c r="CR33" s="43" t="n">
        <f aca="false">Tasks[[#This Row],[_WorkPerWorkday]]*(Tasks[[#This Row],[_StartWorkday]]-1)</f>
        <v>-0</v>
      </c>
      <c r="CS33" s="43" t="n">
        <f aca="false">IF(Tasks[[#This Row],[_IsLeaf]]=1,MAX(N(Tasks[[#This Row],[Duration]]),0.1),0)</f>
        <v>0</v>
      </c>
      <c r="CT33" s="43" t="n">
        <f aca="false">Tasks[[#This Row],[_WeightDur]]*Tasks[[#This Row],[_LeafProgress]]</f>
        <v>0</v>
      </c>
      <c r="CU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3" s="43" t="str">
        <f aca="false">IF(AND(Tasks[[#This Row],[_IsLeaf]]=1,N(Tasks[[#This Row],[Duration]])=0,Tasks[[#This Row],[_LeafProgress]]&lt;1),Tasks[[#This Row],[_LeafFcstFinish]]+Tasks[[#This Row],[_Row]]/100000,"")</f>
        <v/>
      </c>
      <c r="DA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3" s="43" t="n">
        <f aca="false">IF(NOT(Tasks[[#This Row],[_IsLeaf]]=1),0,IF(Tasks[[#This Row],[Baseline Cost]]="",Tasks[[#This Row],[_LeafCost]],N(Tasks[[#This Row],[Baseline Cost]])))</f>
        <v>0</v>
      </c>
      <c r="DC33" s="43" t="n">
        <f aca="false">Tasks[[#This Row],[_LeafBudget]]*Tasks[[#This Row],[_PlannedPct]]</f>
        <v>0</v>
      </c>
      <c r="DD33" s="43" t="n">
        <f aca="false">Tasks[[#This Row],[_LeafBudget]]*Tasks[[#This Row],[_LeafProgress]]</f>
        <v>0</v>
      </c>
      <c r="DE33" s="43" t="n">
        <f aca="false">IF(NOT(Tasks[[#This Row],[_IsLeaf]]=1),0,IF(Tasks[[#This Row],[Actual Cost]]="",Tasks[[#This Row],[_LeafCost]]*Tasks[[#This Row],[_LeafProgress]],N(Tasks[[#This Row],[Actual Cost]])))</f>
        <v>0</v>
      </c>
      <c r="DF33" s="43" t="str">
        <f aca="false">IF(Tasks[[#This Row],[Task Name]]="","",LEFT(Tasks[[#This Row],[WBS]],FIND(".",Tasks[[#This Row],[WBS]]&amp;".")-1))</f>
        <v/>
      </c>
      <c r="DG33" s="43" t="str">
        <f aca="false">IF(AND(Tasks[[#This Row],[Task Name]]&lt;&gt;"",Tasks[[#This Row],[_Level]]=1),Tasks[[#This Row],[_Row]],"")</f>
        <v/>
      </c>
      <c r="DH33" s="43" t="str">
        <f aca="false">IF(AND(Tasks[[#This Row],[_IsLeaf]]=1,N(Tasks[[#This Row],[Duration]])=0),Tasks[[#This Row],[Planned Finish]]+Tasks[[#This Row],[_Row]]/100000,"")</f>
        <v/>
      </c>
      <c r="DI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3" s="43" t="str">
        <f aca="false">IF(Tasks[[#This Row],[_LeafCritical]],Tasks[[#This Row],[_LeafFcstStart]]+Tasks[[#This Row],[_Row]]/100000,"")</f>
        <v/>
      </c>
    </row>
    <row r="34" customFormat="false" ht="15" hidden="false" customHeight="false" outlineLevel="0" collapsed="false">
      <c r="A34" s="28" t="str">
        <f aca="false">IF(Tasks[[#This Row],[Task Name]]="","",COUNTA(Tasks[[#Headers],[Task Name]]:Tasks[[#This Row],[Task Name]])-1)</f>
        <v/>
      </c>
      <c r="B34" s="29" t="n">
        <v>29</v>
      </c>
      <c r="C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29"/>
      <c r="E34" s="30"/>
      <c r="F34" s="29"/>
      <c r="G34" s="29"/>
      <c r="H34" s="29"/>
      <c r="I34" s="29"/>
      <c r="J34" s="29"/>
      <c r="K34" s="29"/>
      <c r="L34" s="29"/>
      <c r="M34" s="29"/>
      <c r="N34" s="53"/>
      <c r="O34" s="53"/>
      <c r="P34" s="25" t="str">
        <f aca="false">IF(Tasks[[#This Row],[Task Name]]="","",IF(N(Tasks[[#This Row],[Baseline Start]])&gt;0,Tasks[[#This Row],[Baseline Start]],Tasks[[#This Row],[_CalcStart]]))</f>
        <v/>
      </c>
      <c r="Q34" s="25" t="str">
        <f aca="false">IF(Tasks[[#This Row],[Task Name]]="","",IF(N(Tasks[[#This Row],[Baseline Finish]])&gt;0,Tasks[[#This Row],[Baseline Finish]],Tasks[[#This Row],[_CalcFinish]]))</f>
        <v/>
      </c>
      <c r="R34" s="53"/>
      <c r="S34" s="53"/>
      <c r="T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55"/>
      <c r="AF3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4" s="30"/>
      <c r="AI34" s="55"/>
      <c r="AJ3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4" s="64"/>
      <c r="AM3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4" s="30"/>
      <c r="AP34" s="25" t="str">
        <f aca="false">IF(Tasks[[#This Row],[Task Name]]="","",Tasks[[#This Row],[Forecast Start]])</f>
        <v/>
      </c>
      <c r="AQ34" s="25" t="str">
        <f aca="false">IF(Tasks[[#This Row],[Task Name]]="","",Tasks[[#This Row],[Forecast Finish]])</f>
        <v/>
      </c>
      <c r="AR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4" s="62" t="str">
        <f aca="false">IF(Tasks[[#This Row],[Task Name]]="","",Tasks[[#This Row],[Work]])</f>
        <v/>
      </c>
      <c r="AT34" s="63" t="str">
        <f aca="false">IF(Tasks[[#This Row],[Task Name]]="","",Tasks[[#This Row],[Cost]])</f>
        <v/>
      </c>
      <c r="AU34" s="53"/>
      <c r="AV34" s="53"/>
      <c r="AW34" s="29"/>
      <c r="AX34" s="65"/>
      <c r="AY34" s="64"/>
      <c r="AZ34" s="28" t="str">
        <f aca="false">IF(OR(Tasks[[#This Row],[Task Name]]="",Tasks[[#This Row],[Baseline Duration]]=""),"",Tasks[[#This Row],[BL Source Duration]]-N(Tasks[[#This Row],[Baseline Duration]]))</f>
        <v/>
      </c>
      <c r="BA34" s="62" t="str">
        <f aca="false">IF(OR(Tasks[[#This Row],[Task Name]]="",Tasks[[#This Row],[Baseline Work]]=""),"",Tasks[[#This Row],[Work]]-N(Tasks[[#This Row],[Baseline Work]]))</f>
        <v/>
      </c>
      <c r="BB34" s="63" t="str">
        <f aca="false">IF(OR(Tasks[[#This Row],[Task Name]]="",Tasks[[#This Row],[Baseline Cost]]=""),"",Tasks[[#This Row],[Cost]]-N(Tasks[[#This Row],[Baseline Cost]]))</f>
        <v/>
      </c>
      <c r="BC3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4" s="43" t="str">
        <f aca="false">IF(Tasks[[#This Row],[Task Name]]="","",MAX(1,N(Tasks[[#This Row],[Level]])))</f>
        <v/>
      </c>
      <c r="BH34" s="43" t="n">
        <f aca="false">ROW()-ROW(Tasks[[#Headers],[ID]])</f>
        <v>29</v>
      </c>
      <c r="BI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4" s="43" t="n">
        <f aca="false">IFERROR(N(INDEX(Tasks[_Level],Tasks[[#This Row],[_Row]]+1)),0)</f>
        <v>0</v>
      </c>
      <c r="BK34" s="66" t="b">
        <f aca="false">AND(Tasks[[#This Row],[Task Name]]&lt;&gt;"",Tasks[[#This Row],[_NextLevel]]&gt;Tasks[[#This Row],[_Level]])</f>
        <v>0</v>
      </c>
      <c r="BL34" s="43" t="n">
        <f aca="false">IF(Tasks[[#This Row],[_IsSummary]],COUNTIF(Tasks[WBS],Tasks[[#This Row],[WBS]]&amp;".*"),0)</f>
        <v>0</v>
      </c>
      <c r="BM34" s="43" t="n">
        <f aca="false">IF(AND(Tasks[[#This Row],[Task Name]]&lt;&gt;"",NOT(Tasks[[#This Row],[_IsSummary]])),1,0)</f>
        <v>0</v>
      </c>
      <c r="BN34" s="43" t="n">
        <f aca="false">IF(N(Tasks[[#This Row],[Pred1 UID]])=0,0,IFERROR(MATCH(Tasks[[#This Row],[Pred1 UID]],Tasks[UID],0),-1))</f>
        <v>0</v>
      </c>
      <c r="BO34" s="43" t="n">
        <f aca="false">IF(N(Tasks[[#This Row],[Pred2 UID]])=0,0,IFERROR(MATCH(Tasks[[#This Row],[Pred2 UID]],Tasks[UID],0),-1))</f>
        <v>0</v>
      </c>
      <c r="BP3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4" s="43" t="n">
        <f aca="false">IF(NOT(Tasks[[#This Row],[_IsLeaf]]=1),0,IF(N(Tasks[[#This Row],[Actual Finish]])&gt;0,1,MIN(1,N(Tasks[[#This Row],[% Complete]]))))</f>
        <v>0</v>
      </c>
      <c r="BU3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4" s="43" t="n">
        <f aca="false">IF(Tasks[[#This Row],[_LeafWork]]=0,0,Tasks[[#This Row],[_LeafWork]]*IFERROR(INDEX(res_Rate,MATCH(Tasks[[#This Row],[Resource]],res_Name,0)),0))</f>
        <v>0</v>
      </c>
      <c r="BW3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4" s="43" t="n">
        <f aca="false">IF(NOT(Tasks[[#This Row],[_IsLeaf]]=1),0,MAX(_xlfn.MAXIFS(Tasks[_Row],Tasks[Pred1 UID],Tasks[[#This Row],[UID]]),_xlfn.MAXIFS(Tasks[_Row],Tasks[Pred2 UID],Tasks[[#This Row],[UID]])))</f>
        <v>0</v>
      </c>
      <c r="CB3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4" s="67" t="str">
        <f aca="false">IF(NOT(Tasks[[#This Row],[_IsLeaf]]=1),"",MIN(ProjectFinish,IF(N(Tasks[[#This Row],[Deadline]])&gt;0,Tasks[[#This Row],[Deadline]],2958465),Tasks[[#This Row],[_SuccessorFinishLimit]]))</f>
        <v/>
      </c>
      <c r="CD3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4" s="66" t="b">
        <f aca="false">AND(Tasks[[#This Row],[_IsLeaf]]=1,Tasks[[#This Row],[_LeafProgress]]&lt;1,N(Tasks[[#This Row],[_LeafTotalSlack]])&lt;=CriticalSlackDays)</f>
        <v>0</v>
      </c>
      <c r="CG3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4" s="43" t="n">
        <f aca="false">IF(AND(Tasks[[#This Row],[_IsLeaf]]=1,Tasks[[#This Row],[_LeafWork]]&gt;0),NETWORKDAYS.INTL(ProjectStart,Tasks[[#This Row],[_LeafFcstStart]],WorkWeek,Holidays),0)</f>
        <v>0</v>
      </c>
      <c r="CP3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4" s="43" t="n">
        <f aca="false">IF(AND(Tasks[[#This Row],[_IsLeaf]]=1,Tasks[[#This Row],[_LeafWork]]&gt;0),Tasks[[#This Row],[_LeafWork]]/(Tasks[[#This Row],[_FinishWorkday]]-Tasks[[#This Row],[_StartWorkday]]+1),0)</f>
        <v>0</v>
      </c>
      <c r="CR34" s="43" t="n">
        <f aca="false">Tasks[[#This Row],[_WorkPerWorkday]]*(Tasks[[#This Row],[_StartWorkday]]-1)</f>
        <v>-0</v>
      </c>
      <c r="CS34" s="43" t="n">
        <f aca="false">IF(Tasks[[#This Row],[_IsLeaf]]=1,MAX(N(Tasks[[#This Row],[Duration]]),0.1),0)</f>
        <v>0</v>
      </c>
      <c r="CT34" s="43" t="n">
        <f aca="false">Tasks[[#This Row],[_WeightDur]]*Tasks[[#This Row],[_LeafProgress]]</f>
        <v>0</v>
      </c>
      <c r="CU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4" s="43" t="str">
        <f aca="false">IF(AND(Tasks[[#This Row],[_IsLeaf]]=1,N(Tasks[[#This Row],[Duration]])=0,Tasks[[#This Row],[_LeafProgress]]&lt;1),Tasks[[#This Row],[_LeafFcstFinish]]+Tasks[[#This Row],[_Row]]/100000,"")</f>
        <v/>
      </c>
      <c r="DA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4" s="43" t="n">
        <f aca="false">IF(NOT(Tasks[[#This Row],[_IsLeaf]]=1),0,IF(Tasks[[#This Row],[Baseline Cost]]="",Tasks[[#This Row],[_LeafCost]],N(Tasks[[#This Row],[Baseline Cost]])))</f>
        <v>0</v>
      </c>
      <c r="DC34" s="43" t="n">
        <f aca="false">Tasks[[#This Row],[_LeafBudget]]*Tasks[[#This Row],[_PlannedPct]]</f>
        <v>0</v>
      </c>
      <c r="DD34" s="43" t="n">
        <f aca="false">Tasks[[#This Row],[_LeafBudget]]*Tasks[[#This Row],[_LeafProgress]]</f>
        <v>0</v>
      </c>
      <c r="DE34" s="43" t="n">
        <f aca="false">IF(NOT(Tasks[[#This Row],[_IsLeaf]]=1),0,IF(Tasks[[#This Row],[Actual Cost]]="",Tasks[[#This Row],[_LeafCost]]*Tasks[[#This Row],[_LeafProgress]],N(Tasks[[#This Row],[Actual Cost]])))</f>
        <v>0</v>
      </c>
      <c r="DF34" s="43" t="str">
        <f aca="false">IF(Tasks[[#This Row],[Task Name]]="","",LEFT(Tasks[[#This Row],[WBS]],FIND(".",Tasks[[#This Row],[WBS]]&amp;".")-1))</f>
        <v/>
      </c>
      <c r="DG34" s="43" t="str">
        <f aca="false">IF(AND(Tasks[[#This Row],[Task Name]]&lt;&gt;"",Tasks[[#This Row],[_Level]]=1),Tasks[[#This Row],[_Row]],"")</f>
        <v/>
      </c>
      <c r="DH34" s="43" t="str">
        <f aca="false">IF(AND(Tasks[[#This Row],[_IsLeaf]]=1,N(Tasks[[#This Row],[Duration]])=0),Tasks[[#This Row],[Planned Finish]]+Tasks[[#This Row],[_Row]]/100000,"")</f>
        <v/>
      </c>
      <c r="DI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4" s="43" t="str">
        <f aca="false">IF(Tasks[[#This Row],[_LeafCritical]],Tasks[[#This Row],[_LeafFcstStart]]+Tasks[[#This Row],[_Row]]/100000,"")</f>
        <v/>
      </c>
    </row>
    <row r="35" customFormat="false" ht="15" hidden="false" customHeight="false" outlineLevel="0" collapsed="false">
      <c r="A35" s="28" t="str">
        <f aca="false">IF(Tasks[[#This Row],[Task Name]]="","",COUNTA(Tasks[[#Headers],[Task Name]]:Tasks[[#This Row],[Task Name]])-1)</f>
        <v/>
      </c>
      <c r="B35" s="29" t="n">
        <v>30</v>
      </c>
      <c r="C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29"/>
      <c r="E35" s="30"/>
      <c r="F35" s="29"/>
      <c r="G35" s="29"/>
      <c r="H35" s="29"/>
      <c r="I35" s="29"/>
      <c r="J35" s="29"/>
      <c r="K35" s="29"/>
      <c r="L35" s="29"/>
      <c r="M35" s="29"/>
      <c r="N35" s="53"/>
      <c r="O35" s="53"/>
      <c r="P35" s="25" t="str">
        <f aca="false">IF(Tasks[[#This Row],[Task Name]]="","",IF(N(Tasks[[#This Row],[Baseline Start]])&gt;0,Tasks[[#This Row],[Baseline Start]],Tasks[[#This Row],[_CalcStart]]))</f>
        <v/>
      </c>
      <c r="Q35" s="25" t="str">
        <f aca="false">IF(Tasks[[#This Row],[Task Name]]="","",IF(N(Tasks[[#This Row],[Baseline Finish]])&gt;0,Tasks[[#This Row],[Baseline Finish]],Tasks[[#This Row],[_CalcFinish]]))</f>
        <v/>
      </c>
      <c r="R35" s="53"/>
      <c r="S35" s="53"/>
      <c r="T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55"/>
      <c r="AF3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5" s="30"/>
      <c r="AI35" s="55"/>
      <c r="AJ3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5" s="64"/>
      <c r="AM3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5" s="30"/>
      <c r="AP35" s="25" t="str">
        <f aca="false">IF(Tasks[[#This Row],[Task Name]]="","",Tasks[[#This Row],[Forecast Start]])</f>
        <v/>
      </c>
      <c r="AQ35" s="25" t="str">
        <f aca="false">IF(Tasks[[#This Row],[Task Name]]="","",Tasks[[#This Row],[Forecast Finish]])</f>
        <v/>
      </c>
      <c r="AR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5" s="62" t="str">
        <f aca="false">IF(Tasks[[#This Row],[Task Name]]="","",Tasks[[#This Row],[Work]])</f>
        <v/>
      </c>
      <c r="AT35" s="63" t="str">
        <f aca="false">IF(Tasks[[#This Row],[Task Name]]="","",Tasks[[#This Row],[Cost]])</f>
        <v/>
      </c>
      <c r="AU35" s="53"/>
      <c r="AV35" s="53"/>
      <c r="AW35" s="29"/>
      <c r="AX35" s="65"/>
      <c r="AY35" s="64"/>
      <c r="AZ35" s="28" t="str">
        <f aca="false">IF(OR(Tasks[[#This Row],[Task Name]]="",Tasks[[#This Row],[Baseline Duration]]=""),"",Tasks[[#This Row],[BL Source Duration]]-N(Tasks[[#This Row],[Baseline Duration]]))</f>
        <v/>
      </c>
      <c r="BA35" s="62" t="str">
        <f aca="false">IF(OR(Tasks[[#This Row],[Task Name]]="",Tasks[[#This Row],[Baseline Work]]=""),"",Tasks[[#This Row],[Work]]-N(Tasks[[#This Row],[Baseline Work]]))</f>
        <v/>
      </c>
      <c r="BB35" s="63" t="str">
        <f aca="false">IF(OR(Tasks[[#This Row],[Task Name]]="",Tasks[[#This Row],[Baseline Cost]]=""),"",Tasks[[#This Row],[Cost]]-N(Tasks[[#This Row],[Baseline Cost]]))</f>
        <v/>
      </c>
      <c r="BC3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5" s="43" t="str">
        <f aca="false">IF(Tasks[[#This Row],[Task Name]]="","",MAX(1,N(Tasks[[#This Row],[Level]])))</f>
        <v/>
      </c>
      <c r="BH35" s="43" t="n">
        <f aca="false">ROW()-ROW(Tasks[[#Headers],[ID]])</f>
        <v>30</v>
      </c>
      <c r="BI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5" s="43" t="n">
        <f aca="false">IFERROR(N(INDEX(Tasks[_Level],Tasks[[#This Row],[_Row]]+1)),0)</f>
        <v>0</v>
      </c>
      <c r="BK35" s="66" t="b">
        <f aca="false">AND(Tasks[[#This Row],[Task Name]]&lt;&gt;"",Tasks[[#This Row],[_NextLevel]]&gt;Tasks[[#This Row],[_Level]])</f>
        <v>0</v>
      </c>
      <c r="BL35" s="43" t="n">
        <f aca="false">IF(Tasks[[#This Row],[_IsSummary]],COUNTIF(Tasks[WBS],Tasks[[#This Row],[WBS]]&amp;".*"),0)</f>
        <v>0</v>
      </c>
      <c r="BM35" s="43" t="n">
        <f aca="false">IF(AND(Tasks[[#This Row],[Task Name]]&lt;&gt;"",NOT(Tasks[[#This Row],[_IsSummary]])),1,0)</f>
        <v>0</v>
      </c>
      <c r="BN35" s="43" t="n">
        <f aca="false">IF(N(Tasks[[#This Row],[Pred1 UID]])=0,0,IFERROR(MATCH(Tasks[[#This Row],[Pred1 UID]],Tasks[UID],0),-1))</f>
        <v>0</v>
      </c>
      <c r="BO35" s="43" t="n">
        <f aca="false">IF(N(Tasks[[#This Row],[Pred2 UID]])=0,0,IFERROR(MATCH(Tasks[[#This Row],[Pred2 UID]],Tasks[UID],0),-1))</f>
        <v>0</v>
      </c>
      <c r="BP3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5" s="43" t="n">
        <f aca="false">IF(NOT(Tasks[[#This Row],[_IsLeaf]]=1),0,IF(N(Tasks[[#This Row],[Actual Finish]])&gt;0,1,MIN(1,N(Tasks[[#This Row],[% Complete]]))))</f>
        <v>0</v>
      </c>
      <c r="BU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5" s="43" t="n">
        <f aca="false">IF(Tasks[[#This Row],[_LeafWork]]=0,0,Tasks[[#This Row],[_LeafWork]]*IFERROR(INDEX(res_Rate,MATCH(Tasks[[#This Row],[Resource]],res_Name,0)),0))</f>
        <v>0</v>
      </c>
      <c r="BW3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5" s="43" t="n">
        <f aca="false">IF(NOT(Tasks[[#This Row],[_IsLeaf]]=1),0,MAX(_xlfn.MAXIFS(Tasks[_Row],Tasks[Pred1 UID],Tasks[[#This Row],[UID]]),_xlfn.MAXIFS(Tasks[_Row],Tasks[Pred2 UID],Tasks[[#This Row],[UID]])))</f>
        <v>0</v>
      </c>
      <c r="CB3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5" s="67" t="str">
        <f aca="false">IF(NOT(Tasks[[#This Row],[_IsLeaf]]=1),"",MIN(ProjectFinish,IF(N(Tasks[[#This Row],[Deadline]])&gt;0,Tasks[[#This Row],[Deadline]],2958465),Tasks[[#This Row],[_SuccessorFinishLimit]]))</f>
        <v/>
      </c>
      <c r="CD3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5" s="66" t="b">
        <f aca="false">AND(Tasks[[#This Row],[_IsLeaf]]=1,Tasks[[#This Row],[_LeafProgress]]&lt;1,N(Tasks[[#This Row],[_LeafTotalSlack]])&lt;=CriticalSlackDays)</f>
        <v>0</v>
      </c>
      <c r="CG3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5" s="43" t="n">
        <f aca="false">IF(AND(Tasks[[#This Row],[_IsLeaf]]=1,Tasks[[#This Row],[_LeafWork]]&gt;0),NETWORKDAYS.INTL(ProjectStart,Tasks[[#This Row],[_LeafFcstStart]],WorkWeek,Holidays),0)</f>
        <v>0</v>
      </c>
      <c r="CP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5" s="43" t="n">
        <f aca="false">IF(AND(Tasks[[#This Row],[_IsLeaf]]=1,Tasks[[#This Row],[_LeafWork]]&gt;0),Tasks[[#This Row],[_LeafWork]]/(Tasks[[#This Row],[_FinishWorkday]]-Tasks[[#This Row],[_StartWorkday]]+1),0)</f>
        <v>0</v>
      </c>
      <c r="CR35" s="43" t="n">
        <f aca="false">Tasks[[#This Row],[_WorkPerWorkday]]*(Tasks[[#This Row],[_StartWorkday]]-1)</f>
        <v>-0</v>
      </c>
      <c r="CS35" s="43" t="n">
        <f aca="false">IF(Tasks[[#This Row],[_IsLeaf]]=1,MAX(N(Tasks[[#This Row],[Duration]]),0.1),0)</f>
        <v>0</v>
      </c>
      <c r="CT35" s="43" t="n">
        <f aca="false">Tasks[[#This Row],[_WeightDur]]*Tasks[[#This Row],[_LeafProgress]]</f>
        <v>0</v>
      </c>
      <c r="CU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5" s="43" t="str">
        <f aca="false">IF(AND(Tasks[[#This Row],[_IsLeaf]]=1,N(Tasks[[#This Row],[Duration]])=0,Tasks[[#This Row],[_LeafProgress]]&lt;1),Tasks[[#This Row],[_LeafFcstFinish]]+Tasks[[#This Row],[_Row]]/100000,"")</f>
        <v/>
      </c>
      <c r="DA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5" s="43" t="n">
        <f aca="false">IF(NOT(Tasks[[#This Row],[_IsLeaf]]=1),0,IF(Tasks[[#This Row],[Baseline Cost]]="",Tasks[[#This Row],[_LeafCost]],N(Tasks[[#This Row],[Baseline Cost]])))</f>
        <v>0</v>
      </c>
      <c r="DC35" s="43" t="n">
        <f aca="false">Tasks[[#This Row],[_LeafBudget]]*Tasks[[#This Row],[_PlannedPct]]</f>
        <v>0</v>
      </c>
      <c r="DD35" s="43" t="n">
        <f aca="false">Tasks[[#This Row],[_LeafBudget]]*Tasks[[#This Row],[_LeafProgress]]</f>
        <v>0</v>
      </c>
      <c r="DE35" s="43" t="n">
        <f aca="false">IF(NOT(Tasks[[#This Row],[_IsLeaf]]=1),0,IF(Tasks[[#This Row],[Actual Cost]]="",Tasks[[#This Row],[_LeafCost]]*Tasks[[#This Row],[_LeafProgress]],N(Tasks[[#This Row],[Actual Cost]])))</f>
        <v>0</v>
      </c>
      <c r="DF35" s="43" t="str">
        <f aca="false">IF(Tasks[[#This Row],[Task Name]]="","",LEFT(Tasks[[#This Row],[WBS]],FIND(".",Tasks[[#This Row],[WBS]]&amp;".")-1))</f>
        <v/>
      </c>
      <c r="DG35" s="43" t="str">
        <f aca="false">IF(AND(Tasks[[#This Row],[Task Name]]&lt;&gt;"",Tasks[[#This Row],[_Level]]=1),Tasks[[#This Row],[_Row]],"")</f>
        <v/>
      </c>
      <c r="DH35" s="43" t="str">
        <f aca="false">IF(AND(Tasks[[#This Row],[_IsLeaf]]=1,N(Tasks[[#This Row],[Duration]])=0),Tasks[[#This Row],[Planned Finish]]+Tasks[[#This Row],[_Row]]/100000,"")</f>
        <v/>
      </c>
      <c r="DI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5" s="43" t="str">
        <f aca="false">IF(Tasks[[#This Row],[_LeafCritical]],Tasks[[#This Row],[_LeafFcstStart]]+Tasks[[#This Row],[_Row]]/100000,"")</f>
        <v/>
      </c>
    </row>
    <row r="36" customFormat="false" ht="15" hidden="false" customHeight="false" outlineLevel="0" collapsed="false">
      <c r="A36" s="28" t="str">
        <f aca="false">IF(Tasks[[#This Row],[Task Name]]="","",COUNTA(Tasks[[#Headers],[Task Name]]:Tasks[[#This Row],[Task Name]])-1)</f>
        <v/>
      </c>
      <c r="B36" s="29" t="n">
        <v>31</v>
      </c>
      <c r="C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29"/>
      <c r="E36" s="30"/>
      <c r="F36" s="29"/>
      <c r="G36" s="29"/>
      <c r="H36" s="29"/>
      <c r="I36" s="29"/>
      <c r="J36" s="29"/>
      <c r="K36" s="29"/>
      <c r="L36" s="29"/>
      <c r="M36" s="29"/>
      <c r="N36" s="53"/>
      <c r="O36" s="53"/>
      <c r="P36" s="25" t="str">
        <f aca="false">IF(Tasks[[#This Row],[Task Name]]="","",IF(N(Tasks[[#This Row],[Baseline Start]])&gt;0,Tasks[[#This Row],[Baseline Start]],Tasks[[#This Row],[_CalcStart]]))</f>
        <v/>
      </c>
      <c r="Q36" s="25" t="str">
        <f aca="false">IF(Tasks[[#This Row],[Task Name]]="","",IF(N(Tasks[[#This Row],[Baseline Finish]])&gt;0,Tasks[[#This Row],[Baseline Finish]],Tasks[[#This Row],[_CalcFinish]]))</f>
        <v/>
      </c>
      <c r="R36" s="53"/>
      <c r="S36" s="53"/>
      <c r="T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55"/>
      <c r="AF3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30"/>
      <c r="AI36" s="55"/>
      <c r="AJ3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64"/>
      <c r="AM3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6" s="30"/>
      <c r="AP36" s="25" t="str">
        <f aca="false">IF(Tasks[[#This Row],[Task Name]]="","",Tasks[[#This Row],[Forecast Start]])</f>
        <v/>
      </c>
      <c r="AQ36" s="25" t="str">
        <f aca="false">IF(Tasks[[#This Row],[Task Name]]="","",Tasks[[#This Row],[Forecast Finish]])</f>
        <v/>
      </c>
      <c r="AR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6" s="62" t="str">
        <f aca="false">IF(Tasks[[#This Row],[Task Name]]="","",Tasks[[#This Row],[Work]])</f>
        <v/>
      </c>
      <c r="AT36" s="63" t="str">
        <f aca="false">IF(Tasks[[#This Row],[Task Name]]="","",Tasks[[#This Row],[Cost]])</f>
        <v/>
      </c>
      <c r="AU36" s="53"/>
      <c r="AV36" s="53"/>
      <c r="AW36" s="29"/>
      <c r="AX36" s="65"/>
      <c r="AY36" s="64"/>
      <c r="AZ36" s="28" t="str">
        <f aca="false">IF(OR(Tasks[[#This Row],[Task Name]]="",Tasks[[#This Row],[Baseline Duration]]=""),"",Tasks[[#This Row],[BL Source Duration]]-N(Tasks[[#This Row],[Baseline Duration]]))</f>
        <v/>
      </c>
      <c r="BA36" s="62" t="str">
        <f aca="false">IF(OR(Tasks[[#This Row],[Task Name]]="",Tasks[[#This Row],[Baseline Work]]=""),"",Tasks[[#This Row],[Work]]-N(Tasks[[#This Row],[Baseline Work]]))</f>
        <v/>
      </c>
      <c r="BB36" s="63" t="str">
        <f aca="false">IF(OR(Tasks[[#This Row],[Task Name]]="",Tasks[[#This Row],[Baseline Cost]]=""),"",Tasks[[#This Row],[Cost]]-N(Tasks[[#This Row],[Baseline Cost]]))</f>
        <v/>
      </c>
      <c r="BC3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6" s="43" t="str">
        <f aca="false">IF(Tasks[[#This Row],[Task Name]]="","",MAX(1,N(Tasks[[#This Row],[Level]])))</f>
        <v/>
      </c>
      <c r="BH36" s="43" t="n">
        <f aca="false">ROW()-ROW(Tasks[[#Headers],[ID]])</f>
        <v>31</v>
      </c>
      <c r="BI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6" s="43" t="n">
        <f aca="false">IFERROR(N(INDEX(Tasks[_Level],Tasks[[#This Row],[_Row]]+1)),0)</f>
        <v>0</v>
      </c>
      <c r="BK36" s="66" t="b">
        <f aca="false">AND(Tasks[[#This Row],[Task Name]]&lt;&gt;"",Tasks[[#This Row],[_NextLevel]]&gt;Tasks[[#This Row],[_Level]])</f>
        <v>0</v>
      </c>
      <c r="BL36" s="43" t="n">
        <f aca="false">IF(Tasks[[#This Row],[_IsSummary]],COUNTIF(Tasks[WBS],Tasks[[#This Row],[WBS]]&amp;".*"),0)</f>
        <v>0</v>
      </c>
      <c r="BM36" s="43" t="n">
        <f aca="false">IF(AND(Tasks[[#This Row],[Task Name]]&lt;&gt;"",NOT(Tasks[[#This Row],[_IsSummary]])),1,0)</f>
        <v>0</v>
      </c>
      <c r="BN36" s="43" t="n">
        <f aca="false">IF(N(Tasks[[#This Row],[Pred1 UID]])=0,0,IFERROR(MATCH(Tasks[[#This Row],[Pred1 UID]],Tasks[UID],0),-1))</f>
        <v>0</v>
      </c>
      <c r="BO36" s="43" t="n">
        <f aca="false">IF(N(Tasks[[#This Row],[Pred2 UID]])=0,0,IFERROR(MATCH(Tasks[[#This Row],[Pred2 UID]],Tasks[UID],0),-1))</f>
        <v>0</v>
      </c>
      <c r="BP3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6" s="43" t="n">
        <f aca="false">IF(NOT(Tasks[[#This Row],[_IsLeaf]]=1),0,IF(N(Tasks[[#This Row],[Actual Finish]])&gt;0,1,MIN(1,N(Tasks[[#This Row],[% Complete]]))))</f>
        <v>0</v>
      </c>
      <c r="BU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6" s="43" t="n">
        <f aca="false">IF(Tasks[[#This Row],[_LeafWork]]=0,0,Tasks[[#This Row],[_LeafWork]]*IFERROR(INDEX(res_Rate,MATCH(Tasks[[#This Row],[Resource]],res_Name,0)),0))</f>
        <v>0</v>
      </c>
      <c r="BW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6" s="43" t="n">
        <f aca="false">IF(NOT(Tasks[[#This Row],[_IsLeaf]]=1),0,MAX(_xlfn.MAXIFS(Tasks[_Row],Tasks[Pred1 UID],Tasks[[#This Row],[UID]]),_xlfn.MAXIFS(Tasks[_Row],Tasks[Pred2 UID],Tasks[[#This Row],[UID]])))</f>
        <v>0</v>
      </c>
      <c r="CB3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6" s="67" t="str">
        <f aca="false">IF(NOT(Tasks[[#This Row],[_IsLeaf]]=1),"",MIN(ProjectFinish,IF(N(Tasks[[#This Row],[Deadline]])&gt;0,Tasks[[#This Row],[Deadline]],2958465),Tasks[[#This Row],[_SuccessorFinishLimit]]))</f>
        <v/>
      </c>
      <c r="CD3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6" s="66" t="b">
        <f aca="false">AND(Tasks[[#This Row],[_IsLeaf]]=1,Tasks[[#This Row],[_LeafProgress]]&lt;1,N(Tasks[[#This Row],[_LeafTotalSlack]])&lt;=CriticalSlackDays)</f>
        <v>0</v>
      </c>
      <c r="CG3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6" s="43" t="n">
        <f aca="false">IF(AND(Tasks[[#This Row],[_IsLeaf]]=1,Tasks[[#This Row],[_LeafWork]]&gt;0),NETWORKDAYS.INTL(ProjectStart,Tasks[[#This Row],[_LeafFcstStart]],WorkWeek,Holidays),0)</f>
        <v>0</v>
      </c>
      <c r="CP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6" s="43" t="n">
        <f aca="false">IF(AND(Tasks[[#This Row],[_IsLeaf]]=1,Tasks[[#This Row],[_LeafWork]]&gt;0),Tasks[[#This Row],[_LeafWork]]/(Tasks[[#This Row],[_FinishWorkday]]-Tasks[[#This Row],[_StartWorkday]]+1),0)</f>
        <v>0</v>
      </c>
      <c r="CR36" s="43" t="n">
        <f aca="false">Tasks[[#This Row],[_WorkPerWorkday]]*(Tasks[[#This Row],[_StartWorkday]]-1)</f>
        <v>-0</v>
      </c>
      <c r="CS36" s="43" t="n">
        <f aca="false">IF(Tasks[[#This Row],[_IsLeaf]]=1,MAX(N(Tasks[[#This Row],[Duration]]),0.1),0)</f>
        <v>0</v>
      </c>
      <c r="CT36" s="43" t="n">
        <f aca="false">Tasks[[#This Row],[_WeightDur]]*Tasks[[#This Row],[_LeafProgress]]</f>
        <v>0</v>
      </c>
      <c r="CU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6" s="43" t="str">
        <f aca="false">IF(AND(Tasks[[#This Row],[_IsLeaf]]=1,N(Tasks[[#This Row],[Duration]])=0,Tasks[[#This Row],[_LeafProgress]]&lt;1),Tasks[[#This Row],[_LeafFcstFinish]]+Tasks[[#This Row],[_Row]]/100000,"")</f>
        <v/>
      </c>
      <c r="DA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6" s="43" t="n">
        <f aca="false">IF(NOT(Tasks[[#This Row],[_IsLeaf]]=1),0,IF(Tasks[[#This Row],[Baseline Cost]]="",Tasks[[#This Row],[_LeafCost]],N(Tasks[[#This Row],[Baseline Cost]])))</f>
        <v>0</v>
      </c>
      <c r="DC36" s="43" t="n">
        <f aca="false">Tasks[[#This Row],[_LeafBudget]]*Tasks[[#This Row],[_PlannedPct]]</f>
        <v>0</v>
      </c>
      <c r="DD36" s="43" t="n">
        <f aca="false">Tasks[[#This Row],[_LeafBudget]]*Tasks[[#This Row],[_LeafProgress]]</f>
        <v>0</v>
      </c>
      <c r="DE36" s="43" t="n">
        <f aca="false">IF(NOT(Tasks[[#This Row],[_IsLeaf]]=1),0,IF(Tasks[[#This Row],[Actual Cost]]="",Tasks[[#This Row],[_LeafCost]]*Tasks[[#This Row],[_LeafProgress]],N(Tasks[[#This Row],[Actual Cost]])))</f>
        <v>0</v>
      </c>
      <c r="DF36" s="43" t="str">
        <f aca="false">IF(Tasks[[#This Row],[Task Name]]="","",LEFT(Tasks[[#This Row],[WBS]],FIND(".",Tasks[[#This Row],[WBS]]&amp;".")-1))</f>
        <v/>
      </c>
      <c r="DG36" s="43" t="str">
        <f aca="false">IF(AND(Tasks[[#This Row],[Task Name]]&lt;&gt;"",Tasks[[#This Row],[_Level]]=1),Tasks[[#This Row],[_Row]],"")</f>
        <v/>
      </c>
      <c r="DH36" s="43" t="str">
        <f aca="false">IF(AND(Tasks[[#This Row],[_IsLeaf]]=1,N(Tasks[[#This Row],[Duration]])=0),Tasks[[#This Row],[Planned Finish]]+Tasks[[#This Row],[_Row]]/100000,"")</f>
        <v/>
      </c>
      <c r="DI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6" s="43" t="str">
        <f aca="false">IF(Tasks[[#This Row],[_LeafCritical]],Tasks[[#This Row],[_LeafFcstStart]]+Tasks[[#This Row],[_Row]]/100000,"")</f>
        <v/>
      </c>
    </row>
    <row r="37" customFormat="false" ht="15" hidden="false" customHeight="false" outlineLevel="0" collapsed="false">
      <c r="A37" s="28" t="str">
        <f aca="false">IF(Tasks[[#This Row],[Task Name]]="","",COUNTA(Tasks[[#Headers],[Task Name]]:Tasks[[#This Row],[Task Name]])-1)</f>
        <v/>
      </c>
      <c r="B37" s="29" t="n">
        <v>32</v>
      </c>
      <c r="C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29"/>
      <c r="E37" s="30"/>
      <c r="F37" s="29"/>
      <c r="G37" s="29"/>
      <c r="H37" s="29"/>
      <c r="I37" s="29"/>
      <c r="J37" s="29"/>
      <c r="K37" s="29"/>
      <c r="L37" s="29"/>
      <c r="M37" s="29"/>
      <c r="N37" s="53"/>
      <c r="O37" s="53"/>
      <c r="P37" s="25" t="str">
        <f aca="false">IF(Tasks[[#This Row],[Task Name]]="","",IF(N(Tasks[[#This Row],[Baseline Start]])&gt;0,Tasks[[#This Row],[Baseline Start]],Tasks[[#This Row],[_CalcStart]]))</f>
        <v/>
      </c>
      <c r="Q37" s="25" t="str">
        <f aca="false">IF(Tasks[[#This Row],[Task Name]]="","",IF(N(Tasks[[#This Row],[Baseline Finish]])&gt;0,Tasks[[#This Row],[Baseline Finish]],Tasks[[#This Row],[_CalcFinish]]))</f>
        <v/>
      </c>
      <c r="R37" s="53"/>
      <c r="S37" s="53"/>
      <c r="T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55"/>
      <c r="AF3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30"/>
      <c r="AI37" s="55"/>
      <c r="AJ3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64"/>
      <c r="AM3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7" s="30"/>
      <c r="AP37" s="25" t="str">
        <f aca="false">IF(Tasks[[#This Row],[Task Name]]="","",Tasks[[#This Row],[Forecast Start]])</f>
        <v/>
      </c>
      <c r="AQ37" s="25" t="str">
        <f aca="false">IF(Tasks[[#This Row],[Task Name]]="","",Tasks[[#This Row],[Forecast Finish]])</f>
        <v/>
      </c>
      <c r="AR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7" s="62" t="str">
        <f aca="false">IF(Tasks[[#This Row],[Task Name]]="","",Tasks[[#This Row],[Work]])</f>
        <v/>
      </c>
      <c r="AT37" s="63" t="str">
        <f aca="false">IF(Tasks[[#This Row],[Task Name]]="","",Tasks[[#This Row],[Cost]])</f>
        <v/>
      </c>
      <c r="AU37" s="53"/>
      <c r="AV37" s="53"/>
      <c r="AW37" s="29"/>
      <c r="AX37" s="65"/>
      <c r="AY37" s="64"/>
      <c r="AZ37" s="28" t="str">
        <f aca="false">IF(OR(Tasks[[#This Row],[Task Name]]="",Tasks[[#This Row],[Baseline Duration]]=""),"",Tasks[[#This Row],[BL Source Duration]]-N(Tasks[[#This Row],[Baseline Duration]]))</f>
        <v/>
      </c>
      <c r="BA37" s="62" t="str">
        <f aca="false">IF(OR(Tasks[[#This Row],[Task Name]]="",Tasks[[#This Row],[Baseline Work]]=""),"",Tasks[[#This Row],[Work]]-N(Tasks[[#This Row],[Baseline Work]]))</f>
        <v/>
      </c>
      <c r="BB37" s="63" t="str">
        <f aca="false">IF(OR(Tasks[[#This Row],[Task Name]]="",Tasks[[#This Row],[Baseline Cost]]=""),"",Tasks[[#This Row],[Cost]]-N(Tasks[[#This Row],[Baseline Cost]]))</f>
        <v/>
      </c>
      <c r="BC3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7" s="43" t="str">
        <f aca="false">IF(Tasks[[#This Row],[Task Name]]="","",MAX(1,N(Tasks[[#This Row],[Level]])))</f>
        <v/>
      </c>
      <c r="BH37" s="43" t="n">
        <f aca="false">ROW()-ROW(Tasks[[#Headers],[ID]])</f>
        <v>32</v>
      </c>
      <c r="BI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7" s="43" t="n">
        <f aca="false">IFERROR(N(INDEX(Tasks[_Level],Tasks[[#This Row],[_Row]]+1)),0)</f>
        <v>0</v>
      </c>
      <c r="BK37" s="66" t="b">
        <f aca="false">AND(Tasks[[#This Row],[Task Name]]&lt;&gt;"",Tasks[[#This Row],[_NextLevel]]&gt;Tasks[[#This Row],[_Level]])</f>
        <v>0</v>
      </c>
      <c r="BL37" s="43" t="n">
        <f aca="false">IF(Tasks[[#This Row],[_IsSummary]],COUNTIF(Tasks[WBS],Tasks[[#This Row],[WBS]]&amp;".*"),0)</f>
        <v>0</v>
      </c>
      <c r="BM37" s="43" t="n">
        <f aca="false">IF(AND(Tasks[[#This Row],[Task Name]]&lt;&gt;"",NOT(Tasks[[#This Row],[_IsSummary]])),1,0)</f>
        <v>0</v>
      </c>
      <c r="BN37" s="43" t="n">
        <f aca="false">IF(N(Tasks[[#This Row],[Pred1 UID]])=0,0,IFERROR(MATCH(Tasks[[#This Row],[Pred1 UID]],Tasks[UID],0),-1))</f>
        <v>0</v>
      </c>
      <c r="BO37" s="43" t="n">
        <f aca="false">IF(N(Tasks[[#This Row],[Pred2 UID]])=0,0,IFERROR(MATCH(Tasks[[#This Row],[Pred2 UID]],Tasks[UID],0),-1))</f>
        <v>0</v>
      </c>
      <c r="BP3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7" s="43" t="n">
        <f aca="false">IF(NOT(Tasks[[#This Row],[_IsLeaf]]=1),0,IF(N(Tasks[[#This Row],[Actual Finish]])&gt;0,1,MIN(1,N(Tasks[[#This Row],[% Complete]]))))</f>
        <v>0</v>
      </c>
      <c r="BU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7" s="43" t="n">
        <f aca="false">IF(Tasks[[#This Row],[_LeafWork]]=0,0,Tasks[[#This Row],[_LeafWork]]*IFERROR(INDEX(res_Rate,MATCH(Tasks[[#This Row],[Resource]],res_Name,0)),0))</f>
        <v>0</v>
      </c>
      <c r="BW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7" s="43" t="n">
        <f aca="false">IF(NOT(Tasks[[#This Row],[_IsLeaf]]=1),0,MAX(_xlfn.MAXIFS(Tasks[_Row],Tasks[Pred1 UID],Tasks[[#This Row],[UID]]),_xlfn.MAXIFS(Tasks[_Row],Tasks[Pred2 UID],Tasks[[#This Row],[UID]])))</f>
        <v>0</v>
      </c>
      <c r="CB3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7" s="67" t="str">
        <f aca="false">IF(NOT(Tasks[[#This Row],[_IsLeaf]]=1),"",MIN(ProjectFinish,IF(N(Tasks[[#This Row],[Deadline]])&gt;0,Tasks[[#This Row],[Deadline]],2958465),Tasks[[#This Row],[_SuccessorFinishLimit]]))</f>
        <v/>
      </c>
      <c r="CD3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7" s="66" t="b">
        <f aca="false">AND(Tasks[[#This Row],[_IsLeaf]]=1,Tasks[[#This Row],[_LeafProgress]]&lt;1,N(Tasks[[#This Row],[_LeafTotalSlack]])&lt;=CriticalSlackDays)</f>
        <v>0</v>
      </c>
      <c r="CG3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7" s="43" t="n">
        <f aca="false">IF(AND(Tasks[[#This Row],[_IsLeaf]]=1,Tasks[[#This Row],[_LeafWork]]&gt;0),NETWORKDAYS.INTL(ProjectStart,Tasks[[#This Row],[_LeafFcstStart]],WorkWeek,Holidays),0)</f>
        <v>0</v>
      </c>
      <c r="CP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7" s="43" t="n">
        <f aca="false">IF(AND(Tasks[[#This Row],[_IsLeaf]]=1,Tasks[[#This Row],[_LeafWork]]&gt;0),Tasks[[#This Row],[_LeafWork]]/(Tasks[[#This Row],[_FinishWorkday]]-Tasks[[#This Row],[_StartWorkday]]+1),0)</f>
        <v>0</v>
      </c>
      <c r="CR37" s="43" t="n">
        <f aca="false">Tasks[[#This Row],[_WorkPerWorkday]]*(Tasks[[#This Row],[_StartWorkday]]-1)</f>
        <v>-0</v>
      </c>
      <c r="CS37" s="43" t="n">
        <f aca="false">IF(Tasks[[#This Row],[_IsLeaf]]=1,MAX(N(Tasks[[#This Row],[Duration]]),0.1),0)</f>
        <v>0</v>
      </c>
      <c r="CT37" s="43" t="n">
        <f aca="false">Tasks[[#This Row],[_WeightDur]]*Tasks[[#This Row],[_LeafProgress]]</f>
        <v>0</v>
      </c>
      <c r="CU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7" s="43" t="str">
        <f aca="false">IF(AND(Tasks[[#This Row],[_IsLeaf]]=1,N(Tasks[[#This Row],[Duration]])=0,Tasks[[#This Row],[_LeafProgress]]&lt;1),Tasks[[#This Row],[_LeafFcstFinish]]+Tasks[[#This Row],[_Row]]/100000,"")</f>
        <v/>
      </c>
      <c r="DA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7" s="43" t="n">
        <f aca="false">IF(NOT(Tasks[[#This Row],[_IsLeaf]]=1),0,IF(Tasks[[#This Row],[Baseline Cost]]="",Tasks[[#This Row],[_LeafCost]],N(Tasks[[#This Row],[Baseline Cost]])))</f>
        <v>0</v>
      </c>
      <c r="DC37" s="43" t="n">
        <f aca="false">Tasks[[#This Row],[_LeafBudget]]*Tasks[[#This Row],[_PlannedPct]]</f>
        <v>0</v>
      </c>
      <c r="DD37" s="43" t="n">
        <f aca="false">Tasks[[#This Row],[_LeafBudget]]*Tasks[[#This Row],[_LeafProgress]]</f>
        <v>0</v>
      </c>
      <c r="DE37" s="43" t="n">
        <f aca="false">IF(NOT(Tasks[[#This Row],[_IsLeaf]]=1),0,IF(Tasks[[#This Row],[Actual Cost]]="",Tasks[[#This Row],[_LeafCost]]*Tasks[[#This Row],[_LeafProgress]],N(Tasks[[#This Row],[Actual Cost]])))</f>
        <v>0</v>
      </c>
      <c r="DF37" s="43" t="str">
        <f aca="false">IF(Tasks[[#This Row],[Task Name]]="","",LEFT(Tasks[[#This Row],[WBS]],FIND(".",Tasks[[#This Row],[WBS]]&amp;".")-1))</f>
        <v/>
      </c>
      <c r="DG37" s="43" t="str">
        <f aca="false">IF(AND(Tasks[[#This Row],[Task Name]]&lt;&gt;"",Tasks[[#This Row],[_Level]]=1),Tasks[[#This Row],[_Row]],"")</f>
        <v/>
      </c>
      <c r="DH37" s="43" t="str">
        <f aca="false">IF(AND(Tasks[[#This Row],[_IsLeaf]]=1,N(Tasks[[#This Row],[Duration]])=0),Tasks[[#This Row],[Planned Finish]]+Tasks[[#This Row],[_Row]]/100000,"")</f>
        <v/>
      </c>
      <c r="DI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7" s="43" t="str">
        <f aca="false">IF(Tasks[[#This Row],[_LeafCritical]],Tasks[[#This Row],[_LeafFcstStart]]+Tasks[[#This Row],[_Row]]/100000,"")</f>
        <v/>
      </c>
    </row>
    <row r="38" customFormat="false" ht="15" hidden="false" customHeight="false" outlineLevel="0" collapsed="false">
      <c r="A38" s="28" t="str">
        <f aca="false">IF(Tasks[[#This Row],[Task Name]]="","",COUNTA(Tasks[[#Headers],[Task Name]]:Tasks[[#This Row],[Task Name]])-1)</f>
        <v/>
      </c>
      <c r="B38" s="29" t="n">
        <v>33</v>
      </c>
      <c r="C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29"/>
      <c r="E38" s="30"/>
      <c r="F38" s="29"/>
      <c r="G38" s="29"/>
      <c r="H38" s="29"/>
      <c r="I38" s="29"/>
      <c r="J38" s="29"/>
      <c r="K38" s="29"/>
      <c r="L38" s="29"/>
      <c r="M38" s="29"/>
      <c r="N38" s="53"/>
      <c r="O38" s="53"/>
      <c r="P38" s="25" t="str">
        <f aca="false">IF(Tasks[[#This Row],[Task Name]]="","",IF(N(Tasks[[#This Row],[Baseline Start]])&gt;0,Tasks[[#This Row],[Baseline Start]],Tasks[[#This Row],[_CalcStart]]))</f>
        <v/>
      </c>
      <c r="Q38" s="25" t="str">
        <f aca="false">IF(Tasks[[#This Row],[Task Name]]="","",IF(N(Tasks[[#This Row],[Baseline Finish]])&gt;0,Tasks[[#This Row],[Baseline Finish]],Tasks[[#This Row],[_CalcFinish]]))</f>
        <v/>
      </c>
      <c r="R38" s="53"/>
      <c r="S38" s="53"/>
      <c r="T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55"/>
      <c r="AF3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30"/>
      <c r="AI38" s="55"/>
      <c r="AJ3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64"/>
      <c r="AM3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8" s="30"/>
      <c r="AP38" s="25" t="str">
        <f aca="false">IF(Tasks[[#This Row],[Task Name]]="","",Tasks[[#This Row],[Forecast Start]])</f>
        <v/>
      </c>
      <c r="AQ38" s="25" t="str">
        <f aca="false">IF(Tasks[[#This Row],[Task Name]]="","",Tasks[[#This Row],[Forecast Finish]])</f>
        <v/>
      </c>
      <c r="AR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8" s="62" t="str">
        <f aca="false">IF(Tasks[[#This Row],[Task Name]]="","",Tasks[[#This Row],[Work]])</f>
        <v/>
      </c>
      <c r="AT38" s="63" t="str">
        <f aca="false">IF(Tasks[[#This Row],[Task Name]]="","",Tasks[[#This Row],[Cost]])</f>
        <v/>
      </c>
      <c r="AU38" s="53"/>
      <c r="AV38" s="53"/>
      <c r="AW38" s="29"/>
      <c r="AX38" s="65"/>
      <c r="AY38" s="64"/>
      <c r="AZ38" s="28" t="str">
        <f aca="false">IF(OR(Tasks[[#This Row],[Task Name]]="",Tasks[[#This Row],[Baseline Duration]]=""),"",Tasks[[#This Row],[BL Source Duration]]-N(Tasks[[#This Row],[Baseline Duration]]))</f>
        <v/>
      </c>
      <c r="BA38" s="62" t="str">
        <f aca="false">IF(OR(Tasks[[#This Row],[Task Name]]="",Tasks[[#This Row],[Baseline Work]]=""),"",Tasks[[#This Row],[Work]]-N(Tasks[[#This Row],[Baseline Work]]))</f>
        <v/>
      </c>
      <c r="BB38" s="63" t="str">
        <f aca="false">IF(OR(Tasks[[#This Row],[Task Name]]="",Tasks[[#This Row],[Baseline Cost]]=""),"",Tasks[[#This Row],[Cost]]-N(Tasks[[#This Row],[Baseline Cost]]))</f>
        <v/>
      </c>
      <c r="BC3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8" s="43" t="str">
        <f aca="false">IF(Tasks[[#This Row],[Task Name]]="","",MAX(1,N(Tasks[[#This Row],[Level]])))</f>
        <v/>
      </c>
      <c r="BH38" s="43" t="n">
        <f aca="false">ROW()-ROW(Tasks[[#Headers],[ID]])</f>
        <v>33</v>
      </c>
      <c r="BI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8" s="43" t="n">
        <f aca="false">IFERROR(N(INDEX(Tasks[_Level],Tasks[[#This Row],[_Row]]+1)),0)</f>
        <v>0</v>
      </c>
      <c r="BK38" s="66" t="b">
        <f aca="false">AND(Tasks[[#This Row],[Task Name]]&lt;&gt;"",Tasks[[#This Row],[_NextLevel]]&gt;Tasks[[#This Row],[_Level]])</f>
        <v>0</v>
      </c>
      <c r="BL38" s="43" t="n">
        <f aca="false">IF(Tasks[[#This Row],[_IsSummary]],COUNTIF(Tasks[WBS],Tasks[[#This Row],[WBS]]&amp;".*"),0)</f>
        <v>0</v>
      </c>
      <c r="BM38" s="43" t="n">
        <f aca="false">IF(AND(Tasks[[#This Row],[Task Name]]&lt;&gt;"",NOT(Tasks[[#This Row],[_IsSummary]])),1,0)</f>
        <v>0</v>
      </c>
      <c r="BN38" s="43" t="n">
        <f aca="false">IF(N(Tasks[[#This Row],[Pred1 UID]])=0,0,IFERROR(MATCH(Tasks[[#This Row],[Pred1 UID]],Tasks[UID],0),-1))</f>
        <v>0</v>
      </c>
      <c r="BO38" s="43" t="n">
        <f aca="false">IF(N(Tasks[[#This Row],[Pred2 UID]])=0,0,IFERROR(MATCH(Tasks[[#This Row],[Pred2 UID]],Tasks[UID],0),-1))</f>
        <v>0</v>
      </c>
      <c r="BP3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8" s="43" t="n">
        <f aca="false">IF(NOT(Tasks[[#This Row],[_IsLeaf]]=1),0,IF(N(Tasks[[#This Row],[Actual Finish]])&gt;0,1,MIN(1,N(Tasks[[#This Row],[% Complete]]))))</f>
        <v>0</v>
      </c>
      <c r="BU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8" s="43" t="n">
        <f aca="false">IF(Tasks[[#This Row],[_LeafWork]]=0,0,Tasks[[#This Row],[_LeafWork]]*IFERROR(INDEX(res_Rate,MATCH(Tasks[[#This Row],[Resource]],res_Name,0)),0))</f>
        <v>0</v>
      </c>
      <c r="BW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8" s="43" t="n">
        <f aca="false">IF(NOT(Tasks[[#This Row],[_IsLeaf]]=1),0,MAX(_xlfn.MAXIFS(Tasks[_Row],Tasks[Pred1 UID],Tasks[[#This Row],[UID]]),_xlfn.MAXIFS(Tasks[_Row],Tasks[Pred2 UID],Tasks[[#This Row],[UID]])))</f>
        <v>0</v>
      </c>
      <c r="CB3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8" s="67" t="str">
        <f aca="false">IF(NOT(Tasks[[#This Row],[_IsLeaf]]=1),"",MIN(ProjectFinish,IF(N(Tasks[[#This Row],[Deadline]])&gt;0,Tasks[[#This Row],[Deadline]],2958465),Tasks[[#This Row],[_SuccessorFinishLimit]]))</f>
        <v/>
      </c>
      <c r="CD3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8" s="66" t="b">
        <f aca="false">AND(Tasks[[#This Row],[_IsLeaf]]=1,Tasks[[#This Row],[_LeafProgress]]&lt;1,N(Tasks[[#This Row],[_LeafTotalSlack]])&lt;=CriticalSlackDays)</f>
        <v>0</v>
      </c>
      <c r="CG3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8" s="43" t="n">
        <f aca="false">IF(AND(Tasks[[#This Row],[_IsLeaf]]=1,Tasks[[#This Row],[_LeafWork]]&gt;0),NETWORKDAYS.INTL(ProjectStart,Tasks[[#This Row],[_LeafFcstStart]],WorkWeek,Holidays),0)</f>
        <v>0</v>
      </c>
      <c r="CP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8" s="43" t="n">
        <f aca="false">IF(AND(Tasks[[#This Row],[_IsLeaf]]=1,Tasks[[#This Row],[_LeafWork]]&gt;0),Tasks[[#This Row],[_LeafWork]]/(Tasks[[#This Row],[_FinishWorkday]]-Tasks[[#This Row],[_StartWorkday]]+1),0)</f>
        <v>0</v>
      </c>
      <c r="CR38" s="43" t="n">
        <f aca="false">Tasks[[#This Row],[_WorkPerWorkday]]*(Tasks[[#This Row],[_StartWorkday]]-1)</f>
        <v>-0</v>
      </c>
      <c r="CS38" s="43" t="n">
        <f aca="false">IF(Tasks[[#This Row],[_IsLeaf]]=1,MAX(N(Tasks[[#This Row],[Duration]]),0.1),0)</f>
        <v>0</v>
      </c>
      <c r="CT38" s="43" t="n">
        <f aca="false">Tasks[[#This Row],[_WeightDur]]*Tasks[[#This Row],[_LeafProgress]]</f>
        <v>0</v>
      </c>
      <c r="CU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8" s="43" t="str">
        <f aca="false">IF(AND(Tasks[[#This Row],[_IsLeaf]]=1,N(Tasks[[#This Row],[Duration]])=0,Tasks[[#This Row],[_LeafProgress]]&lt;1),Tasks[[#This Row],[_LeafFcstFinish]]+Tasks[[#This Row],[_Row]]/100000,"")</f>
        <v/>
      </c>
      <c r="DA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8" s="43" t="n">
        <f aca="false">IF(NOT(Tasks[[#This Row],[_IsLeaf]]=1),0,IF(Tasks[[#This Row],[Baseline Cost]]="",Tasks[[#This Row],[_LeafCost]],N(Tasks[[#This Row],[Baseline Cost]])))</f>
        <v>0</v>
      </c>
      <c r="DC38" s="43" t="n">
        <f aca="false">Tasks[[#This Row],[_LeafBudget]]*Tasks[[#This Row],[_PlannedPct]]</f>
        <v>0</v>
      </c>
      <c r="DD38" s="43" t="n">
        <f aca="false">Tasks[[#This Row],[_LeafBudget]]*Tasks[[#This Row],[_LeafProgress]]</f>
        <v>0</v>
      </c>
      <c r="DE38" s="43" t="n">
        <f aca="false">IF(NOT(Tasks[[#This Row],[_IsLeaf]]=1),0,IF(Tasks[[#This Row],[Actual Cost]]="",Tasks[[#This Row],[_LeafCost]]*Tasks[[#This Row],[_LeafProgress]],N(Tasks[[#This Row],[Actual Cost]])))</f>
        <v>0</v>
      </c>
      <c r="DF38" s="43" t="str">
        <f aca="false">IF(Tasks[[#This Row],[Task Name]]="","",LEFT(Tasks[[#This Row],[WBS]],FIND(".",Tasks[[#This Row],[WBS]]&amp;".")-1))</f>
        <v/>
      </c>
      <c r="DG38" s="43" t="str">
        <f aca="false">IF(AND(Tasks[[#This Row],[Task Name]]&lt;&gt;"",Tasks[[#This Row],[_Level]]=1),Tasks[[#This Row],[_Row]],"")</f>
        <v/>
      </c>
      <c r="DH38" s="43" t="str">
        <f aca="false">IF(AND(Tasks[[#This Row],[_IsLeaf]]=1,N(Tasks[[#This Row],[Duration]])=0),Tasks[[#This Row],[Planned Finish]]+Tasks[[#This Row],[_Row]]/100000,"")</f>
        <v/>
      </c>
      <c r="DI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8" s="43" t="str">
        <f aca="false">IF(Tasks[[#This Row],[_LeafCritical]],Tasks[[#This Row],[_LeafFcstStart]]+Tasks[[#This Row],[_Row]]/100000,"")</f>
        <v/>
      </c>
    </row>
    <row r="39" customFormat="false" ht="15" hidden="false" customHeight="false" outlineLevel="0" collapsed="false">
      <c r="A39" s="28" t="str">
        <f aca="false">IF(Tasks[[#This Row],[Task Name]]="","",COUNTA(Tasks[[#Headers],[Task Name]]:Tasks[[#This Row],[Task Name]])-1)</f>
        <v/>
      </c>
      <c r="B39" s="29" t="n">
        <v>34</v>
      </c>
      <c r="C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29"/>
      <c r="E39" s="30"/>
      <c r="F39" s="29"/>
      <c r="G39" s="29"/>
      <c r="H39" s="29"/>
      <c r="I39" s="29"/>
      <c r="J39" s="29"/>
      <c r="K39" s="29"/>
      <c r="L39" s="29"/>
      <c r="M39" s="29"/>
      <c r="N39" s="53"/>
      <c r="O39" s="53"/>
      <c r="P39" s="25" t="str">
        <f aca="false">IF(Tasks[[#This Row],[Task Name]]="","",IF(N(Tasks[[#This Row],[Baseline Start]])&gt;0,Tasks[[#This Row],[Baseline Start]],Tasks[[#This Row],[_CalcStart]]))</f>
        <v/>
      </c>
      <c r="Q39" s="25" t="str">
        <f aca="false">IF(Tasks[[#This Row],[Task Name]]="","",IF(N(Tasks[[#This Row],[Baseline Finish]])&gt;0,Tasks[[#This Row],[Baseline Finish]],Tasks[[#This Row],[_CalcFinish]]))</f>
        <v/>
      </c>
      <c r="R39" s="53"/>
      <c r="S39" s="53"/>
      <c r="T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55"/>
      <c r="AF3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30"/>
      <c r="AI39" s="55"/>
      <c r="AJ3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64"/>
      <c r="AM3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39" s="30"/>
      <c r="AP39" s="25" t="str">
        <f aca="false">IF(Tasks[[#This Row],[Task Name]]="","",Tasks[[#This Row],[Forecast Start]])</f>
        <v/>
      </c>
      <c r="AQ39" s="25" t="str">
        <f aca="false">IF(Tasks[[#This Row],[Task Name]]="","",Tasks[[#This Row],[Forecast Finish]])</f>
        <v/>
      </c>
      <c r="AR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39" s="62" t="str">
        <f aca="false">IF(Tasks[[#This Row],[Task Name]]="","",Tasks[[#This Row],[Work]])</f>
        <v/>
      </c>
      <c r="AT39" s="63" t="str">
        <f aca="false">IF(Tasks[[#This Row],[Task Name]]="","",Tasks[[#This Row],[Cost]])</f>
        <v/>
      </c>
      <c r="AU39" s="53"/>
      <c r="AV39" s="53"/>
      <c r="AW39" s="29"/>
      <c r="AX39" s="65"/>
      <c r="AY39" s="64"/>
      <c r="AZ39" s="28" t="str">
        <f aca="false">IF(OR(Tasks[[#This Row],[Task Name]]="",Tasks[[#This Row],[Baseline Duration]]=""),"",Tasks[[#This Row],[BL Source Duration]]-N(Tasks[[#This Row],[Baseline Duration]]))</f>
        <v/>
      </c>
      <c r="BA39" s="62" t="str">
        <f aca="false">IF(OR(Tasks[[#This Row],[Task Name]]="",Tasks[[#This Row],[Baseline Work]]=""),"",Tasks[[#This Row],[Work]]-N(Tasks[[#This Row],[Baseline Work]]))</f>
        <v/>
      </c>
      <c r="BB39" s="63" t="str">
        <f aca="false">IF(OR(Tasks[[#This Row],[Task Name]]="",Tasks[[#This Row],[Baseline Cost]]=""),"",Tasks[[#This Row],[Cost]]-N(Tasks[[#This Row],[Baseline Cost]]))</f>
        <v/>
      </c>
      <c r="BC3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3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3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3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39" s="43" t="str">
        <f aca="false">IF(Tasks[[#This Row],[Task Name]]="","",MAX(1,N(Tasks[[#This Row],[Level]])))</f>
        <v/>
      </c>
      <c r="BH39" s="43" t="n">
        <f aca="false">ROW()-ROW(Tasks[[#Headers],[ID]])</f>
        <v>34</v>
      </c>
      <c r="BI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39" s="43" t="n">
        <f aca="false">IFERROR(N(INDEX(Tasks[_Level],Tasks[[#This Row],[_Row]]+1)),0)</f>
        <v>0</v>
      </c>
      <c r="BK39" s="66" t="b">
        <f aca="false">AND(Tasks[[#This Row],[Task Name]]&lt;&gt;"",Tasks[[#This Row],[_NextLevel]]&gt;Tasks[[#This Row],[_Level]])</f>
        <v>0</v>
      </c>
      <c r="BL39" s="43" t="n">
        <f aca="false">IF(Tasks[[#This Row],[_IsSummary]],COUNTIF(Tasks[WBS],Tasks[[#This Row],[WBS]]&amp;".*"),0)</f>
        <v>0</v>
      </c>
      <c r="BM39" s="43" t="n">
        <f aca="false">IF(AND(Tasks[[#This Row],[Task Name]]&lt;&gt;"",NOT(Tasks[[#This Row],[_IsSummary]])),1,0)</f>
        <v>0</v>
      </c>
      <c r="BN39" s="43" t="n">
        <f aca="false">IF(N(Tasks[[#This Row],[Pred1 UID]])=0,0,IFERROR(MATCH(Tasks[[#This Row],[Pred1 UID]],Tasks[UID],0),-1))</f>
        <v>0</v>
      </c>
      <c r="BO39" s="43" t="n">
        <f aca="false">IF(N(Tasks[[#This Row],[Pred2 UID]])=0,0,IFERROR(MATCH(Tasks[[#This Row],[Pred2 UID]],Tasks[UID],0),-1))</f>
        <v>0</v>
      </c>
      <c r="BP3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3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3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3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39" s="43" t="n">
        <f aca="false">IF(NOT(Tasks[[#This Row],[_IsLeaf]]=1),0,IF(N(Tasks[[#This Row],[Actual Finish]])&gt;0,1,MIN(1,N(Tasks[[#This Row],[% Complete]]))))</f>
        <v>0</v>
      </c>
      <c r="BU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39" s="43" t="n">
        <f aca="false">IF(Tasks[[#This Row],[_LeafWork]]=0,0,Tasks[[#This Row],[_LeafWork]]*IFERROR(INDEX(res_Rate,MATCH(Tasks[[#This Row],[Resource]],res_Name,0)),0))</f>
        <v>0</v>
      </c>
      <c r="BW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39" s="43" t="n">
        <f aca="false">IF(NOT(Tasks[[#This Row],[_IsLeaf]]=1),0,MAX(_xlfn.MAXIFS(Tasks[_Row],Tasks[Pred1 UID],Tasks[[#This Row],[UID]]),_xlfn.MAXIFS(Tasks[_Row],Tasks[Pred2 UID],Tasks[[#This Row],[UID]])))</f>
        <v>0</v>
      </c>
      <c r="CB3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39" s="67" t="str">
        <f aca="false">IF(NOT(Tasks[[#This Row],[_IsLeaf]]=1),"",MIN(ProjectFinish,IF(N(Tasks[[#This Row],[Deadline]])&gt;0,Tasks[[#This Row],[Deadline]],2958465),Tasks[[#This Row],[_SuccessorFinishLimit]]))</f>
        <v/>
      </c>
      <c r="CD3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39" s="66" t="b">
        <f aca="false">AND(Tasks[[#This Row],[_IsLeaf]]=1,Tasks[[#This Row],[_LeafProgress]]&lt;1,N(Tasks[[#This Row],[_LeafTotalSlack]])&lt;=CriticalSlackDays)</f>
        <v>0</v>
      </c>
      <c r="CG3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3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3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3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3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3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39" s="43" t="n">
        <f aca="false">IF(AND(Tasks[[#This Row],[_IsLeaf]]=1,Tasks[[#This Row],[_LeafWork]]&gt;0),NETWORKDAYS.INTL(ProjectStart,Tasks[[#This Row],[_LeafFcstStart]],WorkWeek,Holidays),0)</f>
        <v>0</v>
      </c>
      <c r="CP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39" s="43" t="n">
        <f aca="false">IF(AND(Tasks[[#This Row],[_IsLeaf]]=1,Tasks[[#This Row],[_LeafWork]]&gt;0),Tasks[[#This Row],[_LeafWork]]/(Tasks[[#This Row],[_FinishWorkday]]-Tasks[[#This Row],[_StartWorkday]]+1),0)</f>
        <v>0</v>
      </c>
      <c r="CR39" s="43" t="n">
        <f aca="false">Tasks[[#This Row],[_WorkPerWorkday]]*(Tasks[[#This Row],[_StartWorkday]]-1)</f>
        <v>-0</v>
      </c>
      <c r="CS39" s="43" t="n">
        <f aca="false">IF(Tasks[[#This Row],[_IsLeaf]]=1,MAX(N(Tasks[[#This Row],[Duration]]),0.1),0)</f>
        <v>0</v>
      </c>
      <c r="CT39" s="43" t="n">
        <f aca="false">Tasks[[#This Row],[_WeightDur]]*Tasks[[#This Row],[_LeafProgress]]</f>
        <v>0</v>
      </c>
      <c r="CU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39" s="43" t="str">
        <f aca="false">IF(AND(Tasks[[#This Row],[_IsLeaf]]=1,N(Tasks[[#This Row],[Duration]])=0,Tasks[[#This Row],[_LeafProgress]]&lt;1),Tasks[[#This Row],[_LeafFcstFinish]]+Tasks[[#This Row],[_Row]]/100000,"")</f>
        <v/>
      </c>
      <c r="DA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39" s="43" t="n">
        <f aca="false">IF(NOT(Tasks[[#This Row],[_IsLeaf]]=1),0,IF(Tasks[[#This Row],[Baseline Cost]]="",Tasks[[#This Row],[_LeafCost]],N(Tasks[[#This Row],[Baseline Cost]])))</f>
        <v>0</v>
      </c>
      <c r="DC39" s="43" t="n">
        <f aca="false">Tasks[[#This Row],[_LeafBudget]]*Tasks[[#This Row],[_PlannedPct]]</f>
        <v>0</v>
      </c>
      <c r="DD39" s="43" t="n">
        <f aca="false">Tasks[[#This Row],[_LeafBudget]]*Tasks[[#This Row],[_LeafProgress]]</f>
        <v>0</v>
      </c>
      <c r="DE39" s="43" t="n">
        <f aca="false">IF(NOT(Tasks[[#This Row],[_IsLeaf]]=1),0,IF(Tasks[[#This Row],[Actual Cost]]="",Tasks[[#This Row],[_LeafCost]]*Tasks[[#This Row],[_LeafProgress]],N(Tasks[[#This Row],[Actual Cost]])))</f>
        <v>0</v>
      </c>
      <c r="DF39" s="43" t="str">
        <f aca="false">IF(Tasks[[#This Row],[Task Name]]="","",LEFT(Tasks[[#This Row],[WBS]],FIND(".",Tasks[[#This Row],[WBS]]&amp;".")-1))</f>
        <v/>
      </c>
      <c r="DG39" s="43" t="str">
        <f aca="false">IF(AND(Tasks[[#This Row],[Task Name]]&lt;&gt;"",Tasks[[#This Row],[_Level]]=1),Tasks[[#This Row],[_Row]],"")</f>
        <v/>
      </c>
      <c r="DH39" s="43" t="str">
        <f aca="false">IF(AND(Tasks[[#This Row],[_IsLeaf]]=1,N(Tasks[[#This Row],[Duration]])=0),Tasks[[#This Row],[Planned Finish]]+Tasks[[#This Row],[_Row]]/100000,"")</f>
        <v/>
      </c>
      <c r="DI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39" s="43" t="str">
        <f aca="false">IF(Tasks[[#This Row],[_LeafCritical]],Tasks[[#This Row],[_LeafFcstStart]]+Tasks[[#This Row],[_Row]]/100000,"")</f>
        <v/>
      </c>
    </row>
    <row r="40" customFormat="false" ht="15" hidden="false" customHeight="false" outlineLevel="0" collapsed="false">
      <c r="A40" s="28" t="str">
        <f aca="false">IF(Tasks[[#This Row],[Task Name]]="","",COUNTA(Tasks[[#Headers],[Task Name]]:Tasks[[#This Row],[Task Name]])-1)</f>
        <v/>
      </c>
      <c r="B40" s="29" t="n">
        <v>35</v>
      </c>
      <c r="C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29"/>
      <c r="E40" s="30"/>
      <c r="F40" s="29"/>
      <c r="G40" s="29"/>
      <c r="H40" s="29"/>
      <c r="I40" s="29"/>
      <c r="J40" s="29"/>
      <c r="K40" s="29"/>
      <c r="L40" s="29"/>
      <c r="M40" s="29"/>
      <c r="N40" s="53"/>
      <c r="O40" s="53"/>
      <c r="P40" s="25" t="str">
        <f aca="false">IF(Tasks[[#This Row],[Task Name]]="","",IF(N(Tasks[[#This Row],[Baseline Start]])&gt;0,Tasks[[#This Row],[Baseline Start]],Tasks[[#This Row],[_CalcStart]]))</f>
        <v/>
      </c>
      <c r="Q40" s="25" t="str">
        <f aca="false">IF(Tasks[[#This Row],[Task Name]]="","",IF(N(Tasks[[#This Row],[Baseline Finish]])&gt;0,Tasks[[#This Row],[Baseline Finish]],Tasks[[#This Row],[_CalcFinish]]))</f>
        <v/>
      </c>
      <c r="R40" s="53"/>
      <c r="S40" s="53"/>
      <c r="T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55"/>
      <c r="AF4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30"/>
      <c r="AI40" s="55"/>
      <c r="AJ4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64"/>
      <c r="AM4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0" s="30"/>
      <c r="AP40" s="25" t="str">
        <f aca="false">IF(Tasks[[#This Row],[Task Name]]="","",Tasks[[#This Row],[Forecast Start]])</f>
        <v/>
      </c>
      <c r="AQ40" s="25" t="str">
        <f aca="false">IF(Tasks[[#This Row],[Task Name]]="","",Tasks[[#This Row],[Forecast Finish]])</f>
        <v/>
      </c>
      <c r="AR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0" s="62" t="str">
        <f aca="false">IF(Tasks[[#This Row],[Task Name]]="","",Tasks[[#This Row],[Work]])</f>
        <v/>
      </c>
      <c r="AT40" s="63" t="str">
        <f aca="false">IF(Tasks[[#This Row],[Task Name]]="","",Tasks[[#This Row],[Cost]])</f>
        <v/>
      </c>
      <c r="AU40" s="53"/>
      <c r="AV40" s="53"/>
      <c r="AW40" s="29"/>
      <c r="AX40" s="65"/>
      <c r="AY40" s="64"/>
      <c r="AZ40" s="28" t="str">
        <f aca="false">IF(OR(Tasks[[#This Row],[Task Name]]="",Tasks[[#This Row],[Baseline Duration]]=""),"",Tasks[[#This Row],[BL Source Duration]]-N(Tasks[[#This Row],[Baseline Duration]]))</f>
        <v/>
      </c>
      <c r="BA40" s="62" t="str">
        <f aca="false">IF(OR(Tasks[[#This Row],[Task Name]]="",Tasks[[#This Row],[Baseline Work]]=""),"",Tasks[[#This Row],[Work]]-N(Tasks[[#This Row],[Baseline Work]]))</f>
        <v/>
      </c>
      <c r="BB40" s="63" t="str">
        <f aca="false">IF(OR(Tasks[[#This Row],[Task Name]]="",Tasks[[#This Row],[Baseline Cost]]=""),"",Tasks[[#This Row],[Cost]]-N(Tasks[[#This Row],[Baseline Cost]]))</f>
        <v/>
      </c>
      <c r="BC4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0" s="43" t="str">
        <f aca="false">IF(Tasks[[#This Row],[Task Name]]="","",MAX(1,N(Tasks[[#This Row],[Level]])))</f>
        <v/>
      </c>
      <c r="BH40" s="43" t="n">
        <f aca="false">ROW()-ROW(Tasks[[#Headers],[ID]])</f>
        <v>35</v>
      </c>
      <c r="BI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0" s="43" t="n">
        <f aca="false">IFERROR(N(INDEX(Tasks[_Level],Tasks[[#This Row],[_Row]]+1)),0)</f>
        <v>0</v>
      </c>
      <c r="BK40" s="66" t="b">
        <f aca="false">AND(Tasks[[#This Row],[Task Name]]&lt;&gt;"",Tasks[[#This Row],[_NextLevel]]&gt;Tasks[[#This Row],[_Level]])</f>
        <v>0</v>
      </c>
      <c r="BL40" s="43" t="n">
        <f aca="false">IF(Tasks[[#This Row],[_IsSummary]],COUNTIF(Tasks[WBS],Tasks[[#This Row],[WBS]]&amp;".*"),0)</f>
        <v>0</v>
      </c>
      <c r="BM40" s="43" t="n">
        <f aca="false">IF(AND(Tasks[[#This Row],[Task Name]]&lt;&gt;"",NOT(Tasks[[#This Row],[_IsSummary]])),1,0)</f>
        <v>0</v>
      </c>
      <c r="BN40" s="43" t="n">
        <f aca="false">IF(N(Tasks[[#This Row],[Pred1 UID]])=0,0,IFERROR(MATCH(Tasks[[#This Row],[Pred1 UID]],Tasks[UID],0),-1))</f>
        <v>0</v>
      </c>
      <c r="BO40" s="43" t="n">
        <f aca="false">IF(N(Tasks[[#This Row],[Pred2 UID]])=0,0,IFERROR(MATCH(Tasks[[#This Row],[Pred2 UID]],Tasks[UID],0),-1))</f>
        <v>0</v>
      </c>
      <c r="BP4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0" s="43" t="n">
        <f aca="false">IF(NOT(Tasks[[#This Row],[_IsLeaf]]=1),0,IF(N(Tasks[[#This Row],[Actual Finish]])&gt;0,1,MIN(1,N(Tasks[[#This Row],[% Complete]]))))</f>
        <v>0</v>
      </c>
      <c r="BU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0" s="43" t="n">
        <f aca="false">IF(Tasks[[#This Row],[_LeafWork]]=0,0,Tasks[[#This Row],[_LeafWork]]*IFERROR(INDEX(res_Rate,MATCH(Tasks[[#This Row],[Resource]],res_Name,0)),0))</f>
        <v>0</v>
      </c>
      <c r="BW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0" s="43" t="n">
        <f aca="false">IF(NOT(Tasks[[#This Row],[_IsLeaf]]=1),0,MAX(_xlfn.MAXIFS(Tasks[_Row],Tasks[Pred1 UID],Tasks[[#This Row],[UID]]),_xlfn.MAXIFS(Tasks[_Row],Tasks[Pred2 UID],Tasks[[#This Row],[UID]])))</f>
        <v>0</v>
      </c>
      <c r="CB4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0" s="67" t="str">
        <f aca="false">IF(NOT(Tasks[[#This Row],[_IsLeaf]]=1),"",MIN(ProjectFinish,IF(N(Tasks[[#This Row],[Deadline]])&gt;0,Tasks[[#This Row],[Deadline]],2958465),Tasks[[#This Row],[_SuccessorFinishLimit]]))</f>
        <v/>
      </c>
      <c r="CD4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0" s="66" t="b">
        <f aca="false">AND(Tasks[[#This Row],[_IsLeaf]]=1,Tasks[[#This Row],[_LeafProgress]]&lt;1,N(Tasks[[#This Row],[_LeafTotalSlack]])&lt;=CriticalSlackDays)</f>
        <v>0</v>
      </c>
      <c r="CG4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0" s="43" t="n">
        <f aca="false">IF(AND(Tasks[[#This Row],[_IsLeaf]]=1,Tasks[[#This Row],[_LeafWork]]&gt;0),NETWORKDAYS.INTL(ProjectStart,Tasks[[#This Row],[_LeafFcstStart]],WorkWeek,Holidays),0)</f>
        <v>0</v>
      </c>
      <c r="CP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0" s="43" t="n">
        <f aca="false">IF(AND(Tasks[[#This Row],[_IsLeaf]]=1,Tasks[[#This Row],[_LeafWork]]&gt;0),Tasks[[#This Row],[_LeafWork]]/(Tasks[[#This Row],[_FinishWorkday]]-Tasks[[#This Row],[_StartWorkday]]+1),0)</f>
        <v>0</v>
      </c>
      <c r="CR40" s="43" t="n">
        <f aca="false">Tasks[[#This Row],[_WorkPerWorkday]]*(Tasks[[#This Row],[_StartWorkday]]-1)</f>
        <v>-0</v>
      </c>
      <c r="CS40" s="43" t="n">
        <f aca="false">IF(Tasks[[#This Row],[_IsLeaf]]=1,MAX(N(Tasks[[#This Row],[Duration]]),0.1),0)</f>
        <v>0</v>
      </c>
      <c r="CT40" s="43" t="n">
        <f aca="false">Tasks[[#This Row],[_WeightDur]]*Tasks[[#This Row],[_LeafProgress]]</f>
        <v>0</v>
      </c>
      <c r="CU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0" s="43" t="str">
        <f aca="false">IF(AND(Tasks[[#This Row],[_IsLeaf]]=1,N(Tasks[[#This Row],[Duration]])=0,Tasks[[#This Row],[_LeafProgress]]&lt;1),Tasks[[#This Row],[_LeafFcstFinish]]+Tasks[[#This Row],[_Row]]/100000,"")</f>
        <v/>
      </c>
      <c r="DA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0" s="43" t="n">
        <f aca="false">IF(NOT(Tasks[[#This Row],[_IsLeaf]]=1),0,IF(Tasks[[#This Row],[Baseline Cost]]="",Tasks[[#This Row],[_LeafCost]],N(Tasks[[#This Row],[Baseline Cost]])))</f>
        <v>0</v>
      </c>
      <c r="DC40" s="43" t="n">
        <f aca="false">Tasks[[#This Row],[_LeafBudget]]*Tasks[[#This Row],[_PlannedPct]]</f>
        <v>0</v>
      </c>
      <c r="DD40" s="43" t="n">
        <f aca="false">Tasks[[#This Row],[_LeafBudget]]*Tasks[[#This Row],[_LeafProgress]]</f>
        <v>0</v>
      </c>
      <c r="DE40" s="43" t="n">
        <f aca="false">IF(NOT(Tasks[[#This Row],[_IsLeaf]]=1),0,IF(Tasks[[#This Row],[Actual Cost]]="",Tasks[[#This Row],[_LeafCost]]*Tasks[[#This Row],[_LeafProgress]],N(Tasks[[#This Row],[Actual Cost]])))</f>
        <v>0</v>
      </c>
      <c r="DF40" s="43" t="str">
        <f aca="false">IF(Tasks[[#This Row],[Task Name]]="","",LEFT(Tasks[[#This Row],[WBS]],FIND(".",Tasks[[#This Row],[WBS]]&amp;".")-1))</f>
        <v/>
      </c>
      <c r="DG40" s="43" t="str">
        <f aca="false">IF(AND(Tasks[[#This Row],[Task Name]]&lt;&gt;"",Tasks[[#This Row],[_Level]]=1),Tasks[[#This Row],[_Row]],"")</f>
        <v/>
      </c>
      <c r="DH40" s="43" t="str">
        <f aca="false">IF(AND(Tasks[[#This Row],[_IsLeaf]]=1,N(Tasks[[#This Row],[Duration]])=0),Tasks[[#This Row],[Planned Finish]]+Tasks[[#This Row],[_Row]]/100000,"")</f>
        <v/>
      </c>
      <c r="DI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0" s="43" t="str">
        <f aca="false">IF(Tasks[[#This Row],[_LeafCritical]],Tasks[[#This Row],[_LeafFcstStart]]+Tasks[[#This Row],[_Row]]/100000,"")</f>
        <v/>
      </c>
    </row>
    <row r="41" customFormat="false" ht="15" hidden="false" customHeight="false" outlineLevel="0" collapsed="false">
      <c r="A41" s="28" t="str">
        <f aca="false">IF(Tasks[[#This Row],[Task Name]]="","",COUNTA(Tasks[[#Headers],[Task Name]]:Tasks[[#This Row],[Task Name]])-1)</f>
        <v/>
      </c>
      <c r="B41" s="29" t="n">
        <v>36</v>
      </c>
      <c r="C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29"/>
      <c r="E41" s="30"/>
      <c r="F41" s="29"/>
      <c r="G41" s="29"/>
      <c r="H41" s="29"/>
      <c r="I41" s="29"/>
      <c r="J41" s="29"/>
      <c r="K41" s="29"/>
      <c r="L41" s="29"/>
      <c r="M41" s="29"/>
      <c r="N41" s="53"/>
      <c r="O41" s="53"/>
      <c r="P41" s="25" t="str">
        <f aca="false">IF(Tasks[[#This Row],[Task Name]]="","",IF(N(Tasks[[#This Row],[Baseline Start]])&gt;0,Tasks[[#This Row],[Baseline Start]],Tasks[[#This Row],[_CalcStart]]))</f>
        <v/>
      </c>
      <c r="Q41" s="25" t="str">
        <f aca="false">IF(Tasks[[#This Row],[Task Name]]="","",IF(N(Tasks[[#This Row],[Baseline Finish]])&gt;0,Tasks[[#This Row],[Baseline Finish]],Tasks[[#This Row],[_CalcFinish]]))</f>
        <v/>
      </c>
      <c r="R41" s="53"/>
      <c r="S41" s="53"/>
      <c r="T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55"/>
      <c r="AF4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30"/>
      <c r="AI41" s="55"/>
      <c r="AJ4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64"/>
      <c r="AM4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1" s="30"/>
      <c r="AP41" s="25" t="str">
        <f aca="false">IF(Tasks[[#This Row],[Task Name]]="","",Tasks[[#This Row],[Forecast Start]])</f>
        <v/>
      </c>
      <c r="AQ41" s="25" t="str">
        <f aca="false">IF(Tasks[[#This Row],[Task Name]]="","",Tasks[[#This Row],[Forecast Finish]])</f>
        <v/>
      </c>
      <c r="AR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1" s="62" t="str">
        <f aca="false">IF(Tasks[[#This Row],[Task Name]]="","",Tasks[[#This Row],[Work]])</f>
        <v/>
      </c>
      <c r="AT41" s="63" t="str">
        <f aca="false">IF(Tasks[[#This Row],[Task Name]]="","",Tasks[[#This Row],[Cost]])</f>
        <v/>
      </c>
      <c r="AU41" s="53"/>
      <c r="AV41" s="53"/>
      <c r="AW41" s="29"/>
      <c r="AX41" s="65"/>
      <c r="AY41" s="64"/>
      <c r="AZ41" s="28" t="str">
        <f aca="false">IF(OR(Tasks[[#This Row],[Task Name]]="",Tasks[[#This Row],[Baseline Duration]]=""),"",Tasks[[#This Row],[BL Source Duration]]-N(Tasks[[#This Row],[Baseline Duration]]))</f>
        <v/>
      </c>
      <c r="BA41" s="62" t="str">
        <f aca="false">IF(OR(Tasks[[#This Row],[Task Name]]="",Tasks[[#This Row],[Baseline Work]]=""),"",Tasks[[#This Row],[Work]]-N(Tasks[[#This Row],[Baseline Work]]))</f>
        <v/>
      </c>
      <c r="BB41" s="63" t="str">
        <f aca="false">IF(OR(Tasks[[#This Row],[Task Name]]="",Tasks[[#This Row],[Baseline Cost]]=""),"",Tasks[[#This Row],[Cost]]-N(Tasks[[#This Row],[Baseline Cost]]))</f>
        <v/>
      </c>
      <c r="BC4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1" s="43" t="str">
        <f aca="false">IF(Tasks[[#This Row],[Task Name]]="","",MAX(1,N(Tasks[[#This Row],[Level]])))</f>
        <v/>
      </c>
      <c r="BH41" s="43" t="n">
        <f aca="false">ROW()-ROW(Tasks[[#Headers],[ID]])</f>
        <v>36</v>
      </c>
      <c r="BI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1" s="43" t="n">
        <f aca="false">IFERROR(N(INDEX(Tasks[_Level],Tasks[[#This Row],[_Row]]+1)),0)</f>
        <v>0</v>
      </c>
      <c r="BK41" s="66" t="b">
        <f aca="false">AND(Tasks[[#This Row],[Task Name]]&lt;&gt;"",Tasks[[#This Row],[_NextLevel]]&gt;Tasks[[#This Row],[_Level]])</f>
        <v>0</v>
      </c>
      <c r="BL41" s="43" t="n">
        <f aca="false">IF(Tasks[[#This Row],[_IsSummary]],COUNTIF(Tasks[WBS],Tasks[[#This Row],[WBS]]&amp;".*"),0)</f>
        <v>0</v>
      </c>
      <c r="BM41" s="43" t="n">
        <f aca="false">IF(AND(Tasks[[#This Row],[Task Name]]&lt;&gt;"",NOT(Tasks[[#This Row],[_IsSummary]])),1,0)</f>
        <v>0</v>
      </c>
      <c r="BN41" s="43" t="n">
        <f aca="false">IF(N(Tasks[[#This Row],[Pred1 UID]])=0,0,IFERROR(MATCH(Tasks[[#This Row],[Pred1 UID]],Tasks[UID],0),-1))</f>
        <v>0</v>
      </c>
      <c r="BO41" s="43" t="n">
        <f aca="false">IF(N(Tasks[[#This Row],[Pred2 UID]])=0,0,IFERROR(MATCH(Tasks[[#This Row],[Pred2 UID]],Tasks[UID],0),-1))</f>
        <v>0</v>
      </c>
      <c r="BP4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1" s="43" t="n">
        <f aca="false">IF(NOT(Tasks[[#This Row],[_IsLeaf]]=1),0,IF(N(Tasks[[#This Row],[Actual Finish]])&gt;0,1,MIN(1,N(Tasks[[#This Row],[% Complete]]))))</f>
        <v>0</v>
      </c>
      <c r="BU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1" s="43" t="n">
        <f aca="false">IF(Tasks[[#This Row],[_LeafWork]]=0,0,Tasks[[#This Row],[_LeafWork]]*IFERROR(INDEX(res_Rate,MATCH(Tasks[[#This Row],[Resource]],res_Name,0)),0))</f>
        <v>0</v>
      </c>
      <c r="BW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1" s="43" t="n">
        <f aca="false">IF(NOT(Tasks[[#This Row],[_IsLeaf]]=1),0,MAX(_xlfn.MAXIFS(Tasks[_Row],Tasks[Pred1 UID],Tasks[[#This Row],[UID]]),_xlfn.MAXIFS(Tasks[_Row],Tasks[Pred2 UID],Tasks[[#This Row],[UID]])))</f>
        <v>0</v>
      </c>
      <c r="CB4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1" s="67" t="str">
        <f aca="false">IF(NOT(Tasks[[#This Row],[_IsLeaf]]=1),"",MIN(ProjectFinish,IF(N(Tasks[[#This Row],[Deadline]])&gt;0,Tasks[[#This Row],[Deadline]],2958465),Tasks[[#This Row],[_SuccessorFinishLimit]]))</f>
        <v/>
      </c>
      <c r="CD4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1" s="66" t="b">
        <f aca="false">AND(Tasks[[#This Row],[_IsLeaf]]=1,Tasks[[#This Row],[_LeafProgress]]&lt;1,N(Tasks[[#This Row],[_LeafTotalSlack]])&lt;=CriticalSlackDays)</f>
        <v>0</v>
      </c>
      <c r="CG4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1" s="43" t="n">
        <f aca="false">IF(AND(Tasks[[#This Row],[_IsLeaf]]=1,Tasks[[#This Row],[_LeafWork]]&gt;0),NETWORKDAYS.INTL(ProjectStart,Tasks[[#This Row],[_LeafFcstStart]],WorkWeek,Holidays),0)</f>
        <v>0</v>
      </c>
      <c r="CP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1" s="43" t="n">
        <f aca="false">IF(AND(Tasks[[#This Row],[_IsLeaf]]=1,Tasks[[#This Row],[_LeafWork]]&gt;0),Tasks[[#This Row],[_LeafWork]]/(Tasks[[#This Row],[_FinishWorkday]]-Tasks[[#This Row],[_StartWorkday]]+1),0)</f>
        <v>0</v>
      </c>
      <c r="CR41" s="43" t="n">
        <f aca="false">Tasks[[#This Row],[_WorkPerWorkday]]*(Tasks[[#This Row],[_StartWorkday]]-1)</f>
        <v>-0</v>
      </c>
      <c r="CS41" s="43" t="n">
        <f aca="false">IF(Tasks[[#This Row],[_IsLeaf]]=1,MAX(N(Tasks[[#This Row],[Duration]]),0.1),0)</f>
        <v>0</v>
      </c>
      <c r="CT41" s="43" t="n">
        <f aca="false">Tasks[[#This Row],[_WeightDur]]*Tasks[[#This Row],[_LeafProgress]]</f>
        <v>0</v>
      </c>
      <c r="CU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1" s="43" t="str">
        <f aca="false">IF(AND(Tasks[[#This Row],[_IsLeaf]]=1,N(Tasks[[#This Row],[Duration]])=0,Tasks[[#This Row],[_LeafProgress]]&lt;1),Tasks[[#This Row],[_LeafFcstFinish]]+Tasks[[#This Row],[_Row]]/100000,"")</f>
        <v/>
      </c>
      <c r="DA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1" s="43" t="n">
        <f aca="false">IF(NOT(Tasks[[#This Row],[_IsLeaf]]=1),0,IF(Tasks[[#This Row],[Baseline Cost]]="",Tasks[[#This Row],[_LeafCost]],N(Tasks[[#This Row],[Baseline Cost]])))</f>
        <v>0</v>
      </c>
      <c r="DC41" s="43" t="n">
        <f aca="false">Tasks[[#This Row],[_LeafBudget]]*Tasks[[#This Row],[_PlannedPct]]</f>
        <v>0</v>
      </c>
      <c r="DD41" s="43" t="n">
        <f aca="false">Tasks[[#This Row],[_LeafBudget]]*Tasks[[#This Row],[_LeafProgress]]</f>
        <v>0</v>
      </c>
      <c r="DE41" s="43" t="n">
        <f aca="false">IF(NOT(Tasks[[#This Row],[_IsLeaf]]=1),0,IF(Tasks[[#This Row],[Actual Cost]]="",Tasks[[#This Row],[_LeafCost]]*Tasks[[#This Row],[_LeafProgress]],N(Tasks[[#This Row],[Actual Cost]])))</f>
        <v>0</v>
      </c>
      <c r="DF41" s="43" t="str">
        <f aca="false">IF(Tasks[[#This Row],[Task Name]]="","",LEFT(Tasks[[#This Row],[WBS]],FIND(".",Tasks[[#This Row],[WBS]]&amp;".")-1))</f>
        <v/>
      </c>
      <c r="DG41" s="43" t="str">
        <f aca="false">IF(AND(Tasks[[#This Row],[Task Name]]&lt;&gt;"",Tasks[[#This Row],[_Level]]=1),Tasks[[#This Row],[_Row]],"")</f>
        <v/>
      </c>
      <c r="DH41" s="43" t="str">
        <f aca="false">IF(AND(Tasks[[#This Row],[_IsLeaf]]=1,N(Tasks[[#This Row],[Duration]])=0),Tasks[[#This Row],[Planned Finish]]+Tasks[[#This Row],[_Row]]/100000,"")</f>
        <v/>
      </c>
      <c r="DI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1" s="43" t="str">
        <f aca="false">IF(Tasks[[#This Row],[_LeafCritical]],Tasks[[#This Row],[_LeafFcstStart]]+Tasks[[#This Row],[_Row]]/100000,"")</f>
        <v/>
      </c>
    </row>
    <row r="42" customFormat="false" ht="15" hidden="false" customHeight="false" outlineLevel="0" collapsed="false">
      <c r="A42" s="28" t="str">
        <f aca="false">IF(Tasks[[#This Row],[Task Name]]="","",COUNTA(Tasks[[#Headers],[Task Name]]:Tasks[[#This Row],[Task Name]])-1)</f>
        <v/>
      </c>
      <c r="B42" s="29" t="n">
        <v>37</v>
      </c>
      <c r="C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29"/>
      <c r="E42" s="30"/>
      <c r="F42" s="29"/>
      <c r="G42" s="29"/>
      <c r="H42" s="29"/>
      <c r="I42" s="29"/>
      <c r="J42" s="29"/>
      <c r="K42" s="29"/>
      <c r="L42" s="29"/>
      <c r="M42" s="29"/>
      <c r="N42" s="53"/>
      <c r="O42" s="53"/>
      <c r="P42" s="25" t="str">
        <f aca="false">IF(Tasks[[#This Row],[Task Name]]="","",IF(N(Tasks[[#This Row],[Baseline Start]])&gt;0,Tasks[[#This Row],[Baseline Start]],Tasks[[#This Row],[_CalcStart]]))</f>
        <v/>
      </c>
      <c r="Q42" s="25" t="str">
        <f aca="false">IF(Tasks[[#This Row],[Task Name]]="","",IF(N(Tasks[[#This Row],[Baseline Finish]])&gt;0,Tasks[[#This Row],[Baseline Finish]],Tasks[[#This Row],[_CalcFinish]]))</f>
        <v/>
      </c>
      <c r="R42" s="53"/>
      <c r="S42" s="53"/>
      <c r="T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55"/>
      <c r="AF4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30"/>
      <c r="AI42" s="55"/>
      <c r="AJ4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64"/>
      <c r="AM4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2" s="30"/>
      <c r="AP42" s="25" t="str">
        <f aca="false">IF(Tasks[[#This Row],[Task Name]]="","",Tasks[[#This Row],[Forecast Start]])</f>
        <v/>
      </c>
      <c r="AQ42" s="25" t="str">
        <f aca="false">IF(Tasks[[#This Row],[Task Name]]="","",Tasks[[#This Row],[Forecast Finish]])</f>
        <v/>
      </c>
      <c r="AR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2" s="62" t="str">
        <f aca="false">IF(Tasks[[#This Row],[Task Name]]="","",Tasks[[#This Row],[Work]])</f>
        <v/>
      </c>
      <c r="AT42" s="63" t="str">
        <f aca="false">IF(Tasks[[#This Row],[Task Name]]="","",Tasks[[#This Row],[Cost]])</f>
        <v/>
      </c>
      <c r="AU42" s="53"/>
      <c r="AV42" s="53"/>
      <c r="AW42" s="29"/>
      <c r="AX42" s="65"/>
      <c r="AY42" s="64"/>
      <c r="AZ42" s="28" t="str">
        <f aca="false">IF(OR(Tasks[[#This Row],[Task Name]]="",Tasks[[#This Row],[Baseline Duration]]=""),"",Tasks[[#This Row],[BL Source Duration]]-N(Tasks[[#This Row],[Baseline Duration]]))</f>
        <v/>
      </c>
      <c r="BA42" s="62" t="str">
        <f aca="false">IF(OR(Tasks[[#This Row],[Task Name]]="",Tasks[[#This Row],[Baseline Work]]=""),"",Tasks[[#This Row],[Work]]-N(Tasks[[#This Row],[Baseline Work]]))</f>
        <v/>
      </c>
      <c r="BB42" s="63" t="str">
        <f aca="false">IF(OR(Tasks[[#This Row],[Task Name]]="",Tasks[[#This Row],[Baseline Cost]]=""),"",Tasks[[#This Row],[Cost]]-N(Tasks[[#This Row],[Baseline Cost]]))</f>
        <v/>
      </c>
      <c r="BC4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2" s="43" t="str">
        <f aca="false">IF(Tasks[[#This Row],[Task Name]]="","",MAX(1,N(Tasks[[#This Row],[Level]])))</f>
        <v/>
      </c>
      <c r="BH42" s="43" t="n">
        <f aca="false">ROW()-ROW(Tasks[[#Headers],[ID]])</f>
        <v>37</v>
      </c>
      <c r="BI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2" s="43" t="n">
        <f aca="false">IFERROR(N(INDEX(Tasks[_Level],Tasks[[#This Row],[_Row]]+1)),0)</f>
        <v>0</v>
      </c>
      <c r="BK42" s="66" t="b">
        <f aca="false">AND(Tasks[[#This Row],[Task Name]]&lt;&gt;"",Tasks[[#This Row],[_NextLevel]]&gt;Tasks[[#This Row],[_Level]])</f>
        <v>0</v>
      </c>
      <c r="BL42" s="43" t="n">
        <f aca="false">IF(Tasks[[#This Row],[_IsSummary]],COUNTIF(Tasks[WBS],Tasks[[#This Row],[WBS]]&amp;".*"),0)</f>
        <v>0</v>
      </c>
      <c r="BM42" s="43" t="n">
        <f aca="false">IF(AND(Tasks[[#This Row],[Task Name]]&lt;&gt;"",NOT(Tasks[[#This Row],[_IsSummary]])),1,0)</f>
        <v>0</v>
      </c>
      <c r="BN42" s="43" t="n">
        <f aca="false">IF(N(Tasks[[#This Row],[Pred1 UID]])=0,0,IFERROR(MATCH(Tasks[[#This Row],[Pred1 UID]],Tasks[UID],0),-1))</f>
        <v>0</v>
      </c>
      <c r="BO42" s="43" t="n">
        <f aca="false">IF(N(Tasks[[#This Row],[Pred2 UID]])=0,0,IFERROR(MATCH(Tasks[[#This Row],[Pred2 UID]],Tasks[UID],0),-1))</f>
        <v>0</v>
      </c>
      <c r="BP4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2" s="43" t="n">
        <f aca="false">IF(NOT(Tasks[[#This Row],[_IsLeaf]]=1),0,IF(N(Tasks[[#This Row],[Actual Finish]])&gt;0,1,MIN(1,N(Tasks[[#This Row],[% Complete]]))))</f>
        <v>0</v>
      </c>
      <c r="BU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2" s="43" t="n">
        <f aca="false">IF(Tasks[[#This Row],[_LeafWork]]=0,0,Tasks[[#This Row],[_LeafWork]]*IFERROR(INDEX(res_Rate,MATCH(Tasks[[#This Row],[Resource]],res_Name,0)),0))</f>
        <v>0</v>
      </c>
      <c r="BW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2" s="43" t="n">
        <f aca="false">IF(NOT(Tasks[[#This Row],[_IsLeaf]]=1),0,MAX(_xlfn.MAXIFS(Tasks[_Row],Tasks[Pred1 UID],Tasks[[#This Row],[UID]]),_xlfn.MAXIFS(Tasks[_Row],Tasks[Pred2 UID],Tasks[[#This Row],[UID]])))</f>
        <v>0</v>
      </c>
      <c r="CB4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2" s="67" t="str">
        <f aca="false">IF(NOT(Tasks[[#This Row],[_IsLeaf]]=1),"",MIN(ProjectFinish,IF(N(Tasks[[#This Row],[Deadline]])&gt;0,Tasks[[#This Row],[Deadline]],2958465),Tasks[[#This Row],[_SuccessorFinishLimit]]))</f>
        <v/>
      </c>
      <c r="CD4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2" s="66" t="b">
        <f aca="false">AND(Tasks[[#This Row],[_IsLeaf]]=1,Tasks[[#This Row],[_LeafProgress]]&lt;1,N(Tasks[[#This Row],[_LeafTotalSlack]])&lt;=CriticalSlackDays)</f>
        <v>0</v>
      </c>
      <c r="CG4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2" s="43" t="n">
        <f aca="false">IF(AND(Tasks[[#This Row],[_IsLeaf]]=1,Tasks[[#This Row],[_LeafWork]]&gt;0),NETWORKDAYS.INTL(ProjectStart,Tasks[[#This Row],[_LeafFcstStart]],WorkWeek,Holidays),0)</f>
        <v>0</v>
      </c>
      <c r="CP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2" s="43" t="n">
        <f aca="false">IF(AND(Tasks[[#This Row],[_IsLeaf]]=1,Tasks[[#This Row],[_LeafWork]]&gt;0),Tasks[[#This Row],[_LeafWork]]/(Tasks[[#This Row],[_FinishWorkday]]-Tasks[[#This Row],[_StartWorkday]]+1),0)</f>
        <v>0</v>
      </c>
      <c r="CR42" s="43" t="n">
        <f aca="false">Tasks[[#This Row],[_WorkPerWorkday]]*(Tasks[[#This Row],[_StartWorkday]]-1)</f>
        <v>-0</v>
      </c>
      <c r="CS42" s="43" t="n">
        <f aca="false">IF(Tasks[[#This Row],[_IsLeaf]]=1,MAX(N(Tasks[[#This Row],[Duration]]),0.1),0)</f>
        <v>0</v>
      </c>
      <c r="CT42" s="43" t="n">
        <f aca="false">Tasks[[#This Row],[_WeightDur]]*Tasks[[#This Row],[_LeafProgress]]</f>
        <v>0</v>
      </c>
      <c r="CU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2" s="43" t="str">
        <f aca="false">IF(AND(Tasks[[#This Row],[_IsLeaf]]=1,N(Tasks[[#This Row],[Duration]])=0,Tasks[[#This Row],[_LeafProgress]]&lt;1),Tasks[[#This Row],[_LeafFcstFinish]]+Tasks[[#This Row],[_Row]]/100000,"")</f>
        <v/>
      </c>
      <c r="DA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2" s="43" t="n">
        <f aca="false">IF(NOT(Tasks[[#This Row],[_IsLeaf]]=1),0,IF(Tasks[[#This Row],[Baseline Cost]]="",Tasks[[#This Row],[_LeafCost]],N(Tasks[[#This Row],[Baseline Cost]])))</f>
        <v>0</v>
      </c>
      <c r="DC42" s="43" t="n">
        <f aca="false">Tasks[[#This Row],[_LeafBudget]]*Tasks[[#This Row],[_PlannedPct]]</f>
        <v>0</v>
      </c>
      <c r="DD42" s="43" t="n">
        <f aca="false">Tasks[[#This Row],[_LeafBudget]]*Tasks[[#This Row],[_LeafProgress]]</f>
        <v>0</v>
      </c>
      <c r="DE42" s="43" t="n">
        <f aca="false">IF(NOT(Tasks[[#This Row],[_IsLeaf]]=1),0,IF(Tasks[[#This Row],[Actual Cost]]="",Tasks[[#This Row],[_LeafCost]]*Tasks[[#This Row],[_LeafProgress]],N(Tasks[[#This Row],[Actual Cost]])))</f>
        <v>0</v>
      </c>
      <c r="DF42" s="43" t="str">
        <f aca="false">IF(Tasks[[#This Row],[Task Name]]="","",LEFT(Tasks[[#This Row],[WBS]],FIND(".",Tasks[[#This Row],[WBS]]&amp;".")-1))</f>
        <v/>
      </c>
      <c r="DG42" s="43" t="str">
        <f aca="false">IF(AND(Tasks[[#This Row],[Task Name]]&lt;&gt;"",Tasks[[#This Row],[_Level]]=1),Tasks[[#This Row],[_Row]],"")</f>
        <v/>
      </c>
      <c r="DH42" s="43" t="str">
        <f aca="false">IF(AND(Tasks[[#This Row],[_IsLeaf]]=1,N(Tasks[[#This Row],[Duration]])=0),Tasks[[#This Row],[Planned Finish]]+Tasks[[#This Row],[_Row]]/100000,"")</f>
        <v/>
      </c>
      <c r="DI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2" s="43" t="str">
        <f aca="false">IF(Tasks[[#This Row],[_LeafCritical]],Tasks[[#This Row],[_LeafFcstStart]]+Tasks[[#This Row],[_Row]]/100000,"")</f>
        <v/>
      </c>
    </row>
    <row r="43" customFormat="false" ht="15" hidden="false" customHeight="false" outlineLevel="0" collapsed="false">
      <c r="A43" s="28" t="str">
        <f aca="false">IF(Tasks[[#This Row],[Task Name]]="","",COUNTA(Tasks[[#Headers],[Task Name]]:Tasks[[#This Row],[Task Name]])-1)</f>
        <v/>
      </c>
      <c r="B43" s="29" t="n">
        <v>38</v>
      </c>
      <c r="C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29"/>
      <c r="E43" s="30"/>
      <c r="F43" s="29"/>
      <c r="G43" s="29"/>
      <c r="H43" s="29"/>
      <c r="I43" s="29"/>
      <c r="J43" s="29"/>
      <c r="K43" s="29"/>
      <c r="L43" s="29"/>
      <c r="M43" s="29"/>
      <c r="N43" s="53"/>
      <c r="O43" s="53"/>
      <c r="P43" s="25" t="str">
        <f aca="false">IF(Tasks[[#This Row],[Task Name]]="","",IF(N(Tasks[[#This Row],[Baseline Start]])&gt;0,Tasks[[#This Row],[Baseline Start]],Tasks[[#This Row],[_CalcStart]]))</f>
        <v/>
      </c>
      <c r="Q43" s="25" t="str">
        <f aca="false">IF(Tasks[[#This Row],[Task Name]]="","",IF(N(Tasks[[#This Row],[Baseline Finish]])&gt;0,Tasks[[#This Row],[Baseline Finish]],Tasks[[#This Row],[_CalcFinish]]))</f>
        <v/>
      </c>
      <c r="R43" s="53"/>
      <c r="S43" s="53"/>
      <c r="T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55"/>
      <c r="AF4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30"/>
      <c r="AI43" s="55"/>
      <c r="AJ4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64"/>
      <c r="AM4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3" s="30"/>
      <c r="AP43" s="25" t="str">
        <f aca="false">IF(Tasks[[#This Row],[Task Name]]="","",Tasks[[#This Row],[Forecast Start]])</f>
        <v/>
      </c>
      <c r="AQ43" s="25" t="str">
        <f aca="false">IF(Tasks[[#This Row],[Task Name]]="","",Tasks[[#This Row],[Forecast Finish]])</f>
        <v/>
      </c>
      <c r="AR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3" s="62" t="str">
        <f aca="false">IF(Tasks[[#This Row],[Task Name]]="","",Tasks[[#This Row],[Work]])</f>
        <v/>
      </c>
      <c r="AT43" s="63" t="str">
        <f aca="false">IF(Tasks[[#This Row],[Task Name]]="","",Tasks[[#This Row],[Cost]])</f>
        <v/>
      </c>
      <c r="AU43" s="53"/>
      <c r="AV43" s="53"/>
      <c r="AW43" s="29"/>
      <c r="AX43" s="65"/>
      <c r="AY43" s="64"/>
      <c r="AZ43" s="28" t="str">
        <f aca="false">IF(OR(Tasks[[#This Row],[Task Name]]="",Tasks[[#This Row],[Baseline Duration]]=""),"",Tasks[[#This Row],[BL Source Duration]]-N(Tasks[[#This Row],[Baseline Duration]]))</f>
        <v/>
      </c>
      <c r="BA43" s="62" t="str">
        <f aca="false">IF(OR(Tasks[[#This Row],[Task Name]]="",Tasks[[#This Row],[Baseline Work]]=""),"",Tasks[[#This Row],[Work]]-N(Tasks[[#This Row],[Baseline Work]]))</f>
        <v/>
      </c>
      <c r="BB43" s="63" t="str">
        <f aca="false">IF(OR(Tasks[[#This Row],[Task Name]]="",Tasks[[#This Row],[Baseline Cost]]=""),"",Tasks[[#This Row],[Cost]]-N(Tasks[[#This Row],[Baseline Cost]]))</f>
        <v/>
      </c>
      <c r="BC4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3" s="43" t="str">
        <f aca="false">IF(Tasks[[#This Row],[Task Name]]="","",MAX(1,N(Tasks[[#This Row],[Level]])))</f>
        <v/>
      </c>
      <c r="BH43" s="43" t="n">
        <f aca="false">ROW()-ROW(Tasks[[#Headers],[ID]])</f>
        <v>38</v>
      </c>
      <c r="BI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3" s="43" t="n">
        <f aca="false">IFERROR(N(INDEX(Tasks[_Level],Tasks[[#This Row],[_Row]]+1)),0)</f>
        <v>0</v>
      </c>
      <c r="BK43" s="66" t="b">
        <f aca="false">AND(Tasks[[#This Row],[Task Name]]&lt;&gt;"",Tasks[[#This Row],[_NextLevel]]&gt;Tasks[[#This Row],[_Level]])</f>
        <v>0</v>
      </c>
      <c r="BL43" s="43" t="n">
        <f aca="false">IF(Tasks[[#This Row],[_IsSummary]],COUNTIF(Tasks[WBS],Tasks[[#This Row],[WBS]]&amp;".*"),0)</f>
        <v>0</v>
      </c>
      <c r="BM43" s="43" t="n">
        <f aca="false">IF(AND(Tasks[[#This Row],[Task Name]]&lt;&gt;"",NOT(Tasks[[#This Row],[_IsSummary]])),1,0)</f>
        <v>0</v>
      </c>
      <c r="BN43" s="43" t="n">
        <f aca="false">IF(N(Tasks[[#This Row],[Pred1 UID]])=0,0,IFERROR(MATCH(Tasks[[#This Row],[Pred1 UID]],Tasks[UID],0),-1))</f>
        <v>0</v>
      </c>
      <c r="BO43" s="43" t="n">
        <f aca="false">IF(N(Tasks[[#This Row],[Pred2 UID]])=0,0,IFERROR(MATCH(Tasks[[#This Row],[Pred2 UID]],Tasks[UID],0),-1))</f>
        <v>0</v>
      </c>
      <c r="BP4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3" s="43" t="n">
        <f aca="false">IF(NOT(Tasks[[#This Row],[_IsLeaf]]=1),0,IF(N(Tasks[[#This Row],[Actual Finish]])&gt;0,1,MIN(1,N(Tasks[[#This Row],[% Complete]]))))</f>
        <v>0</v>
      </c>
      <c r="BU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3" s="43" t="n">
        <f aca="false">IF(Tasks[[#This Row],[_LeafWork]]=0,0,Tasks[[#This Row],[_LeafWork]]*IFERROR(INDEX(res_Rate,MATCH(Tasks[[#This Row],[Resource]],res_Name,0)),0))</f>
        <v>0</v>
      </c>
      <c r="BW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3" s="43" t="n">
        <f aca="false">IF(NOT(Tasks[[#This Row],[_IsLeaf]]=1),0,MAX(_xlfn.MAXIFS(Tasks[_Row],Tasks[Pred1 UID],Tasks[[#This Row],[UID]]),_xlfn.MAXIFS(Tasks[_Row],Tasks[Pred2 UID],Tasks[[#This Row],[UID]])))</f>
        <v>0</v>
      </c>
      <c r="CB4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3" s="67" t="str">
        <f aca="false">IF(NOT(Tasks[[#This Row],[_IsLeaf]]=1),"",MIN(ProjectFinish,IF(N(Tasks[[#This Row],[Deadline]])&gt;0,Tasks[[#This Row],[Deadline]],2958465),Tasks[[#This Row],[_SuccessorFinishLimit]]))</f>
        <v/>
      </c>
      <c r="CD4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3" s="66" t="b">
        <f aca="false">AND(Tasks[[#This Row],[_IsLeaf]]=1,Tasks[[#This Row],[_LeafProgress]]&lt;1,N(Tasks[[#This Row],[_LeafTotalSlack]])&lt;=CriticalSlackDays)</f>
        <v>0</v>
      </c>
      <c r="CG4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3" s="43" t="n">
        <f aca="false">IF(AND(Tasks[[#This Row],[_IsLeaf]]=1,Tasks[[#This Row],[_LeafWork]]&gt;0),NETWORKDAYS.INTL(ProjectStart,Tasks[[#This Row],[_LeafFcstStart]],WorkWeek,Holidays),0)</f>
        <v>0</v>
      </c>
      <c r="CP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3" s="43" t="n">
        <f aca="false">IF(AND(Tasks[[#This Row],[_IsLeaf]]=1,Tasks[[#This Row],[_LeafWork]]&gt;0),Tasks[[#This Row],[_LeafWork]]/(Tasks[[#This Row],[_FinishWorkday]]-Tasks[[#This Row],[_StartWorkday]]+1),0)</f>
        <v>0</v>
      </c>
      <c r="CR43" s="43" t="n">
        <f aca="false">Tasks[[#This Row],[_WorkPerWorkday]]*(Tasks[[#This Row],[_StartWorkday]]-1)</f>
        <v>-0</v>
      </c>
      <c r="CS43" s="43" t="n">
        <f aca="false">IF(Tasks[[#This Row],[_IsLeaf]]=1,MAX(N(Tasks[[#This Row],[Duration]]),0.1),0)</f>
        <v>0</v>
      </c>
      <c r="CT43" s="43" t="n">
        <f aca="false">Tasks[[#This Row],[_WeightDur]]*Tasks[[#This Row],[_LeafProgress]]</f>
        <v>0</v>
      </c>
      <c r="CU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3" s="43" t="str">
        <f aca="false">IF(AND(Tasks[[#This Row],[_IsLeaf]]=1,N(Tasks[[#This Row],[Duration]])=0,Tasks[[#This Row],[_LeafProgress]]&lt;1),Tasks[[#This Row],[_LeafFcstFinish]]+Tasks[[#This Row],[_Row]]/100000,"")</f>
        <v/>
      </c>
      <c r="DA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3" s="43" t="n">
        <f aca="false">IF(NOT(Tasks[[#This Row],[_IsLeaf]]=1),0,IF(Tasks[[#This Row],[Baseline Cost]]="",Tasks[[#This Row],[_LeafCost]],N(Tasks[[#This Row],[Baseline Cost]])))</f>
        <v>0</v>
      </c>
      <c r="DC43" s="43" t="n">
        <f aca="false">Tasks[[#This Row],[_LeafBudget]]*Tasks[[#This Row],[_PlannedPct]]</f>
        <v>0</v>
      </c>
      <c r="DD43" s="43" t="n">
        <f aca="false">Tasks[[#This Row],[_LeafBudget]]*Tasks[[#This Row],[_LeafProgress]]</f>
        <v>0</v>
      </c>
      <c r="DE43" s="43" t="n">
        <f aca="false">IF(NOT(Tasks[[#This Row],[_IsLeaf]]=1),0,IF(Tasks[[#This Row],[Actual Cost]]="",Tasks[[#This Row],[_LeafCost]]*Tasks[[#This Row],[_LeafProgress]],N(Tasks[[#This Row],[Actual Cost]])))</f>
        <v>0</v>
      </c>
      <c r="DF43" s="43" t="str">
        <f aca="false">IF(Tasks[[#This Row],[Task Name]]="","",LEFT(Tasks[[#This Row],[WBS]],FIND(".",Tasks[[#This Row],[WBS]]&amp;".")-1))</f>
        <v/>
      </c>
      <c r="DG43" s="43" t="str">
        <f aca="false">IF(AND(Tasks[[#This Row],[Task Name]]&lt;&gt;"",Tasks[[#This Row],[_Level]]=1),Tasks[[#This Row],[_Row]],"")</f>
        <v/>
      </c>
      <c r="DH43" s="43" t="str">
        <f aca="false">IF(AND(Tasks[[#This Row],[_IsLeaf]]=1,N(Tasks[[#This Row],[Duration]])=0),Tasks[[#This Row],[Planned Finish]]+Tasks[[#This Row],[_Row]]/100000,"")</f>
        <v/>
      </c>
      <c r="DI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3" s="43" t="str">
        <f aca="false">IF(Tasks[[#This Row],[_LeafCritical]],Tasks[[#This Row],[_LeafFcstStart]]+Tasks[[#This Row],[_Row]]/100000,"")</f>
        <v/>
      </c>
    </row>
    <row r="44" customFormat="false" ht="15" hidden="false" customHeight="false" outlineLevel="0" collapsed="false">
      <c r="A44" s="28" t="str">
        <f aca="false">IF(Tasks[[#This Row],[Task Name]]="","",COUNTA(Tasks[[#Headers],[Task Name]]:Tasks[[#This Row],[Task Name]])-1)</f>
        <v/>
      </c>
      <c r="B44" s="29" t="n">
        <v>39</v>
      </c>
      <c r="C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29"/>
      <c r="E44" s="30"/>
      <c r="F44" s="29"/>
      <c r="G44" s="29"/>
      <c r="H44" s="29"/>
      <c r="I44" s="29"/>
      <c r="J44" s="29"/>
      <c r="K44" s="29"/>
      <c r="L44" s="29"/>
      <c r="M44" s="29"/>
      <c r="N44" s="53"/>
      <c r="O44" s="53"/>
      <c r="P44" s="25" t="str">
        <f aca="false">IF(Tasks[[#This Row],[Task Name]]="","",IF(N(Tasks[[#This Row],[Baseline Start]])&gt;0,Tasks[[#This Row],[Baseline Start]],Tasks[[#This Row],[_CalcStart]]))</f>
        <v/>
      </c>
      <c r="Q44" s="25" t="str">
        <f aca="false">IF(Tasks[[#This Row],[Task Name]]="","",IF(N(Tasks[[#This Row],[Baseline Finish]])&gt;0,Tasks[[#This Row],[Baseline Finish]],Tasks[[#This Row],[_CalcFinish]]))</f>
        <v/>
      </c>
      <c r="R44" s="53"/>
      <c r="S44" s="53"/>
      <c r="T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55"/>
      <c r="AF4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30"/>
      <c r="AI44" s="55"/>
      <c r="AJ4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64"/>
      <c r="AM4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4" s="30"/>
      <c r="AP44" s="25" t="str">
        <f aca="false">IF(Tasks[[#This Row],[Task Name]]="","",Tasks[[#This Row],[Forecast Start]])</f>
        <v/>
      </c>
      <c r="AQ44" s="25" t="str">
        <f aca="false">IF(Tasks[[#This Row],[Task Name]]="","",Tasks[[#This Row],[Forecast Finish]])</f>
        <v/>
      </c>
      <c r="AR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4" s="62" t="str">
        <f aca="false">IF(Tasks[[#This Row],[Task Name]]="","",Tasks[[#This Row],[Work]])</f>
        <v/>
      </c>
      <c r="AT44" s="63" t="str">
        <f aca="false">IF(Tasks[[#This Row],[Task Name]]="","",Tasks[[#This Row],[Cost]])</f>
        <v/>
      </c>
      <c r="AU44" s="53"/>
      <c r="AV44" s="53"/>
      <c r="AW44" s="29"/>
      <c r="AX44" s="65"/>
      <c r="AY44" s="64"/>
      <c r="AZ44" s="28" t="str">
        <f aca="false">IF(OR(Tasks[[#This Row],[Task Name]]="",Tasks[[#This Row],[Baseline Duration]]=""),"",Tasks[[#This Row],[BL Source Duration]]-N(Tasks[[#This Row],[Baseline Duration]]))</f>
        <v/>
      </c>
      <c r="BA44" s="62" t="str">
        <f aca="false">IF(OR(Tasks[[#This Row],[Task Name]]="",Tasks[[#This Row],[Baseline Work]]=""),"",Tasks[[#This Row],[Work]]-N(Tasks[[#This Row],[Baseline Work]]))</f>
        <v/>
      </c>
      <c r="BB44" s="63" t="str">
        <f aca="false">IF(OR(Tasks[[#This Row],[Task Name]]="",Tasks[[#This Row],[Baseline Cost]]=""),"",Tasks[[#This Row],[Cost]]-N(Tasks[[#This Row],[Baseline Cost]]))</f>
        <v/>
      </c>
      <c r="BC4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4" s="43" t="str">
        <f aca="false">IF(Tasks[[#This Row],[Task Name]]="","",MAX(1,N(Tasks[[#This Row],[Level]])))</f>
        <v/>
      </c>
      <c r="BH44" s="43" t="n">
        <f aca="false">ROW()-ROW(Tasks[[#Headers],[ID]])</f>
        <v>39</v>
      </c>
      <c r="BI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4" s="43" t="n">
        <f aca="false">IFERROR(N(INDEX(Tasks[_Level],Tasks[[#This Row],[_Row]]+1)),0)</f>
        <v>0</v>
      </c>
      <c r="BK44" s="66" t="b">
        <f aca="false">AND(Tasks[[#This Row],[Task Name]]&lt;&gt;"",Tasks[[#This Row],[_NextLevel]]&gt;Tasks[[#This Row],[_Level]])</f>
        <v>0</v>
      </c>
      <c r="BL44" s="43" t="n">
        <f aca="false">IF(Tasks[[#This Row],[_IsSummary]],COUNTIF(Tasks[WBS],Tasks[[#This Row],[WBS]]&amp;".*"),0)</f>
        <v>0</v>
      </c>
      <c r="BM44" s="43" t="n">
        <f aca="false">IF(AND(Tasks[[#This Row],[Task Name]]&lt;&gt;"",NOT(Tasks[[#This Row],[_IsSummary]])),1,0)</f>
        <v>0</v>
      </c>
      <c r="BN44" s="43" t="n">
        <f aca="false">IF(N(Tasks[[#This Row],[Pred1 UID]])=0,0,IFERROR(MATCH(Tasks[[#This Row],[Pred1 UID]],Tasks[UID],0),-1))</f>
        <v>0</v>
      </c>
      <c r="BO44" s="43" t="n">
        <f aca="false">IF(N(Tasks[[#This Row],[Pred2 UID]])=0,0,IFERROR(MATCH(Tasks[[#This Row],[Pred2 UID]],Tasks[UID],0),-1))</f>
        <v>0</v>
      </c>
      <c r="BP4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4" s="43" t="n">
        <f aca="false">IF(NOT(Tasks[[#This Row],[_IsLeaf]]=1),0,IF(N(Tasks[[#This Row],[Actual Finish]])&gt;0,1,MIN(1,N(Tasks[[#This Row],[% Complete]]))))</f>
        <v>0</v>
      </c>
      <c r="BU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4" s="43" t="n">
        <f aca="false">IF(Tasks[[#This Row],[_LeafWork]]=0,0,Tasks[[#This Row],[_LeafWork]]*IFERROR(INDEX(res_Rate,MATCH(Tasks[[#This Row],[Resource]],res_Name,0)),0))</f>
        <v>0</v>
      </c>
      <c r="BW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4" s="43" t="n">
        <f aca="false">IF(NOT(Tasks[[#This Row],[_IsLeaf]]=1),0,MAX(_xlfn.MAXIFS(Tasks[_Row],Tasks[Pred1 UID],Tasks[[#This Row],[UID]]),_xlfn.MAXIFS(Tasks[_Row],Tasks[Pred2 UID],Tasks[[#This Row],[UID]])))</f>
        <v>0</v>
      </c>
      <c r="CB4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4" s="67" t="str">
        <f aca="false">IF(NOT(Tasks[[#This Row],[_IsLeaf]]=1),"",MIN(ProjectFinish,IF(N(Tasks[[#This Row],[Deadline]])&gt;0,Tasks[[#This Row],[Deadline]],2958465),Tasks[[#This Row],[_SuccessorFinishLimit]]))</f>
        <v/>
      </c>
      <c r="CD4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4" s="66" t="b">
        <f aca="false">AND(Tasks[[#This Row],[_IsLeaf]]=1,Tasks[[#This Row],[_LeafProgress]]&lt;1,N(Tasks[[#This Row],[_LeafTotalSlack]])&lt;=CriticalSlackDays)</f>
        <v>0</v>
      </c>
      <c r="CG4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4" s="43" t="n">
        <f aca="false">IF(AND(Tasks[[#This Row],[_IsLeaf]]=1,Tasks[[#This Row],[_LeafWork]]&gt;0),NETWORKDAYS.INTL(ProjectStart,Tasks[[#This Row],[_LeafFcstStart]],WorkWeek,Holidays),0)</f>
        <v>0</v>
      </c>
      <c r="CP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4" s="43" t="n">
        <f aca="false">IF(AND(Tasks[[#This Row],[_IsLeaf]]=1,Tasks[[#This Row],[_LeafWork]]&gt;0),Tasks[[#This Row],[_LeafWork]]/(Tasks[[#This Row],[_FinishWorkday]]-Tasks[[#This Row],[_StartWorkday]]+1),0)</f>
        <v>0</v>
      </c>
      <c r="CR44" s="43" t="n">
        <f aca="false">Tasks[[#This Row],[_WorkPerWorkday]]*(Tasks[[#This Row],[_StartWorkday]]-1)</f>
        <v>-0</v>
      </c>
      <c r="CS44" s="43" t="n">
        <f aca="false">IF(Tasks[[#This Row],[_IsLeaf]]=1,MAX(N(Tasks[[#This Row],[Duration]]),0.1),0)</f>
        <v>0</v>
      </c>
      <c r="CT44" s="43" t="n">
        <f aca="false">Tasks[[#This Row],[_WeightDur]]*Tasks[[#This Row],[_LeafProgress]]</f>
        <v>0</v>
      </c>
      <c r="CU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4" s="43" t="str">
        <f aca="false">IF(AND(Tasks[[#This Row],[_IsLeaf]]=1,N(Tasks[[#This Row],[Duration]])=0,Tasks[[#This Row],[_LeafProgress]]&lt;1),Tasks[[#This Row],[_LeafFcstFinish]]+Tasks[[#This Row],[_Row]]/100000,"")</f>
        <v/>
      </c>
      <c r="DA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4" s="43" t="n">
        <f aca="false">IF(NOT(Tasks[[#This Row],[_IsLeaf]]=1),0,IF(Tasks[[#This Row],[Baseline Cost]]="",Tasks[[#This Row],[_LeafCost]],N(Tasks[[#This Row],[Baseline Cost]])))</f>
        <v>0</v>
      </c>
      <c r="DC44" s="43" t="n">
        <f aca="false">Tasks[[#This Row],[_LeafBudget]]*Tasks[[#This Row],[_PlannedPct]]</f>
        <v>0</v>
      </c>
      <c r="DD44" s="43" t="n">
        <f aca="false">Tasks[[#This Row],[_LeafBudget]]*Tasks[[#This Row],[_LeafProgress]]</f>
        <v>0</v>
      </c>
      <c r="DE44" s="43" t="n">
        <f aca="false">IF(NOT(Tasks[[#This Row],[_IsLeaf]]=1),0,IF(Tasks[[#This Row],[Actual Cost]]="",Tasks[[#This Row],[_LeafCost]]*Tasks[[#This Row],[_LeafProgress]],N(Tasks[[#This Row],[Actual Cost]])))</f>
        <v>0</v>
      </c>
      <c r="DF44" s="43" t="str">
        <f aca="false">IF(Tasks[[#This Row],[Task Name]]="","",LEFT(Tasks[[#This Row],[WBS]],FIND(".",Tasks[[#This Row],[WBS]]&amp;".")-1))</f>
        <v/>
      </c>
      <c r="DG44" s="43" t="str">
        <f aca="false">IF(AND(Tasks[[#This Row],[Task Name]]&lt;&gt;"",Tasks[[#This Row],[_Level]]=1),Tasks[[#This Row],[_Row]],"")</f>
        <v/>
      </c>
      <c r="DH44" s="43" t="str">
        <f aca="false">IF(AND(Tasks[[#This Row],[_IsLeaf]]=1,N(Tasks[[#This Row],[Duration]])=0),Tasks[[#This Row],[Planned Finish]]+Tasks[[#This Row],[_Row]]/100000,"")</f>
        <v/>
      </c>
      <c r="DI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4" s="43" t="str">
        <f aca="false">IF(Tasks[[#This Row],[_LeafCritical]],Tasks[[#This Row],[_LeafFcstStart]]+Tasks[[#This Row],[_Row]]/100000,"")</f>
        <v/>
      </c>
    </row>
    <row r="45" customFormat="false" ht="15" hidden="false" customHeight="false" outlineLevel="0" collapsed="false">
      <c r="A45" s="28" t="str">
        <f aca="false">IF(Tasks[[#This Row],[Task Name]]="","",COUNTA(Tasks[[#Headers],[Task Name]]:Tasks[[#This Row],[Task Name]])-1)</f>
        <v/>
      </c>
      <c r="B45" s="29" t="n">
        <v>40</v>
      </c>
      <c r="C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29"/>
      <c r="E45" s="30"/>
      <c r="F45" s="29"/>
      <c r="G45" s="29"/>
      <c r="H45" s="29"/>
      <c r="I45" s="29"/>
      <c r="J45" s="29"/>
      <c r="K45" s="29"/>
      <c r="L45" s="29"/>
      <c r="M45" s="29"/>
      <c r="N45" s="53"/>
      <c r="O45" s="53"/>
      <c r="P45" s="25" t="str">
        <f aca="false">IF(Tasks[[#This Row],[Task Name]]="","",IF(N(Tasks[[#This Row],[Baseline Start]])&gt;0,Tasks[[#This Row],[Baseline Start]],Tasks[[#This Row],[_CalcStart]]))</f>
        <v/>
      </c>
      <c r="Q45" s="25" t="str">
        <f aca="false">IF(Tasks[[#This Row],[Task Name]]="","",IF(N(Tasks[[#This Row],[Baseline Finish]])&gt;0,Tasks[[#This Row],[Baseline Finish]],Tasks[[#This Row],[_CalcFinish]]))</f>
        <v/>
      </c>
      <c r="R45" s="53"/>
      <c r="S45" s="53"/>
      <c r="T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55"/>
      <c r="AF4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30"/>
      <c r="AI45" s="55"/>
      <c r="AJ4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64"/>
      <c r="AM4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5" s="30"/>
      <c r="AP45" s="25" t="str">
        <f aca="false">IF(Tasks[[#This Row],[Task Name]]="","",Tasks[[#This Row],[Forecast Start]])</f>
        <v/>
      </c>
      <c r="AQ45" s="25" t="str">
        <f aca="false">IF(Tasks[[#This Row],[Task Name]]="","",Tasks[[#This Row],[Forecast Finish]])</f>
        <v/>
      </c>
      <c r="AR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5" s="62" t="str">
        <f aca="false">IF(Tasks[[#This Row],[Task Name]]="","",Tasks[[#This Row],[Work]])</f>
        <v/>
      </c>
      <c r="AT45" s="63" t="str">
        <f aca="false">IF(Tasks[[#This Row],[Task Name]]="","",Tasks[[#This Row],[Cost]])</f>
        <v/>
      </c>
      <c r="AU45" s="53"/>
      <c r="AV45" s="53"/>
      <c r="AW45" s="29"/>
      <c r="AX45" s="65"/>
      <c r="AY45" s="64"/>
      <c r="AZ45" s="28" t="str">
        <f aca="false">IF(OR(Tasks[[#This Row],[Task Name]]="",Tasks[[#This Row],[Baseline Duration]]=""),"",Tasks[[#This Row],[BL Source Duration]]-N(Tasks[[#This Row],[Baseline Duration]]))</f>
        <v/>
      </c>
      <c r="BA45" s="62" t="str">
        <f aca="false">IF(OR(Tasks[[#This Row],[Task Name]]="",Tasks[[#This Row],[Baseline Work]]=""),"",Tasks[[#This Row],[Work]]-N(Tasks[[#This Row],[Baseline Work]]))</f>
        <v/>
      </c>
      <c r="BB45" s="63" t="str">
        <f aca="false">IF(OR(Tasks[[#This Row],[Task Name]]="",Tasks[[#This Row],[Baseline Cost]]=""),"",Tasks[[#This Row],[Cost]]-N(Tasks[[#This Row],[Baseline Cost]]))</f>
        <v/>
      </c>
      <c r="BC4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5" s="43" t="str">
        <f aca="false">IF(Tasks[[#This Row],[Task Name]]="","",MAX(1,N(Tasks[[#This Row],[Level]])))</f>
        <v/>
      </c>
      <c r="BH45" s="43" t="n">
        <f aca="false">ROW()-ROW(Tasks[[#Headers],[ID]])</f>
        <v>40</v>
      </c>
      <c r="BI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5" s="43" t="n">
        <f aca="false">IFERROR(N(INDEX(Tasks[_Level],Tasks[[#This Row],[_Row]]+1)),0)</f>
        <v>0</v>
      </c>
      <c r="BK45" s="66" t="b">
        <f aca="false">AND(Tasks[[#This Row],[Task Name]]&lt;&gt;"",Tasks[[#This Row],[_NextLevel]]&gt;Tasks[[#This Row],[_Level]])</f>
        <v>0</v>
      </c>
      <c r="BL45" s="43" t="n">
        <f aca="false">IF(Tasks[[#This Row],[_IsSummary]],COUNTIF(Tasks[WBS],Tasks[[#This Row],[WBS]]&amp;".*"),0)</f>
        <v>0</v>
      </c>
      <c r="BM45" s="43" t="n">
        <f aca="false">IF(AND(Tasks[[#This Row],[Task Name]]&lt;&gt;"",NOT(Tasks[[#This Row],[_IsSummary]])),1,0)</f>
        <v>0</v>
      </c>
      <c r="BN45" s="43" t="n">
        <f aca="false">IF(N(Tasks[[#This Row],[Pred1 UID]])=0,0,IFERROR(MATCH(Tasks[[#This Row],[Pred1 UID]],Tasks[UID],0),-1))</f>
        <v>0</v>
      </c>
      <c r="BO45" s="43" t="n">
        <f aca="false">IF(N(Tasks[[#This Row],[Pred2 UID]])=0,0,IFERROR(MATCH(Tasks[[#This Row],[Pred2 UID]],Tasks[UID],0),-1))</f>
        <v>0</v>
      </c>
      <c r="BP4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5" s="43" t="n">
        <f aca="false">IF(NOT(Tasks[[#This Row],[_IsLeaf]]=1),0,IF(N(Tasks[[#This Row],[Actual Finish]])&gt;0,1,MIN(1,N(Tasks[[#This Row],[% Complete]]))))</f>
        <v>0</v>
      </c>
      <c r="BU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5" s="43" t="n">
        <f aca="false">IF(Tasks[[#This Row],[_LeafWork]]=0,0,Tasks[[#This Row],[_LeafWork]]*IFERROR(INDEX(res_Rate,MATCH(Tasks[[#This Row],[Resource]],res_Name,0)),0))</f>
        <v>0</v>
      </c>
      <c r="BW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5" s="43" t="n">
        <f aca="false">IF(NOT(Tasks[[#This Row],[_IsLeaf]]=1),0,MAX(_xlfn.MAXIFS(Tasks[_Row],Tasks[Pred1 UID],Tasks[[#This Row],[UID]]),_xlfn.MAXIFS(Tasks[_Row],Tasks[Pred2 UID],Tasks[[#This Row],[UID]])))</f>
        <v>0</v>
      </c>
      <c r="CB4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5" s="67" t="str">
        <f aca="false">IF(NOT(Tasks[[#This Row],[_IsLeaf]]=1),"",MIN(ProjectFinish,IF(N(Tasks[[#This Row],[Deadline]])&gt;0,Tasks[[#This Row],[Deadline]],2958465),Tasks[[#This Row],[_SuccessorFinishLimit]]))</f>
        <v/>
      </c>
      <c r="CD4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5" s="66" t="b">
        <f aca="false">AND(Tasks[[#This Row],[_IsLeaf]]=1,Tasks[[#This Row],[_LeafProgress]]&lt;1,N(Tasks[[#This Row],[_LeafTotalSlack]])&lt;=CriticalSlackDays)</f>
        <v>0</v>
      </c>
      <c r="CG4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5" s="43" t="n">
        <f aca="false">IF(AND(Tasks[[#This Row],[_IsLeaf]]=1,Tasks[[#This Row],[_LeafWork]]&gt;0),NETWORKDAYS.INTL(ProjectStart,Tasks[[#This Row],[_LeafFcstStart]],WorkWeek,Holidays),0)</f>
        <v>0</v>
      </c>
      <c r="CP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5" s="43" t="n">
        <f aca="false">IF(AND(Tasks[[#This Row],[_IsLeaf]]=1,Tasks[[#This Row],[_LeafWork]]&gt;0),Tasks[[#This Row],[_LeafWork]]/(Tasks[[#This Row],[_FinishWorkday]]-Tasks[[#This Row],[_StartWorkday]]+1),0)</f>
        <v>0</v>
      </c>
      <c r="CR45" s="43" t="n">
        <f aca="false">Tasks[[#This Row],[_WorkPerWorkday]]*(Tasks[[#This Row],[_StartWorkday]]-1)</f>
        <v>-0</v>
      </c>
      <c r="CS45" s="43" t="n">
        <f aca="false">IF(Tasks[[#This Row],[_IsLeaf]]=1,MAX(N(Tasks[[#This Row],[Duration]]),0.1),0)</f>
        <v>0</v>
      </c>
      <c r="CT45" s="43" t="n">
        <f aca="false">Tasks[[#This Row],[_WeightDur]]*Tasks[[#This Row],[_LeafProgress]]</f>
        <v>0</v>
      </c>
      <c r="CU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5" s="43" t="str">
        <f aca="false">IF(AND(Tasks[[#This Row],[_IsLeaf]]=1,N(Tasks[[#This Row],[Duration]])=0,Tasks[[#This Row],[_LeafProgress]]&lt;1),Tasks[[#This Row],[_LeafFcstFinish]]+Tasks[[#This Row],[_Row]]/100000,"")</f>
        <v/>
      </c>
      <c r="DA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5" s="43" t="n">
        <f aca="false">IF(NOT(Tasks[[#This Row],[_IsLeaf]]=1),0,IF(Tasks[[#This Row],[Baseline Cost]]="",Tasks[[#This Row],[_LeafCost]],N(Tasks[[#This Row],[Baseline Cost]])))</f>
        <v>0</v>
      </c>
      <c r="DC45" s="43" t="n">
        <f aca="false">Tasks[[#This Row],[_LeafBudget]]*Tasks[[#This Row],[_PlannedPct]]</f>
        <v>0</v>
      </c>
      <c r="DD45" s="43" t="n">
        <f aca="false">Tasks[[#This Row],[_LeafBudget]]*Tasks[[#This Row],[_LeafProgress]]</f>
        <v>0</v>
      </c>
      <c r="DE45" s="43" t="n">
        <f aca="false">IF(NOT(Tasks[[#This Row],[_IsLeaf]]=1),0,IF(Tasks[[#This Row],[Actual Cost]]="",Tasks[[#This Row],[_LeafCost]]*Tasks[[#This Row],[_LeafProgress]],N(Tasks[[#This Row],[Actual Cost]])))</f>
        <v>0</v>
      </c>
      <c r="DF45" s="43" t="str">
        <f aca="false">IF(Tasks[[#This Row],[Task Name]]="","",LEFT(Tasks[[#This Row],[WBS]],FIND(".",Tasks[[#This Row],[WBS]]&amp;".")-1))</f>
        <v/>
      </c>
      <c r="DG45" s="43" t="str">
        <f aca="false">IF(AND(Tasks[[#This Row],[Task Name]]&lt;&gt;"",Tasks[[#This Row],[_Level]]=1),Tasks[[#This Row],[_Row]],"")</f>
        <v/>
      </c>
      <c r="DH45" s="43" t="str">
        <f aca="false">IF(AND(Tasks[[#This Row],[_IsLeaf]]=1,N(Tasks[[#This Row],[Duration]])=0),Tasks[[#This Row],[Planned Finish]]+Tasks[[#This Row],[_Row]]/100000,"")</f>
        <v/>
      </c>
      <c r="DI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5" s="43" t="str">
        <f aca="false">IF(Tasks[[#This Row],[_LeafCritical]],Tasks[[#This Row],[_LeafFcstStart]]+Tasks[[#This Row],[_Row]]/100000,"")</f>
        <v/>
      </c>
    </row>
    <row r="46" customFormat="false" ht="15" hidden="false" customHeight="false" outlineLevel="0" collapsed="false">
      <c r="A46" s="28" t="str">
        <f aca="false">IF(Tasks[[#This Row],[Task Name]]="","",COUNTA(Tasks[[#Headers],[Task Name]]:Tasks[[#This Row],[Task Name]])-1)</f>
        <v/>
      </c>
      <c r="B46" s="29" t="n">
        <v>41</v>
      </c>
      <c r="C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29"/>
      <c r="E46" s="30"/>
      <c r="F46" s="29"/>
      <c r="G46" s="29"/>
      <c r="H46" s="29"/>
      <c r="I46" s="29"/>
      <c r="J46" s="29"/>
      <c r="K46" s="29"/>
      <c r="L46" s="29"/>
      <c r="M46" s="29"/>
      <c r="N46" s="53"/>
      <c r="O46" s="53"/>
      <c r="P46" s="25" t="str">
        <f aca="false">IF(Tasks[[#This Row],[Task Name]]="","",IF(N(Tasks[[#This Row],[Baseline Start]])&gt;0,Tasks[[#This Row],[Baseline Start]],Tasks[[#This Row],[_CalcStart]]))</f>
        <v/>
      </c>
      <c r="Q46" s="25" t="str">
        <f aca="false">IF(Tasks[[#This Row],[Task Name]]="","",IF(N(Tasks[[#This Row],[Baseline Finish]])&gt;0,Tasks[[#This Row],[Baseline Finish]],Tasks[[#This Row],[_CalcFinish]]))</f>
        <v/>
      </c>
      <c r="R46" s="53"/>
      <c r="S46" s="53"/>
      <c r="T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55"/>
      <c r="AF4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30"/>
      <c r="AI46" s="55"/>
      <c r="AJ4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64"/>
      <c r="AM4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6" s="30"/>
      <c r="AP46" s="25" t="str">
        <f aca="false">IF(Tasks[[#This Row],[Task Name]]="","",Tasks[[#This Row],[Forecast Start]])</f>
        <v/>
      </c>
      <c r="AQ46" s="25" t="str">
        <f aca="false">IF(Tasks[[#This Row],[Task Name]]="","",Tasks[[#This Row],[Forecast Finish]])</f>
        <v/>
      </c>
      <c r="AR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6" s="62" t="str">
        <f aca="false">IF(Tasks[[#This Row],[Task Name]]="","",Tasks[[#This Row],[Work]])</f>
        <v/>
      </c>
      <c r="AT46" s="63" t="str">
        <f aca="false">IF(Tasks[[#This Row],[Task Name]]="","",Tasks[[#This Row],[Cost]])</f>
        <v/>
      </c>
      <c r="AU46" s="53"/>
      <c r="AV46" s="53"/>
      <c r="AW46" s="29"/>
      <c r="AX46" s="65"/>
      <c r="AY46" s="64"/>
      <c r="AZ46" s="28" t="str">
        <f aca="false">IF(OR(Tasks[[#This Row],[Task Name]]="",Tasks[[#This Row],[Baseline Duration]]=""),"",Tasks[[#This Row],[BL Source Duration]]-N(Tasks[[#This Row],[Baseline Duration]]))</f>
        <v/>
      </c>
      <c r="BA46" s="62" t="str">
        <f aca="false">IF(OR(Tasks[[#This Row],[Task Name]]="",Tasks[[#This Row],[Baseline Work]]=""),"",Tasks[[#This Row],[Work]]-N(Tasks[[#This Row],[Baseline Work]]))</f>
        <v/>
      </c>
      <c r="BB46" s="63" t="str">
        <f aca="false">IF(OR(Tasks[[#This Row],[Task Name]]="",Tasks[[#This Row],[Baseline Cost]]=""),"",Tasks[[#This Row],[Cost]]-N(Tasks[[#This Row],[Baseline Cost]]))</f>
        <v/>
      </c>
      <c r="BC4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6" s="43" t="str">
        <f aca="false">IF(Tasks[[#This Row],[Task Name]]="","",MAX(1,N(Tasks[[#This Row],[Level]])))</f>
        <v/>
      </c>
      <c r="BH46" s="43" t="n">
        <f aca="false">ROW()-ROW(Tasks[[#Headers],[ID]])</f>
        <v>41</v>
      </c>
      <c r="BI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6" s="43" t="n">
        <f aca="false">IFERROR(N(INDEX(Tasks[_Level],Tasks[[#This Row],[_Row]]+1)),0)</f>
        <v>0</v>
      </c>
      <c r="BK46" s="66" t="b">
        <f aca="false">AND(Tasks[[#This Row],[Task Name]]&lt;&gt;"",Tasks[[#This Row],[_NextLevel]]&gt;Tasks[[#This Row],[_Level]])</f>
        <v>0</v>
      </c>
      <c r="BL46" s="43" t="n">
        <f aca="false">IF(Tasks[[#This Row],[_IsSummary]],COUNTIF(Tasks[WBS],Tasks[[#This Row],[WBS]]&amp;".*"),0)</f>
        <v>0</v>
      </c>
      <c r="BM46" s="43" t="n">
        <f aca="false">IF(AND(Tasks[[#This Row],[Task Name]]&lt;&gt;"",NOT(Tasks[[#This Row],[_IsSummary]])),1,0)</f>
        <v>0</v>
      </c>
      <c r="BN46" s="43" t="n">
        <f aca="false">IF(N(Tasks[[#This Row],[Pred1 UID]])=0,0,IFERROR(MATCH(Tasks[[#This Row],[Pred1 UID]],Tasks[UID],0),-1))</f>
        <v>0</v>
      </c>
      <c r="BO46" s="43" t="n">
        <f aca="false">IF(N(Tasks[[#This Row],[Pred2 UID]])=0,0,IFERROR(MATCH(Tasks[[#This Row],[Pred2 UID]],Tasks[UID],0),-1))</f>
        <v>0</v>
      </c>
      <c r="BP4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6" s="43" t="n">
        <f aca="false">IF(NOT(Tasks[[#This Row],[_IsLeaf]]=1),0,IF(N(Tasks[[#This Row],[Actual Finish]])&gt;0,1,MIN(1,N(Tasks[[#This Row],[% Complete]]))))</f>
        <v>0</v>
      </c>
      <c r="BU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6" s="43" t="n">
        <f aca="false">IF(Tasks[[#This Row],[_LeafWork]]=0,0,Tasks[[#This Row],[_LeafWork]]*IFERROR(INDEX(res_Rate,MATCH(Tasks[[#This Row],[Resource]],res_Name,0)),0))</f>
        <v>0</v>
      </c>
      <c r="BW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6" s="43" t="n">
        <f aca="false">IF(NOT(Tasks[[#This Row],[_IsLeaf]]=1),0,MAX(_xlfn.MAXIFS(Tasks[_Row],Tasks[Pred1 UID],Tasks[[#This Row],[UID]]),_xlfn.MAXIFS(Tasks[_Row],Tasks[Pred2 UID],Tasks[[#This Row],[UID]])))</f>
        <v>0</v>
      </c>
      <c r="CB4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6" s="67" t="str">
        <f aca="false">IF(NOT(Tasks[[#This Row],[_IsLeaf]]=1),"",MIN(ProjectFinish,IF(N(Tasks[[#This Row],[Deadline]])&gt;0,Tasks[[#This Row],[Deadline]],2958465),Tasks[[#This Row],[_SuccessorFinishLimit]]))</f>
        <v/>
      </c>
      <c r="CD4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6" s="66" t="b">
        <f aca="false">AND(Tasks[[#This Row],[_IsLeaf]]=1,Tasks[[#This Row],[_LeafProgress]]&lt;1,N(Tasks[[#This Row],[_LeafTotalSlack]])&lt;=CriticalSlackDays)</f>
        <v>0</v>
      </c>
      <c r="CG4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6" s="43" t="n">
        <f aca="false">IF(AND(Tasks[[#This Row],[_IsLeaf]]=1,Tasks[[#This Row],[_LeafWork]]&gt;0),NETWORKDAYS.INTL(ProjectStart,Tasks[[#This Row],[_LeafFcstStart]],WorkWeek,Holidays),0)</f>
        <v>0</v>
      </c>
      <c r="CP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6" s="43" t="n">
        <f aca="false">IF(AND(Tasks[[#This Row],[_IsLeaf]]=1,Tasks[[#This Row],[_LeafWork]]&gt;0),Tasks[[#This Row],[_LeafWork]]/(Tasks[[#This Row],[_FinishWorkday]]-Tasks[[#This Row],[_StartWorkday]]+1),0)</f>
        <v>0</v>
      </c>
      <c r="CR46" s="43" t="n">
        <f aca="false">Tasks[[#This Row],[_WorkPerWorkday]]*(Tasks[[#This Row],[_StartWorkday]]-1)</f>
        <v>-0</v>
      </c>
      <c r="CS46" s="43" t="n">
        <f aca="false">IF(Tasks[[#This Row],[_IsLeaf]]=1,MAX(N(Tasks[[#This Row],[Duration]]),0.1),0)</f>
        <v>0</v>
      </c>
      <c r="CT46" s="43" t="n">
        <f aca="false">Tasks[[#This Row],[_WeightDur]]*Tasks[[#This Row],[_LeafProgress]]</f>
        <v>0</v>
      </c>
      <c r="CU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6" s="43" t="str">
        <f aca="false">IF(AND(Tasks[[#This Row],[_IsLeaf]]=1,N(Tasks[[#This Row],[Duration]])=0,Tasks[[#This Row],[_LeafProgress]]&lt;1),Tasks[[#This Row],[_LeafFcstFinish]]+Tasks[[#This Row],[_Row]]/100000,"")</f>
        <v/>
      </c>
      <c r="DA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6" s="43" t="n">
        <f aca="false">IF(NOT(Tasks[[#This Row],[_IsLeaf]]=1),0,IF(Tasks[[#This Row],[Baseline Cost]]="",Tasks[[#This Row],[_LeafCost]],N(Tasks[[#This Row],[Baseline Cost]])))</f>
        <v>0</v>
      </c>
      <c r="DC46" s="43" t="n">
        <f aca="false">Tasks[[#This Row],[_LeafBudget]]*Tasks[[#This Row],[_PlannedPct]]</f>
        <v>0</v>
      </c>
      <c r="DD46" s="43" t="n">
        <f aca="false">Tasks[[#This Row],[_LeafBudget]]*Tasks[[#This Row],[_LeafProgress]]</f>
        <v>0</v>
      </c>
      <c r="DE46" s="43" t="n">
        <f aca="false">IF(NOT(Tasks[[#This Row],[_IsLeaf]]=1),0,IF(Tasks[[#This Row],[Actual Cost]]="",Tasks[[#This Row],[_LeafCost]]*Tasks[[#This Row],[_LeafProgress]],N(Tasks[[#This Row],[Actual Cost]])))</f>
        <v>0</v>
      </c>
      <c r="DF46" s="43" t="str">
        <f aca="false">IF(Tasks[[#This Row],[Task Name]]="","",LEFT(Tasks[[#This Row],[WBS]],FIND(".",Tasks[[#This Row],[WBS]]&amp;".")-1))</f>
        <v/>
      </c>
      <c r="DG46" s="43" t="str">
        <f aca="false">IF(AND(Tasks[[#This Row],[Task Name]]&lt;&gt;"",Tasks[[#This Row],[_Level]]=1),Tasks[[#This Row],[_Row]],"")</f>
        <v/>
      </c>
      <c r="DH46" s="43" t="str">
        <f aca="false">IF(AND(Tasks[[#This Row],[_IsLeaf]]=1,N(Tasks[[#This Row],[Duration]])=0),Tasks[[#This Row],[Planned Finish]]+Tasks[[#This Row],[_Row]]/100000,"")</f>
        <v/>
      </c>
      <c r="DI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6" s="43" t="str">
        <f aca="false">IF(Tasks[[#This Row],[_LeafCritical]],Tasks[[#This Row],[_LeafFcstStart]]+Tasks[[#This Row],[_Row]]/100000,"")</f>
        <v/>
      </c>
    </row>
    <row r="47" customFormat="false" ht="15" hidden="false" customHeight="false" outlineLevel="0" collapsed="false">
      <c r="A47" s="28" t="str">
        <f aca="false">IF(Tasks[[#This Row],[Task Name]]="","",COUNTA(Tasks[[#Headers],[Task Name]]:Tasks[[#This Row],[Task Name]])-1)</f>
        <v/>
      </c>
      <c r="B47" s="29" t="n">
        <v>42</v>
      </c>
      <c r="C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29"/>
      <c r="E47" s="30"/>
      <c r="F47" s="29"/>
      <c r="G47" s="29"/>
      <c r="H47" s="29"/>
      <c r="I47" s="29"/>
      <c r="J47" s="29"/>
      <c r="K47" s="29"/>
      <c r="L47" s="29"/>
      <c r="M47" s="29"/>
      <c r="N47" s="53"/>
      <c r="O47" s="53"/>
      <c r="P47" s="25" t="str">
        <f aca="false">IF(Tasks[[#This Row],[Task Name]]="","",IF(N(Tasks[[#This Row],[Baseline Start]])&gt;0,Tasks[[#This Row],[Baseline Start]],Tasks[[#This Row],[_CalcStart]]))</f>
        <v/>
      </c>
      <c r="Q47" s="25" t="str">
        <f aca="false">IF(Tasks[[#This Row],[Task Name]]="","",IF(N(Tasks[[#This Row],[Baseline Finish]])&gt;0,Tasks[[#This Row],[Baseline Finish]],Tasks[[#This Row],[_CalcFinish]]))</f>
        <v/>
      </c>
      <c r="R47" s="53"/>
      <c r="S47" s="53"/>
      <c r="T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55"/>
      <c r="AF4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30"/>
      <c r="AI47" s="55"/>
      <c r="AJ4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64"/>
      <c r="AM4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7" s="30"/>
      <c r="AP47" s="25" t="str">
        <f aca="false">IF(Tasks[[#This Row],[Task Name]]="","",Tasks[[#This Row],[Forecast Start]])</f>
        <v/>
      </c>
      <c r="AQ47" s="25" t="str">
        <f aca="false">IF(Tasks[[#This Row],[Task Name]]="","",Tasks[[#This Row],[Forecast Finish]])</f>
        <v/>
      </c>
      <c r="AR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7" s="62" t="str">
        <f aca="false">IF(Tasks[[#This Row],[Task Name]]="","",Tasks[[#This Row],[Work]])</f>
        <v/>
      </c>
      <c r="AT47" s="63" t="str">
        <f aca="false">IF(Tasks[[#This Row],[Task Name]]="","",Tasks[[#This Row],[Cost]])</f>
        <v/>
      </c>
      <c r="AU47" s="53"/>
      <c r="AV47" s="53"/>
      <c r="AW47" s="29"/>
      <c r="AX47" s="65"/>
      <c r="AY47" s="64"/>
      <c r="AZ47" s="28" t="str">
        <f aca="false">IF(OR(Tasks[[#This Row],[Task Name]]="",Tasks[[#This Row],[Baseline Duration]]=""),"",Tasks[[#This Row],[BL Source Duration]]-N(Tasks[[#This Row],[Baseline Duration]]))</f>
        <v/>
      </c>
      <c r="BA47" s="62" t="str">
        <f aca="false">IF(OR(Tasks[[#This Row],[Task Name]]="",Tasks[[#This Row],[Baseline Work]]=""),"",Tasks[[#This Row],[Work]]-N(Tasks[[#This Row],[Baseline Work]]))</f>
        <v/>
      </c>
      <c r="BB47" s="63" t="str">
        <f aca="false">IF(OR(Tasks[[#This Row],[Task Name]]="",Tasks[[#This Row],[Baseline Cost]]=""),"",Tasks[[#This Row],[Cost]]-N(Tasks[[#This Row],[Baseline Cost]]))</f>
        <v/>
      </c>
      <c r="BC4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7" s="43" t="str">
        <f aca="false">IF(Tasks[[#This Row],[Task Name]]="","",MAX(1,N(Tasks[[#This Row],[Level]])))</f>
        <v/>
      </c>
      <c r="BH47" s="43" t="n">
        <f aca="false">ROW()-ROW(Tasks[[#Headers],[ID]])</f>
        <v>42</v>
      </c>
      <c r="BI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7" s="43" t="n">
        <f aca="false">IFERROR(N(INDEX(Tasks[_Level],Tasks[[#This Row],[_Row]]+1)),0)</f>
        <v>0</v>
      </c>
      <c r="BK47" s="66" t="b">
        <f aca="false">AND(Tasks[[#This Row],[Task Name]]&lt;&gt;"",Tasks[[#This Row],[_NextLevel]]&gt;Tasks[[#This Row],[_Level]])</f>
        <v>0</v>
      </c>
      <c r="BL47" s="43" t="n">
        <f aca="false">IF(Tasks[[#This Row],[_IsSummary]],COUNTIF(Tasks[WBS],Tasks[[#This Row],[WBS]]&amp;".*"),0)</f>
        <v>0</v>
      </c>
      <c r="BM47" s="43" t="n">
        <f aca="false">IF(AND(Tasks[[#This Row],[Task Name]]&lt;&gt;"",NOT(Tasks[[#This Row],[_IsSummary]])),1,0)</f>
        <v>0</v>
      </c>
      <c r="BN47" s="43" t="n">
        <f aca="false">IF(N(Tasks[[#This Row],[Pred1 UID]])=0,0,IFERROR(MATCH(Tasks[[#This Row],[Pred1 UID]],Tasks[UID],0),-1))</f>
        <v>0</v>
      </c>
      <c r="BO47" s="43" t="n">
        <f aca="false">IF(N(Tasks[[#This Row],[Pred2 UID]])=0,0,IFERROR(MATCH(Tasks[[#This Row],[Pred2 UID]],Tasks[UID],0),-1))</f>
        <v>0</v>
      </c>
      <c r="BP4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7" s="43" t="n">
        <f aca="false">IF(NOT(Tasks[[#This Row],[_IsLeaf]]=1),0,IF(N(Tasks[[#This Row],[Actual Finish]])&gt;0,1,MIN(1,N(Tasks[[#This Row],[% Complete]]))))</f>
        <v>0</v>
      </c>
      <c r="BU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7" s="43" t="n">
        <f aca="false">IF(Tasks[[#This Row],[_LeafWork]]=0,0,Tasks[[#This Row],[_LeafWork]]*IFERROR(INDEX(res_Rate,MATCH(Tasks[[#This Row],[Resource]],res_Name,0)),0))</f>
        <v>0</v>
      </c>
      <c r="BW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7" s="43" t="n">
        <f aca="false">IF(NOT(Tasks[[#This Row],[_IsLeaf]]=1),0,MAX(_xlfn.MAXIFS(Tasks[_Row],Tasks[Pred1 UID],Tasks[[#This Row],[UID]]),_xlfn.MAXIFS(Tasks[_Row],Tasks[Pred2 UID],Tasks[[#This Row],[UID]])))</f>
        <v>0</v>
      </c>
      <c r="CB4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7" s="67" t="str">
        <f aca="false">IF(NOT(Tasks[[#This Row],[_IsLeaf]]=1),"",MIN(ProjectFinish,IF(N(Tasks[[#This Row],[Deadline]])&gt;0,Tasks[[#This Row],[Deadline]],2958465),Tasks[[#This Row],[_SuccessorFinishLimit]]))</f>
        <v/>
      </c>
      <c r="CD4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7" s="66" t="b">
        <f aca="false">AND(Tasks[[#This Row],[_IsLeaf]]=1,Tasks[[#This Row],[_LeafProgress]]&lt;1,N(Tasks[[#This Row],[_LeafTotalSlack]])&lt;=CriticalSlackDays)</f>
        <v>0</v>
      </c>
      <c r="CG4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7" s="43" t="n">
        <f aca="false">IF(AND(Tasks[[#This Row],[_IsLeaf]]=1,Tasks[[#This Row],[_LeafWork]]&gt;0),NETWORKDAYS.INTL(ProjectStart,Tasks[[#This Row],[_LeafFcstStart]],WorkWeek,Holidays),0)</f>
        <v>0</v>
      </c>
      <c r="CP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7" s="43" t="n">
        <f aca="false">IF(AND(Tasks[[#This Row],[_IsLeaf]]=1,Tasks[[#This Row],[_LeafWork]]&gt;0),Tasks[[#This Row],[_LeafWork]]/(Tasks[[#This Row],[_FinishWorkday]]-Tasks[[#This Row],[_StartWorkday]]+1),0)</f>
        <v>0</v>
      </c>
      <c r="CR47" s="43" t="n">
        <f aca="false">Tasks[[#This Row],[_WorkPerWorkday]]*(Tasks[[#This Row],[_StartWorkday]]-1)</f>
        <v>-0</v>
      </c>
      <c r="CS47" s="43" t="n">
        <f aca="false">IF(Tasks[[#This Row],[_IsLeaf]]=1,MAX(N(Tasks[[#This Row],[Duration]]),0.1),0)</f>
        <v>0</v>
      </c>
      <c r="CT47" s="43" t="n">
        <f aca="false">Tasks[[#This Row],[_WeightDur]]*Tasks[[#This Row],[_LeafProgress]]</f>
        <v>0</v>
      </c>
      <c r="CU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7" s="43" t="str">
        <f aca="false">IF(AND(Tasks[[#This Row],[_IsLeaf]]=1,N(Tasks[[#This Row],[Duration]])=0,Tasks[[#This Row],[_LeafProgress]]&lt;1),Tasks[[#This Row],[_LeafFcstFinish]]+Tasks[[#This Row],[_Row]]/100000,"")</f>
        <v/>
      </c>
      <c r="DA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7" s="43" t="n">
        <f aca="false">IF(NOT(Tasks[[#This Row],[_IsLeaf]]=1),0,IF(Tasks[[#This Row],[Baseline Cost]]="",Tasks[[#This Row],[_LeafCost]],N(Tasks[[#This Row],[Baseline Cost]])))</f>
        <v>0</v>
      </c>
      <c r="DC47" s="43" t="n">
        <f aca="false">Tasks[[#This Row],[_LeafBudget]]*Tasks[[#This Row],[_PlannedPct]]</f>
        <v>0</v>
      </c>
      <c r="DD47" s="43" t="n">
        <f aca="false">Tasks[[#This Row],[_LeafBudget]]*Tasks[[#This Row],[_LeafProgress]]</f>
        <v>0</v>
      </c>
      <c r="DE47" s="43" t="n">
        <f aca="false">IF(NOT(Tasks[[#This Row],[_IsLeaf]]=1),0,IF(Tasks[[#This Row],[Actual Cost]]="",Tasks[[#This Row],[_LeafCost]]*Tasks[[#This Row],[_LeafProgress]],N(Tasks[[#This Row],[Actual Cost]])))</f>
        <v>0</v>
      </c>
      <c r="DF47" s="43" t="str">
        <f aca="false">IF(Tasks[[#This Row],[Task Name]]="","",LEFT(Tasks[[#This Row],[WBS]],FIND(".",Tasks[[#This Row],[WBS]]&amp;".")-1))</f>
        <v/>
      </c>
      <c r="DG47" s="43" t="str">
        <f aca="false">IF(AND(Tasks[[#This Row],[Task Name]]&lt;&gt;"",Tasks[[#This Row],[_Level]]=1),Tasks[[#This Row],[_Row]],"")</f>
        <v/>
      </c>
      <c r="DH47" s="43" t="str">
        <f aca="false">IF(AND(Tasks[[#This Row],[_IsLeaf]]=1,N(Tasks[[#This Row],[Duration]])=0),Tasks[[#This Row],[Planned Finish]]+Tasks[[#This Row],[_Row]]/100000,"")</f>
        <v/>
      </c>
      <c r="DI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7" s="43" t="str">
        <f aca="false">IF(Tasks[[#This Row],[_LeafCritical]],Tasks[[#This Row],[_LeafFcstStart]]+Tasks[[#This Row],[_Row]]/100000,"")</f>
        <v/>
      </c>
    </row>
    <row r="48" customFormat="false" ht="15" hidden="false" customHeight="false" outlineLevel="0" collapsed="false">
      <c r="A48" s="28" t="str">
        <f aca="false">IF(Tasks[[#This Row],[Task Name]]="","",COUNTA(Tasks[[#Headers],[Task Name]]:Tasks[[#This Row],[Task Name]])-1)</f>
        <v/>
      </c>
      <c r="B48" s="29" t="n">
        <v>43</v>
      </c>
      <c r="C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29"/>
      <c r="E48" s="30"/>
      <c r="F48" s="29"/>
      <c r="G48" s="29"/>
      <c r="H48" s="29"/>
      <c r="I48" s="29"/>
      <c r="J48" s="29"/>
      <c r="K48" s="29"/>
      <c r="L48" s="29"/>
      <c r="M48" s="29"/>
      <c r="N48" s="53"/>
      <c r="O48" s="53"/>
      <c r="P48" s="25" t="str">
        <f aca="false">IF(Tasks[[#This Row],[Task Name]]="","",IF(N(Tasks[[#This Row],[Baseline Start]])&gt;0,Tasks[[#This Row],[Baseline Start]],Tasks[[#This Row],[_CalcStart]]))</f>
        <v/>
      </c>
      <c r="Q48" s="25" t="str">
        <f aca="false">IF(Tasks[[#This Row],[Task Name]]="","",IF(N(Tasks[[#This Row],[Baseline Finish]])&gt;0,Tasks[[#This Row],[Baseline Finish]],Tasks[[#This Row],[_CalcFinish]]))</f>
        <v/>
      </c>
      <c r="R48" s="53"/>
      <c r="S48" s="53"/>
      <c r="T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55"/>
      <c r="AF4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30"/>
      <c r="AI48" s="55"/>
      <c r="AJ4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64"/>
      <c r="AM4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8" s="30"/>
      <c r="AP48" s="25" t="str">
        <f aca="false">IF(Tasks[[#This Row],[Task Name]]="","",Tasks[[#This Row],[Forecast Start]])</f>
        <v/>
      </c>
      <c r="AQ48" s="25" t="str">
        <f aca="false">IF(Tasks[[#This Row],[Task Name]]="","",Tasks[[#This Row],[Forecast Finish]])</f>
        <v/>
      </c>
      <c r="AR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8" s="62" t="str">
        <f aca="false">IF(Tasks[[#This Row],[Task Name]]="","",Tasks[[#This Row],[Work]])</f>
        <v/>
      </c>
      <c r="AT48" s="63" t="str">
        <f aca="false">IF(Tasks[[#This Row],[Task Name]]="","",Tasks[[#This Row],[Cost]])</f>
        <v/>
      </c>
      <c r="AU48" s="53"/>
      <c r="AV48" s="53"/>
      <c r="AW48" s="29"/>
      <c r="AX48" s="65"/>
      <c r="AY48" s="64"/>
      <c r="AZ48" s="28" t="str">
        <f aca="false">IF(OR(Tasks[[#This Row],[Task Name]]="",Tasks[[#This Row],[Baseline Duration]]=""),"",Tasks[[#This Row],[BL Source Duration]]-N(Tasks[[#This Row],[Baseline Duration]]))</f>
        <v/>
      </c>
      <c r="BA48" s="62" t="str">
        <f aca="false">IF(OR(Tasks[[#This Row],[Task Name]]="",Tasks[[#This Row],[Baseline Work]]=""),"",Tasks[[#This Row],[Work]]-N(Tasks[[#This Row],[Baseline Work]]))</f>
        <v/>
      </c>
      <c r="BB48" s="63" t="str">
        <f aca="false">IF(OR(Tasks[[#This Row],[Task Name]]="",Tasks[[#This Row],[Baseline Cost]]=""),"",Tasks[[#This Row],[Cost]]-N(Tasks[[#This Row],[Baseline Cost]]))</f>
        <v/>
      </c>
      <c r="BC4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8" s="43" t="str">
        <f aca="false">IF(Tasks[[#This Row],[Task Name]]="","",MAX(1,N(Tasks[[#This Row],[Level]])))</f>
        <v/>
      </c>
      <c r="BH48" s="43" t="n">
        <f aca="false">ROW()-ROW(Tasks[[#Headers],[ID]])</f>
        <v>43</v>
      </c>
      <c r="BI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8" s="43" t="n">
        <f aca="false">IFERROR(N(INDEX(Tasks[_Level],Tasks[[#This Row],[_Row]]+1)),0)</f>
        <v>0</v>
      </c>
      <c r="BK48" s="66" t="b">
        <f aca="false">AND(Tasks[[#This Row],[Task Name]]&lt;&gt;"",Tasks[[#This Row],[_NextLevel]]&gt;Tasks[[#This Row],[_Level]])</f>
        <v>0</v>
      </c>
      <c r="BL48" s="43" t="n">
        <f aca="false">IF(Tasks[[#This Row],[_IsSummary]],COUNTIF(Tasks[WBS],Tasks[[#This Row],[WBS]]&amp;".*"),0)</f>
        <v>0</v>
      </c>
      <c r="BM48" s="43" t="n">
        <f aca="false">IF(AND(Tasks[[#This Row],[Task Name]]&lt;&gt;"",NOT(Tasks[[#This Row],[_IsSummary]])),1,0)</f>
        <v>0</v>
      </c>
      <c r="BN48" s="43" t="n">
        <f aca="false">IF(N(Tasks[[#This Row],[Pred1 UID]])=0,0,IFERROR(MATCH(Tasks[[#This Row],[Pred1 UID]],Tasks[UID],0),-1))</f>
        <v>0</v>
      </c>
      <c r="BO48" s="43" t="n">
        <f aca="false">IF(N(Tasks[[#This Row],[Pred2 UID]])=0,0,IFERROR(MATCH(Tasks[[#This Row],[Pred2 UID]],Tasks[UID],0),-1))</f>
        <v>0</v>
      </c>
      <c r="BP4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8" s="43" t="n">
        <f aca="false">IF(NOT(Tasks[[#This Row],[_IsLeaf]]=1),0,IF(N(Tasks[[#This Row],[Actual Finish]])&gt;0,1,MIN(1,N(Tasks[[#This Row],[% Complete]]))))</f>
        <v>0</v>
      </c>
      <c r="BU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8" s="43" t="n">
        <f aca="false">IF(Tasks[[#This Row],[_LeafWork]]=0,0,Tasks[[#This Row],[_LeafWork]]*IFERROR(INDEX(res_Rate,MATCH(Tasks[[#This Row],[Resource]],res_Name,0)),0))</f>
        <v>0</v>
      </c>
      <c r="BW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8" s="43" t="n">
        <f aca="false">IF(NOT(Tasks[[#This Row],[_IsLeaf]]=1),0,MAX(_xlfn.MAXIFS(Tasks[_Row],Tasks[Pred1 UID],Tasks[[#This Row],[UID]]),_xlfn.MAXIFS(Tasks[_Row],Tasks[Pred2 UID],Tasks[[#This Row],[UID]])))</f>
        <v>0</v>
      </c>
      <c r="CB4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8" s="67" t="str">
        <f aca="false">IF(NOT(Tasks[[#This Row],[_IsLeaf]]=1),"",MIN(ProjectFinish,IF(N(Tasks[[#This Row],[Deadline]])&gt;0,Tasks[[#This Row],[Deadline]],2958465),Tasks[[#This Row],[_SuccessorFinishLimit]]))</f>
        <v/>
      </c>
      <c r="CD4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8" s="66" t="b">
        <f aca="false">AND(Tasks[[#This Row],[_IsLeaf]]=1,Tasks[[#This Row],[_LeafProgress]]&lt;1,N(Tasks[[#This Row],[_LeafTotalSlack]])&lt;=CriticalSlackDays)</f>
        <v>0</v>
      </c>
      <c r="CG4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8" s="43" t="n">
        <f aca="false">IF(AND(Tasks[[#This Row],[_IsLeaf]]=1,Tasks[[#This Row],[_LeafWork]]&gt;0),NETWORKDAYS.INTL(ProjectStart,Tasks[[#This Row],[_LeafFcstStart]],WorkWeek,Holidays),0)</f>
        <v>0</v>
      </c>
      <c r="CP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8" s="43" t="n">
        <f aca="false">IF(AND(Tasks[[#This Row],[_IsLeaf]]=1,Tasks[[#This Row],[_LeafWork]]&gt;0),Tasks[[#This Row],[_LeafWork]]/(Tasks[[#This Row],[_FinishWorkday]]-Tasks[[#This Row],[_StartWorkday]]+1),0)</f>
        <v>0</v>
      </c>
      <c r="CR48" s="43" t="n">
        <f aca="false">Tasks[[#This Row],[_WorkPerWorkday]]*(Tasks[[#This Row],[_StartWorkday]]-1)</f>
        <v>-0</v>
      </c>
      <c r="CS48" s="43" t="n">
        <f aca="false">IF(Tasks[[#This Row],[_IsLeaf]]=1,MAX(N(Tasks[[#This Row],[Duration]]),0.1),0)</f>
        <v>0</v>
      </c>
      <c r="CT48" s="43" t="n">
        <f aca="false">Tasks[[#This Row],[_WeightDur]]*Tasks[[#This Row],[_LeafProgress]]</f>
        <v>0</v>
      </c>
      <c r="CU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8" s="43" t="str">
        <f aca="false">IF(AND(Tasks[[#This Row],[_IsLeaf]]=1,N(Tasks[[#This Row],[Duration]])=0,Tasks[[#This Row],[_LeafProgress]]&lt;1),Tasks[[#This Row],[_LeafFcstFinish]]+Tasks[[#This Row],[_Row]]/100000,"")</f>
        <v/>
      </c>
      <c r="DA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8" s="43" t="n">
        <f aca="false">IF(NOT(Tasks[[#This Row],[_IsLeaf]]=1),0,IF(Tasks[[#This Row],[Baseline Cost]]="",Tasks[[#This Row],[_LeafCost]],N(Tasks[[#This Row],[Baseline Cost]])))</f>
        <v>0</v>
      </c>
      <c r="DC48" s="43" t="n">
        <f aca="false">Tasks[[#This Row],[_LeafBudget]]*Tasks[[#This Row],[_PlannedPct]]</f>
        <v>0</v>
      </c>
      <c r="DD48" s="43" t="n">
        <f aca="false">Tasks[[#This Row],[_LeafBudget]]*Tasks[[#This Row],[_LeafProgress]]</f>
        <v>0</v>
      </c>
      <c r="DE48" s="43" t="n">
        <f aca="false">IF(NOT(Tasks[[#This Row],[_IsLeaf]]=1),0,IF(Tasks[[#This Row],[Actual Cost]]="",Tasks[[#This Row],[_LeafCost]]*Tasks[[#This Row],[_LeafProgress]],N(Tasks[[#This Row],[Actual Cost]])))</f>
        <v>0</v>
      </c>
      <c r="DF48" s="43" t="str">
        <f aca="false">IF(Tasks[[#This Row],[Task Name]]="","",LEFT(Tasks[[#This Row],[WBS]],FIND(".",Tasks[[#This Row],[WBS]]&amp;".")-1))</f>
        <v/>
      </c>
      <c r="DG48" s="43" t="str">
        <f aca="false">IF(AND(Tasks[[#This Row],[Task Name]]&lt;&gt;"",Tasks[[#This Row],[_Level]]=1),Tasks[[#This Row],[_Row]],"")</f>
        <v/>
      </c>
      <c r="DH48" s="43" t="str">
        <f aca="false">IF(AND(Tasks[[#This Row],[_IsLeaf]]=1,N(Tasks[[#This Row],[Duration]])=0),Tasks[[#This Row],[Planned Finish]]+Tasks[[#This Row],[_Row]]/100000,"")</f>
        <v/>
      </c>
      <c r="DI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8" s="43" t="str">
        <f aca="false">IF(Tasks[[#This Row],[_LeafCritical]],Tasks[[#This Row],[_LeafFcstStart]]+Tasks[[#This Row],[_Row]]/100000,"")</f>
        <v/>
      </c>
    </row>
    <row r="49" customFormat="false" ht="15" hidden="false" customHeight="false" outlineLevel="0" collapsed="false">
      <c r="A49" s="28" t="str">
        <f aca="false">IF(Tasks[[#This Row],[Task Name]]="","",COUNTA(Tasks[[#Headers],[Task Name]]:Tasks[[#This Row],[Task Name]])-1)</f>
        <v/>
      </c>
      <c r="B49" s="29" t="n">
        <v>44</v>
      </c>
      <c r="C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29"/>
      <c r="E49" s="30"/>
      <c r="F49" s="29"/>
      <c r="G49" s="29"/>
      <c r="H49" s="29"/>
      <c r="I49" s="29"/>
      <c r="J49" s="29"/>
      <c r="K49" s="29"/>
      <c r="L49" s="29"/>
      <c r="M49" s="29"/>
      <c r="N49" s="53"/>
      <c r="O49" s="53"/>
      <c r="P49" s="25" t="str">
        <f aca="false">IF(Tasks[[#This Row],[Task Name]]="","",IF(N(Tasks[[#This Row],[Baseline Start]])&gt;0,Tasks[[#This Row],[Baseline Start]],Tasks[[#This Row],[_CalcStart]]))</f>
        <v/>
      </c>
      <c r="Q49" s="25" t="str">
        <f aca="false">IF(Tasks[[#This Row],[Task Name]]="","",IF(N(Tasks[[#This Row],[Baseline Finish]])&gt;0,Tasks[[#This Row],[Baseline Finish]],Tasks[[#This Row],[_CalcFinish]]))</f>
        <v/>
      </c>
      <c r="R49" s="53"/>
      <c r="S49" s="53"/>
      <c r="T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55"/>
      <c r="AF4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30"/>
      <c r="AI49" s="55"/>
      <c r="AJ4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64"/>
      <c r="AM4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49" s="30"/>
      <c r="AP49" s="25" t="str">
        <f aca="false">IF(Tasks[[#This Row],[Task Name]]="","",Tasks[[#This Row],[Forecast Start]])</f>
        <v/>
      </c>
      <c r="AQ49" s="25" t="str">
        <f aca="false">IF(Tasks[[#This Row],[Task Name]]="","",Tasks[[#This Row],[Forecast Finish]])</f>
        <v/>
      </c>
      <c r="AR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49" s="62" t="str">
        <f aca="false">IF(Tasks[[#This Row],[Task Name]]="","",Tasks[[#This Row],[Work]])</f>
        <v/>
      </c>
      <c r="AT49" s="63" t="str">
        <f aca="false">IF(Tasks[[#This Row],[Task Name]]="","",Tasks[[#This Row],[Cost]])</f>
        <v/>
      </c>
      <c r="AU49" s="53"/>
      <c r="AV49" s="53"/>
      <c r="AW49" s="29"/>
      <c r="AX49" s="65"/>
      <c r="AY49" s="64"/>
      <c r="AZ49" s="28" t="str">
        <f aca="false">IF(OR(Tasks[[#This Row],[Task Name]]="",Tasks[[#This Row],[Baseline Duration]]=""),"",Tasks[[#This Row],[BL Source Duration]]-N(Tasks[[#This Row],[Baseline Duration]]))</f>
        <v/>
      </c>
      <c r="BA49" s="62" t="str">
        <f aca="false">IF(OR(Tasks[[#This Row],[Task Name]]="",Tasks[[#This Row],[Baseline Work]]=""),"",Tasks[[#This Row],[Work]]-N(Tasks[[#This Row],[Baseline Work]]))</f>
        <v/>
      </c>
      <c r="BB49" s="63" t="str">
        <f aca="false">IF(OR(Tasks[[#This Row],[Task Name]]="",Tasks[[#This Row],[Baseline Cost]]=""),"",Tasks[[#This Row],[Cost]]-N(Tasks[[#This Row],[Baseline Cost]]))</f>
        <v/>
      </c>
      <c r="BC4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4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4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4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49" s="43" t="str">
        <f aca="false">IF(Tasks[[#This Row],[Task Name]]="","",MAX(1,N(Tasks[[#This Row],[Level]])))</f>
        <v/>
      </c>
      <c r="BH49" s="43" t="n">
        <f aca="false">ROW()-ROW(Tasks[[#Headers],[ID]])</f>
        <v>44</v>
      </c>
      <c r="BI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49" s="43" t="n">
        <f aca="false">IFERROR(N(INDEX(Tasks[_Level],Tasks[[#This Row],[_Row]]+1)),0)</f>
        <v>0</v>
      </c>
      <c r="BK49" s="66" t="b">
        <f aca="false">AND(Tasks[[#This Row],[Task Name]]&lt;&gt;"",Tasks[[#This Row],[_NextLevel]]&gt;Tasks[[#This Row],[_Level]])</f>
        <v>0</v>
      </c>
      <c r="BL49" s="43" t="n">
        <f aca="false">IF(Tasks[[#This Row],[_IsSummary]],COUNTIF(Tasks[WBS],Tasks[[#This Row],[WBS]]&amp;".*"),0)</f>
        <v>0</v>
      </c>
      <c r="BM49" s="43" t="n">
        <f aca="false">IF(AND(Tasks[[#This Row],[Task Name]]&lt;&gt;"",NOT(Tasks[[#This Row],[_IsSummary]])),1,0)</f>
        <v>0</v>
      </c>
      <c r="BN49" s="43" t="n">
        <f aca="false">IF(N(Tasks[[#This Row],[Pred1 UID]])=0,0,IFERROR(MATCH(Tasks[[#This Row],[Pred1 UID]],Tasks[UID],0),-1))</f>
        <v>0</v>
      </c>
      <c r="BO49" s="43" t="n">
        <f aca="false">IF(N(Tasks[[#This Row],[Pred2 UID]])=0,0,IFERROR(MATCH(Tasks[[#This Row],[Pred2 UID]],Tasks[UID],0),-1))</f>
        <v>0</v>
      </c>
      <c r="BP4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4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4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4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49" s="43" t="n">
        <f aca="false">IF(NOT(Tasks[[#This Row],[_IsLeaf]]=1),0,IF(N(Tasks[[#This Row],[Actual Finish]])&gt;0,1,MIN(1,N(Tasks[[#This Row],[% Complete]]))))</f>
        <v>0</v>
      </c>
      <c r="BU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49" s="43" t="n">
        <f aca="false">IF(Tasks[[#This Row],[_LeafWork]]=0,0,Tasks[[#This Row],[_LeafWork]]*IFERROR(INDEX(res_Rate,MATCH(Tasks[[#This Row],[Resource]],res_Name,0)),0))</f>
        <v>0</v>
      </c>
      <c r="BW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49" s="43" t="n">
        <f aca="false">IF(NOT(Tasks[[#This Row],[_IsLeaf]]=1),0,MAX(_xlfn.MAXIFS(Tasks[_Row],Tasks[Pred1 UID],Tasks[[#This Row],[UID]]),_xlfn.MAXIFS(Tasks[_Row],Tasks[Pred2 UID],Tasks[[#This Row],[UID]])))</f>
        <v>0</v>
      </c>
      <c r="CB4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49" s="67" t="str">
        <f aca="false">IF(NOT(Tasks[[#This Row],[_IsLeaf]]=1),"",MIN(ProjectFinish,IF(N(Tasks[[#This Row],[Deadline]])&gt;0,Tasks[[#This Row],[Deadline]],2958465),Tasks[[#This Row],[_SuccessorFinishLimit]]))</f>
        <v/>
      </c>
      <c r="CD4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49" s="66" t="b">
        <f aca="false">AND(Tasks[[#This Row],[_IsLeaf]]=1,Tasks[[#This Row],[_LeafProgress]]&lt;1,N(Tasks[[#This Row],[_LeafTotalSlack]])&lt;=CriticalSlackDays)</f>
        <v>0</v>
      </c>
      <c r="CG4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4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4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4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4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4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49" s="43" t="n">
        <f aca="false">IF(AND(Tasks[[#This Row],[_IsLeaf]]=1,Tasks[[#This Row],[_LeafWork]]&gt;0),NETWORKDAYS.INTL(ProjectStart,Tasks[[#This Row],[_LeafFcstStart]],WorkWeek,Holidays),0)</f>
        <v>0</v>
      </c>
      <c r="CP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49" s="43" t="n">
        <f aca="false">IF(AND(Tasks[[#This Row],[_IsLeaf]]=1,Tasks[[#This Row],[_LeafWork]]&gt;0),Tasks[[#This Row],[_LeafWork]]/(Tasks[[#This Row],[_FinishWorkday]]-Tasks[[#This Row],[_StartWorkday]]+1),0)</f>
        <v>0</v>
      </c>
      <c r="CR49" s="43" t="n">
        <f aca="false">Tasks[[#This Row],[_WorkPerWorkday]]*(Tasks[[#This Row],[_StartWorkday]]-1)</f>
        <v>-0</v>
      </c>
      <c r="CS49" s="43" t="n">
        <f aca="false">IF(Tasks[[#This Row],[_IsLeaf]]=1,MAX(N(Tasks[[#This Row],[Duration]]),0.1),0)</f>
        <v>0</v>
      </c>
      <c r="CT49" s="43" t="n">
        <f aca="false">Tasks[[#This Row],[_WeightDur]]*Tasks[[#This Row],[_LeafProgress]]</f>
        <v>0</v>
      </c>
      <c r="CU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49" s="43" t="str">
        <f aca="false">IF(AND(Tasks[[#This Row],[_IsLeaf]]=1,N(Tasks[[#This Row],[Duration]])=0,Tasks[[#This Row],[_LeafProgress]]&lt;1),Tasks[[#This Row],[_LeafFcstFinish]]+Tasks[[#This Row],[_Row]]/100000,"")</f>
        <v/>
      </c>
      <c r="DA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49" s="43" t="n">
        <f aca="false">IF(NOT(Tasks[[#This Row],[_IsLeaf]]=1),0,IF(Tasks[[#This Row],[Baseline Cost]]="",Tasks[[#This Row],[_LeafCost]],N(Tasks[[#This Row],[Baseline Cost]])))</f>
        <v>0</v>
      </c>
      <c r="DC49" s="43" t="n">
        <f aca="false">Tasks[[#This Row],[_LeafBudget]]*Tasks[[#This Row],[_PlannedPct]]</f>
        <v>0</v>
      </c>
      <c r="DD49" s="43" t="n">
        <f aca="false">Tasks[[#This Row],[_LeafBudget]]*Tasks[[#This Row],[_LeafProgress]]</f>
        <v>0</v>
      </c>
      <c r="DE49" s="43" t="n">
        <f aca="false">IF(NOT(Tasks[[#This Row],[_IsLeaf]]=1),0,IF(Tasks[[#This Row],[Actual Cost]]="",Tasks[[#This Row],[_LeafCost]]*Tasks[[#This Row],[_LeafProgress]],N(Tasks[[#This Row],[Actual Cost]])))</f>
        <v>0</v>
      </c>
      <c r="DF49" s="43" t="str">
        <f aca="false">IF(Tasks[[#This Row],[Task Name]]="","",LEFT(Tasks[[#This Row],[WBS]],FIND(".",Tasks[[#This Row],[WBS]]&amp;".")-1))</f>
        <v/>
      </c>
      <c r="DG49" s="43" t="str">
        <f aca="false">IF(AND(Tasks[[#This Row],[Task Name]]&lt;&gt;"",Tasks[[#This Row],[_Level]]=1),Tasks[[#This Row],[_Row]],"")</f>
        <v/>
      </c>
      <c r="DH49" s="43" t="str">
        <f aca="false">IF(AND(Tasks[[#This Row],[_IsLeaf]]=1,N(Tasks[[#This Row],[Duration]])=0),Tasks[[#This Row],[Planned Finish]]+Tasks[[#This Row],[_Row]]/100000,"")</f>
        <v/>
      </c>
      <c r="DI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49" s="43" t="str">
        <f aca="false">IF(Tasks[[#This Row],[_LeafCritical]],Tasks[[#This Row],[_LeafFcstStart]]+Tasks[[#This Row],[_Row]]/100000,"")</f>
        <v/>
      </c>
    </row>
    <row r="50" customFormat="false" ht="15" hidden="false" customHeight="false" outlineLevel="0" collapsed="false">
      <c r="A50" s="28" t="str">
        <f aca="false">IF(Tasks[[#This Row],[Task Name]]="","",COUNTA(Tasks[[#Headers],[Task Name]]:Tasks[[#This Row],[Task Name]])-1)</f>
        <v/>
      </c>
      <c r="B50" s="29" t="n">
        <v>45</v>
      </c>
      <c r="C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29"/>
      <c r="E50" s="30"/>
      <c r="F50" s="29"/>
      <c r="G50" s="29"/>
      <c r="H50" s="29"/>
      <c r="I50" s="29"/>
      <c r="J50" s="29"/>
      <c r="K50" s="29"/>
      <c r="L50" s="29"/>
      <c r="M50" s="29"/>
      <c r="N50" s="53"/>
      <c r="O50" s="53"/>
      <c r="P50" s="25" t="str">
        <f aca="false">IF(Tasks[[#This Row],[Task Name]]="","",IF(N(Tasks[[#This Row],[Baseline Start]])&gt;0,Tasks[[#This Row],[Baseline Start]],Tasks[[#This Row],[_CalcStart]]))</f>
        <v/>
      </c>
      <c r="Q50" s="25" t="str">
        <f aca="false">IF(Tasks[[#This Row],[Task Name]]="","",IF(N(Tasks[[#This Row],[Baseline Finish]])&gt;0,Tasks[[#This Row],[Baseline Finish]],Tasks[[#This Row],[_CalcFinish]]))</f>
        <v/>
      </c>
      <c r="R50" s="53"/>
      <c r="S50" s="53"/>
      <c r="T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55"/>
      <c r="AF5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30"/>
      <c r="AI50" s="55"/>
      <c r="AJ5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64"/>
      <c r="AM5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0" s="30"/>
      <c r="AP50" s="25" t="str">
        <f aca="false">IF(Tasks[[#This Row],[Task Name]]="","",Tasks[[#This Row],[Forecast Start]])</f>
        <v/>
      </c>
      <c r="AQ50" s="25" t="str">
        <f aca="false">IF(Tasks[[#This Row],[Task Name]]="","",Tasks[[#This Row],[Forecast Finish]])</f>
        <v/>
      </c>
      <c r="AR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0" s="62" t="str">
        <f aca="false">IF(Tasks[[#This Row],[Task Name]]="","",Tasks[[#This Row],[Work]])</f>
        <v/>
      </c>
      <c r="AT50" s="63" t="str">
        <f aca="false">IF(Tasks[[#This Row],[Task Name]]="","",Tasks[[#This Row],[Cost]])</f>
        <v/>
      </c>
      <c r="AU50" s="53"/>
      <c r="AV50" s="53"/>
      <c r="AW50" s="29"/>
      <c r="AX50" s="65"/>
      <c r="AY50" s="64"/>
      <c r="AZ50" s="28" t="str">
        <f aca="false">IF(OR(Tasks[[#This Row],[Task Name]]="",Tasks[[#This Row],[Baseline Duration]]=""),"",Tasks[[#This Row],[BL Source Duration]]-N(Tasks[[#This Row],[Baseline Duration]]))</f>
        <v/>
      </c>
      <c r="BA50" s="62" t="str">
        <f aca="false">IF(OR(Tasks[[#This Row],[Task Name]]="",Tasks[[#This Row],[Baseline Work]]=""),"",Tasks[[#This Row],[Work]]-N(Tasks[[#This Row],[Baseline Work]]))</f>
        <v/>
      </c>
      <c r="BB50" s="63" t="str">
        <f aca="false">IF(OR(Tasks[[#This Row],[Task Name]]="",Tasks[[#This Row],[Baseline Cost]]=""),"",Tasks[[#This Row],[Cost]]-N(Tasks[[#This Row],[Baseline Cost]]))</f>
        <v/>
      </c>
      <c r="BC5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0" s="43" t="str">
        <f aca="false">IF(Tasks[[#This Row],[Task Name]]="","",MAX(1,N(Tasks[[#This Row],[Level]])))</f>
        <v/>
      </c>
      <c r="BH50" s="43" t="n">
        <f aca="false">ROW()-ROW(Tasks[[#Headers],[ID]])</f>
        <v>45</v>
      </c>
      <c r="BI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0" s="43" t="n">
        <f aca="false">IFERROR(N(INDEX(Tasks[_Level],Tasks[[#This Row],[_Row]]+1)),0)</f>
        <v>0</v>
      </c>
      <c r="BK50" s="66" t="b">
        <f aca="false">AND(Tasks[[#This Row],[Task Name]]&lt;&gt;"",Tasks[[#This Row],[_NextLevel]]&gt;Tasks[[#This Row],[_Level]])</f>
        <v>0</v>
      </c>
      <c r="BL50" s="43" t="n">
        <f aca="false">IF(Tasks[[#This Row],[_IsSummary]],COUNTIF(Tasks[WBS],Tasks[[#This Row],[WBS]]&amp;".*"),0)</f>
        <v>0</v>
      </c>
      <c r="BM50" s="43" t="n">
        <f aca="false">IF(AND(Tasks[[#This Row],[Task Name]]&lt;&gt;"",NOT(Tasks[[#This Row],[_IsSummary]])),1,0)</f>
        <v>0</v>
      </c>
      <c r="BN50" s="43" t="n">
        <f aca="false">IF(N(Tasks[[#This Row],[Pred1 UID]])=0,0,IFERROR(MATCH(Tasks[[#This Row],[Pred1 UID]],Tasks[UID],0),-1))</f>
        <v>0</v>
      </c>
      <c r="BO50" s="43" t="n">
        <f aca="false">IF(N(Tasks[[#This Row],[Pred2 UID]])=0,0,IFERROR(MATCH(Tasks[[#This Row],[Pred2 UID]],Tasks[UID],0),-1))</f>
        <v>0</v>
      </c>
      <c r="BP5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0" s="43" t="n">
        <f aca="false">IF(NOT(Tasks[[#This Row],[_IsLeaf]]=1),0,IF(N(Tasks[[#This Row],[Actual Finish]])&gt;0,1,MIN(1,N(Tasks[[#This Row],[% Complete]]))))</f>
        <v>0</v>
      </c>
      <c r="BU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0" s="43" t="n">
        <f aca="false">IF(Tasks[[#This Row],[_LeafWork]]=0,0,Tasks[[#This Row],[_LeafWork]]*IFERROR(INDEX(res_Rate,MATCH(Tasks[[#This Row],[Resource]],res_Name,0)),0))</f>
        <v>0</v>
      </c>
      <c r="BW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0" s="43" t="n">
        <f aca="false">IF(NOT(Tasks[[#This Row],[_IsLeaf]]=1),0,MAX(_xlfn.MAXIFS(Tasks[_Row],Tasks[Pred1 UID],Tasks[[#This Row],[UID]]),_xlfn.MAXIFS(Tasks[_Row],Tasks[Pred2 UID],Tasks[[#This Row],[UID]])))</f>
        <v>0</v>
      </c>
      <c r="CB5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0" s="67" t="str">
        <f aca="false">IF(NOT(Tasks[[#This Row],[_IsLeaf]]=1),"",MIN(ProjectFinish,IF(N(Tasks[[#This Row],[Deadline]])&gt;0,Tasks[[#This Row],[Deadline]],2958465),Tasks[[#This Row],[_SuccessorFinishLimit]]))</f>
        <v/>
      </c>
      <c r="CD5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0" s="66" t="b">
        <f aca="false">AND(Tasks[[#This Row],[_IsLeaf]]=1,Tasks[[#This Row],[_LeafProgress]]&lt;1,N(Tasks[[#This Row],[_LeafTotalSlack]])&lt;=CriticalSlackDays)</f>
        <v>0</v>
      </c>
      <c r="CG5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0" s="43" t="n">
        <f aca="false">IF(AND(Tasks[[#This Row],[_IsLeaf]]=1,Tasks[[#This Row],[_LeafWork]]&gt;0),NETWORKDAYS.INTL(ProjectStart,Tasks[[#This Row],[_LeafFcstStart]],WorkWeek,Holidays),0)</f>
        <v>0</v>
      </c>
      <c r="CP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0" s="43" t="n">
        <f aca="false">IF(AND(Tasks[[#This Row],[_IsLeaf]]=1,Tasks[[#This Row],[_LeafWork]]&gt;0),Tasks[[#This Row],[_LeafWork]]/(Tasks[[#This Row],[_FinishWorkday]]-Tasks[[#This Row],[_StartWorkday]]+1),0)</f>
        <v>0</v>
      </c>
      <c r="CR50" s="43" t="n">
        <f aca="false">Tasks[[#This Row],[_WorkPerWorkday]]*(Tasks[[#This Row],[_StartWorkday]]-1)</f>
        <v>-0</v>
      </c>
      <c r="CS50" s="43" t="n">
        <f aca="false">IF(Tasks[[#This Row],[_IsLeaf]]=1,MAX(N(Tasks[[#This Row],[Duration]]),0.1),0)</f>
        <v>0</v>
      </c>
      <c r="CT50" s="43" t="n">
        <f aca="false">Tasks[[#This Row],[_WeightDur]]*Tasks[[#This Row],[_LeafProgress]]</f>
        <v>0</v>
      </c>
      <c r="CU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0" s="43" t="str">
        <f aca="false">IF(AND(Tasks[[#This Row],[_IsLeaf]]=1,N(Tasks[[#This Row],[Duration]])=0,Tasks[[#This Row],[_LeafProgress]]&lt;1),Tasks[[#This Row],[_LeafFcstFinish]]+Tasks[[#This Row],[_Row]]/100000,"")</f>
        <v/>
      </c>
      <c r="DA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0" s="43" t="n">
        <f aca="false">IF(NOT(Tasks[[#This Row],[_IsLeaf]]=1),0,IF(Tasks[[#This Row],[Baseline Cost]]="",Tasks[[#This Row],[_LeafCost]],N(Tasks[[#This Row],[Baseline Cost]])))</f>
        <v>0</v>
      </c>
      <c r="DC50" s="43" t="n">
        <f aca="false">Tasks[[#This Row],[_LeafBudget]]*Tasks[[#This Row],[_PlannedPct]]</f>
        <v>0</v>
      </c>
      <c r="DD50" s="43" t="n">
        <f aca="false">Tasks[[#This Row],[_LeafBudget]]*Tasks[[#This Row],[_LeafProgress]]</f>
        <v>0</v>
      </c>
      <c r="DE50" s="43" t="n">
        <f aca="false">IF(NOT(Tasks[[#This Row],[_IsLeaf]]=1),0,IF(Tasks[[#This Row],[Actual Cost]]="",Tasks[[#This Row],[_LeafCost]]*Tasks[[#This Row],[_LeafProgress]],N(Tasks[[#This Row],[Actual Cost]])))</f>
        <v>0</v>
      </c>
      <c r="DF50" s="43" t="str">
        <f aca="false">IF(Tasks[[#This Row],[Task Name]]="","",LEFT(Tasks[[#This Row],[WBS]],FIND(".",Tasks[[#This Row],[WBS]]&amp;".")-1))</f>
        <v/>
      </c>
      <c r="DG50" s="43" t="str">
        <f aca="false">IF(AND(Tasks[[#This Row],[Task Name]]&lt;&gt;"",Tasks[[#This Row],[_Level]]=1),Tasks[[#This Row],[_Row]],"")</f>
        <v/>
      </c>
      <c r="DH50" s="43" t="str">
        <f aca="false">IF(AND(Tasks[[#This Row],[_IsLeaf]]=1,N(Tasks[[#This Row],[Duration]])=0),Tasks[[#This Row],[Planned Finish]]+Tasks[[#This Row],[_Row]]/100000,"")</f>
        <v/>
      </c>
      <c r="DI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0" s="43" t="str">
        <f aca="false">IF(Tasks[[#This Row],[_LeafCritical]],Tasks[[#This Row],[_LeafFcstStart]]+Tasks[[#This Row],[_Row]]/100000,"")</f>
        <v/>
      </c>
    </row>
    <row r="51" customFormat="false" ht="15" hidden="false" customHeight="false" outlineLevel="0" collapsed="false">
      <c r="A51" s="28" t="str">
        <f aca="false">IF(Tasks[[#This Row],[Task Name]]="","",COUNTA(Tasks[[#Headers],[Task Name]]:Tasks[[#This Row],[Task Name]])-1)</f>
        <v/>
      </c>
      <c r="B51" s="29" t="n">
        <v>46</v>
      </c>
      <c r="C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29"/>
      <c r="E51" s="30"/>
      <c r="F51" s="29"/>
      <c r="G51" s="29"/>
      <c r="H51" s="29"/>
      <c r="I51" s="29"/>
      <c r="J51" s="29"/>
      <c r="K51" s="29"/>
      <c r="L51" s="29"/>
      <c r="M51" s="29"/>
      <c r="N51" s="53"/>
      <c r="O51" s="53"/>
      <c r="P51" s="25" t="str">
        <f aca="false">IF(Tasks[[#This Row],[Task Name]]="","",IF(N(Tasks[[#This Row],[Baseline Start]])&gt;0,Tasks[[#This Row],[Baseline Start]],Tasks[[#This Row],[_CalcStart]]))</f>
        <v/>
      </c>
      <c r="Q51" s="25" t="str">
        <f aca="false">IF(Tasks[[#This Row],[Task Name]]="","",IF(N(Tasks[[#This Row],[Baseline Finish]])&gt;0,Tasks[[#This Row],[Baseline Finish]],Tasks[[#This Row],[_CalcFinish]]))</f>
        <v/>
      </c>
      <c r="R51" s="53"/>
      <c r="S51" s="53"/>
      <c r="T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55"/>
      <c r="AF5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30"/>
      <c r="AI51" s="55"/>
      <c r="AJ5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64"/>
      <c r="AM5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1" s="30"/>
      <c r="AP51" s="25" t="str">
        <f aca="false">IF(Tasks[[#This Row],[Task Name]]="","",Tasks[[#This Row],[Forecast Start]])</f>
        <v/>
      </c>
      <c r="AQ51" s="25" t="str">
        <f aca="false">IF(Tasks[[#This Row],[Task Name]]="","",Tasks[[#This Row],[Forecast Finish]])</f>
        <v/>
      </c>
      <c r="AR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1" s="62" t="str">
        <f aca="false">IF(Tasks[[#This Row],[Task Name]]="","",Tasks[[#This Row],[Work]])</f>
        <v/>
      </c>
      <c r="AT51" s="63" t="str">
        <f aca="false">IF(Tasks[[#This Row],[Task Name]]="","",Tasks[[#This Row],[Cost]])</f>
        <v/>
      </c>
      <c r="AU51" s="53"/>
      <c r="AV51" s="53"/>
      <c r="AW51" s="29"/>
      <c r="AX51" s="65"/>
      <c r="AY51" s="64"/>
      <c r="AZ51" s="28" t="str">
        <f aca="false">IF(OR(Tasks[[#This Row],[Task Name]]="",Tasks[[#This Row],[Baseline Duration]]=""),"",Tasks[[#This Row],[BL Source Duration]]-N(Tasks[[#This Row],[Baseline Duration]]))</f>
        <v/>
      </c>
      <c r="BA51" s="62" t="str">
        <f aca="false">IF(OR(Tasks[[#This Row],[Task Name]]="",Tasks[[#This Row],[Baseline Work]]=""),"",Tasks[[#This Row],[Work]]-N(Tasks[[#This Row],[Baseline Work]]))</f>
        <v/>
      </c>
      <c r="BB51" s="63" t="str">
        <f aca="false">IF(OR(Tasks[[#This Row],[Task Name]]="",Tasks[[#This Row],[Baseline Cost]]=""),"",Tasks[[#This Row],[Cost]]-N(Tasks[[#This Row],[Baseline Cost]]))</f>
        <v/>
      </c>
      <c r="BC5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1" s="43" t="str">
        <f aca="false">IF(Tasks[[#This Row],[Task Name]]="","",MAX(1,N(Tasks[[#This Row],[Level]])))</f>
        <v/>
      </c>
      <c r="BH51" s="43" t="n">
        <f aca="false">ROW()-ROW(Tasks[[#Headers],[ID]])</f>
        <v>46</v>
      </c>
      <c r="BI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1" s="43" t="n">
        <f aca="false">IFERROR(N(INDEX(Tasks[_Level],Tasks[[#This Row],[_Row]]+1)),0)</f>
        <v>0</v>
      </c>
      <c r="BK51" s="66" t="b">
        <f aca="false">AND(Tasks[[#This Row],[Task Name]]&lt;&gt;"",Tasks[[#This Row],[_NextLevel]]&gt;Tasks[[#This Row],[_Level]])</f>
        <v>0</v>
      </c>
      <c r="BL51" s="43" t="n">
        <f aca="false">IF(Tasks[[#This Row],[_IsSummary]],COUNTIF(Tasks[WBS],Tasks[[#This Row],[WBS]]&amp;".*"),0)</f>
        <v>0</v>
      </c>
      <c r="BM51" s="43" t="n">
        <f aca="false">IF(AND(Tasks[[#This Row],[Task Name]]&lt;&gt;"",NOT(Tasks[[#This Row],[_IsSummary]])),1,0)</f>
        <v>0</v>
      </c>
      <c r="BN51" s="43" t="n">
        <f aca="false">IF(N(Tasks[[#This Row],[Pred1 UID]])=0,0,IFERROR(MATCH(Tasks[[#This Row],[Pred1 UID]],Tasks[UID],0),-1))</f>
        <v>0</v>
      </c>
      <c r="BO51" s="43" t="n">
        <f aca="false">IF(N(Tasks[[#This Row],[Pred2 UID]])=0,0,IFERROR(MATCH(Tasks[[#This Row],[Pred2 UID]],Tasks[UID],0),-1))</f>
        <v>0</v>
      </c>
      <c r="BP5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1" s="43" t="n">
        <f aca="false">IF(NOT(Tasks[[#This Row],[_IsLeaf]]=1),0,IF(N(Tasks[[#This Row],[Actual Finish]])&gt;0,1,MIN(1,N(Tasks[[#This Row],[% Complete]]))))</f>
        <v>0</v>
      </c>
      <c r="BU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1" s="43" t="n">
        <f aca="false">IF(Tasks[[#This Row],[_LeafWork]]=0,0,Tasks[[#This Row],[_LeafWork]]*IFERROR(INDEX(res_Rate,MATCH(Tasks[[#This Row],[Resource]],res_Name,0)),0))</f>
        <v>0</v>
      </c>
      <c r="BW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1" s="43" t="n">
        <f aca="false">IF(NOT(Tasks[[#This Row],[_IsLeaf]]=1),0,MAX(_xlfn.MAXIFS(Tasks[_Row],Tasks[Pred1 UID],Tasks[[#This Row],[UID]]),_xlfn.MAXIFS(Tasks[_Row],Tasks[Pred2 UID],Tasks[[#This Row],[UID]])))</f>
        <v>0</v>
      </c>
      <c r="CB5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1" s="67" t="str">
        <f aca="false">IF(NOT(Tasks[[#This Row],[_IsLeaf]]=1),"",MIN(ProjectFinish,IF(N(Tasks[[#This Row],[Deadline]])&gt;0,Tasks[[#This Row],[Deadline]],2958465),Tasks[[#This Row],[_SuccessorFinishLimit]]))</f>
        <v/>
      </c>
      <c r="CD5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1" s="66" t="b">
        <f aca="false">AND(Tasks[[#This Row],[_IsLeaf]]=1,Tasks[[#This Row],[_LeafProgress]]&lt;1,N(Tasks[[#This Row],[_LeafTotalSlack]])&lt;=CriticalSlackDays)</f>
        <v>0</v>
      </c>
      <c r="CG5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1" s="43" t="n">
        <f aca="false">IF(AND(Tasks[[#This Row],[_IsLeaf]]=1,Tasks[[#This Row],[_LeafWork]]&gt;0),NETWORKDAYS.INTL(ProjectStart,Tasks[[#This Row],[_LeafFcstStart]],WorkWeek,Holidays),0)</f>
        <v>0</v>
      </c>
      <c r="CP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1" s="43" t="n">
        <f aca="false">IF(AND(Tasks[[#This Row],[_IsLeaf]]=1,Tasks[[#This Row],[_LeafWork]]&gt;0),Tasks[[#This Row],[_LeafWork]]/(Tasks[[#This Row],[_FinishWorkday]]-Tasks[[#This Row],[_StartWorkday]]+1),0)</f>
        <v>0</v>
      </c>
      <c r="CR51" s="43" t="n">
        <f aca="false">Tasks[[#This Row],[_WorkPerWorkday]]*(Tasks[[#This Row],[_StartWorkday]]-1)</f>
        <v>-0</v>
      </c>
      <c r="CS51" s="43" t="n">
        <f aca="false">IF(Tasks[[#This Row],[_IsLeaf]]=1,MAX(N(Tasks[[#This Row],[Duration]]),0.1),0)</f>
        <v>0</v>
      </c>
      <c r="CT51" s="43" t="n">
        <f aca="false">Tasks[[#This Row],[_WeightDur]]*Tasks[[#This Row],[_LeafProgress]]</f>
        <v>0</v>
      </c>
      <c r="CU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1" s="43" t="str">
        <f aca="false">IF(AND(Tasks[[#This Row],[_IsLeaf]]=1,N(Tasks[[#This Row],[Duration]])=0,Tasks[[#This Row],[_LeafProgress]]&lt;1),Tasks[[#This Row],[_LeafFcstFinish]]+Tasks[[#This Row],[_Row]]/100000,"")</f>
        <v/>
      </c>
      <c r="DA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1" s="43" t="n">
        <f aca="false">IF(NOT(Tasks[[#This Row],[_IsLeaf]]=1),0,IF(Tasks[[#This Row],[Baseline Cost]]="",Tasks[[#This Row],[_LeafCost]],N(Tasks[[#This Row],[Baseline Cost]])))</f>
        <v>0</v>
      </c>
      <c r="DC51" s="43" t="n">
        <f aca="false">Tasks[[#This Row],[_LeafBudget]]*Tasks[[#This Row],[_PlannedPct]]</f>
        <v>0</v>
      </c>
      <c r="DD51" s="43" t="n">
        <f aca="false">Tasks[[#This Row],[_LeafBudget]]*Tasks[[#This Row],[_LeafProgress]]</f>
        <v>0</v>
      </c>
      <c r="DE51" s="43" t="n">
        <f aca="false">IF(NOT(Tasks[[#This Row],[_IsLeaf]]=1),0,IF(Tasks[[#This Row],[Actual Cost]]="",Tasks[[#This Row],[_LeafCost]]*Tasks[[#This Row],[_LeafProgress]],N(Tasks[[#This Row],[Actual Cost]])))</f>
        <v>0</v>
      </c>
      <c r="DF51" s="43" t="str">
        <f aca="false">IF(Tasks[[#This Row],[Task Name]]="","",LEFT(Tasks[[#This Row],[WBS]],FIND(".",Tasks[[#This Row],[WBS]]&amp;".")-1))</f>
        <v/>
      </c>
      <c r="DG51" s="43" t="str">
        <f aca="false">IF(AND(Tasks[[#This Row],[Task Name]]&lt;&gt;"",Tasks[[#This Row],[_Level]]=1),Tasks[[#This Row],[_Row]],"")</f>
        <v/>
      </c>
      <c r="DH51" s="43" t="str">
        <f aca="false">IF(AND(Tasks[[#This Row],[_IsLeaf]]=1,N(Tasks[[#This Row],[Duration]])=0),Tasks[[#This Row],[Planned Finish]]+Tasks[[#This Row],[_Row]]/100000,"")</f>
        <v/>
      </c>
      <c r="DI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1" s="43" t="str">
        <f aca="false">IF(Tasks[[#This Row],[_LeafCritical]],Tasks[[#This Row],[_LeafFcstStart]]+Tasks[[#This Row],[_Row]]/100000,"")</f>
        <v/>
      </c>
    </row>
    <row r="52" customFormat="false" ht="15" hidden="false" customHeight="false" outlineLevel="0" collapsed="false">
      <c r="A52" s="28" t="str">
        <f aca="false">IF(Tasks[[#This Row],[Task Name]]="","",COUNTA(Tasks[[#Headers],[Task Name]]:Tasks[[#This Row],[Task Name]])-1)</f>
        <v/>
      </c>
      <c r="B52" s="29" t="n">
        <v>47</v>
      </c>
      <c r="C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29"/>
      <c r="E52" s="30"/>
      <c r="F52" s="29"/>
      <c r="G52" s="29"/>
      <c r="H52" s="29"/>
      <c r="I52" s="29"/>
      <c r="J52" s="29"/>
      <c r="K52" s="29"/>
      <c r="L52" s="29"/>
      <c r="M52" s="29"/>
      <c r="N52" s="53"/>
      <c r="O52" s="53"/>
      <c r="P52" s="25" t="str">
        <f aca="false">IF(Tasks[[#This Row],[Task Name]]="","",IF(N(Tasks[[#This Row],[Baseline Start]])&gt;0,Tasks[[#This Row],[Baseline Start]],Tasks[[#This Row],[_CalcStart]]))</f>
        <v/>
      </c>
      <c r="Q52" s="25" t="str">
        <f aca="false">IF(Tasks[[#This Row],[Task Name]]="","",IF(N(Tasks[[#This Row],[Baseline Finish]])&gt;0,Tasks[[#This Row],[Baseline Finish]],Tasks[[#This Row],[_CalcFinish]]))</f>
        <v/>
      </c>
      <c r="R52" s="53"/>
      <c r="S52" s="53"/>
      <c r="T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55"/>
      <c r="AF5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30"/>
      <c r="AI52" s="55"/>
      <c r="AJ5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64"/>
      <c r="AM5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2" s="30"/>
      <c r="AP52" s="25" t="str">
        <f aca="false">IF(Tasks[[#This Row],[Task Name]]="","",Tasks[[#This Row],[Forecast Start]])</f>
        <v/>
      </c>
      <c r="AQ52" s="25" t="str">
        <f aca="false">IF(Tasks[[#This Row],[Task Name]]="","",Tasks[[#This Row],[Forecast Finish]])</f>
        <v/>
      </c>
      <c r="AR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2" s="62" t="str">
        <f aca="false">IF(Tasks[[#This Row],[Task Name]]="","",Tasks[[#This Row],[Work]])</f>
        <v/>
      </c>
      <c r="AT52" s="63" t="str">
        <f aca="false">IF(Tasks[[#This Row],[Task Name]]="","",Tasks[[#This Row],[Cost]])</f>
        <v/>
      </c>
      <c r="AU52" s="53"/>
      <c r="AV52" s="53"/>
      <c r="AW52" s="29"/>
      <c r="AX52" s="65"/>
      <c r="AY52" s="64"/>
      <c r="AZ52" s="28" t="str">
        <f aca="false">IF(OR(Tasks[[#This Row],[Task Name]]="",Tasks[[#This Row],[Baseline Duration]]=""),"",Tasks[[#This Row],[BL Source Duration]]-N(Tasks[[#This Row],[Baseline Duration]]))</f>
        <v/>
      </c>
      <c r="BA52" s="62" t="str">
        <f aca="false">IF(OR(Tasks[[#This Row],[Task Name]]="",Tasks[[#This Row],[Baseline Work]]=""),"",Tasks[[#This Row],[Work]]-N(Tasks[[#This Row],[Baseline Work]]))</f>
        <v/>
      </c>
      <c r="BB52" s="63" t="str">
        <f aca="false">IF(OR(Tasks[[#This Row],[Task Name]]="",Tasks[[#This Row],[Baseline Cost]]=""),"",Tasks[[#This Row],[Cost]]-N(Tasks[[#This Row],[Baseline Cost]]))</f>
        <v/>
      </c>
      <c r="BC5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2" s="43" t="str">
        <f aca="false">IF(Tasks[[#This Row],[Task Name]]="","",MAX(1,N(Tasks[[#This Row],[Level]])))</f>
        <v/>
      </c>
      <c r="BH52" s="43" t="n">
        <f aca="false">ROW()-ROW(Tasks[[#Headers],[ID]])</f>
        <v>47</v>
      </c>
      <c r="BI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2" s="43" t="n">
        <f aca="false">IFERROR(N(INDEX(Tasks[_Level],Tasks[[#This Row],[_Row]]+1)),0)</f>
        <v>0</v>
      </c>
      <c r="BK52" s="66" t="b">
        <f aca="false">AND(Tasks[[#This Row],[Task Name]]&lt;&gt;"",Tasks[[#This Row],[_NextLevel]]&gt;Tasks[[#This Row],[_Level]])</f>
        <v>0</v>
      </c>
      <c r="BL52" s="43" t="n">
        <f aca="false">IF(Tasks[[#This Row],[_IsSummary]],COUNTIF(Tasks[WBS],Tasks[[#This Row],[WBS]]&amp;".*"),0)</f>
        <v>0</v>
      </c>
      <c r="BM52" s="43" t="n">
        <f aca="false">IF(AND(Tasks[[#This Row],[Task Name]]&lt;&gt;"",NOT(Tasks[[#This Row],[_IsSummary]])),1,0)</f>
        <v>0</v>
      </c>
      <c r="BN52" s="43" t="n">
        <f aca="false">IF(N(Tasks[[#This Row],[Pred1 UID]])=0,0,IFERROR(MATCH(Tasks[[#This Row],[Pred1 UID]],Tasks[UID],0),-1))</f>
        <v>0</v>
      </c>
      <c r="BO52" s="43" t="n">
        <f aca="false">IF(N(Tasks[[#This Row],[Pred2 UID]])=0,0,IFERROR(MATCH(Tasks[[#This Row],[Pred2 UID]],Tasks[UID],0),-1))</f>
        <v>0</v>
      </c>
      <c r="BP5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2" s="43" t="n">
        <f aca="false">IF(NOT(Tasks[[#This Row],[_IsLeaf]]=1),0,IF(N(Tasks[[#This Row],[Actual Finish]])&gt;0,1,MIN(1,N(Tasks[[#This Row],[% Complete]]))))</f>
        <v>0</v>
      </c>
      <c r="BU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2" s="43" t="n">
        <f aca="false">IF(Tasks[[#This Row],[_LeafWork]]=0,0,Tasks[[#This Row],[_LeafWork]]*IFERROR(INDEX(res_Rate,MATCH(Tasks[[#This Row],[Resource]],res_Name,0)),0))</f>
        <v>0</v>
      </c>
      <c r="BW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2" s="43" t="n">
        <f aca="false">IF(NOT(Tasks[[#This Row],[_IsLeaf]]=1),0,MAX(_xlfn.MAXIFS(Tasks[_Row],Tasks[Pred1 UID],Tasks[[#This Row],[UID]]),_xlfn.MAXIFS(Tasks[_Row],Tasks[Pred2 UID],Tasks[[#This Row],[UID]])))</f>
        <v>0</v>
      </c>
      <c r="CB5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2" s="67" t="str">
        <f aca="false">IF(NOT(Tasks[[#This Row],[_IsLeaf]]=1),"",MIN(ProjectFinish,IF(N(Tasks[[#This Row],[Deadline]])&gt;0,Tasks[[#This Row],[Deadline]],2958465),Tasks[[#This Row],[_SuccessorFinishLimit]]))</f>
        <v/>
      </c>
      <c r="CD5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2" s="66" t="b">
        <f aca="false">AND(Tasks[[#This Row],[_IsLeaf]]=1,Tasks[[#This Row],[_LeafProgress]]&lt;1,N(Tasks[[#This Row],[_LeafTotalSlack]])&lt;=CriticalSlackDays)</f>
        <v>0</v>
      </c>
      <c r="CG5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2" s="43" t="n">
        <f aca="false">IF(AND(Tasks[[#This Row],[_IsLeaf]]=1,Tasks[[#This Row],[_LeafWork]]&gt;0),NETWORKDAYS.INTL(ProjectStart,Tasks[[#This Row],[_LeafFcstStart]],WorkWeek,Holidays),0)</f>
        <v>0</v>
      </c>
      <c r="CP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2" s="43" t="n">
        <f aca="false">IF(AND(Tasks[[#This Row],[_IsLeaf]]=1,Tasks[[#This Row],[_LeafWork]]&gt;0),Tasks[[#This Row],[_LeafWork]]/(Tasks[[#This Row],[_FinishWorkday]]-Tasks[[#This Row],[_StartWorkday]]+1),0)</f>
        <v>0</v>
      </c>
      <c r="CR52" s="43" t="n">
        <f aca="false">Tasks[[#This Row],[_WorkPerWorkday]]*(Tasks[[#This Row],[_StartWorkday]]-1)</f>
        <v>-0</v>
      </c>
      <c r="CS52" s="43" t="n">
        <f aca="false">IF(Tasks[[#This Row],[_IsLeaf]]=1,MAX(N(Tasks[[#This Row],[Duration]]),0.1),0)</f>
        <v>0</v>
      </c>
      <c r="CT52" s="43" t="n">
        <f aca="false">Tasks[[#This Row],[_WeightDur]]*Tasks[[#This Row],[_LeafProgress]]</f>
        <v>0</v>
      </c>
      <c r="CU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2" s="43" t="str">
        <f aca="false">IF(AND(Tasks[[#This Row],[_IsLeaf]]=1,N(Tasks[[#This Row],[Duration]])=0,Tasks[[#This Row],[_LeafProgress]]&lt;1),Tasks[[#This Row],[_LeafFcstFinish]]+Tasks[[#This Row],[_Row]]/100000,"")</f>
        <v/>
      </c>
      <c r="DA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2" s="43" t="n">
        <f aca="false">IF(NOT(Tasks[[#This Row],[_IsLeaf]]=1),0,IF(Tasks[[#This Row],[Baseline Cost]]="",Tasks[[#This Row],[_LeafCost]],N(Tasks[[#This Row],[Baseline Cost]])))</f>
        <v>0</v>
      </c>
      <c r="DC52" s="43" t="n">
        <f aca="false">Tasks[[#This Row],[_LeafBudget]]*Tasks[[#This Row],[_PlannedPct]]</f>
        <v>0</v>
      </c>
      <c r="DD52" s="43" t="n">
        <f aca="false">Tasks[[#This Row],[_LeafBudget]]*Tasks[[#This Row],[_LeafProgress]]</f>
        <v>0</v>
      </c>
      <c r="DE52" s="43" t="n">
        <f aca="false">IF(NOT(Tasks[[#This Row],[_IsLeaf]]=1),0,IF(Tasks[[#This Row],[Actual Cost]]="",Tasks[[#This Row],[_LeafCost]]*Tasks[[#This Row],[_LeafProgress]],N(Tasks[[#This Row],[Actual Cost]])))</f>
        <v>0</v>
      </c>
      <c r="DF52" s="43" t="str">
        <f aca="false">IF(Tasks[[#This Row],[Task Name]]="","",LEFT(Tasks[[#This Row],[WBS]],FIND(".",Tasks[[#This Row],[WBS]]&amp;".")-1))</f>
        <v/>
      </c>
      <c r="DG52" s="43" t="str">
        <f aca="false">IF(AND(Tasks[[#This Row],[Task Name]]&lt;&gt;"",Tasks[[#This Row],[_Level]]=1),Tasks[[#This Row],[_Row]],"")</f>
        <v/>
      </c>
      <c r="DH52" s="43" t="str">
        <f aca="false">IF(AND(Tasks[[#This Row],[_IsLeaf]]=1,N(Tasks[[#This Row],[Duration]])=0),Tasks[[#This Row],[Planned Finish]]+Tasks[[#This Row],[_Row]]/100000,"")</f>
        <v/>
      </c>
      <c r="DI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2" s="43" t="str">
        <f aca="false">IF(Tasks[[#This Row],[_LeafCritical]],Tasks[[#This Row],[_LeafFcstStart]]+Tasks[[#This Row],[_Row]]/100000,"")</f>
        <v/>
      </c>
    </row>
    <row r="53" customFormat="false" ht="15" hidden="false" customHeight="false" outlineLevel="0" collapsed="false">
      <c r="A53" s="28" t="str">
        <f aca="false">IF(Tasks[[#This Row],[Task Name]]="","",COUNTA(Tasks[[#Headers],[Task Name]]:Tasks[[#This Row],[Task Name]])-1)</f>
        <v/>
      </c>
      <c r="B53" s="29" t="n">
        <v>48</v>
      </c>
      <c r="C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29"/>
      <c r="E53" s="30"/>
      <c r="F53" s="29"/>
      <c r="G53" s="29"/>
      <c r="H53" s="29"/>
      <c r="I53" s="29"/>
      <c r="J53" s="29"/>
      <c r="K53" s="29"/>
      <c r="L53" s="29"/>
      <c r="M53" s="29"/>
      <c r="N53" s="53"/>
      <c r="O53" s="53"/>
      <c r="P53" s="25" t="str">
        <f aca="false">IF(Tasks[[#This Row],[Task Name]]="","",IF(N(Tasks[[#This Row],[Baseline Start]])&gt;0,Tasks[[#This Row],[Baseline Start]],Tasks[[#This Row],[_CalcStart]]))</f>
        <v/>
      </c>
      <c r="Q53" s="25" t="str">
        <f aca="false">IF(Tasks[[#This Row],[Task Name]]="","",IF(N(Tasks[[#This Row],[Baseline Finish]])&gt;0,Tasks[[#This Row],[Baseline Finish]],Tasks[[#This Row],[_CalcFinish]]))</f>
        <v/>
      </c>
      <c r="R53" s="53"/>
      <c r="S53" s="53"/>
      <c r="T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55"/>
      <c r="AF5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30"/>
      <c r="AI53" s="55"/>
      <c r="AJ5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64"/>
      <c r="AM5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3" s="30"/>
      <c r="AP53" s="25" t="str">
        <f aca="false">IF(Tasks[[#This Row],[Task Name]]="","",Tasks[[#This Row],[Forecast Start]])</f>
        <v/>
      </c>
      <c r="AQ53" s="25" t="str">
        <f aca="false">IF(Tasks[[#This Row],[Task Name]]="","",Tasks[[#This Row],[Forecast Finish]])</f>
        <v/>
      </c>
      <c r="AR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3" s="62" t="str">
        <f aca="false">IF(Tasks[[#This Row],[Task Name]]="","",Tasks[[#This Row],[Work]])</f>
        <v/>
      </c>
      <c r="AT53" s="63" t="str">
        <f aca="false">IF(Tasks[[#This Row],[Task Name]]="","",Tasks[[#This Row],[Cost]])</f>
        <v/>
      </c>
      <c r="AU53" s="53"/>
      <c r="AV53" s="53"/>
      <c r="AW53" s="29"/>
      <c r="AX53" s="65"/>
      <c r="AY53" s="64"/>
      <c r="AZ53" s="28" t="str">
        <f aca="false">IF(OR(Tasks[[#This Row],[Task Name]]="",Tasks[[#This Row],[Baseline Duration]]=""),"",Tasks[[#This Row],[BL Source Duration]]-N(Tasks[[#This Row],[Baseline Duration]]))</f>
        <v/>
      </c>
      <c r="BA53" s="62" t="str">
        <f aca="false">IF(OR(Tasks[[#This Row],[Task Name]]="",Tasks[[#This Row],[Baseline Work]]=""),"",Tasks[[#This Row],[Work]]-N(Tasks[[#This Row],[Baseline Work]]))</f>
        <v/>
      </c>
      <c r="BB53" s="63" t="str">
        <f aca="false">IF(OR(Tasks[[#This Row],[Task Name]]="",Tasks[[#This Row],[Baseline Cost]]=""),"",Tasks[[#This Row],[Cost]]-N(Tasks[[#This Row],[Baseline Cost]]))</f>
        <v/>
      </c>
      <c r="BC5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3" s="43" t="str">
        <f aca="false">IF(Tasks[[#This Row],[Task Name]]="","",MAX(1,N(Tasks[[#This Row],[Level]])))</f>
        <v/>
      </c>
      <c r="BH53" s="43" t="n">
        <f aca="false">ROW()-ROW(Tasks[[#Headers],[ID]])</f>
        <v>48</v>
      </c>
      <c r="BI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3" s="43" t="n">
        <f aca="false">IFERROR(N(INDEX(Tasks[_Level],Tasks[[#This Row],[_Row]]+1)),0)</f>
        <v>0</v>
      </c>
      <c r="BK53" s="66" t="b">
        <f aca="false">AND(Tasks[[#This Row],[Task Name]]&lt;&gt;"",Tasks[[#This Row],[_NextLevel]]&gt;Tasks[[#This Row],[_Level]])</f>
        <v>0</v>
      </c>
      <c r="BL53" s="43" t="n">
        <f aca="false">IF(Tasks[[#This Row],[_IsSummary]],COUNTIF(Tasks[WBS],Tasks[[#This Row],[WBS]]&amp;".*"),0)</f>
        <v>0</v>
      </c>
      <c r="BM53" s="43" t="n">
        <f aca="false">IF(AND(Tasks[[#This Row],[Task Name]]&lt;&gt;"",NOT(Tasks[[#This Row],[_IsSummary]])),1,0)</f>
        <v>0</v>
      </c>
      <c r="BN53" s="43" t="n">
        <f aca="false">IF(N(Tasks[[#This Row],[Pred1 UID]])=0,0,IFERROR(MATCH(Tasks[[#This Row],[Pred1 UID]],Tasks[UID],0),-1))</f>
        <v>0</v>
      </c>
      <c r="BO53" s="43" t="n">
        <f aca="false">IF(N(Tasks[[#This Row],[Pred2 UID]])=0,0,IFERROR(MATCH(Tasks[[#This Row],[Pred2 UID]],Tasks[UID],0),-1))</f>
        <v>0</v>
      </c>
      <c r="BP5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3" s="43" t="n">
        <f aca="false">IF(NOT(Tasks[[#This Row],[_IsLeaf]]=1),0,IF(N(Tasks[[#This Row],[Actual Finish]])&gt;0,1,MIN(1,N(Tasks[[#This Row],[% Complete]]))))</f>
        <v>0</v>
      </c>
      <c r="BU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3" s="43" t="n">
        <f aca="false">IF(Tasks[[#This Row],[_LeafWork]]=0,0,Tasks[[#This Row],[_LeafWork]]*IFERROR(INDEX(res_Rate,MATCH(Tasks[[#This Row],[Resource]],res_Name,0)),0))</f>
        <v>0</v>
      </c>
      <c r="BW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3" s="43" t="n">
        <f aca="false">IF(NOT(Tasks[[#This Row],[_IsLeaf]]=1),0,MAX(_xlfn.MAXIFS(Tasks[_Row],Tasks[Pred1 UID],Tasks[[#This Row],[UID]]),_xlfn.MAXIFS(Tasks[_Row],Tasks[Pred2 UID],Tasks[[#This Row],[UID]])))</f>
        <v>0</v>
      </c>
      <c r="CB5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3" s="67" t="str">
        <f aca="false">IF(NOT(Tasks[[#This Row],[_IsLeaf]]=1),"",MIN(ProjectFinish,IF(N(Tasks[[#This Row],[Deadline]])&gt;0,Tasks[[#This Row],[Deadline]],2958465),Tasks[[#This Row],[_SuccessorFinishLimit]]))</f>
        <v/>
      </c>
      <c r="CD5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3" s="66" t="b">
        <f aca="false">AND(Tasks[[#This Row],[_IsLeaf]]=1,Tasks[[#This Row],[_LeafProgress]]&lt;1,N(Tasks[[#This Row],[_LeafTotalSlack]])&lt;=CriticalSlackDays)</f>
        <v>0</v>
      </c>
      <c r="CG5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3" s="43" t="n">
        <f aca="false">IF(AND(Tasks[[#This Row],[_IsLeaf]]=1,Tasks[[#This Row],[_LeafWork]]&gt;0),NETWORKDAYS.INTL(ProjectStart,Tasks[[#This Row],[_LeafFcstStart]],WorkWeek,Holidays),0)</f>
        <v>0</v>
      </c>
      <c r="CP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3" s="43" t="n">
        <f aca="false">IF(AND(Tasks[[#This Row],[_IsLeaf]]=1,Tasks[[#This Row],[_LeafWork]]&gt;0),Tasks[[#This Row],[_LeafWork]]/(Tasks[[#This Row],[_FinishWorkday]]-Tasks[[#This Row],[_StartWorkday]]+1),0)</f>
        <v>0</v>
      </c>
      <c r="CR53" s="43" t="n">
        <f aca="false">Tasks[[#This Row],[_WorkPerWorkday]]*(Tasks[[#This Row],[_StartWorkday]]-1)</f>
        <v>-0</v>
      </c>
      <c r="CS53" s="43" t="n">
        <f aca="false">IF(Tasks[[#This Row],[_IsLeaf]]=1,MAX(N(Tasks[[#This Row],[Duration]]),0.1),0)</f>
        <v>0</v>
      </c>
      <c r="CT53" s="43" t="n">
        <f aca="false">Tasks[[#This Row],[_WeightDur]]*Tasks[[#This Row],[_LeafProgress]]</f>
        <v>0</v>
      </c>
      <c r="CU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3" s="43" t="str">
        <f aca="false">IF(AND(Tasks[[#This Row],[_IsLeaf]]=1,N(Tasks[[#This Row],[Duration]])=0,Tasks[[#This Row],[_LeafProgress]]&lt;1),Tasks[[#This Row],[_LeafFcstFinish]]+Tasks[[#This Row],[_Row]]/100000,"")</f>
        <v/>
      </c>
      <c r="DA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3" s="43" t="n">
        <f aca="false">IF(NOT(Tasks[[#This Row],[_IsLeaf]]=1),0,IF(Tasks[[#This Row],[Baseline Cost]]="",Tasks[[#This Row],[_LeafCost]],N(Tasks[[#This Row],[Baseline Cost]])))</f>
        <v>0</v>
      </c>
      <c r="DC53" s="43" t="n">
        <f aca="false">Tasks[[#This Row],[_LeafBudget]]*Tasks[[#This Row],[_PlannedPct]]</f>
        <v>0</v>
      </c>
      <c r="DD53" s="43" t="n">
        <f aca="false">Tasks[[#This Row],[_LeafBudget]]*Tasks[[#This Row],[_LeafProgress]]</f>
        <v>0</v>
      </c>
      <c r="DE53" s="43" t="n">
        <f aca="false">IF(NOT(Tasks[[#This Row],[_IsLeaf]]=1),0,IF(Tasks[[#This Row],[Actual Cost]]="",Tasks[[#This Row],[_LeafCost]]*Tasks[[#This Row],[_LeafProgress]],N(Tasks[[#This Row],[Actual Cost]])))</f>
        <v>0</v>
      </c>
      <c r="DF53" s="43" t="str">
        <f aca="false">IF(Tasks[[#This Row],[Task Name]]="","",LEFT(Tasks[[#This Row],[WBS]],FIND(".",Tasks[[#This Row],[WBS]]&amp;".")-1))</f>
        <v/>
      </c>
      <c r="DG53" s="43" t="str">
        <f aca="false">IF(AND(Tasks[[#This Row],[Task Name]]&lt;&gt;"",Tasks[[#This Row],[_Level]]=1),Tasks[[#This Row],[_Row]],"")</f>
        <v/>
      </c>
      <c r="DH53" s="43" t="str">
        <f aca="false">IF(AND(Tasks[[#This Row],[_IsLeaf]]=1,N(Tasks[[#This Row],[Duration]])=0),Tasks[[#This Row],[Planned Finish]]+Tasks[[#This Row],[_Row]]/100000,"")</f>
        <v/>
      </c>
      <c r="DI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3" s="43" t="str">
        <f aca="false">IF(Tasks[[#This Row],[_LeafCritical]],Tasks[[#This Row],[_LeafFcstStart]]+Tasks[[#This Row],[_Row]]/100000,"")</f>
        <v/>
      </c>
    </row>
    <row r="54" customFormat="false" ht="15" hidden="false" customHeight="false" outlineLevel="0" collapsed="false">
      <c r="A54" s="28" t="str">
        <f aca="false">IF(Tasks[[#This Row],[Task Name]]="","",COUNTA(Tasks[[#Headers],[Task Name]]:Tasks[[#This Row],[Task Name]])-1)</f>
        <v/>
      </c>
      <c r="B54" s="29" t="n">
        <v>49</v>
      </c>
      <c r="C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29"/>
      <c r="E54" s="30"/>
      <c r="F54" s="29"/>
      <c r="G54" s="29"/>
      <c r="H54" s="29"/>
      <c r="I54" s="29"/>
      <c r="J54" s="29"/>
      <c r="K54" s="29"/>
      <c r="L54" s="29"/>
      <c r="M54" s="29"/>
      <c r="N54" s="53"/>
      <c r="O54" s="53"/>
      <c r="P54" s="25" t="str">
        <f aca="false">IF(Tasks[[#This Row],[Task Name]]="","",IF(N(Tasks[[#This Row],[Baseline Start]])&gt;0,Tasks[[#This Row],[Baseline Start]],Tasks[[#This Row],[_CalcStart]]))</f>
        <v/>
      </c>
      <c r="Q54" s="25" t="str">
        <f aca="false">IF(Tasks[[#This Row],[Task Name]]="","",IF(N(Tasks[[#This Row],[Baseline Finish]])&gt;0,Tasks[[#This Row],[Baseline Finish]],Tasks[[#This Row],[_CalcFinish]]))</f>
        <v/>
      </c>
      <c r="R54" s="53"/>
      <c r="S54" s="53"/>
      <c r="T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55"/>
      <c r="AF5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30"/>
      <c r="AI54" s="55"/>
      <c r="AJ5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64"/>
      <c r="AM5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4" s="30"/>
      <c r="AP54" s="25" t="str">
        <f aca="false">IF(Tasks[[#This Row],[Task Name]]="","",Tasks[[#This Row],[Forecast Start]])</f>
        <v/>
      </c>
      <c r="AQ54" s="25" t="str">
        <f aca="false">IF(Tasks[[#This Row],[Task Name]]="","",Tasks[[#This Row],[Forecast Finish]])</f>
        <v/>
      </c>
      <c r="AR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4" s="62" t="str">
        <f aca="false">IF(Tasks[[#This Row],[Task Name]]="","",Tasks[[#This Row],[Work]])</f>
        <v/>
      </c>
      <c r="AT54" s="63" t="str">
        <f aca="false">IF(Tasks[[#This Row],[Task Name]]="","",Tasks[[#This Row],[Cost]])</f>
        <v/>
      </c>
      <c r="AU54" s="53"/>
      <c r="AV54" s="53"/>
      <c r="AW54" s="29"/>
      <c r="AX54" s="65"/>
      <c r="AY54" s="64"/>
      <c r="AZ54" s="28" t="str">
        <f aca="false">IF(OR(Tasks[[#This Row],[Task Name]]="",Tasks[[#This Row],[Baseline Duration]]=""),"",Tasks[[#This Row],[BL Source Duration]]-N(Tasks[[#This Row],[Baseline Duration]]))</f>
        <v/>
      </c>
      <c r="BA54" s="62" t="str">
        <f aca="false">IF(OR(Tasks[[#This Row],[Task Name]]="",Tasks[[#This Row],[Baseline Work]]=""),"",Tasks[[#This Row],[Work]]-N(Tasks[[#This Row],[Baseline Work]]))</f>
        <v/>
      </c>
      <c r="BB54" s="63" t="str">
        <f aca="false">IF(OR(Tasks[[#This Row],[Task Name]]="",Tasks[[#This Row],[Baseline Cost]]=""),"",Tasks[[#This Row],[Cost]]-N(Tasks[[#This Row],[Baseline Cost]]))</f>
        <v/>
      </c>
      <c r="BC5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4" s="43" t="str">
        <f aca="false">IF(Tasks[[#This Row],[Task Name]]="","",MAX(1,N(Tasks[[#This Row],[Level]])))</f>
        <v/>
      </c>
      <c r="BH54" s="43" t="n">
        <f aca="false">ROW()-ROW(Tasks[[#Headers],[ID]])</f>
        <v>49</v>
      </c>
      <c r="BI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4" s="43" t="n">
        <f aca="false">IFERROR(N(INDEX(Tasks[_Level],Tasks[[#This Row],[_Row]]+1)),0)</f>
        <v>0</v>
      </c>
      <c r="BK54" s="66" t="b">
        <f aca="false">AND(Tasks[[#This Row],[Task Name]]&lt;&gt;"",Tasks[[#This Row],[_NextLevel]]&gt;Tasks[[#This Row],[_Level]])</f>
        <v>0</v>
      </c>
      <c r="BL54" s="43" t="n">
        <f aca="false">IF(Tasks[[#This Row],[_IsSummary]],COUNTIF(Tasks[WBS],Tasks[[#This Row],[WBS]]&amp;".*"),0)</f>
        <v>0</v>
      </c>
      <c r="BM54" s="43" t="n">
        <f aca="false">IF(AND(Tasks[[#This Row],[Task Name]]&lt;&gt;"",NOT(Tasks[[#This Row],[_IsSummary]])),1,0)</f>
        <v>0</v>
      </c>
      <c r="BN54" s="43" t="n">
        <f aca="false">IF(N(Tasks[[#This Row],[Pred1 UID]])=0,0,IFERROR(MATCH(Tasks[[#This Row],[Pred1 UID]],Tasks[UID],0),-1))</f>
        <v>0</v>
      </c>
      <c r="BO54" s="43" t="n">
        <f aca="false">IF(N(Tasks[[#This Row],[Pred2 UID]])=0,0,IFERROR(MATCH(Tasks[[#This Row],[Pred2 UID]],Tasks[UID],0),-1))</f>
        <v>0</v>
      </c>
      <c r="BP5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4" s="43" t="n">
        <f aca="false">IF(NOT(Tasks[[#This Row],[_IsLeaf]]=1),0,IF(N(Tasks[[#This Row],[Actual Finish]])&gt;0,1,MIN(1,N(Tasks[[#This Row],[% Complete]]))))</f>
        <v>0</v>
      </c>
      <c r="BU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4" s="43" t="n">
        <f aca="false">IF(Tasks[[#This Row],[_LeafWork]]=0,0,Tasks[[#This Row],[_LeafWork]]*IFERROR(INDEX(res_Rate,MATCH(Tasks[[#This Row],[Resource]],res_Name,0)),0))</f>
        <v>0</v>
      </c>
      <c r="BW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4" s="43" t="n">
        <f aca="false">IF(NOT(Tasks[[#This Row],[_IsLeaf]]=1),0,MAX(_xlfn.MAXIFS(Tasks[_Row],Tasks[Pred1 UID],Tasks[[#This Row],[UID]]),_xlfn.MAXIFS(Tasks[_Row],Tasks[Pred2 UID],Tasks[[#This Row],[UID]])))</f>
        <v>0</v>
      </c>
      <c r="CB5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4" s="67" t="str">
        <f aca="false">IF(NOT(Tasks[[#This Row],[_IsLeaf]]=1),"",MIN(ProjectFinish,IF(N(Tasks[[#This Row],[Deadline]])&gt;0,Tasks[[#This Row],[Deadline]],2958465),Tasks[[#This Row],[_SuccessorFinishLimit]]))</f>
        <v/>
      </c>
      <c r="CD5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4" s="66" t="b">
        <f aca="false">AND(Tasks[[#This Row],[_IsLeaf]]=1,Tasks[[#This Row],[_LeafProgress]]&lt;1,N(Tasks[[#This Row],[_LeafTotalSlack]])&lt;=CriticalSlackDays)</f>
        <v>0</v>
      </c>
      <c r="CG5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4" s="43" t="n">
        <f aca="false">IF(AND(Tasks[[#This Row],[_IsLeaf]]=1,Tasks[[#This Row],[_LeafWork]]&gt;0),NETWORKDAYS.INTL(ProjectStart,Tasks[[#This Row],[_LeafFcstStart]],WorkWeek,Holidays),0)</f>
        <v>0</v>
      </c>
      <c r="CP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4" s="43" t="n">
        <f aca="false">IF(AND(Tasks[[#This Row],[_IsLeaf]]=1,Tasks[[#This Row],[_LeafWork]]&gt;0),Tasks[[#This Row],[_LeafWork]]/(Tasks[[#This Row],[_FinishWorkday]]-Tasks[[#This Row],[_StartWorkday]]+1),0)</f>
        <v>0</v>
      </c>
      <c r="CR54" s="43" t="n">
        <f aca="false">Tasks[[#This Row],[_WorkPerWorkday]]*(Tasks[[#This Row],[_StartWorkday]]-1)</f>
        <v>-0</v>
      </c>
      <c r="CS54" s="43" t="n">
        <f aca="false">IF(Tasks[[#This Row],[_IsLeaf]]=1,MAX(N(Tasks[[#This Row],[Duration]]),0.1),0)</f>
        <v>0</v>
      </c>
      <c r="CT54" s="43" t="n">
        <f aca="false">Tasks[[#This Row],[_WeightDur]]*Tasks[[#This Row],[_LeafProgress]]</f>
        <v>0</v>
      </c>
      <c r="CU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4" s="43" t="str">
        <f aca="false">IF(AND(Tasks[[#This Row],[_IsLeaf]]=1,N(Tasks[[#This Row],[Duration]])=0,Tasks[[#This Row],[_LeafProgress]]&lt;1),Tasks[[#This Row],[_LeafFcstFinish]]+Tasks[[#This Row],[_Row]]/100000,"")</f>
        <v/>
      </c>
      <c r="DA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4" s="43" t="n">
        <f aca="false">IF(NOT(Tasks[[#This Row],[_IsLeaf]]=1),0,IF(Tasks[[#This Row],[Baseline Cost]]="",Tasks[[#This Row],[_LeafCost]],N(Tasks[[#This Row],[Baseline Cost]])))</f>
        <v>0</v>
      </c>
      <c r="DC54" s="43" t="n">
        <f aca="false">Tasks[[#This Row],[_LeafBudget]]*Tasks[[#This Row],[_PlannedPct]]</f>
        <v>0</v>
      </c>
      <c r="DD54" s="43" t="n">
        <f aca="false">Tasks[[#This Row],[_LeafBudget]]*Tasks[[#This Row],[_LeafProgress]]</f>
        <v>0</v>
      </c>
      <c r="DE54" s="43" t="n">
        <f aca="false">IF(NOT(Tasks[[#This Row],[_IsLeaf]]=1),0,IF(Tasks[[#This Row],[Actual Cost]]="",Tasks[[#This Row],[_LeafCost]]*Tasks[[#This Row],[_LeafProgress]],N(Tasks[[#This Row],[Actual Cost]])))</f>
        <v>0</v>
      </c>
      <c r="DF54" s="43" t="str">
        <f aca="false">IF(Tasks[[#This Row],[Task Name]]="","",LEFT(Tasks[[#This Row],[WBS]],FIND(".",Tasks[[#This Row],[WBS]]&amp;".")-1))</f>
        <v/>
      </c>
      <c r="DG54" s="43" t="str">
        <f aca="false">IF(AND(Tasks[[#This Row],[Task Name]]&lt;&gt;"",Tasks[[#This Row],[_Level]]=1),Tasks[[#This Row],[_Row]],"")</f>
        <v/>
      </c>
      <c r="DH54" s="43" t="str">
        <f aca="false">IF(AND(Tasks[[#This Row],[_IsLeaf]]=1,N(Tasks[[#This Row],[Duration]])=0),Tasks[[#This Row],[Planned Finish]]+Tasks[[#This Row],[_Row]]/100000,"")</f>
        <v/>
      </c>
      <c r="DI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4" s="43" t="str">
        <f aca="false">IF(Tasks[[#This Row],[_LeafCritical]],Tasks[[#This Row],[_LeafFcstStart]]+Tasks[[#This Row],[_Row]]/100000,"")</f>
        <v/>
      </c>
    </row>
    <row r="55" customFormat="false" ht="15" hidden="false" customHeight="false" outlineLevel="0" collapsed="false">
      <c r="A55" s="28" t="str">
        <f aca="false">IF(Tasks[[#This Row],[Task Name]]="","",COUNTA(Tasks[[#Headers],[Task Name]]:Tasks[[#This Row],[Task Name]])-1)</f>
        <v/>
      </c>
      <c r="B55" s="29" t="n">
        <v>50</v>
      </c>
      <c r="C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29"/>
      <c r="E55" s="30"/>
      <c r="F55" s="29"/>
      <c r="G55" s="29"/>
      <c r="H55" s="29"/>
      <c r="I55" s="29"/>
      <c r="J55" s="29"/>
      <c r="K55" s="29"/>
      <c r="L55" s="29"/>
      <c r="M55" s="29"/>
      <c r="N55" s="53"/>
      <c r="O55" s="53"/>
      <c r="P55" s="25" t="str">
        <f aca="false">IF(Tasks[[#This Row],[Task Name]]="","",IF(N(Tasks[[#This Row],[Baseline Start]])&gt;0,Tasks[[#This Row],[Baseline Start]],Tasks[[#This Row],[_CalcStart]]))</f>
        <v/>
      </c>
      <c r="Q55" s="25" t="str">
        <f aca="false">IF(Tasks[[#This Row],[Task Name]]="","",IF(N(Tasks[[#This Row],[Baseline Finish]])&gt;0,Tasks[[#This Row],[Baseline Finish]],Tasks[[#This Row],[_CalcFinish]]))</f>
        <v/>
      </c>
      <c r="R55" s="53"/>
      <c r="S55" s="53"/>
      <c r="T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55"/>
      <c r="AF5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30"/>
      <c r="AI55" s="55"/>
      <c r="AJ5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64"/>
      <c r="AM5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5" s="30"/>
      <c r="AP55" s="25" t="str">
        <f aca="false">IF(Tasks[[#This Row],[Task Name]]="","",Tasks[[#This Row],[Forecast Start]])</f>
        <v/>
      </c>
      <c r="AQ55" s="25" t="str">
        <f aca="false">IF(Tasks[[#This Row],[Task Name]]="","",Tasks[[#This Row],[Forecast Finish]])</f>
        <v/>
      </c>
      <c r="AR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5" s="62" t="str">
        <f aca="false">IF(Tasks[[#This Row],[Task Name]]="","",Tasks[[#This Row],[Work]])</f>
        <v/>
      </c>
      <c r="AT55" s="63" t="str">
        <f aca="false">IF(Tasks[[#This Row],[Task Name]]="","",Tasks[[#This Row],[Cost]])</f>
        <v/>
      </c>
      <c r="AU55" s="53"/>
      <c r="AV55" s="53"/>
      <c r="AW55" s="29"/>
      <c r="AX55" s="65"/>
      <c r="AY55" s="64"/>
      <c r="AZ55" s="28" t="str">
        <f aca="false">IF(OR(Tasks[[#This Row],[Task Name]]="",Tasks[[#This Row],[Baseline Duration]]=""),"",Tasks[[#This Row],[BL Source Duration]]-N(Tasks[[#This Row],[Baseline Duration]]))</f>
        <v/>
      </c>
      <c r="BA55" s="62" t="str">
        <f aca="false">IF(OR(Tasks[[#This Row],[Task Name]]="",Tasks[[#This Row],[Baseline Work]]=""),"",Tasks[[#This Row],[Work]]-N(Tasks[[#This Row],[Baseline Work]]))</f>
        <v/>
      </c>
      <c r="BB55" s="63" t="str">
        <f aca="false">IF(OR(Tasks[[#This Row],[Task Name]]="",Tasks[[#This Row],[Baseline Cost]]=""),"",Tasks[[#This Row],[Cost]]-N(Tasks[[#This Row],[Baseline Cost]]))</f>
        <v/>
      </c>
      <c r="BC5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5" s="43" t="str">
        <f aca="false">IF(Tasks[[#This Row],[Task Name]]="","",MAX(1,N(Tasks[[#This Row],[Level]])))</f>
        <v/>
      </c>
      <c r="BH55" s="43" t="n">
        <f aca="false">ROW()-ROW(Tasks[[#Headers],[ID]])</f>
        <v>50</v>
      </c>
      <c r="BI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5" s="43" t="n">
        <f aca="false">IFERROR(N(INDEX(Tasks[_Level],Tasks[[#This Row],[_Row]]+1)),0)</f>
        <v>0</v>
      </c>
      <c r="BK55" s="66" t="b">
        <f aca="false">AND(Tasks[[#This Row],[Task Name]]&lt;&gt;"",Tasks[[#This Row],[_NextLevel]]&gt;Tasks[[#This Row],[_Level]])</f>
        <v>0</v>
      </c>
      <c r="BL55" s="43" t="n">
        <f aca="false">IF(Tasks[[#This Row],[_IsSummary]],COUNTIF(Tasks[WBS],Tasks[[#This Row],[WBS]]&amp;".*"),0)</f>
        <v>0</v>
      </c>
      <c r="BM55" s="43" t="n">
        <f aca="false">IF(AND(Tasks[[#This Row],[Task Name]]&lt;&gt;"",NOT(Tasks[[#This Row],[_IsSummary]])),1,0)</f>
        <v>0</v>
      </c>
      <c r="BN55" s="43" t="n">
        <f aca="false">IF(N(Tasks[[#This Row],[Pred1 UID]])=0,0,IFERROR(MATCH(Tasks[[#This Row],[Pred1 UID]],Tasks[UID],0),-1))</f>
        <v>0</v>
      </c>
      <c r="BO55" s="43" t="n">
        <f aca="false">IF(N(Tasks[[#This Row],[Pred2 UID]])=0,0,IFERROR(MATCH(Tasks[[#This Row],[Pred2 UID]],Tasks[UID],0),-1))</f>
        <v>0</v>
      </c>
      <c r="BP5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5" s="43" t="n">
        <f aca="false">IF(NOT(Tasks[[#This Row],[_IsLeaf]]=1),0,IF(N(Tasks[[#This Row],[Actual Finish]])&gt;0,1,MIN(1,N(Tasks[[#This Row],[% Complete]]))))</f>
        <v>0</v>
      </c>
      <c r="BU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5" s="43" t="n">
        <f aca="false">IF(Tasks[[#This Row],[_LeafWork]]=0,0,Tasks[[#This Row],[_LeafWork]]*IFERROR(INDEX(res_Rate,MATCH(Tasks[[#This Row],[Resource]],res_Name,0)),0))</f>
        <v>0</v>
      </c>
      <c r="BW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5" s="43" t="n">
        <f aca="false">IF(NOT(Tasks[[#This Row],[_IsLeaf]]=1),0,MAX(_xlfn.MAXIFS(Tasks[_Row],Tasks[Pred1 UID],Tasks[[#This Row],[UID]]),_xlfn.MAXIFS(Tasks[_Row],Tasks[Pred2 UID],Tasks[[#This Row],[UID]])))</f>
        <v>0</v>
      </c>
      <c r="CB5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5" s="67" t="str">
        <f aca="false">IF(NOT(Tasks[[#This Row],[_IsLeaf]]=1),"",MIN(ProjectFinish,IF(N(Tasks[[#This Row],[Deadline]])&gt;0,Tasks[[#This Row],[Deadline]],2958465),Tasks[[#This Row],[_SuccessorFinishLimit]]))</f>
        <v/>
      </c>
      <c r="CD5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5" s="66" t="b">
        <f aca="false">AND(Tasks[[#This Row],[_IsLeaf]]=1,Tasks[[#This Row],[_LeafProgress]]&lt;1,N(Tasks[[#This Row],[_LeafTotalSlack]])&lt;=CriticalSlackDays)</f>
        <v>0</v>
      </c>
      <c r="CG5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5" s="43" t="n">
        <f aca="false">IF(AND(Tasks[[#This Row],[_IsLeaf]]=1,Tasks[[#This Row],[_LeafWork]]&gt;0),NETWORKDAYS.INTL(ProjectStart,Tasks[[#This Row],[_LeafFcstStart]],WorkWeek,Holidays),0)</f>
        <v>0</v>
      </c>
      <c r="CP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5" s="43" t="n">
        <f aca="false">IF(AND(Tasks[[#This Row],[_IsLeaf]]=1,Tasks[[#This Row],[_LeafWork]]&gt;0),Tasks[[#This Row],[_LeafWork]]/(Tasks[[#This Row],[_FinishWorkday]]-Tasks[[#This Row],[_StartWorkday]]+1),0)</f>
        <v>0</v>
      </c>
      <c r="CR55" s="43" t="n">
        <f aca="false">Tasks[[#This Row],[_WorkPerWorkday]]*(Tasks[[#This Row],[_StartWorkday]]-1)</f>
        <v>-0</v>
      </c>
      <c r="CS55" s="43" t="n">
        <f aca="false">IF(Tasks[[#This Row],[_IsLeaf]]=1,MAX(N(Tasks[[#This Row],[Duration]]),0.1),0)</f>
        <v>0</v>
      </c>
      <c r="CT55" s="43" t="n">
        <f aca="false">Tasks[[#This Row],[_WeightDur]]*Tasks[[#This Row],[_LeafProgress]]</f>
        <v>0</v>
      </c>
      <c r="CU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5" s="43" t="str">
        <f aca="false">IF(AND(Tasks[[#This Row],[_IsLeaf]]=1,N(Tasks[[#This Row],[Duration]])=0,Tasks[[#This Row],[_LeafProgress]]&lt;1),Tasks[[#This Row],[_LeafFcstFinish]]+Tasks[[#This Row],[_Row]]/100000,"")</f>
        <v/>
      </c>
      <c r="DA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5" s="43" t="n">
        <f aca="false">IF(NOT(Tasks[[#This Row],[_IsLeaf]]=1),0,IF(Tasks[[#This Row],[Baseline Cost]]="",Tasks[[#This Row],[_LeafCost]],N(Tasks[[#This Row],[Baseline Cost]])))</f>
        <v>0</v>
      </c>
      <c r="DC55" s="43" t="n">
        <f aca="false">Tasks[[#This Row],[_LeafBudget]]*Tasks[[#This Row],[_PlannedPct]]</f>
        <v>0</v>
      </c>
      <c r="DD55" s="43" t="n">
        <f aca="false">Tasks[[#This Row],[_LeafBudget]]*Tasks[[#This Row],[_LeafProgress]]</f>
        <v>0</v>
      </c>
      <c r="DE55" s="43" t="n">
        <f aca="false">IF(NOT(Tasks[[#This Row],[_IsLeaf]]=1),0,IF(Tasks[[#This Row],[Actual Cost]]="",Tasks[[#This Row],[_LeafCost]]*Tasks[[#This Row],[_LeafProgress]],N(Tasks[[#This Row],[Actual Cost]])))</f>
        <v>0</v>
      </c>
      <c r="DF55" s="43" t="str">
        <f aca="false">IF(Tasks[[#This Row],[Task Name]]="","",LEFT(Tasks[[#This Row],[WBS]],FIND(".",Tasks[[#This Row],[WBS]]&amp;".")-1))</f>
        <v/>
      </c>
      <c r="DG55" s="43" t="str">
        <f aca="false">IF(AND(Tasks[[#This Row],[Task Name]]&lt;&gt;"",Tasks[[#This Row],[_Level]]=1),Tasks[[#This Row],[_Row]],"")</f>
        <v/>
      </c>
      <c r="DH55" s="43" t="str">
        <f aca="false">IF(AND(Tasks[[#This Row],[_IsLeaf]]=1,N(Tasks[[#This Row],[Duration]])=0),Tasks[[#This Row],[Planned Finish]]+Tasks[[#This Row],[_Row]]/100000,"")</f>
        <v/>
      </c>
      <c r="DI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5" s="43" t="str">
        <f aca="false">IF(Tasks[[#This Row],[_LeafCritical]],Tasks[[#This Row],[_LeafFcstStart]]+Tasks[[#This Row],[_Row]]/100000,"")</f>
        <v/>
      </c>
    </row>
    <row r="56" customFormat="false" ht="15" hidden="false" customHeight="false" outlineLevel="0" collapsed="false">
      <c r="A56" s="28" t="str">
        <f aca="false">IF(Tasks[[#This Row],[Task Name]]="","",COUNTA(Tasks[[#Headers],[Task Name]]:Tasks[[#This Row],[Task Name]])-1)</f>
        <v/>
      </c>
      <c r="B56" s="29" t="n">
        <v>51</v>
      </c>
      <c r="C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53"/>
      <c r="O56" s="53"/>
      <c r="P56" s="25" t="str">
        <f aca="false">IF(Tasks[[#This Row],[Task Name]]="","",IF(N(Tasks[[#This Row],[Baseline Start]])&gt;0,Tasks[[#This Row],[Baseline Start]],Tasks[[#This Row],[_CalcStart]]))</f>
        <v/>
      </c>
      <c r="Q56" s="25" t="str">
        <f aca="false">IF(Tasks[[#This Row],[Task Name]]="","",IF(N(Tasks[[#This Row],[Baseline Finish]])&gt;0,Tasks[[#This Row],[Baseline Finish]],Tasks[[#This Row],[_CalcFinish]]))</f>
        <v/>
      </c>
      <c r="R56" s="53"/>
      <c r="S56" s="53"/>
      <c r="T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55"/>
      <c r="AF5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30"/>
      <c r="AI56" s="55"/>
      <c r="AJ5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64"/>
      <c r="AM5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6" s="30"/>
      <c r="AP56" s="25" t="str">
        <f aca="false">IF(Tasks[[#This Row],[Task Name]]="","",Tasks[[#This Row],[Forecast Start]])</f>
        <v/>
      </c>
      <c r="AQ56" s="25" t="str">
        <f aca="false">IF(Tasks[[#This Row],[Task Name]]="","",Tasks[[#This Row],[Forecast Finish]])</f>
        <v/>
      </c>
      <c r="AR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6" s="62" t="str">
        <f aca="false">IF(Tasks[[#This Row],[Task Name]]="","",Tasks[[#This Row],[Work]])</f>
        <v/>
      </c>
      <c r="AT56" s="63" t="str">
        <f aca="false">IF(Tasks[[#This Row],[Task Name]]="","",Tasks[[#This Row],[Cost]])</f>
        <v/>
      </c>
      <c r="AU56" s="53"/>
      <c r="AV56" s="53"/>
      <c r="AW56" s="29"/>
      <c r="AX56" s="65"/>
      <c r="AY56" s="64"/>
      <c r="AZ56" s="28" t="str">
        <f aca="false">IF(OR(Tasks[[#This Row],[Task Name]]="",Tasks[[#This Row],[Baseline Duration]]=""),"",Tasks[[#This Row],[BL Source Duration]]-N(Tasks[[#This Row],[Baseline Duration]]))</f>
        <v/>
      </c>
      <c r="BA56" s="62" t="str">
        <f aca="false">IF(OR(Tasks[[#This Row],[Task Name]]="",Tasks[[#This Row],[Baseline Work]]=""),"",Tasks[[#This Row],[Work]]-N(Tasks[[#This Row],[Baseline Work]]))</f>
        <v/>
      </c>
      <c r="BB56" s="63" t="str">
        <f aca="false">IF(OR(Tasks[[#This Row],[Task Name]]="",Tasks[[#This Row],[Baseline Cost]]=""),"",Tasks[[#This Row],[Cost]]-N(Tasks[[#This Row],[Baseline Cost]]))</f>
        <v/>
      </c>
      <c r="BC5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6" s="43" t="str">
        <f aca="false">IF(Tasks[[#This Row],[Task Name]]="","",MAX(1,N(Tasks[[#This Row],[Level]])))</f>
        <v/>
      </c>
      <c r="BH56" s="43" t="n">
        <f aca="false">ROW()-ROW(Tasks[[#Headers],[ID]])</f>
        <v>51</v>
      </c>
      <c r="BI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6" s="43" t="n">
        <f aca="false">IFERROR(N(INDEX(Tasks[_Level],Tasks[[#This Row],[_Row]]+1)),0)</f>
        <v>0</v>
      </c>
      <c r="BK56" s="66" t="b">
        <f aca="false">AND(Tasks[[#This Row],[Task Name]]&lt;&gt;"",Tasks[[#This Row],[_NextLevel]]&gt;Tasks[[#This Row],[_Level]])</f>
        <v>0</v>
      </c>
      <c r="BL56" s="43" t="n">
        <f aca="false">IF(Tasks[[#This Row],[_IsSummary]],COUNTIF(Tasks[WBS],Tasks[[#This Row],[WBS]]&amp;".*"),0)</f>
        <v>0</v>
      </c>
      <c r="BM56" s="43" t="n">
        <f aca="false">IF(AND(Tasks[[#This Row],[Task Name]]&lt;&gt;"",NOT(Tasks[[#This Row],[_IsSummary]])),1,0)</f>
        <v>0</v>
      </c>
      <c r="BN56" s="43" t="n">
        <f aca="false">IF(N(Tasks[[#This Row],[Pred1 UID]])=0,0,IFERROR(MATCH(Tasks[[#This Row],[Pred1 UID]],Tasks[UID],0),-1))</f>
        <v>0</v>
      </c>
      <c r="BO56" s="43" t="n">
        <f aca="false">IF(N(Tasks[[#This Row],[Pred2 UID]])=0,0,IFERROR(MATCH(Tasks[[#This Row],[Pred2 UID]],Tasks[UID],0),-1))</f>
        <v>0</v>
      </c>
      <c r="BP5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6" s="43" t="n">
        <f aca="false">IF(NOT(Tasks[[#This Row],[_IsLeaf]]=1),0,IF(N(Tasks[[#This Row],[Actual Finish]])&gt;0,1,MIN(1,N(Tasks[[#This Row],[% Complete]]))))</f>
        <v>0</v>
      </c>
      <c r="BU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6" s="43" t="n">
        <f aca="false">IF(Tasks[[#This Row],[_LeafWork]]=0,0,Tasks[[#This Row],[_LeafWork]]*IFERROR(INDEX(res_Rate,MATCH(Tasks[[#This Row],[Resource]],res_Name,0)),0))</f>
        <v>0</v>
      </c>
      <c r="BW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6" s="43" t="n">
        <f aca="false">IF(NOT(Tasks[[#This Row],[_IsLeaf]]=1),0,MAX(_xlfn.MAXIFS(Tasks[_Row],Tasks[Pred1 UID],Tasks[[#This Row],[UID]]),_xlfn.MAXIFS(Tasks[_Row],Tasks[Pred2 UID],Tasks[[#This Row],[UID]])))</f>
        <v>0</v>
      </c>
      <c r="CB5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6" s="67" t="str">
        <f aca="false">IF(NOT(Tasks[[#This Row],[_IsLeaf]]=1),"",MIN(ProjectFinish,IF(N(Tasks[[#This Row],[Deadline]])&gt;0,Tasks[[#This Row],[Deadline]],2958465),Tasks[[#This Row],[_SuccessorFinishLimit]]))</f>
        <v/>
      </c>
      <c r="CD5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6" s="66" t="b">
        <f aca="false">AND(Tasks[[#This Row],[_IsLeaf]]=1,Tasks[[#This Row],[_LeafProgress]]&lt;1,N(Tasks[[#This Row],[_LeafTotalSlack]])&lt;=CriticalSlackDays)</f>
        <v>0</v>
      </c>
      <c r="CG5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6" s="43" t="n">
        <f aca="false">IF(AND(Tasks[[#This Row],[_IsLeaf]]=1,Tasks[[#This Row],[_LeafWork]]&gt;0),NETWORKDAYS.INTL(ProjectStart,Tasks[[#This Row],[_LeafFcstStart]],WorkWeek,Holidays),0)</f>
        <v>0</v>
      </c>
      <c r="CP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6" s="43" t="n">
        <f aca="false">IF(AND(Tasks[[#This Row],[_IsLeaf]]=1,Tasks[[#This Row],[_LeafWork]]&gt;0),Tasks[[#This Row],[_LeafWork]]/(Tasks[[#This Row],[_FinishWorkday]]-Tasks[[#This Row],[_StartWorkday]]+1),0)</f>
        <v>0</v>
      </c>
      <c r="CR56" s="43" t="n">
        <f aca="false">Tasks[[#This Row],[_WorkPerWorkday]]*(Tasks[[#This Row],[_StartWorkday]]-1)</f>
        <v>-0</v>
      </c>
      <c r="CS56" s="43" t="n">
        <f aca="false">IF(Tasks[[#This Row],[_IsLeaf]]=1,MAX(N(Tasks[[#This Row],[Duration]]),0.1),0)</f>
        <v>0</v>
      </c>
      <c r="CT56" s="43" t="n">
        <f aca="false">Tasks[[#This Row],[_WeightDur]]*Tasks[[#This Row],[_LeafProgress]]</f>
        <v>0</v>
      </c>
      <c r="CU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6" s="43" t="str">
        <f aca="false">IF(AND(Tasks[[#This Row],[_IsLeaf]]=1,N(Tasks[[#This Row],[Duration]])=0,Tasks[[#This Row],[_LeafProgress]]&lt;1),Tasks[[#This Row],[_LeafFcstFinish]]+Tasks[[#This Row],[_Row]]/100000,"")</f>
        <v/>
      </c>
      <c r="DA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6" s="43" t="n">
        <f aca="false">IF(NOT(Tasks[[#This Row],[_IsLeaf]]=1),0,IF(Tasks[[#This Row],[Baseline Cost]]="",Tasks[[#This Row],[_LeafCost]],N(Tasks[[#This Row],[Baseline Cost]])))</f>
        <v>0</v>
      </c>
      <c r="DC56" s="43" t="n">
        <f aca="false">Tasks[[#This Row],[_LeafBudget]]*Tasks[[#This Row],[_PlannedPct]]</f>
        <v>0</v>
      </c>
      <c r="DD56" s="43" t="n">
        <f aca="false">Tasks[[#This Row],[_LeafBudget]]*Tasks[[#This Row],[_LeafProgress]]</f>
        <v>0</v>
      </c>
      <c r="DE56" s="43" t="n">
        <f aca="false">IF(NOT(Tasks[[#This Row],[_IsLeaf]]=1),0,IF(Tasks[[#This Row],[Actual Cost]]="",Tasks[[#This Row],[_LeafCost]]*Tasks[[#This Row],[_LeafProgress]],N(Tasks[[#This Row],[Actual Cost]])))</f>
        <v>0</v>
      </c>
      <c r="DF56" s="43" t="str">
        <f aca="false">IF(Tasks[[#This Row],[Task Name]]="","",LEFT(Tasks[[#This Row],[WBS]],FIND(".",Tasks[[#This Row],[WBS]]&amp;".")-1))</f>
        <v/>
      </c>
      <c r="DG56" s="43" t="str">
        <f aca="false">IF(AND(Tasks[[#This Row],[Task Name]]&lt;&gt;"",Tasks[[#This Row],[_Level]]=1),Tasks[[#This Row],[_Row]],"")</f>
        <v/>
      </c>
      <c r="DH56" s="43" t="str">
        <f aca="false">IF(AND(Tasks[[#This Row],[_IsLeaf]]=1,N(Tasks[[#This Row],[Duration]])=0),Tasks[[#This Row],[Planned Finish]]+Tasks[[#This Row],[_Row]]/100000,"")</f>
        <v/>
      </c>
      <c r="DI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6" s="43" t="str">
        <f aca="false">IF(Tasks[[#This Row],[_LeafCritical]],Tasks[[#This Row],[_LeafFcstStart]]+Tasks[[#This Row],[_Row]]/100000,"")</f>
        <v/>
      </c>
    </row>
    <row r="57" customFormat="false" ht="15" hidden="false" customHeight="false" outlineLevel="0" collapsed="false">
      <c r="A57" s="28" t="str">
        <f aca="false">IF(Tasks[[#This Row],[Task Name]]="","",COUNTA(Tasks[[#Headers],[Task Name]]:Tasks[[#This Row],[Task Name]])-1)</f>
        <v/>
      </c>
      <c r="B57" s="29" t="n">
        <v>52</v>
      </c>
      <c r="C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29"/>
      <c r="E57" s="30"/>
      <c r="F57" s="29"/>
      <c r="G57" s="29"/>
      <c r="H57" s="29"/>
      <c r="I57" s="29"/>
      <c r="J57" s="29"/>
      <c r="K57" s="29"/>
      <c r="L57" s="29"/>
      <c r="M57" s="29"/>
      <c r="N57" s="53"/>
      <c r="O57" s="53"/>
      <c r="P57" s="25" t="str">
        <f aca="false">IF(Tasks[[#This Row],[Task Name]]="","",IF(N(Tasks[[#This Row],[Baseline Start]])&gt;0,Tasks[[#This Row],[Baseline Start]],Tasks[[#This Row],[_CalcStart]]))</f>
        <v/>
      </c>
      <c r="Q57" s="25" t="str">
        <f aca="false">IF(Tasks[[#This Row],[Task Name]]="","",IF(N(Tasks[[#This Row],[Baseline Finish]])&gt;0,Tasks[[#This Row],[Baseline Finish]],Tasks[[#This Row],[_CalcFinish]]))</f>
        <v/>
      </c>
      <c r="R57" s="53"/>
      <c r="S57" s="53"/>
      <c r="T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55"/>
      <c r="AF5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30"/>
      <c r="AI57" s="55"/>
      <c r="AJ5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64"/>
      <c r="AM5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7" s="30"/>
      <c r="AP57" s="25" t="str">
        <f aca="false">IF(Tasks[[#This Row],[Task Name]]="","",Tasks[[#This Row],[Forecast Start]])</f>
        <v/>
      </c>
      <c r="AQ57" s="25" t="str">
        <f aca="false">IF(Tasks[[#This Row],[Task Name]]="","",Tasks[[#This Row],[Forecast Finish]])</f>
        <v/>
      </c>
      <c r="AR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7" s="62" t="str">
        <f aca="false">IF(Tasks[[#This Row],[Task Name]]="","",Tasks[[#This Row],[Work]])</f>
        <v/>
      </c>
      <c r="AT57" s="63" t="str">
        <f aca="false">IF(Tasks[[#This Row],[Task Name]]="","",Tasks[[#This Row],[Cost]])</f>
        <v/>
      </c>
      <c r="AU57" s="53"/>
      <c r="AV57" s="53"/>
      <c r="AW57" s="29"/>
      <c r="AX57" s="65"/>
      <c r="AY57" s="64"/>
      <c r="AZ57" s="28" t="str">
        <f aca="false">IF(OR(Tasks[[#This Row],[Task Name]]="",Tasks[[#This Row],[Baseline Duration]]=""),"",Tasks[[#This Row],[BL Source Duration]]-N(Tasks[[#This Row],[Baseline Duration]]))</f>
        <v/>
      </c>
      <c r="BA57" s="62" t="str">
        <f aca="false">IF(OR(Tasks[[#This Row],[Task Name]]="",Tasks[[#This Row],[Baseline Work]]=""),"",Tasks[[#This Row],[Work]]-N(Tasks[[#This Row],[Baseline Work]]))</f>
        <v/>
      </c>
      <c r="BB57" s="63" t="str">
        <f aca="false">IF(OR(Tasks[[#This Row],[Task Name]]="",Tasks[[#This Row],[Baseline Cost]]=""),"",Tasks[[#This Row],[Cost]]-N(Tasks[[#This Row],[Baseline Cost]]))</f>
        <v/>
      </c>
      <c r="BC5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7" s="43" t="str">
        <f aca="false">IF(Tasks[[#This Row],[Task Name]]="","",MAX(1,N(Tasks[[#This Row],[Level]])))</f>
        <v/>
      </c>
      <c r="BH57" s="43" t="n">
        <f aca="false">ROW()-ROW(Tasks[[#Headers],[ID]])</f>
        <v>52</v>
      </c>
      <c r="BI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7" s="43" t="n">
        <f aca="false">IFERROR(N(INDEX(Tasks[_Level],Tasks[[#This Row],[_Row]]+1)),0)</f>
        <v>0</v>
      </c>
      <c r="BK57" s="66" t="b">
        <f aca="false">AND(Tasks[[#This Row],[Task Name]]&lt;&gt;"",Tasks[[#This Row],[_NextLevel]]&gt;Tasks[[#This Row],[_Level]])</f>
        <v>0</v>
      </c>
      <c r="BL57" s="43" t="n">
        <f aca="false">IF(Tasks[[#This Row],[_IsSummary]],COUNTIF(Tasks[WBS],Tasks[[#This Row],[WBS]]&amp;".*"),0)</f>
        <v>0</v>
      </c>
      <c r="BM57" s="43" t="n">
        <f aca="false">IF(AND(Tasks[[#This Row],[Task Name]]&lt;&gt;"",NOT(Tasks[[#This Row],[_IsSummary]])),1,0)</f>
        <v>0</v>
      </c>
      <c r="BN57" s="43" t="n">
        <f aca="false">IF(N(Tasks[[#This Row],[Pred1 UID]])=0,0,IFERROR(MATCH(Tasks[[#This Row],[Pred1 UID]],Tasks[UID],0),-1))</f>
        <v>0</v>
      </c>
      <c r="BO57" s="43" t="n">
        <f aca="false">IF(N(Tasks[[#This Row],[Pred2 UID]])=0,0,IFERROR(MATCH(Tasks[[#This Row],[Pred2 UID]],Tasks[UID],0),-1))</f>
        <v>0</v>
      </c>
      <c r="BP5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7" s="43" t="n">
        <f aca="false">IF(NOT(Tasks[[#This Row],[_IsLeaf]]=1),0,IF(N(Tasks[[#This Row],[Actual Finish]])&gt;0,1,MIN(1,N(Tasks[[#This Row],[% Complete]]))))</f>
        <v>0</v>
      </c>
      <c r="BU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7" s="43" t="n">
        <f aca="false">IF(Tasks[[#This Row],[_LeafWork]]=0,0,Tasks[[#This Row],[_LeafWork]]*IFERROR(INDEX(res_Rate,MATCH(Tasks[[#This Row],[Resource]],res_Name,0)),0))</f>
        <v>0</v>
      </c>
      <c r="BW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7" s="43" t="n">
        <f aca="false">IF(NOT(Tasks[[#This Row],[_IsLeaf]]=1),0,MAX(_xlfn.MAXIFS(Tasks[_Row],Tasks[Pred1 UID],Tasks[[#This Row],[UID]]),_xlfn.MAXIFS(Tasks[_Row],Tasks[Pred2 UID],Tasks[[#This Row],[UID]])))</f>
        <v>0</v>
      </c>
      <c r="CB5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7" s="67" t="str">
        <f aca="false">IF(NOT(Tasks[[#This Row],[_IsLeaf]]=1),"",MIN(ProjectFinish,IF(N(Tasks[[#This Row],[Deadline]])&gt;0,Tasks[[#This Row],[Deadline]],2958465),Tasks[[#This Row],[_SuccessorFinishLimit]]))</f>
        <v/>
      </c>
      <c r="CD5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7" s="66" t="b">
        <f aca="false">AND(Tasks[[#This Row],[_IsLeaf]]=1,Tasks[[#This Row],[_LeafProgress]]&lt;1,N(Tasks[[#This Row],[_LeafTotalSlack]])&lt;=CriticalSlackDays)</f>
        <v>0</v>
      </c>
      <c r="CG5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7" s="43" t="n">
        <f aca="false">IF(AND(Tasks[[#This Row],[_IsLeaf]]=1,Tasks[[#This Row],[_LeafWork]]&gt;0),NETWORKDAYS.INTL(ProjectStart,Tasks[[#This Row],[_LeafFcstStart]],WorkWeek,Holidays),0)</f>
        <v>0</v>
      </c>
      <c r="CP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7" s="43" t="n">
        <f aca="false">IF(AND(Tasks[[#This Row],[_IsLeaf]]=1,Tasks[[#This Row],[_LeafWork]]&gt;0),Tasks[[#This Row],[_LeafWork]]/(Tasks[[#This Row],[_FinishWorkday]]-Tasks[[#This Row],[_StartWorkday]]+1),0)</f>
        <v>0</v>
      </c>
      <c r="CR57" s="43" t="n">
        <f aca="false">Tasks[[#This Row],[_WorkPerWorkday]]*(Tasks[[#This Row],[_StartWorkday]]-1)</f>
        <v>-0</v>
      </c>
      <c r="CS57" s="43" t="n">
        <f aca="false">IF(Tasks[[#This Row],[_IsLeaf]]=1,MAX(N(Tasks[[#This Row],[Duration]]),0.1),0)</f>
        <v>0</v>
      </c>
      <c r="CT57" s="43" t="n">
        <f aca="false">Tasks[[#This Row],[_WeightDur]]*Tasks[[#This Row],[_LeafProgress]]</f>
        <v>0</v>
      </c>
      <c r="CU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7" s="43" t="str">
        <f aca="false">IF(AND(Tasks[[#This Row],[_IsLeaf]]=1,N(Tasks[[#This Row],[Duration]])=0,Tasks[[#This Row],[_LeafProgress]]&lt;1),Tasks[[#This Row],[_LeafFcstFinish]]+Tasks[[#This Row],[_Row]]/100000,"")</f>
        <v/>
      </c>
      <c r="DA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7" s="43" t="n">
        <f aca="false">IF(NOT(Tasks[[#This Row],[_IsLeaf]]=1),0,IF(Tasks[[#This Row],[Baseline Cost]]="",Tasks[[#This Row],[_LeafCost]],N(Tasks[[#This Row],[Baseline Cost]])))</f>
        <v>0</v>
      </c>
      <c r="DC57" s="43" t="n">
        <f aca="false">Tasks[[#This Row],[_LeafBudget]]*Tasks[[#This Row],[_PlannedPct]]</f>
        <v>0</v>
      </c>
      <c r="DD57" s="43" t="n">
        <f aca="false">Tasks[[#This Row],[_LeafBudget]]*Tasks[[#This Row],[_LeafProgress]]</f>
        <v>0</v>
      </c>
      <c r="DE57" s="43" t="n">
        <f aca="false">IF(NOT(Tasks[[#This Row],[_IsLeaf]]=1),0,IF(Tasks[[#This Row],[Actual Cost]]="",Tasks[[#This Row],[_LeafCost]]*Tasks[[#This Row],[_LeafProgress]],N(Tasks[[#This Row],[Actual Cost]])))</f>
        <v>0</v>
      </c>
      <c r="DF57" s="43" t="str">
        <f aca="false">IF(Tasks[[#This Row],[Task Name]]="","",LEFT(Tasks[[#This Row],[WBS]],FIND(".",Tasks[[#This Row],[WBS]]&amp;".")-1))</f>
        <v/>
      </c>
      <c r="DG57" s="43" t="str">
        <f aca="false">IF(AND(Tasks[[#This Row],[Task Name]]&lt;&gt;"",Tasks[[#This Row],[_Level]]=1),Tasks[[#This Row],[_Row]],"")</f>
        <v/>
      </c>
      <c r="DH57" s="43" t="str">
        <f aca="false">IF(AND(Tasks[[#This Row],[_IsLeaf]]=1,N(Tasks[[#This Row],[Duration]])=0),Tasks[[#This Row],[Planned Finish]]+Tasks[[#This Row],[_Row]]/100000,"")</f>
        <v/>
      </c>
      <c r="DI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7" s="43" t="str">
        <f aca="false">IF(Tasks[[#This Row],[_LeafCritical]],Tasks[[#This Row],[_LeafFcstStart]]+Tasks[[#This Row],[_Row]]/100000,"")</f>
        <v/>
      </c>
    </row>
    <row r="58" customFormat="false" ht="15" hidden="false" customHeight="false" outlineLevel="0" collapsed="false">
      <c r="A58" s="28" t="str">
        <f aca="false">IF(Tasks[[#This Row],[Task Name]]="","",COUNTA(Tasks[[#Headers],[Task Name]]:Tasks[[#This Row],[Task Name]])-1)</f>
        <v/>
      </c>
      <c r="B58" s="29" t="n">
        <v>53</v>
      </c>
      <c r="C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53"/>
      <c r="O58" s="53"/>
      <c r="P58" s="25" t="str">
        <f aca="false">IF(Tasks[[#This Row],[Task Name]]="","",IF(N(Tasks[[#This Row],[Baseline Start]])&gt;0,Tasks[[#This Row],[Baseline Start]],Tasks[[#This Row],[_CalcStart]]))</f>
        <v/>
      </c>
      <c r="Q58" s="25" t="str">
        <f aca="false">IF(Tasks[[#This Row],[Task Name]]="","",IF(N(Tasks[[#This Row],[Baseline Finish]])&gt;0,Tasks[[#This Row],[Baseline Finish]],Tasks[[#This Row],[_CalcFinish]]))</f>
        <v/>
      </c>
      <c r="R58" s="53"/>
      <c r="S58" s="53"/>
      <c r="T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55"/>
      <c r="AF5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30"/>
      <c r="AI58" s="55"/>
      <c r="AJ5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64"/>
      <c r="AM5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8" s="30"/>
      <c r="AP58" s="25" t="str">
        <f aca="false">IF(Tasks[[#This Row],[Task Name]]="","",Tasks[[#This Row],[Forecast Start]])</f>
        <v/>
      </c>
      <c r="AQ58" s="25" t="str">
        <f aca="false">IF(Tasks[[#This Row],[Task Name]]="","",Tasks[[#This Row],[Forecast Finish]])</f>
        <v/>
      </c>
      <c r="AR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8" s="62" t="str">
        <f aca="false">IF(Tasks[[#This Row],[Task Name]]="","",Tasks[[#This Row],[Work]])</f>
        <v/>
      </c>
      <c r="AT58" s="63" t="str">
        <f aca="false">IF(Tasks[[#This Row],[Task Name]]="","",Tasks[[#This Row],[Cost]])</f>
        <v/>
      </c>
      <c r="AU58" s="53"/>
      <c r="AV58" s="53"/>
      <c r="AW58" s="29"/>
      <c r="AX58" s="65"/>
      <c r="AY58" s="64"/>
      <c r="AZ58" s="28" t="str">
        <f aca="false">IF(OR(Tasks[[#This Row],[Task Name]]="",Tasks[[#This Row],[Baseline Duration]]=""),"",Tasks[[#This Row],[BL Source Duration]]-N(Tasks[[#This Row],[Baseline Duration]]))</f>
        <v/>
      </c>
      <c r="BA58" s="62" t="str">
        <f aca="false">IF(OR(Tasks[[#This Row],[Task Name]]="",Tasks[[#This Row],[Baseline Work]]=""),"",Tasks[[#This Row],[Work]]-N(Tasks[[#This Row],[Baseline Work]]))</f>
        <v/>
      </c>
      <c r="BB58" s="63" t="str">
        <f aca="false">IF(OR(Tasks[[#This Row],[Task Name]]="",Tasks[[#This Row],[Baseline Cost]]=""),"",Tasks[[#This Row],[Cost]]-N(Tasks[[#This Row],[Baseline Cost]]))</f>
        <v/>
      </c>
      <c r="BC5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8" s="43" t="str">
        <f aca="false">IF(Tasks[[#This Row],[Task Name]]="","",MAX(1,N(Tasks[[#This Row],[Level]])))</f>
        <v/>
      </c>
      <c r="BH58" s="43" t="n">
        <f aca="false">ROW()-ROW(Tasks[[#Headers],[ID]])</f>
        <v>53</v>
      </c>
      <c r="BI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8" s="43" t="n">
        <f aca="false">IFERROR(N(INDEX(Tasks[_Level],Tasks[[#This Row],[_Row]]+1)),0)</f>
        <v>0</v>
      </c>
      <c r="BK58" s="66" t="b">
        <f aca="false">AND(Tasks[[#This Row],[Task Name]]&lt;&gt;"",Tasks[[#This Row],[_NextLevel]]&gt;Tasks[[#This Row],[_Level]])</f>
        <v>0</v>
      </c>
      <c r="BL58" s="43" t="n">
        <f aca="false">IF(Tasks[[#This Row],[_IsSummary]],COUNTIF(Tasks[WBS],Tasks[[#This Row],[WBS]]&amp;".*"),0)</f>
        <v>0</v>
      </c>
      <c r="BM58" s="43" t="n">
        <f aca="false">IF(AND(Tasks[[#This Row],[Task Name]]&lt;&gt;"",NOT(Tasks[[#This Row],[_IsSummary]])),1,0)</f>
        <v>0</v>
      </c>
      <c r="BN58" s="43" t="n">
        <f aca="false">IF(N(Tasks[[#This Row],[Pred1 UID]])=0,0,IFERROR(MATCH(Tasks[[#This Row],[Pred1 UID]],Tasks[UID],0),-1))</f>
        <v>0</v>
      </c>
      <c r="BO58" s="43" t="n">
        <f aca="false">IF(N(Tasks[[#This Row],[Pred2 UID]])=0,0,IFERROR(MATCH(Tasks[[#This Row],[Pred2 UID]],Tasks[UID],0),-1))</f>
        <v>0</v>
      </c>
      <c r="BP5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8" s="43" t="n">
        <f aca="false">IF(NOT(Tasks[[#This Row],[_IsLeaf]]=1),0,IF(N(Tasks[[#This Row],[Actual Finish]])&gt;0,1,MIN(1,N(Tasks[[#This Row],[% Complete]]))))</f>
        <v>0</v>
      </c>
      <c r="BU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8" s="43" t="n">
        <f aca="false">IF(Tasks[[#This Row],[_LeafWork]]=0,0,Tasks[[#This Row],[_LeafWork]]*IFERROR(INDEX(res_Rate,MATCH(Tasks[[#This Row],[Resource]],res_Name,0)),0))</f>
        <v>0</v>
      </c>
      <c r="BW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8" s="43" t="n">
        <f aca="false">IF(NOT(Tasks[[#This Row],[_IsLeaf]]=1),0,MAX(_xlfn.MAXIFS(Tasks[_Row],Tasks[Pred1 UID],Tasks[[#This Row],[UID]]),_xlfn.MAXIFS(Tasks[_Row],Tasks[Pred2 UID],Tasks[[#This Row],[UID]])))</f>
        <v>0</v>
      </c>
      <c r="CB5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8" s="67" t="str">
        <f aca="false">IF(NOT(Tasks[[#This Row],[_IsLeaf]]=1),"",MIN(ProjectFinish,IF(N(Tasks[[#This Row],[Deadline]])&gt;0,Tasks[[#This Row],[Deadline]],2958465),Tasks[[#This Row],[_SuccessorFinishLimit]]))</f>
        <v/>
      </c>
      <c r="CD5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8" s="66" t="b">
        <f aca="false">AND(Tasks[[#This Row],[_IsLeaf]]=1,Tasks[[#This Row],[_LeafProgress]]&lt;1,N(Tasks[[#This Row],[_LeafTotalSlack]])&lt;=CriticalSlackDays)</f>
        <v>0</v>
      </c>
      <c r="CG5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8" s="43" t="n">
        <f aca="false">IF(AND(Tasks[[#This Row],[_IsLeaf]]=1,Tasks[[#This Row],[_LeafWork]]&gt;0),NETWORKDAYS.INTL(ProjectStart,Tasks[[#This Row],[_LeafFcstStart]],WorkWeek,Holidays),0)</f>
        <v>0</v>
      </c>
      <c r="CP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8" s="43" t="n">
        <f aca="false">IF(AND(Tasks[[#This Row],[_IsLeaf]]=1,Tasks[[#This Row],[_LeafWork]]&gt;0),Tasks[[#This Row],[_LeafWork]]/(Tasks[[#This Row],[_FinishWorkday]]-Tasks[[#This Row],[_StartWorkday]]+1),0)</f>
        <v>0</v>
      </c>
      <c r="CR58" s="43" t="n">
        <f aca="false">Tasks[[#This Row],[_WorkPerWorkday]]*(Tasks[[#This Row],[_StartWorkday]]-1)</f>
        <v>-0</v>
      </c>
      <c r="CS58" s="43" t="n">
        <f aca="false">IF(Tasks[[#This Row],[_IsLeaf]]=1,MAX(N(Tasks[[#This Row],[Duration]]),0.1),0)</f>
        <v>0</v>
      </c>
      <c r="CT58" s="43" t="n">
        <f aca="false">Tasks[[#This Row],[_WeightDur]]*Tasks[[#This Row],[_LeafProgress]]</f>
        <v>0</v>
      </c>
      <c r="CU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8" s="43" t="str">
        <f aca="false">IF(AND(Tasks[[#This Row],[_IsLeaf]]=1,N(Tasks[[#This Row],[Duration]])=0,Tasks[[#This Row],[_LeafProgress]]&lt;1),Tasks[[#This Row],[_LeafFcstFinish]]+Tasks[[#This Row],[_Row]]/100000,"")</f>
        <v/>
      </c>
      <c r="DA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8" s="43" t="n">
        <f aca="false">IF(NOT(Tasks[[#This Row],[_IsLeaf]]=1),0,IF(Tasks[[#This Row],[Baseline Cost]]="",Tasks[[#This Row],[_LeafCost]],N(Tasks[[#This Row],[Baseline Cost]])))</f>
        <v>0</v>
      </c>
      <c r="DC58" s="43" t="n">
        <f aca="false">Tasks[[#This Row],[_LeafBudget]]*Tasks[[#This Row],[_PlannedPct]]</f>
        <v>0</v>
      </c>
      <c r="DD58" s="43" t="n">
        <f aca="false">Tasks[[#This Row],[_LeafBudget]]*Tasks[[#This Row],[_LeafProgress]]</f>
        <v>0</v>
      </c>
      <c r="DE58" s="43" t="n">
        <f aca="false">IF(NOT(Tasks[[#This Row],[_IsLeaf]]=1),0,IF(Tasks[[#This Row],[Actual Cost]]="",Tasks[[#This Row],[_LeafCost]]*Tasks[[#This Row],[_LeafProgress]],N(Tasks[[#This Row],[Actual Cost]])))</f>
        <v>0</v>
      </c>
      <c r="DF58" s="43" t="str">
        <f aca="false">IF(Tasks[[#This Row],[Task Name]]="","",LEFT(Tasks[[#This Row],[WBS]],FIND(".",Tasks[[#This Row],[WBS]]&amp;".")-1))</f>
        <v/>
      </c>
      <c r="DG58" s="43" t="str">
        <f aca="false">IF(AND(Tasks[[#This Row],[Task Name]]&lt;&gt;"",Tasks[[#This Row],[_Level]]=1),Tasks[[#This Row],[_Row]],"")</f>
        <v/>
      </c>
      <c r="DH58" s="43" t="str">
        <f aca="false">IF(AND(Tasks[[#This Row],[_IsLeaf]]=1,N(Tasks[[#This Row],[Duration]])=0),Tasks[[#This Row],[Planned Finish]]+Tasks[[#This Row],[_Row]]/100000,"")</f>
        <v/>
      </c>
      <c r="DI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8" s="43" t="str">
        <f aca="false">IF(Tasks[[#This Row],[_LeafCritical]],Tasks[[#This Row],[_LeafFcstStart]]+Tasks[[#This Row],[_Row]]/100000,"")</f>
        <v/>
      </c>
    </row>
    <row r="59" customFormat="false" ht="15" hidden="false" customHeight="false" outlineLevel="0" collapsed="false">
      <c r="A59" s="28" t="str">
        <f aca="false">IF(Tasks[[#This Row],[Task Name]]="","",COUNTA(Tasks[[#Headers],[Task Name]]:Tasks[[#This Row],[Task Name]])-1)</f>
        <v/>
      </c>
      <c r="B59" s="29" t="n">
        <v>54</v>
      </c>
      <c r="C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29"/>
      <c r="E59" s="30"/>
      <c r="F59" s="29"/>
      <c r="G59" s="29"/>
      <c r="H59" s="29"/>
      <c r="I59" s="29"/>
      <c r="J59" s="29"/>
      <c r="K59" s="29"/>
      <c r="L59" s="29"/>
      <c r="M59" s="29"/>
      <c r="N59" s="53"/>
      <c r="O59" s="53"/>
      <c r="P59" s="25" t="str">
        <f aca="false">IF(Tasks[[#This Row],[Task Name]]="","",IF(N(Tasks[[#This Row],[Baseline Start]])&gt;0,Tasks[[#This Row],[Baseline Start]],Tasks[[#This Row],[_CalcStart]]))</f>
        <v/>
      </c>
      <c r="Q59" s="25" t="str">
        <f aca="false">IF(Tasks[[#This Row],[Task Name]]="","",IF(N(Tasks[[#This Row],[Baseline Finish]])&gt;0,Tasks[[#This Row],[Baseline Finish]],Tasks[[#This Row],[_CalcFinish]]))</f>
        <v/>
      </c>
      <c r="R59" s="53"/>
      <c r="S59" s="53"/>
      <c r="T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55"/>
      <c r="AF5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30"/>
      <c r="AI59" s="55"/>
      <c r="AJ5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64"/>
      <c r="AM5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59" s="30"/>
      <c r="AP59" s="25" t="str">
        <f aca="false">IF(Tasks[[#This Row],[Task Name]]="","",Tasks[[#This Row],[Forecast Start]])</f>
        <v/>
      </c>
      <c r="AQ59" s="25" t="str">
        <f aca="false">IF(Tasks[[#This Row],[Task Name]]="","",Tasks[[#This Row],[Forecast Finish]])</f>
        <v/>
      </c>
      <c r="AR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59" s="62" t="str">
        <f aca="false">IF(Tasks[[#This Row],[Task Name]]="","",Tasks[[#This Row],[Work]])</f>
        <v/>
      </c>
      <c r="AT59" s="63" t="str">
        <f aca="false">IF(Tasks[[#This Row],[Task Name]]="","",Tasks[[#This Row],[Cost]])</f>
        <v/>
      </c>
      <c r="AU59" s="53"/>
      <c r="AV59" s="53"/>
      <c r="AW59" s="29"/>
      <c r="AX59" s="65"/>
      <c r="AY59" s="64"/>
      <c r="AZ59" s="28" t="str">
        <f aca="false">IF(OR(Tasks[[#This Row],[Task Name]]="",Tasks[[#This Row],[Baseline Duration]]=""),"",Tasks[[#This Row],[BL Source Duration]]-N(Tasks[[#This Row],[Baseline Duration]]))</f>
        <v/>
      </c>
      <c r="BA59" s="62" t="str">
        <f aca="false">IF(OR(Tasks[[#This Row],[Task Name]]="",Tasks[[#This Row],[Baseline Work]]=""),"",Tasks[[#This Row],[Work]]-N(Tasks[[#This Row],[Baseline Work]]))</f>
        <v/>
      </c>
      <c r="BB59" s="63" t="str">
        <f aca="false">IF(OR(Tasks[[#This Row],[Task Name]]="",Tasks[[#This Row],[Baseline Cost]]=""),"",Tasks[[#This Row],[Cost]]-N(Tasks[[#This Row],[Baseline Cost]]))</f>
        <v/>
      </c>
      <c r="BC5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5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5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5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59" s="43" t="str">
        <f aca="false">IF(Tasks[[#This Row],[Task Name]]="","",MAX(1,N(Tasks[[#This Row],[Level]])))</f>
        <v/>
      </c>
      <c r="BH59" s="43" t="n">
        <f aca="false">ROW()-ROW(Tasks[[#Headers],[ID]])</f>
        <v>54</v>
      </c>
      <c r="BI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59" s="43" t="n">
        <f aca="false">IFERROR(N(INDEX(Tasks[_Level],Tasks[[#This Row],[_Row]]+1)),0)</f>
        <v>0</v>
      </c>
      <c r="BK59" s="66" t="b">
        <f aca="false">AND(Tasks[[#This Row],[Task Name]]&lt;&gt;"",Tasks[[#This Row],[_NextLevel]]&gt;Tasks[[#This Row],[_Level]])</f>
        <v>0</v>
      </c>
      <c r="BL59" s="43" t="n">
        <f aca="false">IF(Tasks[[#This Row],[_IsSummary]],COUNTIF(Tasks[WBS],Tasks[[#This Row],[WBS]]&amp;".*"),0)</f>
        <v>0</v>
      </c>
      <c r="BM59" s="43" t="n">
        <f aca="false">IF(AND(Tasks[[#This Row],[Task Name]]&lt;&gt;"",NOT(Tasks[[#This Row],[_IsSummary]])),1,0)</f>
        <v>0</v>
      </c>
      <c r="BN59" s="43" t="n">
        <f aca="false">IF(N(Tasks[[#This Row],[Pred1 UID]])=0,0,IFERROR(MATCH(Tasks[[#This Row],[Pred1 UID]],Tasks[UID],0),-1))</f>
        <v>0</v>
      </c>
      <c r="BO59" s="43" t="n">
        <f aca="false">IF(N(Tasks[[#This Row],[Pred2 UID]])=0,0,IFERROR(MATCH(Tasks[[#This Row],[Pred2 UID]],Tasks[UID],0),-1))</f>
        <v>0</v>
      </c>
      <c r="BP5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5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5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5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59" s="43" t="n">
        <f aca="false">IF(NOT(Tasks[[#This Row],[_IsLeaf]]=1),0,IF(N(Tasks[[#This Row],[Actual Finish]])&gt;0,1,MIN(1,N(Tasks[[#This Row],[% Complete]]))))</f>
        <v>0</v>
      </c>
      <c r="BU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59" s="43" t="n">
        <f aca="false">IF(Tasks[[#This Row],[_LeafWork]]=0,0,Tasks[[#This Row],[_LeafWork]]*IFERROR(INDEX(res_Rate,MATCH(Tasks[[#This Row],[Resource]],res_Name,0)),0))</f>
        <v>0</v>
      </c>
      <c r="BW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59" s="43" t="n">
        <f aca="false">IF(NOT(Tasks[[#This Row],[_IsLeaf]]=1),0,MAX(_xlfn.MAXIFS(Tasks[_Row],Tasks[Pred1 UID],Tasks[[#This Row],[UID]]),_xlfn.MAXIFS(Tasks[_Row],Tasks[Pred2 UID],Tasks[[#This Row],[UID]])))</f>
        <v>0</v>
      </c>
      <c r="CB5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59" s="67" t="str">
        <f aca="false">IF(NOT(Tasks[[#This Row],[_IsLeaf]]=1),"",MIN(ProjectFinish,IF(N(Tasks[[#This Row],[Deadline]])&gt;0,Tasks[[#This Row],[Deadline]],2958465),Tasks[[#This Row],[_SuccessorFinishLimit]]))</f>
        <v/>
      </c>
      <c r="CD5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59" s="66" t="b">
        <f aca="false">AND(Tasks[[#This Row],[_IsLeaf]]=1,Tasks[[#This Row],[_LeafProgress]]&lt;1,N(Tasks[[#This Row],[_LeafTotalSlack]])&lt;=CriticalSlackDays)</f>
        <v>0</v>
      </c>
      <c r="CG5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5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5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5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5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5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59" s="43" t="n">
        <f aca="false">IF(AND(Tasks[[#This Row],[_IsLeaf]]=1,Tasks[[#This Row],[_LeafWork]]&gt;0),NETWORKDAYS.INTL(ProjectStart,Tasks[[#This Row],[_LeafFcstStart]],WorkWeek,Holidays),0)</f>
        <v>0</v>
      </c>
      <c r="CP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59" s="43" t="n">
        <f aca="false">IF(AND(Tasks[[#This Row],[_IsLeaf]]=1,Tasks[[#This Row],[_LeafWork]]&gt;0),Tasks[[#This Row],[_LeafWork]]/(Tasks[[#This Row],[_FinishWorkday]]-Tasks[[#This Row],[_StartWorkday]]+1),0)</f>
        <v>0</v>
      </c>
      <c r="CR59" s="43" t="n">
        <f aca="false">Tasks[[#This Row],[_WorkPerWorkday]]*(Tasks[[#This Row],[_StartWorkday]]-1)</f>
        <v>-0</v>
      </c>
      <c r="CS59" s="43" t="n">
        <f aca="false">IF(Tasks[[#This Row],[_IsLeaf]]=1,MAX(N(Tasks[[#This Row],[Duration]]),0.1),0)</f>
        <v>0</v>
      </c>
      <c r="CT59" s="43" t="n">
        <f aca="false">Tasks[[#This Row],[_WeightDur]]*Tasks[[#This Row],[_LeafProgress]]</f>
        <v>0</v>
      </c>
      <c r="CU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59" s="43" t="str">
        <f aca="false">IF(AND(Tasks[[#This Row],[_IsLeaf]]=1,N(Tasks[[#This Row],[Duration]])=0,Tasks[[#This Row],[_LeafProgress]]&lt;1),Tasks[[#This Row],[_LeafFcstFinish]]+Tasks[[#This Row],[_Row]]/100000,"")</f>
        <v/>
      </c>
      <c r="DA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59" s="43" t="n">
        <f aca="false">IF(NOT(Tasks[[#This Row],[_IsLeaf]]=1),0,IF(Tasks[[#This Row],[Baseline Cost]]="",Tasks[[#This Row],[_LeafCost]],N(Tasks[[#This Row],[Baseline Cost]])))</f>
        <v>0</v>
      </c>
      <c r="DC59" s="43" t="n">
        <f aca="false">Tasks[[#This Row],[_LeafBudget]]*Tasks[[#This Row],[_PlannedPct]]</f>
        <v>0</v>
      </c>
      <c r="DD59" s="43" t="n">
        <f aca="false">Tasks[[#This Row],[_LeafBudget]]*Tasks[[#This Row],[_LeafProgress]]</f>
        <v>0</v>
      </c>
      <c r="DE59" s="43" t="n">
        <f aca="false">IF(NOT(Tasks[[#This Row],[_IsLeaf]]=1),0,IF(Tasks[[#This Row],[Actual Cost]]="",Tasks[[#This Row],[_LeafCost]]*Tasks[[#This Row],[_LeafProgress]],N(Tasks[[#This Row],[Actual Cost]])))</f>
        <v>0</v>
      </c>
      <c r="DF59" s="43" t="str">
        <f aca="false">IF(Tasks[[#This Row],[Task Name]]="","",LEFT(Tasks[[#This Row],[WBS]],FIND(".",Tasks[[#This Row],[WBS]]&amp;".")-1))</f>
        <v/>
      </c>
      <c r="DG59" s="43" t="str">
        <f aca="false">IF(AND(Tasks[[#This Row],[Task Name]]&lt;&gt;"",Tasks[[#This Row],[_Level]]=1),Tasks[[#This Row],[_Row]],"")</f>
        <v/>
      </c>
      <c r="DH59" s="43" t="str">
        <f aca="false">IF(AND(Tasks[[#This Row],[_IsLeaf]]=1,N(Tasks[[#This Row],[Duration]])=0),Tasks[[#This Row],[Planned Finish]]+Tasks[[#This Row],[_Row]]/100000,"")</f>
        <v/>
      </c>
      <c r="DI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59" s="43" t="str">
        <f aca="false">IF(Tasks[[#This Row],[_LeafCritical]],Tasks[[#This Row],[_LeafFcstStart]]+Tasks[[#This Row],[_Row]]/100000,"")</f>
        <v/>
      </c>
    </row>
    <row r="60" customFormat="false" ht="15" hidden="false" customHeight="false" outlineLevel="0" collapsed="false">
      <c r="A60" s="28" t="str">
        <f aca="false">IF(Tasks[[#This Row],[Task Name]]="","",COUNTA(Tasks[[#Headers],[Task Name]]:Tasks[[#This Row],[Task Name]])-1)</f>
        <v/>
      </c>
      <c r="B60" s="29" t="n">
        <v>55</v>
      </c>
      <c r="C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29"/>
      <c r="E60" s="30"/>
      <c r="F60" s="29"/>
      <c r="G60" s="29"/>
      <c r="H60" s="29"/>
      <c r="I60" s="29"/>
      <c r="J60" s="29"/>
      <c r="K60" s="29"/>
      <c r="L60" s="29"/>
      <c r="M60" s="29"/>
      <c r="N60" s="53"/>
      <c r="O60" s="53"/>
      <c r="P60" s="25" t="str">
        <f aca="false">IF(Tasks[[#This Row],[Task Name]]="","",IF(N(Tasks[[#This Row],[Baseline Start]])&gt;0,Tasks[[#This Row],[Baseline Start]],Tasks[[#This Row],[_CalcStart]]))</f>
        <v/>
      </c>
      <c r="Q60" s="25" t="str">
        <f aca="false">IF(Tasks[[#This Row],[Task Name]]="","",IF(N(Tasks[[#This Row],[Baseline Finish]])&gt;0,Tasks[[#This Row],[Baseline Finish]],Tasks[[#This Row],[_CalcFinish]]))</f>
        <v/>
      </c>
      <c r="R60" s="53"/>
      <c r="S60" s="53"/>
      <c r="T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55"/>
      <c r="AF6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30"/>
      <c r="AI60" s="55"/>
      <c r="AJ6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64"/>
      <c r="AM6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0" s="30"/>
      <c r="AP60" s="25" t="str">
        <f aca="false">IF(Tasks[[#This Row],[Task Name]]="","",Tasks[[#This Row],[Forecast Start]])</f>
        <v/>
      </c>
      <c r="AQ60" s="25" t="str">
        <f aca="false">IF(Tasks[[#This Row],[Task Name]]="","",Tasks[[#This Row],[Forecast Finish]])</f>
        <v/>
      </c>
      <c r="AR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0" s="62" t="str">
        <f aca="false">IF(Tasks[[#This Row],[Task Name]]="","",Tasks[[#This Row],[Work]])</f>
        <v/>
      </c>
      <c r="AT60" s="63" t="str">
        <f aca="false">IF(Tasks[[#This Row],[Task Name]]="","",Tasks[[#This Row],[Cost]])</f>
        <v/>
      </c>
      <c r="AU60" s="53"/>
      <c r="AV60" s="53"/>
      <c r="AW60" s="29"/>
      <c r="AX60" s="65"/>
      <c r="AY60" s="64"/>
      <c r="AZ60" s="28" t="str">
        <f aca="false">IF(OR(Tasks[[#This Row],[Task Name]]="",Tasks[[#This Row],[Baseline Duration]]=""),"",Tasks[[#This Row],[BL Source Duration]]-N(Tasks[[#This Row],[Baseline Duration]]))</f>
        <v/>
      </c>
      <c r="BA60" s="62" t="str">
        <f aca="false">IF(OR(Tasks[[#This Row],[Task Name]]="",Tasks[[#This Row],[Baseline Work]]=""),"",Tasks[[#This Row],[Work]]-N(Tasks[[#This Row],[Baseline Work]]))</f>
        <v/>
      </c>
      <c r="BB60" s="63" t="str">
        <f aca="false">IF(OR(Tasks[[#This Row],[Task Name]]="",Tasks[[#This Row],[Baseline Cost]]=""),"",Tasks[[#This Row],[Cost]]-N(Tasks[[#This Row],[Baseline Cost]]))</f>
        <v/>
      </c>
      <c r="BC6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0" s="43" t="str">
        <f aca="false">IF(Tasks[[#This Row],[Task Name]]="","",MAX(1,N(Tasks[[#This Row],[Level]])))</f>
        <v/>
      </c>
      <c r="BH60" s="43" t="n">
        <f aca="false">ROW()-ROW(Tasks[[#Headers],[ID]])</f>
        <v>55</v>
      </c>
      <c r="BI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0" s="43" t="n">
        <f aca="false">IFERROR(N(INDEX(Tasks[_Level],Tasks[[#This Row],[_Row]]+1)),0)</f>
        <v>0</v>
      </c>
      <c r="BK60" s="66" t="b">
        <f aca="false">AND(Tasks[[#This Row],[Task Name]]&lt;&gt;"",Tasks[[#This Row],[_NextLevel]]&gt;Tasks[[#This Row],[_Level]])</f>
        <v>0</v>
      </c>
      <c r="BL60" s="43" t="n">
        <f aca="false">IF(Tasks[[#This Row],[_IsSummary]],COUNTIF(Tasks[WBS],Tasks[[#This Row],[WBS]]&amp;".*"),0)</f>
        <v>0</v>
      </c>
      <c r="BM60" s="43" t="n">
        <f aca="false">IF(AND(Tasks[[#This Row],[Task Name]]&lt;&gt;"",NOT(Tasks[[#This Row],[_IsSummary]])),1,0)</f>
        <v>0</v>
      </c>
      <c r="BN60" s="43" t="n">
        <f aca="false">IF(N(Tasks[[#This Row],[Pred1 UID]])=0,0,IFERROR(MATCH(Tasks[[#This Row],[Pred1 UID]],Tasks[UID],0),-1))</f>
        <v>0</v>
      </c>
      <c r="BO60" s="43" t="n">
        <f aca="false">IF(N(Tasks[[#This Row],[Pred2 UID]])=0,0,IFERROR(MATCH(Tasks[[#This Row],[Pred2 UID]],Tasks[UID],0),-1))</f>
        <v>0</v>
      </c>
      <c r="BP6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0" s="43" t="n">
        <f aca="false">IF(NOT(Tasks[[#This Row],[_IsLeaf]]=1),0,IF(N(Tasks[[#This Row],[Actual Finish]])&gt;0,1,MIN(1,N(Tasks[[#This Row],[% Complete]]))))</f>
        <v>0</v>
      </c>
      <c r="BU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0" s="43" t="n">
        <f aca="false">IF(Tasks[[#This Row],[_LeafWork]]=0,0,Tasks[[#This Row],[_LeafWork]]*IFERROR(INDEX(res_Rate,MATCH(Tasks[[#This Row],[Resource]],res_Name,0)),0))</f>
        <v>0</v>
      </c>
      <c r="BW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0" s="43" t="n">
        <f aca="false">IF(NOT(Tasks[[#This Row],[_IsLeaf]]=1),0,MAX(_xlfn.MAXIFS(Tasks[_Row],Tasks[Pred1 UID],Tasks[[#This Row],[UID]]),_xlfn.MAXIFS(Tasks[_Row],Tasks[Pred2 UID],Tasks[[#This Row],[UID]])))</f>
        <v>0</v>
      </c>
      <c r="CB6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0" s="67" t="str">
        <f aca="false">IF(NOT(Tasks[[#This Row],[_IsLeaf]]=1),"",MIN(ProjectFinish,IF(N(Tasks[[#This Row],[Deadline]])&gt;0,Tasks[[#This Row],[Deadline]],2958465),Tasks[[#This Row],[_SuccessorFinishLimit]]))</f>
        <v/>
      </c>
      <c r="CD6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0" s="66" t="b">
        <f aca="false">AND(Tasks[[#This Row],[_IsLeaf]]=1,Tasks[[#This Row],[_LeafProgress]]&lt;1,N(Tasks[[#This Row],[_LeafTotalSlack]])&lt;=CriticalSlackDays)</f>
        <v>0</v>
      </c>
      <c r="CG6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0" s="43" t="n">
        <f aca="false">IF(AND(Tasks[[#This Row],[_IsLeaf]]=1,Tasks[[#This Row],[_LeafWork]]&gt;0),NETWORKDAYS.INTL(ProjectStart,Tasks[[#This Row],[_LeafFcstStart]],WorkWeek,Holidays),0)</f>
        <v>0</v>
      </c>
      <c r="CP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0" s="43" t="n">
        <f aca="false">IF(AND(Tasks[[#This Row],[_IsLeaf]]=1,Tasks[[#This Row],[_LeafWork]]&gt;0),Tasks[[#This Row],[_LeafWork]]/(Tasks[[#This Row],[_FinishWorkday]]-Tasks[[#This Row],[_StartWorkday]]+1),0)</f>
        <v>0</v>
      </c>
      <c r="CR60" s="43" t="n">
        <f aca="false">Tasks[[#This Row],[_WorkPerWorkday]]*(Tasks[[#This Row],[_StartWorkday]]-1)</f>
        <v>-0</v>
      </c>
      <c r="CS60" s="43" t="n">
        <f aca="false">IF(Tasks[[#This Row],[_IsLeaf]]=1,MAX(N(Tasks[[#This Row],[Duration]]),0.1),0)</f>
        <v>0</v>
      </c>
      <c r="CT60" s="43" t="n">
        <f aca="false">Tasks[[#This Row],[_WeightDur]]*Tasks[[#This Row],[_LeafProgress]]</f>
        <v>0</v>
      </c>
      <c r="CU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0" s="43" t="str">
        <f aca="false">IF(AND(Tasks[[#This Row],[_IsLeaf]]=1,N(Tasks[[#This Row],[Duration]])=0,Tasks[[#This Row],[_LeafProgress]]&lt;1),Tasks[[#This Row],[_LeafFcstFinish]]+Tasks[[#This Row],[_Row]]/100000,"")</f>
        <v/>
      </c>
      <c r="DA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0" s="43" t="n">
        <f aca="false">IF(NOT(Tasks[[#This Row],[_IsLeaf]]=1),0,IF(Tasks[[#This Row],[Baseline Cost]]="",Tasks[[#This Row],[_LeafCost]],N(Tasks[[#This Row],[Baseline Cost]])))</f>
        <v>0</v>
      </c>
      <c r="DC60" s="43" t="n">
        <f aca="false">Tasks[[#This Row],[_LeafBudget]]*Tasks[[#This Row],[_PlannedPct]]</f>
        <v>0</v>
      </c>
      <c r="DD60" s="43" t="n">
        <f aca="false">Tasks[[#This Row],[_LeafBudget]]*Tasks[[#This Row],[_LeafProgress]]</f>
        <v>0</v>
      </c>
      <c r="DE60" s="43" t="n">
        <f aca="false">IF(NOT(Tasks[[#This Row],[_IsLeaf]]=1),0,IF(Tasks[[#This Row],[Actual Cost]]="",Tasks[[#This Row],[_LeafCost]]*Tasks[[#This Row],[_LeafProgress]],N(Tasks[[#This Row],[Actual Cost]])))</f>
        <v>0</v>
      </c>
      <c r="DF60" s="43" t="str">
        <f aca="false">IF(Tasks[[#This Row],[Task Name]]="","",LEFT(Tasks[[#This Row],[WBS]],FIND(".",Tasks[[#This Row],[WBS]]&amp;".")-1))</f>
        <v/>
      </c>
      <c r="DG60" s="43" t="str">
        <f aca="false">IF(AND(Tasks[[#This Row],[Task Name]]&lt;&gt;"",Tasks[[#This Row],[_Level]]=1),Tasks[[#This Row],[_Row]],"")</f>
        <v/>
      </c>
      <c r="DH60" s="43" t="str">
        <f aca="false">IF(AND(Tasks[[#This Row],[_IsLeaf]]=1,N(Tasks[[#This Row],[Duration]])=0),Tasks[[#This Row],[Planned Finish]]+Tasks[[#This Row],[_Row]]/100000,"")</f>
        <v/>
      </c>
      <c r="DI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0" s="43" t="str">
        <f aca="false">IF(Tasks[[#This Row],[_LeafCritical]],Tasks[[#This Row],[_LeafFcstStart]]+Tasks[[#This Row],[_Row]]/100000,"")</f>
        <v/>
      </c>
    </row>
    <row r="61" customFormat="false" ht="15" hidden="false" customHeight="false" outlineLevel="0" collapsed="false">
      <c r="A61" s="28" t="str">
        <f aca="false">IF(Tasks[[#This Row],[Task Name]]="","",COUNTA(Tasks[[#Headers],[Task Name]]:Tasks[[#This Row],[Task Name]])-1)</f>
        <v/>
      </c>
      <c r="B61" s="29" t="n">
        <v>56</v>
      </c>
      <c r="C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29"/>
      <c r="E61" s="30"/>
      <c r="F61" s="29"/>
      <c r="G61" s="29"/>
      <c r="H61" s="29"/>
      <c r="I61" s="29"/>
      <c r="J61" s="29"/>
      <c r="K61" s="29"/>
      <c r="L61" s="29"/>
      <c r="M61" s="29"/>
      <c r="N61" s="53"/>
      <c r="O61" s="53"/>
      <c r="P61" s="25" t="str">
        <f aca="false">IF(Tasks[[#This Row],[Task Name]]="","",IF(N(Tasks[[#This Row],[Baseline Start]])&gt;0,Tasks[[#This Row],[Baseline Start]],Tasks[[#This Row],[_CalcStart]]))</f>
        <v/>
      </c>
      <c r="Q61" s="25" t="str">
        <f aca="false">IF(Tasks[[#This Row],[Task Name]]="","",IF(N(Tasks[[#This Row],[Baseline Finish]])&gt;0,Tasks[[#This Row],[Baseline Finish]],Tasks[[#This Row],[_CalcFinish]]))</f>
        <v/>
      </c>
      <c r="R61" s="53"/>
      <c r="S61" s="53"/>
      <c r="T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55"/>
      <c r="AF6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30"/>
      <c r="AI61" s="55"/>
      <c r="AJ6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64"/>
      <c r="AM6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1" s="30"/>
      <c r="AP61" s="25" t="str">
        <f aca="false">IF(Tasks[[#This Row],[Task Name]]="","",Tasks[[#This Row],[Forecast Start]])</f>
        <v/>
      </c>
      <c r="AQ61" s="25" t="str">
        <f aca="false">IF(Tasks[[#This Row],[Task Name]]="","",Tasks[[#This Row],[Forecast Finish]])</f>
        <v/>
      </c>
      <c r="AR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1" s="62" t="str">
        <f aca="false">IF(Tasks[[#This Row],[Task Name]]="","",Tasks[[#This Row],[Work]])</f>
        <v/>
      </c>
      <c r="AT61" s="63" t="str">
        <f aca="false">IF(Tasks[[#This Row],[Task Name]]="","",Tasks[[#This Row],[Cost]])</f>
        <v/>
      </c>
      <c r="AU61" s="53"/>
      <c r="AV61" s="53"/>
      <c r="AW61" s="29"/>
      <c r="AX61" s="65"/>
      <c r="AY61" s="64"/>
      <c r="AZ61" s="28" t="str">
        <f aca="false">IF(OR(Tasks[[#This Row],[Task Name]]="",Tasks[[#This Row],[Baseline Duration]]=""),"",Tasks[[#This Row],[BL Source Duration]]-N(Tasks[[#This Row],[Baseline Duration]]))</f>
        <v/>
      </c>
      <c r="BA61" s="62" t="str">
        <f aca="false">IF(OR(Tasks[[#This Row],[Task Name]]="",Tasks[[#This Row],[Baseline Work]]=""),"",Tasks[[#This Row],[Work]]-N(Tasks[[#This Row],[Baseline Work]]))</f>
        <v/>
      </c>
      <c r="BB61" s="63" t="str">
        <f aca="false">IF(OR(Tasks[[#This Row],[Task Name]]="",Tasks[[#This Row],[Baseline Cost]]=""),"",Tasks[[#This Row],[Cost]]-N(Tasks[[#This Row],[Baseline Cost]]))</f>
        <v/>
      </c>
      <c r="BC6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1" s="43" t="str">
        <f aca="false">IF(Tasks[[#This Row],[Task Name]]="","",MAX(1,N(Tasks[[#This Row],[Level]])))</f>
        <v/>
      </c>
      <c r="BH61" s="43" t="n">
        <f aca="false">ROW()-ROW(Tasks[[#Headers],[ID]])</f>
        <v>56</v>
      </c>
      <c r="BI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1" s="43" t="n">
        <f aca="false">IFERROR(N(INDEX(Tasks[_Level],Tasks[[#This Row],[_Row]]+1)),0)</f>
        <v>0</v>
      </c>
      <c r="BK61" s="66" t="b">
        <f aca="false">AND(Tasks[[#This Row],[Task Name]]&lt;&gt;"",Tasks[[#This Row],[_NextLevel]]&gt;Tasks[[#This Row],[_Level]])</f>
        <v>0</v>
      </c>
      <c r="BL61" s="43" t="n">
        <f aca="false">IF(Tasks[[#This Row],[_IsSummary]],COUNTIF(Tasks[WBS],Tasks[[#This Row],[WBS]]&amp;".*"),0)</f>
        <v>0</v>
      </c>
      <c r="BM61" s="43" t="n">
        <f aca="false">IF(AND(Tasks[[#This Row],[Task Name]]&lt;&gt;"",NOT(Tasks[[#This Row],[_IsSummary]])),1,0)</f>
        <v>0</v>
      </c>
      <c r="BN61" s="43" t="n">
        <f aca="false">IF(N(Tasks[[#This Row],[Pred1 UID]])=0,0,IFERROR(MATCH(Tasks[[#This Row],[Pred1 UID]],Tasks[UID],0),-1))</f>
        <v>0</v>
      </c>
      <c r="BO61" s="43" t="n">
        <f aca="false">IF(N(Tasks[[#This Row],[Pred2 UID]])=0,0,IFERROR(MATCH(Tasks[[#This Row],[Pred2 UID]],Tasks[UID],0),-1))</f>
        <v>0</v>
      </c>
      <c r="BP6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1" s="43" t="n">
        <f aca="false">IF(NOT(Tasks[[#This Row],[_IsLeaf]]=1),0,IF(N(Tasks[[#This Row],[Actual Finish]])&gt;0,1,MIN(1,N(Tasks[[#This Row],[% Complete]]))))</f>
        <v>0</v>
      </c>
      <c r="BU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1" s="43" t="n">
        <f aca="false">IF(Tasks[[#This Row],[_LeafWork]]=0,0,Tasks[[#This Row],[_LeafWork]]*IFERROR(INDEX(res_Rate,MATCH(Tasks[[#This Row],[Resource]],res_Name,0)),0))</f>
        <v>0</v>
      </c>
      <c r="BW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1" s="43" t="n">
        <f aca="false">IF(NOT(Tasks[[#This Row],[_IsLeaf]]=1),0,MAX(_xlfn.MAXIFS(Tasks[_Row],Tasks[Pred1 UID],Tasks[[#This Row],[UID]]),_xlfn.MAXIFS(Tasks[_Row],Tasks[Pred2 UID],Tasks[[#This Row],[UID]])))</f>
        <v>0</v>
      </c>
      <c r="CB6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1" s="67" t="str">
        <f aca="false">IF(NOT(Tasks[[#This Row],[_IsLeaf]]=1),"",MIN(ProjectFinish,IF(N(Tasks[[#This Row],[Deadline]])&gt;0,Tasks[[#This Row],[Deadline]],2958465),Tasks[[#This Row],[_SuccessorFinishLimit]]))</f>
        <v/>
      </c>
      <c r="CD6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1" s="66" t="b">
        <f aca="false">AND(Tasks[[#This Row],[_IsLeaf]]=1,Tasks[[#This Row],[_LeafProgress]]&lt;1,N(Tasks[[#This Row],[_LeafTotalSlack]])&lt;=CriticalSlackDays)</f>
        <v>0</v>
      </c>
      <c r="CG6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1" s="43" t="n">
        <f aca="false">IF(AND(Tasks[[#This Row],[_IsLeaf]]=1,Tasks[[#This Row],[_LeafWork]]&gt;0),NETWORKDAYS.INTL(ProjectStart,Tasks[[#This Row],[_LeafFcstStart]],WorkWeek,Holidays),0)</f>
        <v>0</v>
      </c>
      <c r="CP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1" s="43" t="n">
        <f aca="false">IF(AND(Tasks[[#This Row],[_IsLeaf]]=1,Tasks[[#This Row],[_LeafWork]]&gt;0),Tasks[[#This Row],[_LeafWork]]/(Tasks[[#This Row],[_FinishWorkday]]-Tasks[[#This Row],[_StartWorkday]]+1),0)</f>
        <v>0</v>
      </c>
      <c r="CR61" s="43" t="n">
        <f aca="false">Tasks[[#This Row],[_WorkPerWorkday]]*(Tasks[[#This Row],[_StartWorkday]]-1)</f>
        <v>-0</v>
      </c>
      <c r="CS61" s="43" t="n">
        <f aca="false">IF(Tasks[[#This Row],[_IsLeaf]]=1,MAX(N(Tasks[[#This Row],[Duration]]),0.1),0)</f>
        <v>0</v>
      </c>
      <c r="CT61" s="43" t="n">
        <f aca="false">Tasks[[#This Row],[_WeightDur]]*Tasks[[#This Row],[_LeafProgress]]</f>
        <v>0</v>
      </c>
      <c r="CU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1" s="43" t="str">
        <f aca="false">IF(AND(Tasks[[#This Row],[_IsLeaf]]=1,N(Tasks[[#This Row],[Duration]])=0,Tasks[[#This Row],[_LeafProgress]]&lt;1),Tasks[[#This Row],[_LeafFcstFinish]]+Tasks[[#This Row],[_Row]]/100000,"")</f>
        <v/>
      </c>
      <c r="DA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1" s="43" t="n">
        <f aca="false">IF(NOT(Tasks[[#This Row],[_IsLeaf]]=1),0,IF(Tasks[[#This Row],[Baseline Cost]]="",Tasks[[#This Row],[_LeafCost]],N(Tasks[[#This Row],[Baseline Cost]])))</f>
        <v>0</v>
      </c>
      <c r="DC61" s="43" t="n">
        <f aca="false">Tasks[[#This Row],[_LeafBudget]]*Tasks[[#This Row],[_PlannedPct]]</f>
        <v>0</v>
      </c>
      <c r="DD61" s="43" t="n">
        <f aca="false">Tasks[[#This Row],[_LeafBudget]]*Tasks[[#This Row],[_LeafProgress]]</f>
        <v>0</v>
      </c>
      <c r="DE61" s="43" t="n">
        <f aca="false">IF(NOT(Tasks[[#This Row],[_IsLeaf]]=1),0,IF(Tasks[[#This Row],[Actual Cost]]="",Tasks[[#This Row],[_LeafCost]]*Tasks[[#This Row],[_LeafProgress]],N(Tasks[[#This Row],[Actual Cost]])))</f>
        <v>0</v>
      </c>
      <c r="DF61" s="43" t="str">
        <f aca="false">IF(Tasks[[#This Row],[Task Name]]="","",LEFT(Tasks[[#This Row],[WBS]],FIND(".",Tasks[[#This Row],[WBS]]&amp;".")-1))</f>
        <v/>
      </c>
      <c r="DG61" s="43" t="str">
        <f aca="false">IF(AND(Tasks[[#This Row],[Task Name]]&lt;&gt;"",Tasks[[#This Row],[_Level]]=1),Tasks[[#This Row],[_Row]],"")</f>
        <v/>
      </c>
      <c r="DH61" s="43" t="str">
        <f aca="false">IF(AND(Tasks[[#This Row],[_IsLeaf]]=1,N(Tasks[[#This Row],[Duration]])=0),Tasks[[#This Row],[Planned Finish]]+Tasks[[#This Row],[_Row]]/100000,"")</f>
        <v/>
      </c>
      <c r="DI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1" s="43" t="str">
        <f aca="false">IF(Tasks[[#This Row],[_LeafCritical]],Tasks[[#This Row],[_LeafFcstStart]]+Tasks[[#This Row],[_Row]]/100000,"")</f>
        <v/>
      </c>
    </row>
    <row r="62" customFormat="false" ht="15" hidden="false" customHeight="false" outlineLevel="0" collapsed="false">
      <c r="A62" s="28" t="str">
        <f aca="false">IF(Tasks[[#This Row],[Task Name]]="","",COUNTA(Tasks[[#Headers],[Task Name]]:Tasks[[#This Row],[Task Name]])-1)</f>
        <v/>
      </c>
      <c r="B62" s="29" t="n">
        <v>57</v>
      </c>
      <c r="C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29"/>
      <c r="E62" s="30"/>
      <c r="F62" s="29"/>
      <c r="G62" s="29"/>
      <c r="H62" s="29"/>
      <c r="I62" s="29"/>
      <c r="J62" s="29"/>
      <c r="K62" s="29"/>
      <c r="L62" s="29"/>
      <c r="M62" s="29"/>
      <c r="N62" s="53"/>
      <c r="O62" s="53"/>
      <c r="P62" s="25" t="str">
        <f aca="false">IF(Tasks[[#This Row],[Task Name]]="","",IF(N(Tasks[[#This Row],[Baseline Start]])&gt;0,Tasks[[#This Row],[Baseline Start]],Tasks[[#This Row],[_CalcStart]]))</f>
        <v/>
      </c>
      <c r="Q62" s="25" t="str">
        <f aca="false">IF(Tasks[[#This Row],[Task Name]]="","",IF(N(Tasks[[#This Row],[Baseline Finish]])&gt;0,Tasks[[#This Row],[Baseline Finish]],Tasks[[#This Row],[_CalcFinish]]))</f>
        <v/>
      </c>
      <c r="R62" s="53"/>
      <c r="S62" s="53"/>
      <c r="T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55"/>
      <c r="AF6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30"/>
      <c r="AI62" s="55"/>
      <c r="AJ6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64"/>
      <c r="AM6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2" s="30"/>
      <c r="AP62" s="25" t="str">
        <f aca="false">IF(Tasks[[#This Row],[Task Name]]="","",Tasks[[#This Row],[Forecast Start]])</f>
        <v/>
      </c>
      <c r="AQ62" s="25" t="str">
        <f aca="false">IF(Tasks[[#This Row],[Task Name]]="","",Tasks[[#This Row],[Forecast Finish]])</f>
        <v/>
      </c>
      <c r="AR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2" s="62" t="str">
        <f aca="false">IF(Tasks[[#This Row],[Task Name]]="","",Tasks[[#This Row],[Work]])</f>
        <v/>
      </c>
      <c r="AT62" s="63" t="str">
        <f aca="false">IF(Tasks[[#This Row],[Task Name]]="","",Tasks[[#This Row],[Cost]])</f>
        <v/>
      </c>
      <c r="AU62" s="53"/>
      <c r="AV62" s="53"/>
      <c r="AW62" s="29"/>
      <c r="AX62" s="65"/>
      <c r="AY62" s="64"/>
      <c r="AZ62" s="28" t="str">
        <f aca="false">IF(OR(Tasks[[#This Row],[Task Name]]="",Tasks[[#This Row],[Baseline Duration]]=""),"",Tasks[[#This Row],[BL Source Duration]]-N(Tasks[[#This Row],[Baseline Duration]]))</f>
        <v/>
      </c>
      <c r="BA62" s="62" t="str">
        <f aca="false">IF(OR(Tasks[[#This Row],[Task Name]]="",Tasks[[#This Row],[Baseline Work]]=""),"",Tasks[[#This Row],[Work]]-N(Tasks[[#This Row],[Baseline Work]]))</f>
        <v/>
      </c>
      <c r="BB62" s="63" t="str">
        <f aca="false">IF(OR(Tasks[[#This Row],[Task Name]]="",Tasks[[#This Row],[Baseline Cost]]=""),"",Tasks[[#This Row],[Cost]]-N(Tasks[[#This Row],[Baseline Cost]]))</f>
        <v/>
      </c>
      <c r="BC6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2" s="43" t="str">
        <f aca="false">IF(Tasks[[#This Row],[Task Name]]="","",MAX(1,N(Tasks[[#This Row],[Level]])))</f>
        <v/>
      </c>
      <c r="BH62" s="43" t="n">
        <f aca="false">ROW()-ROW(Tasks[[#Headers],[ID]])</f>
        <v>57</v>
      </c>
      <c r="BI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2" s="43" t="n">
        <f aca="false">IFERROR(N(INDEX(Tasks[_Level],Tasks[[#This Row],[_Row]]+1)),0)</f>
        <v>0</v>
      </c>
      <c r="BK62" s="66" t="b">
        <f aca="false">AND(Tasks[[#This Row],[Task Name]]&lt;&gt;"",Tasks[[#This Row],[_NextLevel]]&gt;Tasks[[#This Row],[_Level]])</f>
        <v>0</v>
      </c>
      <c r="BL62" s="43" t="n">
        <f aca="false">IF(Tasks[[#This Row],[_IsSummary]],COUNTIF(Tasks[WBS],Tasks[[#This Row],[WBS]]&amp;".*"),0)</f>
        <v>0</v>
      </c>
      <c r="BM62" s="43" t="n">
        <f aca="false">IF(AND(Tasks[[#This Row],[Task Name]]&lt;&gt;"",NOT(Tasks[[#This Row],[_IsSummary]])),1,0)</f>
        <v>0</v>
      </c>
      <c r="BN62" s="43" t="n">
        <f aca="false">IF(N(Tasks[[#This Row],[Pred1 UID]])=0,0,IFERROR(MATCH(Tasks[[#This Row],[Pred1 UID]],Tasks[UID],0),-1))</f>
        <v>0</v>
      </c>
      <c r="BO62" s="43" t="n">
        <f aca="false">IF(N(Tasks[[#This Row],[Pred2 UID]])=0,0,IFERROR(MATCH(Tasks[[#This Row],[Pred2 UID]],Tasks[UID],0),-1))</f>
        <v>0</v>
      </c>
      <c r="BP6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2" s="43" t="n">
        <f aca="false">IF(NOT(Tasks[[#This Row],[_IsLeaf]]=1),0,IF(N(Tasks[[#This Row],[Actual Finish]])&gt;0,1,MIN(1,N(Tasks[[#This Row],[% Complete]]))))</f>
        <v>0</v>
      </c>
      <c r="BU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2" s="43" t="n">
        <f aca="false">IF(Tasks[[#This Row],[_LeafWork]]=0,0,Tasks[[#This Row],[_LeafWork]]*IFERROR(INDEX(res_Rate,MATCH(Tasks[[#This Row],[Resource]],res_Name,0)),0))</f>
        <v>0</v>
      </c>
      <c r="BW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2" s="43" t="n">
        <f aca="false">IF(NOT(Tasks[[#This Row],[_IsLeaf]]=1),0,MAX(_xlfn.MAXIFS(Tasks[_Row],Tasks[Pred1 UID],Tasks[[#This Row],[UID]]),_xlfn.MAXIFS(Tasks[_Row],Tasks[Pred2 UID],Tasks[[#This Row],[UID]])))</f>
        <v>0</v>
      </c>
      <c r="CB6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2" s="67" t="str">
        <f aca="false">IF(NOT(Tasks[[#This Row],[_IsLeaf]]=1),"",MIN(ProjectFinish,IF(N(Tasks[[#This Row],[Deadline]])&gt;0,Tasks[[#This Row],[Deadline]],2958465),Tasks[[#This Row],[_SuccessorFinishLimit]]))</f>
        <v/>
      </c>
      <c r="CD6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2" s="66" t="b">
        <f aca="false">AND(Tasks[[#This Row],[_IsLeaf]]=1,Tasks[[#This Row],[_LeafProgress]]&lt;1,N(Tasks[[#This Row],[_LeafTotalSlack]])&lt;=CriticalSlackDays)</f>
        <v>0</v>
      </c>
      <c r="CG6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2" s="43" t="n">
        <f aca="false">IF(AND(Tasks[[#This Row],[_IsLeaf]]=1,Tasks[[#This Row],[_LeafWork]]&gt;0),NETWORKDAYS.INTL(ProjectStart,Tasks[[#This Row],[_LeafFcstStart]],WorkWeek,Holidays),0)</f>
        <v>0</v>
      </c>
      <c r="CP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2" s="43" t="n">
        <f aca="false">IF(AND(Tasks[[#This Row],[_IsLeaf]]=1,Tasks[[#This Row],[_LeafWork]]&gt;0),Tasks[[#This Row],[_LeafWork]]/(Tasks[[#This Row],[_FinishWorkday]]-Tasks[[#This Row],[_StartWorkday]]+1),0)</f>
        <v>0</v>
      </c>
      <c r="CR62" s="43" t="n">
        <f aca="false">Tasks[[#This Row],[_WorkPerWorkday]]*(Tasks[[#This Row],[_StartWorkday]]-1)</f>
        <v>-0</v>
      </c>
      <c r="CS62" s="43" t="n">
        <f aca="false">IF(Tasks[[#This Row],[_IsLeaf]]=1,MAX(N(Tasks[[#This Row],[Duration]]),0.1),0)</f>
        <v>0</v>
      </c>
      <c r="CT62" s="43" t="n">
        <f aca="false">Tasks[[#This Row],[_WeightDur]]*Tasks[[#This Row],[_LeafProgress]]</f>
        <v>0</v>
      </c>
      <c r="CU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2" s="43" t="str">
        <f aca="false">IF(AND(Tasks[[#This Row],[_IsLeaf]]=1,N(Tasks[[#This Row],[Duration]])=0,Tasks[[#This Row],[_LeafProgress]]&lt;1),Tasks[[#This Row],[_LeafFcstFinish]]+Tasks[[#This Row],[_Row]]/100000,"")</f>
        <v/>
      </c>
      <c r="DA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2" s="43" t="n">
        <f aca="false">IF(NOT(Tasks[[#This Row],[_IsLeaf]]=1),0,IF(Tasks[[#This Row],[Baseline Cost]]="",Tasks[[#This Row],[_LeafCost]],N(Tasks[[#This Row],[Baseline Cost]])))</f>
        <v>0</v>
      </c>
      <c r="DC62" s="43" t="n">
        <f aca="false">Tasks[[#This Row],[_LeafBudget]]*Tasks[[#This Row],[_PlannedPct]]</f>
        <v>0</v>
      </c>
      <c r="DD62" s="43" t="n">
        <f aca="false">Tasks[[#This Row],[_LeafBudget]]*Tasks[[#This Row],[_LeafProgress]]</f>
        <v>0</v>
      </c>
      <c r="DE62" s="43" t="n">
        <f aca="false">IF(NOT(Tasks[[#This Row],[_IsLeaf]]=1),0,IF(Tasks[[#This Row],[Actual Cost]]="",Tasks[[#This Row],[_LeafCost]]*Tasks[[#This Row],[_LeafProgress]],N(Tasks[[#This Row],[Actual Cost]])))</f>
        <v>0</v>
      </c>
      <c r="DF62" s="43" t="str">
        <f aca="false">IF(Tasks[[#This Row],[Task Name]]="","",LEFT(Tasks[[#This Row],[WBS]],FIND(".",Tasks[[#This Row],[WBS]]&amp;".")-1))</f>
        <v/>
      </c>
      <c r="DG62" s="43" t="str">
        <f aca="false">IF(AND(Tasks[[#This Row],[Task Name]]&lt;&gt;"",Tasks[[#This Row],[_Level]]=1),Tasks[[#This Row],[_Row]],"")</f>
        <v/>
      </c>
      <c r="DH62" s="43" t="str">
        <f aca="false">IF(AND(Tasks[[#This Row],[_IsLeaf]]=1,N(Tasks[[#This Row],[Duration]])=0),Tasks[[#This Row],[Planned Finish]]+Tasks[[#This Row],[_Row]]/100000,"")</f>
        <v/>
      </c>
      <c r="DI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2" s="43" t="str">
        <f aca="false">IF(Tasks[[#This Row],[_LeafCritical]],Tasks[[#This Row],[_LeafFcstStart]]+Tasks[[#This Row],[_Row]]/100000,"")</f>
        <v/>
      </c>
    </row>
    <row r="63" customFormat="false" ht="15" hidden="false" customHeight="false" outlineLevel="0" collapsed="false">
      <c r="A63" s="28" t="str">
        <f aca="false">IF(Tasks[[#This Row],[Task Name]]="","",COUNTA(Tasks[[#Headers],[Task Name]]:Tasks[[#This Row],[Task Name]])-1)</f>
        <v/>
      </c>
      <c r="B63" s="29" t="n">
        <v>58</v>
      </c>
      <c r="C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29"/>
      <c r="E63" s="30"/>
      <c r="F63" s="29"/>
      <c r="G63" s="29"/>
      <c r="H63" s="29"/>
      <c r="I63" s="29"/>
      <c r="J63" s="29"/>
      <c r="K63" s="29"/>
      <c r="L63" s="29"/>
      <c r="M63" s="29"/>
      <c r="N63" s="53"/>
      <c r="O63" s="53"/>
      <c r="P63" s="25" t="str">
        <f aca="false">IF(Tasks[[#This Row],[Task Name]]="","",IF(N(Tasks[[#This Row],[Baseline Start]])&gt;0,Tasks[[#This Row],[Baseline Start]],Tasks[[#This Row],[_CalcStart]]))</f>
        <v/>
      </c>
      <c r="Q63" s="25" t="str">
        <f aca="false">IF(Tasks[[#This Row],[Task Name]]="","",IF(N(Tasks[[#This Row],[Baseline Finish]])&gt;0,Tasks[[#This Row],[Baseline Finish]],Tasks[[#This Row],[_CalcFinish]]))</f>
        <v/>
      </c>
      <c r="R63" s="53"/>
      <c r="S63" s="53"/>
      <c r="T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55"/>
      <c r="AF6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30"/>
      <c r="AI63" s="55"/>
      <c r="AJ6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64"/>
      <c r="AM6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3" s="30"/>
      <c r="AP63" s="25" t="str">
        <f aca="false">IF(Tasks[[#This Row],[Task Name]]="","",Tasks[[#This Row],[Forecast Start]])</f>
        <v/>
      </c>
      <c r="AQ63" s="25" t="str">
        <f aca="false">IF(Tasks[[#This Row],[Task Name]]="","",Tasks[[#This Row],[Forecast Finish]])</f>
        <v/>
      </c>
      <c r="AR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3" s="62" t="str">
        <f aca="false">IF(Tasks[[#This Row],[Task Name]]="","",Tasks[[#This Row],[Work]])</f>
        <v/>
      </c>
      <c r="AT63" s="63" t="str">
        <f aca="false">IF(Tasks[[#This Row],[Task Name]]="","",Tasks[[#This Row],[Cost]])</f>
        <v/>
      </c>
      <c r="AU63" s="53"/>
      <c r="AV63" s="53"/>
      <c r="AW63" s="29"/>
      <c r="AX63" s="65"/>
      <c r="AY63" s="64"/>
      <c r="AZ63" s="28" t="str">
        <f aca="false">IF(OR(Tasks[[#This Row],[Task Name]]="",Tasks[[#This Row],[Baseline Duration]]=""),"",Tasks[[#This Row],[BL Source Duration]]-N(Tasks[[#This Row],[Baseline Duration]]))</f>
        <v/>
      </c>
      <c r="BA63" s="62" t="str">
        <f aca="false">IF(OR(Tasks[[#This Row],[Task Name]]="",Tasks[[#This Row],[Baseline Work]]=""),"",Tasks[[#This Row],[Work]]-N(Tasks[[#This Row],[Baseline Work]]))</f>
        <v/>
      </c>
      <c r="BB63" s="63" t="str">
        <f aca="false">IF(OR(Tasks[[#This Row],[Task Name]]="",Tasks[[#This Row],[Baseline Cost]]=""),"",Tasks[[#This Row],[Cost]]-N(Tasks[[#This Row],[Baseline Cost]]))</f>
        <v/>
      </c>
      <c r="BC6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3" s="43" t="str">
        <f aca="false">IF(Tasks[[#This Row],[Task Name]]="","",MAX(1,N(Tasks[[#This Row],[Level]])))</f>
        <v/>
      </c>
      <c r="BH63" s="43" t="n">
        <f aca="false">ROW()-ROW(Tasks[[#Headers],[ID]])</f>
        <v>58</v>
      </c>
      <c r="BI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3" s="43" t="n">
        <f aca="false">IFERROR(N(INDEX(Tasks[_Level],Tasks[[#This Row],[_Row]]+1)),0)</f>
        <v>0</v>
      </c>
      <c r="BK63" s="66" t="b">
        <f aca="false">AND(Tasks[[#This Row],[Task Name]]&lt;&gt;"",Tasks[[#This Row],[_NextLevel]]&gt;Tasks[[#This Row],[_Level]])</f>
        <v>0</v>
      </c>
      <c r="BL63" s="43" t="n">
        <f aca="false">IF(Tasks[[#This Row],[_IsSummary]],COUNTIF(Tasks[WBS],Tasks[[#This Row],[WBS]]&amp;".*"),0)</f>
        <v>0</v>
      </c>
      <c r="BM63" s="43" t="n">
        <f aca="false">IF(AND(Tasks[[#This Row],[Task Name]]&lt;&gt;"",NOT(Tasks[[#This Row],[_IsSummary]])),1,0)</f>
        <v>0</v>
      </c>
      <c r="BN63" s="43" t="n">
        <f aca="false">IF(N(Tasks[[#This Row],[Pred1 UID]])=0,0,IFERROR(MATCH(Tasks[[#This Row],[Pred1 UID]],Tasks[UID],0),-1))</f>
        <v>0</v>
      </c>
      <c r="BO63" s="43" t="n">
        <f aca="false">IF(N(Tasks[[#This Row],[Pred2 UID]])=0,0,IFERROR(MATCH(Tasks[[#This Row],[Pred2 UID]],Tasks[UID],0),-1))</f>
        <v>0</v>
      </c>
      <c r="BP6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3" s="43" t="n">
        <f aca="false">IF(NOT(Tasks[[#This Row],[_IsLeaf]]=1),0,IF(N(Tasks[[#This Row],[Actual Finish]])&gt;0,1,MIN(1,N(Tasks[[#This Row],[% Complete]]))))</f>
        <v>0</v>
      </c>
      <c r="BU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3" s="43" t="n">
        <f aca="false">IF(Tasks[[#This Row],[_LeafWork]]=0,0,Tasks[[#This Row],[_LeafWork]]*IFERROR(INDEX(res_Rate,MATCH(Tasks[[#This Row],[Resource]],res_Name,0)),0))</f>
        <v>0</v>
      </c>
      <c r="BW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3" s="43" t="n">
        <f aca="false">IF(NOT(Tasks[[#This Row],[_IsLeaf]]=1),0,MAX(_xlfn.MAXIFS(Tasks[_Row],Tasks[Pred1 UID],Tasks[[#This Row],[UID]]),_xlfn.MAXIFS(Tasks[_Row],Tasks[Pred2 UID],Tasks[[#This Row],[UID]])))</f>
        <v>0</v>
      </c>
      <c r="CB6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3" s="67" t="str">
        <f aca="false">IF(NOT(Tasks[[#This Row],[_IsLeaf]]=1),"",MIN(ProjectFinish,IF(N(Tasks[[#This Row],[Deadline]])&gt;0,Tasks[[#This Row],[Deadline]],2958465),Tasks[[#This Row],[_SuccessorFinishLimit]]))</f>
        <v/>
      </c>
      <c r="CD6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3" s="66" t="b">
        <f aca="false">AND(Tasks[[#This Row],[_IsLeaf]]=1,Tasks[[#This Row],[_LeafProgress]]&lt;1,N(Tasks[[#This Row],[_LeafTotalSlack]])&lt;=CriticalSlackDays)</f>
        <v>0</v>
      </c>
      <c r="CG6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3" s="43" t="n">
        <f aca="false">IF(AND(Tasks[[#This Row],[_IsLeaf]]=1,Tasks[[#This Row],[_LeafWork]]&gt;0),NETWORKDAYS.INTL(ProjectStart,Tasks[[#This Row],[_LeafFcstStart]],WorkWeek,Holidays),0)</f>
        <v>0</v>
      </c>
      <c r="CP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3" s="43" t="n">
        <f aca="false">IF(AND(Tasks[[#This Row],[_IsLeaf]]=1,Tasks[[#This Row],[_LeafWork]]&gt;0),Tasks[[#This Row],[_LeafWork]]/(Tasks[[#This Row],[_FinishWorkday]]-Tasks[[#This Row],[_StartWorkday]]+1),0)</f>
        <v>0</v>
      </c>
      <c r="CR63" s="43" t="n">
        <f aca="false">Tasks[[#This Row],[_WorkPerWorkday]]*(Tasks[[#This Row],[_StartWorkday]]-1)</f>
        <v>-0</v>
      </c>
      <c r="CS63" s="43" t="n">
        <f aca="false">IF(Tasks[[#This Row],[_IsLeaf]]=1,MAX(N(Tasks[[#This Row],[Duration]]),0.1),0)</f>
        <v>0</v>
      </c>
      <c r="CT63" s="43" t="n">
        <f aca="false">Tasks[[#This Row],[_WeightDur]]*Tasks[[#This Row],[_LeafProgress]]</f>
        <v>0</v>
      </c>
      <c r="CU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3" s="43" t="str">
        <f aca="false">IF(AND(Tasks[[#This Row],[_IsLeaf]]=1,N(Tasks[[#This Row],[Duration]])=0,Tasks[[#This Row],[_LeafProgress]]&lt;1),Tasks[[#This Row],[_LeafFcstFinish]]+Tasks[[#This Row],[_Row]]/100000,"")</f>
        <v/>
      </c>
      <c r="DA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3" s="43" t="n">
        <f aca="false">IF(NOT(Tasks[[#This Row],[_IsLeaf]]=1),0,IF(Tasks[[#This Row],[Baseline Cost]]="",Tasks[[#This Row],[_LeafCost]],N(Tasks[[#This Row],[Baseline Cost]])))</f>
        <v>0</v>
      </c>
      <c r="DC63" s="43" t="n">
        <f aca="false">Tasks[[#This Row],[_LeafBudget]]*Tasks[[#This Row],[_PlannedPct]]</f>
        <v>0</v>
      </c>
      <c r="DD63" s="43" t="n">
        <f aca="false">Tasks[[#This Row],[_LeafBudget]]*Tasks[[#This Row],[_LeafProgress]]</f>
        <v>0</v>
      </c>
      <c r="DE63" s="43" t="n">
        <f aca="false">IF(NOT(Tasks[[#This Row],[_IsLeaf]]=1),0,IF(Tasks[[#This Row],[Actual Cost]]="",Tasks[[#This Row],[_LeafCost]]*Tasks[[#This Row],[_LeafProgress]],N(Tasks[[#This Row],[Actual Cost]])))</f>
        <v>0</v>
      </c>
      <c r="DF63" s="43" t="str">
        <f aca="false">IF(Tasks[[#This Row],[Task Name]]="","",LEFT(Tasks[[#This Row],[WBS]],FIND(".",Tasks[[#This Row],[WBS]]&amp;".")-1))</f>
        <v/>
      </c>
      <c r="DG63" s="43" t="str">
        <f aca="false">IF(AND(Tasks[[#This Row],[Task Name]]&lt;&gt;"",Tasks[[#This Row],[_Level]]=1),Tasks[[#This Row],[_Row]],"")</f>
        <v/>
      </c>
      <c r="DH63" s="43" t="str">
        <f aca="false">IF(AND(Tasks[[#This Row],[_IsLeaf]]=1,N(Tasks[[#This Row],[Duration]])=0),Tasks[[#This Row],[Planned Finish]]+Tasks[[#This Row],[_Row]]/100000,"")</f>
        <v/>
      </c>
      <c r="DI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3" s="43" t="str">
        <f aca="false">IF(Tasks[[#This Row],[_LeafCritical]],Tasks[[#This Row],[_LeafFcstStart]]+Tasks[[#This Row],[_Row]]/100000,"")</f>
        <v/>
      </c>
    </row>
    <row r="64" customFormat="false" ht="15" hidden="false" customHeight="false" outlineLevel="0" collapsed="false">
      <c r="A64" s="28" t="str">
        <f aca="false">IF(Tasks[[#This Row],[Task Name]]="","",COUNTA(Tasks[[#Headers],[Task Name]]:Tasks[[#This Row],[Task Name]])-1)</f>
        <v/>
      </c>
      <c r="B64" s="29" t="n">
        <v>59</v>
      </c>
      <c r="C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29"/>
      <c r="E64" s="30"/>
      <c r="F64" s="29"/>
      <c r="G64" s="29"/>
      <c r="H64" s="29"/>
      <c r="I64" s="29"/>
      <c r="J64" s="29"/>
      <c r="K64" s="29"/>
      <c r="L64" s="29"/>
      <c r="M64" s="29"/>
      <c r="N64" s="53"/>
      <c r="O64" s="53"/>
      <c r="P64" s="25" t="str">
        <f aca="false">IF(Tasks[[#This Row],[Task Name]]="","",IF(N(Tasks[[#This Row],[Baseline Start]])&gt;0,Tasks[[#This Row],[Baseline Start]],Tasks[[#This Row],[_CalcStart]]))</f>
        <v/>
      </c>
      <c r="Q64" s="25" t="str">
        <f aca="false">IF(Tasks[[#This Row],[Task Name]]="","",IF(N(Tasks[[#This Row],[Baseline Finish]])&gt;0,Tasks[[#This Row],[Baseline Finish]],Tasks[[#This Row],[_CalcFinish]]))</f>
        <v/>
      </c>
      <c r="R64" s="53"/>
      <c r="S64" s="53"/>
      <c r="T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55"/>
      <c r="AF6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30"/>
      <c r="AI64" s="55"/>
      <c r="AJ6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64"/>
      <c r="AM6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4" s="30"/>
      <c r="AP64" s="25" t="str">
        <f aca="false">IF(Tasks[[#This Row],[Task Name]]="","",Tasks[[#This Row],[Forecast Start]])</f>
        <v/>
      </c>
      <c r="AQ64" s="25" t="str">
        <f aca="false">IF(Tasks[[#This Row],[Task Name]]="","",Tasks[[#This Row],[Forecast Finish]])</f>
        <v/>
      </c>
      <c r="AR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4" s="62" t="str">
        <f aca="false">IF(Tasks[[#This Row],[Task Name]]="","",Tasks[[#This Row],[Work]])</f>
        <v/>
      </c>
      <c r="AT64" s="63" t="str">
        <f aca="false">IF(Tasks[[#This Row],[Task Name]]="","",Tasks[[#This Row],[Cost]])</f>
        <v/>
      </c>
      <c r="AU64" s="53"/>
      <c r="AV64" s="53"/>
      <c r="AW64" s="29"/>
      <c r="AX64" s="65"/>
      <c r="AY64" s="64"/>
      <c r="AZ64" s="28" t="str">
        <f aca="false">IF(OR(Tasks[[#This Row],[Task Name]]="",Tasks[[#This Row],[Baseline Duration]]=""),"",Tasks[[#This Row],[BL Source Duration]]-N(Tasks[[#This Row],[Baseline Duration]]))</f>
        <v/>
      </c>
      <c r="BA64" s="62" t="str">
        <f aca="false">IF(OR(Tasks[[#This Row],[Task Name]]="",Tasks[[#This Row],[Baseline Work]]=""),"",Tasks[[#This Row],[Work]]-N(Tasks[[#This Row],[Baseline Work]]))</f>
        <v/>
      </c>
      <c r="BB64" s="63" t="str">
        <f aca="false">IF(OR(Tasks[[#This Row],[Task Name]]="",Tasks[[#This Row],[Baseline Cost]]=""),"",Tasks[[#This Row],[Cost]]-N(Tasks[[#This Row],[Baseline Cost]]))</f>
        <v/>
      </c>
      <c r="BC6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4" s="43" t="str">
        <f aca="false">IF(Tasks[[#This Row],[Task Name]]="","",MAX(1,N(Tasks[[#This Row],[Level]])))</f>
        <v/>
      </c>
      <c r="BH64" s="43" t="n">
        <f aca="false">ROW()-ROW(Tasks[[#Headers],[ID]])</f>
        <v>59</v>
      </c>
      <c r="BI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4" s="43" t="n">
        <f aca="false">IFERROR(N(INDEX(Tasks[_Level],Tasks[[#This Row],[_Row]]+1)),0)</f>
        <v>0</v>
      </c>
      <c r="BK64" s="66" t="b">
        <f aca="false">AND(Tasks[[#This Row],[Task Name]]&lt;&gt;"",Tasks[[#This Row],[_NextLevel]]&gt;Tasks[[#This Row],[_Level]])</f>
        <v>0</v>
      </c>
      <c r="BL64" s="43" t="n">
        <f aca="false">IF(Tasks[[#This Row],[_IsSummary]],COUNTIF(Tasks[WBS],Tasks[[#This Row],[WBS]]&amp;".*"),0)</f>
        <v>0</v>
      </c>
      <c r="BM64" s="43" t="n">
        <f aca="false">IF(AND(Tasks[[#This Row],[Task Name]]&lt;&gt;"",NOT(Tasks[[#This Row],[_IsSummary]])),1,0)</f>
        <v>0</v>
      </c>
      <c r="BN64" s="43" t="n">
        <f aca="false">IF(N(Tasks[[#This Row],[Pred1 UID]])=0,0,IFERROR(MATCH(Tasks[[#This Row],[Pred1 UID]],Tasks[UID],0),-1))</f>
        <v>0</v>
      </c>
      <c r="BO64" s="43" t="n">
        <f aca="false">IF(N(Tasks[[#This Row],[Pred2 UID]])=0,0,IFERROR(MATCH(Tasks[[#This Row],[Pred2 UID]],Tasks[UID],0),-1))</f>
        <v>0</v>
      </c>
      <c r="BP6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4" s="43" t="n">
        <f aca="false">IF(NOT(Tasks[[#This Row],[_IsLeaf]]=1),0,IF(N(Tasks[[#This Row],[Actual Finish]])&gt;0,1,MIN(1,N(Tasks[[#This Row],[% Complete]]))))</f>
        <v>0</v>
      </c>
      <c r="BU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4" s="43" t="n">
        <f aca="false">IF(Tasks[[#This Row],[_LeafWork]]=0,0,Tasks[[#This Row],[_LeafWork]]*IFERROR(INDEX(res_Rate,MATCH(Tasks[[#This Row],[Resource]],res_Name,0)),0))</f>
        <v>0</v>
      </c>
      <c r="BW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4" s="43" t="n">
        <f aca="false">IF(NOT(Tasks[[#This Row],[_IsLeaf]]=1),0,MAX(_xlfn.MAXIFS(Tasks[_Row],Tasks[Pred1 UID],Tasks[[#This Row],[UID]]),_xlfn.MAXIFS(Tasks[_Row],Tasks[Pred2 UID],Tasks[[#This Row],[UID]])))</f>
        <v>0</v>
      </c>
      <c r="CB6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4" s="67" t="str">
        <f aca="false">IF(NOT(Tasks[[#This Row],[_IsLeaf]]=1),"",MIN(ProjectFinish,IF(N(Tasks[[#This Row],[Deadline]])&gt;0,Tasks[[#This Row],[Deadline]],2958465),Tasks[[#This Row],[_SuccessorFinishLimit]]))</f>
        <v/>
      </c>
      <c r="CD6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4" s="66" t="b">
        <f aca="false">AND(Tasks[[#This Row],[_IsLeaf]]=1,Tasks[[#This Row],[_LeafProgress]]&lt;1,N(Tasks[[#This Row],[_LeafTotalSlack]])&lt;=CriticalSlackDays)</f>
        <v>0</v>
      </c>
      <c r="CG6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4" s="43" t="n">
        <f aca="false">IF(AND(Tasks[[#This Row],[_IsLeaf]]=1,Tasks[[#This Row],[_LeafWork]]&gt;0),NETWORKDAYS.INTL(ProjectStart,Tasks[[#This Row],[_LeafFcstStart]],WorkWeek,Holidays),0)</f>
        <v>0</v>
      </c>
      <c r="CP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4" s="43" t="n">
        <f aca="false">IF(AND(Tasks[[#This Row],[_IsLeaf]]=1,Tasks[[#This Row],[_LeafWork]]&gt;0),Tasks[[#This Row],[_LeafWork]]/(Tasks[[#This Row],[_FinishWorkday]]-Tasks[[#This Row],[_StartWorkday]]+1),0)</f>
        <v>0</v>
      </c>
      <c r="CR64" s="43" t="n">
        <f aca="false">Tasks[[#This Row],[_WorkPerWorkday]]*(Tasks[[#This Row],[_StartWorkday]]-1)</f>
        <v>-0</v>
      </c>
      <c r="CS64" s="43" t="n">
        <f aca="false">IF(Tasks[[#This Row],[_IsLeaf]]=1,MAX(N(Tasks[[#This Row],[Duration]]),0.1),0)</f>
        <v>0</v>
      </c>
      <c r="CT64" s="43" t="n">
        <f aca="false">Tasks[[#This Row],[_WeightDur]]*Tasks[[#This Row],[_LeafProgress]]</f>
        <v>0</v>
      </c>
      <c r="CU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4" s="43" t="str">
        <f aca="false">IF(AND(Tasks[[#This Row],[_IsLeaf]]=1,N(Tasks[[#This Row],[Duration]])=0,Tasks[[#This Row],[_LeafProgress]]&lt;1),Tasks[[#This Row],[_LeafFcstFinish]]+Tasks[[#This Row],[_Row]]/100000,"")</f>
        <v/>
      </c>
      <c r="DA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4" s="43" t="n">
        <f aca="false">IF(NOT(Tasks[[#This Row],[_IsLeaf]]=1),0,IF(Tasks[[#This Row],[Baseline Cost]]="",Tasks[[#This Row],[_LeafCost]],N(Tasks[[#This Row],[Baseline Cost]])))</f>
        <v>0</v>
      </c>
      <c r="DC64" s="43" t="n">
        <f aca="false">Tasks[[#This Row],[_LeafBudget]]*Tasks[[#This Row],[_PlannedPct]]</f>
        <v>0</v>
      </c>
      <c r="DD64" s="43" t="n">
        <f aca="false">Tasks[[#This Row],[_LeafBudget]]*Tasks[[#This Row],[_LeafProgress]]</f>
        <v>0</v>
      </c>
      <c r="DE64" s="43" t="n">
        <f aca="false">IF(NOT(Tasks[[#This Row],[_IsLeaf]]=1),0,IF(Tasks[[#This Row],[Actual Cost]]="",Tasks[[#This Row],[_LeafCost]]*Tasks[[#This Row],[_LeafProgress]],N(Tasks[[#This Row],[Actual Cost]])))</f>
        <v>0</v>
      </c>
      <c r="DF64" s="43" t="str">
        <f aca="false">IF(Tasks[[#This Row],[Task Name]]="","",LEFT(Tasks[[#This Row],[WBS]],FIND(".",Tasks[[#This Row],[WBS]]&amp;".")-1))</f>
        <v/>
      </c>
      <c r="DG64" s="43" t="str">
        <f aca="false">IF(AND(Tasks[[#This Row],[Task Name]]&lt;&gt;"",Tasks[[#This Row],[_Level]]=1),Tasks[[#This Row],[_Row]],"")</f>
        <v/>
      </c>
      <c r="DH64" s="43" t="str">
        <f aca="false">IF(AND(Tasks[[#This Row],[_IsLeaf]]=1,N(Tasks[[#This Row],[Duration]])=0),Tasks[[#This Row],[Planned Finish]]+Tasks[[#This Row],[_Row]]/100000,"")</f>
        <v/>
      </c>
      <c r="DI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4" s="43" t="str">
        <f aca="false">IF(Tasks[[#This Row],[_LeafCritical]],Tasks[[#This Row],[_LeafFcstStart]]+Tasks[[#This Row],[_Row]]/100000,"")</f>
        <v/>
      </c>
    </row>
    <row r="65" customFormat="false" ht="15" hidden="false" customHeight="false" outlineLevel="0" collapsed="false">
      <c r="A65" s="28" t="str">
        <f aca="false">IF(Tasks[[#This Row],[Task Name]]="","",COUNTA(Tasks[[#Headers],[Task Name]]:Tasks[[#This Row],[Task Name]])-1)</f>
        <v/>
      </c>
      <c r="B65" s="29" t="n">
        <v>60</v>
      </c>
      <c r="C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29"/>
      <c r="E65" s="30"/>
      <c r="F65" s="29"/>
      <c r="G65" s="29"/>
      <c r="H65" s="29"/>
      <c r="I65" s="29"/>
      <c r="J65" s="29"/>
      <c r="K65" s="29"/>
      <c r="L65" s="29"/>
      <c r="M65" s="29"/>
      <c r="N65" s="53"/>
      <c r="O65" s="53"/>
      <c r="P65" s="25" t="str">
        <f aca="false">IF(Tasks[[#This Row],[Task Name]]="","",IF(N(Tasks[[#This Row],[Baseline Start]])&gt;0,Tasks[[#This Row],[Baseline Start]],Tasks[[#This Row],[_CalcStart]]))</f>
        <v/>
      </c>
      <c r="Q65" s="25" t="str">
        <f aca="false">IF(Tasks[[#This Row],[Task Name]]="","",IF(N(Tasks[[#This Row],[Baseline Finish]])&gt;0,Tasks[[#This Row],[Baseline Finish]],Tasks[[#This Row],[_CalcFinish]]))</f>
        <v/>
      </c>
      <c r="R65" s="53"/>
      <c r="S65" s="53"/>
      <c r="T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55"/>
      <c r="AF6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30"/>
      <c r="AI65" s="55"/>
      <c r="AJ6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64"/>
      <c r="AM6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5" s="30"/>
      <c r="AP65" s="25" t="str">
        <f aca="false">IF(Tasks[[#This Row],[Task Name]]="","",Tasks[[#This Row],[Forecast Start]])</f>
        <v/>
      </c>
      <c r="AQ65" s="25" t="str">
        <f aca="false">IF(Tasks[[#This Row],[Task Name]]="","",Tasks[[#This Row],[Forecast Finish]])</f>
        <v/>
      </c>
      <c r="AR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5" s="62" t="str">
        <f aca="false">IF(Tasks[[#This Row],[Task Name]]="","",Tasks[[#This Row],[Work]])</f>
        <v/>
      </c>
      <c r="AT65" s="63" t="str">
        <f aca="false">IF(Tasks[[#This Row],[Task Name]]="","",Tasks[[#This Row],[Cost]])</f>
        <v/>
      </c>
      <c r="AU65" s="53"/>
      <c r="AV65" s="53"/>
      <c r="AW65" s="29"/>
      <c r="AX65" s="65"/>
      <c r="AY65" s="64"/>
      <c r="AZ65" s="28" t="str">
        <f aca="false">IF(OR(Tasks[[#This Row],[Task Name]]="",Tasks[[#This Row],[Baseline Duration]]=""),"",Tasks[[#This Row],[BL Source Duration]]-N(Tasks[[#This Row],[Baseline Duration]]))</f>
        <v/>
      </c>
      <c r="BA65" s="62" t="str">
        <f aca="false">IF(OR(Tasks[[#This Row],[Task Name]]="",Tasks[[#This Row],[Baseline Work]]=""),"",Tasks[[#This Row],[Work]]-N(Tasks[[#This Row],[Baseline Work]]))</f>
        <v/>
      </c>
      <c r="BB65" s="63" t="str">
        <f aca="false">IF(OR(Tasks[[#This Row],[Task Name]]="",Tasks[[#This Row],[Baseline Cost]]=""),"",Tasks[[#This Row],[Cost]]-N(Tasks[[#This Row],[Baseline Cost]]))</f>
        <v/>
      </c>
      <c r="BC6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5" s="43" t="str">
        <f aca="false">IF(Tasks[[#This Row],[Task Name]]="","",MAX(1,N(Tasks[[#This Row],[Level]])))</f>
        <v/>
      </c>
      <c r="BH65" s="43" t="n">
        <f aca="false">ROW()-ROW(Tasks[[#Headers],[ID]])</f>
        <v>60</v>
      </c>
      <c r="BI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5" s="43" t="n">
        <f aca="false">IFERROR(N(INDEX(Tasks[_Level],Tasks[[#This Row],[_Row]]+1)),0)</f>
        <v>0</v>
      </c>
      <c r="BK65" s="66" t="b">
        <f aca="false">AND(Tasks[[#This Row],[Task Name]]&lt;&gt;"",Tasks[[#This Row],[_NextLevel]]&gt;Tasks[[#This Row],[_Level]])</f>
        <v>0</v>
      </c>
      <c r="BL65" s="43" t="n">
        <f aca="false">IF(Tasks[[#This Row],[_IsSummary]],COUNTIF(Tasks[WBS],Tasks[[#This Row],[WBS]]&amp;".*"),0)</f>
        <v>0</v>
      </c>
      <c r="BM65" s="43" t="n">
        <f aca="false">IF(AND(Tasks[[#This Row],[Task Name]]&lt;&gt;"",NOT(Tasks[[#This Row],[_IsSummary]])),1,0)</f>
        <v>0</v>
      </c>
      <c r="BN65" s="43" t="n">
        <f aca="false">IF(N(Tasks[[#This Row],[Pred1 UID]])=0,0,IFERROR(MATCH(Tasks[[#This Row],[Pred1 UID]],Tasks[UID],0),-1))</f>
        <v>0</v>
      </c>
      <c r="BO65" s="43" t="n">
        <f aca="false">IF(N(Tasks[[#This Row],[Pred2 UID]])=0,0,IFERROR(MATCH(Tasks[[#This Row],[Pred2 UID]],Tasks[UID],0),-1))</f>
        <v>0</v>
      </c>
      <c r="BP6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5" s="43" t="n">
        <f aca="false">IF(NOT(Tasks[[#This Row],[_IsLeaf]]=1),0,IF(N(Tasks[[#This Row],[Actual Finish]])&gt;0,1,MIN(1,N(Tasks[[#This Row],[% Complete]]))))</f>
        <v>0</v>
      </c>
      <c r="BU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5" s="43" t="n">
        <f aca="false">IF(Tasks[[#This Row],[_LeafWork]]=0,0,Tasks[[#This Row],[_LeafWork]]*IFERROR(INDEX(res_Rate,MATCH(Tasks[[#This Row],[Resource]],res_Name,0)),0))</f>
        <v>0</v>
      </c>
      <c r="BW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5" s="43" t="n">
        <f aca="false">IF(NOT(Tasks[[#This Row],[_IsLeaf]]=1),0,MAX(_xlfn.MAXIFS(Tasks[_Row],Tasks[Pred1 UID],Tasks[[#This Row],[UID]]),_xlfn.MAXIFS(Tasks[_Row],Tasks[Pred2 UID],Tasks[[#This Row],[UID]])))</f>
        <v>0</v>
      </c>
      <c r="CB6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5" s="67" t="str">
        <f aca="false">IF(NOT(Tasks[[#This Row],[_IsLeaf]]=1),"",MIN(ProjectFinish,IF(N(Tasks[[#This Row],[Deadline]])&gt;0,Tasks[[#This Row],[Deadline]],2958465),Tasks[[#This Row],[_SuccessorFinishLimit]]))</f>
        <v/>
      </c>
      <c r="CD6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5" s="66" t="b">
        <f aca="false">AND(Tasks[[#This Row],[_IsLeaf]]=1,Tasks[[#This Row],[_LeafProgress]]&lt;1,N(Tasks[[#This Row],[_LeafTotalSlack]])&lt;=CriticalSlackDays)</f>
        <v>0</v>
      </c>
      <c r="CG6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5" s="43" t="n">
        <f aca="false">IF(AND(Tasks[[#This Row],[_IsLeaf]]=1,Tasks[[#This Row],[_LeafWork]]&gt;0),NETWORKDAYS.INTL(ProjectStart,Tasks[[#This Row],[_LeafFcstStart]],WorkWeek,Holidays),0)</f>
        <v>0</v>
      </c>
      <c r="CP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5" s="43" t="n">
        <f aca="false">IF(AND(Tasks[[#This Row],[_IsLeaf]]=1,Tasks[[#This Row],[_LeafWork]]&gt;0),Tasks[[#This Row],[_LeafWork]]/(Tasks[[#This Row],[_FinishWorkday]]-Tasks[[#This Row],[_StartWorkday]]+1),0)</f>
        <v>0</v>
      </c>
      <c r="CR65" s="43" t="n">
        <f aca="false">Tasks[[#This Row],[_WorkPerWorkday]]*(Tasks[[#This Row],[_StartWorkday]]-1)</f>
        <v>-0</v>
      </c>
      <c r="CS65" s="43" t="n">
        <f aca="false">IF(Tasks[[#This Row],[_IsLeaf]]=1,MAX(N(Tasks[[#This Row],[Duration]]),0.1),0)</f>
        <v>0</v>
      </c>
      <c r="CT65" s="43" t="n">
        <f aca="false">Tasks[[#This Row],[_WeightDur]]*Tasks[[#This Row],[_LeafProgress]]</f>
        <v>0</v>
      </c>
      <c r="CU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5" s="43" t="str">
        <f aca="false">IF(AND(Tasks[[#This Row],[_IsLeaf]]=1,N(Tasks[[#This Row],[Duration]])=0,Tasks[[#This Row],[_LeafProgress]]&lt;1),Tasks[[#This Row],[_LeafFcstFinish]]+Tasks[[#This Row],[_Row]]/100000,"")</f>
        <v/>
      </c>
      <c r="DA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5" s="43" t="n">
        <f aca="false">IF(NOT(Tasks[[#This Row],[_IsLeaf]]=1),0,IF(Tasks[[#This Row],[Baseline Cost]]="",Tasks[[#This Row],[_LeafCost]],N(Tasks[[#This Row],[Baseline Cost]])))</f>
        <v>0</v>
      </c>
      <c r="DC65" s="43" t="n">
        <f aca="false">Tasks[[#This Row],[_LeafBudget]]*Tasks[[#This Row],[_PlannedPct]]</f>
        <v>0</v>
      </c>
      <c r="DD65" s="43" t="n">
        <f aca="false">Tasks[[#This Row],[_LeafBudget]]*Tasks[[#This Row],[_LeafProgress]]</f>
        <v>0</v>
      </c>
      <c r="DE65" s="43" t="n">
        <f aca="false">IF(NOT(Tasks[[#This Row],[_IsLeaf]]=1),0,IF(Tasks[[#This Row],[Actual Cost]]="",Tasks[[#This Row],[_LeafCost]]*Tasks[[#This Row],[_LeafProgress]],N(Tasks[[#This Row],[Actual Cost]])))</f>
        <v>0</v>
      </c>
      <c r="DF65" s="43" t="str">
        <f aca="false">IF(Tasks[[#This Row],[Task Name]]="","",LEFT(Tasks[[#This Row],[WBS]],FIND(".",Tasks[[#This Row],[WBS]]&amp;".")-1))</f>
        <v/>
      </c>
      <c r="DG65" s="43" t="str">
        <f aca="false">IF(AND(Tasks[[#This Row],[Task Name]]&lt;&gt;"",Tasks[[#This Row],[_Level]]=1),Tasks[[#This Row],[_Row]],"")</f>
        <v/>
      </c>
      <c r="DH65" s="43" t="str">
        <f aca="false">IF(AND(Tasks[[#This Row],[_IsLeaf]]=1,N(Tasks[[#This Row],[Duration]])=0),Tasks[[#This Row],[Planned Finish]]+Tasks[[#This Row],[_Row]]/100000,"")</f>
        <v/>
      </c>
      <c r="DI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5" s="43" t="str">
        <f aca="false">IF(Tasks[[#This Row],[_LeafCritical]],Tasks[[#This Row],[_LeafFcstStart]]+Tasks[[#This Row],[_Row]]/100000,"")</f>
        <v/>
      </c>
    </row>
    <row r="66" customFormat="false" ht="15" hidden="false" customHeight="false" outlineLevel="0" collapsed="false">
      <c r="A66" s="28" t="str">
        <f aca="false">IF(Tasks[[#This Row],[Task Name]]="","",COUNTA(Tasks[[#Headers],[Task Name]]:Tasks[[#This Row],[Task Name]])-1)</f>
        <v/>
      </c>
      <c r="B66" s="29" t="n">
        <v>61</v>
      </c>
      <c r="C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29"/>
      <c r="E66" s="30"/>
      <c r="F66" s="29"/>
      <c r="G66" s="29"/>
      <c r="H66" s="29"/>
      <c r="I66" s="29"/>
      <c r="J66" s="29"/>
      <c r="K66" s="29"/>
      <c r="L66" s="29"/>
      <c r="M66" s="29"/>
      <c r="N66" s="53"/>
      <c r="O66" s="53"/>
      <c r="P66" s="25" t="str">
        <f aca="false">IF(Tasks[[#This Row],[Task Name]]="","",IF(N(Tasks[[#This Row],[Baseline Start]])&gt;0,Tasks[[#This Row],[Baseline Start]],Tasks[[#This Row],[_CalcStart]]))</f>
        <v/>
      </c>
      <c r="Q66" s="25" t="str">
        <f aca="false">IF(Tasks[[#This Row],[Task Name]]="","",IF(N(Tasks[[#This Row],[Baseline Finish]])&gt;0,Tasks[[#This Row],[Baseline Finish]],Tasks[[#This Row],[_CalcFinish]]))</f>
        <v/>
      </c>
      <c r="R66" s="53"/>
      <c r="S66" s="53"/>
      <c r="T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55"/>
      <c r="AF6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30"/>
      <c r="AI66" s="55"/>
      <c r="AJ6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64"/>
      <c r="AM6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6" s="30"/>
      <c r="AP66" s="25" t="str">
        <f aca="false">IF(Tasks[[#This Row],[Task Name]]="","",Tasks[[#This Row],[Forecast Start]])</f>
        <v/>
      </c>
      <c r="AQ66" s="25" t="str">
        <f aca="false">IF(Tasks[[#This Row],[Task Name]]="","",Tasks[[#This Row],[Forecast Finish]])</f>
        <v/>
      </c>
      <c r="AR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6" s="62" t="str">
        <f aca="false">IF(Tasks[[#This Row],[Task Name]]="","",Tasks[[#This Row],[Work]])</f>
        <v/>
      </c>
      <c r="AT66" s="63" t="str">
        <f aca="false">IF(Tasks[[#This Row],[Task Name]]="","",Tasks[[#This Row],[Cost]])</f>
        <v/>
      </c>
      <c r="AU66" s="53"/>
      <c r="AV66" s="53"/>
      <c r="AW66" s="29"/>
      <c r="AX66" s="65"/>
      <c r="AY66" s="64"/>
      <c r="AZ66" s="28" t="str">
        <f aca="false">IF(OR(Tasks[[#This Row],[Task Name]]="",Tasks[[#This Row],[Baseline Duration]]=""),"",Tasks[[#This Row],[BL Source Duration]]-N(Tasks[[#This Row],[Baseline Duration]]))</f>
        <v/>
      </c>
      <c r="BA66" s="62" t="str">
        <f aca="false">IF(OR(Tasks[[#This Row],[Task Name]]="",Tasks[[#This Row],[Baseline Work]]=""),"",Tasks[[#This Row],[Work]]-N(Tasks[[#This Row],[Baseline Work]]))</f>
        <v/>
      </c>
      <c r="BB66" s="63" t="str">
        <f aca="false">IF(OR(Tasks[[#This Row],[Task Name]]="",Tasks[[#This Row],[Baseline Cost]]=""),"",Tasks[[#This Row],[Cost]]-N(Tasks[[#This Row],[Baseline Cost]]))</f>
        <v/>
      </c>
      <c r="BC6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6" s="43" t="str">
        <f aca="false">IF(Tasks[[#This Row],[Task Name]]="","",MAX(1,N(Tasks[[#This Row],[Level]])))</f>
        <v/>
      </c>
      <c r="BH66" s="43" t="n">
        <f aca="false">ROW()-ROW(Tasks[[#Headers],[ID]])</f>
        <v>61</v>
      </c>
      <c r="BI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6" s="43" t="n">
        <f aca="false">IFERROR(N(INDEX(Tasks[_Level],Tasks[[#This Row],[_Row]]+1)),0)</f>
        <v>0</v>
      </c>
      <c r="BK66" s="66" t="b">
        <f aca="false">AND(Tasks[[#This Row],[Task Name]]&lt;&gt;"",Tasks[[#This Row],[_NextLevel]]&gt;Tasks[[#This Row],[_Level]])</f>
        <v>0</v>
      </c>
      <c r="BL66" s="43" t="n">
        <f aca="false">IF(Tasks[[#This Row],[_IsSummary]],COUNTIF(Tasks[WBS],Tasks[[#This Row],[WBS]]&amp;".*"),0)</f>
        <v>0</v>
      </c>
      <c r="BM66" s="43" t="n">
        <f aca="false">IF(AND(Tasks[[#This Row],[Task Name]]&lt;&gt;"",NOT(Tasks[[#This Row],[_IsSummary]])),1,0)</f>
        <v>0</v>
      </c>
      <c r="BN66" s="43" t="n">
        <f aca="false">IF(N(Tasks[[#This Row],[Pred1 UID]])=0,0,IFERROR(MATCH(Tasks[[#This Row],[Pred1 UID]],Tasks[UID],0),-1))</f>
        <v>0</v>
      </c>
      <c r="BO66" s="43" t="n">
        <f aca="false">IF(N(Tasks[[#This Row],[Pred2 UID]])=0,0,IFERROR(MATCH(Tasks[[#This Row],[Pred2 UID]],Tasks[UID],0),-1))</f>
        <v>0</v>
      </c>
      <c r="BP6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6" s="43" t="n">
        <f aca="false">IF(NOT(Tasks[[#This Row],[_IsLeaf]]=1),0,IF(N(Tasks[[#This Row],[Actual Finish]])&gt;0,1,MIN(1,N(Tasks[[#This Row],[% Complete]]))))</f>
        <v>0</v>
      </c>
      <c r="BU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6" s="43" t="n">
        <f aca="false">IF(Tasks[[#This Row],[_LeafWork]]=0,0,Tasks[[#This Row],[_LeafWork]]*IFERROR(INDEX(res_Rate,MATCH(Tasks[[#This Row],[Resource]],res_Name,0)),0))</f>
        <v>0</v>
      </c>
      <c r="BW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6" s="43" t="n">
        <f aca="false">IF(NOT(Tasks[[#This Row],[_IsLeaf]]=1),0,MAX(_xlfn.MAXIFS(Tasks[_Row],Tasks[Pred1 UID],Tasks[[#This Row],[UID]]),_xlfn.MAXIFS(Tasks[_Row],Tasks[Pred2 UID],Tasks[[#This Row],[UID]])))</f>
        <v>0</v>
      </c>
      <c r="CB6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6" s="67" t="str">
        <f aca="false">IF(NOT(Tasks[[#This Row],[_IsLeaf]]=1),"",MIN(ProjectFinish,IF(N(Tasks[[#This Row],[Deadline]])&gt;0,Tasks[[#This Row],[Deadline]],2958465),Tasks[[#This Row],[_SuccessorFinishLimit]]))</f>
        <v/>
      </c>
      <c r="CD6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6" s="66" t="b">
        <f aca="false">AND(Tasks[[#This Row],[_IsLeaf]]=1,Tasks[[#This Row],[_LeafProgress]]&lt;1,N(Tasks[[#This Row],[_LeafTotalSlack]])&lt;=CriticalSlackDays)</f>
        <v>0</v>
      </c>
      <c r="CG6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6" s="43" t="n">
        <f aca="false">IF(AND(Tasks[[#This Row],[_IsLeaf]]=1,Tasks[[#This Row],[_LeafWork]]&gt;0),NETWORKDAYS.INTL(ProjectStart,Tasks[[#This Row],[_LeafFcstStart]],WorkWeek,Holidays),0)</f>
        <v>0</v>
      </c>
      <c r="CP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6" s="43" t="n">
        <f aca="false">IF(AND(Tasks[[#This Row],[_IsLeaf]]=1,Tasks[[#This Row],[_LeafWork]]&gt;0),Tasks[[#This Row],[_LeafWork]]/(Tasks[[#This Row],[_FinishWorkday]]-Tasks[[#This Row],[_StartWorkday]]+1),0)</f>
        <v>0</v>
      </c>
      <c r="CR66" s="43" t="n">
        <f aca="false">Tasks[[#This Row],[_WorkPerWorkday]]*(Tasks[[#This Row],[_StartWorkday]]-1)</f>
        <v>-0</v>
      </c>
      <c r="CS66" s="43" t="n">
        <f aca="false">IF(Tasks[[#This Row],[_IsLeaf]]=1,MAX(N(Tasks[[#This Row],[Duration]]),0.1),0)</f>
        <v>0</v>
      </c>
      <c r="CT66" s="43" t="n">
        <f aca="false">Tasks[[#This Row],[_WeightDur]]*Tasks[[#This Row],[_LeafProgress]]</f>
        <v>0</v>
      </c>
      <c r="CU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6" s="43" t="str">
        <f aca="false">IF(AND(Tasks[[#This Row],[_IsLeaf]]=1,N(Tasks[[#This Row],[Duration]])=0,Tasks[[#This Row],[_LeafProgress]]&lt;1),Tasks[[#This Row],[_LeafFcstFinish]]+Tasks[[#This Row],[_Row]]/100000,"")</f>
        <v/>
      </c>
      <c r="DA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6" s="43" t="n">
        <f aca="false">IF(NOT(Tasks[[#This Row],[_IsLeaf]]=1),0,IF(Tasks[[#This Row],[Baseline Cost]]="",Tasks[[#This Row],[_LeafCost]],N(Tasks[[#This Row],[Baseline Cost]])))</f>
        <v>0</v>
      </c>
      <c r="DC66" s="43" t="n">
        <f aca="false">Tasks[[#This Row],[_LeafBudget]]*Tasks[[#This Row],[_PlannedPct]]</f>
        <v>0</v>
      </c>
      <c r="DD66" s="43" t="n">
        <f aca="false">Tasks[[#This Row],[_LeafBudget]]*Tasks[[#This Row],[_LeafProgress]]</f>
        <v>0</v>
      </c>
      <c r="DE66" s="43" t="n">
        <f aca="false">IF(NOT(Tasks[[#This Row],[_IsLeaf]]=1),0,IF(Tasks[[#This Row],[Actual Cost]]="",Tasks[[#This Row],[_LeafCost]]*Tasks[[#This Row],[_LeafProgress]],N(Tasks[[#This Row],[Actual Cost]])))</f>
        <v>0</v>
      </c>
      <c r="DF66" s="43" t="str">
        <f aca="false">IF(Tasks[[#This Row],[Task Name]]="","",LEFT(Tasks[[#This Row],[WBS]],FIND(".",Tasks[[#This Row],[WBS]]&amp;".")-1))</f>
        <v/>
      </c>
      <c r="DG66" s="43" t="str">
        <f aca="false">IF(AND(Tasks[[#This Row],[Task Name]]&lt;&gt;"",Tasks[[#This Row],[_Level]]=1),Tasks[[#This Row],[_Row]],"")</f>
        <v/>
      </c>
      <c r="DH66" s="43" t="str">
        <f aca="false">IF(AND(Tasks[[#This Row],[_IsLeaf]]=1,N(Tasks[[#This Row],[Duration]])=0),Tasks[[#This Row],[Planned Finish]]+Tasks[[#This Row],[_Row]]/100000,"")</f>
        <v/>
      </c>
      <c r="DI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6" s="43" t="str">
        <f aca="false">IF(Tasks[[#This Row],[_LeafCritical]],Tasks[[#This Row],[_LeafFcstStart]]+Tasks[[#This Row],[_Row]]/100000,"")</f>
        <v/>
      </c>
    </row>
    <row r="67" customFormat="false" ht="15" hidden="false" customHeight="false" outlineLevel="0" collapsed="false">
      <c r="A67" s="28" t="str">
        <f aca="false">IF(Tasks[[#This Row],[Task Name]]="","",COUNTA(Tasks[[#Headers],[Task Name]]:Tasks[[#This Row],[Task Name]])-1)</f>
        <v/>
      </c>
      <c r="B67" s="29" t="n">
        <v>62</v>
      </c>
      <c r="C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29"/>
      <c r="E67" s="30"/>
      <c r="F67" s="29"/>
      <c r="G67" s="29"/>
      <c r="H67" s="29"/>
      <c r="I67" s="29"/>
      <c r="J67" s="29"/>
      <c r="K67" s="29"/>
      <c r="L67" s="29"/>
      <c r="M67" s="29"/>
      <c r="N67" s="53"/>
      <c r="O67" s="53"/>
      <c r="P67" s="25" t="str">
        <f aca="false">IF(Tasks[[#This Row],[Task Name]]="","",IF(N(Tasks[[#This Row],[Baseline Start]])&gt;0,Tasks[[#This Row],[Baseline Start]],Tasks[[#This Row],[_CalcStart]]))</f>
        <v/>
      </c>
      <c r="Q67" s="25" t="str">
        <f aca="false">IF(Tasks[[#This Row],[Task Name]]="","",IF(N(Tasks[[#This Row],[Baseline Finish]])&gt;0,Tasks[[#This Row],[Baseline Finish]],Tasks[[#This Row],[_CalcFinish]]))</f>
        <v/>
      </c>
      <c r="R67" s="53"/>
      <c r="S67" s="53"/>
      <c r="T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55"/>
      <c r="AF6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30"/>
      <c r="AI67" s="55"/>
      <c r="AJ6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64"/>
      <c r="AM6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7" s="30"/>
      <c r="AP67" s="25" t="str">
        <f aca="false">IF(Tasks[[#This Row],[Task Name]]="","",Tasks[[#This Row],[Forecast Start]])</f>
        <v/>
      </c>
      <c r="AQ67" s="25" t="str">
        <f aca="false">IF(Tasks[[#This Row],[Task Name]]="","",Tasks[[#This Row],[Forecast Finish]])</f>
        <v/>
      </c>
      <c r="AR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7" s="62" t="str">
        <f aca="false">IF(Tasks[[#This Row],[Task Name]]="","",Tasks[[#This Row],[Work]])</f>
        <v/>
      </c>
      <c r="AT67" s="63" t="str">
        <f aca="false">IF(Tasks[[#This Row],[Task Name]]="","",Tasks[[#This Row],[Cost]])</f>
        <v/>
      </c>
      <c r="AU67" s="53"/>
      <c r="AV67" s="53"/>
      <c r="AW67" s="29"/>
      <c r="AX67" s="65"/>
      <c r="AY67" s="64"/>
      <c r="AZ67" s="28" t="str">
        <f aca="false">IF(OR(Tasks[[#This Row],[Task Name]]="",Tasks[[#This Row],[Baseline Duration]]=""),"",Tasks[[#This Row],[BL Source Duration]]-N(Tasks[[#This Row],[Baseline Duration]]))</f>
        <v/>
      </c>
      <c r="BA67" s="62" t="str">
        <f aca="false">IF(OR(Tasks[[#This Row],[Task Name]]="",Tasks[[#This Row],[Baseline Work]]=""),"",Tasks[[#This Row],[Work]]-N(Tasks[[#This Row],[Baseline Work]]))</f>
        <v/>
      </c>
      <c r="BB67" s="63" t="str">
        <f aca="false">IF(OR(Tasks[[#This Row],[Task Name]]="",Tasks[[#This Row],[Baseline Cost]]=""),"",Tasks[[#This Row],[Cost]]-N(Tasks[[#This Row],[Baseline Cost]]))</f>
        <v/>
      </c>
      <c r="BC6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7" s="43" t="str">
        <f aca="false">IF(Tasks[[#This Row],[Task Name]]="","",MAX(1,N(Tasks[[#This Row],[Level]])))</f>
        <v/>
      </c>
      <c r="BH67" s="43" t="n">
        <f aca="false">ROW()-ROW(Tasks[[#Headers],[ID]])</f>
        <v>62</v>
      </c>
      <c r="BI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7" s="43" t="n">
        <f aca="false">IFERROR(N(INDEX(Tasks[_Level],Tasks[[#This Row],[_Row]]+1)),0)</f>
        <v>0</v>
      </c>
      <c r="BK67" s="66" t="b">
        <f aca="false">AND(Tasks[[#This Row],[Task Name]]&lt;&gt;"",Tasks[[#This Row],[_NextLevel]]&gt;Tasks[[#This Row],[_Level]])</f>
        <v>0</v>
      </c>
      <c r="BL67" s="43" t="n">
        <f aca="false">IF(Tasks[[#This Row],[_IsSummary]],COUNTIF(Tasks[WBS],Tasks[[#This Row],[WBS]]&amp;".*"),0)</f>
        <v>0</v>
      </c>
      <c r="BM67" s="43" t="n">
        <f aca="false">IF(AND(Tasks[[#This Row],[Task Name]]&lt;&gt;"",NOT(Tasks[[#This Row],[_IsSummary]])),1,0)</f>
        <v>0</v>
      </c>
      <c r="BN67" s="43" t="n">
        <f aca="false">IF(N(Tasks[[#This Row],[Pred1 UID]])=0,0,IFERROR(MATCH(Tasks[[#This Row],[Pred1 UID]],Tasks[UID],0),-1))</f>
        <v>0</v>
      </c>
      <c r="BO67" s="43" t="n">
        <f aca="false">IF(N(Tasks[[#This Row],[Pred2 UID]])=0,0,IFERROR(MATCH(Tasks[[#This Row],[Pred2 UID]],Tasks[UID],0),-1))</f>
        <v>0</v>
      </c>
      <c r="BP6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7" s="43" t="n">
        <f aca="false">IF(NOT(Tasks[[#This Row],[_IsLeaf]]=1),0,IF(N(Tasks[[#This Row],[Actual Finish]])&gt;0,1,MIN(1,N(Tasks[[#This Row],[% Complete]]))))</f>
        <v>0</v>
      </c>
      <c r="BU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7" s="43" t="n">
        <f aca="false">IF(Tasks[[#This Row],[_LeafWork]]=0,0,Tasks[[#This Row],[_LeafWork]]*IFERROR(INDEX(res_Rate,MATCH(Tasks[[#This Row],[Resource]],res_Name,0)),0))</f>
        <v>0</v>
      </c>
      <c r="BW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7" s="43" t="n">
        <f aca="false">IF(NOT(Tasks[[#This Row],[_IsLeaf]]=1),0,MAX(_xlfn.MAXIFS(Tasks[_Row],Tasks[Pred1 UID],Tasks[[#This Row],[UID]]),_xlfn.MAXIFS(Tasks[_Row],Tasks[Pred2 UID],Tasks[[#This Row],[UID]])))</f>
        <v>0</v>
      </c>
      <c r="CB6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7" s="67" t="str">
        <f aca="false">IF(NOT(Tasks[[#This Row],[_IsLeaf]]=1),"",MIN(ProjectFinish,IF(N(Tasks[[#This Row],[Deadline]])&gt;0,Tasks[[#This Row],[Deadline]],2958465),Tasks[[#This Row],[_SuccessorFinishLimit]]))</f>
        <v/>
      </c>
      <c r="CD6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7" s="66" t="b">
        <f aca="false">AND(Tasks[[#This Row],[_IsLeaf]]=1,Tasks[[#This Row],[_LeafProgress]]&lt;1,N(Tasks[[#This Row],[_LeafTotalSlack]])&lt;=CriticalSlackDays)</f>
        <v>0</v>
      </c>
      <c r="CG6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7" s="43" t="n">
        <f aca="false">IF(AND(Tasks[[#This Row],[_IsLeaf]]=1,Tasks[[#This Row],[_LeafWork]]&gt;0),NETWORKDAYS.INTL(ProjectStart,Tasks[[#This Row],[_LeafFcstStart]],WorkWeek,Holidays),0)</f>
        <v>0</v>
      </c>
      <c r="CP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7" s="43" t="n">
        <f aca="false">IF(AND(Tasks[[#This Row],[_IsLeaf]]=1,Tasks[[#This Row],[_LeafWork]]&gt;0),Tasks[[#This Row],[_LeafWork]]/(Tasks[[#This Row],[_FinishWorkday]]-Tasks[[#This Row],[_StartWorkday]]+1),0)</f>
        <v>0</v>
      </c>
      <c r="CR67" s="43" t="n">
        <f aca="false">Tasks[[#This Row],[_WorkPerWorkday]]*(Tasks[[#This Row],[_StartWorkday]]-1)</f>
        <v>-0</v>
      </c>
      <c r="CS67" s="43" t="n">
        <f aca="false">IF(Tasks[[#This Row],[_IsLeaf]]=1,MAX(N(Tasks[[#This Row],[Duration]]),0.1),0)</f>
        <v>0</v>
      </c>
      <c r="CT67" s="43" t="n">
        <f aca="false">Tasks[[#This Row],[_WeightDur]]*Tasks[[#This Row],[_LeafProgress]]</f>
        <v>0</v>
      </c>
      <c r="CU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7" s="43" t="str">
        <f aca="false">IF(AND(Tasks[[#This Row],[_IsLeaf]]=1,N(Tasks[[#This Row],[Duration]])=0,Tasks[[#This Row],[_LeafProgress]]&lt;1),Tasks[[#This Row],[_LeafFcstFinish]]+Tasks[[#This Row],[_Row]]/100000,"")</f>
        <v/>
      </c>
      <c r="DA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7" s="43" t="n">
        <f aca="false">IF(NOT(Tasks[[#This Row],[_IsLeaf]]=1),0,IF(Tasks[[#This Row],[Baseline Cost]]="",Tasks[[#This Row],[_LeafCost]],N(Tasks[[#This Row],[Baseline Cost]])))</f>
        <v>0</v>
      </c>
      <c r="DC67" s="43" t="n">
        <f aca="false">Tasks[[#This Row],[_LeafBudget]]*Tasks[[#This Row],[_PlannedPct]]</f>
        <v>0</v>
      </c>
      <c r="DD67" s="43" t="n">
        <f aca="false">Tasks[[#This Row],[_LeafBudget]]*Tasks[[#This Row],[_LeafProgress]]</f>
        <v>0</v>
      </c>
      <c r="DE67" s="43" t="n">
        <f aca="false">IF(NOT(Tasks[[#This Row],[_IsLeaf]]=1),0,IF(Tasks[[#This Row],[Actual Cost]]="",Tasks[[#This Row],[_LeafCost]]*Tasks[[#This Row],[_LeafProgress]],N(Tasks[[#This Row],[Actual Cost]])))</f>
        <v>0</v>
      </c>
      <c r="DF67" s="43" t="str">
        <f aca="false">IF(Tasks[[#This Row],[Task Name]]="","",LEFT(Tasks[[#This Row],[WBS]],FIND(".",Tasks[[#This Row],[WBS]]&amp;".")-1))</f>
        <v/>
      </c>
      <c r="DG67" s="43" t="str">
        <f aca="false">IF(AND(Tasks[[#This Row],[Task Name]]&lt;&gt;"",Tasks[[#This Row],[_Level]]=1),Tasks[[#This Row],[_Row]],"")</f>
        <v/>
      </c>
      <c r="DH67" s="43" t="str">
        <f aca="false">IF(AND(Tasks[[#This Row],[_IsLeaf]]=1,N(Tasks[[#This Row],[Duration]])=0),Tasks[[#This Row],[Planned Finish]]+Tasks[[#This Row],[_Row]]/100000,"")</f>
        <v/>
      </c>
      <c r="DI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7" s="43" t="str">
        <f aca="false">IF(Tasks[[#This Row],[_LeafCritical]],Tasks[[#This Row],[_LeafFcstStart]]+Tasks[[#This Row],[_Row]]/100000,"")</f>
        <v/>
      </c>
    </row>
    <row r="68" customFormat="false" ht="15" hidden="false" customHeight="false" outlineLevel="0" collapsed="false">
      <c r="A68" s="28" t="str">
        <f aca="false">IF(Tasks[[#This Row],[Task Name]]="","",COUNTA(Tasks[[#Headers],[Task Name]]:Tasks[[#This Row],[Task Name]])-1)</f>
        <v/>
      </c>
      <c r="B68" s="29" t="n">
        <v>63</v>
      </c>
      <c r="C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29"/>
      <c r="E68" s="30"/>
      <c r="F68" s="29"/>
      <c r="G68" s="29"/>
      <c r="H68" s="29"/>
      <c r="I68" s="29"/>
      <c r="J68" s="29"/>
      <c r="K68" s="29"/>
      <c r="L68" s="29"/>
      <c r="M68" s="29"/>
      <c r="N68" s="53"/>
      <c r="O68" s="53"/>
      <c r="P68" s="25" t="str">
        <f aca="false">IF(Tasks[[#This Row],[Task Name]]="","",IF(N(Tasks[[#This Row],[Baseline Start]])&gt;0,Tasks[[#This Row],[Baseline Start]],Tasks[[#This Row],[_CalcStart]]))</f>
        <v/>
      </c>
      <c r="Q68" s="25" t="str">
        <f aca="false">IF(Tasks[[#This Row],[Task Name]]="","",IF(N(Tasks[[#This Row],[Baseline Finish]])&gt;0,Tasks[[#This Row],[Baseline Finish]],Tasks[[#This Row],[_CalcFinish]]))</f>
        <v/>
      </c>
      <c r="R68" s="53"/>
      <c r="S68" s="53"/>
      <c r="T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55"/>
      <c r="AF6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30"/>
      <c r="AI68" s="55"/>
      <c r="AJ6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64"/>
      <c r="AM6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8" s="30"/>
      <c r="AP68" s="25" t="str">
        <f aca="false">IF(Tasks[[#This Row],[Task Name]]="","",Tasks[[#This Row],[Forecast Start]])</f>
        <v/>
      </c>
      <c r="AQ68" s="25" t="str">
        <f aca="false">IF(Tasks[[#This Row],[Task Name]]="","",Tasks[[#This Row],[Forecast Finish]])</f>
        <v/>
      </c>
      <c r="AR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8" s="62" t="str">
        <f aca="false">IF(Tasks[[#This Row],[Task Name]]="","",Tasks[[#This Row],[Work]])</f>
        <v/>
      </c>
      <c r="AT68" s="63" t="str">
        <f aca="false">IF(Tasks[[#This Row],[Task Name]]="","",Tasks[[#This Row],[Cost]])</f>
        <v/>
      </c>
      <c r="AU68" s="53"/>
      <c r="AV68" s="53"/>
      <c r="AW68" s="29"/>
      <c r="AX68" s="65"/>
      <c r="AY68" s="64"/>
      <c r="AZ68" s="28" t="str">
        <f aca="false">IF(OR(Tasks[[#This Row],[Task Name]]="",Tasks[[#This Row],[Baseline Duration]]=""),"",Tasks[[#This Row],[BL Source Duration]]-N(Tasks[[#This Row],[Baseline Duration]]))</f>
        <v/>
      </c>
      <c r="BA68" s="62" t="str">
        <f aca="false">IF(OR(Tasks[[#This Row],[Task Name]]="",Tasks[[#This Row],[Baseline Work]]=""),"",Tasks[[#This Row],[Work]]-N(Tasks[[#This Row],[Baseline Work]]))</f>
        <v/>
      </c>
      <c r="BB68" s="63" t="str">
        <f aca="false">IF(OR(Tasks[[#This Row],[Task Name]]="",Tasks[[#This Row],[Baseline Cost]]=""),"",Tasks[[#This Row],[Cost]]-N(Tasks[[#This Row],[Baseline Cost]]))</f>
        <v/>
      </c>
      <c r="BC6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8" s="43" t="str">
        <f aca="false">IF(Tasks[[#This Row],[Task Name]]="","",MAX(1,N(Tasks[[#This Row],[Level]])))</f>
        <v/>
      </c>
      <c r="BH68" s="43" t="n">
        <f aca="false">ROW()-ROW(Tasks[[#Headers],[ID]])</f>
        <v>63</v>
      </c>
      <c r="BI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8" s="43" t="n">
        <f aca="false">IFERROR(N(INDEX(Tasks[_Level],Tasks[[#This Row],[_Row]]+1)),0)</f>
        <v>0</v>
      </c>
      <c r="BK68" s="66" t="b">
        <f aca="false">AND(Tasks[[#This Row],[Task Name]]&lt;&gt;"",Tasks[[#This Row],[_NextLevel]]&gt;Tasks[[#This Row],[_Level]])</f>
        <v>0</v>
      </c>
      <c r="BL68" s="43" t="n">
        <f aca="false">IF(Tasks[[#This Row],[_IsSummary]],COUNTIF(Tasks[WBS],Tasks[[#This Row],[WBS]]&amp;".*"),0)</f>
        <v>0</v>
      </c>
      <c r="BM68" s="43" t="n">
        <f aca="false">IF(AND(Tasks[[#This Row],[Task Name]]&lt;&gt;"",NOT(Tasks[[#This Row],[_IsSummary]])),1,0)</f>
        <v>0</v>
      </c>
      <c r="BN68" s="43" t="n">
        <f aca="false">IF(N(Tasks[[#This Row],[Pred1 UID]])=0,0,IFERROR(MATCH(Tasks[[#This Row],[Pred1 UID]],Tasks[UID],0),-1))</f>
        <v>0</v>
      </c>
      <c r="BO68" s="43" t="n">
        <f aca="false">IF(N(Tasks[[#This Row],[Pred2 UID]])=0,0,IFERROR(MATCH(Tasks[[#This Row],[Pred2 UID]],Tasks[UID],0),-1))</f>
        <v>0</v>
      </c>
      <c r="BP6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8" s="43" t="n">
        <f aca="false">IF(NOT(Tasks[[#This Row],[_IsLeaf]]=1),0,IF(N(Tasks[[#This Row],[Actual Finish]])&gt;0,1,MIN(1,N(Tasks[[#This Row],[% Complete]]))))</f>
        <v>0</v>
      </c>
      <c r="BU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8" s="43" t="n">
        <f aca="false">IF(Tasks[[#This Row],[_LeafWork]]=0,0,Tasks[[#This Row],[_LeafWork]]*IFERROR(INDEX(res_Rate,MATCH(Tasks[[#This Row],[Resource]],res_Name,0)),0))</f>
        <v>0</v>
      </c>
      <c r="BW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8" s="43" t="n">
        <f aca="false">IF(NOT(Tasks[[#This Row],[_IsLeaf]]=1),0,MAX(_xlfn.MAXIFS(Tasks[_Row],Tasks[Pred1 UID],Tasks[[#This Row],[UID]]),_xlfn.MAXIFS(Tasks[_Row],Tasks[Pred2 UID],Tasks[[#This Row],[UID]])))</f>
        <v>0</v>
      </c>
      <c r="CB6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8" s="67" t="str">
        <f aca="false">IF(NOT(Tasks[[#This Row],[_IsLeaf]]=1),"",MIN(ProjectFinish,IF(N(Tasks[[#This Row],[Deadline]])&gt;0,Tasks[[#This Row],[Deadline]],2958465),Tasks[[#This Row],[_SuccessorFinishLimit]]))</f>
        <v/>
      </c>
      <c r="CD6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8" s="66" t="b">
        <f aca="false">AND(Tasks[[#This Row],[_IsLeaf]]=1,Tasks[[#This Row],[_LeafProgress]]&lt;1,N(Tasks[[#This Row],[_LeafTotalSlack]])&lt;=CriticalSlackDays)</f>
        <v>0</v>
      </c>
      <c r="CG6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8" s="43" t="n">
        <f aca="false">IF(AND(Tasks[[#This Row],[_IsLeaf]]=1,Tasks[[#This Row],[_LeafWork]]&gt;0),NETWORKDAYS.INTL(ProjectStart,Tasks[[#This Row],[_LeafFcstStart]],WorkWeek,Holidays),0)</f>
        <v>0</v>
      </c>
      <c r="CP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8" s="43" t="n">
        <f aca="false">IF(AND(Tasks[[#This Row],[_IsLeaf]]=1,Tasks[[#This Row],[_LeafWork]]&gt;0),Tasks[[#This Row],[_LeafWork]]/(Tasks[[#This Row],[_FinishWorkday]]-Tasks[[#This Row],[_StartWorkday]]+1),0)</f>
        <v>0</v>
      </c>
      <c r="CR68" s="43" t="n">
        <f aca="false">Tasks[[#This Row],[_WorkPerWorkday]]*(Tasks[[#This Row],[_StartWorkday]]-1)</f>
        <v>-0</v>
      </c>
      <c r="CS68" s="43" t="n">
        <f aca="false">IF(Tasks[[#This Row],[_IsLeaf]]=1,MAX(N(Tasks[[#This Row],[Duration]]),0.1),0)</f>
        <v>0</v>
      </c>
      <c r="CT68" s="43" t="n">
        <f aca="false">Tasks[[#This Row],[_WeightDur]]*Tasks[[#This Row],[_LeafProgress]]</f>
        <v>0</v>
      </c>
      <c r="CU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8" s="43" t="str">
        <f aca="false">IF(AND(Tasks[[#This Row],[_IsLeaf]]=1,N(Tasks[[#This Row],[Duration]])=0,Tasks[[#This Row],[_LeafProgress]]&lt;1),Tasks[[#This Row],[_LeafFcstFinish]]+Tasks[[#This Row],[_Row]]/100000,"")</f>
        <v/>
      </c>
      <c r="DA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8" s="43" t="n">
        <f aca="false">IF(NOT(Tasks[[#This Row],[_IsLeaf]]=1),0,IF(Tasks[[#This Row],[Baseline Cost]]="",Tasks[[#This Row],[_LeafCost]],N(Tasks[[#This Row],[Baseline Cost]])))</f>
        <v>0</v>
      </c>
      <c r="DC68" s="43" t="n">
        <f aca="false">Tasks[[#This Row],[_LeafBudget]]*Tasks[[#This Row],[_PlannedPct]]</f>
        <v>0</v>
      </c>
      <c r="DD68" s="43" t="n">
        <f aca="false">Tasks[[#This Row],[_LeafBudget]]*Tasks[[#This Row],[_LeafProgress]]</f>
        <v>0</v>
      </c>
      <c r="DE68" s="43" t="n">
        <f aca="false">IF(NOT(Tasks[[#This Row],[_IsLeaf]]=1),0,IF(Tasks[[#This Row],[Actual Cost]]="",Tasks[[#This Row],[_LeafCost]]*Tasks[[#This Row],[_LeafProgress]],N(Tasks[[#This Row],[Actual Cost]])))</f>
        <v>0</v>
      </c>
      <c r="DF68" s="43" t="str">
        <f aca="false">IF(Tasks[[#This Row],[Task Name]]="","",LEFT(Tasks[[#This Row],[WBS]],FIND(".",Tasks[[#This Row],[WBS]]&amp;".")-1))</f>
        <v/>
      </c>
      <c r="DG68" s="43" t="str">
        <f aca="false">IF(AND(Tasks[[#This Row],[Task Name]]&lt;&gt;"",Tasks[[#This Row],[_Level]]=1),Tasks[[#This Row],[_Row]],"")</f>
        <v/>
      </c>
      <c r="DH68" s="43" t="str">
        <f aca="false">IF(AND(Tasks[[#This Row],[_IsLeaf]]=1,N(Tasks[[#This Row],[Duration]])=0),Tasks[[#This Row],[Planned Finish]]+Tasks[[#This Row],[_Row]]/100000,"")</f>
        <v/>
      </c>
      <c r="DI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8" s="43" t="str">
        <f aca="false">IF(Tasks[[#This Row],[_LeafCritical]],Tasks[[#This Row],[_LeafFcstStart]]+Tasks[[#This Row],[_Row]]/100000,"")</f>
        <v/>
      </c>
    </row>
    <row r="69" customFormat="false" ht="15" hidden="false" customHeight="false" outlineLevel="0" collapsed="false">
      <c r="A69" s="28" t="str">
        <f aca="false">IF(Tasks[[#This Row],[Task Name]]="","",COUNTA(Tasks[[#Headers],[Task Name]]:Tasks[[#This Row],[Task Name]])-1)</f>
        <v/>
      </c>
      <c r="B69" s="29" t="n">
        <v>64</v>
      </c>
      <c r="C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29"/>
      <c r="E69" s="30"/>
      <c r="F69" s="29"/>
      <c r="G69" s="29"/>
      <c r="H69" s="29"/>
      <c r="I69" s="29"/>
      <c r="J69" s="29"/>
      <c r="K69" s="29"/>
      <c r="L69" s="29"/>
      <c r="M69" s="29"/>
      <c r="N69" s="53"/>
      <c r="O69" s="53"/>
      <c r="P69" s="25" t="str">
        <f aca="false">IF(Tasks[[#This Row],[Task Name]]="","",IF(N(Tasks[[#This Row],[Baseline Start]])&gt;0,Tasks[[#This Row],[Baseline Start]],Tasks[[#This Row],[_CalcStart]]))</f>
        <v/>
      </c>
      <c r="Q69" s="25" t="str">
        <f aca="false">IF(Tasks[[#This Row],[Task Name]]="","",IF(N(Tasks[[#This Row],[Baseline Finish]])&gt;0,Tasks[[#This Row],[Baseline Finish]],Tasks[[#This Row],[_CalcFinish]]))</f>
        <v/>
      </c>
      <c r="R69" s="53"/>
      <c r="S69" s="53"/>
      <c r="T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55"/>
      <c r="AF6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30"/>
      <c r="AI69" s="55"/>
      <c r="AJ6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64"/>
      <c r="AM6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69" s="30"/>
      <c r="AP69" s="25" t="str">
        <f aca="false">IF(Tasks[[#This Row],[Task Name]]="","",Tasks[[#This Row],[Forecast Start]])</f>
        <v/>
      </c>
      <c r="AQ69" s="25" t="str">
        <f aca="false">IF(Tasks[[#This Row],[Task Name]]="","",Tasks[[#This Row],[Forecast Finish]])</f>
        <v/>
      </c>
      <c r="AR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69" s="62" t="str">
        <f aca="false">IF(Tasks[[#This Row],[Task Name]]="","",Tasks[[#This Row],[Work]])</f>
        <v/>
      </c>
      <c r="AT69" s="63" t="str">
        <f aca="false">IF(Tasks[[#This Row],[Task Name]]="","",Tasks[[#This Row],[Cost]])</f>
        <v/>
      </c>
      <c r="AU69" s="53"/>
      <c r="AV69" s="53"/>
      <c r="AW69" s="29"/>
      <c r="AX69" s="65"/>
      <c r="AY69" s="64"/>
      <c r="AZ69" s="28" t="str">
        <f aca="false">IF(OR(Tasks[[#This Row],[Task Name]]="",Tasks[[#This Row],[Baseline Duration]]=""),"",Tasks[[#This Row],[BL Source Duration]]-N(Tasks[[#This Row],[Baseline Duration]]))</f>
        <v/>
      </c>
      <c r="BA69" s="62" t="str">
        <f aca="false">IF(OR(Tasks[[#This Row],[Task Name]]="",Tasks[[#This Row],[Baseline Work]]=""),"",Tasks[[#This Row],[Work]]-N(Tasks[[#This Row],[Baseline Work]]))</f>
        <v/>
      </c>
      <c r="BB69" s="63" t="str">
        <f aca="false">IF(OR(Tasks[[#This Row],[Task Name]]="",Tasks[[#This Row],[Baseline Cost]]=""),"",Tasks[[#This Row],[Cost]]-N(Tasks[[#This Row],[Baseline Cost]]))</f>
        <v/>
      </c>
      <c r="BC6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6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6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6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69" s="43" t="str">
        <f aca="false">IF(Tasks[[#This Row],[Task Name]]="","",MAX(1,N(Tasks[[#This Row],[Level]])))</f>
        <v/>
      </c>
      <c r="BH69" s="43" t="n">
        <f aca="false">ROW()-ROW(Tasks[[#Headers],[ID]])</f>
        <v>64</v>
      </c>
      <c r="BI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69" s="43" t="n">
        <f aca="false">IFERROR(N(INDEX(Tasks[_Level],Tasks[[#This Row],[_Row]]+1)),0)</f>
        <v>0</v>
      </c>
      <c r="BK69" s="66" t="b">
        <f aca="false">AND(Tasks[[#This Row],[Task Name]]&lt;&gt;"",Tasks[[#This Row],[_NextLevel]]&gt;Tasks[[#This Row],[_Level]])</f>
        <v>0</v>
      </c>
      <c r="BL69" s="43" t="n">
        <f aca="false">IF(Tasks[[#This Row],[_IsSummary]],COUNTIF(Tasks[WBS],Tasks[[#This Row],[WBS]]&amp;".*"),0)</f>
        <v>0</v>
      </c>
      <c r="BM69" s="43" t="n">
        <f aca="false">IF(AND(Tasks[[#This Row],[Task Name]]&lt;&gt;"",NOT(Tasks[[#This Row],[_IsSummary]])),1,0)</f>
        <v>0</v>
      </c>
      <c r="BN69" s="43" t="n">
        <f aca="false">IF(N(Tasks[[#This Row],[Pred1 UID]])=0,0,IFERROR(MATCH(Tasks[[#This Row],[Pred1 UID]],Tasks[UID],0),-1))</f>
        <v>0</v>
      </c>
      <c r="BO69" s="43" t="n">
        <f aca="false">IF(N(Tasks[[#This Row],[Pred2 UID]])=0,0,IFERROR(MATCH(Tasks[[#This Row],[Pred2 UID]],Tasks[UID],0),-1))</f>
        <v>0</v>
      </c>
      <c r="BP6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6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6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6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69" s="43" t="n">
        <f aca="false">IF(NOT(Tasks[[#This Row],[_IsLeaf]]=1),0,IF(N(Tasks[[#This Row],[Actual Finish]])&gt;0,1,MIN(1,N(Tasks[[#This Row],[% Complete]]))))</f>
        <v>0</v>
      </c>
      <c r="BU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69" s="43" t="n">
        <f aca="false">IF(Tasks[[#This Row],[_LeafWork]]=0,0,Tasks[[#This Row],[_LeafWork]]*IFERROR(INDEX(res_Rate,MATCH(Tasks[[#This Row],[Resource]],res_Name,0)),0))</f>
        <v>0</v>
      </c>
      <c r="BW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69" s="43" t="n">
        <f aca="false">IF(NOT(Tasks[[#This Row],[_IsLeaf]]=1),0,MAX(_xlfn.MAXIFS(Tasks[_Row],Tasks[Pred1 UID],Tasks[[#This Row],[UID]]),_xlfn.MAXIFS(Tasks[_Row],Tasks[Pred2 UID],Tasks[[#This Row],[UID]])))</f>
        <v>0</v>
      </c>
      <c r="CB6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69" s="67" t="str">
        <f aca="false">IF(NOT(Tasks[[#This Row],[_IsLeaf]]=1),"",MIN(ProjectFinish,IF(N(Tasks[[#This Row],[Deadline]])&gt;0,Tasks[[#This Row],[Deadline]],2958465),Tasks[[#This Row],[_SuccessorFinishLimit]]))</f>
        <v/>
      </c>
      <c r="CD6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69" s="66" t="b">
        <f aca="false">AND(Tasks[[#This Row],[_IsLeaf]]=1,Tasks[[#This Row],[_LeafProgress]]&lt;1,N(Tasks[[#This Row],[_LeafTotalSlack]])&lt;=CriticalSlackDays)</f>
        <v>0</v>
      </c>
      <c r="CG6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6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6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6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6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6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69" s="43" t="n">
        <f aca="false">IF(AND(Tasks[[#This Row],[_IsLeaf]]=1,Tasks[[#This Row],[_LeafWork]]&gt;0),NETWORKDAYS.INTL(ProjectStart,Tasks[[#This Row],[_LeafFcstStart]],WorkWeek,Holidays),0)</f>
        <v>0</v>
      </c>
      <c r="CP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69" s="43" t="n">
        <f aca="false">IF(AND(Tasks[[#This Row],[_IsLeaf]]=1,Tasks[[#This Row],[_LeafWork]]&gt;0),Tasks[[#This Row],[_LeafWork]]/(Tasks[[#This Row],[_FinishWorkday]]-Tasks[[#This Row],[_StartWorkday]]+1),0)</f>
        <v>0</v>
      </c>
      <c r="CR69" s="43" t="n">
        <f aca="false">Tasks[[#This Row],[_WorkPerWorkday]]*(Tasks[[#This Row],[_StartWorkday]]-1)</f>
        <v>-0</v>
      </c>
      <c r="CS69" s="43" t="n">
        <f aca="false">IF(Tasks[[#This Row],[_IsLeaf]]=1,MAX(N(Tasks[[#This Row],[Duration]]),0.1),0)</f>
        <v>0</v>
      </c>
      <c r="CT69" s="43" t="n">
        <f aca="false">Tasks[[#This Row],[_WeightDur]]*Tasks[[#This Row],[_LeafProgress]]</f>
        <v>0</v>
      </c>
      <c r="CU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69" s="43" t="str">
        <f aca="false">IF(AND(Tasks[[#This Row],[_IsLeaf]]=1,N(Tasks[[#This Row],[Duration]])=0,Tasks[[#This Row],[_LeafProgress]]&lt;1),Tasks[[#This Row],[_LeafFcstFinish]]+Tasks[[#This Row],[_Row]]/100000,"")</f>
        <v/>
      </c>
      <c r="DA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69" s="43" t="n">
        <f aca="false">IF(NOT(Tasks[[#This Row],[_IsLeaf]]=1),0,IF(Tasks[[#This Row],[Baseline Cost]]="",Tasks[[#This Row],[_LeafCost]],N(Tasks[[#This Row],[Baseline Cost]])))</f>
        <v>0</v>
      </c>
      <c r="DC69" s="43" t="n">
        <f aca="false">Tasks[[#This Row],[_LeafBudget]]*Tasks[[#This Row],[_PlannedPct]]</f>
        <v>0</v>
      </c>
      <c r="DD69" s="43" t="n">
        <f aca="false">Tasks[[#This Row],[_LeafBudget]]*Tasks[[#This Row],[_LeafProgress]]</f>
        <v>0</v>
      </c>
      <c r="DE69" s="43" t="n">
        <f aca="false">IF(NOT(Tasks[[#This Row],[_IsLeaf]]=1),0,IF(Tasks[[#This Row],[Actual Cost]]="",Tasks[[#This Row],[_LeafCost]]*Tasks[[#This Row],[_LeafProgress]],N(Tasks[[#This Row],[Actual Cost]])))</f>
        <v>0</v>
      </c>
      <c r="DF69" s="43" t="str">
        <f aca="false">IF(Tasks[[#This Row],[Task Name]]="","",LEFT(Tasks[[#This Row],[WBS]],FIND(".",Tasks[[#This Row],[WBS]]&amp;".")-1))</f>
        <v/>
      </c>
      <c r="DG69" s="43" t="str">
        <f aca="false">IF(AND(Tasks[[#This Row],[Task Name]]&lt;&gt;"",Tasks[[#This Row],[_Level]]=1),Tasks[[#This Row],[_Row]],"")</f>
        <v/>
      </c>
      <c r="DH69" s="43" t="str">
        <f aca="false">IF(AND(Tasks[[#This Row],[_IsLeaf]]=1,N(Tasks[[#This Row],[Duration]])=0),Tasks[[#This Row],[Planned Finish]]+Tasks[[#This Row],[_Row]]/100000,"")</f>
        <v/>
      </c>
      <c r="DI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69" s="43" t="str">
        <f aca="false">IF(Tasks[[#This Row],[_LeafCritical]],Tasks[[#This Row],[_LeafFcstStart]]+Tasks[[#This Row],[_Row]]/100000,"")</f>
        <v/>
      </c>
    </row>
    <row r="70" customFormat="false" ht="15" hidden="false" customHeight="false" outlineLevel="0" collapsed="false">
      <c r="A70" s="28" t="str">
        <f aca="false">IF(Tasks[[#This Row],[Task Name]]="","",COUNTA(Tasks[[#Headers],[Task Name]]:Tasks[[#This Row],[Task Name]])-1)</f>
        <v/>
      </c>
      <c r="B70" s="29" t="n">
        <v>65</v>
      </c>
      <c r="C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29"/>
      <c r="E70" s="30"/>
      <c r="F70" s="29"/>
      <c r="G70" s="29"/>
      <c r="H70" s="29"/>
      <c r="I70" s="29"/>
      <c r="J70" s="29"/>
      <c r="K70" s="29"/>
      <c r="L70" s="29"/>
      <c r="M70" s="29"/>
      <c r="N70" s="53"/>
      <c r="O70" s="53"/>
      <c r="P70" s="25" t="str">
        <f aca="false">IF(Tasks[[#This Row],[Task Name]]="","",IF(N(Tasks[[#This Row],[Baseline Start]])&gt;0,Tasks[[#This Row],[Baseline Start]],Tasks[[#This Row],[_CalcStart]]))</f>
        <v/>
      </c>
      <c r="Q70" s="25" t="str">
        <f aca="false">IF(Tasks[[#This Row],[Task Name]]="","",IF(N(Tasks[[#This Row],[Baseline Finish]])&gt;0,Tasks[[#This Row],[Baseline Finish]],Tasks[[#This Row],[_CalcFinish]]))</f>
        <v/>
      </c>
      <c r="R70" s="53"/>
      <c r="S70" s="53"/>
      <c r="T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55"/>
      <c r="AF7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30"/>
      <c r="AI70" s="55"/>
      <c r="AJ7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64"/>
      <c r="AM7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0" s="30"/>
      <c r="AP70" s="25" t="str">
        <f aca="false">IF(Tasks[[#This Row],[Task Name]]="","",Tasks[[#This Row],[Forecast Start]])</f>
        <v/>
      </c>
      <c r="AQ70" s="25" t="str">
        <f aca="false">IF(Tasks[[#This Row],[Task Name]]="","",Tasks[[#This Row],[Forecast Finish]])</f>
        <v/>
      </c>
      <c r="AR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0" s="62" t="str">
        <f aca="false">IF(Tasks[[#This Row],[Task Name]]="","",Tasks[[#This Row],[Work]])</f>
        <v/>
      </c>
      <c r="AT70" s="63" t="str">
        <f aca="false">IF(Tasks[[#This Row],[Task Name]]="","",Tasks[[#This Row],[Cost]])</f>
        <v/>
      </c>
      <c r="AU70" s="53"/>
      <c r="AV70" s="53"/>
      <c r="AW70" s="29"/>
      <c r="AX70" s="65"/>
      <c r="AY70" s="64"/>
      <c r="AZ70" s="28" t="str">
        <f aca="false">IF(OR(Tasks[[#This Row],[Task Name]]="",Tasks[[#This Row],[Baseline Duration]]=""),"",Tasks[[#This Row],[BL Source Duration]]-N(Tasks[[#This Row],[Baseline Duration]]))</f>
        <v/>
      </c>
      <c r="BA70" s="62" t="str">
        <f aca="false">IF(OR(Tasks[[#This Row],[Task Name]]="",Tasks[[#This Row],[Baseline Work]]=""),"",Tasks[[#This Row],[Work]]-N(Tasks[[#This Row],[Baseline Work]]))</f>
        <v/>
      </c>
      <c r="BB70" s="63" t="str">
        <f aca="false">IF(OR(Tasks[[#This Row],[Task Name]]="",Tasks[[#This Row],[Baseline Cost]]=""),"",Tasks[[#This Row],[Cost]]-N(Tasks[[#This Row],[Baseline Cost]]))</f>
        <v/>
      </c>
      <c r="BC7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0" s="43" t="str">
        <f aca="false">IF(Tasks[[#This Row],[Task Name]]="","",MAX(1,N(Tasks[[#This Row],[Level]])))</f>
        <v/>
      </c>
      <c r="BH70" s="43" t="n">
        <f aca="false">ROW()-ROW(Tasks[[#Headers],[ID]])</f>
        <v>65</v>
      </c>
      <c r="BI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0" s="43" t="n">
        <f aca="false">IFERROR(N(INDEX(Tasks[_Level],Tasks[[#This Row],[_Row]]+1)),0)</f>
        <v>0</v>
      </c>
      <c r="BK70" s="66" t="b">
        <f aca="false">AND(Tasks[[#This Row],[Task Name]]&lt;&gt;"",Tasks[[#This Row],[_NextLevel]]&gt;Tasks[[#This Row],[_Level]])</f>
        <v>0</v>
      </c>
      <c r="BL70" s="43" t="n">
        <f aca="false">IF(Tasks[[#This Row],[_IsSummary]],COUNTIF(Tasks[WBS],Tasks[[#This Row],[WBS]]&amp;".*"),0)</f>
        <v>0</v>
      </c>
      <c r="BM70" s="43" t="n">
        <f aca="false">IF(AND(Tasks[[#This Row],[Task Name]]&lt;&gt;"",NOT(Tasks[[#This Row],[_IsSummary]])),1,0)</f>
        <v>0</v>
      </c>
      <c r="BN70" s="43" t="n">
        <f aca="false">IF(N(Tasks[[#This Row],[Pred1 UID]])=0,0,IFERROR(MATCH(Tasks[[#This Row],[Pred1 UID]],Tasks[UID],0),-1))</f>
        <v>0</v>
      </c>
      <c r="BO70" s="43" t="n">
        <f aca="false">IF(N(Tasks[[#This Row],[Pred2 UID]])=0,0,IFERROR(MATCH(Tasks[[#This Row],[Pred2 UID]],Tasks[UID],0),-1))</f>
        <v>0</v>
      </c>
      <c r="BP7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0" s="43" t="n">
        <f aca="false">IF(NOT(Tasks[[#This Row],[_IsLeaf]]=1),0,IF(N(Tasks[[#This Row],[Actual Finish]])&gt;0,1,MIN(1,N(Tasks[[#This Row],[% Complete]]))))</f>
        <v>0</v>
      </c>
      <c r="BU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0" s="43" t="n">
        <f aca="false">IF(Tasks[[#This Row],[_LeafWork]]=0,0,Tasks[[#This Row],[_LeafWork]]*IFERROR(INDEX(res_Rate,MATCH(Tasks[[#This Row],[Resource]],res_Name,0)),0))</f>
        <v>0</v>
      </c>
      <c r="BW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0" s="43" t="n">
        <f aca="false">IF(NOT(Tasks[[#This Row],[_IsLeaf]]=1),0,MAX(_xlfn.MAXIFS(Tasks[_Row],Tasks[Pred1 UID],Tasks[[#This Row],[UID]]),_xlfn.MAXIFS(Tasks[_Row],Tasks[Pred2 UID],Tasks[[#This Row],[UID]])))</f>
        <v>0</v>
      </c>
      <c r="CB7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0" s="67" t="str">
        <f aca="false">IF(NOT(Tasks[[#This Row],[_IsLeaf]]=1),"",MIN(ProjectFinish,IF(N(Tasks[[#This Row],[Deadline]])&gt;0,Tasks[[#This Row],[Deadline]],2958465),Tasks[[#This Row],[_SuccessorFinishLimit]]))</f>
        <v/>
      </c>
      <c r="CD7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0" s="66" t="b">
        <f aca="false">AND(Tasks[[#This Row],[_IsLeaf]]=1,Tasks[[#This Row],[_LeafProgress]]&lt;1,N(Tasks[[#This Row],[_LeafTotalSlack]])&lt;=CriticalSlackDays)</f>
        <v>0</v>
      </c>
      <c r="CG7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0" s="43" t="n">
        <f aca="false">IF(AND(Tasks[[#This Row],[_IsLeaf]]=1,Tasks[[#This Row],[_LeafWork]]&gt;0),NETWORKDAYS.INTL(ProjectStart,Tasks[[#This Row],[_LeafFcstStart]],WorkWeek,Holidays),0)</f>
        <v>0</v>
      </c>
      <c r="CP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0" s="43" t="n">
        <f aca="false">IF(AND(Tasks[[#This Row],[_IsLeaf]]=1,Tasks[[#This Row],[_LeafWork]]&gt;0),Tasks[[#This Row],[_LeafWork]]/(Tasks[[#This Row],[_FinishWorkday]]-Tasks[[#This Row],[_StartWorkday]]+1),0)</f>
        <v>0</v>
      </c>
      <c r="CR70" s="43" t="n">
        <f aca="false">Tasks[[#This Row],[_WorkPerWorkday]]*(Tasks[[#This Row],[_StartWorkday]]-1)</f>
        <v>-0</v>
      </c>
      <c r="CS70" s="43" t="n">
        <f aca="false">IF(Tasks[[#This Row],[_IsLeaf]]=1,MAX(N(Tasks[[#This Row],[Duration]]),0.1),0)</f>
        <v>0</v>
      </c>
      <c r="CT70" s="43" t="n">
        <f aca="false">Tasks[[#This Row],[_WeightDur]]*Tasks[[#This Row],[_LeafProgress]]</f>
        <v>0</v>
      </c>
      <c r="CU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0" s="43" t="str">
        <f aca="false">IF(AND(Tasks[[#This Row],[_IsLeaf]]=1,N(Tasks[[#This Row],[Duration]])=0,Tasks[[#This Row],[_LeafProgress]]&lt;1),Tasks[[#This Row],[_LeafFcstFinish]]+Tasks[[#This Row],[_Row]]/100000,"")</f>
        <v/>
      </c>
      <c r="DA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0" s="43" t="n">
        <f aca="false">IF(NOT(Tasks[[#This Row],[_IsLeaf]]=1),0,IF(Tasks[[#This Row],[Baseline Cost]]="",Tasks[[#This Row],[_LeafCost]],N(Tasks[[#This Row],[Baseline Cost]])))</f>
        <v>0</v>
      </c>
      <c r="DC70" s="43" t="n">
        <f aca="false">Tasks[[#This Row],[_LeafBudget]]*Tasks[[#This Row],[_PlannedPct]]</f>
        <v>0</v>
      </c>
      <c r="DD70" s="43" t="n">
        <f aca="false">Tasks[[#This Row],[_LeafBudget]]*Tasks[[#This Row],[_LeafProgress]]</f>
        <v>0</v>
      </c>
      <c r="DE70" s="43" t="n">
        <f aca="false">IF(NOT(Tasks[[#This Row],[_IsLeaf]]=1),0,IF(Tasks[[#This Row],[Actual Cost]]="",Tasks[[#This Row],[_LeafCost]]*Tasks[[#This Row],[_LeafProgress]],N(Tasks[[#This Row],[Actual Cost]])))</f>
        <v>0</v>
      </c>
      <c r="DF70" s="43" t="str">
        <f aca="false">IF(Tasks[[#This Row],[Task Name]]="","",LEFT(Tasks[[#This Row],[WBS]],FIND(".",Tasks[[#This Row],[WBS]]&amp;".")-1))</f>
        <v/>
      </c>
      <c r="DG70" s="43" t="str">
        <f aca="false">IF(AND(Tasks[[#This Row],[Task Name]]&lt;&gt;"",Tasks[[#This Row],[_Level]]=1),Tasks[[#This Row],[_Row]],"")</f>
        <v/>
      </c>
      <c r="DH70" s="43" t="str">
        <f aca="false">IF(AND(Tasks[[#This Row],[_IsLeaf]]=1,N(Tasks[[#This Row],[Duration]])=0),Tasks[[#This Row],[Planned Finish]]+Tasks[[#This Row],[_Row]]/100000,"")</f>
        <v/>
      </c>
      <c r="DI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0" s="43" t="str">
        <f aca="false">IF(Tasks[[#This Row],[_LeafCritical]],Tasks[[#This Row],[_LeafFcstStart]]+Tasks[[#This Row],[_Row]]/100000,"")</f>
        <v/>
      </c>
    </row>
    <row r="71" customFormat="false" ht="15" hidden="false" customHeight="false" outlineLevel="0" collapsed="false">
      <c r="A71" s="28" t="str">
        <f aca="false">IF(Tasks[[#This Row],[Task Name]]="","",COUNTA(Tasks[[#Headers],[Task Name]]:Tasks[[#This Row],[Task Name]])-1)</f>
        <v/>
      </c>
      <c r="B71" s="29" t="n">
        <v>66</v>
      </c>
      <c r="C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29"/>
      <c r="E71" s="30"/>
      <c r="F71" s="29"/>
      <c r="G71" s="29"/>
      <c r="H71" s="29"/>
      <c r="I71" s="29"/>
      <c r="J71" s="29"/>
      <c r="K71" s="29"/>
      <c r="L71" s="29"/>
      <c r="M71" s="29"/>
      <c r="N71" s="53"/>
      <c r="O71" s="53"/>
      <c r="P71" s="25" t="str">
        <f aca="false">IF(Tasks[[#This Row],[Task Name]]="","",IF(N(Tasks[[#This Row],[Baseline Start]])&gt;0,Tasks[[#This Row],[Baseline Start]],Tasks[[#This Row],[_CalcStart]]))</f>
        <v/>
      </c>
      <c r="Q71" s="25" t="str">
        <f aca="false">IF(Tasks[[#This Row],[Task Name]]="","",IF(N(Tasks[[#This Row],[Baseline Finish]])&gt;0,Tasks[[#This Row],[Baseline Finish]],Tasks[[#This Row],[_CalcFinish]]))</f>
        <v/>
      </c>
      <c r="R71" s="53"/>
      <c r="S71" s="53"/>
      <c r="T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55"/>
      <c r="AF7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30"/>
      <c r="AI71" s="55"/>
      <c r="AJ7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64"/>
      <c r="AM7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1" s="30"/>
      <c r="AP71" s="25" t="str">
        <f aca="false">IF(Tasks[[#This Row],[Task Name]]="","",Tasks[[#This Row],[Forecast Start]])</f>
        <v/>
      </c>
      <c r="AQ71" s="25" t="str">
        <f aca="false">IF(Tasks[[#This Row],[Task Name]]="","",Tasks[[#This Row],[Forecast Finish]])</f>
        <v/>
      </c>
      <c r="AR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1" s="62" t="str">
        <f aca="false">IF(Tasks[[#This Row],[Task Name]]="","",Tasks[[#This Row],[Work]])</f>
        <v/>
      </c>
      <c r="AT71" s="63" t="str">
        <f aca="false">IF(Tasks[[#This Row],[Task Name]]="","",Tasks[[#This Row],[Cost]])</f>
        <v/>
      </c>
      <c r="AU71" s="53"/>
      <c r="AV71" s="53"/>
      <c r="AW71" s="29"/>
      <c r="AX71" s="65"/>
      <c r="AY71" s="64"/>
      <c r="AZ71" s="28" t="str">
        <f aca="false">IF(OR(Tasks[[#This Row],[Task Name]]="",Tasks[[#This Row],[Baseline Duration]]=""),"",Tasks[[#This Row],[BL Source Duration]]-N(Tasks[[#This Row],[Baseline Duration]]))</f>
        <v/>
      </c>
      <c r="BA71" s="62" t="str">
        <f aca="false">IF(OR(Tasks[[#This Row],[Task Name]]="",Tasks[[#This Row],[Baseline Work]]=""),"",Tasks[[#This Row],[Work]]-N(Tasks[[#This Row],[Baseline Work]]))</f>
        <v/>
      </c>
      <c r="BB71" s="63" t="str">
        <f aca="false">IF(OR(Tasks[[#This Row],[Task Name]]="",Tasks[[#This Row],[Baseline Cost]]=""),"",Tasks[[#This Row],[Cost]]-N(Tasks[[#This Row],[Baseline Cost]]))</f>
        <v/>
      </c>
      <c r="BC7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1" s="43" t="str">
        <f aca="false">IF(Tasks[[#This Row],[Task Name]]="","",MAX(1,N(Tasks[[#This Row],[Level]])))</f>
        <v/>
      </c>
      <c r="BH71" s="43" t="n">
        <f aca="false">ROW()-ROW(Tasks[[#Headers],[ID]])</f>
        <v>66</v>
      </c>
      <c r="BI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1" s="43" t="n">
        <f aca="false">IFERROR(N(INDEX(Tasks[_Level],Tasks[[#This Row],[_Row]]+1)),0)</f>
        <v>0</v>
      </c>
      <c r="BK71" s="66" t="b">
        <f aca="false">AND(Tasks[[#This Row],[Task Name]]&lt;&gt;"",Tasks[[#This Row],[_NextLevel]]&gt;Tasks[[#This Row],[_Level]])</f>
        <v>0</v>
      </c>
      <c r="BL71" s="43" t="n">
        <f aca="false">IF(Tasks[[#This Row],[_IsSummary]],COUNTIF(Tasks[WBS],Tasks[[#This Row],[WBS]]&amp;".*"),0)</f>
        <v>0</v>
      </c>
      <c r="BM71" s="43" t="n">
        <f aca="false">IF(AND(Tasks[[#This Row],[Task Name]]&lt;&gt;"",NOT(Tasks[[#This Row],[_IsSummary]])),1,0)</f>
        <v>0</v>
      </c>
      <c r="BN71" s="43" t="n">
        <f aca="false">IF(N(Tasks[[#This Row],[Pred1 UID]])=0,0,IFERROR(MATCH(Tasks[[#This Row],[Pred1 UID]],Tasks[UID],0),-1))</f>
        <v>0</v>
      </c>
      <c r="BO71" s="43" t="n">
        <f aca="false">IF(N(Tasks[[#This Row],[Pred2 UID]])=0,0,IFERROR(MATCH(Tasks[[#This Row],[Pred2 UID]],Tasks[UID],0),-1))</f>
        <v>0</v>
      </c>
      <c r="BP7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1" s="43" t="n">
        <f aca="false">IF(NOT(Tasks[[#This Row],[_IsLeaf]]=1),0,IF(N(Tasks[[#This Row],[Actual Finish]])&gt;0,1,MIN(1,N(Tasks[[#This Row],[% Complete]]))))</f>
        <v>0</v>
      </c>
      <c r="BU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1" s="43" t="n">
        <f aca="false">IF(Tasks[[#This Row],[_LeafWork]]=0,0,Tasks[[#This Row],[_LeafWork]]*IFERROR(INDEX(res_Rate,MATCH(Tasks[[#This Row],[Resource]],res_Name,0)),0))</f>
        <v>0</v>
      </c>
      <c r="BW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1" s="43" t="n">
        <f aca="false">IF(NOT(Tasks[[#This Row],[_IsLeaf]]=1),0,MAX(_xlfn.MAXIFS(Tasks[_Row],Tasks[Pred1 UID],Tasks[[#This Row],[UID]]),_xlfn.MAXIFS(Tasks[_Row],Tasks[Pred2 UID],Tasks[[#This Row],[UID]])))</f>
        <v>0</v>
      </c>
      <c r="CB7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1" s="67" t="str">
        <f aca="false">IF(NOT(Tasks[[#This Row],[_IsLeaf]]=1),"",MIN(ProjectFinish,IF(N(Tasks[[#This Row],[Deadline]])&gt;0,Tasks[[#This Row],[Deadline]],2958465),Tasks[[#This Row],[_SuccessorFinishLimit]]))</f>
        <v/>
      </c>
      <c r="CD7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1" s="66" t="b">
        <f aca="false">AND(Tasks[[#This Row],[_IsLeaf]]=1,Tasks[[#This Row],[_LeafProgress]]&lt;1,N(Tasks[[#This Row],[_LeafTotalSlack]])&lt;=CriticalSlackDays)</f>
        <v>0</v>
      </c>
      <c r="CG7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1" s="43" t="n">
        <f aca="false">IF(AND(Tasks[[#This Row],[_IsLeaf]]=1,Tasks[[#This Row],[_LeafWork]]&gt;0),NETWORKDAYS.INTL(ProjectStart,Tasks[[#This Row],[_LeafFcstStart]],WorkWeek,Holidays),0)</f>
        <v>0</v>
      </c>
      <c r="CP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1" s="43" t="n">
        <f aca="false">IF(AND(Tasks[[#This Row],[_IsLeaf]]=1,Tasks[[#This Row],[_LeafWork]]&gt;0),Tasks[[#This Row],[_LeafWork]]/(Tasks[[#This Row],[_FinishWorkday]]-Tasks[[#This Row],[_StartWorkday]]+1),0)</f>
        <v>0</v>
      </c>
      <c r="CR71" s="43" t="n">
        <f aca="false">Tasks[[#This Row],[_WorkPerWorkday]]*(Tasks[[#This Row],[_StartWorkday]]-1)</f>
        <v>-0</v>
      </c>
      <c r="CS71" s="43" t="n">
        <f aca="false">IF(Tasks[[#This Row],[_IsLeaf]]=1,MAX(N(Tasks[[#This Row],[Duration]]),0.1),0)</f>
        <v>0</v>
      </c>
      <c r="CT71" s="43" t="n">
        <f aca="false">Tasks[[#This Row],[_WeightDur]]*Tasks[[#This Row],[_LeafProgress]]</f>
        <v>0</v>
      </c>
      <c r="CU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1" s="43" t="str">
        <f aca="false">IF(AND(Tasks[[#This Row],[_IsLeaf]]=1,N(Tasks[[#This Row],[Duration]])=0,Tasks[[#This Row],[_LeafProgress]]&lt;1),Tasks[[#This Row],[_LeafFcstFinish]]+Tasks[[#This Row],[_Row]]/100000,"")</f>
        <v/>
      </c>
      <c r="DA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1" s="43" t="n">
        <f aca="false">IF(NOT(Tasks[[#This Row],[_IsLeaf]]=1),0,IF(Tasks[[#This Row],[Baseline Cost]]="",Tasks[[#This Row],[_LeafCost]],N(Tasks[[#This Row],[Baseline Cost]])))</f>
        <v>0</v>
      </c>
      <c r="DC71" s="43" t="n">
        <f aca="false">Tasks[[#This Row],[_LeafBudget]]*Tasks[[#This Row],[_PlannedPct]]</f>
        <v>0</v>
      </c>
      <c r="DD71" s="43" t="n">
        <f aca="false">Tasks[[#This Row],[_LeafBudget]]*Tasks[[#This Row],[_LeafProgress]]</f>
        <v>0</v>
      </c>
      <c r="DE71" s="43" t="n">
        <f aca="false">IF(NOT(Tasks[[#This Row],[_IsLeaf]]=1),0,IF(Tasks[[#This Row],[Actual Cost]]="",Tasks[[#This Row],[_LeafCost]]*Tasks[[#This Row],[_LeafProgress]],N(Tasks[[#This Row],[Actual Cost]])))</f>
        <v>0</v>
      </c>
      <c r="DF71" s="43" t="str">
        <f aca="false">IF(Tasks[[#This Row],[Task Name]]="","",LEFT(Tasks[[#This Row],[WBS]],FIND(".",Tasks[[#This Row],[WBS]]&amp;".")-1))</f>
        <v/>
      </c>
      <c r="DG71" s="43" t="str">
        <f aca="false">IF(AND(Tasks[[#This Row],[Task Name]]&lt;&gt;"",Tasks[[#This Row],[_Level]]=1),Tasks[[#This Row],[_Row]],"")</f>
        <v/>
      </c>
      <c r="DH71" s="43" t="str">
        <f aca="false">IF(AND(Tasks[[#This Row],[_IsLeaf]]=1,N(Tasks[[#This Row],[Duration]])=0),Tasks[[#This Row],[Planned Finish]]+Tasks[[#This Row],[_Row]]/100000,"")</f>
        <v/>
      </c>
      <c r="DI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1" s="43" t="str">
        <f aca="false">IF(Tasks[[#This Row],[_LeafCritical]],Tasks[[#This Row],[_LeafFcstStart]]+Tasks[[#This Row],[_Row]]/100000,"")</f>
        <v/>
      </c>
    </row>
    <row r="72" customFormat="false" ht="15" hidden="false" customHeight="false" outlineLevel="0" collapsed="false">
      <c r="A72" s="28" t="str">
        <f aca="false">IF(Tasks[[#This Row],[Task Name]]="","",COUNTA(Tasks[[#Headers],[Task Name]]:Tasks[[#This Row],[Task Name]])-1)</f>
        <v/>
      </c>
      <c r="B72" s="29" t="n">
        <v>67</v>
      </c>
      <c r="C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29"/>
      <c r="E72" s="30"/>
      <c r="F72" s="29"/>
      <c r="G72" s="29"/>
      <c r="H72" s="29"/>
      <c r="I72" s="29"/>
      <c r="J72" s="29"/>
      <c r="K72" s="29"/>
      <c r="L72" s="29"/>
      <c r="M72" s="29"/>
      <c r="N72" s="53"/>
      <c r="O72" s="53"/>
      <c r="P72" s="25" t="str">
        <f aca="false">IF(Tasks[[#This Row],[Task Name]]="","",IF(N(Tasks[[#This Row],[Baseline Start]])&gt;0,Tasks[[#This Row],[Baseline Start]],Tasks[[#This Row],[_CalcStart]]))</f>
        <v/>
      </c>
      <c r="Q72" s="25" t="str">
        <f aca="false">IF(Tasks[[#This Row],[Task Name]]="","",IF(N(Tasks[[#This Row],[Baseline Finish]])&gt;0,Tasks[[#This Row],[Baseline Finish]],Tasks[[#This Row],[_CalcFinish]]))</f>
        <v/>
      </c>
      <c r="R72" s="53"/>
      <c r="S72" s="53"/>
      <c r="T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55"/>
      <c r="AF7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30"/>
      <c r="AI72" s="55"/>
      <c r="AJ7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64"/>
      <c r="AM7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2" s="30"/>
      <c r="AP72" s="25" t="str">
        <f aca="false">IF(Tasks[[#This Row],[Task Name]]="","",Tasks[[#This Row],[Forecast Start]])</f>
        <v/>
      </c>
      <c r="AQ72" s="25" t="str">
        <f aca="false">IF(Tasks[[#This Row],[Task Name]]="","",Tasks[[#This Row],[Forecast Finish]])</f>
        <v/>
      </c>
      <c r="AR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2" s="62" t="str">
        <f aca="false">IF(Tasks[[#This Row],[Task Name]]="","",Tasks[[#This Row],[Work]])</f>
        <v/>
      </c>
      <c r="AT72" s="63" t="str">
        <f aca="false">IF(Tasks[[#This Row],[Task Name]]="","",Tasks[[#This Row],[Cost]])</f>
        <v/>
      </c>
      <c r="AU72" s="53"/>
      <c r="AV72" s="53"/>
      <c r="AW72" s="29"/>
      <c r="AX72" s="65"/>
      <c r="AY72" s="64"/>
      <c r="AZ72" s="28" t="str">
        <f aca="false">IF(OR(Tasks[[#This Row],[Task Name]]="",Tasks[[#This Row],[Baseline Duration]]=""),"",Tasks[[#This Row],[BL Source Duration]]-N(Tasks[[#This Row],[Baseline Duration]]))</f>
        <v/>
      </c>
      <c r="BA72" s="62" t="str">
        <f aca="false">IF(OR(Tasks[[#This Row],[Task Name]]="",Tasks[[#This Row],[Baseline Work]]=""),"",Tasks[[#This Row],[Work]]-N(Tasks[[#This Row],[Baseline Work]]))</f>
        <v/>
      </c>
      <c r="BB72" s="63" t="str">
        <f aca="false">IF(OR(Tasks[[#This Row],[Task Name]]="",Tasks[[#This Row],[Baseline Cost]]=""),"",Tasks[[#This Row],[Cost]]-N(Tasks[[#This Row],[Baseline Cost]]))</f>
        <v/>
      </c>
      <c r="BC7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2" s="43" t="str">
        <f aca="false">IF(Tasks[[#This Row],[Task Name]]="","",MAX(1,N(Tasks[[#This Row],[Level]])))</f>
        <v/>
      </c>
      <c r="BH72" s="43" t="n">
        <f aca="false">ROW()-ROW(Tasks[[#Headers],[ID]])</f>
        <v>67</v>
      </c>
      <c r="BI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2" s="43" t="n">
        <f aca="false">IFERROR(N(INDEX(Tasks[_Level],Tasks[[#This Row],[_Row]]+1)),0)</f>
        <v>0</v>
      </c>
      <c r="BK72" s="66" t="b">
        <f aca="false">AND(Tasks[[#This Row],[Task Name]]&lt;&gt;"",Tasks[[#This Row],[_NextLevel]]&gt;Tasks[[#This Row],[_Level]])</f>
        <v>0</v>
      </c>
      <c r="BL72" s="43" t="n">
        <f aca="false">IF(Tasks[[#This Row],[_IsSummary]],COUNTIF(Tasks[WBS],Tasks[[#This Row],[WBS]]&amp;".*"),0)</f>
        <v>0</v>
      </c>
      <c r="BM72" s="43" t="n">
        <f aca="false">IF(AND(Tasks[[#This Row],[Task Name]]&lt;&gt;"",NOT(Tasks[[#This Row],[_IsSummary]])),1,0)</f>
        <v>0</v>
      </c>
      <c r="BN72" s="43" t="n">
        <f aca="false">IF(N(Tasks[[#This Row],[Pred1 UID]])=0,0,IFERROR(MATCH(Tasks[[#This Row],[Pred1 UID]],Tasks[UID],0),-1))</f>
        <v>0</v>
      </c>
      <c r="BO72" s="43" t="n">
        <f aca="false">IF(N(Tasks[[#This Row],[Pred2 UID]])=0,0,IFERROR(MATCH(Tasks[[#This Row],[Pred2 UID]],Tasks[UID],0),-1))</f>
        <v>0</v>
      </c>
      <c r="BP7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2" s="43" t="n">
        <f aca="false">IF(NOT(Tasks[[#This Row],[_IsLeaf]]=1),0,IF(N(Tasks[[#This Row],[Actual Finish]])&gt;0,1,MIN(1,N(Tasks[[#This Row],[% Complete]]))))</f>
        <v>0</v>
      </c>
      <c r="BU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2" s="43" t="n">
        <f aca="false">IF(Tasks[[#This Row],[_LeafWork]]=0,0,Tasks[[#This Row],[_LeafWork]]*IFERROR(INDEX(res_Rate,MATCH(Tasks[[#This Row],[Resource]],res_Name,0)),0))</f>
        <v>0</v>
      </c>
      <c r="BW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2" s="43" t="n">
        <f aca="false">IF(NOT(Tasks[[#This Row],[_IsLeaf]]=1),0,MAX(_xlfn.MAXIFS(Tasks[_Row],Tasks[Pred1 UID],Tasks[[#This Row],[UID]]),_xlfn.MAXIFS(Tasks[_Row],Tasks[Pred2 UID],Tasks[[#This Row],[UID]])))</f>
        <v>0</v>
      </c>
      <c r="CB7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2" s="67" t="str">
        <f aca="false">IF(NOT(Tasks[[#This Row],[_IsLeaf]]=1),"",MIN(ProjectFinish,IF(N(Tasks[[#This Row],[Deadline]])&gt;0,Tasks[[#This Row],[Deadline]],2958465),Tasks[[#This Row],[_SuccessorFinishLimit]]))</f>
        <v/>
      </c>
      <c r="CD7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2" s="66" t="b">
        <f aca="false">AND(Tasks[[#This Row],[_IsLeaf]]=1,Tasks[[#This Row],[_LeafProgress]]&lt;1,N(Tasks[[#This Row],[_LeafTotalSlack]])&lt;=CriticalSlackDays)</f>
        <v>0</v>
      </c>
      <c r="CG7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2" s="43" t="n">
        <f aca="false">IF(AND(Tasks[[#This Row],[_IsLeaf]]=1,Tasks[[#This Row],[_LeafWork]]&gt;0),NETWORKDAYS.INTL(ProjectStart,Tasks[[#This Row],[_LeafFcstStart]],WorkWeek,Holidays),0)</f>
        <v>0</v>
      </c>
      <c r="CP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2" s="43" t="n">
        <f aca="false">IF(AND(Tasks[[#This Row],[_IsLeaf]]=1,Tasks[[#This Row],[_LeafWork]]&gt;0),Tasks[[#This Row],[_LeafWork]]/(Tasks[[#This Row],[_FinishWorkday]]-Tasks[[#This Row],[_StartWorkday]]+1),0)</f>
        <v>0</v>
      </c>
      <c r="CR72" s="43" t="n">
        <f aca="false">Tasks[[#This Row],[_WorkPerWorkday]]*(Tasks[[#This Row],[_StartWorkday]]-1)</f>
        <v>-0</v>
      </c>
      <c r="CS72" s="43" t="n">
        <f aca="false">IF(Tasks[[#This Row],[_IsLeaf]]=1,MAX(N(Tasks[[#This Row],[Duration]]),0.1),0)</f>
        <v>0</v>
      </c>
      <c r="CT72" s="43" t="n">
        <f aca="false">Tasks[[#This Row],[_WeightDur]]*Tasks[[#This Row],[_LeafProgress]]</f>
        <v>0</v>
      </c>
      <c r="CU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2" s="43" t="str">
        <f aca="false">IF(AND(Tasks[[#This Row],[_IsLeaf]]=1,N(Tasks[[#This Row],[Duration]])=0,Tasks[[#This Row],[_LeafProgress]]&lt;1),Tasks[[#This Row],[_LeafFcstFinish]]+Tasks[[#This Row],[_Row]]/100000,"")</f>
        <v/>
      </c>
      <c r="DA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2" s="43" t="n">
        <f aca="false">IF(NOT(Tasks[[#This Row],[_IsLeaf]]=1),0,IF(Tasks[[#This Row],[Baseline Cost]]="",Tasks[[#This Row],[_LeafCost]],N(Tasks[[#This Row],[Baseline Cost]])))</f>
        <v>0</v>
      </c>
      <c r="DC72" s="43" t="n">
        <f aca="false">Tasks[[#This Row],[_LeafBudget]]*Tasks[[#This Row],[_PlannedPct]]</f>
        <v>0</v>
      </c>
      <c r="DD72" s="43" t="n">
        <f aca="false">Tasks[[#This Row],[_LeafBudget]]*Tasks[[#This Row],[_LeafProgress]]</f>
        <v>0</v>
      </c>
      <c r="DE72" s="43" t="n">
        <f aca="false">IF(NOT(Tasks[[#This Row],[_IsLeaf]]=1),0,IF(Tasks[[#This Row],[Actual Cost]]="",Tasks[[#This Row],[_LeafCost]]*Tasks[[#This Row],[_LeafProgress]],N(Tasks[[#This Row],[Actual Cost]])))</f>
        <v>0</v>
      </c>
      <c r="DF72" s="43" t="str">
        <f aca="false">IF(Tasks[[#This Row],[Task Name]]="","",LEFT(Tasks[[#This Row],[WBS]],FIND(".",Tasks[[#This Row],[WBS]]&amp;".")-1))</f>
        <v/>
      </c>
      <c r="DG72" s="43" t="str">
        <f aca="false">IF(AND(Tasks[[#This Row],[Task Name]]&lt;&gt;"",Tasks[[#This Row],[_Level]]=1),Tasks[[#This Row],[_Row]],"")</f>
        <v/>
      </c>
      <c r="DH72" s="43" t="str">
        <f aca="false">IF(AND(Tasks[[#This Row],[_IsLeaf]]=1,N(Tasks[[#This Row],[Duration]])=0),Tasks[[#This Row],[Planned Finish]]+Tasks[[#This Row],[_Row]]/100000,"")</f>
        <v/>
      </c>
      <c r="DI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2" s="43" t="str">
        <f aca="false">IF(Tasks[[#This Row],[_LeafCritical]],Tasks[[#This Row],[_LeafFcstStart]]+Tasks[[#This Row],[_Row]]/100000,"")</f>
        <v/>
      </c>
    </row>
    <row r="73" customFormat="false" ht="15" hidden="false" customHeight="false" outlineLevel="0" collapsed="false">
      <c r="A73" s="28" t="str">
        <f aca="false">IF(Tasks[[#This Row],[Task Name]]="","",COUNTA(Tasks[[#Headers],[Task Name]]:Tasks[[#This Row],[Task Name]])-1)</f>
        <v/>
      </c>
      <c r="B73" s="29" t="n">
        <v>68</v>
      </c>
      <c r="C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29"/>
      <c r="E73" s="30"/>
      <c r="F73" s="29"/>
      <c r="G73" s="29"/>
      <c r="H73" s="29"/>
      <c r="I73" s="29"/>
      <c r="J73" s="29"/>
      <c r="K73" s="29"/>
      <c r="L73" s="29"/>
      <c r="M73" s="29"/>
      <c r="N73" s="53"/>
      <c r="O73" s="53"/>
      <c r="P73" s="25" t="str">
        <f aca="false">IF(Tasks[[#This Row],[Task Name]]="","",IF(N(Tasks[[#This Row],[Baseline Start]])&gt;0,Tasks[[#This Row],[Baseline Start]],Tasks[[#This Row],[_CalcStart]]))</f>
        <v/>
      </c>
      <c r="Q73" s="25" t="str">
        <f aca="false">IF(Tasks[[#This Row],[Task Name]]="","",IF(N(Tasks[[#This Row],[Baseline Finish]])&gt;0,Tasks[[#This Row],[Baseline Finish]],Tasks[[#This Row],[_CalcFinish]]))</f>
        <v/>
      </c>
      <c r="R73" s="53"/>
      <c r="S73" s="53"/>
      <c r="T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55"/>
      <c r="AF7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30"/>
      <c r="AI73" s="55"/>
      <c r="AJ7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64"/>
      <c r="AM7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3" s="30"/>
      <c r="AP73" s="25" t="str">
        <f aca="false">IF(Tasks[[#This Row],[Task Name]]="","",Tasks[[#This Row],[Forecast Start]])</f>
        <v/>
      </c>
      <c r="AQ73" s="25" t="str">
        <f aca="false">IF(Tasks[[#This Row],[Task Name]]="","",Tasks[[#This Row],[Forecast Finish]])</f>
        <v/>
      </c>
      <c r="AR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3" s="62" t="str">
        <f aca="false">IF(Tasks[[#This Row],[Task Name]]="","",Tasks[[#This Row],[Work]])</f>
        <v/>
      </c>
      <c r="AT73" s="63" t="str">
        <f aca="false">IF(Tasks[[#This Row],[Task Name]]="","",Tasks[[#This Row],[Cost]])</f>
        <v/>
      </c>
      <c r="AU73" s="53"/>
      <c r="AV73" s="53"/>
      <c r="AW73" s="29"/>
      <c r="AX73" s="65"/>
      <c r="AY73" s="64"/>
      <c r="AZ73" s="28" t="str">
        <f aca="false">IF(OR(Tasks[[#This Row],[Task Name]]="",Tasks[[#This Row],[Baseline Duration]]=""),"",Tasks[[#This Row],[BL Source Duration]]-N(Tasks[[#This Row],[Baseline Duration]]))</f>
        <v/>
      </c>
      <c r="BA73" s="62" t="str">
        <f aca="false">IF(OR(Tasks[[#This Row],[Task Name]]="",Tasks[[#This Row],[Baseline Work]]=""),"",Tasks[[#This Row],[Work]]-N(Tasks[[#This Row],[Baseline Work]]))</f>
        <v/>
      </c>
      <c r="BB73" s="63" t="str">
        <f aca="false">IF(OR(Tasks[[#This Row],[Task Name]]="",Tasks[[#This Row],[Baseline Cost]]=""),"",Tasks[[#This Row],[Cost]]-N(Tasks[[#This Row],[Baseline Cost]]))</f>
        <v/>
      </c>
      <c r="BC7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3" s="43" t="str">
        <f aca="false">IF(Tasks[[#This Row],[Task Name]]="","",MAX(1,N(Tasks[[#This Row],[Level]])))</f>
        <v/>
      </c>
      <c r="BH73" s="43" t="n">
        <f aca="false">ROW()-ROW(Tasks[[#Headers],[ID]])</f>
        <v>68</v>
      </c>
      <c r="BI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3" s="43" t="n">
        <f aca="false">IFERROR(N(INDEX(Tasks[_Level],Tasks[[#This Row],[_Row]]+1)),0)</f>
        <v>0</v>
      </c>
      <c r="BK73" s="66" t="b">
        <f aca="false">AND(Tasks[[#This Row],[Task Name]]&lt;&gt;"",Tasks[[#This Row],[_NextLevel]]&gt;Tasks[[#This Row],[_Level]])</f>
        <v>0</v>
      </c>
      <c r="BL73" s="43" t="n">
        <f aca="false">IF(Tasks[[#This Row],[_IsSummary]],COUNTIF(Tasks[WBS],Tasks[[#This Row],[WBS]]&amp;".*"),0)</f>
        <v>0</v>
      </c>
      <c r="BM73" s="43" t="n">
        <f aca="false">IF(AND(Tasks[[#This Row],[Task Name]]&lt;&gt;"",NOT(Tasks[[#This Row],[_IsSummary]])),1,0)</f>
        <v>0</v>
      </c>
      <c r="BN73" s="43" t="n">
        <f aca="false">IF(N(Tasks[[#This Row],[Pred1 UID]])=0,0,IFERROR(MATCH(Tasks[[#This Row],[Pred1 UID]],Tasks[UID],0),-1))</f>
        <v>0</v>
      </c>
      <c r="BO73" s="43" t="n">
        <f aca="false">IF(N(Tasks[[#This Row],[Pred2 UID]])=0,0,IFERROR(MATCH(Tasks[[#This Row],[Pred2 UID]],Tasks[UID],0),-1))</f>
        <v>0</v>
      </c>
      <c r="BP7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3" s="43" t="n">
        <f aca="false">IF(NOT(Tasks[[#This Row],[_IsLeaf]]=1),0,IF(N(Tasks[[#This Row],[Actual Finish]])&gt;0,1,MIN(1,N(Tasks[[#This Row],[% Complete]]))))</f>
        <v>0</v>
      </c>
      <c r="BU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3" s="43" t="n">
        <f aca="false">IF(Tasks[[#This Row],[_LeafWork]]=0,0,Tasks[[#This Row],[_LeafWork]]*IFERROR(INDEX(res_Rate,MATCH(Tasks[[#This Row],[Resource]],res_Name,0)),0))</f>
        <v>0</v>
      </c>
      <c r="BW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3" s="43" t="n">
        <f aca="false">IF(NOT(Tasks[[#This Row],[_IsLeaf]]=1),0,MAX(_xlfn.MAXIFS(Tasks[_Row],Tasks[Pred1 UID],Tasks[[#This Row],[UID]]),_xlfn.MAXIFS(Tasks[_Row],Tasks[Pred2 UID],Tasks[[#This Row],[UID]])))</f>
        <v>0</v>
      </c>
      <c r="CB7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3" s="67" t="str">
        <f aca="false">IF(NOT(Tasks[[#This Row],[_IsLeaf]]=1),"",MIN(ProjectFinish,IF(N(Tasks[[#This Row],[Deadline]])&gt;0,Tasks[[#This Row],[Deadline]],2958465),Tasks[[#This Row],[_SuccessorFinishLimit]]))</f>
        <v/>
      </c>
      <c r="CD7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3" s="66" t="b">
        <f aca="false">AND(Tasks[[#This Row],[_IsLeaf]]=1,Tasks[[#This Row],[_LeafProgress]]&lt;1,N(Tasks[[#This Row],[_LeafTotalSlack]])&lt;=CriticalSlackDays)</f>
        <v>0</v>
      </c>
      <c r="CG7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3" s="43" t="n">
        <f aca="false">IF(AND(Tasks[[#This Row],[_IsLeaf]]=1,Tasks[[#This Row],[_LeafWork]]&gt;0),NETWORKDAYS.INTL(ProjectStart,Tasks[[#This Row],[_LeafFcstStart]],WorkWeek,Holidays),0)</f>
        <v>0</v>
      </c>
      <c r="CP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3" s="43" t="n">
        <f aca="false">IF(AND(Tasks[[#This Row],[_IsLeaf]]=1,Tasks[[#This Row],[_LeafWork]]&gt;0),Tasks[[#This Row],[_LeafWork]]/(Tasks[[#This Row],[_FinishWorkday]]-Tasks[[#This Row],[_StartWorkday]]+1),0)</f>
        <v>0</v>
      </c>
      <c r="CR73" s="43" t="n">
        <f aca="false">Tasks[[#This Row],[_WorkPerWorkday]]*(Tasks[[#This Row],[_StartWorkday]]-1)</f>
        <v>-0</v>
      </c>
      <c r="CS73" s="43" t="n">
        <f aca="false">IF(Tasks[[#This Row],[_IsLeaf]]=1,MAX(N(Tasks[[#This Row],[Duration]]),0.1),0)</f>
        <v>0</v>
      </c>
      <c r="CT73" s="43" t="n">
        <f aca="false">Tasks[[#This Row],[_WeightDur]]*Tasks[[#This Row],[_LeafProgress]]</f>
        <v>0</v>
      </c>
      <c r="CU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3" s="43" t="str">
        <f aca="false">IF(AND(Tasks[[#This Row],[_IsLeaf]]=1,N(Tasks[[#This Row],[Duration]])=0,Tasks[[#This Row],[_LeafProgress]]&lt;1),Tasks[[#This Row],[_LeafFcstFinish]]+Tasks[[#This Row],[_Row]]/100000,"")</f>
        <v/>
      </c>
      <c r="DA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3" s="43" t="n">
        <f aca="false">IF(NOT(Tasks[[#This Row],[_IsLeaf]]=1),0,IF(Tasks[[#This Row],[Baseline Cost]]="",Tasks[[#This Row],[_LeafCost]],N(Tasks[[#This Row],[Baseline Cost]])))</f>
        <v>0</v>
      </c>
      <c r="DC73" s="43" t="n">
        <f aca="false">Tasks[[#This Row],[_LeafBudget]]*Tasks[[#This Row],[_PlannedPct]]</f>
        <v>0</v>
      </c>
      <c r="DD73" s="43" t="n">
        <f aca="false">Tasks[[#This Row],[_LeafBudget]]*Tasks[[#This Row],[_LeafProgress]]</f>
        <v>0</v>
      </c>
      <c r="DE73" s="43" t="n">
        <f aca="false">IF(NOT(Tasks[[#This Row],[_IsLeaf]]=1),0,IF(Tasks[[#This Row],[Actual Cost]]="",Tasks[[#This Row],[_LeafCost]]*Tasks[[#This Row],[_LeafProgress]],N(Tasks[[#This Row],[Actual Cost]])))</f>
        <v>0</v>
      </c>
      <c r="DF73" s="43" t="str">
        <f aca="false">IF(Tasks[[#This Row],[Task Name]]="","",LEFT(Tasks[[#This Row],[WBS]],FIND(".",Tasks[[#This Row],[WBS]]&amp;".")-1))</f>
        <v/>
      </c>
      <c r="DG73" s="43" t="str">
        <f aca="false">IF(AND(Tasks[[#This Row],[Task Name]]&lt;&gt;"",Tasks[[#This Row],[_Level]]=1),Tasks[[#This Row],[_Row]],"")</f>
        <v/>
      </c>
      <c r="DH73" s="43" t="str">
        <f aca="false">IF(AND(Tasks[[#This Row],[_IsLeaf]]=1,N(Tasks[[#This Row],[Duration]])=0),Tasks[[#This Row],[Planned Finish]]+Tasks[[#This Row],[_Row]]/100000,"")</f>
        <v/>
      </c>
      <c r="DI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3" s="43" t="str">
        <f aca="false">IF(Tasks[[#This Row],[_LeafCritical]],Tasks[[#This Row],[_LeafFcstStart]]+Tasks[[#This Row],[_Row]]/100000,"")</f>
        <v/>
      </c>
    </row>
    <row r="74" customFormat="false" ht="15" hidden="false" customHeight="false" outlineLevel="0" collapsed="false">
      <c r="A74" s="28" t="str">
        <f aca="false">IF(Tasks[[#This Row],[Task Name]]="","",COUNTA(Tasks[[#Headers],[Task Name]]:Tasks[[#This Row],[Task Name]])-1)</f>
        <v/>
      </c>
      <c r="B74" s="29" t="n">
        <v>69</v>
      </c>
      <c r="C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29"/>
      <c r="E74" s="30"/>
      <c r="F74" s="29"/>
      <c r="G74" s="29"/>
      <c r="H74" s="29"/>
      <c r="I74" s="29"/>
      <c r="J74" s="29"/>
      <c r="K74" s="29"/>
      <c r="L74" s="29"/>
      <c r="M74" s="29"/>
      <c r="N74" s="53"/>
      <c r="O74" s="53"/>
      <c r="P74" s="25" t="str">
        <f aca="false">IF(Tasks[[#This Row],[Task Name]]="","",IF(N(Tasks[[#This Row],[Baseline Start]])&gt;0,Tasks[[#This Row],[Baseline Start]],Tasks[[#This Row],[_CalcStart]]))</f>
        <v/>
      </c>
      <c r="Q74" s="25" t="str">
        <f aca="false">IF(Tasks[[#This Row],[Task Name]]="","",IF(N(Tasks[[#This Row],[Baseline Finish]])&gt;0,Tasks[[#This Row],[Baseline Finish]],Tasks[[#This Row],[_CalcFinish]]))</f>
        <v/>
      </c>
      <c r="R74" s="53"/>
      <c r="S74" s="53"/>
      <c r="T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55"/>
      <c r="AF7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30"/>
      <c r="AI74" s="55"/>
      <c r="AJ7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64"/>
      <c r="AM7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4" s="30"/>
      <c r="AP74" s="25" t="str">
        <f aca="false">IF(Tasks[[#This Row],[Task Name]]="","",Tasks[[#This Row],[Forecast Start]])</f>
        <v/>
      </c>
      <c r="AQ74" s="25" t="str">
        <f aca="false">IF(Tasks[[#This Row],[Task Name]]="","",Tasks[[#This Row],[Forecast Finish]])</f>
        <v/>
      </c>
      <c r="AR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4" s="62" t="str">
        <f aca="false">IF(Tasks[[#This Row],[Task Name]]="","",Tasks[[#This Row],[Work]])</f>
        <v/>
      </c>
      <c r="AT74" s="63" t="str">
        <f aca="false">IF(Tasks[[#This Row],[Task Name]]="","",Tasks[[#This Row],[Cost]])</f>
        <v/>
      </c>
      <c r="AU74" s="53"/>
      <c r="AV74" s="53"/>
      <c r="AW74" s="29"/>
      <c r="AX74" s="65"/>
      <c r="AY74" s="64"/>
      <c r="AZ74" s="28" t="str">
        <f aca="false">IF(OR(Tasks[[#This Row],[Task Name]]="",Tasks[[#This Row],[Baseline Duration]]=""),"",Tasks[[#This Row],[BL Source Duration]]-N(Tasks[[#This Row],[Baseline Duration]]))</f>
        <v/>
      </c>
      <c r="BA74" s="62" t="str">
        <f aca="false">IF(OR(Tasks[[#This Row],[Task Name]]="",Tasks[[#This Row],[Baseline Work]]=""),"",Tasks[[#This Row],[Work]]-N(Tasks[[#This Row],[Baseline Work]]))</f>
        <v/>
      </c>
      <c r="BB74" s="63" t="str">
        <f aca="false">IF(OR(Tasks[[#This Row],[Task Name]]="",Tasks[[#This Row],[Baseline Cost]]=""),"",Tasks[[#This Row],[Cost]]-N(Tasks[[#This Row],[Baseline Cost]]))</f>
        <v/>
      </c>
      <c r="BC7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4" s="43" t="str">
        <f aca="false">IF(Tasks[[#This Row],[Task Name]]="","",MAX(1,N(Tasks[[#This Row],[Level]])))</f>
        <v/>
      </c>
      <c r="BH74" s="43" t="n">
        <f aca="false">ROW()-ROW(Tasks[[#Headers],[ID]])</f>
        <v>69</v>
      </c>
      <c r="BI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4" s="43" t="n">
        <f aca="false">IFERROR(N(INDEX(Tasks[_Level],Tasks[[#This Row],[_Row]]+1)),0)</f>
        <v>0</v>
      </c>
      <c r="BK74" s="66" t="b">
        <f aca="false">AND(Tasks[[#This Row],[Task Name]]&lt;&gt;"",Tasks[[#This Row],[_NextLevel]]&gt;Tasks[[#This Row],[_Level]])</f>
        <v>0</v>
      </c>
      <c r="BL74" s="43" t="n">
        <f aca="false">IF(Tasks[[#This Row],[_IsSummary]],COUNTIF(Tasks[WBS],Tasks[[#This Row],[WBS]]&amp;".*"),0)</f>
        <v>0</v>
      </c>
      <c r="BM74" s="43" t="n">
        <f aca="false">IF(AND(Tasks[[#This Row],[Task Name]]&lt;&gt;"",NOT(Tasks[[#This Row],[_IsSummary]])),1,0)</f>
        <v>0</v>
      </c>
      <c r="BN74" s="43" t="n">
        <f aca="false">IF(N(Tasks[[#This Row],[Pred1 UID]])=0,0,IFERROR(MATCH(Tasks[[#This Row],[Pred1 UID]],Tasks[UID],0),-1))</f>
        <v>0</v>
      </c>
      <c r="BO74" s="43" t="n">
        <f aca="false">IF(N(Tasks[[#This Row],[Pred2 UID]])=0,0,IFERROR(MATCH(Tasks[[#This Row],[Pred2 UID]],Tasks[UID],0),-1))</f>
        <v>0</v>
      </c>
      <c r="BP7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4" s="43" t="n">
        <f aca="false">IF(NOT(Tasks[[#This Row],[_IsLeaf]]=1),0,IF(N(Tasks[[#This Row],[Actual Finish]])&gt;0,1,MIN(1,N(Tasks[[#This Row],[% Complete]]))))</f>
        <v>0</v>
      </c>
      <c r="BU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4" s="43" t="n">
        <f aca="false">IF(Tasks[[#This Row],[_LeafWork]]=0,0,Tasks[[#This Row],[_LeafWork]]*IFERROR(INDEX(res_Rate,MATCH(Tasks[[#This Row],[Resource]],res_Name,0)),0))</f>
        <v>0</v>
      </c>
      <c r="BW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4" s="43" t="n">
        <f aca="false">IF(NOT(Tasks[[#This Row],[_IsLeaf]]=1),0,MAX(_xlfn.MAXIFS(Tasks[_Row],Tasks[Pred1 UID],Tasks[[#This Row],[UID]]),_xlfn.MAXIFS(Tasks[_Row],Tasks[Pred2 UID],Tasks[[#This Row],[UID]])))</f>
        <v>0</v>
      </c>
      <c r="CB7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4" s="67" t="str">
        <f aca="false">IF(NOT(Tasks[[#This Row],[_IsLeaf]]=1),"",MIN(ProjectFinish,IF(N(Tasks[[#This Row],[Deadline]])&gt;0,Tasks[[#This Row],[Deadline]],2958465),Tasks[[#This Row],[_SuccessorFinishLimit]]))</f>
        <v/>
      </c>
      <c r="CD7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4" s="66" t="b">
        <f aca="false">AND(Tasks[[#This Row],[_IsLeaf]]=1,Tasks[[#This Row],[_LeafProgress]]&lt;1,N(Tasks[[#This Row],[_LeafTotalSlack]])&lt;=CriticalSlackDays)</f>
        <v>0</v>
      </c>
      <c r="CG7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4" s="43" t="n">
        <f aca="false">IF(AND(Tasks[[#This Row],[_IsLeaf]]=1,Tasks[[#This Row],[_LeafWork]]&gt;0),NETWORKDAYS.INTL(ProjectStart,Tasks[[#This Row],[_LeafFcstStart]],WorkWeek,Holidays),0)</f>
        <v>0</v>
      </c>
      <c r="CP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4" s="43" t="n">
        <f aca="false">IF(AND(Tasks[[#This Row],[_IsLeaf]]=1,Tasks[[#This Row],[_LeafWork]]&gt;0),Tasks[[#This Row],[_LeafWork]]/(Tasks[[#This Row],[_FinishWorkday]]-Tasks[[#This Row],[_StartWorkday]]+1),0)</f>
        <v>0</v>
      </c>
      <c r="CR74" s="43" t="n">
        <f aca="false">Tasks[[#This Row],[_WorkPerWorkday]]*(Tasks[[#This Row],[_StartWorkday]]-1)</f>
        <v>-0</v>
      </c>
      <c r="CS74" s="43" t="n">
        <f aca="false">IF(Tasks[[#This Row],[_IsLeaf]]=1,MAX(N(Tasks[[#This Row],[Duration]]),0.1),0)</f>
        <v>0</v>
      </c>
      <c r="CT74" s="43" t="n">
        <f aca="false">Tasks[[#This Row],[_WeightDur]]*Tasks[[#This Row],[_LeafProgress]]</f>
        <v>0</v>
      </c>
      <c r="CU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4" s="43" t="str">
        <f aca="false">IF(AND(Tasks[[#This Row],[_IsLeaf]]=1,N(Tasks[[#This Row],[Duration]])=0,Tasks[[#This Row],[_LeafProgress]]&lt;1),Tasks[[#This Row],[_LeafFcstFinish]]+Tasks[[#This Row],[_Row]]/100000,"")</f>
        <v/>
      </c>
      <c r="DA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4" s="43" t="n">
        <f aca="false">IF(NOT(Tasks[[#This Row],[_IsLeaf]]=1),0,IF(Tasks[[#This Row],[Baseline Cost]]="",Tasks[[#This Row],[_LeafCost]],N(Tasks[[#This Row],[Baseline Cost]])))</f>
        <v>0</v>
      </c>
      <c r="DC74" s="43" t="n">
        <f aca="false">Tasks[[#This Row],[_LeafBudget]]*Tasks[[#This Row],[_PlannedPct]]</f>
        <v>0</v>
      </c>
      <c r="DD74" s="43" t="n">
        <f aca="false">Tasks[[#This Row],[_LeafBudget]]*Tasks[[#This Row],[_LeafProgress]]</f>
        <v>0</v>
      </c>
      <c r="DE74" s="43" t="n">
        <f aca="false">IF(NOT(Tasks[[#This Row],[_IsLeaf]]=1),0,IF(Tasks[[#This Row],[Actual Cost]]="",Tasks[[#This Row],[_LeafCost]]*Tasks[[#This Row],[_LeafProgress]],N(Tasks[[#This Row],[Actual Cost]])))</f>
        <v>0</v>
      </c>
      <c r="DF74" s="43" t="str">
        <f aca="false">IF(Tasks[[#This Row],[Task Name]]="","",LEFT(Tasks[[#This Row],[WBS]],FIND(".",Tasks[[#This Row],[WBS]]&amp;".")-1))</f>
        <v/>
      </c>
      <c r="DG74" s="43" t="str">
        <f aca="false">IF(AND(Tasks[[#This Row],[Task Name]]&lt;&gt;"",Tasks[[#This Row],[_Level]]=1),Tasks[[#This Row],[_Row]],"")</f>
        <v/>
      </c>
      <c r="DH74" s="43" t="str">
        <f aca="false">IF(AND(Tasks[[#This Row],[_IsLeaf]]=1,N(Tasks[[#This Row],[Duration]])=0),Tasks[[#This Row],[Planned Finish]]+Tasks[[#This Row],[_Row]]/100000,"")</f>
        <v/>
      </c>
      <c r="DI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4" s="43" t="str">
        <f aca="false">IF(Tasks[[#This Row],[_LeafCritical]],Tasks[[#This Row],[_LeafFcstStart]]+Tasks[[#This Row],[_Row]]/100000,"")</f>
        <v/>
      </c>
    </row>
    <row r="75" customFormat="false" ht="15" hidden="false" customHeight="false" outlineLevel="0" collapsed="false">
      <c r="A75" s="28" t="str">
        <f aca="false">IF(Tasks[[#This Row],[Task Name]]="","",COUNTA(Tasks[[#Headers],[Task Name]]:Tasks[[#This Row],[Task Name]])-1)</f>
        <v/>
      </c>
      <c r="B75" s="29" t="n">
        <v>70</v>
      </c>
      <c r="C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29"/>
      <c r="E75" s="30"/>
      <c r="F75" s="29"/>
      <c r="G75" s="29"/>
      <c r="H75" s="29"/>
      <c r="I75" s="29"/>
      <c r="J75" s="29"/>
      <c r="K75" s="29"/>
      <c r="L75" s="29"/>
      <c r="M75" s="29"/>
      <c r="N75" s="53"/>
      <c r="O75" s="53"/>
      <c r="P75" s="25" t="str">
        <f aca="false">IF(Tasks[[#This Row],[Task Name]]="","",IF(N(Tasks[[#This Row],[Baseline Start]])&gt;0,Tasks[[#This Row],[Baseline Start]],Tasks[[#This Row],[_CalcStart]]))</f>
        <v/>
      </c>
      <c r="Q75" s="25" t="str">
        <f aca="false">IF(Tasks[[#This Row],[Task Name]]="","",IF(N(Tasks[[#This Row],[Baseline Finish]])&gt;0,Tasks[[#This Row],[Baseline Finish]],Tasks[[#This Row],[_CalcFinish]]))</f>
        <v/>
      </c>
      <c r="R75" s="53"/>
      <c r="S75" s="53"/>
      <c r="T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55"/>
      <c r="AF7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30"/>
      <c r="AI75" s="55"/>
      <c r="AJ7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64"/>
      <c r="AM7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5" s="30"/>
      <c r="AP75" s="25" t="str">
        <f aca="false">IF(Tasks[[#This Row],[Task Name]]="","",Tasks[[#This Row],[Forecast Start]])</f>
        <v/>
      </c>
      <c r="AQ75" s="25" t="str">
        <f aca="false">IF(Tasks[[#This Row],[Task Name]]="","",Tasks[[#This Row],[Forecast Finish]])</f>
        <v/>
      </c>
      <c r="AR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5" s="62" t="str">
        <f aca="false">IF(Tasks[[#This Row],[Task Name]]="","",Tasks[[#This Row],[Work]])</f>
        <v/>
      </c>
      <c r="AT75" s="63" t="str">
        <f aca="false">IF(Tasks[[#This Row],[Task Name]]="","",Tasks[[#This Row],[Cost]])</f>
        <v/>
      </c>
      <c r="AU75" s="53"/>
      <c r="AV75" s="53"/>
      <c r="AW75" s="29"/>
      <c r="AX75" s="65"/>
      <c r="AY75" s="64"/>
      <c r="AZ75" s="28" t="str">
        <f aca="false">IF(OR(Tasks[[#This Row],[Task Name]]="",Tasks[[#This Row],[Baseline Duration]]=""),"",Tasks[[#This Row],[BL Source Duration]]-N(Tasks[[#This Row],[Baseline Duration]]))</f>
        <v/>
      </c>
      <c r="BA75" s="62" t="str">
        <f aca="false">IF(OR(Tasks[[#This Row],[Task Name]]="",Tasks[[#This Row],[Baseline Work]]=""),"",Tasks[[#This Row],[Work]]-N(Tasks[[#This Row],[Baseline Work]]))</f>
        <v/>
      </c>
      <c r="BB75" s="63" t="str">
        <f aca="false">IF(OR(Tasks[[#This Row],[Task Name]]="",Tasks[[#This Row],[Baseline Cost]]=""),"",Tasks[[#This Row],[Cost]]-N(Tasks[[#This Row],[Baseline Cost]]))</f>
        <v/>
      </c>
      <c r="BC7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5" s="43" t="str">
        <f aca="false">IF(Tasks[[#This Row],[Task Name]]="","",MAX(1,N(Tasks[[#This Row],[Level]])))</f>
        <v/>
      </c>
      <c r="BH75" s="43" t="n">
        <f aca="false">ROW()-ROW(Tasks[[#Headers],[ID]])</f>
        <v>70</v>
      </c>
      <c r="BI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5" s="43" t="n">
        <f aca="false">IFERROR(N(INDEX(Tasks[_Level],Tasks[[#This Row],[_Row]]+1)),0)</f>
        <v>0</v>
      </c>
      <c r="BK75" s="66" t="b">
        <f aca="false">AND(Tasks[[#This Row],[Task Name]]&lt;&gt;"",Tasks[[#This Row],[_NextLevel]]&gt;Tasks[[#This Row],[_Level]])</f>
        <v>0</v>
      </c>
      <c r="BL75" s="43" t="n">
        <f aca="false">IF(Tasks[[#This Row],[_IsSummary]],COUNTIF(Tasks[WBS],Tasks[[#This Row],[WBS]]&amp;".*"),0)</f>
        <v>0</v>
      </c>
      <c r="BM75" s="43" t="n">
        <f aca="false">IF(AND(Tasks[[#This Row],[Task Name]]&lt;&gt;"",NOT(Tasks[[#This Row],[_IsSummary]])),1,0)</f>
        <v>0</v>
      </c>
      <c r="BN75" s="43" t="n">
        <f aca="false">IF(N(Tasks[[#This Row],[Pred1 UID]])=0,0,IFERROR(MATCH(Tasks[[#This Row],[Pred1 UID]],Tasks[UID],0),-1))</f>
        <v>0</v>
      </c>
      <c r="BO75" s="43" t="n">
        <f aca="false">IF(N(Tasks[[#This Row],[Pred2 UID]])=0,0,IFERROR(MATCH(Tasks[[#This Row],[Pred2 UID]],Tasks[UID],0),-1))</f>
        <v>0</v>
      </c>
      <c r="BP7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5" s="43" t="n">
        <f aca="false">IF(NOT(Tasks[[#This Row],[_IsLeaf]]=1),0,IF(N(Tasks[[#This Row],[Actual Finish]])&gt;0,1,MIN(1,N(Tasks[[#This Row],[% Complete]]))))</f>
        <v>0</v>
      </c>
      <c r="BU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5" s="43" t="n">
        <f aca="false">IF(Tasks[[#This Row],[_LeafWork]]=0,0,Tasks[[#This Row],[_LeafWork]]*IFERROR(INDEX(res_Rate,MATCH(Tasks[[#This Row],[Resource]],res_Name,0)),0))</f>
        <v>0</v>
      </c>
      <c r="BW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5" s="43" t="n">
        <f aca="false">IF(NOT(Tasks[[#This Row],[_IsLeaf]]=1),0,MAX(_xlfn.MAXIFS(Tasks[_Row],Tasks[Pred1 UID],Tasks[[#This Row],[UID]]),_xlfn.MAXIFS(Tasks[_Row],Tasks[Pred2 UID],Tasks[[#This Row],[UID]])))</f>
        <v>0</v>
      </c>
      <c r="CB7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5" s="67" t="str">
        <f aca="false">IF(NOT(Tasks[[#This Row],[_IsLeaf]]=1),"",MIN(ProjectFinish,IF(N(Tasks[[#This Row],[Deadline]])&gt;0,Tasks[[#This Row],[Deadline]],2958465),Tasks[[#This Row],[_SuccessorFinishLimit]]))</f>
        <v/>
      </c>
      <c r="CD7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5" s="66" t="b">
        <f aca="false">AND(Tasks[[#This Row],[_IsLeaf]]=1,Tasks[[#This Row],[_LeafProgress]]&lt;1,N(Tasks[[#This Row],[_LeafTotalSlack]])&lt;=CriticalSlackDays)</f>
        <v>0</v>
      </c>
      <c r="CG7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5" s="43" t="n">
        <f aca="false">IF(AND(Tasks[[#This Row],[_IsLeaf]]=1,Tasks[[#This Row],[_LeafWork]]&gt;0),NETWORKDAYS.INTL(ProjectStart,Tasks[[#This Row],[_LeafFcstStart]],WorkWeek,Holidays),0)</f>
        <v>0</v>
      </c>
      <c r="CP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5" s="43" t="n">
        <f aca="false">IF(AND(Tasks[[#This Row],[_IsLeaf]]=1,Tasks[[#This Row],[_LeafWork]]&gt;0),Tasks[[#This Row],[_LeafWork]]/(Tasks[[#This Row],[_FinishWorkday]]-Tasks[[#This Row],[_StartWorkday]]+1),0)</f>
        <v>0</v>
      </c>
      <c r="CR75" s="43" t="n">
        <f aca="false">Tasks[[#This Row],[_WorkPerWorkday]]*(Tasks[[#This Row],[_StartWorkday]]-1)</f>
        <v>-0</v>
      </c>
      <c r="CS75" s="43" t="n">
        <f aca="false">IF(Tasks[[#This Row],[_IsLeaf]]=1,MAX(N(Tasks[[#This Row],[Duration]]),0.1),0)</f>
        <v>0</v>
      </c>
      <c r="CT75" s="43" t="n">
        <f aca="false">Tasks[[#This Row],[_WeightDur]]*Tasks[[#This Row],[_LeafProgress]]</f>
        <v>0</v>
      </c>
      <c r="CU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5" s="43" t="str">
        <f aca="false">IF(AND(Tasks[[#This Row],[_IsLeaf]]=1,N(Tasks[[#This Row],[Duration]])=0,Tasks[[#This Row],[_LeafProgress]]&lt;1),Tasks[[#This Row],[_LeafFcstFinish]]+Tasks[[#This Row],[_Row]]/100000,"")</f>
        <v/>
      </c>
      <c r="DA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5" s="43" t="n">
        <f aca="false">IF(NOT(Tasks[[#This Row],[_IsLeaf]]=1),0,IF(Tasks[[#This Row],[Baseline Cost]]="",Tasks[[#This Row],[_LeafCost]],N(Tasks[[#This Row],[Baseline Cost]])))</f>
        <v>0</v>
      </c>
      <c r="DC75" s="43" t="n">
        <f aca="false">Tasks[[#This Row],[_LeafBudget]]*Tasks[[#This Row],[_PlannedPct]]</f>
        <v>0</v>
      </c>
      <c r="DD75" s="43" t="n">
        <f aca="false">Tasks[[#This Row],[_LeafBudget]]*Tasks[[#This Row],[_LeafProgress]]</f>
        <v>0</v>
      </c>
      <c r="DE75" s="43" t="n">
        <f aca="false">IF(NOT(Tasks[[#This Row],[_IsLeaf]]=1),0,IF(Tasks[[#This Row],[Actual Cost]]="",Tasks[[#This Row],[_LeafCost]]*Tasks[[#This Row],[_LeafProgress]],N(Tasks[[#This Row],[Actual Cost]])))</f>
        <v>0</v>
      </c>
      <c r="DF75" s="43" t="str">
        <f aca="false">IF(Tasks[[#This Row],[Task Name]]="","",LEFT(Tasks[[#This Row],[WBS]],FIND(".",Tasks[[#This Row],[WBS]]&amp;".")-1))</f>
        <v/>
      </c>
      <c r="DG75" s="43" t="str">
        <f aca="false">IF(AND(Tasks[[#This Row],[Task Name]]&lt;&gt;"",Tasks[[#This Row],[_Level]]=1),Tasks[[#This Row],[_Row]],"")</f>
        <v/>
      </c>
      <c r="DH75" s="43" t="str">
        <f aca="false">IF(AND(Tasks[[#This Row],[_IsLeaf]]=1,N(Tasks[[#This Row],[Duration]])=0),Tasks[[#This Row],[Planned Finish]]+Tasks[[#This Row],[_Row]]/100000,"")</f>
        <v/>
      </c>
      <c r="DI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5" s="43" t="str">
        <f aca="false">IF(Tasks[[#This Row],[_LeafCritical]],Tasks[[#This Row],[_LeafFcstStart]]+Tasks[[#This Row],[_Row]]/100000,"")</f>
        <v/>
      </c>
    </row>
    <row r="76" customFormat="false" ht="15" hidden="false" customHeight="false" outlineLevel="0" collapsed="false">
      <c r="A76" s="28" t="str">
        <f aca="false">IF(Tasks[[#This Row],[Task Name]]="","",COUNTA(Tasks[[#Headers],[Task Name]]:Tasks[[#This Row],[Task Name]])-1)</f>
        <v/>
      </c>
      <c r="B76" s="29" t="n">
        <v>71</v>
      </c>
      <c r="C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29"/>
      <c r="E76" s="30"/>
      <c r="F76" s="29"/>
      <c r="G76" s="29"/>
      <c r="H76" s="29"/>
      <c r="I76" s="29"/>
      <c r="J76" s="29"/>
      <c r="K76" s="29"/>
      <c r="L76" s="29"/>
      <c r="M76" s="29"/>
      <c r="N76" s="53"/>
      <c r="O76" s="53"/>
      <c r="P76" s="25" t="str">
        <f aca="false">IF(Tasks[[#This Row],[Task Name]]="","",IF(N(Tasks[[#This Row],[Baseline Start]])&gt;0,Tasks[[#This Row],[Baseline Start]],Tasks[[#This Row],[_CalcStart]]))</f>
        <v/>
      </c>
      <c r="Q76" s="25" t="str">
        <f aca="false">IF(Tasks[[#This Row],[Task Name]]="","",IF(N(Tasks[[#This Row],[Baseline Finish]])&gt;0,Tasks[[#This Row],[Baseline Finish]],Tasks[[#This Row],[_CalcFinish]]))</f>
        <v/>
      </c>
      <c r="R76" s="53"/>
      <c r="S76" s="53"/>
      <c r="T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55"/>
      <c r="AF7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30"/>
      <c r="AI76" s="55"/>
      <c r="AJ7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64"/>
      <c r="AM7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6" s="30"/>
      <c r="AP76" s="25" t="str">
        <f aca="false">IF(Tasks[[#This Row],[Task Name]]="","",Tasks[[#This Row],[Forecast Start]])</f>
        <v/>
      </c>
      <c r="AQ76" s="25" t="str">
        <f aca="false">IF(Tasks[[#This Row],[Task Name]]="","",Tasks[[#This Row],[Forecast Finish]])</f>
        <v/>
      </c>
      <c r="AR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6" s="62" t="str">
        <f aca="false">IF(Tasks[[#This Row],[Task Name]]="","",Tasks[[#This Row],[Work]])</f>
        <v/>
      </c>
      <c r="AT76" s="63" t="str">
        <f aca="false">IF(Tasks[[#This Row],[Task Name]]="","",Tasks[[#This Row],[Cost]])</f>
        <v/>
      </c>
      <c r="AU76" s="53"/>
      <c r="AV76" s="53"/>
      <c r="AW76" s="29"/>
      <c r="AX76" s="65"/>
      <c r="AY76" s="64"/>
      <c r="AZ76" s="28" t="str">
        <f aca="false">IF(OR(Tasks[[#This Row],[Task Name]]="",Tasks[[#This Row],[Baseline Duration]]=""),"",Tasks[[#This Row],[BL Source Duration]]-N(Tasks[[#This Row],[Baseline Duration]]))</f>
        <v/>
      </c>
      <c r="BA76" s="62" t="str">
        <f aca="false">IF(OR(Tasks[[#This Row],[Task Name]]="",Tasks[[#This Row],[Baseline Work]]=""),"",Tasks[[#This Row],[Work]]-N(Tasks[[#This Row],[Baseline Work]]))</f>
        <v/>
      </c>
      <c r="BB76" s="63" t="str">
        <f aca="false">IF(OR(Tasks[[#This Row],[Task Name]]="",Tasks[[#This Row],[Baseline Cost]]=""),"",Tasks[[#This Row],[Cost]]-N(Tasks[[#This Row],[Baseline Cost]]))</f>
        <v/>
      </c>
      <c r="BC7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6" s="43" t="str">
        <f aca="false">IF(Tasks[[#This Row],[Task Name]]="","",MAX(1,N(Tasks[[#This Row],[Level]])))</f>
        <v/>
      </c>
      <c r="BH76" s="43" t="n">
        <f aca="false">ROW()-ROW(Tasks[[#Headers],[ID]])</f>
        <v>71</v>
      </c>
      <c r="BI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6" s="43" t="n">
        <f aca="false">IFERROR(N(INDEX(Tasks[_Level],Tasks[[#This Row],[_Row]]+1)),0)</f>
        <v>0</v>
      </c>
      <c r="BK76" s="66" t="b">
        <f aca="false">AND(Tasks[[#This Row],[Task Name]]&lt;&gt;"",Tasks[[#This Row],[_NextLevel]]&gt;Tasks[[#This Row],[_Level]])</f>
        <v>0</v>
      </c>
      <c r="BL76" s="43" t="n">
        <f aca="false">IF(Tasks[[#This Row],[_IsSummary]],COUNTIF(Tasks[WBS],Tasks[[#This Row],[WBS]]&amp;".*"),0)</f>
        <v>0</v>
      </c>
      <c r="BM76" s="43" t="n">
        <f aca="false">IF(AND(Tasks[[#This Row],[Task Name]]&lt;&gt;"",NOT(Tasks[[#This Row],[_IsSummary]])),1,0)</f>
        <v>0</v>
      </c>
      <c r="BN76" s="43" t="n">
        <f aca="false">IF(N(Tasks[[#This Row],[Pred1 UID]])=0,0,IFERROR(MATCH(Tasks[[#This Row],[Pred1 UID]],Tasks[UID],0),-1))</f>
        <v>0</v>
      </c>
      <c r="BO76" s="43" t="n">
        <f aca="false">IF(N(Tasks[[#This Row],[Pred2 UID]])=0,0,IFERROR(MATCH(Tasks[[#This Row],[Pred2 UID]],Tasks[UID],0),-1))</f>
        <v>0</v>
      </c>
      <c r="BP7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6" s="43" t="n">
        <f aca="false">IF(NOT(Tasks[[#This Row],[_IsLeaf]]=1),0,IF(N(Tasks[[#This Row],[Actual Finish]])&gt;0,1,MIN(1,N(Tasks[[#This Row],[% Complete]]))))</f>
        <v>0</v>
      </c>
      <c r="BU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6" s="43" t="n">
        <f aca="false">IF(Tasks[[#This Row],[_LeafWork]]=0,0,Tasks[[#This Row],[_LeafWork]]*IFERROR(INDEX(res_Rate,MATCH(Tasks[[#This Row],[Resource]],res_Name,0)),0))</f>
        <v>0</v>
      </c>
      <c r="BW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6" s="43" t="n">
        <f aca="false">IF(NOT(Tasks[[#This Row],[_IsLeaf]]=1),0,MAX(_xlfn.MAXIFS(Tasks[_Row],Tasks[Pred1 UID],Tasks[[#This Row],[UID]]),_xlfn.MAXIFS(Tasks[_Row],Tasks[Pred2 UID],Tasks[[#This Row],[UID]])))</f>
        <v>0</v>
      </c>
      <c r="CB7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6" s="67" t="str">
        <f aca="false">IF(NOT(Tasks[[#This Row],[_IsLeaf]]=1),"",MIN(ProjectFinish,IF(N(Tasks[[#This Row],[Deadline]])&gt;0,Tasks[[#This Row],[Deadline]],2958465),Tasks[[#This Row],[_SuccessorFinishLimit]]))</f>
        <v/>
      </c>
      <c r="CD7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6" s="66" t="b">
        <f aca="false">AND(Tasks[[#This Row],[_IsLeaf]]=1,Tasks[[#This Row],[_LeafProgress]]&lt;1,N(Tasks[[#This Row],[_LeafTotalSlack]])&lt;=CriticalSlackDays)</f>
        <v>0</v>
      </c>
      <c r="CG7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6" s="43" t="n">
        <f aca="false">IF(AND(Tasks[[#This Row],[_IsLeaf]]=1,Tasks[[#This Row],[_LeafWork]]&gt;0),NETWORKDAYS.INTL(ProjectStart,Tasks[[#This Row],[_LeafFcstStart]],WorkWeek,Holidays),0)</f>
        <v>0</v>
      </c>
      <c r="CP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6" s="43" t="n">
        <f aca="false">IF(AND(Tasks[[#This Row],[_IsLeaf]]=1,Tasks[[#This Row],[_LeafWork]]&gt;0),Tasks[[#This Row],[_LeafWork]]/(Tasks[[#This Row],[_FinishWorkday]]-Tasks[[#This Row],[_StartWorkday]]+1),0)</f>
        <v>0</v>
      </c>
      <c r="CR76" s="43" t="n">
        <f aca="false">Tasks[[#This Row],[_WorkPerWorkday]]*(Tasks[[#This Row],[_StartWorkday]]-1)</f>
        <v>-0</v>
      </c>
      <c r="CS76" s="43" t="n">
        <f aca="false">IF(Tasks[[#This Row],[_IsLeaf]]=1,MAX(N(Tasks[[#This Row],[Duration]]),0.1),0)</f>
        <v>0</v>
      </c>
      <c r="CT76" s="43" t="n">
        <f aca="false">Tasks[[#This Row],[_WeightDur]]*Tasks[[#This Row],[_LeafProgress]]</f>
        <v>0</v>
      </c>
      <c r="CU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6" s="43" t="str">
        <f aca="false">IF(AND(Tasks[[#This Row],[_IsLeaf]]=1,N(Tasks[[#This Row],[Duration]])=0,Tasks[[#This Row],[_LeafProgress]]&lt;1),Tasks[[#This Row],[_LeafFcstFinish]]+Tasks[[#This Row],[_Row]]/100000,"")</f>
        <v/>
      </c>
      <c r="DA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6" s="43" t="n">
        <f aca="false">IF(NOT(Tasks[[#This Row],[_IsLeaf]]=1),0,IF(Tasks[[#This Row],[Baseline Cost]]="",Tasks[[#This Row],[_LeafCost]],N(Tasks[[#This Row],[Baseline Cost]])))</f>
        <v>0</v>
      </c>
      <c r="DC76" s="43" t="n">
        <f aca="false">Tasks[[#This Row],[_LeafBudget]]*Tasks[[#This Row],[_PlannedPct]]</f>
        <v>0</v>
      </c>
      <c r="DD76" s="43" t="n">
        <f aca="false">Tasks[[#This Row],[_LeafBudget]]*Tasks[[#This Row],[_LeafProgress]]</f>
        <v>0</v>
      </c>
      <c r="DE76" s="43" t="n">
        <f aca="false">IF(NOT(Tasks[[#This Row],[_IsLeaf]]=1),0,IF(Tasks[[#This Row],[Actual Cost]]="",Tasks[[#This Row],[_LeafCost]]*Tasks[[#This Row],[_LeafProgress]],N(Tasks[[#This Row],[Actual Cost]])))</f>
        <v>0</v>
      </c>
      <c r="DF76" s="43" t="str">
        <f aca="false">IF(Tasks[[#This Row],[Task Name]]="","",LEFT(Tasks[[#This Row],[WBS]],FIND(".",Tasks[[#This Row],[WBS]]&amp;".")-1))</f>
        <v/>
      </c>
      <c r="DG76" s="43" t="str">
        <f aca="false">IF(AND(Tasks[[#This Row],[Task Name]]&lt;&gt;"",Tasks[[#This Row],[_Level]]=1),Tasks[[#This Row],[_Row]],"")</f>
        <v/>
      </c>
      <c r="DH76" s="43" t="str">
        <f aca="false">IF(AND(Tasks[[#This Row],[_IsLeaf]]=1,N(Tasks[[#This Row],[Duration]])=0),Tasks[[#This Row],[Planned Finish]]+Tasks[[#This Row],[_Row]]/100000,"")</f>
        <v/>
      </c>
      <c r="DI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6" s="43" t="str">
        <f aca="false">IF(Tasks[[#This Row],[_LeafCritical]],Tasks[[#This Row],[_LeafFcstStart]]+Tasks[[#This Row],[_Row]]/100000,"")</f>
        <v/>
      </c>
    </row>
    <row r="77" customFormat="false" ht="15" hidden="false" customHeight="false" outlineLevel="0" collapsed="false">
      <c r="A77" s="28" t="str">
        <f aca="false">IF(Tasks[[#This Row],[Task Name]]="","",COUNTA(Tasks[[#Headers],[Task Name]]:Tasks[[#This Row],[Task Name]])-1)</f>
        <v/>
      </c>
      <c r="B77" s="29" t="n">
        <v>72</v>
      </c>
      <c r="C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29"/>
      <c r="E77" s="30"/>
      <c r="F77" s="29"/>
      <c r="G77" s="29"/>
      <c r="H77" s="29"/>
      <c r="I77" s="29"/>
      <c r="J77" s="29"/>
      <c r="K77" s="29"/>
      <c r="L77" s="29"/>
      <c r="M77" s="29"/>
      <c r="N77" s="53"/>
      <c r="O77" s="53"/>
      <c r="P77" s="25" t="str">
        <f aca="false">IF(Tasks[[#This Row],[Task Name]]="","",IF(N(Tasks[[#This Row],[Baseline Start]])&gt;0,Tasks[[#This Row],[Baseline Start]],Tasks[[#This Row],[_CalcStart]]))</f>
        <v/>
      </c>
      <c r="Q77" s="25" t="str">
        <f aca="false">IF(Tasks[[#This Row],[Task Name]]="","",IF(N(Tasks[[#This Row],[Baseline Finish]])&gt;0,Tasks[[#This Row],[Baseline Finish]],Tasks[[#This Row],[_CalcFinish]]))</f>
        <v/>
      </c>
      <c r="R77" s="53"/>
      <c r="S77" s="53"/>
      <c r="T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55"/>
      <c r="AF7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30"/>
      <c r="AI77" s="55"/>
      <c r="AJ7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64"/>
      <c r="AM7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7" s="30"/>
      <c r="AP77" s="25" t="str">
        <f aca="false">IF(Tasks[[#This Row],[Task Name]]="","",Tasks[[#This Row],[Forecast Start]])</f>
        <v/>
      </c>
      <c r="AQ77" s="25" t="str">
        <f aca="false">IF(Tasks[[#This Row],[Task Name]]="","",Tasks[[#This Row],[Forecast Finish]])</f>
        <v/>
      </c>
      <c r="AR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7" s="62" t="str">
        <f aca="false">IF(Tasks[[#This Row],[Task Name]]="","",Tasks[[#This Row],[Work]])</f>
        <v/>
      </c>
      <c r="AT77" s="63" t="str">
        <f aca="false">IF(Tasks[[#This Row],[Task Name]]="","",Tasks[[#This Row],[Cost]])</f>
        <v/>
      </c>
      <c r="AU77" s="53"/>
      <c r="AV77" s="53"/>
      <c r="AW77" s="29"/>
      <c r="AX77" s="65"/>
      <c r="AY77" s="64"/>
      <c r="AZ77" s="28" t="str">
        <f aca="false">IF(OR(Tasks[[#This Row],[Task Name]]="",Tasks[[#This Row],[Baseline Duration]]=""),"",Tasks[[#This Row],[BL Source Duration]]-N(Tasks[[#This Row],[Baseline Duration]]))</f>
        <v/>
      </c>
      <c r="BA77" s="62" t="str">
        <f aca="false">IF(OR(Tasks[[#This Row],[Task Name]]="",Tasks[[#This Row],[Baseline Work]]=""),"",Tasks[[#This Row],[Work]]-N(Tasks[[#This Row],[Baseline Work]]))</f>
        <v/>
      </c>
      <c r="BB77" s="63" t="str">
        <f aca="false">IF(OR(Tasks[[#This Row],[Task Name]]="",Tasks[[#This Row],[Baseline Cost]]=""),"",Tasks[[#This Row],[Cost]]-N(Tasks[[#This Row],[Baseline Cost]]))</f>
        <v/>
      </c>
      <c r="BC7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7" s="43" t="str">
        <f aca="false">IF(Tasks[[#This Row],[Task Name]]="","",MAX(1,N(Tasks[[#This Row],[Level]])))</f>
        <v/>
      </c>
      <c r="BH77" s="43" t="n">
        <f aca="false">ROW()-ROW(Tasks[[#Headers],[ID]])</f>
        <v>72</v>
      </c>
      <c r="BI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7" s="43" t="n">
        <f aca="false">IFERROR(N(INDEX(Tasks[_Level],Tasks[[#This Row],[_Row]]+1)),0)</f>
        <v>0</v>
      </c>
      <c r="BK77" s="66" t="b">
        <f aca="false">AND(Tasks[[#This Row],[Task Name]]&lt;&gt;"",Tasks[[#This Row],[_NextLevel]]&gt;Tasks[[#This Row],[_Level]])</f>
        <v>0</v>
      </c>
      <c r="BL77" s="43" t="n">
        <f aca="false">IF(Tasks[[#This Row],[_IsSummary]],COUNTIF(Tasks[WBS],Tasks[[#This Row],[WBS]]&amp;".*"),0)</f>
        <v>0</v>
      </c>
      <c r="BM77" s="43" t="n">
        <f aca="false">IF(AND(Tasks[[#This Row],[Task Name]]&lt;&gt;"",NOT(Tasks[[#This Row],[_IsSummary]])),1,0)</f>
        <v>0</v>
      </c>
      <c r="BN77" s="43" t="n">
        <f aca="false">IF(N(Tasks[[#This Row],[Pred1 UID]])=0,0,IFERROR(MATCH(Tasks[[#This Row],[Pred1 UID]],Tasks[UID],0),-1))</f>
        <v>0</v>
      </c>
      <c r="BO77" s="43" t="n">
        <f aca="false">IF(N(Tasks[[#This Row],[Pred2 UID]])=0,0,IFERROR(MATCH(Tasks[[#This Row],[Pred2 UID]],Tasks[UID],0),-1))</f>
        <v>0</v>
      </c>
      <c r="BP7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7" s="43" t="n">
        <f aca="false">IF(NOT(Tasks[[#This Row],[_IsLeaf]]=1),0,IF(N(Tasks[[#This Row],[Actual Finish]])&gt;0,1,MIN(1,N(Tasks[[#This Row],[% Complete]]))))</f>
        <v>0</v>
      </c>
      <c r="BU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7" s="43" t="n">
        <f aca="false">IF(Tasks[[#This Row],[_LeafWork]]=0,0,Tasks[[#This Row],[_LeafWork]]*IFERROR(INDEX(res_Rate,MATCH(Tasks[[#This Row],[Resource]],res_Name,0)),0))</f>
        <v>0</v>
      </c>
      <c r="BW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7" s="43" t="n">
        <f aca="false">IF(NOT(Tasks[[#This Row],[_IsLeaf]]=1),0,MAX(_xlfn.MAXIFS(Tasks[_Row],Tasks[Pred1 UID],Tasks[[#This Row],[UID]]),_xlfn.MAXIFS(Tasks[_Row],Tasks[Pred2 UID],Tasks[[#This Row],[UID]])))</f>
        <v>0</v>
      </c>
      <c r="CB7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7" s="67" t="str">
        <f aca="false">IF(NOT(Tasks[[#This Row],[_IsLeaf]]=1),"",MIN(ProjectFinish,IF(N(Tasks[[#This Row],[Deadline]])&gt;0,Tasks[[#This Row],[Deadline]],2958465),Tasks[[#This Row],[_SuccessorFinishLimit]]))</f>
        <v/>
      </c>
      <c r="CD7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7" s="66" t="b">
        <f aca="false">AND(Tasks[[#This Row],[_IsLeaf]]=1,Tasks[[#This Row],[_LeafProgress]]&lt;1,N(Tasks[[#This Row],[_LeafTotalSlack]])&lt;=CriticalSlackDays)</f>
        <v>0</v>
      </c>
      <c r="CG7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7" s="43" t="n">
        <f aca="false">IF(AND(Tasks[[#This Row],[_IsLeaf]]=1,Tasks[[#This Row],[_LeafWork]]&gt;0),NETWORKDAYS.INTL(ProjectStart,Tasks[[#This Row],[_LeafFcstStart]],WorkWeek,Holidays),0)</f>
        <v>0</v>
      </c>
      <c r="CP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7" s="43" t="n">
        <f aca="false">IF(AND(Tasks[[#This Row],[_IsLeaf]]=1,Tasks[[#This Row],[_LeafWork]]&gt;0),Tasks[[#This Row],[_LeafWork]]/(Tasks[[#This Row],[_FinishWorkday]]-Tasks[[#This Row],[_StartWorkday]]+1),0)</f>
        <v>0</v>
      </c>
      <c r="CR77" s="43" t="n">
        <f aca="false">Tasks[[#This Row],[_WorkPerWorkday]]*(Tasks[[#This Row],[_StartWorkday]]-1)</f>
        <v>-0</v>
      </c>
      <c r="CS77" s="43" t="n">
        <f aca="false">IF(Tasks[[#This Row],[_IsLeaf]]=1,MAX(N(Tasks[[#This Row],[Duration]]),0.1),0)</f>
        <v>0</v>
      </c>
      <c r="CT77" s="43" t="n">
        <f aca="false">Tasks[[#This Row],[_WeightDur]]*Tasks[[#This Row],[_LeafProgress]]</f>
        <v>0</v>
      </c>
      <c r="CU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7" s="43" t="str">
        <f aca="false">IF(AND(Tasks[[#This Row],[_IsLeaf]]=1,N(Tasks[[#This Row],[Duration]])=0,Tasks[[#This Row],[_LeafProgress]]&lt;1),Tasks[[#This Row],[_LeafFcstFinish]]+Tasks[[#This Row],[_Row]]/100000,"")</f>
        <v/>
      </c>
      <c r="DA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7" s="43" t="n">
        <f aca="false">IF(NOT(Tasks[[#This Row],[_IsLeaf]]=1),0,IF(Tasks[[#This Row],[Baseline Cost]]="",Tasks[[#This Row],[_LeafCost]],N(Tasks[[#This Row],[Baseline Cost]])))</f>
        <v>0</v>
      </c>
      <c r="DC77" s="43" t="n">
        <f aca="false">Tasks[[#This Row],[_LeafBudget]]*Tasks[[#This Row],[_PlannedPct]]</f>
        <v>0</v>
      </c>
      <c r="DD77" s="43" t="n">
        <f aca="false">Tasks[[#This Row],[_LeafBudget]]*Tasks[[#This Row],[_LeafProgress]]</f>
        <v>0</v>
      </c>
      <c r="DE77" s="43" t="n">
        <f aca="false">IF(NOT(Tasks[[#This Row],[_IsLeaf]]=1),0,IF(Tasks[[#This Row],[Actual Cost]]="",Tasks[[#This Row],[_LeafCost]]*Tasks[[#This Row],[_LeafProgress]],N(Tasks[[#This Row],[Actual Cost]])))</f>
        <v>0</v>
      </c>
      <c r="DF77" s="43" t="str">
        <f aca="false">IF(Tasks[[#This Row],[Task Name]]="","",LEFT(Tasks[[#This Row],[WBS]],FIND(".",Tasks[[#This Row],[WBS]]&amp;".")-1))</f>
        <v/>
      </c>
      <c r="DG77" s="43" t="str">
        <f aca="false">IF(AND(Tasks[[#This Row],[Task Name]]&lt;&gt;"",Tasks[[#This Row],[_Level]]=1),Tasks[[#This Row],[_Row]],"")</f>
        <v/>
      </c>
      <c r="DH77" s="43" t="str">
        <f aca="false">IF(AND(Tasks[[#This Row],[_IsLeaf]]=1,N(Tasks[[#This Row],[Duration]])=0),Tasks[[#This Row],[Planned Finish]]+Tasks[[#This Row],[_Row]]/100000,"")</f>
        <v/>
      </c>
      <c r="DI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7" s="43" t="str">
        <f aca="false">IF(Tasks[[#This Row],[_LeafCritical]],Tasks[[#This Row],[_LeafFcstStart]]+Tasks[[#This Row],[_Row]]/100000,"")</f>
        <v/>
      </c>
    </row>
    <row r="78" customFormat="false" ht="15" hidden="false" customHeight="false" outlineLevel="0" collapsed="false">
      <c r="A78" s="28" t="str">
        <f aca="false">IF(Tasks[[#This Row],[Task Name]]="","",COUNTA(Tasks[[#Headers],[Task Name]]:Tasks[[#This Row],[Task Name]])-1)</f>
        <v/>
      </c>
      <c r="B78" s="29" t="n">
        <v>73</v>
      </c>
      <c r="C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29"/>
      <c r="E78" s="30"/>
      <c r="F78" s="29"/>
      <c r="G78" s="29"/>
      <c r="H78" s="29"/>
      <c r="I78" s="29"/>
      <c r="J78" s="29"/>
      <c r="K78" s="29"/>
      <c r="L78" s="29"/>
      <c r="M78" s="29"/>
      <c r="N78" s="53"/>
      <c r="O78" s="53"/>
      <c r="P78" s="25" t="str">
        <f aca="false">IF(Tasks[[#This Row],[Task Name]]="","",IF(N(Tasks[[#This Row],[Baseline Start]])&gt;0,Tasks[[#This Row],[Baseline Start]],Tasks[[#This Row],[_CalcStart]]))</f>
        <v/>
      </c>
      <c r="Q78" s="25" t="str">
        <f aca="false">IF(Tasks[[#This Row],[Task Name]]="","",IF(N(Tasks[[#This Row],[Baseline Finish]])&gt;0,Tasks[[#This Row],[Baseline Finish]],Tasks[[#This Row],[_CalcFinish]]))</f>
        <v/>
      </c>
      <c r="R78" s="53"/>
      <c r="S78" s="53"/>
      <c r="T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55"/>
      <c r="AF7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30"/>
      <c r="AI78" s="55"/>
      <c r="AJ7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64"/>
      <c r="AM7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8" s="30"/>
      <c r="AP78" s="25" t="str">
        <f aca="false">IF(Tasks[[#This Row],[Task Name]]="","",Tasks[[#This Row],[Forecast Start]])</f>
        <v/>
      </c>
      <c r="AQ78" s="25" t="str">
        <f aca="false">IF(Tasks[[#This Row],[Task Name]]="","",Tasks[[#This Row],[Forecast Finish]])</f>
        <v/>
      </c>
      <c r="AR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8" s="62" t="str">
        <f aca="false">IF(Tasks[[#This Row],[Task Name]]="","",Tasks[[#This Row],[Work]])</f>
        <v/>
      </c>
      <c r="AT78" s="63" t="str">
        <f aca="false">IF(Tasks[[#This Row],[Task Name]]="","",Tasks[[#This Row],[Cost]])</f>
        <v/>
      </c>
      <c r="AU78" s="53"/>
      <c r="AV78" s="53"/>
      <c r="AW78" s="29"/>
      <c r="AX78" s="65"/>
      <c r="AY78" s="64"/>
      <c r="AZ78" s="28" t="str">
        <f aca="false">IF(OR(Tasks[[#This Row],[Task Name]]="",Tasks[[#This Row],[Baseline Duration]]=""),"",Tasks[[#This Row],[BL Source Duration]]-N(Tasks[[#This Row],[Baseline Duration]]))</f>
        <v/>
      </c>
      <c r="BA78" s="62" t="str">
        <f aca="false">IF(OR(Tasks[[#This Row],[Task Name]]="",Tasks[[#This Row],[Baseline Work]]=""),"",Tasks[[#This Row],[Work]]-N(Tasks[[#This Row],[Baseline Work]]))</f>
        <v/>
      </c>
      <c r="BB78" s="63" t="str">
        <f aca="false">IF(OR(Tasks[[#This Row],[Task Name]]="",Tasks[[#This Row],[Baseline Cost]]=""),"",Tasks[[#This Row],[Cost]]-N(Tasks[[#This Row],[Baseline Cost]]))</f>
        <v/>
      </c>
      <c r="BC7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8" s="43" t="str">
        <f aca="false">IF(Tasks[[#This Row],[Task Name]]="","",MAX(1,N(Tasks[[#This Row],[Level]])))</f>
        <v/>
      </c>
      <c r="BH78" s="43" t="n">
        <f aca="false">ROW()-ROW(Tasks[[#Headers],[ID]])</f>
        <v>73</v>
      </c>
      <c r="BI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8" s="43" t="n">
        <f aca="false">IFERROR(N(INDEX(Tasks[_Level],Tasks[[#This Row],[_Row]]+1)),0)</f>
        <v>0</v>
      </c>
      <c r="BK78" s="66" t="b">
        <f aca="false">AND(Tasks[[#This Row],[Task Name]]&lt;&gt;"",Tasks[[#This Row],[_NextLevel]]&gt;Tasks[[#This Row],[_Level]])</f>
        <v>0</v>
      </c>
      <c r="BL78" s="43" t="n">
        <f aca="false">IF(Tasks[[#This Row],[_IsSummary]],COUNTIF(Tasks[WBS],Tasks[[#This Row],[WBS]]&amp;".*"),0)</f>
        <v>0</v>
      </c>
      <c r="BM78" s="43" t="n">
        <f aca="false">IF(AND(Tasks[[#This Row],[Task Name]]&lt;&gt;"",NOT(Tasks[[#This Row],[_IsSummary]])),1,0)</f>
        <v>0</v>
      </c>
      <c r="BN78" s="43" t="n">
        <f aca="false">IF(N(Tasks[[#This Row],[Pred1 UID]])=0,0,IFERROR(MATCH(Tasks[[#This Row],[Pred1 UID]],Tasks[UID],0),-1))</f>
        <v>0</v>
      </c>
      <c r="BO78" s="43" t="n">
        <f aca="false">IF(N(Tasks[[#This Row],[Pred2 UID]])=0,0,IFERROR(MATCH(Tasks[[#This Row],[Pred2 UID]],Tasks[UID],0),-1))</f>
        <v>0</v>
      </c>
      <c r="BP7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8" s="43" t="n">
        <f aca="false">IF(NOT(Tasks[[#This Row],[_IsLeaf]]=1),0,IF(N(Tasks[[#This Row],[Actual Finish]])&gt;0,1,MIN(1,N(Tasks[[#This Row],[% Complete]]))))</f>
        <v>0</v>
      </c>
      <c r="BU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8" s="43" t="n">
        <f aca="false">IF(Tasks[[#This Row],[_LeafWork]]=0,0,Tasks[[#This Row],[_LeafWork]]*IFERROR(INDEX(res_Rate,MATCH(Tasks[[#This Row],[Resource]],res_Name,0)),0))</f>
        <v>0</v>
      </c>
      <c r="BW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8" s="43" t="n">
        <f aca="false">IF(NOT(Tasks[[#This Row],[_IsLeaf]]=1),0,MAX(_xlfn.MAXIFS(Tasks[_Row],Tasks[Pred1 UID],Tasks[[#This Row],[UID]]),_xlfn.MAXIFS(Tasks[_Row],Tasks[Pred2 UID],Tasks[[#This Row],[UID]])))</f>
        <v>0</v>
      </c>
      <c r="CB7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8" s="67" t="str">
        <f aca="false">IF(NOT(Tasks[[#This Row],[_IsLeaf]]=1),"",MIN(ProjectFinish,IF(N(Tasks[[#This Row],[Deadline]])&gt;0,Tasks[[#This Row],[Deadline]],2958465),Tasks[[#This Row],[_SuccessorFinishLimit]]))</f>
        <v/>
      </c>
      <c r="CD7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8" s="66" t="b">
        <f aca="false">AND(Tasks[[#This Row],[_IsLeaf]]=1,Tasks[[#This Row],[_LeafProgress]]&lt;1,N(Tasks[[#This Row],[_LeafTotalSlack]])&lt;=CriticalSlackDays)</f>
        <v>0</v>
      </c>
      <c r="CG7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8" s="43" t="n">
        <f aca="false">IF(AND(Tasks[[#This Row],[_IsLeaf]]=1,Tasks[[#This Row],[_LeafWork]]&gt;0),NETWORKDAYS.INTL(ProjectStart,Tasks[[#This Row],[_LeafFcstStart]],WorkWeek,Holidays),0)</f>
        <v>0</v>
      </c>
      <c r="CP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8" s="43" t="n">
        <f aca="false">IF(AND(Tasks[[#This Row],[_IsLeaf]]=1,Tasks[[#This Row],[_LeafWork]]&gt;0),Tasks[[#This Row],[_LeafWork]]/(Tasks[[#This Row],[_FinishWorkday]]-Tasks[[#This Row],[_StartWorkday]]+1),0)</f>
        <v>0</v>
      </c>
      <c r="CR78" s="43" t="n">
        <f aca="false">Tasks[[#This Row],[_WorkPerWorkday]]*(Tasks[[#This Row],[_StartWorkday]]-1)</f>
        <v>-0</v>
      </c>
      <c r="CS78" s="43" t="n">
        <f aca="false">IF(Tasks[[#This Row],[_IsLeaf]]=1,MAX(N(Tasks[[#This Row],[Duration]]),0.1),0)</f>
        <v>0</v>
      </c>
      <c r="CT78" s="43" t="n">
        <f aca="false">Tasks[[#This Row],[_WeightDur]]*Tasks[[#This Row],[_LeafProgress]]</f>
        <v>0</v>
      </c>
      <c r="CU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8" s="43" t="str">
        <f aca="false">IF(AND(Tasks[[#This Row],[_IsLeaf]]=1,N(Tasks[[#This Row],[Duration]])=0,Tasks[[#This Row],[_LeafProgress]]&lt;1),Tasks[[#This Row],[_LeafFcstFinish]]+Tasks[[#This Row],[_Row]]/100000,"")</f>
        <v/>
      </c>
      <c r="DA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8" s="43" t="n">
        <f aca="false">IF(NOT(Tasks[[#This Row],[_IsLeaf]]=1),0,IF(Tasks[[#This Row],[Baseline Cost]]="",Tasks[[#This Row],[_LeafCost]],N(Tasks[[#This Row],[Baseline Cost]])))</f>
        <v>0</v>
      </c>
      <c r="DC78" s="43" t="n">
        <f aca="false">Tasks[[#This Row],[_LeafBudget]]*Tasks[[#This Row],[_PlannedPct]]</f>
        <v>0</v>
      </c>
      <c r="DD78" s="43" t="n">
        <f aca="false">Tasks[[#This Row],[_LeafBudget]]*Tasks[[#This Row],[_LeafProgress]]</f>
        <v>0</v>
      </c>
      <c r="DE78" s="43" t="n">
        <f aca="false">IF(NOT(Tasks[[#This Row],[_IsLeaf]]=1),0,IF(Tasks[[#This Row],[Actual Cost]]="",Tasks[[#This Row],[_LeafCost]]*Tasks[[#This Row],[_LeafProgress]],N(Tasks[[#This Row],[Actual Cost]])))</f>
        <v>0</v>
      </c>
      <c r="DF78" s="43" t="str">
        <f aca="false">IF(Tasks[[#This Row],[Task Name]]="","",LEFT(Tasks[[#This Row],[WBS]],FIND(".",Tasks[[#This Row],[WBS]]&amp;".")-1))</f>
        <v/>
      </c>
      <c r="DG78" s="43" t="str">
        <f aca="false">IF(AND(Tasks[[#This Row],[Task Name]]&lt;&gt;"",Tasks[[#This Row],[_Level]]=1),Tasks[[#This Row],[_Row]],"")</f>
        <v/>
      </c>
      <c r="DH78" s="43" t="str">
        <f aca="false">IF(AND(Tasks[[#This Row],[_IsLeaf]]=1,N(Tasks[[#This Row],[Duration]])=0),Tasks[[#This Row],[Planned Finish]]+Tasks[[#This Row],[_Row]]/100000,"")</f>
        <v/>
      </c>
      <c r="DI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8" s="43" t="str">
        <f aca="false">IF(Tasks[[#This Row],[_LeafCritical]],Tasks[[#This Row],[_LeafFcstStart]]+Tasks[[#This Row],[_Row]]/100000,"")</f>
        <v/>
      </c>
    </row>
    <row r="79" customFormat="false" ht="15" hidden="false" customHeight="false" outlineLevel="0" collapsed="false">
      <c r="A79" s="28" t="str">
        <f aca="false">IF(Tasks[[#This Row],[Task Name]]="","",COUNTA(Tasks[[#Headers],[Task Name]]:Tasks[[#This Row],[Task Name]])-1)</f>
        <v/>
      </c>
      <c r="B79" s="29" t="n">
        <v>74</v>
      </c>
      <c r="C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29"/>
      <c r="E79" s="30"/>
      <c r="F79" s="29"/>
      <c r="G79" s="29"/>
      <c r="H79" s="29"/>
      <c r="I79" s="29"/>
      <c r="J79" s="29"/>
      <c r="K79" s="29"/>
      <c r="L79" s="29"/>
      <c r="M79" s="29"/>
      <c r="N79" s="53"/>
      <c r="O79" s="53"/>
      <c r="P79" s="25" t="str">
        <f aca="false">IF(Tasks[[#This Row],[Task Name]]="","",IF(N(Tasks[[#This Row],[Baseline Start]])&gt;0,Tasks[[#This Row],[Baseline Start]],Tasks[[#This Row],[_CalcStart]]))</f>
        <v/>
      </c>
      <c r="Q79" s="25" t="str">
        <f aca="false">IF(Tasks[[#This Row],[Task Name]]="","",IF(N(Tasks[[#This Row],[Baseline Finish]])&gt;0,Tasks[[#This Row],[Baseline Finish]],Tasks[[#This Row],[_CalcFinish]]))</f>
        <v/>
      </c>
      <c r="R79" s="53"/>
      <c r="S79" s="53"/>
      <c r="T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55"/>
      <c r="AF7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30"/>
      <c r="AI79" s="55"/>
      <c r="AJ7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64"/>
      <c r="AM7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79" s="30"/>
      <c r="AP79" s="25" t="str">
        <f aca="false">IF(Tasks[[#This Row],[Task Name]]="","",Tasks[[#This Row],[Forecast Start]])</f>
        <v/>
      </c>
      <c r="AQ79" s="25" t="str">
        <f aca="false">IF(Tasks[[#This Row],[Task Name]]="","",Tasks[[#This Row],[Forecast Finish]])</f>
        <v/>
      </c>
      <c r="AR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79" s="62" t="str">
        <f aca="false">IF(Tasks[[#This Row],[Task Name]]="","",Tasks[[#This Row],[Work]])</f>
        <v/>
      </c>
      <c r="AT79" s="63" t="str">
        <f aca="false">IF(Tasks[[#This Row],[Task Name]]="","",Tasks[[#This Row],[Cost]])</f>
        <v/>
      </c>
      <c r="AU79" s="53"/>
      <c r="AV79" s="53"/>
      <c r="AW79" s="29"/>
      <c r="AX79" s="65"/>
      <c r="AY79" s="64"/>
      <c r="AZ79" s="28" t="str">
        <f aca="false">IF(OR(Tasks[[#This Row],[Task Name]]="",Tasks[[#This Row],[Baseline Duration]]=""),"",Tasks[[#This Row],[BL Source Duration]]-N(Tasks[[#This Row],[Baseline Duration]]))</f>
        <v/>
      </c>
      <c r="BA79" s="62" t="str">
        <f aca="false">IF(OR(Tasks[[#This Row],[Task Name]]="",Tasks[[#This Row],[Baseline Work]]=""),"",Tasks[[#This Row],[Work]]-N(Tasks[[#This Row],[Baseline Work]]))</f>
        <v/>
      </c>
      <c r="BB79" s="63" t="str">
        <f aca="false">IF(OR(Tasks[[#This Row],[Task Name]]="",Tasks[[#This Row],[Baseline Cost]]=""),"",Tasks[[#This Row],[Cost]]-N(Tasks[[#This Row],[Baseline Cost]]))</f>
        <v/>
      </c>
      <c r="BC7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7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7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7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79" s="43" t="str">
        <f aca="false">IF(Tasks[[#This Row],[Task Name]]="","",MAX(1,N(Tasks[[#This Row],[Level]])))</f>
        <v/>
      </c>
      <c r="BH79" s="43" t="n">
        <f aca="false">ROW()-ROW(Tasks[[#Headers],[ID]])</f>
        <v>74</v>
      </c>
      <c r="BI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79" s="43" t="n">
        <f aca="false">IFERROR(N(INDEX(Tasks[_Level],Tasks[[#This Row],[_Row]]+1)),0)</f>
        <v>0</v>
      </c>
      <c r="BK79" s="66" t="b">
        <f aca="false">AND(Tasks[[#This Row],[Task Name]]&lt;&gt;"",Tasks[[#This Row],[_NextLevel]]&gt;Tasks[[#This Row],[_Level]])</f>
        <v>0</v>
      </c>
      <c r="BL79" s="43" t="n">
        <f aca="false">IF(Tasks[[#This Row],[_IsSummary]],COUNTIF(Tasks[WBS],Tasks[[#This Row],[WBS]]&amp;".*"),0)</f>
        <v>0</v>
      </c>
      <c r="BM79" s="43" t="n">
        <f aca="false">IF(AND(Tasks[[#This Row],[Task Name]]&lt;&gt;"",NOT(Tasks[[#This Row],[_IsSummary]])),1,0)</f>
        <v>0</v>
      </c>
      <c r="BN79" s="43" t="n">
        <f aca="false">IF(N(Tasks[[#This Row],[Pred1 UID]])=0,0,IFERROR(MATCH(Tasks[[#This Row],[Pred1 UID]],Tasks[UID],0),-1))</f>
        <v>0</v>
      </c>
      <c r="BO79" s="43" t="n">
        <f aca="false">IF(N(Tasks[[#This Row],[Pred2 UID]])=0,0,IFERROR(MATCH(Tasks[[#This Row],[Pred2 UID]],Tasks[UID],0),-1))</f>
        <v>0</v>
      </c>
      <c r="BP7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7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7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7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79" s="43" t="n">
        <f aca="false">IF(NOT(Tasks[[#This Row],[_IsLeaf]]=1),0,IF(N(Tasks[[#This Row],[Actual Finish]])&gt;0,1,MIN(1,N(Tasks[[#This Row],[% Complete]]))))</f>
        <v>0</v>
      </c>
      <c r="BU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79" s="43" t="n">
        <f aca="false">IF(Tasks[[#This Row],[_LeafWork]]=0,0,Tasks[[#This Row],[_LeafWork]]*IFERROR(INDEX(res_Rate,MATCH(Tasks[[#This Row],[Resource]],res_Name,0)),0))</f>
        <v>0</v>
      </c>
      <c r="BW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79" s="43" t="n">
        <f aca="false">IF(NOT(Tasks[[#This Row],[_IsLeaf]]=1),0,MAX(_xlfn.MAXIFS(Tasks[_Row],Tasks[Pred1 UID],Tasks[[#This Row],[UID]]),_xlfn.MAXIFS(Tasks[_Row],Tasks[Pred2 UID],Tasks[[#This Row],[UID]])))</f>
        <v>0</v>
      </c>
      <c r="CB7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79" s="67" t="str">
        <f aca="false">IF(NOT(Tasks[[#This Row],[_IsLeaf]]=1),"",MIN(ProjectFinish,IF(N(Tasks[[#This Row],[Deadline]])&gt;0,Tasks[[#This Row],[Deadline]],2958465),Tasks[[#This Row],[_SuccessorFinishLimit]]))</f>
        <v/>
      </c>
      <c r="CD7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79" s="66" t="b">
        <f aca="false">AND(Tasks[[#This Row],[_IsLeaf]]=1,Tasks[[#This Row],[_LeafProgress]]&lt;1,N(Tasks[[#This Row],[_LeafTotalSlack]])&lt;=CriticalSlackDays)</f>
        <v>0</v>
      </c>
      <c r="CG7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7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7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7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7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7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79" s="43" t="n">
        <f aca="false">IF(AND(Tasks[[#This Row],[_IsLeaf]]=1,Tasks[[#This Row],[_LeafWork]]&gt;0),NETWORKDAYS.INTL(ProjectStart,Tasks[[#This Row],[_LeafFcstStart]],WorkWeek,Holidays),0)</f>
        <v>0</v>
      </c>
      <c r="CP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79" s="43" t="n">
        <f aca="false">IF(AND(Tasks[[#This Row],[_IsLeaf]]=1,Tasks[[#This Row],[_LeafWork]]&gt;0),Tasks[[#This Row],[_LeafWork]]/(Tasks[[#This Row],[_FinishWorkday]]-Tasks[[#This Row],[_StartWorkday]]+1),0)</f>
        <v>0</v>
      </c>
      <c r="CR79" s="43" t="n">
        <f aca="false">Tasks[[#This Row],[_WorkPerWorkday]]*(Tasks[[#This Row],[_StartWorkday]]-1)</f>
        <v>-0</v>
      </c>
      <c r="CS79" s="43" t="n">
        <f aca="false">IF(Tasks[[#This Row],[_IsLeaf]]=1,MAX(N(Tasks[[#This Row],[Duration]]),0.1),0)</f>
        <v>0</v>
      </c>
      <c r="CT79" s="43" t="n">
        <f aca="false">Tasks[[#This Row],[_WeightDur]]*Tasks[[#This Row],[_LeafProgress]]</f>
        <v>0</v>
      </c>
      <c r="CU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79" s="43" t="str">
        <f aca="false">IF(AND(Tasks[[#This Row],[_IsLeaf]]=1,N(Tasks[[#This Row],[Duration]])=0,Tasks[[#This Row],[_LeafProgress]]&lt;1),Tasks[[#This Row],[_LeafFcstFinish]]+Tasks[[#This Row],[_Row]]/100000,"")</f>
        <v/>
      </c>
      <c r="DA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79" s="43" t="n">
        <f aca="false">IF(NOT(Tasks[[#This Row],[_IsLeaf]]=1),0,IF(Tasks[[#This Row],[Baseline Cost]]="",Tasks[[#This Row],[_LeafCost]],N(Tasks[[#This Row],[Baseline Cost]])))</f>
        <v>0</v>
      </c>
      <c r="DC79" s="43" t="n">
        <f aca="false">Tasks[[#This Row],[_LeafBudget]]*Tasks[[#This Row],[_PlannedPct]]</f>
        <v>0</v>
      </c>
      <c r="DD79" s="43" t="n">
        <f aca="false">Tasks[[#This Row],[_LeafBudget]]*Tasks[[#This Row],[_LeafProgress]]</f>
        <v>0</v>
      </c>
      <c r="DE79" s="43" t="n">
        <f aca="false">IF(NOT(Tasks[[#This Row],[_IsLeaf]]=1),0,IF(Tasks[[#This Row],[Actual Cost]]="",Tasks[[#This Row],[_LeafCost]]*Tasks[[#This Row],[_LeafProgress]],N(Tasks[[#This Row],[Actual Cost]])))</f>
        <v>0</v>
      </c>
      <c r="DF79" s="43" t="str">
        <f aca="false">IF(Tasks[[#This Row],[Task Name]]="","",LEFT(Tasks[[#This Row],[WBS]],FIND(".",Tasks[[#This Row],[WBS]]&amp;".")-1))</f>
        <v/>
      </c>
      <c r="DG79" s="43" t="str">
        <f aca="false">IF(AND(Tasks[[#This Row],[Task Name]]&lt;&gt;"",Tasks[[#This Row],[_Level]]=1),Tasks[[#This Row],[_Row]],"")</f>
        <v/>
      </c>
      <c r="DH79" s="43" t="str">
        <f aca="false">IF(AND(Tasks[[#This Row],[_IsLeaf]]=1,N(Tasks[[#This Row],[Duration]])=0),Tasks[[#This Row],[Planned Finish]]+Tasks[[#This Row],[_Row]]/100000,"")</f>
        <v/>
      </c>
      <c r="DI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79" s="43" t="str">
        <f aca="false">IF(Tasks[[#This Row],[_LeafCritical]],Tasks[[#This Row],[_LeafFcstStart]]+Tasks[[#This Row],[_Row]]/100000,"")</f>
        <v/>
      </c>
    </row>
    <row r="80" customFormat="false" ht="15" hidden="false" customHeight="false" outlineLevel="0" collapsed="false">
      <c r="A80" s="28" t="str">
        <f aca="false">IF(Tasks[[#This Row],[Task Name]]="","",COUNTA(Tasks[[#Headers],[Task Name]]:Tasks[[#This Row],[Task Name]])-1)</f>
        <v/>
      </c>
      <c r="B80" s="29" t="n">
        <v>75</v>
      </c>
      <c r="C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29"/>
      <c r="E80" s="30"/>
      <c r="F80" s="29"/>
      <c r="G80" s="29"/>
      <c r="H80" s="29"/>
      <c r="I80" s="29"/>
      <c r="J80" s="29"/>
      <c r="K80" s="29"/>
      <c r="L80" s="29"/>
      <c r="M80" s="29"/>
      <c r="N80" s="53"/>
      <c r="O80" s="53"/>
      <c r="P80" s="25" t="str">
        <f aca="false">IF(Tasks[[#This Row],[Task Name]]="","",IF(N(Tasks[[#This Row],[Baseline Start]])&gt;0,Tasks[[#This Row],[Baseline Start]],Tasks[[#This Row],[_CalcStart]]))</f>
        <v/>
      </c>
      <c r="Q80" s="25" t="str">
        <f aca="false">IF(Tasks[[#This Row],[Task Name]]="","",IF(N(Tasks[[#This Row],[Baseline Finish]])&gt;0,Tasks[[#This Row],[Baseline Finish]],Tasks[[#This Row],[_CalcFinish]]))</f>
        <v/>
      </c>
      <c r="R80" s="53"/>
      <c r="S80" s="53"/>
      <c r="T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55"/>
      <c r="AF8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30"/>
      <c r="AI80" s="55"/>
      <c r="AJ8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64"/>
      <c r="AM8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0" s="30"/>
      <c r="AP80" s="25" t="str">
        <f aca="false">IF(Tasks[[#This Row],[Task Name]]="","",Tasks[[#This Row],[Forecast Start]])</f>
        <v/>
      </c>
      <c r="AQ80" s="25" t="str">
        <f aca="false">IF(Tasks[[#This Row],[Task Name]]="","",Tasks[[#This Row],[Forecast Finish]])</f>
        <v/>
      </c>
      <c r="AR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0" s="62" t="str">
        <f aca="false">IF(Tasks[[#This Row],[Task Name]]="","",Tasks[[#This Row],[Work]])</f>
        <v/>
      </c>
      <c r="AT80" s="63" t="str">
        <f aca="false">IF(Tasks[[#This Row],[Task Name]]="","",Tasks[[#This Row],[Cost]])</f>
        <v/>
      </c>
      <c r="AU80" s="53"/>
      <c r="AV80" s="53"/>
      <c r="AW80" s="29"/>
      <c r="AX80" s="65"/>
      <c r="AY80" s="64"/>
      <c r="AZ80" s="28" t="str">
        <f aca="false">IF(OR(Tasks[[#This Row],[Task Name]]="",Tasks[[#This Row],[Baseline Duration]]=""),"",Tasks[[#This Row],[BL Source Duration]]-N(Tasks[[#This Row],[Baseline Duration]]))</f>
        <v/>
      </c>
      <c r="BA80" s="62" t="str">
        <f aca="false">IF(OR(Tasks[[#This Row],[Task Name]]="",Tasks[[#This Row],[Baseline Work]]=""),"",Tasks[[#This Row],[Work]]-N(Tasks[[#This Row],[Baseline Work]]))</f>
        <v/>
      </c>
      <c r="BB80" s="63" t="str">
        <f aca="false">IF(OR(Tasks[[#This Row],[Task Name]]="",Tasks[[#This Row],[Baseline Cost]]=""),"",Tasks[[#This Row],[Cost]]-N(Tasks[[#This Row],[Baseline Cost]]))</f>
        <v/>
      </c>
      <c r="BC8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0" s="43" t="str">
        <f aca="false">IF(Tasks[[#This Row],[Task Name]]="","",MAX(1,N(Tasks[[#This Row],[Level]])))</f>
        <v/>
      </c>
      <c r="BH80" s="43" t="n">
        <f aca="false">ROW()-ROW(Tasks[[#Headers],[ID]])</f>
        <v>75</v>
      </c>
      <c r="BI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0" s="43" t="n">
        <f aca="false">IFERROR(N(INDEX(Tasks[_Level],Tasks[[#This Row],[_Row]]+1)),0)</f>
        <v>0</v>
      </c>
      <c r="BK80" s="66" t="b">
        <f aca="false">AND(Tasks[[#This Row],[Task Name]]&lt;&gt;"",Tasks[[#This Row],[_NextLevel]]&gt;Tasks[[#This Row],[_Level]])</f>
        <v>0</v>
      </c>
      <c r="BL80" s="43" t="n">
        <f aca="false">IF(Tasks[[#This Row],[_IsSummary]],COUNTIF(Tasks[WBS],Tasks[[#This Row],[WBS]]&amp;".*"),0)</f>
        <v>0</v>
      </c>
      <c r="BM80" s="43" t="n">
        <f aca="false">IF(AND(Tasks[[#This Row],[Task Name]]&lt;&gt;"",NOT(Tasks[[#This Row],[_IsSummary]])),1,0)</f>
        <v>0</v>
      </c>
      <c r="BN80" s="43" t="n">
        <f aca="false">IF(N(Tasks[[#This Row],[Pred1 UID]])=0,0,IFERROR(MATCH(Tasks[[#This Row],[Pred1 UID]],Tasks[UID],0),-1))</f>
        <v>0</v>
      </c>
      <c r="BO80" s="43" t="n">
        <f aca="false">IF(N(Tasks[[#This Row],[Pred2 UID]])=0,0,IFERROR(MATCH(Tasks[[#This Row],[Pred2 UID]],Tasks[UID],0),-1))</f>
        <v>0</v>
      </c>
      <c r="BP8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0" s="43" t="n">
        <f aca="false">IF(NOT(Tasks[[#This Row],[_IsLeaf]]=1),0,IF(N(Tasks[[#This Row],[Actual Finish]])&gt;0,1,MIN(1,N(Tasks[[#This Row],[% Complete]]))))</f>
        <v>0</v>
      </c>
      <c r="BU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0" s="43" t="n">
        <f aca="false">IF(Tasks[[#This Row],[_LeafWork]]=0,0,Tasks[[#This Row],[_LeafWork]]*IFERROR(INDEX(res_Rate,MATCH(Tasks[[#This Row],[Resource]],res_Name,0)),0))</f>
        <v>0</v>
      </c>
      <c r="BW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0" s="43" t="n">
        <f aca="false">IF(NOT(Tasks[[#This Row],[_IsLeaf]]=1),0,MAX(_xlfn.MAXIFS(Tasks[_Row],Tasks[Pred1 UID],Tasks[[#This Row],[UID]]),_xlfn.MAXIFS(Tasks[_Row],Tasks[Pred2 UID],Tasks[[#This Row],[UID]])))</f>
        <v>0</v>
      </c>
      <c r="CB8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0" s="67" t="str">
        <f aca="false">IF(NOT(Tasks[[#This Row],[_IsLeaf]]=1),"",MIN(ProjectFinish,IF(N(Tasks[[#This Row],[Deadline]])&gt;0,Tasks[[#This Row],[Deadline]],2958465),Tasks[[#This Row],[_SuccessorFinishLimit]]))</f>
        <v/>
      </c>
      <c r="CD8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0" s="66" t="b">
        <f aca="false">AND(Tasks[[#This Row],[_IsLeaf]]=1,Tasks[[#This Row],[_LeafProgress]]&lt;1,N(Tasks[[#This Row],[_LeafTotalSlack]])&lt;=CriticalSlackDays)</f>
        <v>0</v>
      </c>
      <c r="CG8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0" s="43" t="n">
        <f aca="false">IF(AND(Tasks[[#This Row],[_IsLeaf]]=1,Tasks[[#This Row],[_LeafWork]]&gt;0),NETWORKDAYS.INTL(ProjectStart,Tasks[[#This Row],[_LeafFcstStart]],WorkWeek,Holidays),0)</f>
        <v>0</v>
      </c>
      <c r="CP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0" s="43" t="n">
        <f aca="false">IF(AND(Tasks[[#This Row],[_IsLeaf]]=1,Tasks[[#This Row],[_LeafWork]]&gt;0),Tasks[[#This Row],[_LeafWork]]/(Tasks[[#This Row],[_FinishWorkday]]-Tasks[[#This Row],[_StartWorkday]]+1),0)</f>
        <v>0</v>
      </c>
      <c r="CR80" s="43" t="n">
        <f aca="false">Tasks[[#This Row],[_WorkPerWorkday]]*(Tasks[[#This Row],[_StartWorkday]]-1)</f>
        <v>-0</v>
      </c>
      <c r="CS80" s="43" t="n">
        <f aca="false">IF(Tasks[[#This Row],[_IsLeaf]]=1,MAX(N(Tasks[[#This Row],[Duration]]),0.1),0)</f>
        <v>0</v>
      </c>
      <c r="CT80" s="43" t="n">
        <f aca="false">Tasks[[#This Row],[_WeightDur]]*Tasks[[#This Row],[_LeafProgress]]</f>
        <v>0</v>
      </c>
      <c r="CU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0" s="43" t="str">
        <f aca="false">IF(AND(Tasks[[#This Row],[_IsLeaf]]=1,N(Tasks[[#This Row],[Duration]])=0,Tasks[[#This Row],[_LeafProgress]]&lt;1),Tasks[[#This Row],[_LeafFcstFinish]]+Tasks[[#This Row],[_Row]]/100000,"")</f>
        <v/>
      </c>
      <c r="DA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0" s="43" t="n">
        <f aca="false">IF(NOT(Tasks[[#This Row],[_IsLeaf]]=1),0,IF(Tasks[[#This Row],[Baseline Cost]]="",Tasks[[#This Row],[_LeafCost]],N(Tasks[[#This Row],[Baseline Cost]])))</f>
        <v>0</v>
      </c>
      <c r="DC80" s="43" t="n">
        <f aca="false">Tasks[[#This Row],[_LeafBudget]]*Tasks[[#This Row],[_PlannedPct]]</f>
        <v>0</v>
      </c>
      <c r="DD80" s="43" t="n">
        <f aca="false">Tasks[[#This Row],[_LeafBudget]]*Tasks[[#This Row],[_LeafProgress]]</f>
        <v>0</v>
      </c>
      <c r="DE80" s="43" t="n">
        <f aca="false">IF(NOT(Tasks[[#This Row],[_IsLeaf]]=1),0,IF(Tasks[[#This Row],[Actual Cost]]="",Tasks[[#This Row],[_LeafCost]]*Tasks[[#This Row],[_LeafProgress]],N(Tasks[[#This Row],[Actual Cost]])))</f>
        <v>0</v>
      </c>
      <c r="DF80" s="43" t="str">
        <f aca="false">IF(Tasks[[#This Row],[Task Name]]="","",LEFT(Tasks[[#This Row],[WBS]],FIND(".",Tasks[[#This Row],[WBS]]&amp;".")-1))</f>
        <v/>
      </c>
      <c r="DG80" s="43" t="str">
        <f aca="false">IF(AND(Tasks[[#This Row],[Task Name]]&lt;&gt;"",Tasks[[#This Row],[_Level]]=1),Tasks[[#This Row],[_Row]],"")</f>
        <v/>
      </c>
      <c r="DH80" s="43" t="str">
        <f aca="false">IF(AND(Tasks[[#This Row],[_IsLeaf]]=1,N(Tasks[[#This Row],[Duration]])=0),Tasks[[#This Row],[Planned Finish]]+Tasks[[#This Row],[_Row]]/100000,"")</f>
        <v/>
      </c>
      <c r="DI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0" s="43" t="str">
        <f aca="false">IF(Tasks[[#This Row],[_LeafCritical]],Tasks[[#This Row],[_LeafFcstStart]]+Tasks[[#This Row],[_Row]]/100000,"")</f>
        <v/>
      </c>
    </row>
    <row r="81" customFormat="false" ht="15" hidden="false" customHeight="false" outlineLevel="0" collapsed="false">
      <c r="A81" s="28" t="str">
        <f aca="false">IF(Tasks[[#This Row],[Task Name]]="","",COUNTA(Tasks[[#Headers],[Task Name]]:Tasks[[#This Row],[Task Name]])-1)</f>
        <v/>
      </c>
      <c r="B81" s="29" t="n">
        <v>76</v>
      </c>
      <c r="C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29"/>
      <c r="E81" s="30"/>
      <c r="F81" s="29"/>
      <c r="G81" s="29"/>
      <c r="H81" s="29"/>
      <c r="I81" s="29"/>
      <c r="J81" s="29"/>
      <c r="K81" s="29"/>
      <c r="L81" s="29"/>
      <c r="M81" s="29"/>
      <c r="N81" s="53"/>
      <c r="O81" s="53"/>
      <c r="P81" s="25" t="str">
        <f aca="false">IF(Tasks[[#This Row],[Task Name]]="","",IF(N(Tasks[[#This Row],[Baseline Start]])&gt;0,Tasks[[#This Row],[Baseline Start]],Tasks[[#This Row],[_CalcStart]]))</f>
        <v/>
      </c>
      <c r="Q81" s="25" t="str">
        <f aca="false">IF(Tasks[[#This Row],[Task Name]]="","",IF(N(Tasks[[#This Row],[Baseline Finish]])&gt;0,Tasks[[#This Row],[Baseline Finish]],Tasks[[#This Row],[_CalcFinish]]))</f>
        <v/>
      </c>
      <c r="R81" s="53"/>
      <c r="S81" s="53"/>
      <c r="T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55"/>
      <c r="AF8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30"/>
      <c r="AI81" s="55"/>
      <c r="AJ8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64"/>
      <c r="AM8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1" s="30"/>
      <c r="AP81" s="25" t="str">
        <f aca="false">IF(Tasks[[#This Row],[Task Name]]="","",Tasks[[#This Row],[Forecast Start]])</f>
        <v/>
      </c>
      <c r="AQ81" s="25" t="str">
        <f aca="false">IF(Tasks[[#This Row],[Task Name]]="","",Tasks[[#This Row],[Forecast Finish]])</f>
        <v/>
      </c>
      <c r="AR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1" s="62" t="str">
        <f aca="false">IF(Tasks[[#This Row],[Task Name]]="","",Tasks[[#This Row],[Work]])</f>
        <v/>
      </c>
      <c r="AT81" s="63" t="str">
        <f aca="false">IF(Tasks[[#This Row],[Task Name]]="","",Tasks[[#This Row],[Cost]])</f>
        <v/>
      </c>
      <c r="AU81" s="53"/>
      <c r="AV81" s="53"/>
      <c r="AW81" s="29"/>
      <c r="AX81" s="65"/>
      <c r="AY81" s="64"/>
      <c r="AZ81" s="28" t="str">
        <f aca="false">IF(OR(Tasks[[#This Row],[Task Name]]="",Tasks[[#This Row],[Baseline Duration]]=""),"",Tasks[[#This Row],[BL Source Duration]]-N(Tasks[[#This Row],[Baseline Duration]]))</f>
        <v/>
      </c>
      <c r="BA81" s="62" t="str">
        <f aca="false">IF(OR(Tasks[[#This Row],[Task Name]]="",Tasks[[#This Row],[Baseline Work]]=""),"",Tasks[[#This Row],[Work]]-N(Tasks[[#This Row],[Baseline Work]]))</f>
        <v/>
      </c>
      <c r="BB81" s="63" t="str">
        <f aca="false">IF(OR(Tasks[[#This Row],[Task Name]]="",Tasks[[#This Row],[Baseline Cost]]=""),"",Tasks[[#This Row],[Cost]]-N(Tasks[[#This Row],[Baseline Cost]]))</f>
        <v/>
      </c>
      <c r="BC8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1" s="43" t="str">
        <f aca="false">IF(Tasks[[#This Row],[Task Name]]="","",MAX(1,N(Tasks[[#This Row],[Level]])))</f>
        <v/>
      </c>
      <c r="BH81" s="43" t="n">
        <f aca="false">ROW()-ROW(Tasks[[#Headers],[ID]])</f>
        <v>76</v>
      </c>
      <c r="BI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1" s="43" t="n">
        <f aca="false">IFERROR(N(INDEX(Tasks[_Level],Tasks[[#This Row],[_Row]]+1)),0)</f>
        <v>0</v>
      </c>
      <c r="BK81" s="66" t="b">
        <f aca="false">AND(Tasks[[#This Row],[Task Name]]&lt;&gt;"",Tasks[[#This Row],[_NextLevel]]&gt;Tasks[[#This Row],[_Level]])</f>
        <v>0</v>
      </c>
      <c r="BL81" s="43" t="n">
        <f aca="false">IF(Tasks[[#This Row],[_IsSummary]],COUNTIF(Tasks[WBS],Tasks[[#This Row],[WBS]]&amp;".*"),0)</f>
        <v>0</v>
      </c>
      <c r="BM81" s="43" t="n">
        <f aca="false">IF(AND(Tasks[[#This Row],[Task Name]]&lt;&gt;"",NOT(Tasks[[#This Row],[_IsSummary]])),1,0)</f>
        <v>0</v>
      </c>
      <c r="BN81" s="43" t="n">
        <f aca="false">IF(N(Tasks[[#This Row],[Pred1 UID]])=0,0,IFERROR(MATCH(Tasks[[#This Row],[Pred1 UID]],Tasks[UID],0),-1))</f>
        <v>0</v>
      </c>
      <c r="BO81" s="43" t="n">
        <f aca="false">IF(N(Tasks[[#This Row],[Pred2 UID]])=0,0,IFERROR(MATCH(Tasks[[#This Row],[Pred2 UID]],Tasks[UID],0),-1))</f>
        <v>0</v>
      </c>
      <c r="BP8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1" s="43" t="n">
        <f aca="false">IF(NOT(Tasks[[#This Row],[_IsLeaf]]=1),0,IF(N(Tasks[[#This Row],[Actual Finish]])&gt;0,1,MIN(1,N(Tasks[[#This Row],[% Complete]]))))</f>
        <v>0</v>
      </c>
      <c r="BU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1" s="43" t="n">
        <f aca="false">IF(Tasks[[#This Row],[_LeafWork]]=0,0,Tasks[[#This Row],[_LeafWork]]*IFERROR(INDEX(res_Rate,MATCH(Tasks[[#This Row],[Resource]],res_Name,0)),0))</f>
        <v>0</v>
      </c>
      <c r="BW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1" s="43" t="n">
        <f aca="false">IF(NOT(Tasks[[#This Row],[_IsLeaf]]=1),0,MAX(_xlfn.MAXIFS(Tasks[_Row],Tasks[Pred1 UID],Tasks[[#This Row],[UID]]),_xlfn.MAXIFS(Tasks[_Row],Tasks[Pred2 UID],Tasks[[#This Row],[UID]])))</f>
        <v>0</v>
      </c>
      <c r="CB8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1" s="67" t="str">
        <f aca="false">IF(NOT(Tasks[[#This Row],[_IsLeaf]]=1),"",MIN(ProjectFinish,IF(N(Tasks[[#This Row],[Deadline]])&gt;0,Tasks[[#This Row],[Deadline]],2958465),Tasks[[#This Row],[_SuccessorFinishLimit]]))</f>
        <v/>
      </c>
      <c r="CD8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1" s="66" t="b">
        <f aca="false">AND(Tasks[[#This Row],[_IsLeaf]]=1,Tasks[[#This Row],[_LeafProgress]]&lt;1,N(Tasks[[#This Row],[_LeafTotalSlack]])&lt;=CriticalSlackDays)</f>
        <v>0</v>
      </c>
      <c r="CG8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1" s="43" t="n">
        <f aca="false">IF(AND(Tasks[[#This Row],[_IsLeaf]]=1,Tasks[[#This Row],[_LeafWork]]&gt;0),NETWORKDAYS.INTL(ProjectStart,Tasks[[#This Row],[_LeafFcstStart]],WorkWeek,Holidays),0)</f>
        <v>0</v>
      </c>
      <c r="CP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1" s="43" t="n">
        <f aca="false">IF(AND(Tasks[[#This Row],[_IsLeaf]]=1,Tasks[[#This Row],[_LeafWork]]&gt;0),Tasks[[#This Row],[_LeafWork]]/(Tasks[[#This Row],[_FinishWorkday]]-Tasks[[#This Row],[_StartWorkday]]+1),0)</f>
        <v>0</v>
      </c>
      <c r="CR81" s="43" t="n">
        <f aca="false">Tasks[[#This Row],[_WorkPerWorkday]]*(Tasks[[#This Row],[_StartWorkday]]-1)</f>
        <v>-0</v>
      </c>
      <c r="CS81" s="43" t="n">
        <f aca="false">IF(Tasks[[#This Row],[_IsLeaf]]=1,MAX(N(Tasks[[#This Row],[Duration]]),0.1),0)</f>
        <v>0</v>
      </c>
      <c r="CT81" s="43" t="n">
        <f aca="false">Tasks[[#This Row],[_WeightDur]]*Tasks[[#This Row],[_LeafProgress]]</f>
        <v>0</v>
      </c>
      <c r="CU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1" s="43" t="str">
        <f aca="false">IF(AND(Tasks[[#This Row],[_IsLeaf]]=1,N(Tasks[[#This Row],[Duration]])=0,Tasks[[#This Row],[_LeafProgress]]&lt;1),Tasks[[#This Row],[_LeafFcstFinish]]+Tasks[[#This Row],[_Row]]/100000,"")</f>
        <v/>
      </c>
      <c r="DA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1" s="43" t="n">
        <f aca="false">IF(NOT(Tasks[[#This Row],[_IsLeaf]]=1),0,IF(Tasks[[#This Row],[Baseline Cost]]="",Tasks[[#This Row],[_LeafCost]],N(Tasks[[#This Row],[Baseline Cost]])))</f>
        <v>0</v>
      </c>
      <c r="DC81" s="43" t="n">
        <f aca="false">Tasks[[#This Row],[_LeafBudget]]*Tasks[[#This Row],[_PlannedPct]]</f>
        <v>0</v>
      </c>
      <c r="DD81" s="43" t="n">
        <f aca="false">Tasks[[#This Row],[_LeafBudget]]*Tasks[[#This Row],[_LeafProgress]]</f>
        <v>0</v>
      </c>
      <c r="DE81" s="43" t="n">
        <f aca="false">IF(NOT(Tasks[[#This Row],[_IsLeaf]]=1),0,IF(Tasks[[#This Row],[Actual Cost]]="",Tasks[[#This Row],[_LeafCost]]*Tasks[[#This Row],[_LeafProgress]],N(Tasks[[#This Row],[Actual Cost]])))</f>
        <v>0</v>
      </c>
      <c r="DF81" s="43" t="str">
        <f aca="false">IF(Tasks[[#This Row],[Task Name]]="","",LEFT(Tasks[[#This Row],[WBS]],FIND(".",Tasks[[#This Row],[WBS]]&amp;".")-1))</f>
        <v/>
      </c>
      <c r="DG81" s="43" t="str">
        <f aca="false">IF(AND(Tasks[[#This Row],[Task Name]]&lt;&gt;"",Tasks[[#This Row],[_Level]]=1),Tasks[[#This Row],[_Row]],"")</f>
        <v/>
      </c>
      <c r="DH81" s="43" t="str">
        <f aca="false">IF(AND(Tasks[[#This Row],[_IsLeaf]]=1,N(Tasks[[#This Row],[Duration]])=0),Tasks[[#This Row],[Planned Finish]]+Tasks[[#This Row],[_Row]]/100000,"")</f>
        <v/>
      </c>
      <c r="DI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1" s="43" t="str">
        <f aca="false">IF(Tasks[[#This Row],[_LeafCritical]],Tasks[[#This Row],[_LeafFcstStart]]+Tasks[[#This Row],[_Row]]/100000,"")</f>
        <v/>
      </c>
    </row>
    <row r="82" customFormat="false" ht="15" hidden="false" customHeight="false" outlineLevel="0" collapsed="false">
      <c r="A82" s="28" t="str">
        <f aca="false">IF(Tasks[[#This Row],[Task Name]]="","",COUNTA(Tasks[[#Headers],[Task Name]]:Tasks[[#This Row],[Task Name]])-1)</f>
        <v/>
      </c>
      <c r="B82" s="29" t="n">
        <v>77</v>
      </c>
      <c r="C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29"/>
      <c r="E82" s="30"/>
      <c r="F82" s="29"/>
      <c r="G82" s="29"/>
      <c r="H82" s="29"/>
      <c r="I82" s="29"/>
      <c r="J82" s="29"/>
      <c r="K82" s="29"/>
      <c r="L82" s="29"/>
      <c r="M82" s="29"/>
      <c r="N82" s="53"/>
      <c r="O82" s="53"/>
      <c r="P82" s="25" t="str">
        <f aca="false">IF(Tasks[[#This Row],[Task Name]]="","",IF(N(Tasks[[#This Row],[Baseline Start]])&gt;0,Tasks[[#This Row],[Baseline Start]],Tasks[[#This Row],[_CalcStart]]))</f>
        <v/>
      </c>
      <c r="Q82" s="25" t="str">
        <f aca="false">IF(Tasks[[#This Row],[Task Name]]="","",IF(N(Tasks[[#This Row],[Baseline Finish]])&gt;0,Tasks[[#This Row],[Baseline Finish]],Tasks[[#This Row],[_CalcFinish]]))</f>
        <v/>
      </c>
      <c r="R82" s="53"/>
      <c r="S82" s="53"/>
      <c r="T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55"/>
      <c r="AF8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30"/>
      <c r="AI82" s="55"/>
      <c r="AJ8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64"/>
      <c r="AM8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2" s="30"/>
      <c r="AP82" s="25" t="str">
        <f aca="false">IF(Tasks[[#This Row],[Task Name]]="","",Tasks[[#This Row],[Forecast Start]])</f>
        <v/>
      </c>
      <c r="AQ82" s="25" t="str">
        <f aca="false">IF(Tasks[[#This Row],[Task Name]]="","",Tasks[[#This Row],[Forecast Finish]])</f>
        <v/>
      </c>
      <c r="AR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2" s="62" t="str">
        <f aca="false">IF(Tasks[[#This Row],[Task Name]]="","",Tasks[[#This Row],[Work]])</f>
        <v/>
      </c>
      <c r="AT82" s="63" t="str">
        <f aca="false">IF(Tasks[[#This Row],[Task Name]]="","",Tasks[[#This Row],[Cost]])</f>
        <v/>
      </c>
      <c r="AU82" s="53"/>
      <c r="AV82" s="53"/>
      <c r="AW82" s="29"/>
      <c r="AX82" s="65"/>
      <c r="AY82" s="64"/>
      <c r="AZ82" s="28" t="str">
        <f aca="false">IF(OR(Tasks[[#This Row],[Task Name]]="",Tasks[[#This Row],[Baseline Duration]]=""),"",Tasks[[#This Row],[BL Source Duration]]-N(Tasks[[#This Row],[Baseline Duration]]))</f>
        <v/>
      </c>
      <c r="BA82" s="62" t="str">
        <f aca="false">IF(OR(Tasks[[#This Row],[Task Name]]="",Tasks[[#This Row],[Baseline Work]]=""),"",Tasks[[#This Row],[Work]]-N(Tasks[[#This Row],[Baseline Work]]))</f>
        <v/>
      </c>
      <c r="BB82" s="63" t="str">
        <f aca="false">IF(OR(Tasks[[#This Row],[Task Name]]="",Tasks[[#This Row],[Baseline Cost]]=""),"",Tasks[[#This Row],[Cost]]-N(Tasks[[#This Row],[Baseline Cost]]))</f>
        <v/>
      </c>
      <c r="BC8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2" s="43" t="str">
        <f aca="false">IF(Tasks[[#This Row],[Task Name]]="","",MAX(1,N(Tasks[[#This Row],[Level]])))</f>
        <v/>
      </c>
      <c r="BH82" s="43" t="n">
        <f aca="false">ROW()-ROW(Tasks[[#Headers],[ID]])</f>
        <v>77</v>
      </c>
      <c r="BI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2" s="43" t="n">
        <f aca="false">IFERROR(N(INDEX(Tasks[_Level],Tasks[[#This Row],[_Row]]+1)),0)</f>
        <v>0</v>
      </c>
      <c r="BK82" s="66" t="b">
        <f aca="false">AND(Tasks[[#This Row],[Task Name]]&lt;&gt;"",Tasks[[#This Row],[_NextLevel]]&gt;Tasks[[#This Row],[_Level]])</f>
        <v>0</v>
      </c>
      <c r="BL82" s="43" t="n">
        <f aca="false">IF(Tasks[[#This Row],[_IsSummary]],COUNTIF(Tasks[WBS],Tasks[[#This Row],[WBS]]&amp;".*"),0)</f>
        <v>0</v>
      </c>
      <c r="BM82" s="43" t="n">
        <f aca="false">IF(AND(Tasks[[#This Row],[Task Name]]&lt;&gt;"",NOT(Tasks[[#This Row],[_IsSummary]])),1,0)</f>
        <v>0</v>
      </c>
      <c r="BN82" s="43" t="n">
        <f aca="false">IF(N(Tasks[[#This Row],[Pred1 UID]])=0,0,IFERROR(MATCH(Tasks[[#This Row],[Pred1 UID]],Tasks[UID],0),-1))</f>
        <v>0</v>
      </c>
      <c r="BO82" s="43" t="n">
        <f aca="false">IF(N(Tasks[[#This Row],[Pred2 UID]])=0,0,IFERROR(MATCH(Tasks[[#This Row],[Pred2 UID]],Tasks[UID],0),-1))</f>
        <v>0</v>
      </c>
      <c r="BP8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2" s="43" t="n">
        <f aca="false">IF(NOT(Tasks[[#This Row],[_IsLeaf]]=1),0,IF(N(Tasks[[#This Row],[Actual Finish]])&gt;0,1,MIN(1,N(Tasks[[#This Row],[% Complete]]))))</f>
        <v>0</v>
      </c>
      <c r="BU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2" s="43" t="n">
        <f aca="false">IF(Tasks[[#This Row],[_LeafWork]]=0,0,Tasks[[#This Row],[_LeafWork]]*IFERROR(INDEX(res_Rate,MATCH(Tasks[[#This Row],[Resource]],res_Name,0)),0))</f>
        <v>0</v>
      </c>
      <c r="BW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2" s="43" t="n">
        <f aca="false">IF(NOT(Tasks[[#This Row],[_IsLeaf]]=1),0,MAX(_xlfn.MAXIFS(Tasks[_Row],Tasks[Pred1 UID],Tasks[[#This Row],[UID]]),_xlfn.MAXIFS(Tasks[_Row],Tasks[Pred2 UID],Tasks[[#This Row],[UID]])))</f>
        <v>0</v>
      </c>
      <c r="CB8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2" s="67" t="str">
        <f aca="false">IF(NOT(Tasks[[#This Row],[_IsLeaf]]=1),"",MIN(ProjectFinish,IF(N(Tasks[[#This Row],[Deadline]])&gt;0,Tasks[[#This Row],[Deadline]],2958465),Tasks[[#This Row],[_SuccessorFinishLimit]]))</f>
        <v/>
      </c>
      <c r="CD8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2" s="66" t="b">
        <f aca="false">AND(Tasks[[#This Row],[_IsLeaf]]=1,Tasks[[#This Row],[_LeafProgress]]&lt;1,N(Tasks[[#This Row],[_LeafTotalSlack]])&lt;=CriticalSlackDays)</f>
        <v>0</v>
      </c>
      <c r="CG8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2" s="43" t="n">
        <f aca="false">IF(AND(Tasks[[#This Row],[_IsLeaf]]=1,Tasks[[#This Row],[_LeafWork]]&gt;0),NETWORKDAYS.INTL(ProjectStart,Tasks[[#This Row],[_LeafFcstStart]],WorkWeek,Holidays),0)</f>
        <v>0</v>
      </c>
      <c r="CP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2" s="43" t="n">
        <f aca="false">IF(AND(Tasks[[#This Row],[_IsLeaf]]=1,Tasks[[#This Row],[_LeafWork]]&gt;0),Tasks[[#This Row],[_LeafWork]]/(Tasks[[#This Row],[_FinishWorkday]]-Tasks[[#This Row],[_StartWorkday]]+1),0)</f>
        <v>0</v>
      </c>
      <c r="CR82" s="43" t="n">
        <f aca="false">Tasks[[#This Row],[_WorkPerWorkday]]*(Tasks[[#This Row],[_StartWorkday]]-1)</f>
        <v>-0</v>
      </c>
      <c r="CS82" s="43" t="n">
        <f aca="false">IF(Tasks[[#This Row],[_IsLeaf]]=1,MAX(N(Tasks[[#This Row],[Duration]]),0.1),0)</f>
        <v>0</v>
      </c>
      <c r="CT82" s="43" t="n">
        <f aca="false">Tasks[[#This Row],[_WeightDur]]*Tasks[[#This Row],[_LeafProgress]]</f>
        <v>0</v>
      </c>
      <c r="CU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2" s="43" t="str">
        <f aca="false">IF(AND(Tasks[[#This Row],[_IsLeaf]]=1,N(Tasks[[#This Row],[Duration]])=0,Tasks[[#This Row],[_LeafProgress]]&lt;1),Tasks[[#This Row],[_LeafFcstFinish]]+Tasks[[#This Row],[_Row]]/100000,"")</f>
        <v/>
      </c>
      <c r="DA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2" s="43" t="n">
        <f aca="false">IF(NOT(Tasks[[#This Row],[_IsLeaf]]=1),0,IF(Tasks[[#This Row],[Baseline Cost]]="",Tasks[[#This Row],[_LeafCost]],N(Tasks[[#This Row],[Baseline Cost]])))</f>
        <v>0</v>
      </c>
      <c r="DC82" s="43" t="n">
        <f aca="false">Tasks[[#This Row],[_LeafBudget]]*Tasks[[#This Row],[_PlannedPct]]</f>
        <v>0</v>
      </c>
      <c r="DD82" s="43" t="n">
        <f aca="false">Tasks[[#This Row],[_LeafBudget]]*Tasks[[#This Row],[_LeafProgress]]</f>
        <v>0</v>
      </c>
      <c r="DE82" s="43" t="n">
        <f aca="false">IF(NOT(Tasks[[#This Row],[_IsLeaf]]=1),0,IF(Tasks[[#This Row],[Actual Cost]]="",Tasks[[#This Row],[_LeafCost]]*Tasks[[#This Row],[_LeafProgress]],N(Tasks[[#This Row],[Actual Cost]])))</f>
        <v>0</v>
      </c>
      <c r="DF82" s="43" t="str">
        <f aca="false">IF(Tasks[[#This Row],[Task Name]]="","",LEFT(Tasks[[#This Row],[WBS]],FIND(".",Tasks[[#This Row],[WBS]]&amp;".")-1))</f>
        <v/>
      </c>
      <c r="DG82" s="43" t="str">
        <f aca="false">IF(AND(Tasks[[#This Row],[Task Name]]&lt;&gt;"",Tasks[[#This Row],[_Level]]=1),Tasks[[#This Row],[_Row]],"")</f>
        <v/>
      </c>
      <c r="DH82" s="43" t="str">
        <f aca="false">IF(AND(Tasks[[#This Row],[_IsLeaf]]=1,N(Tasks[[#This Row],[Duration]])=0),Tasks[[#This Row],[Planned Finish]]+Tasks[[#This Row],[_Row]]/100000,"")</f>
        <v/>
      </c>
      <c r="DI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2" s="43" t="str">
        <f aca="false">IF(Tasks[[#This Row],[_LeafCritical]],Tasks[[#This Row],[_LeafFcstStart]]+Tasks[[#This Row],[_Row]]/100000,"")</f>
        <v/>
      </c>
    </row>
    <row r="83" customFormat="false" ht="15" hidden="false" customHeight="false" outlineLevel="0" collapsed="false">
      <c r="A83" s="28" t="str">
        <f aca="false">IF(Tasks[[#This Row],[Task Name]]="","",COUNTA(Tasks[[#Headers],[Task Name]]:Tasks[[#This Row],[Task Name]])-1)</f>
        <v/>
      </c>
      <c r="B83" s="29" t="n">
        <v>78</v>
      </c>
      <c r="C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29"/>
      <c r="E83" s="30"/>
      <c r="F83" s="29"/>
      <c r="G83" s="29"/>
      <c r="H83" s="29"/>
      <c r="I83" s="29"/>
      <c r="J83" s="29"/>
      <c r="K83" s="29"/>
      <c r="L83" s="29"/>
      <c r="M83" s="29"/>
      <c r="N83" s="53"/>
      <c r="O83" s="53"/>
      <c r="P83" s="25" t="str">
        <f aca="false">IF(Tasks[[#This Row],[Task Name]]="","",IF(N(Tasks[[#This Row],[Baseline Start]])&gt;0,Tasks[[#This Row],[Baseline Start]],Tasks[[#This Row],[_CalcStart]]))</f>
        <v/>
      </c>
      <c r="Q83" s="25" t="str">
        <f aca="false">IF(Tasks[[#This Row],[Task Name]]="","",IF(N(Tasks[[#This Row],[Baseline Finish]])&gt;0,Tasks[[#This Row],[Baseline Finish]],Tasks[[#This Row],[_CalcFinish]]))</f>
        <v/>
      </c>
      <c r="R83" s="53"/>
      <c r="S83" s="53"/>
      <c r="T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55"/>
      <c r="AF8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30"/>
      <c r="AI83" s="55"/>
      <c r="AJ8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64"/>
      <c r="AM8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3" s="30"/>
      <c r="AP83" s="25" t="str">
        <f aca="false">IF(Tasks[[#This Row],[Task Name]]="","",Tasks[[#This Row],[Forecast Start]])</f>
        <v/>
      </c>
      <c r="AQ83" s="25" t="str">
        <f aca="false">IF(Tasks[[#This Row],[Task Name]]="","",Tasks[[#This Row],[Forecast Finish]])</f>
        <v/>
      </c>
      <c r="AR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3" s="62" t="str">
        <f aca="false">IF(Tasks[[#This Row],[Task Name]]="","",Tasks[[#This Row],[Work]])</f>
        <v/>
      </c>
      <c r="AT83" s="63" t="str">
        <f aca="false">IF(Tasks[[#This Row],[Task Name]]="","",Tasks[[#This Row],[Cost]])</f>
        <v/>
      </c>
      <c r="AU83" s="53"/>
      <c r="AV83" s="53"/>
      <c r="AW83" s="29"/>
      <c r="AX83" s="65"/>
      <c r="AY83" s="64"/>
      <c r="AZ83" s="28" t="str">
        <f aca="false">IF(OR(Tasks[[#This Row],[Task Name]]="",Tasks[[#This Row],[Baseline Duration]]=""),"",Tasks[[#This Row],[BL Source Duration]]-N(Tasks[[#This Row],[Baseline Duration]]))</f>
        <v/>
      </c>
      <c r="BA83" s="62" t="str">
        <f aca="false">IF(OR(Tasks[[#This Row],[Task Name]]="",Tasks[[#This Row],[Baseline Work]]=""),"",Tasks[[#This Row],[Work]]-N(Tasks[[#This Row],[Baseline Work]]))</f>
        <v/>
      </c>
      <c r="BB83" s="63" t="str">
        <f aca="false">IF(OR(Tasks[[#This Row],[Task Name]]="",Tasks[[#This Row],[Baseline Cost]]=""),"",Tasks[[#This Row],[Cost]]-N(Tasks[[#This Row],[Baseline Cost]]))</f>
        <v/>
      </c>
      <c r="BC8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3" s="43" t="str">
        <f aca="false">IF(Tasks[[#This Row],[Task Name]]="","",MAX(1,N(Tasks[[#This Row],[Level]])))</f>
        <v/>
      </c>
      <c r="BH83" s="43" t="n">
        <f aca="false">ROW()-ROW(Tasks[[#Headers],[ID]])</f>
        <v>78</v>
      </c>
      <c r="BI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3" s="43" t="n">
        <f aca="false">IFERROR(N(INDEX(Tasks[_Level],Tasks[[#This Row],[_Row]]+1)),0)</f>
        <v>0</v>
      </c>
      <c r="BK83" s="66" t="b">
        <f aca="false">AND(Tasks[[#This Row],[Task Name]]&lt;&gt;"",Tasks[[#This Row],[_NextLevel]]&gt;Tasks[[#This Row],[_Level]])</f>
        <v>0</v>
      </c>
      <c r="BL83" s="43" t="n">
        <f aca="false">IF(Tasks[[#This Row],[_IsSummary]],COUNTIF(Tasks[WBS],Tasks[[#This Row],[WBS]]&amp;".*"),0)</f>
        <v>0</v>
      </c>
      <c r="BM83" s="43" t="n">
        <f aca="false">IF(AND(Tasks[[#This Row],[Task Name]]&lt;&gt;"",NOT(Tasks[[#This Row],[_IsSummary]])),1,0)</f>
        <v>0</v>
      </c>
      <c r="BN83" s="43" t="n">
        <f aca="false">IF(N(Tasks[[#This Row],[Pred1 UID]])=0,0,IFERROR(MATCH(Tasks[[#This Row],[Pred1 UID]],Tasks[UID],0),-1))</f>
        <v>0</v>
      </c>
      <c r="BO83" s="43" t="n">
        <f aca="false">IF(N(Tasks[[#This Row],[Pred2 UID]])=0,0,IFERROR(MATCH(Tasks[[#This Row],[Pred2 UID]],Tasks[UID],0),-1))</f>
        <v>0</v>
      </c>
      <c r="BP8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3" s="43" t="n">
        <f aca="false">IF(NOT(Tasks[[#This Row],[_IsLeaf]]=1),0,IF(N(Tasks[[#This Row],[Actual Finish]])&gt;0,1,MIN(1,N(Tasks[[#This Row],[% Complete]]))))</f>
        <v>0</v>
      </c>
      <c r="BU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3" s="43" t="n">
        <f aca="false">IF(Tasks[[#This Row],[_LeafWork]]=0,0,Tasks[[#This Row],[_LeafWork]]*IFERROR(INDEX(res_Rate,MATCH(Tasks[[#This Row],[Resource]],res_Name,0)),0))</f>
        <v>0</v>
      </c>
      <c r="BW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3" s="43" t="n">
        <f aca="false">IF(NOT(Tasks[[#This Row],[_IsLeaf]]=1),0,MAX(_xlfn.MAXIFS(Tasks[_Row],Tasks[Pred1 UID],Tasks[[#This Row],[UID]]),_xlfn.MAXIFS(Tasks[_Row],Tasks[Pred2 UID],Tasks[[#This Row],[UID]])))</f>
        <v>0</v>
      </c>
      <c r="CB8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3" s="67" t="str">
        <f aca="false">IF(NOT(Tasks[[#This Row],[_IsLeaf]]=1),"",MIN(ProjectFinish,IF(N(Tasks[[#This Row],[Deadline]])&gt;0,Tasks[[#This Row],[Deadline]],2958465),Tasks[[#This Row],[_SuccessorFinishLimit]]))</f>
        <v/>
      </c>
      <c r="CD8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3" s="66" t="b">
        <f aca="false">AND(Tasks[[#This Row],[_IsLeaf]]=1,Tasks[[#This Row],[_LeafProgress]]&lt;1,N(Tasks[[#This Row],[_LeafTotalSlack]])&lt;=CriticalSlackDays)</f>
        <v>0</v>
      </c>
      <c r="CG8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3" s="43" t="n">
        <f aca="false">IF(AND(Tasks[[#This Row],[_IsLeaf]]=1,Tasks[[#This Row],[_LeafWork]]&gt;0),NETWORKDAYS.INTL(ProjectStart,Tasks[[#This Row],[_LeafFcstStart]],WorkWeek,Holidays),0)</f>
        <v>0</v>
      </c>
      <c r="CP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3" s="43" t="n">
        <f aca="false">IF(AND(Tasks[[#This Row],[_IsLeaf]]=1,Tasks[[#This Row],[_LeafWork]]&gt;0),Tasks[[#This Row],[_LeafWork]]/(Tasks[[#This Row],[_FinishWorkday]]-Tasks[[#This Row],[_StartWorkday]]+1),0)</f>
        <v>0</v>
      </c>
      <c r="CR83" s="43" t="n">
        <f aca="false">Tasks[[#This Row],[_WorkPerWorkday]]*(Tasks[[#This Row],[_StartWorkday]]-1)</f>
        <v>-0</v>
      </c>
      <c r="CS83" s="43" t="n">
        <f aca="false">IF(Tasks[[#This Row],[_IsLeaf]]=1,MAX(N(Tasks[[#This Row],[Duration]]),0.1),0)</f>
        <v>0</v>
      </c>
      <c r="CT83" s="43" t="n">
        <f aca="false">Tasks[[#This Row],[_WeightDur]]*Tasks[[#This Row],[_LeafProgress]]</f>
        <v>0</v>
      </c>
      <c r="CU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3" s="43" t="str">
        <f aca="false">IF(AND(Tasks[[#This Row],[_IsLeaf]]=1,N(Tasks[[#This Row],[Duration]])=0,Tasks[[#This Row],[_LeafProgress]]&lt;1),Tasks[[#This Row],[_LeafFcstFinish]]+Tasks[[#This Row],[_Row]]/100000,"")</f>
        <v/>
      </c>
      <c r="DA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3" s="43" t="n">
        <f aca="false">IF(NOT(Tasks[[#This Row],[_IsLeaf]]=1),0,IF(Tasks[[#This Row],[Baseline Cost]]="",Tasks[[#This Row],[_LeafCost]],N(Tasks[[#This Row],[Baseline Cost]])))</f>
        <v>0</v>
      </c>
      <c r="DC83" s="43" t="n">
        <f aca="false">Tasks[[#This Row],[_LeafBudget]]*Tasks[[#This Row],[_PlannedPct]]</f>
        <v>0</v>
      </c>
      <c r="DD83" s="43" t="n">
        <f aca="false">Tasks[[#This Row],[_LeafBudget]]*Tasks[[#This Row],[_LeafProgress]]</f>
        <v>0</v>
      </c>
      <c r="DE83" s="43" t="n">
        <f aca="false">IF(NOT(Tasks[[#This Row],[_IsLeaf]]=1),0,IF(Tasks[[#This Row],[Actual Cost]]="",Tasks[[#This Row],[_LeafCost]]*Tasks[[#This Row],[_LeafProgress]],N(Tasks[[#This Row],[Actual Cost]])))</f>
        <v>0</v>
      </c>
      <c r="DF83" s="43" t="str">
        <f aca="false">IF(Tasks[[#This Row],[Task Name]]="","",LEFT(Tasks[[#This Row],[WBS]],FIND(".",Tasks[[#This Row],[WBS]]&amp;".")-1))</f>
        <v/>
      </c>
      <c r="DG83" s="43" t="str">
        <f aca="false">IF(AND(Tasks[[#This Row],[Task Name]]&lt;&gt;"",Tasks[[#This Row],[_Level]]=1),Tasks[[#This Row],[_Row]],"")</f>
        <v/>
      </c>
      <c r="DH83" s="43" t="str">
        <f aca="false">IF(AND(Tasks[[#This Row],[_IsLeaf]]=1,N(Tasks[[#This Row],[Duration]])=0),Tasks[[#This Row],[Planned Finish]]+Tasks[[#This Row],[_Row]]/100000,"")</f>
        <v/>
      </c>
      <c r="DI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3" s="43" t="str">
        <f aca="false">IF(Tasks[[#This Row],[_LeafCritical]],Tasks[[#This Row],[_LeafFcstStart]]+Tasks[[#This Row],[_Row]]/100000,"")</f>
        <v/>
      </c>
    </row>
    <row r="84" customFormat="false" ht="15" hidden="false" customHeight="false" outlineLevel="0" collapsed="false">
      <c r="A84" s="28" t="str">
        <f aca="false">IF(Tasks[[#This Row],[Task Name]]="","",COUNTA(Tasks[[#Headers],[Task Name]]:Tasks[[#This Row],[Task Name]])-1)</f>
        <v/>
      </c>
      <c r="B84" s="29" t="n">
        <v>79</v>
      </c>
      <c r="C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29"/>
      <c r="E84" s="30"/>
      <c r="F84" s="29"/>
      <c r="G84" s="29"/>
      <c r="H84" s="29"/>
      <c r="I84" s="29"/>
      <c r="J84" s="29"/>
      <c r="K84" s="29"/>
      <c r="L84" s="29"/>
      <c r="M84" s="29"/>
      <c r="N84" s="53"/>
      <c r="O84" s="53"/>
      <c r="P84" s="25" t="str">
        <f aca="false">IF(Tasks[[#This Row],[Task Name]]="","",IF(N(Tasks[[#This Row],[Baseline Start]])&gt;0,Tasks[[#This Row],[Baseline Start]],Tasks[[#This Row],[_CalcStart]]))</f>
        <v/>
      </c>
      <c r="Q84" s="25" t="str">
        <f aca="false">IF(Tasks[[#This Row],[Task Name]]="","",IF(N(Tasks[[#This Row],[Baseline Finish]])&gt;0,Tasks[[#This Row],[Baseline Finish]],Tasks[[#This Row],[_CalcFinish]]))</f>
        <v/>
      </c>
      <c r="R84" s="53"/>
      <c r="S84" s="53"/>
      <c r="T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55"/>
      <c r="AF8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30"/>
      <c r="AI84" s="55"/>
      <c r="AJ8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64"/>
      <c r="AM8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4" s="30"/>
      <c r="AP84" s="25" t="str">
        <f aca="false">IF(Tasks[[#This Row],[Task Name]]="","",Tasks[[#This Row],[Forecast Start]])</f>
        <v/>
      </c>
      <c r="AQ84" s="25" t="str">
        <f aca="false">IF(Tasks[[#This Row],[Task Name]]="","",Tasks[[#This Row],[Forecast Finish]])</f>
        <v/>
      </c>
      <c r="AR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4" s="62" t="str">
        <f aca="false">IF(Tasks[[#This Row],[Task Name]]="","",Tasks[[#This Row],[Work]])</f>
        <v/>
      </c>
      <c r="AT84" s="63" t="str">
        <f aca="false">IF(Tasks[[#This Row],[Task Name]]="","",Tasks[[#This Row],[Cost]])</f>
        <v/>
      </c>
      <c r="AU84" s="53"/>
      <c r="AV84" s="53"/>
      <c r="AW84" s="29"/>
      <c r="AX84" s="65"/>
      <c r="AY84" s="64"/>
      <c r="AZ84" s="28" t="str">
        <f aca="false">IF(OR(Tasks[[#This Row],[Task Name]]="",Tasks[[#This Row],[Baseline Duration]]=""),"",Tasks[[#This Row],[BL Source Duration]]-N(Tasks[[#This Row],[Baseline Duration]]))</f>
        <v/>
      </c>
      <c r="BA84" s="62" t="str">
        <f aca="false">IF(OR(Tasks[[#This Row],[Task Name]]="",Tasks[[#This Row],[Baseline Work]]=""),"",Tasks[[#This Row],[Work]]-N(Tasks[[#This Row],[Baseline Work]]))</f>
        <v/>
      </c>
      <c r="BB84" s="63" t="str">
        <f aca="false">IF(OR(Tasks[[#This Row],[Task Name]]="",Tasks[[#This Row],[Baseline Cost]]=""),"",Tasks[[#This Row],[Cost]]-N(Tasks[[#This Row],[Baseline Cost]]))</f>
        <v/>
      </c>
      <c r="BC8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4" s="43" t="str">
        <f aca="false">IF(Tasks[[#This Row],[Task Name]]="","",MAX(1,N(Tasks[[#This Row],[Level]])))</f>
        <v/>
      </c>
      <c r="BH84" s="43" t="n">
        <f aca="false">ROW()-ROW(Tasks[[#Headers],[ID]])</f>
        <v>79</v>
      </c>
      <c r="BI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4" s="43" t="n">
        <f aca="false">IFERROR(N(INDEX(Tasks[_Level],Tasks[[#This Row],[_Row]]+1)),0)</f>
        <v>0</v>
      </c>
      <c r="BK84" s="66" t="b">
        <f aca="false">AND(Tasks[[#This Row],[Task Name]]&lt;&gt;"",Tasks[[#This Row],[_NextLevel]]&gt;Tasks[[#This Row],[_Level]])</f>
        <v>0</v>
      </c>
      <c r="BL84" s="43" t="n">
        <f aca="false">IF(Tasks[[#This Row],[_IsSummary]],COUNTIF(Tasks[WBS],Tasks[[#This Row],[WBS]]&amp;".*"),0)</f>
        <v>0</v>
      </c>
      <c r="BM84" s="43" t="n">
        <f aca="false">IF(AND(Tasks[[#This Row],[Task Name]]&lt;&gt;"",NOT(Tasks[[#This Row],[_IsSummary]])),1,0)</f>
        <v>0</v>
      </c>
      <c r="BN84" s="43" t="n">
        <f aca="false">IF(N(Tasks[[#This Row],[Pred1 UID]])=0,0,IFERROR(MATCH(Tasks[[#This Row],[Pred1 UID]],Tasks[UID],0),-1))</f>
        <v>0</v>
      </c>
      <c r="BO84" s="43" t="n">
        <f aca="false">IF(N(Tasks[[#This Row],[Pred2 UID]])=0,0,IFERROR(MATCH(Tasks[[#This Row],[Pred2 UID]],Tasks[UID],0),-1))</f>
        <v>0</v>
      </c>
      <c r="BP8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4" s="43" t="n">
        <f aca="false">IF(NOT(Tasks[[#This Row],[_IsLeaf]]=1),0,IF(N(Tasks[[#This Row],[Actual Finish]])&gt;0,1,MIN(1,N(Tasks[[#This Row],[% Complete]]))))</f>
        <v>0</v>
      </c>
      <c r="BU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4" s="43" t="n">
        <f aca="false">IF(Tasks[[#This Row],[_LeafWork]]=0,0,Tasks[[#This Row],[_LeafWork]]*IFERROR(INDEX(res_Rate,MATCH(Tasks[[#This Row],[Resource]],res_Name,0)),0))</f>
        <v>0</v>
      </c>
      <c r="BW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4" s="43" t="n">
        <f aca="false">IF(NOT(Tasks[[#This Row],[_IsLeaf]]=1),0,MAX(_xlfn.MAXIFS(Tasks[_Row],Tasks[Pred1 UID],Tasks[[#This Row],[UID]]),_xlfn.MAXIFS(Tasks[_Row],Tasks[Pred2 UID],Tasks[[#This Row],[UID]])))</f>
        <v>0</v>
      </c>
      <c r="CB8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4" s="67" t="str">
        <f aca="false">IF(NOT(Tasks[[#This Row],[_IsLeaf]]=1),"",MIN(ProjectFinish,IF(N(Tasks[[#This Row],[Deadline]])&gt;0,Tasks[[#This Row],[Deadline]],2958465),Tasks[[#This Row],[_SuccessorFinishLimit]]))</f>
        <v/>
      </c>
      <c r="CD8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4" s="66" t="b">
        <f aca="false">AND(Tasks[[#This Row],[_IsLeaf]]=1,Tasks[[#This Row],[_LeafProgress]]&lt;1,N(Tasks[[#This Row],[_LeafTotalSlack]])&lt;=CriticalSlackDays)</f>
        <v>0</v>
      </c>
      <c r="CG8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4" s="43" t="n">
        <f aca="false">IF(AND(Tasks[[#This Row],[_IsLeaf]]=1,Tasks[[#This Row],[_LeafWork]]&gt;0),NETWORKDAYS.INTL(ProjectStart,Tasks[[#This Row],[_LeafFcstStart]],WorkWeek,Holidays),0)</f>
        <v>0</v>
      </c>
      <c r="CP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4" s="43" t="n">
        <f aca="false">IF(AND(Tasks[[#This Row],[_IsLeaf]]=1,Tasks[[#This Row],[_LeafWork]]&gt;0),Tasks[[#This Row],[_LeafWork]]/(Tasks[[#This Row],[_FinishWorkday]]-Tasks[[#This Row],[_StartWorkday]]+1),0)</f>
        <v>0</v>
      </c>
      <c r="CR84" s="43" t="n">
        <f aca="false">Tasks[[#This Row],[_WorkPerWorkday]]*(Tasks[[#This Row],[_StartWorkday]]-1)</f>
        <v>-0</v>
      </c>
      <c r="CS84" s="43" t="n">
        <f aca="false">IF(Tasks[[#This Row],[_IsLeaf]]=1,MAX(N(Tasks[[#This Row],[Duration]]),0.1),0)</f>
        <v>0</v>
      </c>
      <c r="CT84" s="43" t="n">
        <f aca="false">Tasks[[#This Row],[_WeightDur]]*Tasks[[#This Row],[_LeafProgress]]</f>
        <v>0</v>
      </c>
      <c r="CU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4" s="43" t="str">
        <f aca="false">IF(AND(Tasks[[#This Row],[_IsLeaf]]=1,N(Tasks[[#This Row],[Duration]])=0,Tasks[[#This Row],[_LeafProgress]]&lt;1),Tasks[[#This Row],[_LeafFcstFinish]]+Tasks[[#This Row],[_Row]]/100000,"")</f>
        <v/>
      </c>
      <c r="DA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4" s="43" t="n">
        <f aca="false">IF(NOT(Tasks[[#This Row],[_IsLeaf]]=1),0,IF(Tasks[[#This Row],[Baseline Cost]]="",Tasks[[#This Row],[_LeafCost]],N(Tasks[[#This Row],[Baseline Cost]])))</f>
        <v>0</v>
      </c>
      <c r="DC84" s="43" t="n">
        <f aca="false">Tasks[[#This Row],[_LeafBudget]]*Tasks[[#This Row],[_PlannedPct]]</f>
        <v>0</v>
      </c>
      <c r="DD84" s="43" t="n">
        <f aca="false">Tasks[[#This Row],[_LeafBudget]]*Tasks[[#This Row],[_LeafProgress]]</f>
        <v>0</v>
      </c>
      <c r="DE84" s="43" t="n">
        <f aca="false">IF(NOT(Tasks[[#This Row],[_IsLeaf]]=1),0,IF(Tasks[[#This Row],[Actual Cost]]="",Tasks[[#This Row],[_LeafCost]]*Tasks[[#This Row],[_LeafProgress]],N(Tasks[[#This Row],[Actual Cost]])))</f>
        <v>0</v>
      </c>
      <c r="DF84" s="43" t="str">
        <f aca="false">IF(Tasks[[#This Row],[Task Name]]="","",LEFT(Tasks[[#This Row],[WBS]],FIND(".",Tasks[[#This Row],[WBS]]&amp;".")-1))</f>
        <v/>
      </c>
      <c r="DG84" s="43" t="str">
        <f aca="false">IF(AND(Tasks[[#This Row],[Task Name]]&lt;&gt;"",Tasks[[#This Row],[_Level]]=1),Tasks[[#This Row],[_Row]],"")</f>
        <v/>
      </c>
      <c r="DH84" s="43" t="str">
        <f aca="false">IF(AND(Tasks[[#This Row],[_IsLeaf]]=1,N(Tasks[[#This Row],[Duration]])=0),Tasks[[#This Row],[Planned Finish]]+Tasks[[#This Row],[_Row]]/100000,"")</f>
        <v/>
      </c>
      <c r="DI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4" s="43" t="str">
        <f aca="false">IF(Tasks[[#This Row],[_LeafCritical]],Tasks[[#This Row],[_LeafFcstStart]]+Tasks[[#This Row],[_Row]]/100000,"")</f>
        <v/>
      </c>
    </row>
    <row r="85" customFormat="false" ht="15" hidden="false" customHeight="false" outlineLevel="0" collapsed="false">
      <c r="A85" s="28" t="str">
        <f aca="false">IF(Tasks[[#This Row],[Task Name]]="","",COUNTA(Tasks[[#Headers],[Task Name]]:Tasks[[#This Row],[Task Name]])-1)</f>
        <v/>
      </c>
      <c r="B85" s="29" t="n">
        <v>80</v>
      </c>
      <c r="C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29"/>
      <c r="E85" s="30"/>
      <c r="F85" s="29"/>
      <c r="G85" s="29"/>
      <c r="H85" s="29"/>
      <c r="I85" s="29"/>
      <c r="J85" s="29"/>
      <c r="K85" s="29"/>
      <c r="L85" s="29"/>
      <c r="M85" s="29"/>
      <c r="N85" s="53"/>
      <c r="O85" s="53"/>
      <c r="P85" s="25" t="str">
        <f aca="false">IF(Tasks[[#This Row],[Task Name]]="","",IF(N(Tasks[[#This Row],[Baseline Start]])&gt;0,Tasks[[#This Row],[Baseline Start]],Tasks[[#This Row],[_CalcStart]]))</f>
        <v/>
      </c>
      <c r="Q85" s="25" t="str">
        <f aca="false">IF(Tasks[[#This Row],[Task Name]]="","",IF(N(Tasks[[#This Row],[Baseline Finish]])&gt;0,Tasks[[#This Row],[Baseline Finish]],Tasks[[#This Row],[_CalcFinish]]))</f>
        <v/>
      </c>
      <c r="R85" s="53"/>
      <c r="S85" s="53"/>
      <c r="T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55"/>
      <c r="AF8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30"/>
      <c r="AI85" s="55"/>
      <c r="AJ8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64"/>
      <c r="AM8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5" s="30"/>
      <c r="AP85" s="25" t="str">
        <f aca="false">IF(Tasks[[#This Row],[Task Name]]="","",Tasks[[#This Row],[Forecast Start]])</f>
        <v/>
      </c>
      <c r="AQ85" s="25" t="str">
        <f aca="false">IF(Tasks[[#This Row],[Task Name]]="","",Tasks[[#This Row],[Forecast Finish]])</f>
        <v/>
      </c>
      <c r="AR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5" s="62" t="str">
        <f aca="false">IF(Tasks[[#This Row],[Task Name]]="","",Tasks[[#This Row],[Work]])</f>
        <v/>
      </c>
      <c r="AT85" s="63" t="str">
        <f aca="false">IF(Tasks[[#This Row],[Task Name]]="","",Tasks[[#This Row],[Cost]])</f>
        <v/>
      </c>
      <c r="AU85" s="53"/>
      <c r="AV85" s="53"/>
      <c r="AW85" s="29"/>
      <c r="AX85" s="65"/>
      <c r="AY85" s="64"/>
      <c r="AZ85" s="28" t="str">
        <f aca="false">IF(OR(Tasks[[#This Row],[Task Name]]="",Tasks[[#This Row],[Baseline Duration]]=""),"",Tasks[[#This Row],[BL Source Duration]]-N(Tasks[[#This Row],[Baseline Duration]]))</f>
        <v/>
      </c>
      <c r="BA85" s="62" t="str">
        <f aca="false">IF(OR(Tasks[[#This Row],[Task Name]]="",Tasks[[#This Row],[Baseline Work]]=""),"",Tasks[[#This Row],[Work]]-N(Tasks[[#This Row],[Baseline Work]]))</f>
        <v/>
      </c>
      <c r="BB85" s="63" t="str">
        <f aca="false">IF(OR(Tasks[[#This Row],[Task Name]]="",Tasks[[#This Row],[Baseline Cost]]=""),"",Tasks[[#This Row],[Cost]]-N(Tasks[[#This Row],[Baseline Cost]]))</f>
        <v/>
      </c>
      <c r="BC8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5" s="43" t="str">
        <f aca="false">IF(Tasks[[#This Row],[Task Name]]="","",MAX(1,N(Tasks[[#This Row],[Level]])))</f>
        <v/>
      </c>
      <c r="BH85" s="43" t="n">
        <f aca="false">ROW()-ROW(Tasks[[#Headers],[ID]])</f>
        <v>80</v>
      </c>
      <c r="BI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5" s="43" t="n">
        <f aca="false">IFERROR(N(INDEX(Tasks[_Level],Tasks[[#This Row],[_Row]]+1)),0)</f>
        <v>0</v>
      </c>
      <c r="BK85" s="66" t="b">
        <f aca="false">AND(Tasks[[#This Row],[Task Name]]&lt;&gt;"",Tasks[[#This Row],[_NextLevel]]&gt;Tasks[[#This Row],[_Level]])</f>
        <v>0</v>
      </c>
      <c r="BL85" s="43" t="n">
        <f aca="false">IF(Tasks[[#This Row],[_IsSummary]],COUNTIF(Tasks[WBS],Tasks[[#This Row],[WBS]]&amp;".*"),0)</f>
        <v>0</v>
      </c>
      <c r="BM85" s="43" t="n">
        <f aca="false">IF(AND(Tasks[[#This Row],[Task Name]]&lt;&gt;"",NOT(Tasks[[#This Row],[_IsSummary]])),1,0)</f>
        <v>0</v>
      </c>
      <c r="BN85" s="43" t="n">
        <f aca="false">IF(N(Tasks[[#This Row],[Pred1 UID]])=0,0,IFERROR(MATCH(Tasks[[#This Row],[Pred1 UID]],Tasks[UID],0),-1))</f>
        <v>0</v>
      </c>
      <c r="BO85" s="43" t="n">
        <f aca="false">IF(N(Tasks[[#This Row],[Pred2 UID]])=0,0,IFERROR(MATCH(Tasks[[#This Row],[Pred2 UID]],Tasks[UID],0),-1))</f>
        <v>0</v>
      </c>
      <c r="BP8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5" s="43" t="n">
        <f aca="false">IF(NOT(Tasks[[#This Row],[_IsLeaf]]=1),0,IF(N(Tasks[[#This Row],[Actual Finish]])&gt;0,1,MIN(1,N(Tasks[[#This Row],[% Complete]]))))</f>
        <v>0</v>
      </c>
      <c r="BU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5" s="43" t="n">
        <f aca="false">IF(Tasks[[#This Row],[_LeafWork]]=0,0,Tasks[[#This Row],[_LeafWork]]*IFERROR(INDEX(res_Rate,MATCH(Tasks[[#This Row],[Resource]],res_Name,0)),0))</f>
        <v>0</v>
      </c>
      <c r="BW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5" s="43" t="n">
        <f aca="false">IF(NOT(Tasks[[#This Row],[_IsLeaf]]=1),0,MAX(_xlfn.MAXIFS(Tasks[_Row],Tasks[Pred1 UID],Tasks[[#This Row],[UID]]),_xlfn.MAXIFS(Tasks[_Row],Tasks[Pred2 UID],Tasks[[#This Row],[UID]])))</f>
        <v>0</v>
      </c>
      <c r="CB8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5" s="67" t="str">
        <f aca="false">IF(NOT(Tasks[[#This Row],[_IsLeaf]]=1),"",MIN(ProjectFinish,IF(N(Tasks[[#This Row],[Deadline]])&gt;0,Tasks[[#This Row],[Deadline]],2958465),Tasks[[#This Row],[_SuccessorFinishLimit]]))</f>
        <v/>
      </c>
      <c r="CD8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5" s="66" t="b">
        <f aca="false">AND(Tasks[[#This Row],[_IsLeaf]]=1,Tasks[[#This Row],[_LeafProgress]]&lt;1,N(Tasks[[#This Row],[_LeafTotalSlack]])&lt;=CriticalSlackDays)</f>
        <v>0</v>
      </c>
      <c r="CG8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5" s="43" t="n">
        <f aca="false">IF(AND(Tasks[[#This Row],[_IsLeaf]]=1,Tasks[[#This Row],[_LeafWork]]&gt;0),NETWORKDAYS.INTL(ProjectStart,Tasks[[#This Row],[_LeafFcstStart]],WorkWeek,Holidays),0)</f>
        <v>0</v>
      </c>
      <c r="CP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5" s="43" t="n">
        <f aca="false">IF(AND(Tasks[[#This Row],[_IsLeaf]]=1,Tasks[[#This Row],[_LeafWork]]&gt;0),Tasks[[#This Row],[_LeafWork]]/(Tasks[[#This Row],[_FinishWorkday]]-Tasks[[#This Row],[_StartWorkday]]+1),0)</f>
        <v>0</v>
      </c>
      <c r="CR85" s="43" t="n">
        <f aca="false">Tasks[[#This Row],[_WorkPerWorkday]]*(Tasks[[#This Row],[_StartWorkday]]-1)</f>
        <v>-0</v>
      </c>
      <c r="CS85" s="43" t="n">
        <f aca="false">IF(Tasks[[#This Row],[_IsLeaf]]=1,MAX(N(Tasks[[#This Row],[Duration]]),0.1),0)</f>
        <v>0</v>
      </c>
      <c r="CT85" s="43" t="n">
        <f aca="false">Tasks[[#This Row],[_WeightDur]]*Tasks[[#This Row],[_LeafProgress]]</f>
        <v>0</v>
      </c>
      <c r="CU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5" s="43" t="str">
        <f aca="false">IF(AND(Tasks[[#This Row],[_IsLeaf]]=1,N(Tasks[[#This Row],[Duration]])=0,Tasks[[#This Row],[_LeafProgress]]&lt;1),Tasks[[#This Row],[_LeafFcstFinish]]+Tasks[[#This Row],[_Row]]/100000,"")</f>
        <v/>
      </c>
      <c r="DA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5" s="43" t="n">
        <f aca="false">IF(NOT(Tasks[[#This Row],[_IsLeaf]]=1),0,IF(Tasks[[#This Row],[Baseline Cost]]="",Tasks[[#This Row],[_LeafCost]],N(Tasks[[#This Row],[Baseline Cost]])))</f>
        <v>0</v>
      </c>
      <c r="DC85" s="43" t="n">
        <f aca="false">Tasks[[#This Row],[_LeafBudget]]*Tasks[[#This Row],[_PlannedPct]]</f>
        <v>0</v>
      </c>
      <c r="DD85" s="43" t="n">
        <f aca="false">Tasks[[#This Row],[_LeafBudget]]*Tasks[[#This Row],[_LeafProgress]]</f>
        <v>0</v>
      </c>
      <c r="DE85" s="43" t="n">
        <f aca="false">IF(NOT(Tasks[[#This Row],[_IsLeaf]]=1),0,IF(Tasks[[#This Row],[Actual Cost]]="",Tasks[[#This Row],[_LeafCost]]*Tasks[[#This Row],[_LeafProgress]],N(Tasks[[#This Row],[Actual Cost]])))</f>
        <v>0</v>
      </c>
      <c r="DF85" s="43" t="str">
        <f aca="false">IF(Tasks[[#This Row],[Task Name]]="","",LEFT(Tasks[[#This Row],[WBS]],FIND(".",Tasks[[#This Row],[WBS]]&amp;".")-1))</f>
        <v/>
      </c>
      <c r="DG85" s="43" t="str">
        <f aca="false">IF(AND(Tasks[[#This Row],[Task Name]]&lt;&gt;"",Tasks[[#This Row],[_Level]]=1),Tasks[[#This Row],[_Row]],"")</f>
        <v/>
      </c>
      <c r="DH85" s="43" t="str">
        <f aca="false">IF(AND(Tasks[[#This Row],[_IsLeaf]]=1,N(Tasks[[#This Row],[Duration]])=0),Tasks[[#This Row],[Planned Finish]]+Tasks[[#This Row],[_Row]]/100000,"")</f>
        <v/>
      </c>
      <c r="DI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5" s="43" t="str">
        <f aca="false">IF(Tasks[[#This Row],[_LeafCritical]],Tasks[[#This Row],[_LeafFcstStart]]+Tasks[[#This Row],[_Row]]/100000,"")</f>
        <v/>
      </c>
    </row>
    <row r="86" customFormat="false" ht="15" hidden="false" customHeight="false" outlineLevel="0" collapsed="false">
      <c r="A86" s="28" t="str">
        <f aca="false">IF(Tasks[[#This Row],[Task Name]]="","",COUNTA(Tasks[[#Headers],[Task Name]]:Tasks[[#This Row],[Task Name]])-1)</f>
        <v/>
      </c>
      <c r="B86" s="29" t="n">
        <v>81</v>
      </c>
      <c r="C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29"/>
      <c r="E86" s="30"/>
      <c r="F86" s="29"/>
      <c r="G86" s="29"/>
      <c r="H86" s="29"/>
      <c r="I86" s="29"/>
      <c r="J86" s="29"/>
      <c r="K86" s="29"/>
      <c r="L86" s="29"/>
      <c r="M86" s="29"/>
      <c r="N86" s="53"/>
      <c r="O86" s="53"/>
      <c r="P86" s="25" t="str">
        <f aca="false">IF(Tasks[[#This Row],[Task Name]]="","",IF(N(Tasks[[#This Row],[Baseline Start]])&gt;0,Tasks[[#This Row],[Baseline Start]],Tasks[[#This Row],[_CalcStart]]))</f>
        <v/>
      </c>
      <c r="Q86" s="25" t="str">
        <f aca="false">IF(Tasks[[#This Row],[Task Name]]="","",IF(N(Tasks[[#This Row],[Baseline Finish]])&gt;0,Tasks[[#This Row],[Baseline Finish]],Tasks[[#This Row],[_CalcFinish]]))</f>
        <v/>
      </c>
      <c r="R86" s="53"/>
      <c r="S86" s="53"/>
      <c r="T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55"/>
      <c r="AF8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30"/>
      <c r="AI86" s="55"/>
      <c r="AJ8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64"/>
      <c r="AM8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6" s="30"/>
      <c r="AP86" s="25" t="str">
        <f aca="false">IF(Tasks[[#This Row],[Task Name]]="","",Tasks[[#This Row],[Forecast Start]])</f>
        <v/>
      </c>
      <c r="AQ86" s="25" t="str">
        <f aca="false">IF(Tasks[[#This Row],[Task Name]]="","",Tasks[[#This Row],[Forecast Finish]])</f>
        <v/>
      </c>
      <c r="AR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6" s="62" t="str">
        <f aca="false">IF(Tasks[[#This Row],[Task Name]]="","",Tasks[[#This Row],[Work]])</f>
        <v/>
      </c>
      <c r="AT86" s="63" t="str">
        <f aca="false">IF(Tasks[[#This Row],[Task Name]]="","",Tasks[[#This Row],[Cost]])</f>
        <v/>
      </c>
      <c r="AU86" s="53"/>
      <c r="AV86" s="53"/>
      <c r="AW86" s="29"/>
      <c r="AX86" s="65"/>
      <c r="AY86" s="64"/>
      <c r="AZ86" s="28" t="str">
        <f aca="false">IF(OR(Tasks[[#This Row],[Task Name]]="",Tasks[[#This Row],[Baseline Duration]]=""),"",Tasks[[#This Row],[BL Source Duration]]-N(Tasks[[#This Row],[Baseline Duration]]))</f>
        <v/>
      </c>
      <c r="BA86" s="62" t="str">
        <f aca="false">IF(OR(Tasks[[#This Row],[Task Name]]="",Tasks[[#This Row],[Baseline Work]]=""),"",Tasks[[#This Row],[Work]]-N(Tasks[[#This Row],[Baseline Work]]))</f>
        <v/>
      </c>
      <c r="BB86" s="63" t="str">
        <f aca="false">IF(OR(Tasks[[#This Row],[Task Name]]="",Tasks[[#This Row],[Baseline Cost]]=""),"",Tasks[[#This Row],[Cost]]-N(Tasks[[#This Row],[Baseline Cost]]))</f>
        <v/>
      </c>
      <c r="BC8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6" s="43" t="str">
        <f aca="false">IF(Tasks[[#This Row],[Task Name]]="","",MAX(1,N(Tasks[[#This Row],[Level]])))</f>
        <v/>
      </c>
      <c r="BH86" s="43" t="n">
        <f aca="false">ROW()-ROW(Tasks[[#Headers],[ID]])</f>
        <v>81</v>
      </c>
      <c r="BI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6" s="43" t="n">
        <f aca="false">IFERROR(N(INDEX(Tasks[_Level],Tasks[[#This Row],[_Row]]+1)),0)</f>
        <v>0</v>
      </c>
      <c r="BK86" s="66" t="b">
        <f aca="false">AND(Tasks[[#This Row],[Task Name]]&lt;&gt;"",Tasks[[#This Row],[_NextLevel]]&gt;Tasks[[#This Row],[_Level]])</f>
        <v>0</v>
      </c>
      <c r="BL86" s="43" t="n">
        <f aca="false">IF(Tasks[[#This Row],[_IsSummary]],COUNTIF(Tasks[WBS],Tasks[[#This Row],[WBS]]&amp;".*"),0)</f>
        <v>0</v>
      </c>
      <c r="BM86" s="43" t="n">
        <f aca="false">IF(AND(Tasks[[#This Row],[Task Name]]&lt;&gt;"",NOT(Tasks[[#This Row],[_IsSummary]])),1,0)</f>
        <v>0</v>
      </c>
      <c r="BN86" s="43" t="n">
        <f aca="false">IF(N(Tasks[[#This Row],[Pred1 UID]])=0,0,IFERROR(MATCH(Tasks[[#This Row],[Pred1 UID]],Tasks[UID],0),-1))</f>
        <v>0</v>
      </c>
      <c r="BO86" s="43" t="n">
        <f aca="false">IF(N(Tasks[[#This Row],[Pred2 UID]])=0,0,IFERROR(MATCH(Tasks[[#This Row],[Pred2 UID]],Tasks[UID],0),-1))</f>
        <v>0</v>
      </c>
      <c r="BP8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6" s="43" t="n">
        <f aca="false">IF(NOT(Tasks[[#This Row],[_IsLeaf]]=1),0,IF(N(Tasks[[#This Row],[Actual Finish]])&gt;0,1,MIN(1,N(Tasks[[#This Row],[% Complete]]))))</f>
        <v>0</v>
      </c>
      <c r="BU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6" s="43" t="n">
        <f aca="false">IF(Tasks[[#This Row],[_LeafWork]]=0,0,Tasks[[#This Row],[_LeafWork]]*IFERROR(INDEX(res_Rate,MATCH(Tasks[[#This Row],[Resource]],res_Name,0)),0))</f>
        <v>0</v>
      </c>
      <c r="BW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6" s="43" t="n">
        <f aca="false">IF(NOT(Tasks[[#This Row],[_IsLeaf]]=1),0,MAX(_xlfn.MAXIFS(Tasks[_Row],Tasks[Pred1 UID],Tasks[[#This Row],[UID]]),_xlfn.MAXIFS(Tasks[_Row],Tasks[Pred2 UID],Tasks[[#This Row],[UID]])))</f>
        <v>0</v>
      </c>
      <c r="CB8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6" s="67" t="str">
        <f aca="false">IF(NOT(Tasks[[#This Row],[_IsLeaf]]=1),"",MIN(ProjectFinish,IF(N(Tasks[[#This Row],[Deadline]])&gt;0,Tasks[[#This Row],[Deadline]],2958465),Tasks[[#This Row],[_SuccessorFinishLimit]]))</f>
        <v/>
      </c>
      <c r="CD8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6" s="66" t="b">
        <f aca="false">AND(Tasks[[#This Row],[_IsLeaf]]=1,Tasks[[#This Row],[_LeafProgress]]&lt;1,N(Tasks[[#This Row],[_LeafTotalSlack]])&lt;=CriticalSlackDays)</f>
        <v>0</v>
      </c>
      <c r="CG8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6" s="43" t="n">
        <f aca="false">IF(AND(Tasks[[#This Row],[_IsLeaf]]=1,Tasks[[#This Row],[_LeafWork]]&gt;0),NETWORKDAYS.INTL(ProjectStart,Tasks[[#This Row],[_LeafFcstStart]],WorkWeek,Holidays),0)</f>
        <v>0</v>
      </c>
      <c r="CP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6" s="43" t="n">
        <f aca="false">IF(AND(Tasks[[#This Row],[_IsLeaf]]=1,Tasks[[#This Row],[_LeafWork]]&gt;0),Tasks[[#This Row],[_LeafWork]]/(Tasks[[#This Row],[_FinishWorkday]]-Tasks[[#This Row],[_StartWorkday]]+1),0)</f>
        <v>0</v>
      </c>
      <c r="CR86" s="43" t="n">
        <f aca="false">Tasks[[#This Row],[_WorkPerWorkday]]*(Tasks[[#This Row],[_StartWorkday]]-1)</f>
        <v>-0</v>
      </c>
      <c r="CS86" s="43" t="n">
        <f aca="false">IF(Tasks[[#This Row],[_IsLeaf]]=1,MAX(N(Tasks[[#This Row],[Duration]]),0.1),0)</f>
        <v>0</v>
      </c>
      <c r="CT86" s="43" t="n">
        <f aca="false">Tasks[[#This Row],[_WeightDur]]*Tasks[[#This Row],[_LeafProgress]]</f>
        <v>0</v>
      </c>
      <c r="CU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6" s="43" t="str">
        <f aca="false">IF(AND(Tasks[[#This Row],[_IsLeaf]]=1,N(Tasks[[#This Row],[Duration]])=0,Tasks[[#This Row],[_LeafProgress]]&lt;1),Tasks[[#This Row],[_LeafFcstFinish]]+Tasks[[#This Row],[_Row]]/100000,"")</f>
        <v/>
      </c>
      <c r="DA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6" s="43" t="n">
        <f aca="false">IF(NOT(Tasks[[#This Row],[_IsLeaf]]=1),0,IF(Tasks[[#This Row],[Baseline Cost]]="",Tasks[[#This Row],[_LeafCost]],N(Tasks[[#This Row],[Baseline Cost]])))</f>
        <v>0</v>
      </c>
      <c r="DC86" s="43" t="n">
        <f aca="false">Tasks[[#This Row],[_LeafBudget]]*Tasks[[#This Row],[_PlannedPct]]</f>
        <v>0</v>
      </c>
      <c r="DD86" s="43" t="n">
        <f aca="false">Tasks[[#This Row],[_LeafBudget]]*Tasks[[#This Row],[_LeafProgress]]</f>
        <v>0</v>
      </c>
      <c r="DE86" s="43" t="n">
        <f aca="false">IF(NOT(Tasks[[#This Row],[_IsLeaf]]=1),0,IF(Tasks[[#This Row],[Actual Cost]]="",Tasks[[#This Row],[_LeafCost]]*Tasks[[#This Row],[_LeafProgress]],N(Tasks[[#This Row],[Actual Cost]])))</f>
        <v>0</v>
      </c>
      <c r="DF86" s="43" t="str">
        <f aca="false">IF(Tasks[[#This Row],[Task Name]]="","",LEFT(Tasks[[#This Row],[WBS]],FIND(".",Tasks[[#This Row],[WBS]]&amp;".")-1))</f>
        <v/>
      </c>
      <c r="DG86" s="43" t="str">
        <f aca="false">IF(AND(Tasks[[#This Row],[Task Name]]&lt;&gt;"",Tasks[[#This Row],[_Level]]=1),Tasks[[#This Row],[_Row]],"")</f>
        <v/>
      </c>
      <c r="DH86" s="43" t="str">
        <f aca="false">IF(AND(Tasks[[#This Row],[_IsLeaf]]=1,N(Tasks[[#This Row],[Duration]])=0),Tasks[[#This Row],[Planned Finish]]+Tasks[[#This Row],[_Row]]/100000,"")</f>
        <v/>
      </c>
      <c r="DI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6" s="43" t="str">
        <f aca="false">IF(Tasks[[#This Row],[_LeafCritical]],Tasks[[#This Row],[_LeafFcstStart]]+Tasks[[#This Row],[_Row]]/100000,"")</f>
        <v/>
      </c>
    </row>
    <row r="87" customFormat="false" ht="15" hidden="false" customHeight="false" outlineLevel="0" collapsed="false">
      <c r="A87" s="28" t="str">
        <f aca="false">IF(Tasks[[#This Row],[Task Name]]="","",COUNTA(Tasks[[#Headers],[Task Name]]:Tasks[[#This Row],[Task Name]])-1)</f>
        <v/>
      </c>
      <c r="B87" s="29" t="n">
        <v>82</v>
      </c>
      <c r="C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29"/>
      <c r="E87" s="30"/>
      <c r="F87" s="29"/>
      <c r="G87" s="29"/>
      <c r="H87" s="29"/>
      <c r="I87" s="29"/>
      <c r="J87" s="29"/>
      <c r="K87" s="29"/>
      <c r="L87" s="29"/>
      <c r="M87" s="29"/>
      <c r="N87" s="53"/>
      <c r="O87" s="53"/>
      <c r="P87" s="25" t="str">
        <f aca="false">IF(Tasks[[#This Row],[Task Name]]="","",IF(N(Tasks[[#This Row],[Baseline Start]])&gt;0,Tasks[[#This Row],[Baseline Start]],Tasks[[#This Row],[_CalcStart]]))</f>
        <v/>
      </c>
      <c r="Q87" s="25" t="str">
        <f aca="false">IF(Tasks[[#This Row],[Task Name]]="","",IF(N(Tasks[[#This Row],[Baseline Finish]])&gt;0,Tasks[[#This Row],[Baseline Finish]],Tasks[[#This Row],[_CalcFinish]]))</f>
        <v/>
      </c>
      <c r="R87" s="53"/>
      <c r="S87" s="53"/>
      <c r="T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55"/>
      <c r="AF8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30"/>
      <c r="AI87" s="55"/>
      <c r="AJ8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64"/>
      <c r="AM8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7" s="30"/>
      <c r="AP87" s="25" t="str">
        <f aca="false">IF(Tasks[[#This Row],[Task Name]]="","",Tasks[[#This Row],[Forecast Start]])</f>
        <v/>
      </c>
      <c r="AQ87" s="25" t="str">
        <f aca="false">IF(Tasks[[#This Row],[Task Name]]="","",Tasks[[#This Row],[Forecast Finish]])</f>
        <v/>
      </c>
      <c r="AR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7" s="62" t="str">
        <f aca="false">IF(Tasks[[#This Row],[Task Name]]="","",Tasks[[#This Row],[Work]])</f>
        <v/>
      </c>
      <c r="AT87" s="63" t="str">
        <f aca="false">IF(Tasks[[#This Row],[Task Name]]="","",Tasks[[#This Row],[Cost]])</f>
        <v/>
      </c>
      <c r="AU87" s="53"/>
      <c r="AV87" s="53"/>
      <c r="AW87" s="29"/>
      <c r="AX87" s="65"/>
      <c r="AY87" s="64"/>
      <c r="AZ87" s="28" t="str">
        <f aca="false">IF(OR(Tasks[[#This Row],[Task Name]]="",Tasks[[#This Row],[Baseline Duration]]=""),"",Tasks[[#This Row],[BL Source Duration]]-N(Tasks[[#This Row],[Baseline Duration]]))</f>
        <v/>
      </c>
      <c r="BA87" s="62" t="str">
        <f aca="false">IF(OR(Tasks[[#This Row],[Task Name]]="",Tasks[[#This Row],[Baseline Work]]=""),"",Tasks[[#This Row],[Work]]-N(Tasks[[#This Row],[Baseline Work]]))</f>
        <v/>
      </c>
      <c r="BB87" s="63" t="str">
        <f aca="false">IF(OR(Tasks[[#This Row],[Task Name]]="",Tasks[[#This Row],[Baseline Cost]]=""),"",Tasks[[#This Row],[Cost]]-N(Tasks[[#This Row],[Baseline Cost]]))</f>
        <v/>
      </c>
      <c r="BC8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7" s="43" t="str">
        <f aca="false">IF(Tasks[[#This Row],[Task Name]]="","",MAX(1,N(Tasks[[#This Row],[Level]])))</f>
        <v/>
      </c>
      <c r="BH87" s="43" t="n">
        <f aca="false">ROW()-ROW(Tasks[[#Headers],[ID]])</f>
        <v>82</v>
      </c>
      <c r="BI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7" s="43" t="n">
        <f aca="false">IFERROR(N(INDEX(Tasks[_Level],Tasks[[#This Row],[_Row]]+1)),0)</f>
        <v>0</v>
      </c>
      <c r="BK87" s="66" t="b">
        <f aca="false">AND(Tasks[[#This Row],[Task Name]]&lt;&gt;"",Tasks[[#This Row],[_NextLevel]]&gt;Tasks[[#This Row],[_Level]])</f>
        <v>0</v>
      </c>
      <c r="BL87" s="43" t="n">
        <f aca="false">IF(Tasks[[#This Row],[_IsSummary]],COUNTIF(Tasks[WBS],Tasks[[#This Row],[WBS]]&amp;".*"),0)</f>
        <v>0</v>
      </c>
      <c r="BM87" s="43" t="n">
        <f aca="false">IF(AND(Tasks[[#This Row],[Task Name]]&lt;&gt;"",NOT(Tasks[[#This Row],[_IsSummary]])),1,0)</f>
        <v>0</v>
      </c>
      <c r="BN87" s="43" t="n">
        <f aca="false">IF(N(Tasks[[#This Row],[Pred1 UID]])=0,0,IFERROR(MATCH(Tasks[[#This Row],[Pred1 UID]],Tasks[UID],0),-1))</f>
        <v>0</v>
      </c>
      <c r="BO87" s="43" t="n">
        <f aca="false">IF(N(Tasks[[#This Row],[Pred2 UID]])=0,0,IFERROR(MATCH(Tasks[[#This Row],[Pred2 UID]],Tasks[UID],0),-1))</f>
        <v>0</v>
      </c>
      <c r="BP8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7" s="43" t="n">
        <f aca="false">IF(NOT(Tasks[[#This Row],[_IsLeaf]]=1),0,IF(N(Tasks[[#This Row],[Actual Finish]])&gt;0,1,MIN(1,N(Tasks[[#This Row],[% Complete]]))))</f>
        <v>0</v>
      </c>
      <c r="BU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7" s="43" t="n">
        <f aca="false">IF(Tasks[[#This Row],[_LeafWork]]=0,0,Tasks[[#This Row],[_LeafWork]]*IFERROR(INDEX(res_Rate,MATCH(Tasks[[#This Row],[Resource]],res_Name,0)),0))</f>
        <v>0</v>
      </c>
      <c r="BW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7" s="43" t="n">
        <f aca="false">IF(NOT(Tasks[[#This Row],[_IsLeaf]]=1),0,MAX(_xlfn.MAXIFS(Tasks[_Row],Tasks[Pred1 UID],Tasks[[#This Row],[UID]]),_xlfn.MAXIFS(Tasks[_Row],Tasks[Pred2 UID],Tasks[[#This Row],[UID]])))</f>
        <v>0</v>
      </c>
      <c r="CB8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7" s="67" t="str">
        <f aca="false">IF(NOT(Tasks[[#This Row],[_IsLeaf]]=1),"",MIN(ProjectFinish,IF(N(Tasks[[#This Row],[Deadline]])&gt;0,Tasks[[#This Row],[Deadline]],2958465),Tasks[[#This Row],[_SuccessorFinishLimit]]))</f>
        <v/>
      </c>
      <c r="CD8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7" s="66" t="b">
        <f aca="false">AND(Tasks[[#This Row],[_IsLeaf]]=1,Tasks[[#This Row],[_LeafProgress]]&lt;1,N(Tasks[[#This Row],[_LeafTotalSlack]])&lt;=CriticalSlackDays)</f>
        <v>0</v>
      </c>
      <c r="CG8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7" s="43" t="n">
        <f aca="false">IF(AND(Tasks[[#This Row],[_IsLeaf]]=1,Tasks[[#This Row],[_LeafWork]]&gt;0),NETWORKDAYS.INTL(ProjectStart,Tasks[[#This Row],[_LeafFcstStart]],WorkWeek,Holidays),0)</f>
        <v>0</v>
      </c>
      <c r="CP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7" s="43" t="n">
        <f aca="false">IF(AND(Tasks[[#This Row],[_IsLeaf]]=1,Tasks[[#This Row],[_LeafWork]]&gt;0),Tasks[[#This Row],[_LeafWork]]/(Tasks[[#This Row],[_FinishWorkday]]-Tasks[[#This Row],[_StartWorkday]]+1),0)</f>
        <v>0</v>
      </c>
      <c r="CR87" s="43" t="n">
        <f aca="false">Tasks[[#This Row],[_WorkPerWorkday]]*(Tasks[[#This Row],[_StartWorkday]]-1)</f>
        <v>-0</v>
      </c>
      <c r="CS87" s="43" t="n">
        <f aca="false">IF(Tasks[[#This Row],[_IsLeaf]]=1,MAX(N(Tasks[[#This Row],[Duration]]),0.1),0)</f>
        <v>0</v>
      </c>
      <c r="CT87" s="43" t="n">
        <f aca="false">Tasks[[#This Row],[_WeightDur]]*Tasks[[#This Row],[_LeafProgress]]</f>
        <v>0</v>
      </c>
      <c r="CU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7" s="43" t="str">
        <f aca="false">IF(AND(Tasks[[#This Row],[_IsLeaf]]=1,N(Tasks[[#This Row],[Duration]])=0,Tasks[[#This Row],[_LeafProgress]]&lt;1),Tasks[[#This Row],[_LeafFcstFinish]]+Tasks[[#This Row],[_Row]]/100000,"")</f>
        <v/>
      </c>
      <c r="DA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7" s="43" t="n">
        <f aca="false">IF(NOT(Tasks[[#This Row],[_IsLeaf]]=1),0,IF(Tasks[[#This Row],[Baseline Cost]]="",Tasks[[#This Row],[_LeafCost]],N(Tasks[[#This Row],[Baseline Cost]])))</f>
        <v>0</v>
      </c>
      <c r="DC87" s="43" t="n">
        <f aca="false">Tasks[[#This Row],[_LeafBudget]]*Tasks[[#This Row],[_PlannedPct]]</f>
        <v>0</v>
      </c>
      <c r="DD87" s="43" t="n">
        <f aca="false">Tasks[[#This Row],[_LeafBudget]]*Tasks[[#This Row],[_LeafProgress]]</f>
        <v>0</v>
      </c>
      <c r="DE87" s="43" t="n">
        <f aca="false">IF(NOT(Tasks[[#This Row],[_IsLeaf]]=1),0,IF(Tasks[[#This Row],[Actual Cost]]="",Tasks[[#This Row],[_LeafCost]]*Tasks[[#This Row],[_LeafProgress]],N(Tasks[[#This Row],[Actual Cost]])))</f>
        <v>0</v>
      </c>
      <c r="DF87" s="43" t="str">
        <f aca="false">IF(Tasks[[#This Row],[Task Name]]="","",LEFT(Tasks[[#This Row],[WBS]],FIND(".",Tasks[[#This Row],[WBS]]&amp;".")-1))</f>
        <v/>
      </c>
      <c r="DG87" s="43" t="str">
        <f aca="false">IF(AND(Tasks[[#This Row],[Task Name]]&lt;&gt;"",Tasks[[#This Row],[_Level]]=1),Tasks[[#This Row],[_Row]],"")</f>
        <v/>
      </c>
      <c r="DH87" s="43" t="str">
        <f aca="false">IF(AND(Tasks[[#This Row],[_IsLeaf]]=1,N(Tasks[[#This Row],[Duration]])=0),Tasks[[#This Row],[Planned Finish]]+Tasks[[#This Row],[_Row]]/100000,"")</f>
        <v/>
      </c>
      <c r="DI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7" s="43" t="str">
        <f aca="false">IF(Tasks[[#This Row],[_LeafCritical]],Tasks[[#This Row],[_LeafFcstStart]]+Tasks[[#This Row],[_Row]]/100000,"")</f>
        <v/>
      </c>
    </row>
    <row r="88" customFormat="false" ht="15" hidden="false" customHeight="false" outlineLevel="0" collapsed="false">
      <c r="A88" s="28" t="str">
        <f aca="false">IF(Tasks[[#This Row],[Task Name]]="","",COUNTA(Tasks[[#Headers],[Task Name]]:Tasks[[#This Row],[Task Name]])-1)</f>
        <v/>
      </c>
      <c r="B88" s="29" t="n">
        <v>83</v>
      </c>
      <c r="C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29"/>
      <c r="E88" s="30"/>
      <c r="F88" s="29"/>
      <c r="G88" s="29"/>
      <c r="H88" s="29"/>
      <c r="I88" s="29"/>
      <c r="J88" s="29"/>
      <c r="K88" s="29"/>
      <c r="L88" s="29"/>
      <c r="M88" s="29"/>
      <c r="N88" s="53"/>
      <c r="O88" s="53"/>
      <c r="P88" s="25" t="str">
        <f aca="false">IF(Tasks[[#This Row],[Task Name]]="","",IF(N(Tasks[[#This Row],[Baseline Start]])&gt;0,Tasks[[#This Row],[Baseline Start]],Tasks[[#This Row],[_CalcStart]]))</f>
        <v/>
      </c>
      <c r="Q88" s="25" t="str">
        <f aca="false">IF(Tasks[[#This Row],[Task Name]]="","",IF(N(Tasks[[#This Row],[Baseline Finish]])&gt;0,Tasks[[#This Row],[Baseline Finish]],Tasks[[#This Row],[_CalcFinish]]))</f>
        <v/>
      </c>
      <c r="R88" s="53"/>
      <c r="S88" s="53"/>
      <c r="T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55"/>
      <c r="AF8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30"/>
      <c r="AI88" s="55"/>
      <c r="AJ8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64"/>
      <c r="AM8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8" s="30"/>
      <c r="AP88" s="25" t="str">
        <f aca="false">IF(Tasks[[#This Row],[Task Name]]="","",Tasks[[#This Row],[Forecast Start]])</f>
        <v/>
      </c>
      <c r="AQ88" s="25" t="str">
        <f aca="false">IF(Tasks[[#This Row],[Task Name]]="","",Tasks[[#This Row],[Forecast Finish]])</f>
        <v/>
      </c>
      <c r="AR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8" s="62" t="str">
        <f aca="false">IF(Tasks[[#This Row],[Task Name]]="","",Tasks[[#This Row],[Work]])</f>
        <v/>
      </c>
      <c r="AT88" s="63" t="str">
        <f aca="false">IF(Tasks[[#This Row],[Task Name]]="","",Tasks[[#This Row],[Cost]])</f>
        <v/>
      </c>
      <c r="AU88" s="53"/>
      <c r="AV88" s="53"/>
      <c r="AW88" s="29"/>
      <c r="AX88" s="65"/>
      <c r="AY88" s="64"/>
      <c r="AZ88" s="28" t="str">
        <f aca="false">IF(OR(Tasks[[#This Row],[Task Name]]="",Tasks[[#This Row],[Baseline Duration]]=""),"",Tasks[[#This Row],[BL Source Duration]]-N(Tasks[[#This Row],[Baseline Duration]]))</f>
        <v/>
      </c>
      <c r="BA88" s="62" t="str">
        <f aca="false">IF(OR(Tasks[[#This Row],[Task Name]]="",Tasks[[#This Row],[Baseline Work]]=""),"",Tasks[[#This Row],[Work]]-N(Tasks[[#This Row],[Baseline Work]]))</f>
        <v/>
      </c>
      <c r="BB88" s="63" t="str">
        <f aca="false">IF(OR(Tasks[[#This Row],[Task Name]]="",Tasks[[#This Row],[Baseline Cost]]=""),"",Tasks[[#This Row],[Cost]]-N(Tasks[[#This Row],[Baseline Cost]]))</f>
        <v/>
      </c>
      <c r="BC8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8" s="43" t="str">
        <f aca="false">IF(Tasks[[#This Row],[Task Name]]="","",MAX(1,N(Tasks[[#This Row],[Level]])))</f>
        <v/>
      </c>
      <c r="BH88" s="43" t="n">
        <f aca="false">ROW()-ROW(Tasks[[#Headers],[ID]])</f>
        <v>83</v>
      </c>
      <c r="BI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8" s="43" t="n">
        <f aca="false">IFERROR(N(INDEX(Tasks[_Level],Tasks[[#This Row],[_Row]]+1)),0)</f>
        <v>0</v>
      </c>
      <c r="BK88" s="66" t="b">
        <f aca="false">AND(Tasks[[#This Row],[Task Name]]&lt;&gt;"",Tasks[[#This Row],[_NextLevel]]&gt;Tasks[[#This Row],[_Level]])</f>
        <v>0</v>
      </c>
      <c r="BL88" s="43" t="n">
        <f aca="false">IF(Tasks[[#This Row],[_IsSummary]],COUNTIF(Tasks[WBS],Tasks[[#This Row],[WBS]]&amp;".*"),0)</f>
        <v>0</v>
      </c>
      <c r="BM88" s="43" t="n">
        <f aca="false">IF(AND(Tasks[[#This Row],[Task Name]]&lt;&gt;"",NOT(Tasks[[#This Row],[_IsSummary]])),1,0)</f>
        <v>0</v>
      </c>
      <c r="BN88" s="43" t="n">
        <f aca="false">IF(N(Tasks[[#This Row],[Pred1 UID]])=0,0,IFERROR(MATCH(Tasks[[#This Row],[Pred1 UID]],Tasks[UID],0),-1))</f>
        <v>0</v>
      </c>
      <c r="BO88" s="43" t="n">
        <f aca="false">IF(N(Tasks[[#This Row],[Pred2 UID]])=0,0,IFERROR(MATCH(Tasks[[#This Row],[Pred2 UID]],Tasks[UID],0),-1))</f>
        <v>0</v>
      </c>
      <c r="BP8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8" s="43" t="n">
        <f aca="false">IF(NOT(Tasks[[#This Row],[_IsLeaf]]=1),0,IF(N(Tasks[[#This Row],[Actual Finish]])&gt;0,1,MIN(1,N(Tasks[[#This Row],[% Complete]]))))</f>
        <v>0</v>
      </c>
      <c r="BU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8" s="43" t="n">
        <f aca="false">IF(Tasks[[#This Row],[_LeafWork]]=0,0,Tasks[[#This Row],[_LeafWork]]*IFERROR(INDEX(res_Rate,MATCH(Tasks[[#This Row],[Resource]],res_Name,0)),0))</f>
        <v>0</v>
      </c>
      <c r="BW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8" s="43" t="n">
        <f aca="false">IF(NOT(Tasks[[#This Row],[_IsLeaf]]=1),0,MAX(_xlfn.MAXIFS(Tasks[_Row],Tasks[Pred1 UID],Tasks[[#This Row],[UID]]),_xlfn.MAXIFS(Tasks[_Row],Tasks[Pred2 UID],Tasks[[#This Row],[UID]])))</f>
        <v>0</v>
      </c>
      <c r="CB8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8" s="67" t="str">
        <f aca="false">IF(NOT(Tasks[[#This Row],[_IsLeaf]]=1),"",MIN(ProjectFinish,IF(N(Tasks[[#This Row],[Deadline]])&gt;0,Tasks[[#This Row],[Deadline]],2958465),Tasks[[#This Row],[_SuccessorFinishLimit]]))</f>
        <v/>
      </c>
      <c r="CD8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8" s="66" t="b">
        <f aca="false">AND(Tasks[[#This Row],[_IsLeaf]]=1,Tasks[[#This Row],[_LeafProgress]]&lt;1,N(Tasks[[#This Row],[_LeafTotalSlack]])&lt;=CriticalSlackDays)</f>
        <v>0</v>
      </c>
      <c r="CG8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8" s="43" t="n">
        <f aca="false">IF(AND(Tasks[[#This Row],[_IsLeaf]]=1,Tasks[[#This Row],[_LeafWork]]&gt;0),NETWORKDAYS.INTL(ProjectStart,Tasks[[#This Row],[_LeafFcstStart]],WorkWeek,Holidays),0)</f>
        <v>0</v>
      </c>
      <c r="CP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8" s="43" t="n">
        <f aca="false">IF(AND(Tasks[[#This Row],[_IsLeaf]]=1,Tasks[[#This Row],[_LeafWork]]&gt;0),Tasks[[#This Row],[_LeafWork]]/(Tasks[[#This Row],[_FinishWorkday]]-Tasks[[#This Row],[_StartWorkday]]+1),0)</f>
        <v>0</v>
      </c>
      <c r="CR88" s="43" t="n">
        <f aca="false">Tasks[[#This Row],[_WorkPerWorkday]]*(Tasks[[#This Row],[_StartWorkday]]-1)</f>
        <v>-0</v>
      </c>
      <c r="CS88" s="43" t="n">
        <f aca="false">IF(Tasks[[#This Row],[_IsLeaf]]=1,MAX(N(Tasks[[#This Row],[Duration]]),0.1),0)</f>
        <v>0</v>
      </c>
      <c r="CT88" s="43" t="n">
        <f aca="false">Tasks[[#This Row],[_WeightDur]]*Tasks[[#This Row],[_LeafProgress]]</f>
        <v>0</v>
      </c>
      <c r="CU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8" s="43" t="str">
        <f aca="false">IF(AND(Tasks[[#This Row],[_IsLeaf]]=1,N(Tasks[[#This Row],[Duration]])=0,Tasks[[#This Row],[_LeafProgress]]&lt;1),Tasks[[#This Row],[_LeafFcstFinish]]+Tasks[[#This Row],[_Row]]/100000,"")</f>
        <v/>
      </c>
      <c r="DA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8" s="43" t="n">
        <f aca="false">IF(NOT(Tasks[[#This Row],[_IsLeaf]]=1),0,IF(Tasks[[#This Row],[Baseline Cost]]="",Tasks[[#This Row],[_LeafCost]],N(Tasks[[#This Row],[Baseline Cost]])))</f>
        <v>0</v>
      </c>
      <c r="DC88" s="43" t="n">
        <f aca="false">Tasks[[#This Row],[_LeafBudget]]*Tasks[[#This Row],[_PlannedPct]]</f>
        <v>0</v>
      </c>
      <c r="DD88" s="43" t="n">
        <f aca="false">Tasks[[#This Row],[_LeafBudget]]*Tasks[[#This Row],[_LeafProgress]]</f>
        <v>0</v>
      </c>
      <c r="DE88" s="43" t="n">
        <f aca="false">IF(NOT(Tasks[[#This Row],[_IsLeaf]]=1),0,IF(Tasks[[#This Row],[Actual Cost]]="",Tasks[[#This Row],[_LeafCost]]*Tasks[[#This Row],[_LeafProgress]],N(Tasks[[#This Row],[Actual Cost]])))</f>
        <v>0</v>
      </c>
      <c r="DF88" s="43" t="str">
        <f aca="false">IF(Tasks[[#This Row],[Task Name]]="","",LEFT(Tasks[[#This Row],[WBS]],FIND(".",Tasks[[#This Row],[WBS]]&amp;".")-1))</f>
        <v/>
      </c>
      <c r="DG88" s="43" t="str">
        <f aca="false">IF(AND(Tasks[[#This Row],[Task Name]]&lt;&gt;"",Tasks[[#This Row],[_Level]]=1),Tasks[[#This Row],[_Row]],"")</f>
        <v/>
      </c>
      <c r="DH88" s="43" t="str">
        <f aca="false">IF(AND(Tasks[[#This Row],[_IsLeaf]]=1,N(Tasks[[#This Row],[Duration]])=0),Tasks[[#This Row],[Planned Finish]]+Tasks[[#This Row],[_Row]]/100000,"")</f>
        <v/>
      </c>
      <c r="DI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8" s="43" t="str">
        <f aca="false">IF(Tasks[[#This Row],[_LeafCritical]],Tasks[[#This Row],[_LeafFcstStart]]+Tasks[[#This Row],[_Row]]/100000,"")</f>
        <v/>
      </c>
    </row>
    <row r="89" customFormat="false" ht="15" hidden="false" customHeight="false" outlineLevel="0" collapsed="false">
      <c r="A89" s="28" t="str">
        <f aca="false">IF(Tasks[[#This Row],[Task Name]]="","",COUNTA(Tasks[[#Headers],[Task Name]]:Tasks[[#This Row],[Task Name]])-1)</f>
        <v/>
      </c>
      <c r="B89" s="29" t="n">
        <v>84</v>
      </c>
      <c r="C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29"/>
      <c r="E89" s="30"/>
      <c r="F89" s="29"/>
      <c r="G89" s="29"/>
      <c r="H89" s="29"/>
      <c r="I89" s="29"/>
      <c r="J89" s="29"/>
      <c r="K89" s="29"/>
      <c r="L89" s="29"/>
      <c r="M89" s="29"/>
      <c r="N89" s="53"/>
      <c r="O89" s="53"/>
      <c r="P89" s="25" t="str">
        <f aca="false">IF(Tasks[[#This Row],[Task Name]]="","",IF(N(Tasks[[#This Row],[Baseline Start]])&gt;0,Tasks[[#This Row],[Baseline Start]],Tasks[[#This Row],[_CalcStart]]))</f>
        <v/>
      </c>
      <c r="Q89" s="25" t="str">
        <f aca="false">IF(Tasks[[#This Row],[Task Name]]="","",IF(N(Tasks[[#This Row],[Baseline Finish]])&gt;0,Tasks[[#This Row],[Baseline Finish]],Tasks[[#This Row],[_CalcFinish]]))</f>
        <v/>
      </c>
      <c r="R89" s="53"/>
      <c r="S89" s="53"/>
      <c r="T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55"/>
      <c r="AF8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30"/>
      <c r="AI89" s="55"/>
      <c r="AJ8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64"/>
      <c r="AM8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89" s="30"/>
      <c r="AP89" s="25" t="str">
        <f aca="false">IF(Tasks[[#This Row],[Task Name]]="","",Tasks[[#This Row],[Forecast Start]])</f>
        <v/>
      </c>
      <c r="AQ89" s="25" t="str">
        <f aca="false">IF(Tasks[[#This Row],[Task Name]]="","",Tasks[[#This Row],[Forecast Finish]])</f>
        <v/>
      </c>
      <c r="AR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89" s="62" t="str">
        <f aca="false">IF(Tasks[[#This Row],[Task Name]]="","",Tasks[[#This Row],[Work]])</f>
        <v/>
      </c>
      <c r="AT89" s="63" t="str">
        <f aca="false">IF(Tasks[[#This Row],[Task Name]]="","",Tasks[[#This Row],[Cost]])</f>
        <v/>
      </c>
      <c r="AU89" s="53"/>
      <c r="AV89" s="53"/>
      <c r="AW89" s="29"/>
      <c r="AX89" s="65"/>
      <c r="AY89" s="64"/>
      <c r="AZ89" s="28" t="str">
        <f aca="false">IF(OR(Tasks[[#This Row],[Task Name]]="",Tasks[[#This Row],[Baseline Duration]]=""),"",Tasks[[#This Row],[BL Source Duration]]-N(Tasks[[#This Row],[Baseline Duration]]))</f>
        <v/>
      </c>
      <c r="BA89" s="62" t="str">
        <f aca="false">IF(OR(Tasks[[#This Row],[Task Name]]="",Tasks[[#This Row],[Baseline Work]]=""),"",Tasks[[#This Row],[Work]]-N(Tasks[[#This Row],[Baseline Work]]))</f>
        <v/>
      </c>
      <c r="BB89" s="63" t="str">
        <f aca="false">IF(OR(Tasks[[#This Row],[Task Name]]="",Tasks[[#This Row],[Baseline Cost]]=""),"",Tasks[[#This Row],[Cost]]-N(Tasks[[#This Row],[Baseline Cost]]))</f>
        <v/>
      </c>
      <c r="BC8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8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8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8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89" s="43" t="str">
        <f aca="false">IF(Tasks[[#This Row],[Task Name]]="","",MAX(1,N(Tasks[[#This Row],[Level]])))</f>
        <v/>
      </c>
      <c r="BH89" s="43" t="n">
        <f aca="false">ROW()-ROW(Tasks[[#Headers],[ID]])</f>
        <v>84</v>
      </c>
      <c r="BI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89" s="43" t="n">
        <f aca="false">IFERROR(N(INDEX(Tasks[_Level],Tasks[[#This Row],[_Row]]+1)),0)</f>
        <v>0</v>
      </c>
      <c r="BK89" s="66" t="b">
        <f aca="false">AND(Tasks[[#This Row],[Task Name]]&lt;&gt;"",Tasks[[#This Row],[_NextLevel]]&gt;Tasks[[#This Row],[_Level]])</f>
        <v>0</v>
      </c>
      <c r="BL89" s="43" t="n">
        <f aca="false">IF(Tasks[[#This Row],[_IsSummary]],COUNTIF(Tasks[WBS],Tasks[[#This Row],[WBS]]&amp;".*"),0)</f>
        <v>0</v>
      </c>
      <c r="BM89" s="43" t="n">
        <f aca="false">IF(AND(Tasks[[#This Row],[Task Name]]&lt;&gt;"",NOT(Tasks[[#This Row],[_IsSummary]])),1,0)</f>
        <v>0</v>
      </c>
      <c r="BN89" s="43" t="n">
        <f aca="false">IF(N(Tasks[[#This Row],[Pred1 UID]])=0,0,IFERROR(MATCH(Tasks[[#This Row],[Pred1 UID]],Tasks[UID],0),-1))</f>
        <v>0</v>
      </c>
      <c r="BO89" s="43" t="n">
        <f aca="false">IF(N(Tasks[[#This Row],[Pred2 UID]])=0,0,IFERROR(MATCH(Tasks[[#This Row],[Pred2 UID]],Tasks[UID],0),-1))</f>
        <v>0</v>
      </c>
      <c r="BP8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8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8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8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89" s="43" t="n">
        <f aca="false">IF(NOT(Tasks[[#This Row],[_IsLeaf]]=1),0,IF(N(Tasks[[#This Row],[Actual Finish]])&gt;0,1,MIN(1,N(Tasks[[#This Row],[% Complete]]))))</f>
        <v>0</v>
      </c>
      <c r="BU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89" s="43" t="n">
        <f aca="false">IF(Tasks[[#This Row],[_LeafWork]]=0,0,Tasks[[#This Row],[_LeafWork]]*IFERROR(INDEX(res_Rate,MATCH(Tasks[[#This Row],[Resource]],res_Name,0)),0))</f>
        <v>0</v>
      </c>
      <c r="BW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89" s="43" t="n">
        <f aca="false">IF(NOT(Tasks[[#This Row],[_IsLeaf]]=1),0,MAX(_xlfn.MAXIFS(Tasks[_Row],Tasks[Pred1 UID],Tasks[[#This Row],[UID]]),_xlfn.MAXIFS(Tasks[_Row],Tasks[Pred2 UID],Tasks[[#This Row],[UID]])))</f>
        <v>0</v>
      </c>
      <c r="CB8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89" s="67" t="str">
        <f aca="false">IF(NOT(Tasks[[#This Row],[_IsLeaf]]=1),"",MIN(ProjectFinish,IF(N(Tasks[[#This Row],[Deadline]])&gt;0,Tasks[[#This Row],[Deadline]],2958465),Tasks[[#This Row],[_SuccessorFinishLimit]]))</f>
        <v/>
      </c>
      <c r="CD8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89" s="66" t="b">
        <f aca="false">AND(Tasks[[#This Row],[_IsLeaf]]=1,Tasks[[#This Row],[_LeafProgress]]&lt;1,N(Tasks[[#This Row],[_LeafTotalSlack]])&lt;=CriticalSlackDays)</f>
        <v>0</v>
      </c>
      <c r="CG8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8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8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8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8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8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89" s="43" t="n">
        <f aca="false">IF(AND(Tasks[[#This Row],[_IsLeaf]]=1,Tasks[[#This Row],[_LeafWork]]&gt;0),NETWORKDAYS.INTL(ProjectStart,Tasks[[#This Row],[_LeafFcstStart]],WorkWeek,Holidays),0)</f>
        <v>0</v>
      </c>
      <c r="CP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89" s="43" t="n">
        <f aca="false">IF(AND(Tasks[[#This Row],[_IsLeaf]]=1,Tasks[[#This Row],[_LeafWork]]&gt;0),Tasks[[#This Row],[_LeafWork]]/(Tasks[[#This Row],[_FinishWorkday]]-Tasks[[#This Row],[_StartWorkday]]+1),0)</f>
        <v>0</v>
      </c>
      <c r="CR89" s="43" t="n">
        <f aca="false">Tasks[[#This Row],[_WorkPerWorkday]]*(Tasks[[#This Row],[_StartWorkday]]-1)</f>
        <v>-0</v>
      </c>
      <c r="CS89" s="43" t="n">
        <f aca="false">IF(Tasks[[#This Row],[_IsLeaf]]=1,MAX(N(Tasks[[#This Row],[Duration]]),0.1),0)</f>
        <v>0</v>
      </c>
      <c r="CT89" s="43" t="n">
        <f aca="false">Tasks[[#This Row],[_WeightDur]]*Tasks[[#This Row],[_LeafProgress]]</f>
        <v>0</v>
      </c>
      <c r="CU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89" s="43" t="str">
        <f aca="false">IF(AND(Tasks[[#This Row],[_IsLeaf]]=1,N(Tasks[[#This Row],[Duration]])=0,Tasks[[#This Row],[_LeafProgress]]&lt;1),Tasks[[#This Row],[_LeafFcstFinish]]+Tasks[[#This Row],[_Row]]/100000,"")</f>
        <v/>
      </c>
      <c r="DA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89" s="43" t="n">
        <f aca="false">IF(NOT(Tasks[[#This Row],[_IsLeaf]]=1),0,IF(Tasks[[#This Row],[Baseline Cost]]="",Tasks[[#This Row],[_LeafCost]],N(Tasks[[#This Row],[Baseline Cost]])))</f>
        <v>0</v>
      </c>
      <c r="DC89" s="43" t="n">
        <f aca="false">Tasks[[#This Row],[_LeafBudget]]*Tasks[[#This Row],[_PlannedPct]]</f>
        <v>0</v>
      </c>
      <c r="DD89" s="43" t="n">
        <f aca="false">Tasks[[#This Row],[_LeafBudget]]*Tasks[[#This Row],[_LeafProgress]]</f>
        <v>0</v>
      </c>
      <c r="DE89" s="43" t="n">
        <f aca="false">IF(NOT(Tasks[[#This Row],[_IsLeaf]]=1),0,IF(Tasks[[#This Row],[Actual Cost]]="",Tasks[[#This Row],[_LeafCost]]*Tasks[[#This Row],[_LeafProgress]],N(Tasks[[#This Row],[Actual Cost]])))</f>
        <v>0</v>
      </c>
      <c r="DF89" s="43" t="str">
        <f aca="false">IF(Tasks[[#This Row],[Task Name]]="","",LEFT(Tasks[[#This Row],[WBS]],FIND(".",Tasks[[#This Row],[WBS]]&amp;".")-1))</f>
        <v/>
      </c>
      <c r="DG89" s="43" t="str">
        <f aca="false">IF(AND(Tasks[[#This Row],[Task Name]]&lt;&gt;"",Tasks[[#This Row],[_Level]]=1),Tasks[[#This Row],[_Row]],"")</f>
        <v/>
      </c>
      <c r="DH89" s="43" t="str">
        <f aca="false">IF(AND(Tasks[[#This Row],[_IsLeaf]]=1,N(Tasks[[#This Row],[Duration]])=0),Tasks[[#This Row],[Planned Finish]]+Tasks[[#This Row],[_Row]]/100000,"")</f>
        <v/>
      </c>
      <c r="DI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89" s="43" t="str">
        <f aca="false">IF(Tasks[[#This Row],[_LeafCritical]],Tasks[[#This Row],[_LeafFcstStart]]+Tasks[[#This Row],[_Row]]/100000,"")</f>
        <v/>
      </c>
    </row>
    <row r="90" customFormat="false" ht="15" hidden="false" customHeight="false" outlineLevel="0" collapsed="false">
      <c r="A90" s="28" t="str">
        <f aca="false">IF(Tasks[[#This Row],[Task Name]]="","",COUNTA(Tasks[[#Headers],[Task Name]]:Tasks[[#This Row],[Task Name]])-1)</f>
        <v/>
      </c>
      <c r="B90" s="29" t="n">
        <v>85</v>
      </c>
      <c r="C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29"/>
      <c r="E90" s="30"/>
      <c r="F90" s="29"/>
      <c r="G90" s="29"/>
      <c r="H90" s="29"/>
      <c r="I90" s="29"/>
      <c r="J90" s="29"/>
      <c r="K90" s="29"/>
      <c r="L90" s="29"/>
      <c r="M90" s="29"/>
      <c r="N90" s="53"/>
      <c r="O90" s="53"/>
      <c r="P90" s="25" t="str">
        <f aca="false">IF(Tasks[[#This Row],[Task Name]]="","",IF(N(Tasks[[#This Row],[Baseline Start]])&gt;0,Tasks[[#This Row],[Baseline Start]],Tasks[[#This Row],[_CalcStart]]))</f>
        <v/>
      </c>
      <c r="Q90" s="25" t="str">
        <f aca="false">IF(Tasks[[#This Row],[Task Name]]="","",IF(N(Tasks[[#This Row],[Baseline Finish]])&gt;0,Tasks[[#This Row],[Baseline Finish]],Tasks[[#This Row],[_CalcFinish]]))</f>
        <v/>
      </c>
      <c r="R90" s="53"/>
      <c r="S90" s="53"/>
      <c r="T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55"/>
      <c r="AF9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30"/>
      <c r="AI90" s="55"/>
      <c r="AJ9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64"/>
      <c r="AM9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0" s="30"/>
      <c r="AP90" s="25" t="str">
        <f aca="false">IF(Tasks[[#This Row],[Task Name]]="","",Tasks[[#This Row],[Forecast Start]])</f>
        <v/>
      </c>
      <c r="AQ90" s="25" t="str">
        <f aca="false">IF(Tasks[[#This Row],[Task Name]]="","",Tasks[[#This Row],[Forecast Finish]])</f>
        <v/>
      </c>
      <c r="AR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0" s="62" t="str">
        <f aca="false">IF(Tasks[[#This Row],[Task Name]]="","",Tasks[[#This Row],[Work]])</f>
        <v/>
      </c>
      <c r="AT90" s="63" t="str">
        <f aca="false">IF(Tasks[[#This Row],[Task Name]]="","",Tasks[[#This Row],[Cost]])</f>
        <v/>
      </c>
      <c r="AU90" s="53"/>
      <c r="AV90" s="53"/>
      <c r="AW90" s="29"/>
      <c r="AX90" s="65"/>
      <c r="AY90" s="64"/>
      <c r="AZ90" s="28" t="str">
        <f aca="false">IF(OR(Tasks[[#This Row],[Task Name]]="",Tasks[[#This Row],[Baseline Duration]]=""),"",Tasks[[#This Row],[BL Source Duration]]-N(Tasks[[#This Row],[Baseline Duration]]))</f>
        <v/>
      </c>
      <c r="BA90" s="62" t="str">
        <f aca="false">IF(OR(Tasks[[#This Row],[Task Name]]="",Tasks[[#This Row],[Baseline Work]]=""),"",Tasks[[#This Row],[Work]]-N(Tasks[[#This Row],[Baseline Work]]))</f>
        <v/>
      </c>
      <c r="BB90" s="63" t="str">
        <f aca="false">IF(OR(Tasks[[#This Row],[Task Name]]="",Tasks[[#This Row],[Baseline Cost]]=""),"",Tasks[[#This Row],[Cost]]-N(Tasks[[#This Row],[Baseline Cost]]))</f>
        <v/>
      </c>
      <c r="BC9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0" s="43" t="str">
        <f aca="false">IF(Tasks[[#This Row],[Task Name]]="","",MAX(1,N(Tasks[[#This Row],[Level]])))</f>
        <v/>
      </c>
      <c r="BH90" s="43" t="n">
        <f aca="false">ROW()-ROW(Tasks[[#Headers],[ID]])</f>
        <v>85</v>
      </c>
      <c r="BI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0" s="43" t="n">
        <f aca="false">IFERROR(N(INDEX(Tasks[_Level],Tasks[[#This Row],[_Row]]+1)),0)</f>
        <v>0</v>
      </c>
      <c r="BK90" s="66" t="b">
        <f aca="false">AND(Tasks[[#This Row],[Task Name]]&lt;&gt;"",Tasks[[#This Row],[_NextLevel]]&gt;Tasks[[#This Row],[_Level]])</f>
        <v>0</v>
      </c>
      <c r="BL90" s="43" t="n">
        <f aca="false">IF(Tasks[[#This Row],[_IsSummary]],COUNTIF(Tasks[WBS],Tasks[[#This Row],[WBS]]&amp;".*"),0)</f>
        <v>0</v>
      </c>
      <c r="BM90" s="43" t="n">
        <f aca="false">IF(AND(Tasks[[#This Row],[Task Name]]&lt;&gt;"",NOT(Tasks[[#This Row],[_IsSummary]])),1,0)</f>
        <v>0</v>
      </c>
      <c r="BN90" s="43" t="n">
        <f aca="false">IF(N(Tasks[[#This Row],[Pred1 UID]])=0,0,IFERROR(MATCH(Tasks[[#This Row],[Pred1 UID]],Tasks[UID],0),-1))</f>
        <v>0</v>
      </c>
      <c r="BO90" s="43" t="n">
        <f aca="false">IF(N(Tasks[[#This Row],[Pred2 UID]])=0,0,IFERROR(MATCH(Tasks[[#This Row],[Pred2 UID]],Tasks[UID],0),-1))</f>
        <v>0</v>
      </c>
      <c r="BP9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0" s="43" t="n">
        <f aca="false">IF(NOT(Tasks[[#This Row],[_IsLeaf]]=1),0,IF(N(Tasks[[#This Row],[Actual Finish]])&gt;0,1,MIN(1,N(Tasks[[#This Row],[% Complete]]))))</f>
        <v>0</v>
      </c>
      <c r="BU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0" s="43" t="n">
        <f aca="false">IF(Tasks[[#This Row],[_LeafWork]]=0,0,Tasks[[#This Row],[_LeafWork]]*IFERROR(INDEX(res_Rate,MATCH(Tasks[[#This Row],[Resource]],res_Name,0)),0))</f>
        <v>0</v>
      </c>
      <c r="BW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0" s="43" t="n">
        <f aca="false">IF(NOT(Tasks[[#This Row],[_IsLeaf]]=1),0,MAX(_xlfn.MAXIFS(Tasks[_Row],Tasks[Pred1 UID],Tasks[[#This Row],[UID]]),_xlfn.MAXIFS(Tasks[_Row],Tasks[Pred2 UID],Tasks[[#This Row],[UID]])))</f>
        <v>0</v>
      </c>
      <c r="CB9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0" s="67" t="str">
        <f aca="false">IF(NOT(Tasks[[#This Row],[_IsLeaf]]=1),"",MIN(ProjectFinish,IF(N(Tasks[[#This Row],[Deadline]])&gt;0,Tasks[[#This Row],[Deadline]],2958465),Tasks[[#This Row],[_SuccessorFinishLimit]]))</f>
        <v/>
      </c>
      <c r="CD9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0" s="66" t="b">
        <f aca="false">AND(Tasks[[#This Row],[_IsLeaf]]=1,Tasks[[#This Row],[_LeafProgress]]&lt;1,N(Tasks[[#This Row],[_LeafTotalSlack]])&lt;=CriticalSlackDays)</f>
        <v>0</v>
      </c>
      <c r="CG9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0" s="43" t="n">
        <f aca="false">IF(AND(Tasks[[#This Row],[_IsLeaf]]=1,Tasks[[#This Row],[_LeafWork]]&gt;0),NETWORKDAYS.INTL(ProjectStart,Tasks[[#This Row],[_LeafFcstStart]],WorkWeek,Holidays),0)</f>
        <v>0</v>
      </c>
      <c r="CP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0" s="43" t="n">
        <f aca="false">IF(AND(Tasks[[#This Row],[_IsLeaf]]=1,Tasks[[#This Row],[_LeafWork]]&gt;0),Tasks[[#This Row],[_LeafWork]]/(Tasks[[#This Row],[_FinishWorkday]]-Tasks[[#This Row],[_StartWorkday]]+1),0)</f>
        <v>0</v>
      </c>
      <c r="CR90" s="43" t="n">
        <f aca="false">Tasks[[#This Row],[_WorkPerWorkday]]*(Tasks[[#This Row],[_StartWorkday]]-1)</f>
        <v>-0</v>
      </c>
      <c r="CS90" s="43" t="n">
        <f aca="false">IF(Tasks[[#This Row],[_IsLeaf]]=1,MAX(N(Tasks[[#This Row],[Duration]]),0.1),0)</f>
        <v>0</v>
      </c>
      <c r="CT90" s="43" t="n">
        <f aca="false">Tasks[[#This Row],[_WeightDur]]*Tasks[[#This Row],[_LeafProgress]]</f>
        <v>0</v>
      </c>
      <c r="CU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0" s="43" t="str">
        <f aca="false">IF(AND(Tasks[[#This Row],[_IsLeaf]]=1,N(Tasks[[#This Row],[Duration]])=0,Tasks[[#This Row],[_LeafProgress]]&lt;1),Tasks[[#This Row],[_LeafFcstFinish]]+Tasks[[#This Row],[_Row]]/100000,"")</f>
        <v/>
      </c>
      <c r="DA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0" s="43" t="n">
        <f aca="false">IF(NOT(Tasks[[#This Row],[_IsLeaf]]=1),0,IF(Tasks[[#This Row],[Baseline Cost]]="",Tasks[[#This Row],[_LeafCost]],N(Tasks[[#This Row],[Baseline Cost]])))</f>
        <v>0</v>
      </c>
      <c r="DC90" s="43" t="n">
        <f aca="false">Tasks[[#This Row],[_LeafBudget]]*Tasks[[#This Row],[_PlannedPct]]</f>
        <v>0</v>
      </c>
      <c r="DD90" s="43" t="n">
        <f aca="false">Tasks[[#This Row],[_LeafBudget]]*Tasks[[#This Row],[_LeafProgress]]</f>
        <v>0</v>
      </c>
      <c r="DE90" s="43" t="n">
        <f aca="false">IF(NOT(Tasks[[#This Row],[_IsLeaf]]=1),0,IF(Tasks[[#This Row],[Actual Cost]]="",Tasks[[#This Row],[_LeafCost]]*Tasks[[#This Row],[_LeafProgress]],N(Tasks[[#This Row],[Actual Cost]])))</f>
        <v>0</v>
      </c>
      <c r="DF90" s="43" t="str">
        <f aca="false">IF(Tasks[[#This Row],[Task Name]]="","",LEFT(Tasks[[#This Row],[WBS]],FIND(".",Tasks[[#This Row],[WBS]]&amp;".")-1))</f>
        <v/>
      </c>
      <c r="DG90" s="43" t="str">
        <f aca="false">IF(AND(Tasks[[#This Row],[Task Name]]&lt;&gt;"",Tasks[[#This Row],[_Level]]=1),Tasks[[#This Row],[_Row]],"")</f>
        <v/>
      </c>
      <c r="DH90" s="43" t="str">
        <f aca="false">IF(AND(Tasks[[#This Row],[_IsLeaf]]=1,N(Tasks[[#This Row],[Duration]])=0),Tasks[[#This Row],[Planned Finish]]+Tasks[[#This Row],[_Row]]/100000,"")</f>
        <v/>
      </c>
      <c r="DI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0" s="43" t="str">
        <f aca="false">IF(Tasks[[#This Row],[_LeafCritical]],Tasks[[#This Row],[_LeafFcstStart]]+Tasks[[#This Row],[_Row]]/100000,"")</f>
        <v/>
      </c>
    </row>
    <row r="91" customFormat="false" ht="15" hidden="false" customHeight="false" outlineLevel="0" collapsed="false">
      <c r="A91" s="28" t="str">
        <f aca="false">IF(Tasks[[#This Row],[Task Name]]="","",COUNTA(Tasks[[#Headers],[Task Name]]:Tasks[[#This Row],[Task Name]])-1)</f>
        <v/>
      </c>
      <c r="B91" s="29" t="n">
        <v>86</v>
      </c>
      <c r="C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29"/>
      <c r="E91" s="30"/>
      <c r="F91" s="29"/>
      <c r="G91" s="29"/>
      <c r="H91" s="29"/>
      <c r="I91" s="29"/>
      <c r="J91" s="29"/>
      <c r="K91" s="29"/>
      <c r="L91" s="29"/>
      <c r="M91" s="29"/>
      <c r="N91" s="53"/>
      <c r="O91" s="53"/>
      <c r="P91" s="25" t="str">
        <f aca="false">IF(Tasks[[#This Row],[Task Name]]="","",IF(N(Tasks[[#This Row],[Baseline Start]])&gt;0,Tasks[[#This Row],[Baseline Start]],Tasks[[#This Row],[_CalcStart]]))</f>
        <v/>
      </c>
      <c r="Q91" s="25" t="str">
        <f aca="false">IF(Tasks[[#This Row],[Task Name]]="","",IF(N(Tasks[[#This Row],[Baseline Finish]])&gt;0,Tasks[[#This Row],[Baseline Finish]],Tasks[[#This Row],[_CalcFinish]]))</f>
        <v/>
      </c>
      <c r="R91" s="53"/>
      <c r="S91" s="53"/>
      <c r="T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55"/>
      <c r="AF9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30"/>
      <c r="AI91" s="55"/>
      <c r="AJ9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64"/>
      <c r="AM9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1" s="30"/>
      <c r="AP91" s="25" t="str">
        <f aca="false">IF(Tasks[[#This Row],[Task Name]]="","",Tasks[[#This Row],[Forecast Start]])</f>
        <v/>
      </c>
      <c r="AQ91" s="25" t="str">
        <f aca="false">IF(Tasks[[#This Row],[Task Name]]="","",Tasks[[#This Row],[Forecast Finish]])</f>
        <v/>
      </c>
      <c r="AR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1" s="62" t="str">
        <f aca="false">IF(Tasks[[#This Row],[Task Name]]="","",Tasks[[#This Row],[Work]])</f>
        <v/>
      </c>
      <c r="AT91" s="63" t="str">
        <f aca="false">IF(Tasks[[#This Row],[Task Name]]="","",Tasks[[#This Row],[Cost]])</f>
        <v/>
      </c>
      <c r="AU91" s="53"/>
      <c r="AV91" s="53"/>
      <c r="AW91" s="29"/>
      <c r="AX91" s="65"/>
      <c r="AY91" s="64"/>
      <c r="AZ91" s="28" t="str">
        <f aca="false">IF(OR(Tasks[[#This Row],[Task Name]]="",Tasks[[#This Row],[Baseline Duration]]=""),"",Tasks[[#This Row],[BL Source Duration]]-N(Tasks[[#This Row],[Baseline Duration]]))</f>
        <v/>
      </c>
      <c r="BA91" s="62" t="str">
        <f aca="false">IF(OR(Tasks[[#This Row],[Task Name]]="",Tasks[[#This Row],[Baseline Work]]=""),"",Tasks[[#This Row],[Work]]-N(Tasks[[#This Row],[Baseline Work]]))</f>
        <v/>
      </c>
      <c r="BB91" s="63" t="str">
        <f aca="false">IF(OR(Tasks[[#This Row],[Task Name]]="",Tasks[[#This Row],[Baseline Cost]]=""),"",Tasks[[#This Row],[Cost]]-N(Tasks[[#This Row],[Baseline Cost]]))</f>
        <v/>
      </c>
      <c r="BC9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1" s="43" t="str">
        <f aca="false">IF(Tasks[[#This Row],[Task Name]]="","",MAX(1,N(Tasks[[#This Row],[Level]])))</f>
        <v/>
      </c>
      <c r="BH91" s="43" t="n">
        <f aca="false">ROW()-ROW(Tasks[[#Headers],[ID]])</f>
        <v>86</v>
      </c>
      <c r="BI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1" s="43" t="n">
        <f aca="false">IFERROR(N(INDEX(Tasks[_Level],Tasks[[#This Row],[_Row]]+1)),0)</f>
        <v>0</v>
      </c>
      <c r="BK91" s="66" t="b">
        <f aca="false">AND(Tasks[[#This Row],[Task Name]]&lt;&gt;"",Tasks[[#This Row],[_NextLevel]]&gt;Tasks[[#This Row],[_Level]])</f>
        <v>0</v>
      </c>
      <c r="BL91" s="43" t="n">
        <f aca="false">IF(Tasks[[#This Row],[_IsSummary]],COUNTIF(Tasks[WBS],Tasks[[#This Row],[WBS]]&amp;".*"),0)</f>
        <v>0</v>
      </c>
      <c r="BM91" s="43" t="n">
        <f aca="false">IF(AND(Tasks[[#This Row],[Task Name]]&lt;&gt;"",NOT(Tasks[[#This Row],[_IsSummary]])),1,0)</f>
        <v>0</v>
      </c>
      <c r="BN91" s="43" t="n">
        <f aca="false">IF(N(Tasks[[#This Row],[Pred1 UID]])=0,0,IFERROR(MATCH(Tasks[[#This Row],[Pred1 UID]],Tasks[UID],0),-1))</f>
        <v>0</v>
      </c>
      <c r="BO91" s="43" t="n">
        <f aca="false">IF(N(Tasks[[#This Row],[Pred2 UID]])=0,0,IFERROR(MATCH(Tasks[[#This Row],[Pred2 UID]],Tasks[UID],0),-1))</f>
        <v>0</v>
      </c>
      <c r="BP9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1" s="43" t="n">
        <f aca="false">IF(NOT(Tasks[[#This Row],[_IsLeaf]]=1),0,IF(N(Tasks[[#This Row],[Actual Finish]])&gt;0,1,MIN(1,N(Tasks[[#This Row],[% Complete]]))))</f>
        <v>0</v>
      </c>
      <c r="BU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1" s="43" t="n">
        <f aca="false">IF(Tasks[[#This Row],[_LeafWork]]=0,0,Tasks[[#This Row],[_LeafWork]]*IFERROR(INDEX(res_Rate,MATCH(Tasks[[#This Row],[Resource]],res_Name,0)),0))</f>
        <v>0</v>
      </c>
      <c r="BW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1" s="43" t="n">
        <f aca="false">IF(NOT(Tasks[[#This Row],[_IsLeaf]]=1),0,MAX(_xlfn.MAXIFS(Tasks[_Row],Tasks[Pred1 UID],Tasks[[#This Row],[UID]]),_xlfn.MAXIFS(Tasks[_Row],Tasks[Pred2 UID],Tasks[[#This Row],[UID]])))</f>
        <v>0</v>
      </c>
      <c r="CB9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1" s="67" t="str">
        <f aca="false">IF(NOT(Tasks[[#This Row],[_IsLeaf]]=1),"",MIN(ProjectFinish,IF(N(Tasks[[#This Row],[Deadline]])&gt;0,Tasks[[#This Row],[Deadline]],2958465),Tasks[[#This Row],[_SuccessorFinishLimit]]))</f>
        <v/>
      </c>
      <c r="CD9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1" s="66" t="b">
        <f aca="false">AND(Tasks[[#This Row],[_IsLeaf]]=1,Tasks[[#This Row],[_LeafProgress]]&lt;1,N(Tasks[[#This Row],[_LeafTotalSlack]])&lt;=CriticalSlackDays)</f>
        <v>0</v>
      </c>
      <c r="CG9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1" s="43" t="n">
        <f aca="false">IF(AND(Tasks[[#This Row],[_IsLeaf]]=1,Tasks[[#This Row],[_LeafWork]]&gt;0),NETWORKDAYS.INTL(ProjectStart,Tasks[[#This Row],[_LeafFcstStart]],WorkWeek,Holidays),0)</f>
        <v>0</v>
      </c>
      <c r="CP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1" s="43" t="n">
        <f aca="false">IF(AND(Tasks[[#This Row],[_IsLeaf]]=1,Tasks[[#This Row],[_LeafWork]]&gt;0),Tasks[[#This Row],[_LeafWork]]/(Tasks[[#This Row],[_FinishWorkday]]-Tasks[[#This Row],[_StartWorkday]]+1),0)</f>
        <v>0</v>
      </c>
      <c r="CR91" s="43" t="n">
        <f aca="false">Tasks[[#This Row],[_WorkPerWorkday]]*(Tasks[[#This Row],[_StartWorkday]]-1)</f>
        <v>-0</v>
      </c>
      <c r="CS91" s="43" t="n">
        <f aca="false">IF(Tasks[[#This Row],[_IsLeaf]]=1,MAX(N(Tasks[[#This Row],[Duration]]),0.1),0)</f>
        <v>0</v>
      </c>
      <c r="CT91" s="43" t="n">
        <f aca="false">Tasks[[#This Row],[_WeightDur]]*Tasks[[#This Row],[_LeafProgress]]</f>
        <v>0</v>
      </c>
      <c r="CU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1" s="43" t="str">
        <f aca="false">IF(AND(Tasks[[#This Row],[_IsLeaf]]=1,N(Tasks[[#This Row],[Duration]])=0,Tasks[[#This Row],[_LeafProgress]]&lt;1),Tasks[[#This Row],[_LeafFcstFinish]]+Tasks[[#This Row],[_Row]]/100000,"")</f>
        <v/>
      </c>
      <c r="DA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1" s="43" t="n">
        <f aca="false">IF(NOT(Tasks[[#This Row],[_IsLeaf]]=1),0,IF(Tasks[[#This Row],[Baseline Cost]]="",Tasks[[#This Row],[_LeafCost]],N(Tasks[[#This Row],[Baseline Cost]])))</f>
        <v>0</v>
      </c>
      <c r="DC91" s="43" t="n">
        <f aca="false">Tasks[[#This Row],[_LeafBudget]]*Tasks[[#This Row],[_PlannedPct]]</f>
        <v>0</v>
      </c>
      <c r="DD91" s="43" t="n">
        <f aca="false">Tasks[[#This Row],[_LeafBudget]]*Tasks[[#This Row],[_LeafProgress]]</f>
        <v>0</v>
      </c>
      <c r="DE91" s="43" t="n">
        <f aca="false">IF(NOT(Tasks[[#This Row],[_IsLeaf]]=1),0,IF(Tasks[[#This Row],[Actual Cost]]="",Tasks[[#This Row],[_LeafCost]]*Tasks[[#This Row],[_LeafProgress]],N(Tasks[[#This Row],[Actual Cost]])))</f>
        <v>0</v>
      </c>
      <c r="DF91" s="43" t="str">
        <f aca="false">IF(Tasks[[#This Row],[Task Name]]="","",LEFT(Tasks[[#This Row],[WBS]],FIND(".",Tasks[[#This Row],[WBS]]&amp;".")-1))</f>
        <v/>
      </c>
      <c r="DG91" s="43" t="str">
        <f aca="false">IF(AND(Tasks[[#This Row],[Task Name]]&lt;&gt;"",Tasks[[#This Row],[_Level]]=1),Tasks[[#This Row],[_Row]],"")</f>
        <v/>
      </c>
      <c r="DH91" s="43" t="str">
        <f aca="false">IF(AND(Tasks[[#This Row],[_IsLeaf]]=1,N(Tasks[[#This Row],[Duration]])=0),Tasks[[#This Row],[Planned Finish]]+Tasks[[#This Row],[_Row]]/100000,"")</f>
        <v/>
      </c>
      <c r="DI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1" s="43" t="str">
        <f aca="false">IF(Tasks[[#This Row],[_LeafCritical]],Tasks[[#This Row],[_LeafFcstStart]]+Tasks[[#This Row],[_Row]]/100000,"")</f>
        <v/>
      </c>
    </row>
    <row r="92" customFormat="false" ht="15" hidden="false" customHeight="false" outlineLevel="0" collapsed="false">
      <c r="A92" s="28" t="str">
        <f aca="false">IF(Tasks[[#This Row],[Task Name]]="","",COUNTA(Tasks[[#Headers],[Task Name]]:Tasks[[#This Row],[Task Name]])-1)</f>
        <v/>
      </c>
      <c r="B92" s="29" t="n">
        <v>87</v>
      </c>
      <c r="C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29"/>
      <c r="E92" s="30"/>
      <c r="F92" s="29"/>
      <c r="G92" s="29"/>
      <c r="H92" s="29"/>
      <c r="I92" s="29"/>
      <c r="J92" s="29"/>
      <c r="K92" s="29"/>
      <c r="L92" s="29"/>
      <c r="M92" s="29"/>
      <c r="N92" s="53"/>
      <c r="O92" s="53"/>
      <c r="P92" s="25" t="str">
        <f aca="false">IF(Tasks[[#This Row],[Task Name]]="","",IF(N(Tasks[[#This Row],[Baseline Start]])&gt;0,Tasks[[#This Row],[Baseline Start]],Tasks[[#This Row],[_CalcStart]]))</f>
        <v/>
      </c>
      <c r="Q92" s="25" t="str">
        <f aca="false">IF(Tasks[[#This Row],[Task Name]]="","",IF(N(Tasks[[#This Row],[Baseline Finish]])&gt;0,Tasks[[#This Row],[Baseline Finish]],Tasks[[#This Row],[_CalcFinish]]))</f>
        <v/>
      </c>
      <c r="R92" s="53"/>
      <c r="S92" s="53"/>
      <c r="T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55"/>
      <c r="AF9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30"/>
      <c r="AI92" s="55"/>
      <c r="AJ9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64"/>
      <c r="AM9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2" s="30"/>
      <c r="AP92" s="25" t="str">
        <f aca="false">IF(Tasks[[#This Row],[Task Name]]="","",Tasks[[#This Row],[Forecast Start]])</f>
        <v/>
      </c>
      <c r="AQ92" s="25" t="str">
        <f aca="false">IF(Tasks[[#This Row],[Task Name]]="","",Tasks[[#This Row],[Forecast Finish]])</f>
        <v/>
      </c>
      <c r="AR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2" s="62" t="str">
        <f aca="false">IF(Tasks[[#This Row],[Task Name]]="","",Tasks[[#This Row],[Work]])</f>
        <v/>
      </c>
      <c r="AT92" s="63" t="str">
        <f aca="false">IF(Tasks[[#This Row],[Task Name]]="","",Tasks[[#This Row],[Cost]])</f>
        <v/>
      </c>
      <c r="AU92" s="53"/>
      <c r="AV92" s="53"/>
      <c r="AW92" s="29"/>
      <c r="AX92" s="65"/>
      <c r="AY92" s="64"/>
      <c r="AZ92" s="28" t="str">
        <f aca="false">IF(OR(Tasks[[#This Row],[Task Name]]="",Tasks[[#This Row],[Baseline Duration]]=""),"",Tasks[[#This Row],[BL Source Duration]]-N(Tasks[[#This Row],[Baseline Duration]]))</f>
        <v/>
      </c>
      <c r="BA92" s="62" t="str">
        <f aca="false">IF(OR(Tasks[[#This Row],[Task Name]]="",Tasks[[#This Row],[Baseline Work]]=""),"",Tasks[[#This Row],[Work]]-N(Tasks[[#This Row],[Baseline Work]]))</f>
        <v/>
      </c>
      <c r="BB92" s="63" t="str">
        <f aca="false">IF(OR(Tasks[[#This Row],[Task Name]]="",Tasks[[#This Row],[Baseline Cost]]=""),"",Tasks[[#This Row],[Cost]]-N(Tasks[[#This Row],[Baseline Cost]]))</f>
        <v/>
      </c>
      <c r="BC9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2" s="43" t="str">
        <f aca="false">IF(Tasks[[#This Row],[Task Name]]="","",MAX(1,N(Tasks[[#This Row],[Level]])))</f>
        <v/>
      </c>
      <c r="BH92" s="43" t="n">
        <f aca="false">ROW()-ROW(Tasks[[#Headers],[ID]])</f>
        <v>87</v>
      </c>
      <c r="BI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2" s="43" t="n">
        <f aca="false">IFERROR(N(INDEX(Tasks[_Level],Tasks[[#This Row],[_Row]]+1)),0)</f>
        <v>0</v>
      </c>
      <c r="BK92" s="66" t="b">
        <f aca="false">AND(Tasks[[#This Row],[Task Name]]&lt;&gt;"",Tasks[[#This Row],[_NextLevel]]&gt;Tasks[[#This Row],[_Level]])</f>
        <v>0</v>
      </c>
      <c r="BL92" s="43" t="n">
        <f aca="false">IF(Tasks[[#This Row],[_IsSummary]],COUNTIF(Tasks[WBS],Tasks[[#This Row],[WBS]]&amp;".*"),0)</f>
        <v>0</v>
      </c>
      <c r="BM92" s="43" t="n">
        <f aca="false">IF(AND(Tasks[[#This Row],[Task Name]]&lt;&gt;"",NOT(Tasks[[#This Row],[_IsSummary]])),1,0)</f>
        <v>0</v>
      </c>
      <c r="BN92" s="43" t="n">
        <f aca="false">IF(N(Tasks[[#This Row],[Pred1 UID]])=0,0,IFERROR(MATCH(Tasks[[#This Row],[Pred1 UID]],Tasks[UID],0),-1))</f>
        <v>0</v>
      </c>
      <c r="BO92" s="43" t="n">
        <f aca="false">IF(N(Tasks[[#This Row],[Pred2 UID]])=0,0,IFERROR(MATCH(Tasks[[#This Row],[Pred2 UID]],Tasks[UID],0),-1))</f>
        <v>0</v>
      </c>
      <c r="BP9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2" s="43" t="n">
        <f aca="false">IF(NOT(Tasks[[#This Row],[_IsLeaf]]=1),0,IF(N(Tasks[[#This Row],[Actual Finish]])&gt;0,1,MIN(1,N(Tasks[[#This Row],[% Complete]]))))</f>
        <v>0</v>
      </c>
      <c r="BU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2" s="43" t="n">
        <f aca="false">IF(Tasks[[#This Row],[_LeafWork]]=0,0,Tasks[[#This Row],[_LeafWork]]*IFERROR(INDEX(res_Rate,MATCH(Tasks[[#This Row],[Resource]],res_Name,0)),0))</f>
        <v>0</v>
      </c>
      <c r="BW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2" s="43" t="n">
        <f aca="false">IF(NOT(Tasks[[#This Row],[_IsLeaf]]=1),0,MAX(_xlfn.MAXIFS(Tasks[_Row],Tasks[Pred1 UID],Tasks[[#This Row],[UID]]),_xlfn.MAXIFS(Tasks[_Row],Tasks[Pred2 UID],Tasks[[#This Row],[UID]])))</f>
        <v>0</v>
      </c>
      <c r="CB9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2" s="67" t="str">
        <f aca="false">IF(NOT(Tasks[[#This Row],[_IsLeaf]]=1),"",MIN(ProjectFinish,IF(N(Tasks[[#This Row],[Deadline]])&gt;0,Tasks[[#This Row],[Deadline]],2958465),Tasks[[#This Row],[_SuccessorFinishLimit]]))</f>
        <v/>
      </c>
      <c r="CD9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2" s="66" t="b">
        <f aca="false">AND(Tasks[[#This Row],[_IsLeaf]]=1,Tasks[[#This Row],[_LeafProgress]]&lt;1,N(Tasks[[#This Row],[_LeafTotalSlack]])&lt;=CriticalSlackDays)</f>
        <v>0</v>
      </c>
      <c r="CG9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2" s="43" t="n">
        <f aca="false">IF(AND(Tasks[[#This Row],[_IsLeaf]]=1,Tasks[[#This Row],[_LeafWork]]&gt;0),NETWORKDAYS.INTL(ProjectStart,Tasks[[#This Row],[_LeafFcstStart]],WorkWeek,Holidays),0)</f>
        <v>0</v>
      </c>
      <c r="CP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2" s="43" t="n">
        <f aca="false">IF(AND(Tasks[[#This Row],[_IsLeaf]]=1,Tasks[[#This Row],[_LeafWork]]&gt;0),Tasks[[#This Row],[_LeafWork]]/(Tasks[[#This Row],[_FinishWorkday]]-Tasks[[#This Row],[_StartWorkday]]+1),0)</f>
        <v>0</v>
      </c>
      <c r="CR92" s="43" t="n">
        <f aca="false">Tasks[[#This Row],[_WorkPerWorkday]]*(Tasks[[#This Row],[_StartWorkday]]-1)</f>
        <v>-0</v>
      </c>
      <c r="CS92" s="43" t="n">
        <f aca="false">IF(Tasks[[#This Row],[_IsLeaf]]=1,MAX(N(Tasks[[#This Row],[Duration]]),0.1),0)</f>
        <v>0</v>
      </c>
      <c r="CT92" s="43" t="n">
        <f aca="false">Tasks[[#This Row],[_WeightDur]]*Tasks[[#This Row],[_LeafProgress]]</f>
        <v>0</v>
      </c>
      <c r="CU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2" s="43" t="str">
        <f aca="false">IF(AND(Tasks[[#This Row],[_IsLeaf]]=1,N(Tasks[[#This Row],[Duration]])=0,Tasks[[#This Row],[_LeafProgress]]&lt;1),Tasks[[#This Row],[_LeafFcstFinish]]+Tasks[[#This Row],[_Row]]/100000,"")</f>
        <v/>
      </c>
      <c r="DA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2" s="43" t="n">
        <f aca="false">IF(NOT(Tasks[[#This Row],[_IsLeaf]]=1),0,IF(Tasks[[#This Row],[Baseline Cost]]="",Tasks[[#This Row],[_LeafCost]],N(Tasks[[#This Row],[Baseline Cost]])))</f>
        <v>0</v>
      </c>
      <c r="DC92" s="43" t="n">
        <f aca="false">Tasks[[#This Row],[_LeafBudget]]*Tasks[[#This Row],[_PlannedPct]]</f>
        <v>0</v>
      </c>
      <c r="DD92" s="43" t="n">
        <f aca="false">Tasks[[#This Row],[_LeafBudget]]*Tasks[[#This Row],[_LeafProgress]]</f>
        <v>0</v>
      </c>
      <c r="DE92" s="43" t="n">
        <f aca="false">IF(NOT(Tasks[[#This Row],[_IsLeaf]]=1),0,IF(Tasks[[#This Row],[Actual Cost]]="",Tasks[[#This Row],[_LeafCost]]*Tasks[[#This Row],[_LeafProgress]],N(Tasks[[#This Row],[Actual Cost]])))</f>
        <v>0</v>
      </c>
      <c r="DF92" s="43" t="str">
        <f aca="false">IF(Tasks[[#This Row],[Task Name]]="","",LEFT(Tasks[[#This Row],[WBS]],FIND(".",Tasks[[#This Row],[WBS]]&amp;".")-1))</f>
        <v/>
      </c>
      <c r="DG92" s="43" t="str">
        <f aca="false">IF(AND(Tasks[[#This Row],[Task Name]]&lt;&gt;"",Tasks[[#This Row],[_Level]]=1),Tasks[[#This Row],[_Row]],"")</f>
        <v/>
      </c>
      <c r="DH92" s="43" t="str">
        <f aca="false">IF(AND(Tasks[[#This Row],[_IsLeaf]]=1,N(Tasks[[#This Row],[Duration]])=0),Tasks[[#This Row],[Planned Finish]]+Tasks[[#This Row],[_Row]]/100000,"")</f>
        <v/>
      </c>
      <c r="DI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2" s="43" t="str">
        <f aca="false">IF(Tasks[[#This Row],[_LeafCritical]],Tasks[[#This Row],[_LeafFcstStart]]+Tasks[[#This Row],[_Row]]/100000,"")</f>
        <v/>
      </c>
    </row>
    <row r="93" customFormat="false" ht="15" hidden="false" customHeight="false" outlineLevel="0" collapsed="false">
      <c r="A93" s="28" t="str">
        <f aca="false">IF(Tasks[[#This Row],[Task Name]]="","",COUNTA(Tasks[[#Headers],[Task Name]]:Tasks[[#This Row],[Task Name]])-1)</f>
        <v/>
      </c>
      <c r="B93" s="29" t="n">
        <v>88</v>
      </c>
      <c r="C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29"/>
      <c r="E93" s="30"/>
      <c r="F93" s="29"/>
      <c r="G93" s="29"/>
      <c r="H93" s="29"/>
      <c r="I93" s="29"/>
      <c r="J93" s="29"/>
      <c r="K93" s="29"/>
      <c r="L93" s="29"/>
      <c r="M93" s="29"/>
      <c r="N93" s="53"/>
      <c r="O93" s="53"/>
      <c r="P93" s="25" t="str">
        <f aca="false">IF(Tasks[[#This Row],[Task Name]]="","",IF(N(Tasks[[#This Row],[Baseline Start]])&gt;0,Tasks[[#This Row],[Baseline Start]],Tasks[[#This Row],[_CalcStart]]))</f>
        <v/>
      </c>
      <c r="Q93" s="25" t="str">
        <f aca="false">IF(Tasks[[#This Row],[Task Name]]="","",IF(N(Tasks[[#This Row],[Baseline Finish]])&gt;0,Tasks[[#This Row],[Baseline Finish]],Tasks[[#This Row],[_CalcFinish]]))</f>
        <v/>
      </c>
      <c r="R93" s="53"/>
      <c r="S93" s="53"/>
      <c r="T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55"/>
      <c r="AF9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30"/>
      <c r="AI93" s="55"/>
      <c r="AJ9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64"/>
      <c r="AM9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3" s="30"/>
      <c r="AP93" s="25" t="str">
        <f aca="false">IF(Tasks[[#This Row],[Task Name]]="","",Tasks[[#This Row],[Forecast Start]])</f>
        <v/>
      </c>
      <c r="AQ93" s="25" t="str">
        <f aca="false">IF(Tasks[[#This Row],[Task Name]]="","",Tasks[[#This Row],[Forecast Finish]])</f>
        <v/>
      </c>
      <c r="AR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3" s="62" t="str">
        <f aca="false">IF(Tasks[[#This Row],[Task Name]]="","",Tasks[[#This Row],[Work]])</f>
        <v/>
      </c>
      <c r="AT93" s="63" t="str">
        <f aca="false">IF(Tasks[[#This Row],[Task Name]]="","",Tasks[[#This Row],[Cost]])</f>
        <v/>
      </c>
      <c r="AU93" s="53"/>
      <c r="AV93" s="53"/>
      <c r="AW93" s="29"/>
      <c r="AX93" s="65"/>
      <c r="AY93" s="64"/>
      <c r="AZ93" s="28" t="str">
        <f aca="false">IF(OR(Tasks[[#This Row],[Task Name]]="",Tasks[[#This Row],[Baseline Duration]]=""),"",Tasks[[#This Row],[BL Source Duration]]-N(Tasks[[#This Row],[Baseline Duration]]))</f>
        <v/>
      </c>
      <c r="BA93" s="62" t="str">
        <f aca="false">IF(OR(Tasks[[#This Row],[Task Name]]="",Tasks[[#This Row],[Baseline Work]]=""),"",Tasks[[#This Row],[Work]]-N(Tasks[[#This Row],[Baseline Work]]))</f>
        <v/>
      </c>
      <c r="BB93" s="63" t="str">
        <f aca="false">IF(OR(Tasks[[#This Row],[Task Name]]="",Tasks[[#This Row],[Baseline Cost]]=""),"",Tasks[[#This Row],[Cost]]-N(Tasks[[#This Row],[Baseline Cost]]))</f>
        <v/>
      </c>
      <c r="BC9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3" s="43" t="str">
        <f aca="false">IF(Tasks[[#This Row],[Task Name]]="","",MAX(1,N(Tasks[[#This Row],[Level]])))</f>
        <v/>
      </c>
      <c r="BH93" s="43" t="n">
        <f aca="false">ROW()-ROW(Tasks[[#Headers],[ID]])</f>
        <v>88</v>
      </c>
      <c r="BI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3" s="43" t="n">
        <f aca="false">IFERROR(N(INDEX(Tasks[_Level],Tasks[[#This Row],[_Row]]+1)),0)</f>
        <v>0</v>
      </c>
      <c r="BK93" s="66" t="b">
        <f aca="false">AND(Tasks[[#This Row],[Task Name]]&lt;&gt;"",Tasks[[#This Row],[_NextLevel]]&gt;Tasks[[#This Row],[_Level]])</f>
        <v>0</v>
      </c>
      <c r="BL93" s="43" t="n">
        <f aca="false">IF(Tasks[[#This Row],[_IsSummary]],COUNTIF(Tasks[WBS],Tasks[[#This Row],[WBS]]&amp;".*"),0)</f>
        <v>0</v>
      </c>
      <c r="BM93" s="43" t="n">
        <f aca="false">IF(AND(Tasks[[#This Row],[Task Name]]&lt;&gt;"",NOT(Tasks[[#This Row],[_IsSummary]])),1,0)</f>
        <v>0</v>
      </c>
      <c r="BN93" s="43" t="n">
        <f aca="false">IF(N(Tasks[[#This Row],[Pred1 UID]])=0,0,IFERROR(MATCH(Tasks[[#This Row],[Pred1 UID]],Tasks[UID],0),-1))</f>
        <v>0</v>
      </c>
      <c r="BO93" s="43" t="n">
        <f aca="false">IF(N(Tasks[[#This Row],[Pred2 UID]])=0,0,IFERROR(MATCH(Tasks[[#This Row],[Pred2 UID]],Tasks[UID],0),-1))</f>
        <v>0</v>
      </c>
      <c r="BP9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3" s="43" t="n">
        <f aca="false">IF(NOT(Tasks[[#This Row],[_IsLeaf]]=1),0,IF(N(Tasks[[#This Row],[Actual Finish]])&gt;0,1,MIN(1,N(Tasks[[#This Row],[% Complete]]))))</f>
        <v>0</v>
      </c>
      <c r="BU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3" s="43" t="n">
        <f aca="false">IF(Tasks[[#This Row],[_LeafWork]]=0,0,Tasks[[#This Row],[_LeafWork]]*IFERROR(INDEX(res_Rate,MATCH(Tasks[[#This Row],[Resource]],res_Name,0)),0))</f>
        <v>0</v>
      </c>
      <c r="BW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3" s="43" t="n">
        <f aca="false">IF(NOT(Tasks[[#This Row],[_IsLeaf]]=1),0,MAX(_xlfn.MAXIFS(Tasks[_Row],Tasks[Pred1 UID],Tasks[[#This Row],[UID]]),_xlfn.MAXIFS(Tasks[_Row],Tasks[Pred2 UID],Tasks[[#This Row],[UID]])))</f>
        <v>0</v>
      </c>
      <c r="CB9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3" s="67" t="str">
        <f aca="false">IF(NOT(Tasks[[#This Row],[_IsLeaf]]=1),"",MIN(ProjectFinish,IF(N(Tasks[[#This Row],[Deadline]])&gt;0,Tasks[[#This Row],[Deadline]],2958465),Tasks[[#This Row],[_SuccessorFinishLimit]]))</f>
        <v/>
      </c>
      <c r="CD9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3" s="66" t="b">
        <f aca="false">AND(Tasks[[#This Row],[_IsLeaf]]=1,Tasks[[#This Row],[_LeafProgress]]&lt;1,N(Tasks[[#This Row],[_LeafTotalSlack]])&lt;=CriticalSlackDays)</f>
        <v>0</v>
      </c>
      <c r="CG9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3" s="43" t="n">
        <f aca="false">IF(AND(Tasks[[#This Row],[_IsLeaf]]=1,Tasks[[#This Row],[_LeafWork]]&gt;0),NETWORKDAYS.INTL(ProjectStart,Tasks[[#This Row],[_LeafFcstStart]],WorkWeek,Holidays),0)</f>
        <v>0</v>
      </c>
      <c r="CP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3" s="43" t="n">
        <f aca="false">IF(AND(Tasks[[#This Row],[_IsLeaf]]=1,Tasks[[#This Row],[_LeafWork]]&gt;0),Tasks[[#This Row],[_LeafWork]]/(Tasks[[#This Row],[_FinishWorkday]]-Tasks[[#This Row],[_StartWorkday]]+1),0)</f>
        <v>0</v>
      </c>
      <c r="CR93" s="43" t="n">
        <f aca="false">Tasks[[#This Row],[_WorkPerWorkday]]*(Tasks[[#This Row],[_StartWorkday]]-1)</f>
        <v>-0</v>
      </c>
      <c r="CS93" s="43" t="n">
        <f aca="false">IF(Tasks[[#This Row],[_IsLeaf]]=1,MAX(N(Tasks[[#This Row],[Duration]]),0.1),0)</f>
        <v>0</v>
      </c>
      <c r="CT93" s="43" t="n">
        <f aca="false">Tasks[[#This Row],[_WeightDur]]*Tasks[[#This Row],[_LeafProgress]]</f>
        <v>0</v>
      </c>
      <c r="CU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3" s="43" t="str">
        <f aca="false">IF(AND(Tasks[[#This Row],[_IsLeaf]]=1,N(Tasks[[#This Row],[Duration]])=0,Tasks[[#This Row],[_LeafProgress]]&lt;1),Tasks[[#This Row],[_LeafFcstFinish]]+Tasks[[#This Row],[_Row]]/100000,"")</f>
        <v/>
      </c>
      <c r="DA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3" s="43" t="n">
        <f aca="false">IF(NOT(Tasks[[#This Row],[_IsLeaf]]=1),0,IF(Tasks[[#This Row],[Baseline Cost]]="",Tasks[[#This Row],[_LeafCost]],N(Tasks[[#This Row],[Baseline Cost]])))</f>
        <v>0</v>
      </c>
      <c r="DC93" s="43" t="n">
        <f aca="false">Tasks[[#This Row],[_LeafBudget]]*Tasks[[#This Row],[_PlannedPct]]</f>
        <v>0</v>
      </c>
      <c r="DD93" s="43" t="n">
        <f aca="false">Tasks[[#This Row],[_LeafBudget]]*Tasks[[#This Row],[_LeafProgress]]</f>
        <v>0</v>
      </c>
      <c r="DE93" s="43" t="n">
        <f aca="false">IF(NOT(Tasks[[#This Row],[_IsLeaf]]=1),0,IF(Tasks[[#This Row],[Actual Cost]]="",Tasks[[#This Row],[_LeafCost]]*Tasks[[#This Row],[_LeafProgress]],N(Tasks[[#This Row],[Actual Cost]])))</f>
        <v>0</v>
      </c>
      <c r="DF93" s="43" t="str">
        <f aca="false">IF(Tasks[[#This Row],[Task Name]]="","",LEFT(Tasks[[#This Row],[WBS]],FIND(".",Tasks[[#This Row],[WBS]]&amp;".")-1))</f>
        <v/>
      </c>
      <c r="DG93" s="43" t="str">
        <f aca="false">IF(AND(Tasks[[#This Row],[Task Name]]&lt;&gt;"",Tasks[[#This Row],[_Level]]=1),Tasks[[#This Row],[_Row]],"")</f>
        <v/>
      </c>
      <c r="DH93" s="43" t="str">
        <f aca="false">IF(AND(Tasks[[#This Row],[_IsLeaf]]=1,N(Tasks[[#This Row],[Duration]])=0),Tasks[[#This Row],[Planned Finish]]+Tasks[[#This Row],[_Row]]/100000,"")</f>
        <v/>
      </c>
      <c r="DI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3" s="43" t="str">
        <f aca="false">IF(Tasks[[#This Row],[_LeafCritical]],Tasks[[#This Row],[_LeafFcstStart]]+Tasks[[#This Row],[_Row]]/100000,"")</f>
        <v/>
      </c>
    </row>
    <row r="94" customFormat="false" ht="15" hidden="false" customHeight="false" outlineLevel="0" collapsed="false">
      <c r="A94" s="28" t="str">
        <f aca="false">IF(Tasks[[#This Row],[Task Name]]="","",COUNTA(Tasks[[#Headers],[Task Name]]:Tasks[[#This Row],[Task Name]])-1)</f>
        <v/>
      </c>
      <c r="B94" s="29" t="n">
        <v>89</v>
      </c>
      <c r="C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29"/>
      <c r="E94" s="30"/>
      <c r="F94" s="29"/>
      <c r="G94" s="29"/>
      <c r="H94" s="29"/>
      <c r="I94" s="29"/>
      <c r="J94" s="29"/>
      <c r="K94" s="29"/>
      <c r="L94" s="29"/>
      <c r="M94" s="29"/>
      <c r="N94" s="53"/>
      <c r="O94" s="53"/>
      <c r="P94" s="25" t="str">
        <f aca="false">IF(Tasks[[#This Row],[Task Name]]="","",IF(N(Tasks[[#This Row],[Baseline Start]])&gt;0,Tasks[[#This Row],[Baseline Start]],Tasks[[#This Row],[_CalcStart]]))</f>
        <v/>
      </c>
      <c r="Q94" s="25" t="str">
        <f aca="false">IF(Tasks[[#This Row],[Task Name]]="","",IF(N(Tasks[[#This Row],[Baseline Finish]])&gt;0,Tasks[[#This Row],[Baseline Finish]],Tasks[[#This Row],[_CalcFinish]]))</f>
        <v/>
      </c>
      <c r="R94" s="53"/>
      <c r="S94" s="53"/>
      <c r="T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55"/>
      <c r="AF9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30"/>
      <c r="AI94" s="55"/>
      <c r="AJ9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64"/>
      <c r="AM9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4" s="30"/>
      <c r="AP94" s="25" t="str">
        <f aca="false">IF(Tasks[[#This Row],[Task Name]]="","",Tasks[[#This Row],[Forecast Start]])</f>
        <v/>
      </c>
      <c r="AQ94" s="25" t="str">
        <f aca="false">IF(Tasks[[#This Row],[Task Name]]="","",Tasks[[#This Row],[Forecast Finish]])</f>
        <v/>
      </c>
      <c r="AR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4" s="62" t="str">
        <f aca="false">IF(Tasks[[#This Row],[Task Name]]="","",Tasks[[#This Row],[Work]])</f>
        <v/>
      </c>
      <c r="AT94" s="63" t="str">
        <f aca="false">IF(Tasks[[#This Row],[Task Name]]="","",Tasks[[#This Row],[Cost]])</f>
        <v/>
      </c>
      <c r="AU94" s="53"/>
      <c r="AV94" s="53"/>
      <c r="AW94" s="29"/>
      <c r="AX94" s="65"/>
      <c r="AY94" s="64"/>
      <c r="AZ94" s="28" t="str">
        <f aca="false">IF(OR(Tasks[[#This Row],[Task Name]]="",Tasks[[#This Row],[Baseline Duration]]=""),"",Tasks[[#This Row],[BL Source Duration]]-N(Tasks[[#This Row],[Baseline Duration]]))</f>
        <v/>
      </c>
      <c r="BA94" s="62" t="str">
        <f aca="false">IF(OR(Tasks[[#This Row],[Task Name]]="",Tasks[[#This Row],[Baseline Work]]=""),"",Tasks[[#This Row],[Work]]-N(Tasks[[#This Row],[Baseline Work]]))</f>
        <v/>
      </c>
      <c r="BB94" s="63" t="str">
        <f aca="false">IF(OR(Tasks[[#This Row],[Task Name]]="",Tasks[[#This Row],[Baseline Cost]]=""),"",Tasks[[#This Row],[Cost]]-N(Tasks[[#This Row],[Baseline Cost]]))</f>
        <v/>
      </c>
      <c r="BC9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4" s="43" t="str">
        <f aca="false">IF(Tasks[[#This Row],[Task Name]]="","",MAX(1,N(Tasks[[#This Row],[Level]])))</f>
        <v/>
      </c>
      <c r="BH94" s="43" t="n">
        <f aca="false">ROW()-ROW(Tasks[[#Headers],[ID]])</f>
        <v>89</v>
      </c>
      <c r="BI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4" s="43" t="n">
        <f aca="false">IFERROR(N(INDEX(Tasks[_Level],Tasks[[#This Row],[_Row]]+1)),0)</f>
        <v>0</v>
      </c>
      <c r="BK94" s="66" t="b">
        <f aca="false">AND(Tasks[[#This Row],[Task Name]]&lt;&gt;"",Tasks[[#This Row],[_NextLevel]]&gt;Tasks[[#This Row],[_Level]])</f>
        <v>0</v>
      </c>
      <c r="BL94" s="43" t="n">
        <f aca="false">IF(Tasks[[#This Row],[_IsSummary]],COUNTIF(Tasks[WBS],Tasks[[#This Row],[WBS]]&amp;".*"),0)</f>
        <v>0</v>
      </c>
      <c r="BM94" s="43" t="n">
        <f aca="false">IF(AND(Tasks[[#This Row],[Task Name]]&lt;&gt;"",NOT(Tasks[[#This Row],[_IsSummary]])),1,0)</f>
        <v>0</v>
      </c>
      <c r="BN94" s="43" t="n">
        <f aca="false">IF(N(Tasks[[#This Row],[Pred1 UID]])=0,0,IFERROR(MATCH(Tasks[[#This Row],[Pred1 UID]],Tasks[UID],0),-1))</f>
        <v>0</v>
      </c>
      <c r="BO94" s="43" t="n">
        <f aca="false">IF(N(Tasks[[#This Row],[Pred2 UID]])=0,0,IFERROR(MATCH(Tasks[[#This Row],[Pred2 UID]],Tasks[UID],0),-1))</f>
        <v>0</v>
      </c>
      <c r="BP9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4" s="43" t="n">
        <f aca="false">IF(NOT(Tasks[[#This Row],[_IsLeaf]]=1),0,IF(N(Tasks[[#This Row],[Actual Finish]])&gt;0,1,MIN(1,N(Tasks[[#This Row],[% Complete]]))))</f>
        <v>0</v>
      </c>
      <c r="BU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4" s="43" t="n">
        <f aca="false">IF(Tasks[[#This Row],[_LeafWork]]=0,0,Tasks[[#This Row],[_LeafWork]]*IFERROR(INDEX(res_Rate,MATCH(Tasks[[#This Row],[Resource]],res_Name,0)),0))</f>
        <v>0</v>
      </c>
      <c r="BW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4" s="43" t="n">
        <f aca="false">IF(NOT(Tasks[[#This Row],[_IsLeaf]]=1),0,MAX(_xlfn.MAXIFS(Tasks[_Row],Tasks[Pred1 UID],Tasks[[#This Row],[UID]]),_xlfn.MAXIFS(Tasks[_Row],Tasks[Pred2 UID],Tasks[[#This Row],[UID]])))</f>
        <v>0</v>
      </c>
      <c r="CB9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4" s="67" t="str">
        <f aca="false">IF(NOT(Tasks[[#This Row],[_IsLeaf]]=1),"",MIN(ProjectFinish,IF(N(Tasks[[#This Row],[Deadline]])&gt;0,Tasks[[#This Row],[Deadline]],2958465),Tasks[[#This Row],[_SuccessorFinishLimit]]))</f>
        <v/>
      </c>
      <c r="CD9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4" s="66" t="b">
        <f aca="false">AND(Tasks[[#This Row],[_IsLeaf]]=1,Tasks[[#This Row],[_LeafProgress]]&lt;1,N(Tasks[[#This Row],[_LeafTotalSlack]])&lt;=CriticalSlackDays)</f>
        <v>0</v>
      </c>
      <c r="CG9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4" s="43" t="n">
        <f aca="false">IF(AND(Tasks[[#This Row],[_IsLeaf]]=1,Tasks[[#This Row],[_LeafWork]]&gt;0),NETWORKDAYS.INTL(ProjectStart,Tasks[[#This Row],[_LeafFcstStart]],WorkWeek,Holidays),0)</f>
        <v>0</v>
      </c>
      <c r="CP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4" s="43" t="n">
        <f aca="false">IF(AND(Tasks[[#This Row],[_IsLeaf]]=1,Tasks[[#This Row],[_LeafWork]]&gt;0),Tasks[[#This Row],[_LeafWork]]/(Tasks[[#This Row],[_FinishWorkday]]-Tasks[[#This Row],[_StartWorkday]]+1),0)</f>
        <v>0</v>
      </c>
      <c r="CR94" s="43" t="n">
        <f aca="false">Tasks[[#This Row],[_WorkPerWorkday]]*(Tasks[[#This Row],[_StartWorkday]]-1)</f>
        <v>-0</v>
      </c>
      <c r="CS94" s="43" t="n">
        <f aca="false">IF(Tasks[[#This Row],[_IsLeaf]]=1,MAX(N(Tasks[[#This Row],[Duration]]),0.1),0)</f>
        <v>0</v>
      </c>
      <c r="CT94" s="43" t="n">
        <f aca="false">Tasks[[#This Row],[_WeightDur]]*Tasks[[#This Row],[_LeafProgress]]</f>
        <v>0</v>
      </c>
      <c r="CU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4" s="43" t="str">
        <f aca="false">IF(AND(Tasks[[#This Row],[_IsLeaf]]=1,N(Tasks[[#This Row],[Duration]])=0,Tasks[[#This Row],[_LeafProgress]]&lt;1),Tasks[[#This Row],[_LeafFcstFinish]]+Tasks[[#This Row],[_Row]]/100000,"")</f>
        <v/>
      </c>
      <c r="DA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4" s="43" t="n">
        <f aca="false">IF(NOT(Tasks[[#This Row],[_IsLeaf]]=1),0,IF(Tasks[[#This Row],[Baseline Cost]]="",Tasks[[#This Row],[_LeafCost]],N(Tasks[[#This Row],[Baseline Cost]])))</f>
        <v>0</v>
      </c>
      <c r="DC94" s="43" t="n">
        <f aca="false">Tasks[[#This Row],[_LeafBudget]]*Tasks[[#This Row],[_PlannedPct]]</f>
        <v>0</v>
      </c>
      <c r="DD94" s="43" t="n">
        <f aca="false">Tasks[[#This Row],[_LeafBudget]]*Tasks[[#This Row],[_LeafProgress]]</f>
        <v>0</v>
      </c>
      <c r="DE94" s="43" t="n">
        <f aca="false">IF(NOT(Tasks[[#This Row],[_IsLeaf]]=1),0,IF(Tasks[[#This Row],[Actual Cost]]="",Tasks[[#This Row],[_LeafCost]]*Tasks[[#This Row],[_LeafProgress]],N(Tasks[[#This Row],[Actual Cost]])))</f>
        <v>0</v>
      </c>
      <c r="DF94" s="43" t="str">
        <f aca="false">IF(Tasks[[#This Row],[Task Name]]="","",LEFT(Tasks[[#This Row],[WBS]],FIND(".",Tasks[[#This Row],[WBS]]&amp;".")-1))</f>
        <v/>
      </c>
      <c r="DG94" s="43" t="str">
        <f aca="false">IF(AND(Tasks[[#This Row],[Task Name]]&lt;&gt;"",Tasks[[#This Row],[_Level]]=1),Tasks[[#This Row],[_Row]],"")</f>
        <v/>
      </c>
      <c r="DH94" s="43" t="str">
        <f aca="false">IF(AND(Tasks[[#This Row],[_IsLeaf]]=1,N(Tasks[[#This Row],[Duration]])=0),Tasks[[#This Row],[Planned Finish]]+Tasks[[#This Row],[_Row]]/100000,"")</f>
        <v/>
      </c>
      <c r="DI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4" s="43" t="str">
        <f aca="false">IF(Tasks[[#This Row],[_LeafCritical]],Tasks[[#This Row],[_LeafFcstStart]]+Tasks[[#This Row],[_Row]]/100000,"")</f>
        <v/>
      </c>
    </row>
    <row r="95" customFormat="false" ht="15" hidden="false" customHeight="false" outlineLevel="0" collapsed="false">
      <c r="A95" s="28" t="str">
        <f aca="false">IF(Tasks[[#This Row],[Task Name]]="","",COUNTA(Tasks[[#Headers],[Task Name]]:Tasks[[#This Row],[Task Name]])-1)</f>
        <v/>
      </c>
      <c r="B95" s="29" t="n">
        <v>90</v>
      </c>
      <c r="C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29"/>
      <c r="E95" s="30"/>
      <c r="F95" s="29"/>
      <c r="G95" s="29"/>
      <c r="H95" s="29"/>
      <c r="I95" s="29"/>
      <c r="J95" s="29"/>
      <c r="K95" s="29"/>
      <c r="L95" s="29"/>
      <c r="M95" s="29"/>
      <c r="N95" s="53"/>
      <c r="O95" s="53"/>
      <c r="P95" s="25" t="str">
        <f aca="false">IF(Tasks[[#This Row],[Task Name]]="","",IF(N(Tasks[[#This Row],[Baseline Start]])&gt;0,Tasks[[#This Row],[Baseline Start]],Tasks[[#This Row],[_CalcStart]]))</f>
        <v/>
      </c>
      <c r="Q95" s="25" t="str">
        <f aca="false">IF(Tasks[[#This Row],[Task Name]]="","",IF(N(Tasks[[#This Row],[Baseline Finish]])&gt;0,Tasks[[#This Row],[Baseline Finish]],Tasks[[#This Row],[_CalcFinish]]))</f>
        <v/>
      </c>
      <c r="R95" s="53"/>
      <c r="S95" s="53"/>
      <c r="T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55"/>
      <c r="AF9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30"/>
      <c r="AI95" s="55"/>
      <c r="AJ9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64"/>
      <c r="AM9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5" s="30"/>
      <c r="AP95" s="25" t="str">
        <f aca="false">IF(Tasks[[#This Row],[Task Name]]="","",Tasks[[#This Row],[Forecast Start]])</f>
        <v/>
      </c>
      <c r="AQ95" s="25" t="str">
        <f aca="false">IF(Tasks[[#This Row],[Task Name]]="","",Tasks[[#This Row],[Forecast Finish]])</f>
        <v/>
      </c>
      <c r="AR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5" s="62" t="str">
        <f aca="false">IF(Tasks[[#This Row],[Task Name]]="","",Tasks[[#This Row],[Work]])</f>
        <v/>
      </c>
      <c r="AT95" s="63" t="str">
        <f aca="false">IF(Tasks[[#This Row],[Task Name]]="","",Tasks[[#This Row],[Cost]])</f>
        <v/>
      </c>
      <c r="AU95" s="53"/>
      <c r="AV95" s="53"/>
      <c r="AW95" s="29"/>
      <c r="AX95" s="65"/>
      <c r="AY95" s="64"/>
      <c r="AZ95" s="28" t="str">
        <f aca="false">IF(OR(Tasks[[#This Row],[Task Name]]="",Tasks[[#This Row],[Baseline Duration]]=""),"",Tasks[[#This Row],[BL Source Duration]]-N(Tasks[[#This Row],[Baseline Duration]]))</f>
        <v/>
      </c>
      <c r="BA95" s="62" t="str">
        <f aca="false">IF(OR(Tasks[[#This Row],[Task Name]]="",Tasks[[#This Row],[Baseline Work]]=""),"",Tasks[[#This Row],[Work]]-N(Tasks[[#This Row],[Baseline Work]]))</f>
        <v/>
      </c>
      <c r="BB95" s="63" t="str">
        <f aca="false">IF(OR(Tasks[[#This Row],[Task Name]]="",Tasks[[#This Row],[Baseline Cost]]=""),"",Tasks[[#This Row],[Cost]]-N(Tasks[[#This Row],[Baseline Cost]]))</f>
        <v/>
      </c>
      <c r="BC9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5" s="43" t="str">
        <f aca="false">IF(Tasks[[#This Row],[Task Name]]="","",MAX(1,N(Tasks[[#This Row],[Level]])))</f>
        <v/>
      </c>
      <c r="BH95" s="43" t="n">
        <f aca="false">ROW()-ROW(Tasks[[#Headers],[ID]])</f>
        <v>90</v>
      </c>
      <c r="BI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5" s="43" t="n">
        <f aca="false">IFERROR(N(INDEX(Tasks[_Level],Tasks[[#This Row],[_Row]]+1)),0)</f>
        <v>0</v>
      </c>
      <c r="BK95" s="66" t="b">
        <f aca="false">AND(Tasks[[#This Row],[Task Name]]&lt;&gt;"",Tasks[[#This Row],[_NextLevel]]&gt;Tasks[[#This Row],[_Level]])</f>
        <v>0</v>
      </c>
      <c r="BL95" s="43" t="n">
        <f aca="false">IF(Tasks[[#This Row],[_IsSummary]],COUNTIF(Tasks[WBS],Tasks[[#This Row],[WBS]]&amp;".*"),0)</f>
        <v>0</v>
      </c>
      <c r="BM95" s="43" t="n">
        <f aca="false">IF(AND(Tasks[[#This Row],[Task Name]]&lt;&gt;"",NOT(Tasks[[#This Row],[_IsSummary]])),1,0)</f>
        <v>0</v>
      </c>
      <c r="BN95" s="43" t="n">
        <f aca="false">IF(N(Tasks[[#This Row],[Pred1 UID]])=0,0,IFERROR(MATCH(Tasks[[#This Row],[Pred1 UID]],Tasks[UID],0),-1))</f>
        <v>0</v>
      </c>
      <c r="BO95" s="43" t="n">
        <f aca="false">IF(N(Tasks[[#This Row],[Pred2 UID]])=0,0,IFERROR(MATCH(Tasks[[#This Row],[Pred2 UID]],Tasks[UID],0),-1))</f>
        <v>0</v>
      </c>
      <c r="BP9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5" s="43" t="n">
        <f aca="false">IF(NOT(Tasks[[#This Row],[_IsLeaf]]=1),0,IF(N(Tasks[[#This Row],[Actual Finish]])&gt;0,1,MIN(1,N(Tasks[[#This Row],[% Complete]]))))</f>
        <v>0</v>
      </c>
      <c r="BU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5" s="43" t="n">
        <f aca="false">IF(Tasks[[#This Row],[_LeafWork]]=0,0,Tasks[[#This Row],[_LeafWork]]*IFERROR(INDEX(res_Rate,MATCH(Tasks[[#This Row],[Resource]],res_Name,0)),0))</f>
        <v>0</v>
      </c>
      <c r="BW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5" s="43" t="n">
        <f aca="false">IF(NOT(Tasks[[#This Row],[_IsLeaf]]=1),0,MAX(_xlfn.MAXIFS(Tasks[_Row],Tasks[Pred1 UID],Tasks[[#This Row],[UID]]),_xlfn.MAXIFS(Tasks[_Row],Tasks[Pred2 UID],Tasks[[#This Row],[UID]])))</f>
        <v>0</v>
      </c>
      <c r="CB9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5" s="67" t="str">
        <f aca="false">IF(NOT(Tasks[[#This Row],[_IsLeaf]]=1),"",MIN(ProjectFinish,IF(N(Tasks[[#This Row],[Deadline]])&gt;0,Tasks[[#This Row],[Deadline]],2958465),Tasks[[#This Row],[_SuccessorFinishLimit]]))</f>
        <v/>
      </c>
      <c r="CD9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5" s="66" t="b">
        <f aca="false">AND(Tasks[[#This Row],[_IsLeaf]]=1,Tasks[[#This Row],[_LeafProgress]]&lt;1,N(Tasks[[#This Row],[_LeafTotalSlack]])&lt;=CriticalSlackDays)</f>
        <v>0</v>
      </c>
      <c r="CG9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5" s="43" t="n">
        <f aca="false">IF(AND(Tasks[[#This Row],[_IsLeaf]]=1,Tasks[[#This Row],[_LeafWork]]&gt;0),NETWORKDAYS.INTL(ProjectStart,Tasks[[#This Row],[_LeafFcstStart]],WorkWeek,Holidays),0)</f>
        <v>0</v>
      </c>
      <c r="CP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5" s="43" t="n">
        <f aca="false">IF(AND(Tasks[[#This Row],[_IsLeaf]]=1,Tasks[[#This Row],[_LeafWork]]&gt;0),Tasks[[#This Row],[_LeafWork]]/(Tasks[[#This Row],[_FinishWorkday]]-Tasks[[#This Row],[_StartWorkday]]+1),0)</f>
        <v>0</v>
      </c>
      <c r="CR95" s="43" t="n">
        <f aca="false">Tasks[[#This Row],[_WorkPerWorkday]]*(Tasks[[#This Row],[_StartWorkday]]-1)</f>
        <v>-0</v>
      </c>
      <c r="CS95" s="43" t="n">
        <f aca="false">IF(Tasks[[#This Row],[_IsLeaf]]=1,MAX(N(Tasks[[#This Row],[Duration]]),0.1),0)</f>
        <v>0</v>
      </c>
      <c r="CT95" s="43" t="n">
        <f aca="false">Tasks[[#This Row],[_WeightDur]]*Tasks[[#This Row],[_LeafProgress]]</f>
        <v>0</v>
      </c>
      <c r="CU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5" s="43" t="str">
        <f aca="false">IF(AND(Tasks[[#This Row],[_IsLeaf]]=1,N(Tasks[[#This Row],[Duration]])=0,Tasks[[#This Row],[_LeafProgress]]&lt;1),Tasks[[#This Row],[_LeafFcstFinish]]+Tasks[[#This Row],[_Row]]/100000,"")</f>
        <v/>
      </c>
      <c r="DA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5" s="43" t="n">
        <f aca="false">IF(NOT(Tasks[[#This Row],[_IsLeaf]]=1),0,IF(Tasks[[#This Row],[Baseline Cost]]="",Tasks[[#This Row],[_LeafCost]],N(Tasks[[#This Row],[Baseline Cost]])))</f>
        <v>0</v>
      </c>
      <c r="DC95" s="43" t="n">
        <f aca="false">Tasks[[#This Row],[_LeafBudget]]*Tasks[[#This Row],[_PlannedPct]]</f>
        <v>0</v>
      </c>
      <c r="DD95" s="43" t="n">
        <f aca="false">Tasks[[#This Row],[_LeafBudget]]*Tasks[[#This Row],[_LeafProgress]]</f>
        <v>0</v>
      </c>
      <c r="DE95" s="43" t="n">
        <f aca="false">IF(NOT(Tasks[[#This Row],[_IsLeaf]]=1),0,IF(Tasks[[#This Row],[Actual Cost]]="",Tasks[[#This Row],[_LeafCost]]*Tasks[[#This Row],[_LeafProgress]],N(Tasks[[#This Row],[Actual Cost]])))</f>
        <v>0</v>
      </c>
      <c r="DF95" s="43" t="str">
        <f aca="false">IF(Tasks[[#This Row],[Task Name]]="","",LEFT(Tasks[[#This Row],[WBS]],FIND(".",Tasks[[#This Row],[WBS]]&amp;".")-1))</f>
        <v/>
      </c>
      <c r="DG95" s="43" t="str">
        <f aca="false">IF(AND(Tasks[[#This Row],[Task Name]]&lt;&gt;"",Tasks[[#This Row],[_Level]]=1),Tasks[[#This Row],[_Row]],"")</f>
        <v/>
      </c>
      <c r="DH95" s="43" t="str">
        <f aca="false">IF(AND(Tasks[[#This Row],[_IsLeaf]]=1,N(Tasks[[#This Row],[Duration]])=0),Tasks[[#This Row],[Planned Finish]]+Tasks[[#This Row],[_Row]]/100000,"")</f>
        <v/>
      </c>
      <c r="DI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5" s="43" t="str">
        <f aca="false">IF(Tasks[[#This Row],[_LeafCritical]],Tasks[[#This Row],[_LeafFcstStart]]+Tasks[[#This Row],[_Row]]/100000,"")</f>
        <v/>
      </c>
    </row>
    <row r="96" customFormat="false" ht="15" hidden="false" customHeight="false" outlineLevel="0" collapsed="false">
      <c r="A96" s="28" t="str">
        <f aca="false">IF(Tasks[[#This Row],[Task Name]]="","",COUNTA(Tasks[[#Headers],[Task Name]]:Tasks[[#This Row],[Task Name]])-1)</f>
        <v/>
      </c>
      <c r="B96" s="29" t="n">
        <v>91</v>
      </c>
      <c r="C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29"/>
      <c r="E96" s="30"/>
      <c r="F96" s="29"/>
      <c r="G96" s="29"/>
      <c r="H96" s="29"/>
      <c r="I96" s="29"/>
      <c r="J96" s="29"/>
      <c r="K96" s="29"/>
      <c r="L96" s="29"/>
      <c r="M96" s="29"/>
      <c r="N96" s="53"/>
      <c r="O96" s="53"/>
      <c r="P96" s="25" t="str">
        <f aca="false">IF(Tasks[[#This Row],[Task Name]]="","",IF(N(Tasks[[#This Row],[Baseline Start]])&gt;0,Tasks[[#This Row],[Baseline Start]],Tasks[[#This Row],[_CalcStart]]))</f>
        <v/>
      </c>
      <c r="Q96" s="25" t="str">
        <f aca="false">IF(Tasks[[#This Row],[Task Name]]="","",IF(N(Tasks[[#This Row],[Baseline Finish]])&gt;0,Tasks[[#This Row],[Baseline Finish]],Tasks[[#This Row],[_CalcFinish]]))</f>
        <v/>
      </c>
      <c r="R96" s="53"/>
      <c r="S96" s="53"/>
      <c r="T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55"/>
      <c r="AF9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30"/>
      <c r="AI96" s="55"/>
      <c r="AJ9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64"/>
      <c r="AM9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6" s="30"/>
      <c r="AP96" s="25" t="str">
        <f aca="false">IF(Tasks[[#This Row],[Task Name]]="","",Tasks[[#This Row],[Forecast Start]])</f>
        <v/>
      </c>
      <c r="AQ96" s="25" t="str">
        <f aca="false">IF(Tasks[[#This Row],[Task Name]]="","",Tasks[[#This Row],[Forecast Finish]])</f>
        <v/>
      </c>
      <c r="AR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6" s="62" t="str">
        <f aca="false">IF(Tasks[[#This Row],[Task Name]]="","",Tasks[[#This Row],[Work]])</f>
        <v/>
      </c>
      <c r="AT96" s="63" t="str">
        <f aca="false">IF(Tasks[[#This Row],[Task Name]]="","",Tasks[[#This Row],[Cost]])</f>
        <v/>
      </c>
      <c r="AU96" s="53"/>
      <c r="AV96" s="53"/>
      <c r="AW96" s="29"/>
      <c r="AX96" s="65"/>
      <c r="AY96" s="64"/>
      <c r="AZ96" s="28" t="str">
        <f aca="false">IF(OR(Tasks[[#This Row],[Task Name]]="",Tasks[[#This Row],[Baseline Duration]]=""),"",Tasks[[#This Row],[BL Source Duration]]-N(Tasks[[#This Row],[Baseline Duration]]))</f>
        <v/>
      </c>
      <c r="BA96" s="62" t="str">
        <f aca="false">IF(OR(Tasks[[#This Row],[Task Name]]="",Tasks[[#This Row],[Baseline Work]]=""),"",Tasks[[#This Row],[Work]]-N(Tasks[[#This Row],[Baseline Work]]))</f>
        <v/>
      </c>
      <c r="BB96" s="63" t="str">
        <f aca="false">IF(OR(Tasks[[#This Row],[Task Name]]="",Tasks[[#This Row],[Baseline Cost]]=""),"",Tasks[[#This Row],[Cost]]-N(Tasks[[#This Row],[Baseline Cost]]))</f>
        <v/>
      </c>
      <c r="BC9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6" s="43" t="str">
        <f aca="false">IF(Tasks[[#This Row],[Task Name]]="","",MAX(1,N(Tasks[[#This Row],[Level]])))</f>
        <v/>
      </c>
      <c r="BH96" s="43" t="n">
        <f aca="false">ROW()-ROW(Tasks[[#Headers],[ID]])</f>
        <v>91</v>
      </c>
      <c r="BI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6" s="43" t="n">
        <f aca="false">IFERROR(N(INDEX(Tasks[_Level],Tasks[[#This Row],[_Row]]+1)),0)</f>
        <v>0</v>
      </c>
      <c r="BK96" s="66" t="b">
        <f aca="false">AND(Tasks[[#This Row],[Task Name]]&lt;&gt;"",Tasks[[#This Row],[_NextLevel]]&gt;Tasks[[#This Row],[_Level]])</f>
        <v>0</v>
      </c>
      <c r="BL96" s="43" t="n">
        <f aca="false">IF(Tasks[[#This Row],[_IsSummary]],COUNTIF(Tasks[WBS],Tasks[[#This Row],[WBS]]&amp;".*"),0)</f>
        <v>0</v>
      </c>
      <c r="BM96" s="43" t="n">
        <f aca="false">IF(AND(Tasks[[#This Row],[Task Name]]&lt;&gt;"",NOT(Tasks[[#This Row],[_IsSummary]])),1,0)</f>
        <v>0</v>
      </c>
      <c r="BN96" s="43" t="n">
        <f aca="false">IF(N(Tasks[[#This Row],[Pred1 UID]])=0,0,IFERROR(MATCH(Tasks[[#This Row],[Pred1 UID]],Tasks[UID],0),-1))</f>
        <v>0</v>
      </c>
      <c r="BO96" s="43" t="n">
        <f aca="false">IF(N(Tasks[[#This Row],[Pred2 UID]])=0,0,IFERROR(MATCH(Tasks[[#This Row],[Pred2 UID]],Tasks[UID],0),-1))</f>
        <v>0</v>
      </c>
      <c r="BP9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6" s="43" t="n">
        <f aca="false">IF(NOT(Tasks[[#This Row],[_IsLeaf]]=1),0,IF(N(Tasks[[#This Row],[Actual Finish]])&gt;0,1,MIN(1,N(Tasks[[#This Row],[% Complete]]))))</f>
        <v>0</v>
      </c>
      <c r="BU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6" s="43" t="n">
        <f aca="false">IF(Tasks[[#This Row],[_LeafWork]]=0,0,Tasks[[#This Row],[_LeafWork]]*IFERROR(INDEX(res_Rate,MATCH(Tasks[[#This Row],[Resource]],res_Name,0)),0))</f>
        <v>0</v>
      </c>
      <c r="BW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6" s="43" t="n">
        <f aca="false">IF(NOT(Tasks[[#This Row],[_IsLeaf]]=1),0,MAX(_xlfn.MAXIFS(Tasks[_Row],Tasks[Pred1 UID],Tasks[[#This Row],[UID]]),_xlfn.MAXIFS(Tasks[_Row],Tasks[Pred2 UID],Tasks[[#This Row],[UID]])))</f>
        <v>0</v>
      </c>
      <c r="CB9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6" s="67" t="str">
        <f aca="false">IF(NOT(Tasks[[#This Row],[_IsLeaf]]=1),"",MIN(ProjectFinish,IF(N(Tasks[[#This Row],[Deadline]])&gt;0,Tasks[[#This Row],[Deadline]],2958465),Tasks[[#This Row],[_SuccessorFinishLimit]]))</f>
        <v/>
      </c>
      <c r="CD9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6" s="66" t="b">
        <f aca="false">AND(Tasks[[#This Row],[_IsLeaf]]=1,Tasks[[#This Row],[_LeafProgress]]&lt;1,N(Tasks[[#This Row],[_LeafTotalSlack]])&lt;=CriticalSlackDays)</f>
        <v>0</v>
      </c>
      <c r="CG9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6" s="43" t="n">
        <f aca="false">IF(AND(Tasks[[#This Row],[_IsLeaf]]=1,Tasks[[#This Row],[_LeafWork]]&gt;0),NETWORKDAYS.INTL(ProjectStart,Tasks[[#This Row],[_LeafFcstStart]],WorkWeek,Holidays),0)</f>
        <v>0</v>
      </c>
      <c r="CP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6" s="43" t="n">
        <f aca="false">IF(AND(Tasks[[#This Row],[_IsLeaf]]=1,Tasks[[#This Row],[_LeafWork]]&gt;0),Tasks[[#This Row],[_LeafWork]]/(Tasks[[#This Row],[_FinishWorkday]]-Tasks[[#This Row],[_StartWorkday]]+1),0)</f>
        <v>0</v>
      </c>
      <c r="CR96" s="43" t="n">
        <f aca="false">Tasks[[#This Row],[_WorkPerWorkday]]*(Tasks[[#This Row],[_StartWorkday]]-1)</f>
        <v>-0</v>
      </c>
      <c r="CS96" s="43" t="n">
        <f aca="false">IF(Tasks[[#This Row],[_IsLeaf]]=1,MAX(N(Tasks[[#This Row],[Duration]]),0.1),0)</f>
        <v>0</v>
      </c>
      <c r="CT96" s="43" t="n">
        <f aca="false">Tasks[[#This Row],[_WeightDur]]*Tasks[[#This Row],[_LeafProgress]]</f>
        <v>0</v>
      </c>
      <c r="CU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6" s="43" t="str">
        <f aca="false">IF(AND(Tasks[[#This Row],[_IsLeaf]]=1,N(Tasks[[#This Row],[Duration]])=0,Tasks[[#This Row],[_LeafProgress]]&lt;1),Tasks[[#This Row],[_LeafFcstFinish]]+Tasks[[#This Row],[_Row]]/100000,"")</f>
        <v/>
      </c>
      <c r="DA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6" s="43" t="n">
        <f aca="false">IF(NOT(Tasks[[#This Row],[_IsLeaf]]=1),0,IF(Tasks[[#This Row],[Baseline Cost]]="",Tasks[[#This Row],[_LeafCost]],N(Tasks[[#This Row],[Baseline Cost]])))</f>
        <v>0</v>
      </c>
      <c r="DC96" s="43" t="n">
        <f aca="false">Tasks[[#This Row],[_LeafBudget]]*Tasks[[#This Row],[_PlannedPct]]</f>
        <v>0</v>
      </c>
      <c r="DD96" s="43" t="n">
        <f aca="false">Tasks[[#This Row],[_LeafBudget]]*Tasks[[#This Row],[_LeafProgress]]</f>
        <v>0</v>
      </c>
      <c r="DE96" s="43" t="n">
        <f aca="false">IF(NOT(Tasks[[#This Row],[_IsLeaf]]=1),0,IF(Tasks[[#This Row],[Actual Cost]]="",Tasks[[#This Row],[_LeafCost]]*Tasks[[#This Row],[_LeafProgress]],N(Tasks[[#This Row],[Actual Cost]])))</f>
        <v>0</v>
      </c>
      <c r="DF96" s="43" t="str">
        <f aca="false">IF(Tasks[[#This Row],[Task Name]]="","",LEFT(Tasks[[#This Row],[WBS]],FIND(".",Tasks[[#This Row],[WBS]]&amp;".")-1))</f>
        <v/>
      </c>
      <c r="DG96" s="43" t="str">
        <f aca="false">IF(AND(Tasks[[#This Row],[Task Name]]&lt;&gt;"",Tasks[[#This Row],[_Level]]=1),Tasks[[#This Row],[_Row]],"")</f>
        <v/>
      </c>
      <c r="DH96" s="43" t="str">
        <f aca="false">IF(AND(Tasks[[#This Row],[_IsLeaf]]=1,N(Tasks[[#This Row],[Duration]])=0),Tasks[[#This Row],[Planned Finish]]+Tasks[[#This Row],[_Row]]/100000,"")</f>
        <v/>
      </c>
      <c r="DI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6" s="43" t="str">
        <f aca="false">IF(Tasks[[#This Row],[_LeafCritical]],Tasks[[#This Row],[_LeafFcstStart]]+Tasks[[#This Row],[_Row]]/100000,"")</f>
        <v/>
      </c>
    </row>
    <row r="97" customFormat="false" ht="15" hidden="false" customHeight="false" outlineLevel="0" collapsed="false">
      <c r="A97" s="28" t="str">
        <f aca="false">IF(Tasks[[#This Row],[Task Name]]="","",COUNTA(Tasks[[#Headers],[Task Name]]:Tasks[[#This Row],[Task Name]])-1)</f>
        <v/>
      </c>
      <c r="B97" s="29" t="n">
        <v>92</v>
      </c>
      <c r="C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29"/>
      <c r="E97" s="30"/>
      <c r="F97" s="29"/>
      <c r="G97" s="29"/>
      <c r="H97" s="29"/>
      <c r="I97" s="29"/>
      <c r="J97" s="29"/>
      <c r="K97" s="29"/>
      <c r="L97" s="29"/>
      <c r="M97" s="29"/>
      <c r="N97" s="53"/>
      <c r="O97" s="53"/>
      <c r="P97" s="25" t="str">
        <f aca="false">IF(Tasks[[#This Row],[Task Name]]="","",IF(N(Tasks[[#This Row],[Baseline Start]])&gt;0,Tasks[[#This Row],[Baseline Start]],Tasks[[#This Row],[_CalcStart]]))</f>
        <v/>
      </c>
      <c r="Q97" s="25" t="str">
        <f aca="false">IF(Tasks[[#This Row],[Task Name]]="","",IF(N(Tasks[[#This Row],[Baseline Finish]])&gt;0,Tasks[[#This Row],[Baseline Finish]],Tasks[[#This Row],[_CalcFinish]]))</f>
        <v/>
      </c>
      <c r="R97" s="53"/>
      <c r="S97" s="53"/>
      <c r="T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55"/>
      <c r="AF9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30"/>
      <c r="AI97" s="55"/>
      <c r="AJ9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64"/>
      <c r="AM9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7" s="30"/>
      <c r="AP97" s="25" t="str">
        <f aca="false">IF(Tasks[[#This Row],[Task Name]]="","",Tasks[[#This Row],[Forecast Start]])</f>
        <v/>
      </c>
      <c r="AQ97" s="25" t="str">
        <f aca="false">IF(Tasks[[#This Row],[Task Name]]="","",Tasks[[#This Row],[Forecast Finish]])</f>
        <v/>
      </c>
      <c r="AR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7" s="62" t="str">
        <f aca="false">IF(Tasks[[#This Row],[Task Name]]="","",Tasks[[#This Row],[Work]])</f>
        <v/>
      </c>
      <c r="AT97" s="63" t="str">
        <f aca="false">IF(Tasks[[#This Row],[Task Name]]="","",Tasks[[#This Row],[Cost]])</f>
        <v/>
      </c>
      <c r="AU97" s="53"/>
      <c r="AV97" s="53"/>
      <c r="AW97" s="29"/>
      <c r="AX97" s="65"/>
      <c r="AY97" s="64"/>
      <c r="AZ97" s="28" t="str">
        <f aca="false">IF(OR(Tasks[[#This Row],[Task Name]]="",Tasks[[#This Row],[Baseline Duration]]=""),"",Tasks[[#This Row],[BL Source Duration]]-N(Tasks[[#This Row],[Baseline Duration]]))</f>
        <v/>
      </c>
      <c r="BA97" s="62" t="str">
        <f aca="false">IF(OR(Tasks[[#This Row],[Task Name]]="",Tasks[[#This Row],[Baseline Work]]=""),"",Tasks[[#This Row],[Work]]-N(Tasks[[#This Row],[Baseline Work]]))</f>
        <v/>
      </c>
      <c r="BB97" s="63" t="str">
        <f aca="false">IF(OR(Tasks[[#This Row],[Task Name]]="",Tasks[[#This Row],[Baseline Cost]]=""),"",Tasks[[#This Row],[Cost]]-N(Tasks[[#This Row],[Baseline Cost]]))</f>
        <v/>
      </c>
      <c r="BC9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7" s="43" t="str">
        <f aca="false">IF(Tasks[[#This Row],[Task Name]]="","",MAX(1,N(Tasks[[#This Row],[Level]])))</f>
        <v/>
      </c>
      <c r="BH97" s="43" t="n">
        <f aca="false">ROW()-ROW(Tasks[[#Headers],[ID]])</f>
        <v>92</v>
      </c>
      <c r="BI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7" s="43" t="n">
        <f aca="false">IFERROR(N(INDEX(Tasks[_Level],Tasks[[#This Row],[_Row]]+1)),0)</f>
        <v>0</v>
      </c>
      <c r="BK97" s="66" t="b">
        <f aca="false">AND(Tasks[[#This Row],[Task Name]]&lt;&gt;"",Tasks[[#This Row],[_NextLevel]]&gt;Tasks[[#This Row],[_Level]])</f>
        <v>0</v>
      </c>
      <c r="BL97" s="43" t="n">
        <f aca="false">IF(Tasks[[#This Row],[_IsSummary]],COUNTIF(Tasks[WBS],Tasks[[#This Row],[WBS]]&amp;".*"),0)</f>
        <v>0</v>
      </c>
      <c r="BM97" s="43" t="n">
        <f aca="false">IF(AND(Tasks[[#This Row],[Task Name]]&lt;&gt;"",NOT(Tasks[[#This Row],[_IsSummary]])),1,0)</f>
        <v>0</v>
      </c>
      <c r="BN97" s="43" t="n">
        <f aca="false">IF(N(Tasks[[#This Row],[Pred1 UID]])=0,0,IFERROR(MATCH(Tasks[[#This Row],[Pred1 UID]],Tasks[UID],0),-1))</f>
        <v>0</v>
      </c>
      <c r="BO97" s="43" t="n">
        <f aca="false">IF(N(Tasks[[#This Row],[Pred2 UID]])=0,0,IFERROR(MATCH(Tasks[[#This Row],[Pred2 UID]],Tasks[UID],0),-1))</f>
        <v>0</v>
      </c>
      <c r="BP9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7" s="43" t="n">
        <f aca="false">IF(NOT(Tasks[[#This Row],[_IsLeaf]]=1),0,IF(N(Tasks[[#This Row],[Actual Finish]])&gt;0,1,MIN(1,N(Tasks[[#This Row],[% Complete]]))))</f>
        <v>0</v>
      </c>
      <c r="BU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7" s="43" t="n">
        <f aca="false">IF(Tasks[[#This Row],[_LeafWork]]=0,0,Tasks[[#This Row],[_LeafWork]]*IFERROR(INDEX(res_Rate,MATCH(Tasks[[#This Row],[Resource]],res_Name,0)),0))</f>
        <v>0</v>
      </c>
      <c r="BW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7" s="43" t="n">
        <f aca="false">IF(NOT(Tasks[[#This Row],[_IsLeaf]]=1),0,MAX(_xlfn.MAXIFS(Tasks[_Row],Tasks[Pred1 UID],Tasks[[#This Row],[UID]]),_xlfn.MAXIFS(Tasks[_Row],Tasks[Pred2 UID],Tasks[[#This Row],[UID]])))</f>
        <v>0</v>
      </c>
      <c r="CB9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7" s="67" t="str">
        <f aca="false">IF(NOT(Tasks[[#This Row],[_IsLeaf]]=1),"",MIN(ProjectFinish,IF(N(Tasks[[#This Row],[Deadline]])&gt;0,Tasks[[#This Row],[Deadline]],2958465),Tasks[[#This Row],[_SuccessorFinishLimit]]))</f>
        <v/>
      </c>
      <c r="CD9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7" s="66" t="b">
        <f aca="false">AND(Tasks[[#This Row],[_IsLeaf]]=1,Tasks[[#This Row],[_LeafProgress]]&lt;1,N(Tasks[[#This Row],[_LeafTotalSlack]])&lt;=CriticalSlackDays)</f>
        <v>0</v>
      </c>
      <c r="CG9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7" s="43" t="n">
        <f aca="false">IF(AND(Tasks[[#This Row],[_IsLeaf]]=1,Tasks[[#This Row],[_LeafWork]]&gt;0),NETWORKDAYS.INTL(ProjectStart,Tasks[[#This Row],[_LeafFcstStart]],WorkWeek,Holidays),0)</f>
        <v>0</v>
      </c>
      <c r="CP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7" s="43" t="n">
        <f aca="false">IF(AND(Tasks[[#This Row],[_IsLeaf]]=1,Tasks[[#This Row],[_LeafWork]]&gt;0),Tasks[[#This Row],[_LeafWork]]/(Tasks[[#This Row],[_FinishWorkday]]-Tasks[[#This Row],[_StartWorkday]]+1),0)</f>
        <v>0</v>
      </c>
      <c r="CR97" s="43" t="n">
        <f aca="false">Tasks[[#This Row],[_WorkPerWorkday]]*(Tasks[[#This Row],[_StartWorkday]]-1)</f>
        <v>-0</v>
      </c>
      <c r="CS97" s="43" t="n">
        <f aca="false">IF(Tasks[[#This Row],[_IsLeaf]]=1,MAX(N(Tasks[[#This Row],[Duration]]),0.1),0)</f>
        <v>0</v>
      </c>
      <c r="CT97" s="43" t="n">
        <f aca="false">Tasks[[#This Row],[_WeightDur]]*Tasks[[#This Row],[_LeafProgress]]</f>
        <v>0</v>
      </c>
      <c r="CU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7" s="43" t="str">
        <f aca="false">IF(AND(Tasks[[#This Row],[_IsLeaf]]=1,N(Tasks[[#This Row],[Duration]])=0,Tasks[[#This Row],[_LeafProgress]]&lt;1),Tasks[[#This Row],[_LeafFcstFinish]]+Tasks[[#This Row],[_Row]]/100000,"")</f>
        <v/>
      </c>
      <c r="DA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7" s="43" t="n">
        <f aca="false">IF(NOT(Tasks[[#This Row],[_IsLeaf]]=1),0,IF(Tasks[[#This Row],[Baseline Cost]]="",Tasks[[#This Row],[_LeafCost]],N(Tasks[[#This Row],[Baseline Cost]])))</f>
        <v>0</v>
      </c>
      <c r="DC97" s="43" t="n">
        <f aca="false">Tasks[[#This Row],[_LeafBudget]]*Tasks[[#This Row],[_PlannedPct]]</f>
        <v>0</v>
      </c>
      <c r="DD97" s="43" t="n">
        <f aca="false">Tasks[[#This Row],[_LeafBudget]]*Tasks[[#This Row],[_LeafProgress]]</f>
        <v>0</v>
      </c>
      <c r="DE97" s="43" t="n">
        <f aca="false">IF(NOT(Tasks[[#This Row],[_IsLeaf]]=1),0,IF(Tasks[[#This Row],[Actual Cost]]="",Tasks[[#This Row],[_LeafCost]]*Tasks[[#This Row],[_LeafProgress]],N(Tasks[[#This Row],[Actual Cost]])))</f>
        <v>0</v>
      </c>
      <c r="DF97" s="43" t="str">
        <f aca="false">IF(Tasks[[#This Row],[Task Name]]="","",LEFT(Tasks[[#This Row],[WBS]],FIND(".",Tasks[[#This Row],[WBS]]&amp;".")-1))</f>
        <v/>
      </c>
      <c r="DG97" s="43" t="str">
        <f aca="false">IF(AND(Tasks[[#This Row],[Task Name]]&lt;&gt;"",Tasks[[#This Row],[_Level]]=1),Tasks[[#This Row],[_Row]],"")</f>
        <v/>
      </c>
      <c r="DH97" s="43" t="str">
        <f aca="false">IF(AND(Tasks[[#This Row],[_IsLeaf]]=1,N(Tasks[[#This Row],[Duration]])=0),Tasks[[#This Row],[Planned Finish]]+Tasks[[#This Row],[_Row]]/100000,"")</f>
        <v/>
      </c>
      <c r="DI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7" s="43" t="str">
        <f aca="false">IF(Tasks[[#This Row],[_LeafCritical]],Tasks[[#This Row],[_LeafFcstStart]]+Tasks[[#This Row],[_Row]]/100000,"")</f>
        <v/>
      </c>
    </row>
    <row r="98" customFormat="false" ht="15" hidden="false" customHeight="false" outlineLevel="0" collapsed="false">
      <c r="A98" s="28" t="str">
        <f aca="false">IF(Tasks[[#This Row],[Task Name]]="","",COUNTA(Tasks[[#Headers],[Task Name]]:Tasks[[#This Row],[Task Name]])-1)</f>
        <v/>
      </c>
      <c r="B98" s="29" t="n">
        <v>93</v>
      </c>
      <c r="C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29"/>
      <c r="E98" s="30"/>
      <c r="F98" s="29"/>
      <c r="G98" s="29"/>
      <c r="H98" s="29"/>
      <c r="I98" s="29"/>
      <c r="J98" s="29"/>
      <c r="K98" s="29"/>
      <c r="L98" s="29"/>
      <c r="M98" s="29"/>
      <c r="N98" s="53"/>
      <c r="O98" s="53"/>
      <c r="P98" s="25" t="str">
        <f aca="false">IF(Tasks[[#This Row],[Task Name]]="","",IF(N(Tasks[[#This Row],[Baseline Start]])&gt;0,Tasks[[#This Row],[Baseline Start]],Tasks[[#This Row],[_CalcStart]]))</f>
        <v/>
      </c>
      <c r="Q98" s="25" t="str">
        <f aca="false">IF(Tasks[[#This Row],[Task Name]]="","",IF(N(Tasks[[#This Row],[Baseline Finish]])&gt;0,Tasks[[#This Row],[Baseline Finish]],Tasks[[#This Row],[_CalcFinish]]))</f>
        <v/>
      </c>
      <c r="R98" s="53"/>
      <c r="S98" s="53"/>
      <c r="T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55"/>
      <c r="AF9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30"/>
      <c r="AI98" s="55"/>
      <c r="AJ9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64"/>
      <c r="AM9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8" s="30"/>
      <c r="AP98" s="25" t="str">
        <f aca="false">IF(Tasks[[#This Row],[Task Name]]="","",Tasks[[#This Row],[Forecast Start]])</f>
        <v/>
      </c>
      <c r="AQ98" s="25" t="str">
        <f aca="false">IF(Tasks[[#This Row],[Task Name]]="","",Tasks[[#This Row],[Forecast Finish]])</f>
        <v/>
      </c>
      <c r="AR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8" s="62" t="str">
        <f aca="false">IF(Tasks[[#This Row],[Task Name]]="","",Tasks[[#This Row],[Work]])</f>
        <v/>
      </c>
      <c r="AT98" s="63" t="str">
        <f aca="false">IF(Tasks[[#This Row],[Task Name]]="","",Tasks[[#This Row],[Cost]])</f>
        <v/>
      </c>
      <c r="AU98" s="53"/>
      <c r="AV98" s="53"/>
      <c r="AW98" s="29"/>
      <c r="AX98" s="65"/>
      <c r="AY98" s="64"/>
      <c r="AZ98" s="28" t="str">
        <f aca="false">IF(OR(Tasks[[#This Row],[Task Name]]="",Tasks[[#This Row],[Baseline Duration]]=""),"",Tasks[[#This Row],[BL Source Duration]]-N(Tasks[[#This Row],[Baseline Duration]]))</f>
        <v/>
      </c>
      <c r="BA98" s="62" t="str">
        <f aca="false">IF(OR(Tasks[[#This Row],[Task Name]]="",Tasks[[#This Row],[Baseline Work]]=""),"",Tasks[[#This Row],[Work]]-N(Tasks[[#This Row],[Baseline Work]]))</f>
        <v/>
      </c>
      <c r="BB98" s="63" t="str">
        <f aca="false">IF(OR(Tasks[[#This Row],[Task Name]]="",Tasks[[#This Row],[Baseline Cost]]=""),"",Tasks[[#This Row],[Cost]]-N(Tasks[[#This Row],[Baseline Cost]]))</f>
        <v/>
      </c>
      <c r="BC9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8" s="43" t="str">
        <f aca="false">IF(Tasks[[#This Row],[Task Name]]="","",MAX(1,N(Tasks[[#This Row],[Level]])))</f>
        <v/>
      </c>
      <c r="BH98" s="43" t="n">
        <f aca="false">ROW()-ROW(Tasks[[#Headers],[ID]])</f>
        <v>93</v>
      </c>
      <c r="BI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8" s="43" t="n">
        <f aca="false">IFERROR(N(INDEX(Tasks[_Level],Tasks[[#This Row],[_Row]]+1)),0)</f>
        <v>0</v>
      </c>
      <c r="BK98" s="66" t="b">
        <f aca="false">AND(Tasks[[#This Row],[Task Name]]&lt;&gt;"",Tasks[[#This Row],[_NextLevel]]&gt;Tasks[[#This Row],[_Level]])</f>
        <v>0</v>
      </c>
      <c r="BL98" s="43" t="n">
        <f aca="false">IF(Tasks[[#This Row],[_IsSummary]],COUNTIF(Tasks[WBS],Tasks[[#This Row],[WBS]]&amp;".*"),0)</f>
        <v>0</v>
      </c>
      <c r="BM98" s="43" t="n">
        <f aca="false">IF(AND(Tasks[[#This Row],[Task Name]]&lt;&gt;"",NOT(Tasks[[#This Row],[_IsSummary]])),1,0)</f>
        <v>0</v>
      </c>
      <c r="BN98" s="43" t="n">
        <f aca="false">IF(N(Tasks[[#This Row],[Pred1 UID]])=0,0,IFERROR(MATCH(Tasks[[#This Row],[Pred1 UID]],Tasks[UID],0),-1))</f>
        <v>0</v>
      </c>
      <c r="BO98" s="43" t="n">
        <f aca="false">IF(N(Tasks[[#This Row],[Pred2 UID]])=0,0,IFERROR(MATCH(Tasks[[#This Row],[Pred2 UID]],Tasks[UID],0),-1))</f>
        <v>0</v>
      </c>
      <c r="BP9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8" s="43" t="n">
        <f aca="false">IF(NOT(Tasks[[#This Row],[_IsLeaf]]=1),0,IF(N(Tasks[[#This Row],[Actual Finish]])&gt;0,1,MIN(1,N(Tasks[[#This Row],[% Complete]]))))</f>
        <v>0</v>
      </c>
      <c r="BU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8" s="43" t="n">
        <f aca="false">IF(Tasks[[#This Row],[_LeafWork]]=0,0,Tasks[[#This Row],[_LeafWork]]*IFERROR(INDEX(res_Rate,MATCH(Tasks[[#This Row],[Resource]],res_Name,0)),0))</f>
        <v>0</v>
      </c>
      <c r="BW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8" s="43" t="n">
        <f aca="false">IF(NOT(Tasks[[#This Row],[_IsLeaf]]=1),0,MAX(_xlfn.MAXIFS(Tasks[_Row],Tasks[Pred1 UID],Tasks[[#This Row],[UID]]),_xlfn.MAXIFS(Tasks[_Row],Tasks[Pred2 UID],Tasks[[#This Row],[UID]])))</f>
        <v>0</v>
      </c>
      <c r="CB9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8" s="67" t="str">
        <f aca="false">IF(NOT(Tasks[[#This Row],[_IsLeaf]]=1),"",MIN(ProjectFinish,IF(N(Tasks[[#This Row],[Deadline]])&gt;0,Tasks[[#This Row],[Deadline]],2958465),Tasks[[#This Row],[_SuccessorFinishLimit]]))</f>
        <v/>
      </c>
      <c r="CD9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8" s="66" t="b">
        <f aca="false">AND(Tasks[[#This Row],[_IsLeaf]]=1,Tasks[[#This Row],[_LeafProgress]]&lt;1,N(Tasks[[#This Row],[_LeafTotalSlack]])&lt;=CriticalSlackDays)</f>
        <v>0</v>
      </c>
      <c r="CG9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8" s="43" t="n">
        <f aca="false">IF(AND(Tasks[[#This Row],[_IsLeaf]]=1,Tasks[[#This Row],[_LeafWork]]&gt;0),NETWORKDAYS.INTL(ProjectStart,Tasks[[#This Row],[_LeafFcstStart]],WorkWeek,Holidays),0)</f>
        <v>0</v>
      </c>
      <c r="CP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8" s="43" t="n">
        <f aca="false">IF(AND(Tasks[[#This Row],[_IsLeaf]]=1,Tasks[[#This Row],[_LeafWork]]&gt;0),Tasks[[#This Row],[_LeafWork]]/(Tasks[[#This Row],[_FinishWorkday]]-Tasks[[#This Row],[_StartWorkday]]+1),0)</f>
        <v>0</v>
      </c>
      <c r="CR98" s="43" t="n">
        <f aca="false">Tasks[[#This Row],[_WorkPerWorkday]]*(Tasks[[#This Row],[_StartWorkday]]-1)</f>
        <v>-0</v>
      </c>
      <c r="CS98" s="43" t="n">
        <f aca="false">IF(Tasks[[#This Row],[_IsLeaf]]=1,MAX(N(Tasks[[#This Row],[Duration]]),0.1),0)</f>
        <v>0</v>
      </c>
      <c r="CT98" s="43" t="n">
        <f aca="false">Tasks[[#This Row],[_WeightDur]]*Tasks[[#This Row],[_LeafProgress]]</f>
        <v>0</v>
      </c>
      <c r="CU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8" s="43" t="str">
        <f aca="false">IF(AND(Tasks[[#This Row],[_IsLeaf]]=1,N(Tasks[[#This Row],[Duration]])=0,Tasks[[#This Row],[_LeafProgress]]&lt;1),Tasks[[#This Row],[_LeafFcstFinish]]+Tasks[[#This Row],[_Row]]/100000,"")</f>
        <v/>
      </c>
      <c r="DA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8" s="43" t="n">
        <f aca="false">IF(NOT(Tasks[[#This Row],[_IsLeaf]]=1),0,IF(Tasks[[#This Row],[Baseline Cost]]="",Tasks[[#This Row],[_LeafCost]],N(Tasks[[#This Row],[Baseline Cost]])))</f>
        <v>0</v>
      </c>
      <c r="DC98" s="43" t="n">
        <f aca="false">Tasks[[#This Row],[_LeafBudget]]*Tasks[[#This Row],[_PlannedPct]]</f>
        <v>0</v>
      </c>
      <c r="DD98" s="43" t="n">
        <f aca="false">Tasks[[#This Row],[_LeafBudget]]*Tasks[[#This Row],[_LeafProgress]]</f>
        <v>0</v>
      </c>
      <c r="DE98" s="43" t="n">
        <f aca="false">IF(NOT(Tasks[[#This Row],[_IsLeaf]]=1),0,IF(Tasks[[#This Row],[Actual Cost]]="",Tasks[[#This Row],[_LeafCost]]*Tasks[[#This Row],[_LeafProgress]],N(Tasks[[#This Row],[Actual Cost]])))</f>
        <v>0</v>
      </c>
      <c r="DF98" s="43" t="str">
        <f aca="false">IF(Tasks[[#This Row],[Task Name]]="","",LEFT(Tasks[[#This Row],[WBS]],FIND(".",Tasks[[#This Row],[WBS]]&amp;".")-1))</f>
        <v/>
      </c>
      <c r="DG98" s="43" t="str">
        <f aca="false">IF(AND(Tasks[[#This Row],[Task Name]]&lt;&gt;"",Tasks[[#This Row],[_Level]]=1),Tasks[[#This Row],[_Row]],"")</f>
        <v/>
      </c>
      <c r="DH98" s="43" t="str">
        <f aca="false">IF(AND(Tasks[[#This Row],[_IsLeaf]]=1,N(Tasks[[#This Row],[Duration]])=0),Tasks[[#This Row],[Planned Finish]]+Tasks[[#This Row],[_Row]]/100000,"")</f>
        <v/>
      </c>
      <c r="DI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8" s="43" t="str">
        <f aca="false">IF(Tasks[[#This Row],[_LeafCritical]],Tasks[[#This Row],[_LeafFcstStart]]+Tasks[[#This Row],[_Row]]/100000,"")</f>
        <v/>
      </c>
    </row>
    <row r="99" customFormat="false" ht="15" hidden="false" customHeight="false" outlineLevel="0" collapsed="false">
      <c r="A99" s="28" t="str">
        <f aca="false">IF(Tasks[[#This Row],[Task Name]]="","",COUNTA(Tasks[[#Headers],[Task Name]]:Tasks[[#This Row],[Task Name]])-1)</f>
        <v/>
      </c>
      <c r="B99" s="29" t="n">
        <v>94</v>
      </c>
      <c r="C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29"/>
      <c r="E99" s="30"/>
      <c r="F99" s="29"/>
      <c r="G99" s="29"/>
      <c r="H99" s="29"/>
      <c r="I99" s="29"/>
      <c r="J99" s="29"/>
      <c r="K99" s="29"/>
      <c r="L99" s="29"/>
      <c r="M99" s="29"/>
      <c r="N99" s="53"/>
      <c r="O99" s="53"/>
      <c r="P99" s="25" t="str">
        <f aca="false">IF(Tasks[[#This Row],[Task Name]]="","",IF(N(Tasks[[#This Row],[Baseline Start]])&gt;0,Tasks[[#This Row],[Baseline Start]],Tasks[[#This Row],[_CalcStart]]))</f>
        <v/>
      </c>
      <c r="Q99" s="25" t="str">
        <f aca="false">IF(Tasks[[#This Row],[Task Name]]="","",IF(N(Tasks[[#This Row],[Baseline Finish]])&gt;0,Tasks[[#This Row],[Baseline Finish]],Tasks[[#This Row],[_CalcFinish]]))</f>
        <v/>
      </c>
      <c r="R99" s="53"/>
      <c r="S99" s="53"/>
      <c r="T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55"/>
      <c r="AF9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30"/>
      <c r="AI99" s="55"/>
      <c r="AJ9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64"/>
      <c r="AM9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99" s="30"/>
      <c r="AP99" s="25" t="str">
        <f aca="false">IF(Tasks[[#This Row],[Task Name]]="","",Tasks[[#This Row],[Forecast Start]])</f>
        <v/>
      </c>
      <c r="AQ99" s="25" t="str">
        <f aca="false">IF(Tasks[[#This Row],[Task Name]]="","",Tasks[[#This Row],[Forecast Finish]])</f>
        <v/>
      </c>
      <c r="AR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99" s="62" t="str">
        <f aca="false">IF(Tasks[[#This Row],[Task Name]]="","",Tasks[[#This Row],[Work]])</f>
        <v/>
      </c>
      <c r="AT99" s="63" t="str">
        <f aca="false">IF(Tasks[[#This Row],[Task Name]]="","",Tasks[[#This Row],[Cost]])</f>
        <v/>
      </c>
      <c r="AU99" s="53"/>
      <c r="AV99" s="53"/>
      <c r="AW99" s="29"/>
      <c r="AX99" s="65"/>
      <c r="AY99" s="64"/>
      <c r="AZ99" s="28" t="str">
        <f aca="false">IF(OR(Tasks[[#This Row],[Task Name]]="",Tasks[[#This Row],[Baseline Duration]]=""),"",Tasks[[#This Row],[BL Source Duration]]-N(Tasks[[#This Row],[Baseline Duration]]))</f>
        <v/>
      </c>
      <c r="BA99" s="62" t="str">
        <f aca="false">IF(OR(Tasks[[#This Row],[Task Name]]="",Tasks[[#This Row],[Baseline Work]]=""),"",Tasks[[#This Row],[Work]]-N(Tasks[[#This Row],[Baseline Work]]))</f>
        <v/>
      </c>
      <c r="BB99" s="63" t="str">
        <f aca="false">IF(OR(Tasks[[#This Row],[Task Name]]="",Tasks[[#This Row],[Baseline Cost]]=""),"",Tasks[[#This Row],[Cost]]-N(Tasks[[#This Row],[Baseline Cost]]))</f>
        <v/>
      </c>
      <c r="BC9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9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9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9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99" s="43" t="str">
        <f aca="false">IF(Tasks[[#This Row],[Task Name]]="","",MAX(1,N(Tasks[[#This Row],[Level]])))</f>
        <v/>
      </c>
      <c r="BH99" s="43" t="n">
        <f aca="false">ROW()-ROW(Tasks[[#Headers],[ID]])</f>
        <v>94</v>
      </c>
      <c r="BI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99" s="43" t="n">
        <f aca="false">IFERROR(N(INDEX(Tasks[_Level],Tasks[[#This Row],[_Row]]+1)),0)</f>
        <v>0</v>
      </c>
      <c r="BK99" s="66" t="b">
        <f aca="false">AND(Tasks[[#This Row],[Task Name]]&lt;&gt;"",Tasks[[#This Row],[_NextLevel]]&gt;Tasks[[#This Row],[_Level]])</f>
        <v>0</v>
      </c>
      <c r="BL99" s="43" t="n">
        <f aca="false">IF(Tasks[[#This Row],[_IsSummary]],COUNTIF(Tasks[WBS],Tasks[[#This Row],[WBS]]&amp;".*"),0)</f>
        <v>0</v>
      </c>
      <c r="BM99" s="43" t="n">
        <f aca="false">IF(AND(Tasks[[#This Row],[Task Name]]&lt;&gt;"",NOT(Tasks[[#This Row],[_IsSummary]])),1,0)</f>
        <v>0</v>
      </c>
      <c r="BN99" s="43" t="n">
        <f aca="false">IF(N(Tasks[[#This Row],[Pred1 UID]])=0,0,IFERROR(MATCH(Tasks[[#This Row],[Pred1 UID]],Tasks[UID],0),-1))</f>
        <v>0</v>
      </c>
      <c r="BO99" s="43" t="n">
        <f aca="false">IF(N(Tasks[[#This Row],[Pred2 UID]])=0,0,IFERROR(MATCH(Tasks[[#This Row],[Pred2 UID]],Tasks[UID],0),-1))</f>
        <v>0</v>
      </c>
      <c r="BP9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9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9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9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99" s="43" t="n">
        <f aca="false">IF(NOT(Tasks[[#This Row],[_IsLeaf]]=1),0,IF(N(Tasks[[#This Row],[Actual Finish]])&gt;0,1,MIN(1,N(Tasks[[#This Row],[% Complete]]))))</f>
        <v>0</v>
      </c>
      <c r="BU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99" s="43" t="n">
        <f aca="false">IF(Tasks[[#This Row],[_LeafWork]]=0,0,Tasks[[#This Row],[_LeafWork]]*IFERROR(INDEX(res_Rate,MATCH(Tasks[[#This Row],[Resource]],res_Name,0)),0))</f>
        <v>0</v>
      </c>
      <c r="BW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99" s="43" t="n">
        <f aca="false">IF(NOT(Tasks[[#This Row],[_IsLeaf]]=1),0,MAX(_xlfn.MAXIFS(Tasks[_Row],Tasks[Pred1 UID],Tasks[[#This Row],[UID]]),_xlfn.MAXIFS(Tasks[_Row],Tasks[Pred2 UID],Tasks[[#This Row],[UID]])))</f>
        <v>0</v>
      </c>
      <c r="CB9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99" s="67" t="str">
        <f aca="false">IF(NOT(Tasks[[#This Row],[_IsLeaf]]=1),"",MIN(ProjectFinish,IF(N(Tasks[[#This Row],[Deadline]])&gt;0,Tasks[[#This Row],[Deadline]],2958465),Tasks[[#This Row],[_SuccessorFinishLimit]]))</f>
        <v/>
      </c>
      <c r="CD9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99" s="66" t="b">
        <f aca="false">AND(Tasks[[#This Row],[_IsLeaf]]=1,Tasks[[#This Row],[_LeafProgress]]&lt;1,N(Tasks[[#This Row],[_LeafTotalSlack]])&lt;=CriticalSlackDays)</f>
        <v>0</v>
      </c>
      <c r="CG9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9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9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9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9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9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99" s="43" t="n">
        <f aca="false">IF(AND(Tasks[[#This Row],[_IsLeaf]]=1,Tasks[[#This Row],[_LeafWork]]&gt;0),NETWORKDAYS.INTL(ProjectStart,Tasks[[#This Row],[_LeafFcstStart]],WorkWeek,Holidays),0)</f>
        <v>0</v>
      </c>
      <c r="CP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99" s="43" t="n">
        <f aca="false">IF(AND(Tasks[[#This Row],[_IsLeaf]]=1,Tasks[[#This Row],[_LeafWork]]&gt;0),Tasks[[#This Row],[_LeafWork]]/(Tasks[[#This Row],[_FinishWorkday]]-Tasks[[#This Row],[_StartWorkday]]+1),0)</f>
        <v>0</v>
      </c>
      <c r="CR99" s="43" t="n">
        <f aca="false">Tasks[[#This Row],[_WorkPerWorkday]]*(Tasks[[#This Row],[_StartWorkday]]-1)</f>
        <v>-0</v>
      </c>
      <c r="CS99" s="43" t="n">
        <f aca="false">IF(Tasks[[#This Row],[_IsLeaf]]=1,MAX(N(Tasks[[#This Row],[Duration]]),0.1),0)</f>
        <v>0</v>
      </c>
      <c r="CT99" s="43" t="n">
        <f aca="false">Tasks[[#This Row],[_WeightDur]]*Tasks[[#This Row],[_LeafProgress]]</f>
        <v>0</v>
      </c>
      <c r="CU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99" s="43" t="str">
        <f aca="false">IF(AND(Tasks[[#This Row],[_IsLeaf]]=1,N(Tasks[[#This Row],[Duration]])=0,Tasks[[#This Row],[_LeafProgress]]&lt;1),Tasks[[#This Row],[_LeafFcstFinish]]+Tasks[[#This Row],[_Row]]/100000,"")</f>
        <v/>
      </c>
      <c r="DA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99" s="43" t="n">
        <f aca="false">IF(NOT(Tasks[[#This Row],[_IsLeaf]]=1),0,IF(Tasks[[#This Row],[Baseline Cost]]="",Tasks[[#This Row],[_LeafCost]],N(Tasks[[#This Row],[Baseline Cost]])))</f>
        <v>0</v>
      </c>
      <c r="DC99" s="43" t="n">
        <f aca="false">Tasks[[#This Row],[_LeafBudget]]*Tasks[[#This Row],[_PlannedPct]]</f>
        <v>0</v>
      </c>
      <c r="DD99" s="43" t="n">
        <f aca="false">Tasks[[#This Row],[_LeafBudget]]*Tasks[[#This Row],[_LeafProgress]]</f>
        <v>0</v>
      </c>
      <c r="DE99" s="43" t="n">
        <f aca="false">IF(NOT(Tasks[[#This Row],[_IsLeaf]]=1),0,IF(Tasks[[#This Row],[Actual Cost]]="",Tasks[[#This Row],[_LeafCost]]*Tasks[[#This Row],[_LeafProgress]],N(Tasks[[#This Row],[Actual Cost]])))</f>
        <v>0</v>
      </c>
      <c r="DF99" s="43" t="str">
        <f aca="false">IF(Tasks[[#This Row],[Task Name]]="","",LEFT(Tasks[[#This Row],[WBS]],FIND(".",Tasks[[#This Row],[WBS]]&amp;".")-1))</f>
        <v/>
      </c>
      <c r="DG99" s="43" t="str">
        <f aca="false">IF(AND(Tasks[[#This Row],[Task Name]]&lt;&gt;"",Tasks[[#This Row],[_Level]]=1),Tasks[[#This Row],[_Row]],"")</f>
        <v/>
      </c>
      <c r="DH99" s="43" t="str">
        <f aca="false">IF(AND(Tasks[[#This Row],[_IsLeaf]]=1,N(Tasks[[#This Row],[Duration]])=0),Tasks[[#This Row],[Planned Finish]]+Tasks[[#This Row],[_Row]]/100000,"")</f>
        <v/>
      </c>
      <c r="DI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99" s="43" t="str">
        <f aca="false">IF(Tasks[[#This Row],[_LeafCritical]],Tasks[[#This Row],[_LeafFcstStart]]+Tasks[[#This Row],[_Row]]/100000,"")</f>
        <v/>
      </c>
    </row>
    <row r="100" customFormat="false" ht="15" hidden="false" customHeight="false" outlineLevel="0" collapsed="false">
      <c r="A100" s="28" t="str">
        <f aca="false">IF(Tasks[[#This Row],[Task Name]]="","",COUNTA(Tasks[[#Headers],[Task Name]]:Tasks[[#This Row],[Task Name]])-1)</f>
        <v/>
      </c>
      <c r="B100" s="29" t="n">
        <v>95</v>
      </c>
      <c r="C1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29"/>
      <c r="E100" s="30"/>
      <c r="F100" s="29"/>
      <c r="G100" s="29"/>
      <c r="H100" s="29"/>
      <c r="I100" s="29"/>
      <c r="J100" s="29"/>
      <c r="K100" s="29"/>
      <c r="L100" s="29"/>
      <c r="M100" s="29"/>
      <c r="N100" s="53"/>
      <c r="O100" s="53"/>
      <c r="P100" s="25" t="str">
        <f aca="false">IF(Tasks[[#This Row],[Task Name]]="","",IF(N(Tasks[[#This Row],[Baseline Start]])&gt;0,Tasks[[#This Row],[Baseline Start]],Tasks[[#This Row],[_CalcStart]]))</f>
        <v/>
      </c>
      <c r="Q100" s="25" t="str">
        <f aca="false">IF(Tasks[[#This Row],[Task Name]]="","",IF(N(Tasks[[#This Row],[Baseline Finish]])&gt;0,Tasks[[#This Row],[Baseline Finish]],Tasks[[#This Row],[_CalcFinish]]))</f>
        <v/>
      </c>
      <c r="R100" s="53"/>
      <c r="S100" s="53"/>
      <c r="T1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55"/>
      <c r="AF10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30"/>
      <c r="AI100" s="55"/>
      <c r="AJ10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64"/>
      <c r="AM10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0" s="30"/>
      <c r="AP100" s="25" t="str">
        <f aca="false">IF(Tasks[[#This Row],[Task Name]]="","",Tasks[[#This Row],[Forecast Start]])</f>
        <v/>
      </c>
      <c r="AQ100" s="25" t="str">
        <f aca="false">IF(Tasks[[#This Row],[Task Name]]="","",Tasks[[#This Row],[Forecast Finish]])</f>
        <v/>
      </c>
      <c r="AR1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0" s="62" t="str">
        <f aca="false">IF(Tasks[[#This Row],[Task Name]]="","",Tasks[[#This Row],[Work]])</f>
        <v/>
      </c>
      <c r="AT100" s="63" t="str">
        <f aca="false">IF(Tasks[[#This Row],[Task Name]]="","",Tasks[[#This Row],[Cost]])</f>
        <v/>
      </c>
      <c r="AU100" s="53"/>
      <c r="AV100" s="53"/>
      <c r="AW100" s="29"/>
      <c r="AX100" s="65"/>
      <c r="AY100" s="64"/>
      <c r="AZ100" s="28" t="str">
        <f aca="false">IF(OR(Tasks[[#This Row],[Task Name]]="",Tasks[[#This Row],[Baseline Duration]]=""),"",Tasks[[#This Row],[BL Source Duration]]-N(Tasks[[#This Row],[Baseline Duration]]))</f>
        <v/>
      </c>
      <c r="BA100" s="62" t="str">
        <f aca="false">IF(OR(Tasks[[#This Row],[Task Name]]="",Tasks[[#This Row],[Baseline Work]]=""),"",Tasks[[#This Row],[Work]]-N(Tasks[[#This Row],[Baseline Work]]))</f>
        <v/>
      </c>
      <c r="BB100" s="63" t="str">
        <f aca="false">IF(OR(Tasks[[#This Row],[Task Name]]="",Tasks[[#This Row],[Baseline Cost]]=""),"",Tasks[[#This Row],[Cost]]-N(Tasks[[#This Row],[Baseline Cost]]))</f>
        <v/>
      </c>
      <c r="BC10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0" s="43" t="str">
        <f aca="false">IF(Tasks[[#This Row],[Task Name]]="","",MAX(1,N(Tasks[[#This Row],[Level]])))</f>
        <v/>
      </c>
      <c r="BH100" s="43" t="n">
        <f aca="false">ROW()-ROW(Tasks[[#Headers],[ID]])</f>
        <v>95</v>
      </c>
      <c r="BI1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0" s="43" t="n">
        <f aca="false">IFERROR(N(INDEX(Tasks[_Level],Tasks[[#This Row],[_Row]]+1)),0)</f>
        <v>0</v>
      </c>
      <c r="BK100" s="66" t="b">
        <f aca="false">AND(Tasks[[#This Row],[Task Name]]&lt;&gt;"",Tasks[[#This Row],[_NextLevel]]&gt;Tasks[[#This Row],[_Level]])</f>
        <v>0</v>
      </c>
      <c r="BL100" s="43" t="n">
        <f aca="false">IF(Tasks[[#This Row],[_IsSummary]],COUNTIF(Tasks[WBS],Tasks[[#This Row],[WBS]]&amp;".*"),0)</f>
        <v>0</v>
      </c>
      <c r="BM100" s="43" t="n">
        <f aca="false">IF(AND(Tasks[[#This Row],[Task Name]]&lt;&gt;"",NOT(Tasks[[#This Row],[_IsSummary]])),1,0)</f>
        <v>0</v>
      </c>
      <c r="BN100" s="43" t="n">
        <f aca="false">IF(N(Tasks[[#This Row],[Pred1 UID]])=0,0,IFERROR(MATCH(Tasks[[#This Row],[Pred1 UID]],Tasks[UID],0),-1))</f>
        <v>0</v>
      </c>
      <c r="BO100" s="43" t="n">
        <f aca="false">IF(N(Tasks[[#This Row],[Pred2 UID]])=0,0,IFERROR(MATCH(Tasks[[#This Row],[Pred2 UID]],Tasks[UID],0),-1))</f>
        <v>0</v>
      </c>
      <c r="BP10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0" s="43" t="n">
        <f aca="false">IF(NOT(Tasks[[#This Row],[_IsLeaf]]=1),0,IF(N(Tasks[[#This Row],[Actual Finish]])&gt;0,1,MIN(1,N(Tasks[[#This Row],[% Complete]]))))</f>
        <v>0</v>
      </c>
      <c r="BU1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0" s="43" t="n">
        <f aca="false">IF(Tasks[[#This Row],[_LeafWork]]=0,0,Tasks[[#This Row],[_LeafWork]]*IFERROR(INDEX(res_Rate,MATCH(Tasks[[#This Row],[Resource]],res_Name,0)),0))</f>
        <v>0</v>
      </c>
      <c r="BW1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0" s="43" t="n">
        <f aca="false">IF(NOT(Tasks[[#This Row],[_IsLeaf]]=1),0,MAX(_xlfn.MAXIFS(Tasks[_Row],Tasks[Pred1 UID],Tasks[[#This Row],[UID]]),_xlfn.MAXIFS(Tasks[_Row],Tasks[Pred2 UID],Tasks[[#This Row],[UID]])))</f>
        <v>0</v>
      </c>
      <c r="CB10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0" s="67" t="str">
        <f aca="false">IF(NOT(Tasks[[#This Row],[_IsLeaf]]=1),"",MIN(ProjectFinish,IF(N(Tasks[[#This Row],[Deadline]])&gt;0,Tasks[[#This Row],[Deadline]],2958465),Tasks[[#This Row],[_SuccessorFinishLimit]]))</f>
        <v/>
      </c>
      <c r="CD10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0" s="66" t="b">
        <f aca="false">AND(Tasks[[#This Row],[_IsLeaf]]=1,Tasks[[#This Row],[_LeafProgress]]&lt;1,N(Tasks[[#This Row],[_LeafTotalSlack]])&lt;=CriticalSlackDays)</f>
        <v>0</v>
      </c>
      <c r="CG10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0" s="43" t="n">
        <f aca="false">IF(AND(Tasks[[#This Row],[_IsLeaf]]=1,Tasks[[#This Row],[_LeafWork]]&gt;0),NETWORKDAYS.INTL(ProjectStart,Tasks[[#This Row],[_LeafFcstStart]],WorkWeek,Holidays),0)</f>
        <v>0</v>
      </c>
      <c r="CP1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0" s="43" t="n">
        <f aca="false">IF(AND(Tasks[[#This Row],[_IsLeaf]]=1,Tasks[[#This Row],[_LeafWork]]&gt;0),Tasks[[#This Row],[_LeafWork]]/(Tasks[[#This Row],[_FinishWorkday]]-Tasks[[#This Row],[_StartWorkday]]+1),0)</f>
        <v>0</v>
      </c>
      <c r="CR100" s="43" t="n">
        <f aca="false">Tasks[[#This Row],[_WorkPerWorkday]]*(Tasks[[#This Row],[_StartWorkday]]-1)</f>
        <v>-0</v>
      </c>
      <c r="CS100" s="43" t="n">
        <f aca="false">IF(Tasks[[#This Row],[_IsLeaf]]=1,MAX(N(Tasks[[#This Row],[Duration]]),0.1),0)</f>
        <v>0</v>
      </c>
      <c r="CT100" s="43" t="n">
        <f aca="false">Tasks[[#This Row],[_WeightDur]]*Tasks[[#This Row],[_LeafProgress]]</f>
        <v>0</v>
      </c>
      <c r="CU1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0" s="43" t="str">
        <f aca="false">IF(AND(Tasks[[#This Row],[_IsLeaf]]=1,N(Tasks[[#This Row],[Duration]])=0,Tasks[[#This Row],[_LeafProgress]]&lt;1),Tasks[[#This Row],[_LeafFcstFinish]]+Tasks[[#This Row],[_Row]]/100000,"")</f>
        <v/>
      </c>
      <c r="DA1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0" s="43" t="n">
        <f aca="false">IF(NOT(Tasks[[#This Row],[_IsLeaf]]=1),0,IF(Tasks[[#This Row],[Baseline Cost]]="",Tasks[[#This Row],[_LeafCost]],N(Tasks[[#This Row],[Baseline Cost]])))</f>
        <v>0</v>
      </c>
      <c r="DC100" s="43" t="n">
        <f aca="false">Tasks[[#This Row],[_LeafBudget]]*Tasks[[#This Row],[_PlannedPct]]</f>
        <v>0</v>
      </c>
      <c r="DD100" s="43" t="n">
        <f aca="false">Tasks[[#This Row],[_LeafBudget]]*Tasks[[#This Row],[_LeafProgress]]</f>
        <v>0</v>
      </c>
      <c r="DE100" s="43" t="n">
        <f aca="false">IF(NOT(Tasks[[#This Row],[_IsLeaf]]=1),0,IF(Tasks[[#This Row],[Actual Cost]]="",Tasks[[#This Row],[_LeafCost]]*Tasks[[#This Row],[_LeafProgress]],N(Tasks[[#This Row],[Actual Cost]])))</f>
        <v>0</v>
      </c>
      <c r="DF100" s="43" t="str">
        <f aca="false">IF(Tasks[[#This Row],[Task Name]]="","",LEFT(Tasks[[#This Row],[WBS]],FIND(".",Tasks[[#This Row],[WBS]]&amp;".")-1))</f>
        <v/>
      </c>
      <c r="DG100" s="43" t="str">
        <f aca="false">IF(AND(Tasks[[#This Row],[Task Name]]&lt;&gt;"",Tasks[[#This Row],[_Level]]=1),Tasks[[#This Row],[_Row]],"")</f>
        <v/>
      </c>
      <c r="DH100" s="43" t="str">
        <f aca="false">IF(AND(Tasks[[#This Row],[_IsLeaf]]=1,N(Tasks[[#This Row],[Duration]])=0),Tasks[[#This Row],[Planned Finish]]+Tasks[[#This Row],[_Row]]/100000,"")</f>
        <v/>
      </c>
      <c r="DI1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0" s="43" t="str">
        <f aca="false">IF(Tasks[[#This Row],[_LeafCritical]],Tasks[[#This Row],[_LeafFcstStart]]+Tasks[[#This Row],[_Row]]/100000,"")</f>
        <v/>
      </c>
    </row>
    <row r="101" customFormat="false" ht="15" hidden="false" customHeight="false" outlineLevel="0" collapsed="false">
      <c r="A101" s="28" t="str">
        <f aca="false">IF(Tasks[[#This Row],[Task Name]]="","",COUNTA(Tasks[[#Headers],[Task Name]]:Tasks[[#This Row],[Task Name]])-1)</f>
        <v/>
      </c>
      <c r="B101" s="29" t="n">
        <v>96</v>
      </c>
      <c r="C1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29"/>
      <c r="E101" s="30"/>
      <c r="F101" s="29"/>
      <c r="G101" s="29"/>
      <c r="H101" s="29"/>
      <c r="I101" s="29"/>
      <c r="J101" s="29"/>
      <c r="K101" s="29"/>
      <c r="L101" s="29"/>
      <c r="M101" s="29"/>
      <c r="N101" s="53"/>
      <c r="O101" s="53"/>
      <c r="P101" s="25" t="str">
        <f aca="false">IF(Tasks[[#This Row],[Task Name]]="","",IF(N(Tasks[[#This Row],[Baseline Start]])&gt;0,Tasks[[#This Row],[Baseline Start]],Tasks[[#This Row],[_CalcStart]]))</f>
        <v/>
      </c>
      <c r="Q101" s="25" t="str">
        <f aca="false">IF(Tasks[[#This Row],[Task Name]]="","",IF(N(Tasks[[#This Row],[Baseline Finish]])&gt;0,Tasks[[#This Row],[Baseline Finish]],Tasks[[#This Row],[_CalcFinish]]))</f>
        <v/>
      </c>
      <c r="R101" s="53"/>
      <c r="S101" s="53"/>
      <c r="T1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55"/>
      <c r="AF10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30"/>
      <c r="AI101" s="55"/>
      <c r="AJ10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64"/>
      <c r="AM10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1" s="30"/>
      <c r="AP101" s="25" t="str">
        <f aca="false">IF(Tasks[[#This Row],[Task Name]]="","",Tasks[[#This Row],[Forecast Start]])</f>
        <v/>
      </c>
      <c r="AQ101" s="25" t="str">
        <f aca="false">IF(Tasks[[#This Row],[Task Name]]="","",Tasks[[#This Row],[Forecast Finish]])</f>
        <v/>
      </c>
      <c r="AR1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1" s="62" t="str">
        <f aca="false">IF(Tasks[[#This Row],[Task Name]]="","",Tasks[[#This Row],[Work]])</f>
        <v/>
      </c>
      <c r="AT101" s="63" t="str">
        <f aca="false">IF(Tasks[[#This Row],[Task Name]]="","",Tasks[[#This Row],[Cost]])</f>
        <v/>
      </c>
      <c r="AU101" s="53"/>
      <c r="AV101" s="53"/>
      <c r="AW101" s="29"/>
      <c r="AX101" s="65"/>
      <c r="AY101" s="64"/>
      <c r="AZ101" s="28" t="str">
        <f aca="false">IF(OR(Tasks[[#This Row],[Task Name]]="",Tasks[[#This Row],[Baseline Duration]]=""),"",Tasks[[#This Row],[BL Source Duration]]-N(Tasks[[#This Row],[Baseline Duration]]))</f>
        <v/>
      </c>
      <c r="BA101" s="62" t="str">
        <f aca="false">IF(OR(Tasks[[#This Row],[Task Name]]="",Tasks[[#This Row],[Baseline Work]]=""),"",Tasks[[#This Row],[Work]]-N(Tasks[[#This Row],[Baseline Work]]))</f>
        <v/>
      </c>
      <c r="BB101" s="63" t="str">
        <f aca="false">IF(OR(Tasks[[#This Row],[Task Name]]="",Tasks[[#This Row],[Baseline Cost]]=""),"",Tasks[[#This Row],[Cost]]-N(Tasks[[#This Row],[Baseline Cost]]))</f>
        <v/>
      </c>
      <c r="BC10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1" s="43" t="str">
        <f aca="false">IF(Tasks[[#This Row],[Task Name]]="","",MAX(1,N(Tasks[[#This Row],[Level]])))</f>
        <v/>
      </c>
      <c r="BH101" s="43" t="n">
        <f aca="false">ROW()-ROW(Tasks[[#Headers],[ID]])</f>
        <v>96</v>
      </c>
      <c r="BI1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1" s="43" t="n">
        <f aca="false">IFERROR(N(INDEX(Tasks[_Level],Tasks[[#This Row],[_Row]]+1)),0)</f>
        <v>0</v>
      </c>
      <c r="BK101" s="66" t="b">
        <f aca="false">AND(Tasks[[#This Row],[Task Name]]&lt;&gt;"",Tasks[[#This Row],[_NextLevel]]&gt;Tasks[[#This Row],[_Level]])</f>
        <v>0</v>
      </c>
      <c r="BL101" s="43" t="n">
        <f aca="false">IF(Tasks[[#This Row],[_IsSummary]],COUNTIF(Tasks[WBS],Tasks[[#This Row],[WBS]]&amp;".*"),0)</f>
        <v>0</v>
      </c>
      <c r="BM101" s="43" t="n">
        <f aca="false">IF(AND(Tasks[[#This Row],[Task Name]]&lt;&gt;"",NOT(Tasks[[#This Row],[_IsSummary]])),1,0)</f>
        <v>0</v>
      </c>
      <c r="BN101" s="43" t="n">
        <f aca="false">IF(N(Tasks[[#This Row],[Pred1 UID]])=0,0,IFERROR(MATCH(Tasks[[#This Row],[Pred1 UID]],Tasks[UID],0),-1))</f>
        <v>0</v>
      </c>
      <c r="BO101" s="43" t="n">
        <f aca="false">IF(N(Tasks[[#This Row],[Pred2 UID]])=0,0,IFERROR(MATCH(Tasks[[#This Row],[Pred2 UID]],Tasks[UID],0),-1))</f>
        <v>0</v>
      </c>
      <c r="BP10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1" s="43" t="n">
        <f aca="false">IF(NOT(Tasks[[#This Row],[_IsLeaf]]=1),0,IF(N(Tasks[[#This Row],[Actual Finish]])&gt;0,1,MIN(1,N(Tasks[[#This Row],[% Complete]]))))</f>
        <v>0</v>
      </c>
      <c r="BU1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1" s="43" t="n">
        <f aca="false">IF(Tasks[[#This Row],[_LeafWork]]=0,0,Tasks[[#This Row],[_LeafWork]]*IFERROR(INDEX(res_Rate,MATCH(Tasks[[#This Row],[Resource]],res_Name,0)),0))</f>
        <v>0</v>
      </c>
      <c r="BW1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1" s="43" t="n">
        <f aca="false">IF(NOT(Tasks[[#This Row],[_IsLeaf]]=1),0,MAX(_xlfn.MAXIFS(Tasks[_Row],Tasks[Pred1 UID],Tasks[[#This Row],[UID]]),_xlfn.MAXIFS(Tasks[_Row],Tasks[Pred2 UID],Tasks[[#This Row],[UID]])))</f>
        <v>0</v>
      </c>
      <c r="CB10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1" s="67" t="str">
        <f aca="false">IF(NOT(Tasks[[#This Row],[_IsLeaf]]=1),"",MIN(ProjectFinish,IF(N(Tasks[[#This Row],[Deadline]])&gt;0,Tasks[[#This Row],[Deadline]],2958465),Tasks[[#This Row],[_SuccessorFinishLimit]]))</f>
        <v/>
      </c>
      <c r="CD10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1" s="66" t="b">
        <f aca="false">AND(Tasks[[#This Row],[_IsLeaf]]=1,Tasks[[#This Row],[_LeafProgress]]&lt;1,N(Tasks[[#This Row],[_LeafTotalSlack]])&lt;=CriticalSlackDays)</f>
        <v>0</v>
      </c>
      <c r="CG10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1" s="43" t="n">
        <f aca="false">IF(AND(Tasks[[#This Row],[_IsLeaf]]=1,Tasks[[#This Row],[_LeafWork]]&gt;0),NETWORKDAYS.INTL(ProjectStart,Tasks[[#This Row],[_LeafFcstStart]],WorkWeek,Holidays),0)</f>
        <v>0</v>
      </c>
      <c r="CP1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1" s="43" t="n">
        <f aca="false">IF(AND(Tasks[[#This Row],[_IsLeaf]]=1,Tasks[[#This Row],[_LeafWork]]&gt;0),Tasks[[#This Row],[_LeafWork]]/(Tasks[[#This Row],[_FinishWorkday]]-Tasks[[#This Row],[_StartWorkday]]+1),0)</f>
        <v>0</v>
      </c>
      <c r="CR101" s="43" t="n">
        <f aca="false">Tasks[[#This Row],[_WorkPerWorkday]]*(Tasks[[#This Row],[_StartWorkday]]-1)</f>
        <v>-0</v>
      </c>
      <c r="CS101" s="43" t="n">
        <f aca="false">IF(Tasks[[#This Row],[_IsLeaf]]=1,MAX(N(Tasks[[#This Row],[Duration]]),0.1),0)</f>
        <v>0</v>
      </c>
      <c r="CT101" s="43" t="n">
        <f aca="false">Tasks[[#This Row],[_WeightDur]]*Tasks[[#This Row],[_LeafProgress]]</f>
        <v>0</v>
      </c>
      <c r="CU1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1" s="43" t="str">
        <f aca="false">IF(AND(Tasks[[#This Row],[_IsLeaf]]=1,N(Tasks[[#This Row],[Duration]])=0,Tasks[[#This Row],[_LeafProgress]]&lt;1),Tasks[[#This Row],[_LeafFcstFinish]]+Tasks[[#This Row],[_Row]]/100000,"")</f>
        <v/>
      </c>
      <c r="DA1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1" s="43" t="n">
        <f aca="false">IF(NOT(Tasks[[#This Row],[_IsLeaf]]=1),0,IF(Tasks[[#This Row],[Baseline Cost]]="",Tasks[[#This Row],[_LeafCost]],N(Tasks[[#This Row],[Baseline Cost]])))</f>
        <v>0</v>
      </c>
      <c r="DC101" s="43" t="n">
        <f aca="false">Tasks[[#This Row],[_LeafBudget]]*Tasks[[#This Row],[_PlannedPct]]</f>
        <v>0</v>
      </c>
      <c r="DD101" s="43" t="n">
        <f aca="false">Tasks[[#This Row],[_LeafBudget]]*Tasks[[#This Row],[_LeafProgress]]</f>
        <v>0</v>
      </c>
      <c r="DE101" s="43" t="n">
        <f aca="false">IF(NOT(Tasks[[#This Row],[_IsLeaf]]=1),0,IF(Tasks[[#This Row],[Actual Cost]]="",Tasks[[#This Row],[_LeafCost]]*Tasks[[#This Row],[_LeafProgress]],N(Tasks[[#This Row],[Actual Cost]])))</f>
        <v>0</v>
      </c>
      <c r="DF101" s="43" t="str">
        <f aca="false">IF(Tasks[[#This Row],[Task Name]]="","",LEFT(Tasks[[#This Row],[WBS]],FIND(".",Tasks[[#This Row],[WBS]]&amp;".")-1))</f>
        <v/>
      </c>
      <c r="DG101" s="43" t="str">
        <f aca="false">IF(AND(Tasks[[#This Row],[Task Name]]&lt;&gt;"",Tasks[[#This Row],[_Level]]=1),Tasks[[#This Row],[_Row]],"")</f>
        <v/>
      </c>
      <c r="DH101" s="43" t="str">
        <f aca="false">IF(AND(Tasks[[#This Row],[_IsLeaf]]=1,N(Tasks[[#This Row],[Duration]])=0),Tasks[[#This Row],[Planned Finish]]+Tasks[[#This Row],[_Row]]/100000,"")</f>
        <v/>
      </c>
      <c r="DI1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1" s="43" t="str">
        <f aca="false">IF(Tasks[[#This Row],[_LeafCritical]],Tasks[[#This Row],[_LeafFcstStart]]+Tasks[[#This Row],[_Row]]/100000,"")</f>
        <v/>
      </c>
    </row>
    <row r="102" customFormat="false" ht="15" hidden="false" customHeight="false" outlineLevel="0" collapsed="false">
      <c r="A102" s="28" t="str">
        <f aca="false">IF(Tasks[[#This Row],[Task Name]]="","",COUNTA(Tasks[[#Headers],[Task Name]]:Tasks[[#This Row],[Task Name]])-1)</f>
        <v/>
      </c>
      <c r="B102" s="29" t="n">
        <v>97</v>
      </c>
      <c r="C1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29"/>
      <c r="E102" s="30"/>
      <c r="F102" s="29"/>
      <c r="G102" s="29"/>
      <c r="H102" s="29"/>
      <c r="I102" s="29"/>
      <c r="J102" s="29"/>
      <c r="K102" s="29"/>
      <c r="L102" s="29"/>
      <c r="M102" s="29"/>
      <c r="N102" s="53"/>
      <c r="O102" s="53"/>
      <c r="P102" s="25" t="str">
        <f aca="false">IF(Tasks[[#This Row],[Task Name]]="","",IF(N(Tasks[[#This Row],[Baseline Start]])&gt;0,Tasks[[#This Row],[Baseline Start]],Tasks[[#This Row],[_CalcStart]]))</f>
        <v/>
      </c>
      <c r="Q102" s="25" t="str">
        <f aca="false">IF(Tasks[[#This Row],[Task Name]]="","",IF(N(Tasks[[#This Row],[Baseline Finish]])&gt;0,Tasks[[#This Row],[Baseline Finish]],Tasks[[#This Row],[_CalcFinish]]))</f>
        <v/>
      </c>
      <c r="R102" s="53"/>
      <c r="S102" s="53"/>
      <c r="T1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55"/>
      <c r="AF10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30"/>
      <c r="AI102" s="55"/>
      <c r="AJ10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64"/>
      <c r="AM10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2" s="30"/>
      <c r="AP102" s="25" t="str">
        <f aca="false">IF(Tasks[[#This Row],[Task Name]]="","",Tasks[[#This Row],[Forecast Start]])</f>
        <v/>
      </c>
      <c r="AQ102" s="25" t="str">
        <f aca="false">IF(Tasks[[#This Row],[Task Name]]="","",Tasks[[#This Row],[Forecast Finish]])</f>
        <v/>
      </c>
      <c r="AR1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2" s="62" t="str">
        <f aca="false">IF(Tasks[[#This Row],[Task Name]]="","",Tasks[[#This Row],[Work]])</f>
        <v/>
      </c>
      <c r="AT102" s="63" t="str">
        <f aca="false">IF(Tasks[[#This Row],[Task Name]]="","",Tasks[[#This Row],[Cost]])</f>
        <v/>
      </c>
      <c r="AU102" s="53"/>
      <c r="AV102" s="53"/>
      <c r="AW102" s="29"/>
      <c r="AX102" s="65"/>
      <c r="AY102" s="64"/>
      <c r="AZ102" s="28" t="str">
        <f aca="false">IF(OR(Tasks[[#This Row],[Task Name]]="",Tasks[[#This Row],[Baseline Duration]]=""),"",Tasks[[#This Row],[BL Source Duration]]-N(Tasks[[#This Row],[Baseline Duration]]))</f>
        <v/>
      </c>
      <c r="BA102" s="62" t="str">
        <f aca="false">IF(OR(Tasks[[#This Row],[Task Name]]="",Tasks[[#This Row],[Baseline Work]]=""),"",Tasks[[#This Row],[Work]]-N(Tasks[[#This Row],[Baseline Work]]))</f>
        <v/>
      </c>
      <c r="BB102" s="63" t="str">
        <f aca="false">IF(OR(Tasks[[#This Row],[Task Name]]="",Tasks[[#This Row],[Baseline Cost]]=""),"",Tasks[[#This Row],[Cost]]-N(Tasks[[#This Row],[Baseline Cost]]))</f>
        <v/>
      </c>
      <c r="BC10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2" s="43" t="str">
        <f aca="false">IF(Tasks[[#This Row],[Task Name]]="","",MAX(1,N(Tasks[[#This Row],[Level]])))</f>
        <v/>
      </c>
      <c r="BH102" s="43" t="n">
        <f aca="false">ROW()-ROW(Tasks[[#Headers],[ID]])</f>
        <v>97</v>
      </c>
      <c r="BI1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2" s="43" t="n">
        <f aca="false">IFERROR(N(INDEX(Tasks[_Level],Tasks[[#This Row],[_Row]]+1)),0)</f>
        <v>0</v>
      </c>
      <c r="BK102" s="66" t="b">
        <f aca="false">AND(Tasks[[#This Row],[Task Name]]&lt;&gt;"",Tasks[[#This Row],[_NextLevel]]&gt;Tasks[[#This Row],[_Level]])</f>
        <v>0</v>
      </c>
      <c r="BL102" s="43" t="n">
        <f aca="false">IF(Tasks[[#This Row],[_IsSummary]],COUNTIF(Tasks[WBS],Tasks[[#This Row],[WBS]]&amp;".*"),0)</f>
        <v>0</v>
      </c>
      <c r="BM102" s="43" t="n">
        <f aca="false">IF(AND(Tasks[[#This Row],[Task Name]]&lt;&gt;"",NOT(Tasks[[#This Row],[_IsSummary]])),1,0)</f>
        <v>0</v>
      </c>
      <c r="BN102" s="43" t="n">
        <f aca="false">IF(N(Tasks[[#This Row],[Pred1 UID]])=0,0,IFERROR(MATCH(Tasks[[#This Row],[Pred1 UID]],Tasks[UID],0),-1))</f>
        <v>0</v>
      </c>
      <c r="BO102" s="43" t="n">
        <f aca="false">IF(N(Tasks[[#This Row],[Pred2 UID]])=0,0,IFERROR(MATCH(Tasks[[#This Row],[Pred2 UID]],Tasks[UID],0),-1))</f>
        <v>0</v>
      </c>
      <c r="BP10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2" s="43" t="n">
        <f aca="false">IF(NOT(Tasks[[#This Row],[_IsLeaf]]=1),0,IF(N(Tasks[[#This Row],[Actual Finish]])&gt;0,1,MIN(1,N(Tasks[[#This Row],[% Complete]]))))</f>
        <v>0</v>
      </c>
      <c r="BU1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2" s="43" t="n">
        <f aca="false">IF(Tasks[[#This Row],[_LeafWork]]=0,0,Tasks[[#This Row],[_LeafWork]]*IFERROR(INDEX(res_Rate,MATCH(Tasks[[#This Row],[Resource]],res_Name,0)),0))</f>
        <v>0</v>
      </c>
      <c r="BW1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2" s="43" t="n">
        <f aca="false">IF(NOT(Tasks[[#This Row],[_IsLeaf]]=1),0,MAX(_xlfn.MAXIFS(Tasks[_Row],Tasks[Pred1 UID],Tasks[[#This Row],[UID]]),_xlfn.MAXIFS(Tasks[_Row],Tasks[Pred2 UID],Tasks[[#This Row],[UID]])))</f>
        <v>0</v>
      </c>
      <c r="CB10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2" s="67" t="str">
        <f aca="false">IF(NOT(Tasks[[#This Row],[_IsLeaf]]=1),"",MIN(ProjectFinish,IF(N(Tasks[[#This Row],[Deadline]])&gt;0,Tasks[[#This Row],[Deadline]],2958465),Tasks[[#This Row],[_SuccessorFinishLimit]]))</f>
        <v/>
      </c>
      <c r="CD10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2" s="66" t="b">
        <f aca="false">AND(Tasks[[#This Row],[_IsLeaf]]=1,Tasks[[#This Row],[_LeafProgress]]&lt;1,N(Tasks[[#This Row],[_LeafTotalSlack]])&lt;=CriticalSlackDays)</f>
        <v>0</v>
      </c>
      <c r="CG10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2" s="43" t="n">
        <f aca="false">IF(AND(Tasks[[#This Row],[_IsLeaf]]=1,Tasks[[#This Row],[_LeafWork]]&gt;0),NETWORKDAYS.INTL(ProjectStart,Tasks[[#This Row],[_LeafFcstStart]],WorkWeek,Holidays),0)</f>
        <v>0</v>
      </c>
      <c r="CP1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2" s="43" t="n">
        <f aca="false">IF(AND(Tasks[[#This Row],[_IsLeaf]]=1,Tasks[[#This Row],[_LeafWork]]&gt;0),Tasks[[#This Row],[_LeafWork]]/(Tasks[[#This Row],[_FinishWorkday]]-Tasks[[#This Row],[_StartWorkday]]+1),0)</f>
        <v>0</v>
      </c>
      <c r="CR102" s="43" t="n">
        <f aca="false">Tasks[[#This Row],[_WorkPerWorkday]]*(Tasks[[#This Row],[_StartWorkday]]-1)</f>
        <v>-0</v>
      </c>
      <c r="CS102" s="43" t="n">
        <f aca="false">IF(Tasks[[#This Row],[_IsLeaf]]=1,MAX(N(Tasks[[#This Row],[Duration]]),0.1),0)</f>
        <v>0</v>
      </c>
      <c r="CT102" s="43" t="n">
        <f aca="false">Tasks[[#This Row],[_WeightDur]]*Tasks[[#This Row],[_LeafProgress]]</f>
        <v>0</v>
      </c>
      <c r="CU1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2" s="43" t="str">
        <f aca="false">IF(AND(Tasks[[#This Row],[_IsLeaf]]=1,N(Tasks[[#This Row],[Duration]])=0,Tasks[[#This Row],[_LeafProgress]]&lt;1),Tasks[[#This Row],[_LeafFcstFinish]]+Tasks[[#This Row],[_Row]]/100000,"")</f>
        <v/>
      </c>
      <c r="DA1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2" s="43" t="n">
        <f aca="false">IF(NOT(Tasks[[#This Row],[_IsLeaf]]=1),0,IF(Tasks[[#This Row],[Baseline Cost]]="",Tasks[[#This Row],[_LeafCost]],N(Tasks[[#This Row],[Baseline Cost]])))</f>
        <v>0</v>
      </c>
      <c r="DC102" s="43" t="n">
        <f aca="false">Tasks[[#This Row],[_LeafBudget]]*Tasks[[#This Row],[_PlannedPct]]</f>
        <v>0</v>
      </c>
      <c r="DD102" s="43" t="n">
        <f aca="false">Tasks[[#This Row],[_LeafBudget]]*Tasks[[#This Row],[_LeafProgress]]</f>
        <v>0</v>
      </c>
      <c r="DE102" s="43" t="n">
        <f aca="false">IF(NOT(Tasks[[#This Row],[_IsLeaf]]=1),0,IF(Tasks[[#This Row],[Actual Cost]]="",Tasks[[#This Row],[_LeafCost]]*Tasks[[#This Row],[_LeafProgress]],N(Tasks[[#This Row],[Actual Cost]])))</f>
        <v>0</v>
      </c>
      <c r="DF102" s="43" t="str">
        <f aca="false">IF(Tasks[[#This Row],[Task Name]]="","",LEFT(Tasks[[#This Row],[WBS]],FIND(".",Tasks[[#This Row],[WBS]]&amp;".")-1))</f>
        <v/>
      </c>
      <c r="DG102" s="43" t="str">
        <f aca="false">IF(AND(Tasks[[#This Row],[Task Name]]&lt;&gt;"",Tasks[[#This Row],[_Level]]=1),Tasks[[#This Row],[_Row]],"")</f>
        <v/>
      </c>
      <c r="DH102" s="43" t="str">
        <f aca="false">IF(AND(Tasks[[#This Row],[_IsLeaf]]=1,N(Tasks[[#This Row],[Duration]])=0),Tasks[[#This Row],[Planned Finish]]+Tasks[[#This Row],[_Row]]/100000,"")</f>
        <v/>
      </c>
      <c r="DI1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2" s="43" t="str">
        <f aca="false">IF(Tasks[[#This Row],[_LeafCritical]],Tasks[[#This Row],[_LeafFcstStart]]+Tasks[[#This Row],[_Row]]/100000,"")</f>
        <v/>
      </c>
    </row>
    <row r="103" customFormat="false" ht="15" hidden="false" customHeight="false" outlineLevel="0" collapsed="false">
      <c r="A103" s="28" t="str">
        <f aca="false">IF(Tasks[[#This Row],[Task Name]]="","",COUNTA(Tasks[[#Headers],[Task Name]]:Tasks[[#This Row],[Task Name]])-1)</f>
        <v/>
      </c>
      <c r="B103" s="29" t="n">
        <v>98</v>
      </c>
      <c r="C1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29"/>
      <c r="E103" s="30"/>
      <c r="F103" s="29"/>
      <c r="G103" s="29"/>
      <c r="H103" s="29"/>
      <c r="I103" s="29"/>
      <c r="J103" s="29"/>
      <c r="K103" s="29"/>
      <c r="L103" s="29"/>
      <c r="M103" s="29"/>
      <c r="N103" s="53"/>
      <c r="O103" s="53"/>
      <c r="P103" s="25" t="str">
        <f aca="false">IF(Tasks[[#This Row],[Task Name]]="","",IF(N(Tasks[[#This Row],[Baseline Start]])&gt;0,Tasks[[#This Row],[Baseline Start]],Tasks[[#This Row],[_CalcStart]]))</f>
        <v/>
      </c>
      <c r="Q103" s="25" t="str">
        <f aca="false">IF(Tasks[[#This Row],[Task Name]]="","",IF(N(Tasks[[#This Row],[Baseline Finish]])&gt;0,Tasks[[#This Row],[Baseline Finish]],Tasks[[#This Row],[_CalcFinish]]))</f>
        <v/>
      </c>
      <c r="R103" s="53"/>
      <c r="S103" s="53"/>
      <c r="T1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55"/>
      <c r="AF10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30"/>
      <c r="AI103" s="55"/>
      <c r="AJ10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64"/>
      <c r="AM10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3" s="30"/>
      <c r="AP103" s="25" t="str">
        <f aca="false">IF(Tasks[[#This Row],[Task Name]]="","",Tasks[[#This Row],[Forecast Start]])</f>
        <v/>
      </c>
      <c r="AQ103" s="25" t="str">
        <f aca="false">IF(Tasks[[#This Row],[Task Name]]="","",Tasks[[#This Row],[Forecast Finish]])</f>
        <v/>
      </c>
      <c r="AR1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3" s="62" t="str">
        <f aca="false">IF(Tasks[[#This Row],[Task Name]]="","",Tasks[[#This Row],[Work]])</f>
        <v/>
      </c>
      <c r="AT103" s="63" t="str">
        <f aca="false">IF(Tasks[[#This Row],[Task Name]]="","",Tasks[[#This Row],[Cost]])</f>
        <v/>
      </c>
      <c r="AU103" s="53"/>
      <c r="AV103" s="53"/>
      <c r="AW103" s="29"/>
      <c r="AX103" s="65"/>
      <c r="AY103" s="64"/>
      <c r="AZ103" s="28" t="str">
        <f aca="false">IF(OR(Tasks[[#This Row],[Task Name]]="",Tasks[[#This Row],[Baseline Duration]]=""),"",Tasks[[#This Row],[BL Source Duration]]-N(Tasks[[#This Row],[Baseline Duration]]))</f>
        <v/>
      </c>
      <c r="BA103" s="62" t="str">
        <f aca="false">IF(OR(Tasks[[#This Row],[Task Name]]="",Tasks[[#This Row],[Baseline Work]]=""),"",Tasks[[#This Row],[Work]]-N(Tasks[[#This Row],[Baseline Work]]))</f>
        <v/>
      </c>
      <c r="BB103" s="63" t="str">
        <f aca="false">IF(OR(Tasks[[#This Row],[Task Name]]="",Tasks[[#This Row],[Baseline Cost]]=""),"",Tasks[[#This Row],[Cost]]-N(Tasks[[#This Row],[Baseline Cost]]))</f>
        <v/>
      </c>
      <c r="BC10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3" s="43" t="str">
        <f aca="false">IF(Tasks[[#This Row],[Task Name]]="","",MAX(1,N(Tasks[[#This Row],[Level]])))</f>
        <v/>
      </c>
      <c r="BH103" s="43" t="n">
        <f aca="false">ROW()-ROW(Tasks[[#Headers],[ID]])</f>
        <v>98</v>
      </c>
      <c r="BI1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3" s="43" t="n">
        <f aca="false">IFERROR(N(INDEX(Tasks[_Level],Tasks[[#This Row],[_Row]]+1)),0)</f>
        <v>0</v>
      </c>
      <c r="BK103" s="66" t="b">
        <f aca="false">AND(Tasks[[#This Row],[Task Name]]&lt;&gt;"",Tasks[[#This Row],[_NextLevel]]&gt;Tasks[[#This Row],[_Level]])</f>
        <v>0</v>
      </c>
      <c r="BL103" s="43" t="n">
        <f aca="false">IF(Tasks[[#This Row],[_IsSummary]],COUNTIF(Tasks[WBS],Tasks[[#This Row],[WBS]]&amp;".*"),0)</f>
        <v>0</v>
      </c>
      <c r="BM103" s="43" t="n">
        <f aca="false">IF(AND(Tasks[[#This Row],[Task Name]]&lt;&gt;"",NOT(Tasks[[#This Row],[_IsSummary]])),1,0)</f>
        <v>0</v>
      </c>
      <c r="BN103" s="43" t="n">
        <f aca="false">IF(N(Tasks[[#This Row],[Pred1 UID]])=0,0,IFERROR(MATCH(Tasks[[#This Row],[Pred1 UID]],Tasks[UID],0),-1))</f>
        <v>0</v>
      </c>
      <c r="BO103" s="43" t="n">
        <f aca="false">IF(N(Tasks[[#This Row],[Pred2 UID]])=0,0,IFERROR(MATCH(Tasks[[#This Row],[Pred2 UID]],Tasks[UID],0),-1))</f>
        <v>0</v>
      </c>
      <c r="BP10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3" s="43" t="n">
        <f aca="false">IF(NOT(Tasks[[#This Row],[_IsLeaf]]=1),0,IF(N(Tasks[[#This Row],[Actual Finish]])&gt;0,1,MIN(1,N(Tasks[[#This Row],[% Complete]]))))</f>
        <v>0</v>
      </c>
      <c r="BU1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3" s="43" t="n">
        <f aca="false">IF(Tasks[[#This Row],[_LeafWork]]=0,0,Tasks[[#This Row],[_LeafWork]]*IFERROR(INDEX(res_Rate,MATCH(Tasks[[#This Row],[Resource]],res_Name,0)),0))</f>
        <v>0</v>
      </c>
      <c r="BW1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3" s="43" t="n">
        <f aca="false">IF(NOT(Tasks[[#This Row],[_IsLeaf]]=1),0,MAX(_xlfn.MAXIFS(Tasks[_Row],Tasks[Pred1 UID],Tasks[[#This Row],[UID]]),_xlfn.MAXIFS(Tasks[_Row],Tasks[Pred2 UID],Tasks[[#This Row],[UID]])))</f>
        <v>0</v>
      </c>
      <c r="CB10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3" s="67" t="str">
        <f aca="false">IF(NOT(Tasks[[#This Row],[_IsLeaf]]=1),"",MIN(ProjectFinish,IF(N(Tasks[[#This Row],[Deadline]])&gt;0,Tasks[[#This Row],[Deadline]],2958465),Tasks[[#This Row],[_SuccessorFinishLimit]]))</f>
        <v/>
      </c>
      <c r="CD10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3" s="66" t="b">
        <f aca="false">AND(Tasks[[#This Row],[_IsLeaf]]=1,Tasks[[#This Row],[_LeafProgress]]&lt;1,N(Tasks[[#This Row],[_LeafTotalSlack]])&lt;=CriticalSlackDays)</f>
        <v>0</v>
      </c>
      <c r="CG10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3" s="43" t="n">
        <f aca="false">IF(AND(Tasks[[#This Row],[_IsLeaf]]=1,Tasks[[#This Row],[_LeafWork]]&gt;0),NETWORKDAYS.INTL(ProjectStart,Tasks[[#This Row],[_LeafFcstStart]],WorkWeek,Holidays),0)</f>
        <v>0</v>
      </c>
      <c r="CP1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3" s="43" t="n">
        <f aca="false">IF(AND(Tasks[[#This Row],[_IsLeaf]]=1,Tasks[[#This Row],[_LeafWork]]&gt;0),Tasks[[#This Row],[_LeafWork]]/(Tasks[[#This Row],[_FinishWorkday]]-Tasks[[#This Row],[_StartWorkday]]+1),0)</f>
        <v>0</v>
      </c>
      <c r="CR103" s="43" t="n">
        <f aca="false">Tasks[[#This Row],[_WorkPerWorkday]]*(Tasks[[#This Row],[_StartWorkday]]-1)</f>
        <v>-0</v>
      </c>
      <c r="CS103" s="43" t="n">
        <f aca="false">IF(Tasks[[#This Row],[_IsLeaf]]=1,MAX(N(Tasks[[#This Row],[Duration]]),0.1),0)</f>
        <v>0</v>
      </c>
      <c r="CT103" s="43" t="n">
        <f aca="false">Tasks[[#This Row],[_WeightDur]]*Tasks[[#This Row],[_LeafProgress]]</f>
        <v>0</v>
      </c>
      <c r="CU1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3" s="43" t="str">
        <f aca="false">IF(AND(Tasks[[#This Row],[_IsLeaf]]=1,N(Tasks[[#This Row],[Duration]])=0,Tasks[[#This Row],[_LeafProgress]]&lt;1),Tasks[[#This Row],[_LeafFcstFinish]]+Tasks[[#This Row],[_Row]]/100000,"")</f>
        <v/>
      </c>
      <c r="DA1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3" s="43" t="n">
        <f aca="false">IF(NOT(Tasks[[#This Row],[_IsLeaf]]=1),0,IF(Tasks[[#This Row],[Baseline Cost]]="",Tasks[[#This Row],[_LeafCost]],N(Tasks[[#This Row],[Baseline Cost]])))</f>
        <v>0</v>
      </c>
      <c r="DC103" s="43" t="n">
        <f aca="false">Tasks[[#This Row],[_LeafBudget]]*Tasks[[#This Row],[_PlannedPct]]</f>
        <v>0</v>
      </c>
      <c r="DD103" s="43" t="n">
        <f aca="false">Tasks[[#This Row],[_LeafBudget]]*Tasks[[#This Row],[_LeafProgress]]</f>
        <v>0</v>
      </c>
      <c r="DE103" s="43" t="n">
        <f aca="false">IF(NOT(Tasks[[#This Row],[_IsLeaf]]=1),0,IF(Tasks[[#This Row],[Actual Cost]]="",Tasks[[#This Row],[_LeafCost]]*Tasks[[#This Row],[_LeafProgress]],N(Tasks[[#This Row],[Actual Cost]])))</f>
        <v>0</v>
      </c>
      <c r="DF103" s="43" t="str">
        <f aca="false">IF(Tasks[[#This Row],[Task Name]]="","",LEFT(Tasks[[#This Row],[WBS]],FIND(".",Tasks[[#This Row],[WBS]]&amp;".")-1))</f>
        <v/>
      </c>
      <c r="DG103" s="43" t="str">
        <f aca="false">IF(AND(Tasks[[#This Row],[Task Name]]&lt;&gt;"",Tasks[[#This Row],[_Level]]=1),Tasks[[#This Row],[_Row]],"")</f>
        <v/>
      </c>
      <c r="DH103" s="43" t="str">
        <f aca="false">IF(AND(Tasks[[#This Row],[_IsLeaf]]=1,N(Tasks[[#This Row],[Duration]])=0),Tasks[[#This Row],[Planned Finish]]+Tasks[[#This Row],[_Row]]/100000,"")</f>
        <v/>
      </c>
      <c r="DI1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3" s="43" t="str">
        <f aca="false">IF(Tasks[[#This Row],[_LeafCritical]],Tasks[[#This Row],[_LeafFcstStart]]+Tasks[[#This Row],[_Row]]/100000,"")</f>
        <v/>
      </c>
    </row>
    <row r="104" customFormat="false" ht="15" hidden="false" customHeight="false" outlineLevel="0" collapsed="false">
      <c r="A104" s="28" t="str">
        <f aca="false">IF(Tasks[[#This Row],[Task Name]]="","",COUNTA(Tasks[[#Headers],[Task Name]]:Tasks[[#This Row],[Task Name]])-1)</f>
        <v/>
      </c>
      <c r="B104" s="29" t="n">
        <v>99</v>
      </c>
      <c r="C1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29"/>
      <c r="E104" s="30"/>
      <c r="F104" s="29"/>
      <c r="G104" s="29"/>
      <c r="H104" s="29"/>
      <c r="I104" s="29"/>
      <c r="J104" s="29"/>
      <c r="K104" s="29"/>
      <c r="L104" s="29"/>
      <c r="M104" s="29"/>
      <c r="N104" s="53"/>
      <c r="O104" s="53"/>
      <c r="P104" s="25" t="str">
        <f aca="false">IF(Tasks[[#This Row],[Task Name]]="","",IF(N(Tasks[[#This Row],[Baseline Start]])&gt;0,Tasks[[#This Row],[Baseline Start]],Tasks[[#This Row],[_CalcStart]]))</f>
        <v/>
      </c>
      <c r="Q104" s="25" t="str">
        <f aca="false">IF(Tasks[[#This Row],[Task Name]]="","",IF(N(Tasks[[#This Row],[Baseline Finish]])&gt;0,Tasks[[#This Row],[Baseline Finish]],Tasks[[#This Row],[_CalcFinish]]))</f>
        <v/>
      </c>
      <c r="R104" s="53"/>
      <c r="S104" s="53"/>
      <c r="T1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55"/>
      <c r="AF10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30"/>
      <c r="AI104" s="55"/>
      <c r="AJ10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64"/>
      <c r="AM10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4" s="30"/>
      <c r="AP104" s="25" t="str">
        <f aca="false">IF(Tasks[[#This Row],[Task Name]]="","",Tasks[[#This Row],[Forecast Start]])</f>
        <v/>
      </c>
      <c r="AQ104" s="25" t="str">
        <f aca="false">IF(Tasks[[#This Row],[Task Name]]="","",Tasks[[#This Row],[Forecast Finish]])</f>
        <v/>
      </c>
      <c r="AR1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4" s="62" t="str">
        <f aca="false">IF(Tasks[[#This Row],[Task Name]]="","",Tasks[[#This Row],[Work]])</f>
        <v/>
      </c>
      <c r="AT104" s="63" t="str">
        <f aca="false">IF(Tasks[[#This Row],[Task Name]]="","",Tasks[[#This Row],[Cost]])</f>
        <v/>
      </c>
      <c r="AU104" s="53"/>
      <c r="AV104" s="53"/>
      <c r="AW104" s="29"/>
      <c r="AX104" s="65"/>
      <c r="AY104" s="64"/>
      <c r="AZ104" s="28" t="str">
        <f aca="false">IF(OR(Tasks[[#This Row],[Task Name]]="",Tasks[[#This Row],[Baseline Duration]]=""),"",Tasks[[#This Row],[BL Source Duration]]-N(Tasks[[#This Row],[Baseline Duration]]))</f>
        <v/>
      </c>
      <c r="BA104" s="62" t="str">
        <f aca="false">IF(OR(Tasks[[#This Row],[Task Name]]="",Tasks[[#This Row],[Baseline Work]]=""),"",Tasks[[#This Row],[Work]]-N(Tasks[[#This Row],[Baseline Work]]))</f>
        <v/>
      </c>
      <c r="BB104" s="63" t="str">
        <f aca="false">IF(OR(Tasks[[#This Row],[Task Name]]="",Tasks[[#This Row],[Baseline Cost]]=""),"",Tasks[[#This Row],[Cost]]-N(Tasks[[#This Row],[Baseline Cost]]))</f>
        <v/>
      </c>
      <c r="BC10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4" s="43" t="str">
        <f aca="false">IF(Tasks[[#This Row],[Task Name]]="","",MAX(1,N(Tasks[[#This Row],[Level]])))</f>
        <v/>
      </c>
      <c r="BH104" s="43" t="n">
        <f aca="false">ROW()-ROW(Tasks[[#Headers],[ID]])</f>
        <v>99</v>
      </c>
      <c r="BI1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4" s="43" t="n">
        <f aca="false">IFERROR(N(INDEX(Tasks[_Level],Tasks[[#This Row],[_Row]]+1)),0)</f>
        <v>0</v>
      </c>
      <c r="BK104" s="66" t="b">
        <f aca="false">AND(Tasks[[#This Row],[Task Name]]&lt;&gt;"",Tasks[[#This Row],[_NextLevel]]&gt;Tasks[[#This Row],[_Level]])</f>
        <v>0</v>
      </c>
      <c r="BL104" s="43" t="n">
        <f aca="false">IF(Tasks[[#This Row],[_IsSummary]],COUNTIF(Tasks[WBS],Tasks[[#This Row],[WBS]]&amp;".*"),0)</f>
        <v>0</v>
      </c>
      <c r="BM104" s="43" t="n">
        <f aca="false">IF(AND(Tasks[[#This Row],[Task Name]]&lt;&gt;"",NOT(Tasks[[#This Row],[_IsSummary]])),1,0)</f>
        <v>0</v>
      </c>
      <c r="BN104" s="43" t="n">
        <f aca="false">IF(N(Tasks[[#This Row],[Pred1 UID]])=0,0,IFERROR(MATCH(Tasks[[#This Row],[Pred1 UID]],Tasks[UID],0),-1))</f>
        <v>0</v>
      </c>
      <c r="BO104" s="43" t="n">
        <f aca="false">IF(N(Tasks[[#This Row],[Pred2 UID]])=0,0,IFERROR(MATCH(Tasks[[#This Row],[Pred2 UID]],Tasks[UID],0),-1))</f>
        <v>0</v>
      </c>
      <c r="BP10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4" s="43" t="n">
        <f aca="false">IF(NOT(Tasks[[#This Row],[_IsLeaf]]=1),0,IF(N(Tasks[[#This Row],[Actual Finish]])&gt;0,1,MIN(1,N(Tasks[[#This Row],[% Complete]]))))</f>
        <v>0</v>
      </c>
      <c r="BU1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4" s="43" t="n">
        <f aca="false">IF(Tasks[[#This Row],[_LeafWork]]=0,0,Tasks[[#This Row],[_LeafWork]]*IFERROR(INDEX(res_Rate,MATCH(Tasks[[#This Row],[Resource]],res_Name,0)),0))</f>
        <v>0</v>
      </c>
      <c r="BW1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4" s="43" t="n">
        <f aca="false">IF(NOT(Tasks[[#This Row],[_IsLeaf]]=1),0,MAX(_xlfn.MAXIFS(Tasks[_Row],Tasks[Pred1 UID],Tasks[[#This Row],[UID]]),_xlfn.MAXIFS(Tasks[_Row],Tasks[Pred2 UID],Tasks[[#This Row],[UID]])))</f>
        <v>0</v>
      </c>
      <c r="CB10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4" s="67" t="str">
        <f aca="false">IF(NOT(Tasks[[#This Row],[_IsLeaf]]=1),"",MIN(ProjectFinish,IF(N(Tasks[[#This Row],[Deadline]])&gt;0,Tasks[[#This Row],[Deadline]],2958465),Tasks[[#This Row],[_SuccessorFinishLimit]]))</f>
        <v/>
      </c>
      <c r="CD10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4" s="66" t="b">
        <f aca="false">AND(Tasks[[#This Row],[_IsLeaf]]=1,Tasks[[#This Row],[_LeafProgress]]&lt;1,N(Tasks[[#This Row],[_LeafTotalSlack]])&lt;=CriticalSlackDays)</f>
        <v>0</v>
      </c>
      <c r="CG10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4" s="43" t="n">
        <f aca="false">IF(AND(Tasks[[#This Row],[_IsLeaf]]=1,Tasks[[#This Row],[_LeafWork]]&gt;0),NETWORKDAYS.INTL(ProjectStart,Tasks[[#This Row],[_LeafFcstStart]],WorkWeek,Holidays),0)</f>
        <v>0</v>
      </c>
      <c r="CP1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4" s="43" t="n">
        <f aca="false">IF(AND(Tasks[[#This Row],[_IsLeaf]]=1,Tasks[[#This Row],[_LeafWork]]&gt;0),Tasks[[#This Row],[_LeafWork]]/(Tasks[[#This Row],[_FinishWorkday]]-Tasks[[#This Row],[_StartWorkday]]+1),0)</f>
        <v>0</v>
      </c>
      <c r="CR104" s="43" t="n">
        <f aca="false">Tasks[[#This Row],[_WorkPerWorkday]]*(Tasks[[#This Row],[_StartWorkday]]-1)</f>
        <v>-0</v>
      </c>
      <c r="CS104" s="43" t="n">
        <f aca="false">IF(Tasks[[#This Row],[_IsLeaf]]=1,MAX(N(Tasks[[#This Row],[Duration]]),0.1),0)</f>
        <v>0</v>
      </c>
      <c r="CT104" s="43" t="n">
        <f aca="false">Tasks[[#This Row],[_WeightDur]]*Tasks[[#This Row],[_LeafProgress]]</f>
        <v>0</v>
      </c>
      <c r="CU1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4" s="43" t="str">
        <f aca="false">IF(AND(Tasks[[#This Row],[_IsLeaf]]=1,N(Tasks[[#This Row],[Duration]])=0,Tasks[[#This Row],[_LeafProgress]]&lt;1),Tasks[[#This Row],[_LeafFcstFinish]]+Tasks[[#This Row],[_Row]]/100000,"")</f>
        <v/>
      </c>
      <c r="DA1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4" s="43" t="n">
        <f aca="false">IF(NOT(Tasks[[#This Row],[_IsLeaf]]=1),0,IF(Tasks[[#This Row],[Baseline Cost]]="",Tasks[[#This Row],[_LeafCost]],N(Tasks[[#This Row],[Baseline Cost]])))</f>
        <v>0</v>
      </c>
      <c r="DC104" s="43" t="n">
        <f aca="false">Tasks[[#This Row],[_LeafBudget]]*Tasks[[#This Row],[_PlannedPct]]</f>
        <v>0</v>
      </c>
      <c r="DD104" s="43" t="n">
        <f aca="false">Tasks[[#This Row],[_LeafBudget]]*Tasks[[#This Row],[_LeafProgress]]</f>
        <v>0</v>
      </c>
      <c r="DE104" s="43" t="n">
        <f aca="false">IF(NOT(Tasks[[#This Row],[_IsLeaf]]=1),0,IF(Tasks[[#This Row],[Actual Cost]]="",Tasks[[#This Row],[_LeafCost]]*Tasks[[#This Row],[_LeafProgress]],N(Tasks[[#This Row],[Actual Cost]])))</f>
        <v>0</v>
      </c>
      <c r="DF104" s="43" t="str">
        <f aca="false">IF(Tasks[[#This Row],[Task Name]]="","",LEFT(Tasks[[#This Row],[WBS]],FIND(".",Tasks[[#This Row],[WBS]]&amp;".")-1))</f>
        <v/>
      </c>
      <c r="DG104" s="43" t="str">
        <f aca="false">IF(AND(Tasks[[#This Row],[Task Name]]&lt;&gt;"",Tasks[[#This Row],[_Level]]=1),Tasks[[#This Row],[_Row]],"")</f>
        <v/>
      </c>
      <c r="DH104" s="43" t="str">
        <f aca="false">IF(AND(Tasks[[#This Row],[_IsLeaf]]=1,N(Tasks[[#This Row],[Duration]])=0),Tasks[[#This Row],[Planned Finish]]+Tasks[[#This Row],[_Row]]/100000,"")</f>
        <v/>
      </c>
      <c r="DI1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4" s="43" t="str">
        <f aca="false">IF(Tasks[[#This Row],[_LeafCritical]],Tasks[[#This Row],[_LeafFcstStart]]+Tasks[[#This Row],[_Row]]/100000,"")</f>
        <v/>
      </c>
    </row>
    <row r="105" customFormat="false" ht="15" hidden="false" customHeight="false" outlineLevel="0" collapsed="false">
      <c r="A105" s="28" t="str">
        <f aca="false">IF(Tasks[[#This Row],[Task Name]]="","",COUNTA(Tasks[[#Headers],[Task Name]]:Tasks[[#This Row],[Task Name]])-1)</f>
        <v/>
      </c>
      <c r="B105" s="29" t="n">
        <v>100</v>
      </c>
      <c r="C1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29"/>
      <c r="E105" s="30"/>
      <c r="F105" s="29"/>
      <c r="G105" s="29"/>
      <c r="H105" s="29"/>
      <c r="I105" s="29"/>
      <c r="J105" s="29"/>
      <c r="K105" s="29"/>
      <c r="L105" s="29"/>
      <c r="M105" s="29"/>
      <c r="N105" s="53"/>
      <c r="O105" s="53"/>
      <c r="P105" s="25" t="str">
        <f aca="false">IF(Tasks[[#This Row],[Task Name]]="","",IF(N(Tasks[[#This Row],[Baseline Start]])&gt;0,Tasks[[#This Row],[Baseline Start]],Tasks[[#This Row],[_CalcStart]]))</f>
        <v/>
      </c>
      <c r="Q105" s="25" t="str">
        <f aca="false">IF(Tasks[[#This Row],[Task Name]]="","",IF(N(Tasks[[#This Row],[Baseline Finish]])&gt;0,Tasks[[#This Row],[Baseline Finish]],Tasks[[#This Row],[_CalcFinish]]))</f>
        <v/>
      </c>
      <c r="R105" s="53"/>
      <c r="S105" s="53"/>
      <c r="T1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55"/>
      <c r="AF10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30"/>
      <c r="AI105" s="55"/>
      <c r="AJ10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64"/>
      <c r="AM10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5" s="30"/>
      <c r="AP105" s="25" t="str">
        <f aca="false">IF(Tasks[[#This Row],[Task Name]]="","",Tasks[[#This Row],[Forecast Start]])</f>
        <v/>
      </c>
      <c r="AQ105" s="25" t="str">
        <f aca="false">IF(Tasks[[#This Row],[Task Name]]="","",Tasks[[#This Row],[Forecast Finish]])</f>
        <v/>
      </c>
      <c r="AR1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5" s="62" t="str">
        <f aca="false">IF(Tasks[[#This Row],[Task Name]]="","",Tasks[[#This Row],[Work]])</f>
        <v/>
      </c>
      <c r="AT105" s="63" t="str">
        <f aca="false">IF(Tasks[[#This Row],[Task Name]]="","",Tasks[[#This Row],[Cost]])</f>
        <v/>
      </c>
      <c r="AU105" s="53"/>
      <c r="AV105" s="53"/>
      <c r="AW105" s="29"/>
      <c r="AX105" s="65"/>
      <c r="AY105" s="64"/>
      <c r="AZ105" s="28" t="str">
        <f aca="false">IF(OR(Tasks[[#This Row],[Task Name]]="",Tasks[[#This Row],[Baseline Duration]]=""),"",Tasks[[#This Row],[BL Source Duration]]-N(Tasks[[#This Row],[Baseline Duration]]))</f>
        <v/>
      </c>
      <c r="BA105" s="62" t="str">
        <f aca="false">IF(OR(Tasks[[#This Row],[Task Name]]="",Tasks[[#This Row],[Baseline Work]]=""),"",Tasks[[#This Row],[Work]]-N(Tasks[[#This Row],[Baseline Work]]))</f>
        <v/>
      </c>
      <c r="BB105" s="63" t="str">
        <f aca="false">IF(OR(Tasks[[#This Row],[Task Name]]="",Tasks[[#This Row],[Baseline Cost]]=""),"",Tasks[[#This Row],[Cost]]-N(Tasks[[#This Row],[Baseline Cost]]))</f>
        <v/>
      </c>
      <c r="BC10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5" s="43" t="str">
        <f aca="false">IF(Tasks[[#This Row],[Task Name]]="","",MAX(1,N(Tasks[[#This Row],[Level]])))</f>
        <v/>
      </c>
      <c r="BH105" s="43" t="n">
        <f aca="false">ROW()-ROW(Tasks[[#Headers],[ID]])</f>
        <v>100</v>
      </c>
      <c r="BI1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5" s="43" t="n">
        <f aca="false">IFERROR(N(INDEX(Tasks[_Level],Tasks[[#This Row],[_Row]]+1)),0)</f>
        <v>0</v>
      </c>
      <c r="BK105" s="66" t="b">
        <f aca="false">AND(Tasks[[#This Row],[Task Name]]&lt;&gt;"",Tasks[[#This Row],[_NextLevel]]&gt;Tasks[[#This Row],[_Level]])</f>
        <v>0</v>
      </c>
      <c r="BL105" s="43" t="n">
        <f aca="false">IF(Tasks[[#This Row],[_IsSummary]],COUNTIF(Tasks[WBS],Tasks[[#This Row],[WBS]]&amp;".*"),0)</f>
        <v>0</v>
      </c>
      <c r="BM105" s="43" t="n">
        <f aca="false">IF(AND(Tasks[[#This Row],[Task Name]]&lt;&gt;"",NOT(Tasks[[#This Row],[_IsSummary]])),1,0)</f>
        <v>0</v>
      </c>
      <c r="BN105" s="43" t="n">
        <f aca="false">IF(N(Tasks[[#This Row],[Pred1 UID]])=0,0,IFERROR(MATCH(Tasks[[#This Row],[Pred1 UID]],Tasks[UID],0),-1))</f>
        <v>0</v>
      </c>
      <c r="BO105" s="43" t="n">
        <f aca="false">IF(N(Tasks[[#This Row],[Pred2 UID]])=0,0,IFERROR(MATCH(Tasks[[#This Row],[Pred2 UID]],Tasks[UID],0),-1))</f>
        <v>0</v>
      </c>
      <c r="BP10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5" s="43" t="n">
        <f aca="false">IF(NOT(Tasks[[#This Row],[_IsLeaf]]=1),0,IF(N(Tasks[[#This Row],[Actual Finish]])&gt;0,1,MIN(1,N(Tasks[[#This Row],[% Complete]]))))</f>
        <v>0</v>
      </c>
      <c r="BU1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5" s="43" t="n">
        <f aca="false">IF(Tasks[[#This Row],[_LeafWork]]=0,0,Tasks[[#This Row],[_LeafWork]]*IFERROR(INDEX(res_Rate,MATCH(Tasks[[#This Row],[Resource]],res_Name,0)),0))</f>
        <v>0</v>
      </c>
      <c r="BW1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5" s="43" t="n">
        <f aca="false">IF(NOT(Tasks[[#This Row],[_IsLeaf]]=1),0,MAX(_xlfn.MAXIFS(Tasks[_Row],Tasks[Pred1 UID],Tasks[[#This Row],[UID]]),_xlfn.MAXIFS(Tasks[_Row],Tasks[Pred2 UID],Tasks[[#This Row],[UID]])))</f>
        <v>0</v>
      </c>
      <c r="CB10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5" s="67" t="str">
        <f aca="false">IF(NOT(Tasks[[#This Row],[_IsLeaf]]=1),"",MIN(ProjectFinish,IF(N(Tasks[[#This Row],[Deadline]])&gt;0,Tasks[[#This Row],[Deadline]],2958465),Tasks[[#This Row],[_SuccessorFinishLimit]]))</f>
        <v/>
      </c>
      <c r="CD10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5" s="66" t="b">
        <f aca="false">AND(Tasks[[#This Row],[_IsLeaf]]=1,Tasks[[#This Row],[_LeafProgress]]&lt;1,N(Tasks[[#This Row],[_LeafTotalSlack]])&lt;=CriticalSlackDays)</f>
        <v>0</v>
      </c>
      <c r="CG10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5" s="43" t="n">
        <f aca="false">IF(AND(Tasks[[#This Row],[_IsLeaf]]=1,Tasks[[#This Row],[_LeafWork]]&gt;0),NETWORKDAYS.INTL(ProjectStart,Tasks[[#This Row],[_LeafFcstStart]],WorkWeek,Holidays),0)</f>
        <v>0</v>
      </c>
      <c r="CP1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5" s="43" t="n">
        <f aca="false">IF(AND(Tasks[[#This Row],[_IsLeaf]]=1,Tasks[[#This Row],[_LeafWork]]&gt;0),Tasks[[#This Row],[_LeafWork]]/(Tasks[[#This Row],[_FinishWorkday]]-Tasks[[#This Row],[_StartWorkday]]+1),0)</f>
        <v>0</v>
      </c>
      <c r="CR105" s="43" t="n">
        <f aca="false">Tasks[[#This Row],[_WorkPerWorkday]]*(Tasks[[#This Row],[_StartWorkday]]-1)</f>
        <v>-0</v>
      </c>
      <c r="CS105" s="43" t="n">
        <f aca="false">IF(Tasks[[#This Row],[_IsLeaf]]=1,MAX(N(Tasks[[#This Row],[Duration]]),0.1),0)</f>
        <v>0</v>
      </c>
      <c r="CT105" s="43" t="n">
        <f aca="false">Tasks[[#This Row],[_WeightDur]]*Tasks[[#This Row],[_LeafProgress]]</f>
        <v>0</v>
      </c>
      <c r="CU1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5" s="43" t="str">
        <f aca="false">IF(AND(Tasks[[#This Row],[_IsLeaf]]=1,N(Tasks[[#This Row],[Duration]])=0,Tasks[[#This Row],[_LeafProgress]]&lt;1),Tasks[[#This Row],[_LeafFcstFinish]]+Tasks[[#This Row],[_Row]]/100000,"")</f>
        <v/>
      </c>
      <c r="DA1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5" s="43" t="n">
        <f aca="false">IF(NOT(Tasks[[#This Row],[_IsLeaf]]=1),0,IF(Tasks[[#This Row],[Baseline Cost]]="",Tasks[[#This Row],[_LeafCost]],N(Tasks[[#This Row],[Baseline Cost]])))</f>
        <v>0</v>
      </c>
      <c r="DC105" s="43" t="n">
        <f aca="false">Tasks[[#This Row],[_LeafBudget]]*Tasks[[#This Row],[_PlannedPct]]</f>
        <v>0</v>
      </c>
      <c r="DD105" s="43" t="n">
        <f aca="false">Tasks[[#This Row],[_LeafBudget]]*Tasks[[#This Row],[_LeafProgress]]</f>
        <v>0</v>
      </c>
      <c r="DE105" s="43" t="n">
        <f aca="false">IF(NOT(Tasks[[#This Row],[_IsLeaf]]=1),0,IF(Tasks[[#This Row],[Actual Cost]]="",Tasks[[#This Row],[_LeafCost]]*Tasks[[#This Row],[_LeafProgress]],N(Tasks[[#This Row],[Actual Cost]])))</f>
        <v>0</v>
      </c>
      <c r="DF105" s="43" t="str">
        <f aca="false">IF(Tasks[[#This Row],[Task Name]]="","",LEFT(Tasks[[#This Row],[WBS]],FIND(".",Tasks[[#This Row],[WBS]]&amp;".")-1))</f>
        <v/>
      </c>
      <c r="DG105" s="43" t="str">
        <f aca="false">IF(AND(Tasks[[#This Row],[Task Name]]&lt;&gt;"",Tasks[[#This Row],[_Level]]=1),Tasks[[#This Row],[_Row]],"")</f>
        <v/>
      </c>
      <c r="DH105" s="43" t="str">
        <f aca="false">IF(AND(Tasks[[#This Row],[_IsLeaf]]=1,N(Tasks[[#This Row],[Duration]])=0),Tasks[[#This Row],[Planned Finish]]+Tasks[[#This Row],[_Row]]/100000,"")</f>
        <v/>
      </c>
      <c r="DI1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5" s="43" t="str">
        <f aca="false">IF(Tasks[[#This Row],[_LeafCritical]],Tasks[[#This Row],[_LeafFcstStart]]+Tasks[[#This Row],[_Row]]/100000,"")</f>
        <v/>
      </c>
    </row>
    <row r="106" customFormat="false" ht="15" hidden="false" customHeight="false" outlineLevel="0" collapsed="false">
      <c r="A106" s="28" t="str">
        <f aca="false">IF(Tasks[[#This Row],[Task Name]]="","",COUNTA(Tasks[[#Headers],[Task Name]]:Tasks[[#This Row],[Task Name]])-1)</f>
        <v/>
      </c>
      <c r="B106" s="29" t="n">
        <v>101</v>
      </c>
      <c r="C10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29"/>
      <c r="E106" s="30"/>
      <c r="F106" s="29"/>
      <c r="G106" s="29"/>
      <c r="H106" s="29"/>
      <c r="I106" s="29"/>
      <c r="J106" s="29"/>
      <c r="K106" s="29"/>
      <c r="L106" s="29"/>
      <c r="M106" s="29"/>
      <c r="N106" s="53"/>
      <c r="O106" s="53"/>
      <c r="P106" s="25" t="str">
        <f aca="false">IF(Tasks[[#This Row],[Task Name]]="","",IF(N(Tasks[[#This Row],[Baseline Start]])&gt;0,Tasks[[#This Row],[Baseline Start]],Tasks[[#This Row],[_CalcStart]]))</f>
        <v/>
      </c>
      <c r="Q106" s="25" t="str">
        <f aca="false">IF(Tasks[[#This Row],[Task Name]]="","",IF(N(Tasks[[#This Row],[Baseline Finish]])&gt;0,Tasks[[#This Row],[Baseline Finish]],Tasks[[#This Row],[_CalcFinish]]))</f>
        <v/>
      </c>
      <c r="R106" s="53"/>
      <c r="S106" s="53"/>
      <c r="T10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55"/>
      <c r="AF10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30"/>
      <c r="AI106" s="55"/>
      <c r="AJ10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64"/>
      <c r="AM10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6" s="30"/>
      <c r="AP106" s="25" t="str">
        <f aca="false">IF(Tasks[[#This Row],[Task Name]]="","",Tasks[[#This Row],[Forecast Start]])</f>
        <v/>
      </c>
      <c r="AQ106" s="25" t="str">
        <f aca="false">IF(Tasks[[#This Row],[Task Name]]="","",Tasks[[#This Row],[Forecast Finish]])</f>
        <v/>
      </c>
      <c r="AR10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6" s="62" t="str">
        <f aca="false">IF(Tasks[[#This Row],[Task Name]]="","",Tasks[[#This Row],[Work]])</f>
        <v/>
      </c>
      <c r="AT106" s="63" t="str">
        <f aca="false">IF(Tasks[[#This Row],[Task Name]]="","",Tasks[[#This Row],[Cost]])</f>
        <v/>
      </c>
      <c r="AU106" s="53"/>
      <c r="AV106" s="53"/>
      <c r="AW106" s="29"/>
      <c r="AX106" s="65"/>
      <c r="AY106" s="64"/>
      <c r="AZ106" s="28" t="str">
        <f aca="false">IF(OR(Tasks[[#This Row],[Task Name]]="",Tasks[[#This Row],[Baseline Duration]]=""),"",Tasks[[#This Row],[BL Source Duration]]-N(Tasks[[#This Row],[Baseline Duration]]))</f>
        <v/>
      </c>
      <c r="BA106" s="62" t="str">
        <f aca="false">IF(OR(Tasks[[#This Row],[Task Name]]="",Tasks[[#This Row],[Baseline Work]]=""),"",Tasks[[#This Row],[Work]]-N(Tasks[[#This Row],[Baseline Work]]))</f>
        <v/>
      </c>
      <c r="BB106" s="63" t="str">
        <f aca="false">IF(OR(Tasks[[#This Row],[Task Name]]="",Tasks[[#This Row],[Baseline Cost]]=""),"",Tasks[[#This Row],[Cost]]-N(Tasks[[#This Row],[Baseline Cost]]))</f>
        <v/>
      </c>
      <c r="BC10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6" s="43" t="str">
        <f aca="false">IF(Tasks[[#This Row],[Task Name]]="","",MAX(1,N(Tasks[[#This Row],[Level]])))</f>
        <v/>
      </c>
      <c r="BH106" s="43" t="n">
        <f aca="false">ROW()-ROW(Tasks[[#Headers],[ID]])</f>
        <v>101</v>
      </c>
      <c r="BI10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6" s="43" t="n">
        <f aca="false">IFERROR(N(INDEX(Tasks[_Level],Tasks[[#This Row],[_Row]]+1)),0)</f>
        <v>0</v>
      </c>
      <c r="BK106" s="66" t="b">
        <f aca="false">AND(Tasks[[#This Row],[Task Name]]&lt;&gt;"",Tasks[[#This Row],[_NextLevel]]&gt;Tasks[[#This Row],[_Level]])</f>
        <v>0</v>
      </c>
      <c r="BL106" s="43" t="n">
        <f aca="false">IF(Tasks[[#This Row],[_IsSummary]],COUNTIF(Tasks[WBS],Tasks[[#This Row],[WBS]]&amp;".*"),0)</f>
        <v>0</v>
      </c>
      <c r="BM106" s="43" t="n">
        <f aca="false">IF(AND(Tasks[[#This Row],[Task Name]]&lt;&gt;"",NOT(Tasks[[#This Row],[_IsSummary]])),1,0)</f>
        <v>0</v>
      </c>
      <c r="BN106" s="43" t="n">
        <f aca="false">IF(N(Tasks[[#This Row],[Pred1 UID]])=0,0,IFERROR(MATCH(Tasks[[#This Row],[Pred1 UID]],Tasks[UID],0),-1))</f>
        <v>0</v>
      </c>
      <c r="BO106" s="43" t="n">
        <f aca="false">IF(N(Tasks[[#This Row],[Pred2 UID]])=0,0,IFERROR(MATCH(Tasks[[#This Row],[Pred2 UID]],Tasks[UID],0),-1))</f>
        <v>0</v>
      </c>
      <c r="BP10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6" s="43" t="n">
        <f aca="false">IF(NOT(Tasks[[#This Row],[_IsLeaf]]=1),0,IF(N(Tasks[[#This Row],[Actual Finish]])&gt;0,1,MIN(1,N(Tasks[[#This Row],[% Complete]]))))</f>
        <v>0</v>
      </c>
      <c r="BU10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6" s="43" t="n">
        <f aca="false">IF(Tasks[[#This Row],[_LeafWork]]=0,0,Tasks[[#This Row],[_LeafWork]]*IFERROR(INDEX(res_Rate,MATCH(Tasks[[#This Row],[Resource]],res_Name,0)),0))</f>
        <v>0</v>
      </c>
      <c r="BW10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6" s="43" t="n">
        <f aca="false">IF(NOT(Tasks[[#This Row],[_IsLeaf]]=1),0,MAX(_xlfn.MAXIFS(Tasks[_Row],Tasks[Pred1 UID],Tasks[[#This Row],[UID]]),_xlfn.MAXIFS(Tasks[_Row],Tasks[Pred2 UID],Tasks[[#This Row],[UID]])))</f>
        <v>0</v>
      </c>
      <c r="CB10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6" s="67" t="str">
        <f aca="false">IF(NOT(Tasks[[#This Row],[_IsLeaf]]=1),"",MIN(ProjectFinish,IF(N(Tasks[[#This Row],[Deadline]])&gt;0,Tasks[[#This Row],[Deadline]],2958465),Tasks[[#This Row],[_SuccessorFinishLimit]]))</f>
        <v/>
      </c>
      <c r="CD10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6" s="66" t="b">
        <f aca="false">AND(Tasks[[#This Row],[_IsLeaf]]=1,Tasks[[#This Row],[_LeafProgress]]&lt;1,N(Tasks[[#This Row],[_LeafTotalSlack]])&lt;=CriticalSlackDays)</f>
        <v>0</v>
      </c>
      <c r="CG10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6" s="43" t="n">
        <f aca="false">IF(AND(Tasks[[#This Row],[_IsLeaf]]=1,Tasks[[#This Row],[_LeafWork]]&gt;0),NETWORKDAYS.INTL(ProjectStart,Tasks[[#This Row],[_LeafFcstStart]],WorkWeek,Holidays),0)</f>
        <v>0</v>
      </c>
      <c r="CP10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6" s="43" t="n">
        <f aca="false">IF(AND(Tasks[[#This Row],[_IsLeaf]]=1,Tasks[[#This Row],[_LeafWork]]&gt;0),Tasks[[#This Row],[_LeafWork]]/(Tasks[[#This Row],[_FinishWorkday]]-Tasks[[#This Row],[_StartWorkday]]+1),0)</f>
        <v>0</v>
      </c>
      <c r="CR106" s="43" t="n">
        <f aca="false">Tasks[[#This Row],[_WorkPerWorkday]]*(Tasks[[#This Row],[_StartWorkday]]-1)</f>
        <v>-0</v>
      </c>
      <c r="CS106" s="43" t="n">
        <f aca="false">IF(Tasks[[#This Row],[_IsLeaf]]=1,MAX(N(Tasks[[#This Row],[Duration]]),0.1),0)</f>
        <v>0</v>
      </c>
      <c r="CT106" s="43" t="n">
        <f aca="false">Tasks[[#This Row],[_WeightDur]]*Tasks[[#This Row],[_LeafProgress]]</f>
        <v>0</v>
      </c>
      <c r="CU10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6" s="43" t="str">
        <f aca="false">IF(AND(Tasks[[#This Row],[_IsLeaf]]=1,N(Tasks[[#This Row],[Duration]])=0,Tasks[[#This Row],[_LeafProgress]]&lt;1),Tasks[[#This Row],[_LeafFcstFinish]]+Tasks[[#This Row],[_Row]]/100000,"")</f>
        <v/>
      </c>
      <c r="DA10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6" s="43" t="n">
        <f aca="false">IF(NOT(Tasks[[#This Row],[_IsLeaf]]=1),0,IF(Tasks[[#This Row],[Baseline Cost]]="",Tasks[[#This Row],[_LeafCost]],N(Tasks[[#This Row],[Baseline Cost]])))</f>
        <v>0</v>
      </c>
      <c r="DC106" s="43" t="n">
        <f aca="false">Tasks[[#This Row],[_LeafBudget]]*Tasks[[#This Row],[_PlannedPct]]</f>
        <v>0</v>
      </c>
      <c r="DD106" s="43" t="n">
        <f aca="false">Tasks[[#This Row],[_LeafBudget]]*Tasks[[#This Row],[_LeafProgress]]</f>
        <v>0</v>
      </c>
      <c r="DE106" s="43" t="n">
        <f aca="false">IF(NOT(Tasks[[#This Row],[_IsLeaf]]=1),0,IF(Tasks[[#This Row],[Actual Cost]]="",Tasks[[#This Row],[_LeafCost]]*Tasks[[#This Row],[_LeafProgress]],N(Tasks[[#This Row],[Actual Cost]])))</f>
        <v>0</v>
      </c>
      <c r="DF106" s="43" t="str">
        <f aca="false">IF(Tasks[[#This Row],[Task Name]]="","",LEFT(Tasks[[#This Row],[WBS]],FIND(".",Tasks[[#This Row],[WBS]]&amp;".")-1))</f>
        <v/>
      </c>
      <c r="DG106" s="43" t="str">
        <f aca="false">IF(AND(Tasks[[#This Row],[Task Name]]&lt;&gt;"",Tasks[[#This Row],[_Level]]=1),Tasks[[#This Row],[_Row]],"")</f>
        <v/>
      </c>
      <c r="DH106" s="43" t="str">
        <f aca="false">IF(AND(Tasks[[#This Row],[_IsLeaf]]=1,N(Tasks[[#This Row],[Duration]])=0),Tasks[[#This Row],[Planned Finish]]+Tasks[[#This Row],[_Row]]/100000,"")</f>
        <v/>
      </c>
      <c r="DI10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6" s="43" t="str">
        <f aca="false">IF(Tasks[[#This Row],[_LeafCritical]],Tasks[[#This Row],[_LeafFcstStart]]+Tasks[[#This Row],[_Row]]/100000,"")</f>
        <v/>
      </c>
    </row>
    <row r="107" customFormat="false" ht="15" hidden="false" customHeight="false" outlineLevel="0" collapsed="false">
      <c r="A107" s="28" t="str">
        <f aca="false">IF(Tasks[[#This Row],[Task Name]]="","",COUNTA(Tasks[[#Headers],[Task Name]]:Tasks[[#This Row],[Task Name]])-1)</f>
        <v/>
      </c>
      <c r="B107" s="29" t="n">
        <v>102</v>
      </c>
      <c r="C10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29"/>
      <c r="E107" s="30"/>
      <c r="F107" s="29"/>
      <c r="G107" s="29"/>
      <c r="H107" s="29"/>
      <c r="I107" s="29"/>
      <c r="J107" s="29"/>
      <c r="K107" s="29"/>
      <c r="L107" s="29"/>
      <c r="M107" s="29"/>
      <c r="N107" s="53"/>
      <c r="O107" s="53"/>
      <c r="P107" s="25" t="str">
        <f aca="false">IF(Tasks[[#This Row],[Task Name]]="","",IF(N(Tasks[[#This Row],[Baseline Start]])&gt;0,Tasks[[#This Row],[Baseline Start]],Tasks[[#This Row],[_CalcStart]]))</f>
        <v/>
      </c>
      <c r="Q107" s="25" t="str">
        <f aca="false">IF(Tasks[[#This Row],[Task Name]]="","",IF(N(Tasks[[#This Row],[Baseline Finish]])&gt;0,Tasks[[#This Row],[Baseline Finish]],Tasks[[#This Row],[_CalcFinish]]))</f>
        <v/>
      </c>
      <c r="R107" s="53"/>
      <c r="S107" s="53"/>
      <c r="T10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55"/>
      <c r="AF10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30"/>
      <c r="AI107" s="55"/>
      <c r="AJ10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64"/>
      <c r="AM10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7" s="30"/>
      <c r="AP107" s="25" t="str">
        <f aca="false">IF(Tasks[[#This Row],[Task Name]]="","",Tasks[[#This Row],[Forecast Start]])</f>
        <v/>
      </c>
      <c r="AQ107" s="25" t="str">
        <f aca="false">IF(Tasks[[#This Row],[Task Name]]="","",Tasks[[#This Row],[Forecast Finish]])</f>
        <v/>
      </c>
      <c r="AR10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7" s="62" t="str">
        <f aca="false">IF(Tasks[[#This Row],[Task Name]]="","",Tasks[[#This Row],[Work]])</f>
        <v/>
      </c>
      <c r="AT107" s="63" t="str">
        <f aca="false">IF(Tasks[[#This Row],[Task Name]]="","",Tasks[[#This Row],[Cost]])</f>
        <v/>
      </c>
      <c r="AU107" s="53"/>
      <c r="AV107" s="53"/>
      <c r="AW107" s="29"/>
      <c r="AX107" s="65"/>
      <c r="AY107" s="64"/>
      <c r="AZ107" s="28" t="str">
        <f aca="false">IF(OR(Tasks[[#This Row],[Task Name]]="",Tasks[[#This Row],[Baseline Duration]]=""),"",Tasks[[#This Row],[BL Source Duration]]-N(Tasks[[#This Row],[Baseline Duration]]))</f>
        <v/>
      </c>
      <c r="BA107" s="62" t="str">
        <f aca="false">IF(OR(Tasks[[#This Row],[Task Name]]="",Tasks[[#This Row],[Baseline Work]]=""),"",Tasks[[#This Row],[Work]]-N(Tasks[[#This Row],[Baseline Work]]))</f>
        <v/>
      </c>
      <c r="BB107" s="63" t="str">
        <f aca="false">IF(OR(Tasks[[#This Row],[Task Name]]="",Tasks[[#This Row],[Baseline Cost]]=""),"",Tasks[[#This Row],[Cost]]-N(Tasks[[#This Row],[Baseline Cost]]))</f>
        <v/>
      </c>
      <c r="BC10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7" s="43" t="str">
        <f aca="false">IF(Tasks[[#This Row],[Task Name]]="","",MAX(1,N(Tasks[[#This Row],[Level]])))</f>
        <v/>
      </c>
      <c r="BH107" s="43" t="n">
        <f aca="false">ROW()-ROW(Tasks[[#Headers],[ID]])</f>
        <v>102</v>
      </c>
      <c r="BI10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7" s="43" t="n">
        <f aca="false">IFERROR(N(INDEX(Tasks[_Level],Tasks[[#This Row],[_Row]]+1)),0)</f>
        <v>0</v>
      </c>
      <c r="BK107" s="66" t="b">
        <f aca="false">AND(Tasks[[#This Row],[Task Name]]&lt;&gt;"",Tasks[[#This Row],[_NextLevel]]&gt;Tasks[[#This Row],[_Level]])</f>
        <v>0</v>
      </c>
      <c r="BL107" s="43" t="n">
        <f aca="false">IF(Tasks[[#This Row],[_IsSummary]],COUNTIF(Tasks[WBS],Tasks[[#This Row],[WBS]]&amp;".*"),0)</f>
        <v>0</v>
      </c>
      <c r="BM107" s="43" t="n">
        <f aca="false">IF(AND(Tasks[[#This Row],[Task Name]]&lt;&gt;"",NOT(Tasks[[#This Row],[_IsSummary]])),1,0)</f>
        <v>0</v>
      </c>
      <c r="BN107" s="43" t="n">
        <f aca="false">IF(N(Tasks[[#This Row],[Pred1 UID]])=0,0,IFERROR(MATCH(Tasks[[#This Row],[Pred1 UID]],Tasks[UID],0),-1))</f>
        <v>0</v>
      </c>
      <c r="BO107" s="43" t="n">
        <f aca="false">IF(N(Tasks[[#This Row],[Pred2 UID]])=0,0,IFERROR(MATCH(Tasks[[#This Row],[Pred2 UID]],Tasks[UID],0),-1))</f>
        <v>0</v>
      </c>
      <c r="BP10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7" s="43" t="n">
        <f aca="false">IF(NOT(Tasks[[#This Row],[_IsLeaf]]=1),0,IF(N(Tasks[[#This Row],[Actual Finish]])&gt;0,1,MIN(1,N(Tasks[[#This Row],[% Complete]]))))</f>
        <v>0</v>
      </c>
      <c r="BU10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7" s="43" t="n">
        <f aca="false">IF(Tasks[[#This Row],[_LeafWork]]=0,0,Tasks[[#This Row],[_LeafWork]]*IFERROR(INDEX(res_Rate,MATCH(Tasks[[#This Row],[Resource]],res_Name,0)),0))</f>
        <v>0</v>
      </c>
      <c r="BW10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7" s="43" t="n">
        <f aca="false">IF(NOT(Tasks[[#This Row],[_IsLeaf]]=1),0,MAX(_xlfn.MAXIFS(Tasks[_Row],Tasks[Pred1 UID],Tasks[[#This Row],[UID]]),_xlfn.MAXIFS(Tasks[_Row],Tasks[Pred2 UID],Tasks[[#This Row],[UID]])))</f>
        <v>0</v>
      </c>
      <c r="CB10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7" s="67" t="str">
        <f aca="false">IF(NOT(Tasks[[#This Row],[_IsLeaf]]=1),"",MIN(ProjectFinish,IF(N(Tasks[[#This Row],[Deadline]])&gt;0,Tasks[[#This Row],[Deadline]],2958465),Tasks[[#This Row],[_SuccessorFinishLimit]]))</f>
        <v/>
      </c>
      <c r="CD10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7" s="66" t="b">
        <f aca="false">AND(Tasks[[#This Row],[_IsLeaf]]=1,Tasks[[#This Row],[_LeafProgress]]&lt;1,N(Tasks[[#This Row],[_LeafTotalSlack]])&lt;=CriticalSlackDays)</f>
        <v>0</v>
      </c>
      <c r="CG10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7" s="43" t="n">
        <f aca="false">IF(AND(Tasks[[#This Row],[_IsLeaf]]=1,Tasks[[#This Row],[_LeafWork]]&gt;0),NETWORKDAYS.INTL(ProjectStart,Tasks[[#This Row],[_LeafFcstStart]],WorkWeek,Holidays),0)</f>
        <v>0</v>
      </c>
      <c r="CP10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7" s="43" t="n">
        <f aca="false">IF(AND(Tasks[[#This Row],[_IsLeaf]]=1,Tasks[[#This Row],[_LeafWork]]&gt;0),Tasks[[#This Row],[_LeafWork]]/(Tasks[[#This Row],[_FinishWorkday]]-Tasks[[#This Row],[_StartWorkday]]+1),0)</f>
        <v>0</v>
      </c>
      <c r="CR107" s="43" t="n">
        <f aca="false">Tasks[[#This Row],[_WorkPerWorkday]]*(Tasks[[#This Row],[_StartWorkday]]-1)</f>
        <v>-0</v>
      </c>
      <c r="CS107" s="43" t="n">
        <f aca="false">IF(Tasks[[#This Row],[_IsLeaf]]=1,MAX(N(Tasks[[#This Row],[Duration]]),0.1),0)</f>
        <v>0</v>
      </c>
      <c r="CT107" s="43" t="n">
        <f aca="false">Tasks[[#This Row],[_WeightDur]]*Tasks[[#This Row],[_LeafProgress]]</f>
        <v>0</v>
      </c>
      <c r="CU10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7" s="43" t="str">
        <f aca="false">IF(AND(Tasks[[#This Row],[_IsLeaf]]=1,N(Tasks[[#This Row],[Duration]])=0,Tasks[[#This Row],[_LeafProgress]]&lt;1),Tasks[[#This Row],[_LeafFcstFinish]]+Tasks[[#This Row],[_Row]]/100000,"")</f>
        <v/>
      </c>
      <c r="DA10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7" s="43" t="n">
        <f aca="false">IF(NOT(Tasks[[#This Row],[_IsLeaf]]=1),0,IF(Tasks[[#This Row],[Baseline Cost]]="",Tasks[[#This Row],[_LeafCost]],N(Tasks[[#This Row],[Baseline Cost]])))</f>
        <v>0</v>
      </c>
      <c r="DC107" s="43" t="n">
        <f aca="false">Tasks[[#This Row],[_LeafBudget]]*Tasks[[#This Row],[_PlannedPct]]</f>
        <v>0</v>
      </c>
      <c r="DD107" s="43" t="n">
        <f aca="false">Tasks[[#This Row],[_LeafBudget]]*Tasks[[#This Row],[_LeafProgress]]</f>
        <v>0</v>
      </c>
      <c r="DE107" s="43" t="n">
        <f aca="false">IF(NOT(Tasks[[#This Row],[_IsLeaf]]=1),0,IF(Tasks[[#This Row],[Actual Cost]]="",Tasks[[#This Row],[_LeafCost]]*Tasks[[#This Row],[_LeafProgress]],N(Tasks[[#This Row],[Actual Cost]])))</f>
        <v>0</v>
      </c>
      <c r="DF107" s="43" t="str">
        <f aca="false">IF(Tasks[[#This Row],[Task Name]]="","",LEFT(Tasks[[#This Row],[WBS]],FIND(".",Tasks[[#This Row],[WBS]]&amp;".")-1))</f>
        <v/>
      </c>
      <c r="DG107" s="43" t="str">
        <f aca="false">IF(AND(Tasks[[#This Row],[Task Name]]&lt;&gt;"",Tasks[[#This Row],[_Level]]=1),Tasks[[#This Row],[_Row]],"")</f>
        <v/>
      </c>
      <c r="DH107" s="43" t="str">
        <f aca="false">IF(AND(Tasks[[#This Row],[_IsLeaf]]=1,N(Tasks[[#This Row],[Duration]])=0),Tasks[[#This Row],[Planned Finish]]+Tasks[[#This Row],[_Row]]/100000,"")</f>
        <v/>
      </c>
      <c r="DI10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7" s="43" t="str">
        <f aca="false">IF(Tasks[[#This Row],[_LeafCritical]],Tasks[[#This Row],[_LeafFcstStart]]+Tasks[[#This Row],[_Row]]/100000,"")</f>
        <v/>
      </c>
    </row>
    <row r="108" customFormat="false" ht="15" hidden="false" customHeight="false" outlineLevel="0" collapsed="false">
      <c r="A108" s="28" t="str">
        <f aca="false">IF(Tasks[[#This Row],[Task Name]]="","",COUNTA(Tasks[[#Headers],[Task Name]]:Tasks[[#This Row],[Task Name]])-1)</f>
        <v/>
      </c>
      <c r="B108" s="29" t="n">
        <v>103</v>
      </c>
      <c r="C10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29"/>
      <c r="E108" s="30"/>
      <c r="F108" s="29"/>
      <c r="G108" s="29"/>
      <c r="H108" s="29"/>
      <c r="I108" s="29"/>
      <c r="J108" s="29"/>
      <c r="K108" s="29"/>
      <c r="L108" s="29"/>
      <c r="M108" s="29"/>
      <c r="N108" s="53"/>
      <c r="O108" s="53"/>
      <c r="P108" s="25" t="str">
        <f aca="false">IF(Tasks[[#This Row],[Task Name]]="","",IF(N(Tasks[[#This Row],[Baseline Start]])&gt;0,Tasks[[#This Row],[Baseline Start]],Tasks[[#This Row],[_CalcStart]]))</f>
        <v/>
      </c>
      <c r="Q108" s="25" t="str">
        <f aca="false">IF(Tasks[[#This Row],[Task Name]]="","",IF(N(Tasks[[#This Row],[Baseline Finish]])&gt;0,Tasks[[#This Row],[Baseline Finish]],Tasks[[#This Row],[_CalcFinish]]))</f>
        <v/>
      </c>
      <c r="R108" s="53"/>
      <c r="S108" s="53"/>
      <c r="T10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55"/>
      <c r="AF10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30"/>
      <c r="AI108" s="55"/>
      <c r="AJ10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64"/>
      <c r="AM10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8" s="30"/>
      <c r="AP108" s="25" t="str">
        <f aca="false">IF(Tasks[[#This Row],[Task Name]]="","",Tasks[[#This Row],[Forecast Start]])</f>
        <v/>
      </c>
      <c r="AQ108" s="25" t="str">
        <f aca="false">IF(Tasks[[#This Row],[Task Name]]="","",Tasks[[#This Row],[Forecast Finish]])</f>
        <v/>
      </c>
      <c r="AR10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8" s="62" t="str">
        <f aca="false">IF(Tasks[[#This Row],[Task Name]]="","",Tasks[[#This Row],[Work]])</f>
        <v/>
      </c>
      <c r="AT108" s="63" t="str">
        <f aca="false">IF(Tasks[[#This Row],[Task Name]]="","",Tasks[[#This Row],[Cost]])</f>
        <v/>
      </c>
      <c r="AU108" s="53"/>
      <c r="AV108" s="53"/>
      <c r="AW108" s="29"/>
      <c r="AX108" s="65"/>
      <c r="AY108" s="64"/>
      <c r="AZ108" s="28" t="str">
        <f aca="false">IF(OR(Tasks[[#This Row],[Task Name]]="",Tasks[[#This Row],[Baseline Duration]]=""),"",Tasks[[#This Row],[BL Source Duration]]-N(Tasks[[#This Row],[Baseline Duration]]))</f>
        <v/>
      </c>
      <c r="BA108" s="62" t="str">
        <f aca="false">IF(OR(Tasks[[#This Row],[Task Name]]="",Tasks[[#This Row],[Baseline Work]]=""),"",Tasks[[#This Row],[Work]]-N(Tasks[[#This Row],[Baseline Work]]))</f>
        <v/>
      </c>
      <c r="BB108" s="63" t="str">
        <f aca="false">IF(OR(Tasks[[#This Row],[Task Name]]="",Tasks[[#This Row],[Baseline Cost]]=""),"",Tasks[[#This Row],[Cost]]-N(Tasks[[#This Row],[Baseline Cost]]))</f>
        <v/>
      </c>
      <c r="BC10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8" s="43" t="str">
        <f aca="false">IF(Tasks[[#This Row],[Task Name]]="","",MAX(1,N(Tasks[[#This Row],[Level]])))</f>
        <v/>
      </c>
      <c r="BH108" s="43" t="n">
        <f aca="false">ROW()-ROW(Tasks[[#Headers],[ID]])</f>
        <v>103</v>
      </c>
      <c r="BI10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8" s="43" t="n">
        <f aca="false">IFERROR(N(INDEX(Tasks[_Level],Tasks[[#This Row],[_Row]]+1)),0)</f>
        <v>0</v>
      </c>
      <c r="BK108" s="66" t="b">
        <f aca="false">AND(Tasks[[#This Row],[Task Name]]&lt;&gt;"",Tasks[[#This Row],[_NextLevel]]&gt;Tasks[[#This Row],[_Level]])</f>
        <v>0</v>
      </c>
      <c r="BL108" s="43" t="n">
        <f aca="false">IF(Tasks[[#This Row],[_IsSummary]],COUNTIF(Tasks[WBS],Tasks[[#This Row],[WBS]]&amp;".*"),0)</f>
        <v>0</v>
      </c>
      <c r="BM108" s="43" t="n">
        <f aca="false">IF(AND(Tasks[[#This Row],[Task Name]]&lt;&gt;"",NOT(Tasks[[#This Row],[_IsSummary]])),1,0)</f>
        <v>0</v>
      </c>
      <c r="BN108" s="43" t="n">
        <f aca="false">IF(N(Tasks[[#This Row],[Pred1 UID]])=0,0,IFERROR(MATCH(Tasks[[#This Row],[Pred1 UID]],Tasks[UID],0),-1))</f>
        <v>0</v>
      </c>
      <c r="BO108" s="43" t="n">
        <f aca="false">IF(N(Tasks[[#This Row],[Pred2 UID]])=0,0,IFERROR(MATCH(Tasks[[#This Row],[Pred2 UID]],Tasks[UID],0),-1))</f>
        <v>0</v>
      </c>
      <c r="BP10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8" s="43" t="n">
        <f aca="false">IF(NOT(Tasks[[#This Row],[_IsLeaf]]=1),0,IF(N(Tasks[[#This Row],[Actual Finish]])&gt;0,1,MIN(1,N(Tasks[[#This Row],[% Complete]]))))</f>
        <v>0</v>
      </c>
      <c r="BU10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8" s="43" t="n">
        <f aca="false">IF(Tasks[[#This Row],[_LeafWork]]=0,0,Tasks[[#This Row],[_LeafWork]]*IFERROR(INDEX(res_Rate,MATCH(Tasks[[#This Row],[Resource]],res_Name,0)),0))</f>
        <v>0</v>
      </c>
      <c r="BW10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8" s="43" t="n">
        <f aca="false">IF(NOT(Tasks[[#This Row],[_IsLeaf]]=1),0,MAX(_xlfn.MAXIFS(Tasks[_Row],Tasks[Pred1 UID],Tasks[[#This Row],[UID]]),_xlfn.MAXIFS(Tasks[_Row],Tasks[Pred2 UID],Tasks[[#This Row],[UID]])))</f>
        <v>0</v>
      </c>
      <c r="CB10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8" s="67" t="str">
        <f aca="false">IF(NOT(Tasks[[#This Row],[_IsLeaf]]=1),"",MIN(ProjectFinish,IF(N(Tasks[[#This Row],[Deadline]])&gt;0,Tasks[[#This Row],[Deadline]],2958465),Tasks[[#This Row],[_SuccessorFinishLimit]]))</f>
        <v/>
      </c>
      <c r="CD10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8" s="66" t="b">
        <f aca="false">AND(Tasks[[#This Row],[_IsLeaf]]=1,Tasks[[#This Row],[_LeafProgress]]&lt;1,N(Tasks[[#This Row],[_LeafTotalSlack]])&lt;=CriticalSlackDays)</f>
        <v>0</v>
      </c>
      <c r="CG10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8" s="43" t="n">
        <f aca="false">IF(AND(Tasks[[#This Row],[_IsLeaf]]=1,Tasks[[#This Row],[_LeafWork]]&gt;0),NETWORKDAYS.INTL(ProjectStart,Tasks[[#This Row],[_LeafFcstStart]],WorkWeek,Holidays),0)</f>
        <v>0</v>
      </c>
      <c r="CP10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8" s="43" t="n">
        <f aca="false">IF(AND(Tasks[[#This Row],[_IsLeaf]]=1,Tasks[[#This Row],[_LeafWork]]&gt;0),Tasks[[#This Row],[_LeafWork]]/(Tasks[[#This Row],[_FinishWorkday]]-Tasks[[#This Row],[_StartWorkday]]+1),0)</f>
        <v>0</v>
      </c>
      <c r="CR108" s="43" t="n">
        <f aca="false">Tasks[[#This Row],[_WorkPerWorkday]]*(Tasks[[#This Row],[_StartWorkday]]-1)</f>
        <v>-0</v>
      </c>
      <c r="CS108" s="43" t="n">
        <f aca="false">IF(Tasks[[#This Row],[_IsLeaf]]=1,MAX(N(Tasks[[#This Row],[Duration]]),0.1),0)</f>
        <v>0</v>
      </c>
      <c r="CT108" s="43" t="n">
        <f aca="false">Tasks[[#This Row],[_WeightDur]]*Tasks[[#This Row],[_LeafProgress]]</f>
        <v>0</v>
      </c>
      <c r="CU10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8" s="43" t="str">
        <f aca="false">IF(AND(Tasks[[#This Row],[_IsLeaf]]=1,N(Tasks[[#This Row],[Duration]])=0,Tasks[[#This Row],[_LeafProgress]]&lt;1),Tasks[[#This Row],[_LeafFcstFinish]]+Tasks[[#This Row],[_Row]]/100000,"")</f>
        <v/>
      </c>
      <c r="DA10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8" s="43" t="n">
        <f aca="false">IF(NOT(Tasks[[#This Row],[_IsLeaf]]=1),0,IF(Tasks[[#This Row],[Baseline Cost]]="",Tasks[[#This Row],[_LeafCost]],N(Tasks[[#This Row],[Baseline Cost]])))</f>
        <v>0</v>
      </c>
      <c r="DC108" s="43" t="n">
        <f aca="false">Tasks[[#This Row],[_LeafBudget]]*Tasks[[#This Row],[_PlannedPct]]</f>
        <v>0</v>
      </c>
      <c r="DD108" s="43" t="n">
        <f aca="false">Tasks[[#This Row],[_LeafBudget]]*Tasks[[#This Row],[_LeafProgress]]</f>
        <v>0</v>
      </c>
      <c r="DE108" s="43" t="n">
        <f aca="false">IF(NOT(Tasks[[#This Row],[_IsLeaf]]=1),0,IF(Tasks[[#This Row],[Actual Cost]]="",Tasks[[#This Row],[_LeafCost]]*Tasks[[#This Row],[_LeafProgress]],N(Tasks[[#This Row],[Actual Cost]])))</f>
        <v>0</v>
      </c>
      <c r="DF108" s="43" t="str">
        <f aca="false">IF(Tasks[[#This Row],[Task Name]]="","",LEFT(Tasks[[#This Row],[WBS]],FIND(".",Tasks[[#This Row],[WBS]]&amp;".")-1))</f>
        <v/>
      </c>
      <c r="DG108" s="43" t="str">
        <f aca="false">IF(AND(Tasks[[#This Row],[Task Name]]&lt;&gt;"",Tasks[[#This Row],[_Level]]=1),Tasks[[#This Row],[_Row]],"")</f>
        <v/>
      </c>
      <c r="DH108" s="43" t="str">
        <f aca="false">IF(AND(Tasks[[#This Row],[_IsLeaf]]=1,N(Tasks[[#This Row],[Duration]])=0),Tasks[[#This Row],[Planned Finish]]+Tasks[[#This Row],[_Row]]/100000,"")</f>
        <v/>
      </c>
      <c r="DI10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8" s="43" t="str">
        <f aca="false">IF(Tasks[[#This Row],[_LeafCritical]],Tasks[[#This Row],[_LeafFcstStart]]+Tasks[[#This Row],[_Row]]/100000,"")</f>
        <v/>
      </c>
    </row>
    <row r="109" customFormat="false" ht="15" hidden="false" customHeight="false" outlineLevel="0" collapsed="false">
      <c r="A109" s="28" t="str">
        <f aca="false">IF(Tasks[[#This Row],[Task Name]]="","",COUNTA(Tasks[[#Headers],[Task Name]]:Tasks[[#This Row],[Task Name]])-1)</f>
        <v/>
      </c>
      <c r="B109" s="29" t="n">
        <v>104</v>
      </c>
      <c r="C10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29"/>
      <c r="E109" s="30"/>
      <c r="F109" s="29"/>
      <c r="G109" s="29"/>
      <c r="H109" s="29"/>
      <c r="I109" s="29"/>
      <c r="J109" s="29"/>
      <c r="K109" s="29"/>
      <c r="L109" s="29"/>
      <c r="M109" s="29"/>
      <c r="N109" s="53"/>
      <c r="O109" s="53"/>
      <c r="P109" s="25" t="str">
        <f aca="false">IF(Tasks[[#This Row],[Task Name]]="","",IF(N(Tasks[[#This Row],[Baseline Start]])&gt;0,Tasks[[#This Row],[Baseline Start]],Tasks[[#This Row],[_CalcStart]]))</f>
        <v/>
      </c>
      <c r="Q109" s="25" t="str">
        <f aca="false">IF(Tasks[[#This Row],[Task Name]]="","",IF(N(Tasks[[#This Row],[Baseline Finish]])&gt;0,Tasks[[#This Row],[Baseline Finish]],Tasks[[#This Row],[_CalcFinish]]))</f>
        <v/>
      </c>
      <c r="R109" s="53"/>
      <c r="S109" s="53"/>
      <c r="T10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55"/>
      <c r="AF10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30"/>
      <c r="AI109" s="55"/>
      <c r="AJ10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64"/>
      <c r="AM10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0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09" s="30"/>
      <c r="AP109" s="25" t="str">
        <f aca="false">IF(Tasks[[#This Row],[Task Name]]="","",Tasks[[#This Row],[Forecast Start]])</f>
        <v/>
      </c>
      <c r="AQ109" s="25" t="str">
        <f aca="false">IF(Tasks[[#This Row],[Task Name]]="","",Tasks[[#This Row],[Forecast Finish]])</f>
        <v/>
      </c>
      <c r="AR10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09" s="62" t="str">
        <f aca="false">IF(Tasks[[#This Row],[Task Name]]="","",Tasks[[#This Row],[Work]])</f>
        <v/>
      </c>
      <c r="AT109" s="63" t="str">
        <f aca="false">IF(Tasks[[#This Row],[Task Name]]="","",Tasks[[#This Row],[Cost]])</f>
        <v/>
      </c>
      <c r="AU109" s="53"/>
      <c r="AV109" s="53"/>
      <c r="AW109" s="29"/>
      <c r="AX109" s="65"/>
      <c r="AY109" s="64"/>
      <c r="AZ109" s="28" t="str">
        <f aca="false">IF(OR(Tasks[[#This Row],[Task Name]]="",Tasks[[#This Row],[Baseline Duration]]=""),"",Tasks[[#This Row],[BL Source Duration]]-N(Tasks[[#This Row],[Baseline Duration]]))</f>
        <v/>
      </c>
      <c r="BA109" s="62" t="str">
        <f aca="false">IF(OR(Tasks[[#This Row],[Task Name]]="",Tasks[[#This Row],[Baseline Work]]=""),"",Tasks[[#This Row],[Work]]-N(Tasks[[#This Row],[Baseline Work]]))</f>
        <v/>
      </c>
      <c r="BB109" s="63" t="str">
        <f aca="false">IF(OR(Tasks[[#This Row],[Task Name]]="",Tasks[[#This Row],[Baseline Cost]]=""),"",Tasks[[#This Row],[Cost]]-N(Tasks[[#This Row],[Baseline Cost]]))</f>
        <v/>
      </c>
      <c r="BC10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0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0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0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09" s="43" t="str">
        <f aca="false">IF(Tasks[[#This Row],[Task Name]]="","",MAX(1,N(Tasks[[#This Row],[Level]])))</f>
        <v/>
      </c>
      <c r="BH109" s="43" t="n">
        <f aca="false">ROW()-ROW(Tasks[[#Headers],[ID]])</f>
        <v>104</v>
      </c>
      <c r="BI10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09" s="43" t="n">
        <f aca="false">IFERROR(N(INDEX(Tasks[_Level],Tasks[[#This Row],[_Row]]+1)),0)</f>
        <v>0</v>
      </c>
      <c r="BK109" s="66" t="b">
        <f aca="false">AND(Tasks[[#This Row],[Task Name]]&lt;&gt;"",Tasks[[#This Row],[_NextLevel]]&gt;Tasks[[#This Row],[_Level]])</f>
        <v>0</v>
      </c>
      <c r="BL109" s="43" t="n">
        <f aca="false">IF(Tasks[[#This Row],[_IsSummary]],COUNTIF(Tasks[WBS],Tasks[[#This Row],[WBS]]&amp;".*"),0)</f>
        <v>0</v>
      </c>
      <c r="BM109" s="43" t="n">
        <f aca="false">IF(AND(Tasks[[#This Row],[Task Name]]&lt;&gt;"",NOT(Tasks[[#This Row],[_IsSummary]])),1,0)</f>
        <v>0</v>
      </c>
      <c r="BN109" s="43" t="n">
        <f aca="false">IF(N(Tasks[[#This Row],[Pred1 UID]])=0,0,IFERROR(MATCH(Tasks[[#This Row],[Pred1 UID]],Tasks[UID],0),-1))</f>
        <v>0</v>
      </c>
      <c r="BO109" s="43" t="n">
        <f aca="false">IF(N(Tasks[[#This Row],[Pred2 UID]])=0,0,IFERROR(MATCH(Tasks[[#This Row],[Pred2 UID]],Tasks[UID],0),-1))</f>
        <v>0</v>
      </c>
      <c r="BP10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0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0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0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09" s="43" t="n">
        <f aca="false">IF(NOT(Tasks[[#This Row],[_IsLeaf]]=1),0,IF(N(Tasks[[#This Row],[Actual Finish]])&gt;0,1,MIN(1,N(Tasks[[#This Row],[% Complete]]))))</f>
        <v>0</v>
      </c>
      <c r="BU10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09" s="43" t="n">
        <f aca="false">IF(Tasks[[#This Row],[_LeafWork]]=0,0,Tasks[[#This Row],[_LeafWork]]*IFERROR(INDEX(res_Rate,MATCH(Tasks[[#This Row],[Resource]],res_Name,0)),0))</f>
        <v>0</v>
      </c>
      <c r="BW10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0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0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0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09" s="43" t="n">
        <f aca="false">IF(NOT(Tasks[[#This Row],[_IsLeaf]]=1),0,MAX(_xlfn.MAXIFS(Tasks[_Row],Tasks[Pred1 UID],Tasks[[#This Row],[UID]]),_xlfn.MAXIFS(Tasks[_Row],Tasks[Pred2 UID],Tasks[[#This Row],[UID]])))</f>
        <v>0</v>
      </c>
      <c r="CB10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09" s="67" t="str">
        <f aca="false">IF(NOT(Tasks[[#This Row],[_IsLeaf]]=1),"",MIN(ProjectFinish,IF(N(Tasks[[#This Row],[Deadline]])&gt;0,Tasks[[#This Row],[Deadline]],2958465),Tasks[[#This Row],[_SuccessorFinishLimit]]))</f>
        <v/>
      </c>
      <c r="CD10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0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09" s="66" t="b">
        <f aca="false">AND(Tasks[[#This Row],[_IsLeaf]]=1,Tasks[[#This Row],[_LeafProgress]]&lt;1,N(Tasks[[#This Row],[_LeafTotalSlack]])&lt;=CriticalSlackDays)</f>
        <v>0</v>
      </c>
      <c r="CG10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0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0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0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0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0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0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0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09" s="43" t="n">
        <f aca="false">IF(AND(Tasks[[#This Row],[_IsLeaf]]=1,Tasks[[#This Row],[_LeafWork]]&gt;0),NETWORKDAYS.INTL(ProjectStart,Tasks[[#This Row],[_LeafFcstStart]],WorkWeek,Holidays),0)</f>
        <v>0</v>
      </c>
      <c r="CP10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09" s="43" t="n">
        <f aca="false">IF(AND(Tasks[[#This Row],[_IsLeaf]]=1,Tasks[[#This Row],[_LeafWork]]&gt;0),Tasks[[#This Row],[_LeafWork]]/(Tasks[[#This Row],[_FinishWorkday]]-Tasks[[#This Row],[_StartWorkday]]+1),0)</f>
        <v>0</v>
      </c>
      <c r="CR109" s="43" t="n">
        <f aca="false">Tasks[[#This Row],[_WorkPerWorkday]]*(Tasks[[#This Row],[_StartWorkday]]-1)</f>
        <v>-0</v>
      </c>
      <c r="CS109" s="43" t="n">
        <f aca="false">IF(Tasks[[#This Row],[_IsLeaf]]=1,MAX(N(Tasks[[#This Row],[Duration]]),0.1),0)</f>
        <v>0</v>
      </c>
      <c r="CT109" s="43" t="n">
        <f aca="false">Tasks[[#This Row],[_WeightDur]]*Tasks[[#This Row],[_LeafProgress]]</f>
        <v>0</v>
      </c>
      <c r="CU10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0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0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09" s="43" t="str">
        <f aca="false">IF(AND(Tasks[[#This Row],[_IsLeaf]]=1,N(Tasks[[#This Row],[Duration]])=0,Tasks[[#This Row],[_LeafProgress]]&lt;1),Tasks[[#This Row],[_LeafFcstFinish]]+Tasks[[#This Row],[_Row]]/100000,"")</f>
        <v/>
      </c>
      <c r="DA10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09" s="43" t="n">
        <f aca="false">IF(NOT(Tasks[[#This Row],[_IsLeaf]]=1),0,IF(Tasks[[#This Row],[Baseline Cost]]="",Tasks[[#This Row],[_LeafCost]],N(Tasks[[#This Row],[Baseline Cost]])))</f>
        <v>0</v>
      </c>
      <c r="DC109" s="43" t="n">
        <f aca="false">Tasks[[#This Row],[_LeafBudget]]*Tasks[[#This Row],[_PlannedPct]]</f>
        <v>0</v>
      </c>
      <c r="DD109" s="43" t="n">
        <f aca="false">Tasks[[#This Row],[_LeafBudget]]*Tasks[[#This Row],[_LeafProgress]]</f>
        <v>0</v>
      </c>
      <c r="DE109" s="43" t="n">
        <f aca="false">IF(NOT(Tasks[[#This Row],[_IsLeaf]]=1),0,IF(Tasks[[#This Row],[Actual Cost]]="",Tasks[[#This Row],[_LeafCost]]*Tasks[[#This Row],[_LeafProgress]],N(Tasks[[#This Row],[Actual Cost]])))</f>
        <v>0</v>
      </c>
      <c r="DF109" s="43" t="str">
        <f aca="false">IF(Tasks[[#This Row],[Task Name]]="","",LEFT(Tasks[[#This Row],[WBS]],FIND(".",Tasks[[#This Row],[WBS]]&amp;".")-1))</f>
        <v/>
      </c>
      <c r="DG109" s="43" t="str">
        <f aca="false">IF(AND(Tasks[[#This Row],[Task Name]]&lt;&gt;"",Tasks[[#This Row],[_Level]]=1),Tasks[[#This Row],[_Row]],"")</f>
        <v/>
      </c>
      <c r="DH109" s="43" t="str">
        <f aca="false">IF(AND(Tasks[[#This Row],[_IsLeaf]]=1,N(Tasks[[#This Row],[Duration]])=0),Tasks[[#This Row],[Planned Finish]]+Tasks[[#This Row],[_Row]]/100000,"")</f>
        <v/>
      </c>
      <c r="DI10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0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0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09" s="43" t="str">
        <f aca="false">IF(Tasks[[#This Row],[_LeafCritical]],Tasks[[#This Row],[_LeafFcstStart]]+Tasks[[#This Row],[_Row]]/100000,"")</f>
        <v/>
      </c>
    </row>
    <row r="110" customFormat="false" ht="15" hidden="false" customHeight="false" outlineLevel="0" collapsed="false">
      <c r="A110" s="28" t="str">
        <f aca="false">IF(Tasks[[#This Row],[Task Name]]="","",COUNTA(Tasks[[#Headers],[Task Name]]:Tasks[[#This Row],[Task Name]])-1)</f>
        <v/>
      </c>
      <c r="B110" s="29" t="n">
        <v>105</v>
      </c>
      <c r="C1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29"/>
      <c r="E110" s="30"/>
      <c r="F110" s="29"/>
      <c r="G110" s="29"/>
      <c r="H110" s="29"/>
      <c r="I110" s="29"/>
      <c r="J110" s="29"/>
      <c r="K110" s="29"/>
      <c r="L110" s="29"/>
      <c r="M110" s="29"/>
      <c r="N110" s="53"/>
      <c r="O110" s="53"/>
      <c r="P110" s="25" t="str">
        <f aca="false">IF(Tasks[[#This Row],[Task Name]]="","",IF(N(Tasks[[#This Row],[Baseline Start]])&gt;0,Tasks[[#This Row],[Baseline Start]],Tasks[[#This Row],[_CalcStart]]))</f>
        <v/>
      </c>
      <c r="Q110" s="25" t="str">
        <f aca="false">IF(Tasks[[#This Row],[Task Name]]="","",IF(N(Tasks[[#This Row],[Baseline Finish]])&gt;0,Tasks[[#This Row],[Baseline Finish]],Tasks[[#This Row],[_CalcFinish]]))</f>
        <v/>
      </c>
      <c r="R110" s="53"/>
      <c r="S110" s="53"/>
      <c r="T1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55"/>
      <c r="AF11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30"/>
      <c r="AI110" s="55"/>
      <c r="AJ11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64"/>
      <c r="AM11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0" s="30"/>
      <c r="AP110" s="25" t="str">
        <f aca="false">IF(Tasks[[#This Row],[Task Name]]="","",Tasks[[#This Row],[Forecast Start]])</f>
        <v/>
      </c>
      <c r="AQ110" s="25" t="str">
        <f aca="false">IF(Tasks[[#This Row],[Task Name]]="","",Tasks[[#This Row],[Forecast Finish]])</f>
        <v/>
      </c>
      <c r="AR1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0" s="62" t="str">
        <f aca="false">IF(Tasks[[#This Row],[Task Name]]="","",Tasks[[#This Row],[Work]])</f>
        <v/>
      </c>
      <c r="AT110" s="63" t="str">
        <f aca="false">IF(Tasks[[#This Row],[Task Name]]="","",Tasks[[#This Row],[Cost]])</f>
        <v/>
      </c>
      <c r="AU110" s="53"/>
      <c r="AV110" s="53"/>
      <c r="AW110" s="29"/>
      <c r="AX110" s="65"/>
      <c r="AY110" s="64"/>
      <c r="AZ110" s="28" t="str">
        <f aca="false">IF(OR(Tasks[[#This Row],[Task Name]]="",Tasks[[#This Row],[Baseline Duration]]=""),"",Tasks[[#This Row],[BL Source Duration]]-N(Tasks[[#This Row],[Baseline Duration]]))</f>
        <v/>
      </c>
      <c r="BA110" s="62" t="str">
        <f aca="false">IF(OR(Tasks[[#This Row],[Task Name]]="",Tasks[[#This Row],[Baseline Work]]=""),"",Tasks[[#This Row],[Work]]-N(Tasks[[#This Row],[Baseline Work]]))</f>
        <v/>
      </c>
      <c r="BB110" s="63" t="str">
        <f aca="false">IF(OR(Tasks[[#This Row],[Task Name]]="",Tasks[[#This Row],[Baseline Cost]]=""),"",Tasks[[#This Row],[Cost]]-N(Tasks[[#This Row],[Baseline Cost]]))</f>
        <v/>
      </c>
      <c r="BC11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0" s="43" t="str">
        <f aca="false">IF(Tasks[[#This Row],[Task Name]]="","",MAX(1,N(Tasks[[#This Row],[Level]])))</f>
        <v/>
      </c>
      <c r="BH110" s="43" t="n">
        <f aca="false">ROW()-ROW(Tasks[[#Headers],[ID]])</f>
        <v>105</v>
      </c>
      <c r="BI1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0" s="43" t="n">
        <f aca="false">IFERROR(N(INDEX(Tasks[_Level],Tasks[[#This Row],[_Row]]+1)),0)</f>
        <v>0</v>
      </c>
      <c r="BK110" s="66" t="b">
        <f aca="false">AND(Tasks[[#This Row],[Task Name]]&lt;&gt;"",Tasks[[#This Row],[_NextLevel]]&gt;Tasks[[#This Row],[_Level]])</f>
        <v>0</v>
      </c>
      <c r="BL110" s="43" t="n">
        <f aca="false">IF(Tasks[[#This Row],[_IsSummary]],COUNTIF(Tasks[WBS],Tasks[[#This Row],[WBS]]&amp;".*"),0)</f>
        <v>0</v>
      </c>
      <c r="BM110" s="43" t="n">
        <f aca="false">IF(AND(Tasks[[#This Row],[Task Name]]&lt;&gt;"",NOT(Tasks[[#This Row],[_IsSummary]])),1,0)</f>
        <v>0</v>
      </c>
      <c r="BN110" s="43" t="n">
        <f aca="false">IF(N(Tasks[[#This Row],[Pred1 UID]])=0,0,IFERROR(MATCH(Tasks[[#This Row],[Pred1 UID]],Tasks[UID],0),-1))</f>
        <v>0</v>
      </c>
      <c r="BO110" s="43" t="n">
        <f aca="false">IF(N(Tasks[[#This Row],[Pred2 UID]])=0,0,IFERROR(MATCH(Tasks[[#This Row],[Pred2 UID]],Tasks[UID],0),-1))</f>
        <v>0</v>
      </c>
      <c r="BP11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0" s="43" t="n">
        <f aca="false">IF(NOT(Tasks[[#This Row],[_IsLeaf]]=1),0,IF(N(Tasks[[#This Row],[Actual Finish]])&gt;0,1,MIN(1,N(Tasks[[#This Row],[% Complete]]))))</f>
        <v>0</v>
      </c>
      <c r="BU1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0" s="43" t="n">
        <f aca="false">IF(Tasks[[#This Row],[_LeafWork]]=0,0,Tasks[[#This Row],[_LeafWork]]*IFERROR(INDEX(res_Rate,MATCH(Tasks[[#This Row],[Resource]],res_Name,0)),0))</f>
        <v>0</v>
      </c>
      <c r="BW1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0" s="43" t="n">
        <f aca="false">IF(NOT(Tasks[[#This Row],[_IsLeaf]]=1),0,MAX(_xlfn.MAXIFS(Tasks[_Row],Tasks[Pred1 UID],Tasks[[#This Row],[UID]]),_xlfn.MAXIFS(Tasks[_Row],Tasks[Pred2 UID],Tasks[[#This Row],[UID]])))</f>
        <v>0</v>
      </c>
      <c r="CB11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0" s="67" t="str">
        <f aca="false">IF(NOT(Tasks[[#This Row],[_IsLeaf]]=1),"",MIN(ProjectFinish,IF(N(Tasks[[#This Row],[Deadline]])&gt;0,Tasks[[#This Row],[Deadline]],2958465),Tasks[[#This Row],[_SuccessorFinishLimit]]))</f>
        <v/>
      </c>
      <c r="CD11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0" s="66" t="b">
        <f aca="false">AND(Tasks[[#This Row],[_IsLeaf]]=1,Tasks[[#This Row],[_LeafProgress]]&lt;1,N(Tasks[[#This Row],[_LeafTotalSlack]])&lt;=CriticalSlackDays)</f>
        <v>0</v>
      </c>
      <c r="CG11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0" s="43" t="n">
        <f aca="false">IF(AND(Tasks[[#This Row],[_IsLeaf]]=1,Tasks[[#This Row],[_LeafWork]]&gt;0),NETWORKDAYS.INTL(ProjectStart,Tasks[[#This Row],[_LeafFcstStart]],WorkWeek,Holidays),0)</f>
        <v>0</v>
      </c>
      <c r="CP1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0" s="43" t="n">
        <f aca="false">IF(AND(Tasks[[#This Row],[_IsLeaf]]=1,Tasks[[#This Row],[_LeafWork]]&gt;0),Tasks[[#This Row],[_LeafWork]]/(Tasks[[#This Row],[_FinishWorkday]]-Tasks[[#This Row],[_StartWorkday]]+1),0)</f>
        <v>0</v>
      </c>
      <c r="CR110" s="43" t="n">
        <f aca="false">Tasks[[#This Row],[_WorkPerWorkday]]*(Tasks[[#This Row],[_StartWorkday]]-1)</f>
        <v>-0</v>
      </c>
      <c r="CS110" s="43" t="n">
        <f aca="false">IF(Tasks[[#This Row],[_IsLeaf]]=1,MAX(N(Tasks[[#This Row],[Duration]]),0.1),0)</f>
        <v>0</v>
      </c>
      <c r="CT110" s="43" t="n">
        <f aca="false">Tasks[[#This Row],[_WeightDur]]*Tasks[[#This Row],[_LeafProgress]]</f>
        <v>0</v>
      </c>
      <c r="CU1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0" s="43" t="str">
        <f aca="false">IF(AND(Tasks[[#This Row],[_IsLeaf]]=1,N(Tasks[[#This Row],[Duration]])=0,Tasks[[#This Row],[_LeafProgress]]&lt;1),Tasks[[#This Row],[_LeafFcstFinish]]+Tasks[[#This Row],[_Row]]/100000,"")</f>
        <v/>
      </c>
      <c r="DA1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0" s="43" t="n">
        <f aca="false">IF(NOT(Tasks[[#This Row],[_IsLeaf]]=1),0,IF(Tasks[[#This Row],[Baseline Cost]]="",Tasks[[#This Row],[_LeafCost]],N(Tasks[[#This Row],[Baseline Cost]])))</f>
        <v>0</v>
      </c>
      <c r="DC110" s="43" t="n">
        <f aca="false">Tasks[[#This Row],[_LeafBudget]]*Tasks[[#This Row],[_PlannedPct]]</f>
        <v>0</v>
      </c>
      <c r="DD110" s="43" t="n">
        <f aca="false">Tasks[[#This Row],[_LeafBudget]]*Tasks[[#This Row],[_LeafProgress]]</f>
        <v>0</v>
      </c>
      <c r="DE110" s="43" t="n">
        <f aca="false">IF(NOT(Tasks[[#This Row],[_IsLeaf]]=1),0,IF(Tasks[[#This Row],[Actual Cost]]="",Tasks[[#This Row],[_LeafCost]]*Tasks[[#This Row],[_LeafProgress]],N(Tasks[[#This Row],[Actual Cost]])))</f>
        <v>0</v>
      </c>
      <c r="DF110" s="43" t="str">
        <f aca="false">IF(Tasks[[#This Row],[Task Name]]="","",LEFT(Tasks[[#This Row],[WBS]],FIND(".",Tasks[[#This Row],[WBS]]&amp;".")-1))</f>
        <v/>
      </c>
      <c r="DG110" s="43" t="str">
        <f aca="false">IF(AND(Tasks[[#This Row],[Task Name]]&lt;&gt;"",Tasks[[#This Row],[_Level]]=1),Tasks[[#This Row],[_Row]],"")</f>
        <v/>
      </c>
      <c r="DH110" s="43" t="str">
        <f aca="false">IF(AND(Tasks[[#This Row],[_IsLeaf]]=1,N(Tasks[[#This Row],[Duration]])=0),Tasks[[#This Row],[Planned Finish]]+Tasks[[#This Row],[_Row]]/100000,"")</f>
        <v/>
      </c>
      <c r="DI1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0" s="43" t="str">
        <f aca="false">IF(Tasks[[#This Row],[_LeafCritical]],Tasks[[#This Row],[_LeafFcstStart]]+Tasks[[#This Row],[_Row]]/100000,"")</f>
        <v/>
      </c>
    </row>
    <row r="111" customFormat="false" ht="15" hidden="false" customHeight="false" outlineLevel="0" collapsed="false">
      <c r="A111" s="28" t="str">
        <f aca="false">IF(Tasks[[#This Row],[Task Name]]="","",COUNTA(Tasks[[#Headers],[Task Name]]:Tasks[[#This Row],[Task Name]])-1)</f>
        <v/>
      </c>
      <c r="B111" s="29" t="n">
        <v>106</v>
      </c>
      <c r="C1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29"/>
      <c r="E111" s="30"/>
      <c r="F111" s="29"/>
      <c r="G111" s="29"/>
      <c r="H111" s="29"/>
      <c r="I111" s="29"/>
      <c r="J111" s="29"/>
      <c r="K111" s="29"/>
      <c r="L111" s="29"/>
      <c r="M111" s="29"/>
      <c r="N111" s="53"/>
      <c r="O111" s="53"/>
      <c r="P111" s="25" t="str">
        <f aca="false">IF(Tasks[[#This Row],[Task Name]]="","",IF(N(Tasks[[#This Row],[Baseline Start]])&gt;0,Tasks[[#This Row],[Baseline Start]],Tasks[[#This Row],[_CalcStart]]))</f>
        <v/>
      </c>
      <c r="Q111" s="25" t="str">
        <f aca="false">IF(Tasks[[#This Row],[Task Name]]="","",IF(N(Tasks[[#This Row],[Baseline Finish]])&gt;0,Tasks[[#This Row],[Baseline Finish]],Tasks[[#This Row],[_CalcFinish]]))</f>
        <v/>
      </c>
      <c r="R111" s="53"/>
      <c r="S111" s="53"/>
      <c r="T1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55"/>
      <c r="AF11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30"/>
      <c r="AI111" s="55"/>
      <c r="AJ11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64"/>
      <c r="AM11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1" s="30"/>
      <c r="AP111" s="25" t="str">
        <f aca="false">IF(Tasks[[#This Row],[Task Name]]="","",Tasks[[#This Row],[Forecast Start]])</f>
        <v/>
      </c>
      <c r="AQ111" s="25" t="str">
        <f aca="false">IF(Tasks[[#This Row],[Task Name]]="","",Tasks[[#This Row],[Forecast Finish]])</f>
        <v/>
      </c>
      <c r="AR1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1" s="62" t="str">
        <f aca="false">IF(Tasks[[#This Row],[Task Name]]="","",Tasks[[#This Row],[Work]])</f>
        <v/>
      </c>
      <c r="AT111" s="63" t="str">
        <f aca="false">IF(Tasks[[#This Row],[Task Name]]="","",Tasks[[#This Row],[Cost]])</f>
        <v/>
      </c>
      <c r="AU111" s="53"/>
      <c r="AV111" s="53"/>
      <c r="AW111" s="29"/>
      <c r="AX111" s="65"/>
      <c r="AY111" s="64"/>
      <c r="AZ111" s="28" t="str">
        <f aca="false">IF(OR(Tasks[[#This Row],[Task Name]]="",Tasks[[#This Row],[Baseline Duration]]=""),"",Tasks[[#This Row],[BL Source Duration]]-N(Tasks[[#This Row],[Baseline Duration]]))</f>
        <v/>
      </c>
      <c r="BA111" s="62" t="str">
        <f aca="false">IF(OR(Tasks[[#This Row],[Task Name]]="",Tasks[[#This Row],[Baseline Work]]=""),"",Tasks[[#This Row],[Work]]-N(Tasks[[#This Row],[Baseline Work]]))</f>
        <v/>
      </c>
      <c r="BB111" s="63" t="str">
        <f aca="false">IF(OR(Tasks[[#This Row],[Task Name]]="",Tasks[[#This Row],[Baseline Cost]]=""),"",Tasks[[#This Row],[Cost]]-N(Tasks[[#This Row],[Baseline Cost]]))</f>
        <v/>
      </c>
      <c r="BC11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1" s="43" t="str">
        <f aca="false">IF(Tasks[[#This Row],[Task Name]]="","",MAX(1,N(Tasks[[#This Row],[Level]])))</f>
        <v/>
      </c>
      <c r="BH111" s="43" t="n">
        <f aca="false">ROW()-ROW(Tasks[[#Headers],[ID]])</f>
        <v>106</v>
      </c>
      <c r="BI1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1" s="43" t="n">
        <f aca="false">IFERROR(N(INDEX(Tasks[_Level],Tasks[[#This Row],[_Row]]+1)),0)</f>
        <v>0</v>
      </c>
      <c r="BK111" s="66" t="b">
        <f aca="false">AND(Tasks[[#This Row],[Task Name]]&lt;&gt;"",Tasks[[#This Row],[_NextLevel]]&gt;Tasks[[#This Row],[_Level]])</f>
        <v>0</v>
      </c>
      <c r="BL111" s="43" t="n">
        <f aca="false">IF(Tasks[[#This Row],[_IsSummary]],COUNTIF(Tasks[WBS],Tasks[[#This Row],[WBS]]&amp;".*"),0)</f>
        <v>0</v>
      </c>
      <c r="BM111" s="43" t="n">
        <f aca="false">IF(AND(Tasks[[#This Row],[Task Name]]&lt;&gt;"",NOT(Tasks[[#This Row],[_IsSummary]])),1,0)</f>
        <v>0</v>
      </c>
      <c r="BN111" s="43" t="n">
        <f aca="false">IF(N(Tasks[[#This Row],[Pred1 UID]])=0,0,IFERROR(MATCH(Tasks[[#This Row],[Pred1 UID]],Tasks[UID],0),-1))</f>
        <v>0</v>
      </c>
      <c r="BO111" s="43" t="n">
        <f aca="false">IF(N(Tasks[[#This Row],[Pred2 UID]])=0,0,IFERROR(MATCH(Tasks[[#This Row],[Pred2 UID]],Tasks[UID],0),-1))</f>
        <v>0</v>
      </c>
      <c r="BP11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1" s="43" t="n">
        <f aca="false">IF(NOT(Tasks[[#This Row],[_IsLeaf]]=1),0,IF(N(Tasks[[#This Row],[Actual Finish]])&gt;0,1,MIN(1,N(Tasks[[#This Row],[% Complete]]))))</f>
        <v>0</v>
      </c>
      <c r="BU11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1" s="43" t="n">
        <f aca="false">IF(Tasks[[#This Row],[_LeafWork]]=0,0,Tasks[[#This Row],[_LeafWork]]*IFERROR(INDEX(res_Rate,MATCH(Tasks[[#This Row],[Resource]],res_Name,0)),0))</f>
        <v>0</v>
      </c>
      <c r="BW11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1" s="43" t="n">
        <f aca="false">IF(NOT(Tasks[[#This Row],[_IsLeaf]]=1),0,MAX(_xlfn.MAXIFS(Tasks[_Row],Tasks[Pred1 UID],Tasks[[#This Row],[UID]]),_xlfn.MAXIFS(Tasks[_Row],Tasks[Pred2 UID],Tasks[[#This Row],[UID]])))</f>
        <v>0</v>
      </c>
      <c r="CB11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1" s="67" t="str">
        <f aca="false">IF(NOT(Tasks[[#This Row],[_IsLeaf]]=1),"",MIN(ProjectFinish,IF(N(Tasks[[#This Row],[Deadline]])&gt;0,Tasks[[#This Row],[Deadline]],2958465),Tasks[[#This Row],[_SuccessorFinishLimit]]))</f>
        <v/>
      </c>
      <c r="CD11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1" s="66" t="b">
        <f aca="false">AND(Tasks[[#This Row],[_IsLeaf]]=1,Tasks[[#This Row],[_LeafProgress]]&lt;1,N(Tasks[[#This Row],[_LeafTotalSlack]])&lt;=CriticalSlackDays)</f>
        <v>0</v>
      </c>
      <c r="CG11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1" s="43" t="n">
        <f aca="false">IF(AND(Tasks[[#This Row],[_IsLeaf]]=1,Tasks[[#This Row],[_LeafWork]]&gt;0),NETWORKDAYS.INTL(ProjectStart,Tasks[[#This Row],[_LeafFcstStart]],WorkWeek,Holidays),0)</f>
        <v>0</v>
      </c>
      <c r="CP11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1" s="43" t="n">
        <f aca="false">IF(AND(Tasks[[#This Row],[_IsLeaf]]=1,Tasks[[#This Row],[_LeafWork]]&gt;0),Tasks[[#This Row],[_LeafWork]]/(Tasks[[#This Row],[_FinishWorkday]]-Tasks[[#This Row],[_StartWorkday]]+1),0)</f>
        <v>0</v>
      </c>
      <c r="CR111" s="43" t="n">
        <f aca="false">Tasks[[#This Row],[_WorkPerWorkday]]*(Tasks[[#This Row],[_StartWorkday]]-1)</f>
        <v>-0</v>
      </c>
      <c r="CS111" s="43" t="n">
        <f aca="false">IF(Tasks[[#This Row],[_IsLeaf]]=1,MAX(N(Tasks[[#This Row],[Duration]]),0.1),0)</f>
        <v>0</v>
      </c>
      <c r="CT111" s="43" t="n">
        <f aca="false">Tasks[[#This Row],[_WeightDur]]*Tasks[[#This Row],[_LeafProgress]]</f>
        <v>0</v>
      </c>
      <c r="CU1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1" s="43" t="str">
        <f aca="false">IF(AND(Tasks[[#This Row],[_IsLeaf]]=1,N(Tasks[[#This Row],[Duration]])=0,Tasks[[#This Row],[_LeafProgress]]&lt;1),Tasks[[#This Row],[_LeafFcstFinish]]+Tasks[[#This Row],[_Row]]/100000,"")</f>
        <v/>
      </c>
      <c r="DA1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1" s="43" t="n">
        <f aca="false">IF(NOT(Tasks[[#This Row],[_IsLeaf]]=1),0,IF(Tasks[[#This Row],[Baseline Cost]]="",Tasks[[#This Row],[_LeafCost]],N(Tasks[[#This Row],[Baseline Cost]])))</f>
        <v>0</v>
      </c>
      <c r="DC111" s="43" t="n">
        <f aca="false">Tasks[[#This Row],[_LeafBudget]]*Tasks[[#This Row],[_PlannedPct]]</f>
        <v>0</v>
      </c>
      <c r="DD111" s="43" t="n">
        <f aca="false">Tasks[[#This Row],[_LeafBudget]]*Tasks[[#This Row],[_LeafProgress]]</f>
        <v>0</v>
      </c>
      <c r="DE111" s="43" t="n">
        <f aca="false">IF(NOT(Tasks[[#This Row],[_IsLeaf]]=1),0,IF(Tasks[[#This Row],[Actual Cost]]="",Tasks[[#This Row],[_LeafCost]]*Tasks[[#This Row],[_LeafProgress]],N(Tasks[[#This Row],[Actual Cost]])))</f>
        <v>0</v>
      </c>
      <c r="DF111" s="43" t="str">
        <f aca="false">IF(Tasks[[#This Row],[Task Name]]="","",LEFT(Tasks[[#This Row],[WBS]],FIND(".",Tasks[[#This Row],[WBS]]&amp;".")-1))</f>
        <v/>
      </c>
      <c r="DG111" s="43" t="str">
        <f aca="false">IF(AND(Tasks[[#This Row],[Task Name]]&lt;&gt;"",Tasks[[#This Row],[_Level]]=1),Tasks[[#This Row],[_Row]],"")</f>
        <v/>
      </c>
      <c r="DH111" s="43" t="str">
        <f aca="false">IF(AND(Tasks[[#This Row],[_IsLeaf]]=1,N(Tasks[[#This Row],[Duration]])=0),Tasks[[#This Row],[Planned Finish]]+Tasks[[#This Row],[_Row]]/100000,"")</f>
        <v/>
      </c>
      <c r="DI1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1" s="43" t="str">
        <f aca="false">IF(Tasks[[#This Row],[_LeafCritical]],Tasks[[#This Row],[_LeafFcstStart]]+Tasks[[#This Row],[_Row]]/100000,"")</f>
        <v/>
      </c>
    </row>
    <row r="112" customFormat="false" ht="15" hidden="false" customHeight="false" outlineLevel="0" collapsed="false">
      <c r="A112" s="28" t="str">
        <f aca="false">IF(Tasks[[#This Row],[Task Name]]="","",COUNTA(Tasks[[#Headers],[Task Name]]:Tasks[[#This Row],[Task Name]])-1)</f>
        <v/>
      </c>
      <c r="B112" s="29" t="n">
        <v>107</v>
      </c>
      <c r="C1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29"/>
      <c r="E112" s="30"/>
      <c r="F112" s="29"/>
      <c r="G112" s="29"/>
      <c r="H112" s="29"/>
      <c r="I112" s="29"/>
      <c r="J112" s="29"/>
      <c r="K112" s="29"/>
      <c r="L112" s="29"/>
      <c r="M112" s="29"/>
      <c r="N112" s="53"/>
      <c r="O112" s="53"/>
      <c r="P112" s="25" t="str">
        <f aca="false">IF(Tasks[[#This Row],[Task Name]]="","",IF(N(Tasks[[#This Row],[Baseline Start]])&gt;0,Tasks[[#This Row],[Baseline Start]],Tasks[[#This Row],[_CalcStart]]))</f>
        <v/>
      </c>
      <c r="Q112" s="25" t="str">
        <f aca="false">IF(Tasks[[#This Row],[Task Name]]="","",IF(N(Tasks[[#This Row],[Baseline Finish]])&gt;0,Tasks[[#This Row],[Baseline Finish]],Tasks[[#This Row],[_CalcFinish]]))</f>
        <v/>
      </c>
      <c r="R112" s="53"/>
      <c r="S112" s="53"/>
      <c r="T1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55"/>
      <c r="AF11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30"/>
      <c r="AI112" s="55"/>
      <c r="AJ11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64"/>
      <c r="AM11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2" s="30"/>
      <c r="AP112" s="25" t="str">
        <f aca="false">IF(Tasks[[#This Row],[Task Name]]="","",Tasks[[#This Row],[Forecast Start]])</f>
        <v/>
      </c>
      <c r="AQ112" s="25" t="str">
        <f aca="false">IF(Tasks[[#This Row],[Task Name]]="","",Tasks[[#This Row],[Forecast Finish]])</f>
        <v/>
      </c>
      <c r="AR1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2" s="62" t="str">
        <f aca="false">IF(Tasks[[#This Row],[Task Name]]="","",Tasks[[#This Row],[Work]])</f>
        <v/>
      </c>
      <c r="AT112" s="63" t="str">
        <f aca="false">IF(Tasks[[#This Row],[Task Name]]="","",Tasks[[#This Row],[Cost]])</f>
        <v/>
      </c>
      <c r="AU112" s="53"/>
      <c r="AV112" s="53"/>
      <c r="AW112" s="29"/>
      <c r="AX112" s="65"/>
      <c r="AY112" s="64"/>
      <c r="AZ112" s="28" t="str">
        <f aca="false">IF(OR(Tasks[[#This Row],[Task Name]]="",Tasks[[#This Row],[Baseline Duration]]=""),"",Tasks[[#This Row],[BL Source Duration]]-N(Tasks[[#This Row],[Baseline Duration]]))</f>
        <v/>
      </c>
      <c r="BA112" s="62" t="str">
        <f aca="false">IF(OR(Tasks[[#This Row],[Task Name]]="",Tasks[[#This Row],[Baseline Work]]=""),"",Tasks[[#This Row],[Work]]-N(Tasks[[#This Row],[Baseline Work]]))</f>
        <v/>
      </c>
      <c r="BB112" s="63" t="str">
        <f aca="false">IF(OR(Tasks[[#This Row],[Task Name]]="",Tasks[[#This Row],[Baseline Cost]]=""),"",Tasks[[#This Row],[Cost]]-N(Tasks[[#This Row],[Baseline Cost]]))</f>
        <v/>
      </c>
      <c r="BC11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2" s="43" t="str">
        <f aca="false">IF(Tasks[[#This Row],[Task Name]]="","",MAX(1,N(Tasks[[#This Row],[Level]])))</f>
        <v/>
      </c>
      <c r="BH112" s="43" t="n">
        <f aca="false">ROW()-ROW(Tasks[[#Headers],[ID]])</f>
        <v>107</v>
      </c>
      <c r="BI1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2" s="43" t="n">
        <f aca="false">IFERROR(N(INDEX(Tasks[_Level],Tasks[[#This Row],[_Row]]+1)),0)</f>
        <v>0</v>
      </c>
      <c r="BK112" s="66" t="b">
        <f aca="false">AND(Tasks[[#This Row],[Task Name]]&lt;&gt;"",Tasks[[#This Row],[_NextLevel]]&gt;Tasks[[#This Row],[_Level]])</f>
        <v>0</v>
      </c>
      <c r="BL112" s="43" t="n">
        <f aca="false">IF(Tasks[[#This Row],[_IsSummary]],COUNTIF(Tasks[WBS],Tasks[[#This Row],[WBS]]&amp;".*"),0)</f>
        <v>0</v>
      </c>
      <c r="BM112" s="43" t="n">
        <f aca="false">IF(AND(Tasks[[#This Row],[Task Name]]&lt;&gt;"",NOT(Tasks[[#This Row],[_IsSummary]])),1,0)</f>
        <v>0</v>
      </c>
      <c r="BN112" s="43" t="n">
        <f aca="false">IF(N(Tasks[[#This Row],[Pred1 UID]])=0,0,IFERROR(MATCH(Tasks[[#This Row],[Pred1 UID]],Tasks[UID],0),-1))</f>
        <v>0</v>
      </c>
      <c r="BO112" s="43" t="n">
        <f aca="false">IF(N(Tasks[[#This Row],[Pred2 UID]])=0,0,IFERROR(MATCH(Tasks[[#This Row],[Pred2 UID]],Tasks[UID],0),-1))</f>
        <v>0</v>
      </c>
      <c r="BP11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2" s="43" t="n">
        <f aca="false">IF(NOT(Tasks[[#This Row],[_IsLeaf]]=1),0,IF(N(Tasks[[#This Row],[Actual Finish]])&gt;0,1,MIN(1,N(Tasks[[#This Row],[% Complete]]))))</f>
        <v>0</v>
      </c>
      <c r="BU11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2" s="43" t="n">
        <f aca="false">IF(Tasks[[#This Row],[_LeafWork]]=0,0,Tasks[[#This Row],[_LeafWork]]*IFERROR(INDEX(res_Rate,MATCH(Tasks[[#This Row],[Resource]],res_Name,0)),0))</f>
        <v>0</v>
      </c>
      <c r="BW11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2" s="43" t="n">
        <f aca="false">IF(NOT(Tasks[[#This Row],[_IsLeaf]]=1),0,MAX(_xlfn.MAXIFS(Tasks[_Row],Tasks[Pred1 UID],Tasks[[#This Row],[UID]]),_xlfn.MAXIFS(Tasks[_Row],Tasks[Pred2 UID],Tasks[[#This Row],[UID]])))</f>
        <v>0</v>
      </c>
      <c r="CB11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2" s="67" t="str">
        <f aca="false">IF(NOT(Tasks[[#This Row],[_IsLeaf]]=1),"",MIN(ProjectFinish,IF(N(Tasks[[#This Row],[Deadline]])&gt;0,Tasks[[#This Row],[Deadline]],2958465),Tasks[[#This Row],[_SuccessorFinishLimit]]))</f>
        <v/>
      </c>
      <c r="CD11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2" s="66" t="b">
        <f aca="false">AND(Tasks[[#This Row],[_IsLeaf]]=1,Tasks[[#This Row],[_LeafProgress]]&lt;1,N(Tasks[[#This Row],[_LeafTotalSlack]])&lt;=CriticalSlackDays)</f>
        <v>0</v>
      </c>
      <c r="CG11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2" s="43" t="n">
        <f aca="false">IF(AND(Tasks[[#This Row],[_IsLeaf]]=1,Tasks[[#This Row],[_LeafWork]]&gt;0),NETWORKDAYS.INTL(ProjectStart,Tasks[[#This Row],[_LeafFcstStart]],WorkWeek,Holidays),0)</f>
        <v>0</v>
      </c>
      <c r="CP11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2" s="43" t="n">
        <f aca="false">IF(AND(Tasks[[#This Row],[_IsLeaf]]=1,Tasks[[#This Row],[_LeafWork]]&gt;0),Tasks[[#This Row],[_LeafWork]]/(Tasks[[#This Row],[_FinishWorkday]]-Tasks[[#This Row],[_StartWorkday]]+1),0)</f>
        <v>0</v>
      </c>
      <c r="CR112" s="43" t="n">
        <f aca="false">Tasks[[#This Row],[_WorkPerWorkday]]*(Tasks[[#This Row],[_StartWorkday]]-1)</f>
        <v>-0</v>
      </c>
      <c r="CS112" s="43" t="n">
        <f aca="false">IF(Tasks[[#This Row],[_IsLeaf]]=1,MAX(N(Tasks[[#This Row],[Duration]]),0.1),0)</f>
        <v>0</v>
      </c>
      <c r="CT112" s="43" t="n">
        <f aca="false">Tasks[[#This Row],[_WeightDur]]*Tasks[[#This Row],[_LeafProgress]]</f>
        <v>0</v>
      </c>
      <c r="CU1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2" s="43" t="str">
        <f aca="false">IF(AND(Tasks[[#This Row],[_IsLeaf]]=1,N(Tasks[[#This Row],[Duration]])=0,Tasks[[#This Row],[_LeafProgress]]&lt;1),Tasks[[#This Row],[_LeafFcstFinish]]+Tasks[[#This Row],[_Row]]/100000,"")</f>
        <v/>
      </c>
      <c r="DA1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2" s="43" t="n">
        <f aca="false">IF(NOT(Tasks[[#This Row],[_IsLeaf]]=1),0,IF(Tasks[[#This Row],[Baseline Cost]]="",Tasks[[#This Row],[_LeafCost]],N(Tasks[[#This Row],[Baseline Cost]])))</f>
        <v>0</v>
      </c>
      <c r="DC112" s="43" t="n">
        <f aca="false">Tasks[[#This Row],[_LeafBudget]]*Tasks[[#This Row],[_PlannedPct]]</f>
        <v>0</v>
      </c>
      <c r="DD112" s="43" t="n">
        <f aca="false">Tasks[[#This Row],[_LeafBudget]]*Tasks[[#This Row],[_LeafProgress]]</f>
        <v>0</v>
      </c>
      <c r="DE112" s="43" t="n">
        <f aca="false">IF(NOT(Tasks[[#This Row],[_IsLeaf]]=1),0,IF(Tasks[[#This Row],[Actual Cost]]="",Tasks[[#This Row],[_LeafCost]]*Tasks[[#This Row],[_LeafProgress]],N(Tasks[[#This Row],[Actual Cost]])))</f>
        <v>0</v>
      </c>
      <c r="DF112" s="43" t="str">
        <f aca="false">IF(Tasks[[#This Row],[Task Name]]="","",LEFT(Tasks[[#This Row],[WBS]],FIND(".",Tasks[[#This Row],[WBS]]&amp;".")-1))</f>
        <v/>
      </c>
      <c r="DG112" s="43" t="str">
        <f aca="false">IF(AND(Tasks[[#This Row],[Task Name]]&lt;&gt;"",Tasks[[#This Row],[_Level]]=1),Tasks[[#This Row],[_Row]],"")</f>
        <v/>
      </c>
      <c r="DH112" s="43" t="str">
        <f aca="false">IF(AND(Tasks[[#This Row],[_IsLeaf]]=1,N(Tasks[[#This Row],[Duration]])=0),Tasks[[#This Row],[Planned Finish]]+Tasks[[#This Row],[_Row]]/100000,"")</f>
        <v/>
      </c>
      <c r="DI1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2" s="43" t="str">
        <f aca="false">IF(Tasks[[#This Row],[_LeafCritical]],Tasks[[#This Row],[_LeafFcstStart]]+Tasks[[#This Row],[_Row]]/100000,"")</f>
        <v/>
      </c>
    </row>
    <row r="113" customFormat="false" ht="15" hidden="false" customHeight="false" outlineLevel="0" collapsed="false">
      <c r="A113" s="28" t="str">
        <f aca="false">IF(Tasks[[#This Row],[Task Name]]="","",COUNTA(Tasks[[#Headers],[Task Name]]:Tasks[[#This Row],[Task Name]])-1)</f>
        <v/>
      </c>
      <c r="B113" s="29" t="n">
        <v>108</v>
      </c>
      <c r="C1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29"/>
      <c r="E113" s="30"/>
      <c r="F113" s="29"/>
      <c r="G113" s="29"/>
      <c r="H113" s="29"/>
      <c r="I113" s="29"/>
      <c r="J113" s="29"/>
      <c r="K113" s="29"/>
      <c r="L113" s="29"/>
      <c r="M113" s="29"/>
      <c r="N113" s="53"/>
      <c r="O113" s="53"/>
      <c r="P113" s="25" t="str">
        <f aca="false">IF(Tasks[[#This Row],[Task Name]]="","",IF(N(Tasks[[#This Row],[Baseline Start]])&gt;0,Tasks[[#This Row],[Baseline Start]],Tasks[[#This Row],[_CalcStart]]))</f>
        <v/>
      </c>
      <c r="Q113" s="25" t="str">
        <f aca="false">IF(Tasks[[#This Row],[Task Name]]="","",IF(N(Tasks[[#This Row],[Baseline Finish]])&gt;0,Tasks[[#This Row],[Baseline Finish]],Tasks[[#This Row],[_CalcFinish]]))</f>
        <v/>
      </c>
      <c r="R113" s="53"/>
      <c r="S113" s="53"/>
      <c r="T1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55"/>
      <c r="AF11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30"/>
      <c r="AI113" s="55"/>
      <c r="AJ11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64"/>
      <c r="AM11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3" s="30"/>
      <c r="AP113" s="25" t="str">
        <f aca="false">IF(Tasks[[#This Row],[Task Name]]="","",Tasks[[#This Row],[Forecast Start]])</f>
        <v/>
      </c>
      <c r="AQ113" s="25" t="str">
        <f aca="false">IF(Tasks[[#This Row],[Task Name]]="","",Tasks[[#This Row],[Forecast Finish]])</f>
        <v/>
      </c>
      <c r="AR1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3" s="62" t="str">
        <f aca="false">IF(Tasks[[#This Row],[Task Name]]="","",Tasks[[#This Row],[Work]])</f>
        <v/>
      </c>
      <c r="AT113" s="63" t="str">
        <f aca="false">IF(Tasks[[#This Row],[Task Name]]="","",Tasks[[#This Row],[Cost]])</f>
        <v/>
      </c>
      <c r="AU113" s="53"/>
      <c r="AV113" s="53"/>
      <c r="AW113" s="29"/>
      <c r="AX113" s="65"/>
      <c r="AY113" s="64"/>
      <c r="AZ113" s="28" t="str">
        <f aca="false">IF(OR(Tasks[[#This Row],[Task Name]]="",Tasks[[#This Row],[Baseline Duration]]=""),"",Tasks[[#This Row],[BL Source Duration]]-N(Tasks[[#This Row],[Baseline Duration]]))</f>
        <v/>
      </c>
      <c r="BA113" s="62" t="str">
        <f aca="false">IF(OR(Tasks[[#This Row],[Task Name]]="",Tasks[[#This Row],[Baseline Work]]=""),"",Tasks[[#This Row],[Work]]-N(Tasks[[#This Row],[Baseline Work]]))</f>
        <v/>
      </c>
      <c r="BB113" s="63" t="str">
        <f aca="false">IF(OR(Tasks[[#This Row],[Task Name]]="",Tasks[[#This Row],[Baseline Cost]]=""),"",Tasks[[#This Row],[Cost]]-N(Tasks[[#This Row],[Baseline Cost]]))</f>
        <v/>
      </c>
      <c r="BC11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3" s="43" t="str">
        <f aca="false">IF(Tasks[[#This Row],[Task Name]]="","",MAX(1,N(Tasks[[#This Row],[Level]])))</f>
        <v/>
      </c>
      <c r="BH113" s="43" t="n">
        <f aca="false">ROW()-ROW(Tasks[[#Headers],[ID]])</f>
        <v>108</v>
      </c>
      <c r="BI1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3" s="43" t="n">
        <f aca="false">IFERROR(N(INDEX(Tasks[_Level],Tasks[[#This Row],[_Row]]+1)),0)</f>
        <v>0</v>
      </c>
      <c r="BK113" s="66" t="b">
        <f aca="false">AND(Tasks[[#This Row],[Task Name]]&lt;&gt;"",Tasks[[#This Row],[_NextLevel]]&gt;Tasks[[#This Row],[_Level]])</f>
        <v>0</v>
      </c>
      <c r="BL113" s="43" t="n">
        <f aca="false">IF(Tasks[[#This Row],[_IsSummary]],COUNTIF(Tasks[WBS],Tasks[[#This Row],[WBS]]&amp;".*"),0)</f>
        <v>0</v>
      </c>
      <c r="BM113" s="43" t="n">
        <f aca="false">IF(AND(Tasks[[#This Row],[Task Name]]&lt;&gt;"",NOT(Tasks[[#This Row],[_IsSummary]])),1,0)</f>
        <v>0</v>
      </c>
      <c r="BN113" s="43" t="n">
        <f aca="false">IF(N(Tasks[[#This Row],[Pred1 UID]])=0,0,IFERROR(MATCH(Tasks[[#This Row],[Pred1 UID]],Tasks[UID],0),-1))</f>
        <v>0</v>
      </c>
      <c r="BO113" s="43" t="n">
        <f aca="false">IF(N(Tasks[[#This Row],[Pred2 UID]])=0,0,IFERROR(MATCH(Tasks[[#This Row],[Pred2 UID]],Tasks[UID],0),-1))</f>
        <v>0</v>
      </c>
      <c r="BP11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3" s="43" t="n">
        <f aca="false">IF(NOT(Tasks[[#This Row],[_IsLeaf]]=1),0,IF(N(Tasks[[#This Row],[Actual Finish]])&gt;0,1,MIN(1,N(Tasks[[#This Row],[% Complete]]))))</f>
        <v>0</v>
      </c>
      <c r="BU11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3" s="43" t="n">
        <f aca="false">IF(Tasks[[#This Row],[_LeafWork]]=0,0,Tasks[[#This Row],[_LeafWork]]*IFERROR(INDEX(res_Rate,MATCH(Tasks[[#This Row],[Resource]],res_Name,0)),0))</f>
        <v>0</v>
      </c>
      <c r="BW11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3" s="43" t="n">
        <f aca="false">IF(NOT(Tasks[[#This Row],[_IsLeaf]]=1),0,MAX(_xlfn.MAXIFS(Tasks[_Row],Tasks[Pred1 UID],Tasks[[#This Row],[UID]]),_xlfn.MAXIFS(Tasks[_Row],Tasks[Pred2 UID],Tasks[[#This Row],[UID]])))</f>
        <v>0</v>
      </c>
      <c r="CB11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3" s="67" t="str">
        <f aca="false">IF(NOT(Tasks[[#This Row],[_IsLeaf]]=1),"",MIN(ProjectFinish,IF(N(Tasks[[#This Row],[Deadline]])&gt;0,Tasks[[#This Row],[Deadline]],2958465),Tasks[[#This Row],[_SuccessorFinishLimit]]))</f>
        <v/>
      </c>
      <c r="CD11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3" s="66" t="b">
        <f aca="false">AND(Tasks[[#This Row],[_IsLeaf]]=1,Tasks[[#This Row],[_LeafProgress]]&lt;1,N(Tasks[[#This Row],[_LeafTotalSlack]])&lt;=CriticalSlackDays)</f>
        <v>0</v>
      </c>
      <c r="CG11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3" s="43" t="n">
        <f aca="false">IF(AND(Tasks[[#This Row],[_IsLeaf]]=1,Tasks[[#This Row],[_LeafWork]]&gt;0),NETWORKDAYS.INTL(ProjectStart,Tasks[[#This Row],[_LeafFcstStart]],WorkWeek,Holidays),0)</f>
        <v>0</v>
      </c>
      <c r="CP11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3" s="43" t="n">
        <f aca="false">IF(AND(Tasks[[#This Row],[_IsLeaf]]=1,Tasks[[#This Row],[_LeafWork]]&gt;0),Tasks[[#This Row],[_LeafWork]]/(Tasks[[#This Row],[_FinishWorkday]]-Tasks[[#This Row],[_StartWorkday]]+1),0)</f>
        <v>0</v>
      </c>
      <c r="CR113" s="43" t="n">
        <f aca="false">Tasks[[#This Row],[_WorkPerWorkday]]*(Tasks[[#This Row],[_StartWorkday]]-1)</f>
        <v>-0</v>
      </c>
      <c r="CS113" s="43" t="n">
        <f aca="false">IF(Tasks[[#This Row],[_IsLeaf]]=1,MAX(N(Tasks[[#This Row],[Duration]]),0.1),0)</f>
        <v>0</v>
      </c>
      <c r="CT113" s="43" t="n">
        <f aca="false">Tasks[[#This Row],[_WeightDur]]*Tasks[[#This Row],[_LeafProgress]]</f>
        <v>0</v>
      </c>
      <c r="CU1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3" s="43" t="str">
        <f aca="false">IF(AND(Tasks[[#This Row],[_IsLeaf]]=1,N(Tasks[[#This Row],[Duration]])=0,Tasks[[#This Row],[_LeafProgress]]&lt;1),Tasks[[#This Row],[_LeafFcstFinish]]+Tasks[[#This Row],[_Row]]/100000,"")</f>
        <v/>
      </c>
      <c r="DA1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3" s="43" t="n">
        <f aca="false">IF(NOT(Tasks[[#This Row],[_IsLeaf]]=1),0,IF(Tasks[[#This Row],[Baseline Cost]]="",Tasks[[#This Row],[_LeafCost]],N(Tasks[[#This Row],[Baseline Cost]])))</f>
        <v>0</v>
      </c>
      <c r="DC113" s="43" t="n">
        <f aca="false">Tasks[[#This Row],[_LeafBudget]]*Tasks[[#This Row],[_PlannedPct]]</f>
        <v>0</v>
      </c>
      <c r="DD113" s="43" t="n">
        <f aca="false">Tasks[[#This Row],[_LeafBudget]]*Tasks[[#This Row],[_LeafProgress]]</f>
        <v>0</v>
      </c>
      <c r="DE113" s="43" t="n">
        <f aca="false">IF(NOT(Tasks[[#This Row],[_IsLeaf]]=1),0,IF(Tasks[[#This Row],[Actual Cost]]="",Tasks[[#This Row],[_LeafCost]]*Tasks[[#This Row],[_LeafProgress]],N(Tasks[[#This Row],[Actual Cost]])))</f>
        <v>0</v>
      </c>
      <c r="DF113" s="43" t="str">
        <f aca="false">IF(Tasks[[#This Row],[Task Name]]="","",LEFT(Tasks[[#This Row],[WBS]],FIND(".",Tasks[[#This Row],[WBS]]&amp;".")-1))</f>
        <v/>
      </c>
      <c r="DG113" s="43" t="str">
        <f aca="false">IF(AND(Tasks[[#This Row],[Task Name]]&lt;&gt;"",Tasks[[#This Row],[_Level]]=1),Tasks[[#This Row],[_Row]],"")</f>
        <v/>
      </c>
      <c r="DH113" s="43" t="str">
        <f aca="false">IF(AND(Tasks[[#This Row],[_IsLeaf]]=1,N(Tasks[[#This Row],[Duration]])=0),Tasks[[#This Row],[Planned Finish]]+Tasks[[#This Row],[_Row]]/100000,"")</f>
        <v/>
      </c>
      <c r="DI1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3" s="43" t="str">
        <f aca="false">IF(Tasks[[#This Row],[_LeafCritical]],Tasks[[#This Row],[_LeafFcstStart]]+Tasks[[#This Row],[_Row]]/100000,"")</f>
        <v/>
      </c>
    </row>
    <row r="114" customFormat="false" ht="15" hidden="false" customHeight="false" outlineLevel="0" collapsed="false">
      <c r="A114" s="28" t="str">
        <f aca="false">IF(Tasks[[#This Row],[Task Name]]="","",COUNTA(Tasks[[#Headers],[Task Name]]:Tasks[[#This Row],[Task Name]])-1)</f>
        <v/>
      </c>
      <c r="B114" s="29" t="n">
        <v>109</v>
      </c>
      <c r="C1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29"/>
      <c r="E114" s="30"/>
      <c r="F114" s="29"/>
      <c r="G114" s="29"/>
      <c r="H114" s="29"/>
      <c r="I114" s="29"/>
      <c r="J114" s="29"/>
      <c r="K114" s="29"/>
      <c r="L114" s="29"/>
      <c r="M114" s="29"/>
      <c r="N114" s="53"/>
      <c r="O114" s="53"/>
      <c r="P114" s="25" t="str">
        <f aca="false">IF(Tasks[[#This Row],[Task Name]]="","",IF(N(Tasks[[#This Row],[Baseline Start]])&gt;0,Tasks[[#This Row],[Baseline Start]],Tasks[[#This Row],[_CalcStart]]))</f>
        <v/>
      </c>
      <c r="Q114" s="25" t="str">
        <f aca="false">IF(Tasks[[#This Row],[Task Name]]="","",IF(N(Tasks[[#This Row],[Baseline Finish]])&gt;0,Tasks[[#This Row],[Baseline Finish]],Tasks[[#This Row],[_CalcFinish]]))</f>
        <v/>
      </c>
      <c r="R114" s="53"/>
      <c r="S114" s="53"/>
      <c r="T1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55"/>
      <c r="AF11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30"/>
      <c r="AI114" s="55"/>
      <c r="AJ11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64"/>
      <c r="AM11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4" s="30"/>
      <c r="AP114" s="25" t="str">
        <f aca="false">IF(Tasks[[#This Row],[Task Name]]="","",Tasks[[#This Row],[Forecast Start]])</f>
        <v/>
      </c>
      <c r="AQ114" s="25" t="str">
        <f aca="false">IF(Tasks[[#This Row],[Task Name]]="","",Tasks[[#This Row],[Forecast Finish]])</f>
        <v/>
      </c>
      <c r="AR1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4" s="62" t="str">
        <f aca="false">IF(Tasks[[#This Row],[Task Name]]="","",Tasks[[#This Row],[Work]])</f>
        <v/>
      </c>
      <c r="AT114" s="63" t="str">
        <f aca="false">IF(Tasks[[#This Row],[Task Name]]="","",Tasks[[#This Row],[Cost]])</f>
        <v/>
      </c>
      <c r="AU114" s="53"/>
      <c r="AV114" s="53"/>
      <c r="AW114" s="29"/>
      <c r="AX114" s="65"/>
      <c r="AY114" s="64"/>
      <c r="AZ114" s="28" t="str">
        <f aca="false">IF(OR(Tasks[[#This Row],[Task Name]]="",Tasks[[#This Row],[Baseline Duration]]=""),"",Tasks[[#This Row],[BL Source Duration]]-N(Tasks[[#This Row],[Baseline Duration]]))</f>
        <v/>
      </c>
      <c r="BA114" s="62" t="str">
        <f aca="false">IF(OR(Tasks[[#This Row],[Task Name]]="",Tasks[[#This Row],[Baseline Work]]=""),"",Tasks[[#This Row],[Work]]-N(Tasks[[#This Row],[Baseline Work]]))</f>
        <v/>
      </c>
      <c r="BB114" s="63" t="str">
        <f aca="false">IF(OR(Tasks[[#This Row],[Task Name]]="",Tasks[[#This Row],[Baseline Cost]]=""),"",Tasks[[#This Row],[Cost]]-N(Tasks[[#This Row],[Baseline Cost]]))</f>
        <v/>
      </c>
      <c r="BC11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4" s="43" t="str">
        <f aca="false">IF(Tasks[[#This Row],[Task Name]]="","",MAX(1,N(Tasks[[#This Row],[Level]])))</f>
        <v/>
      </c>
      <c r="BH114" s="43" t="n">
        <f aca="false">ROW()-ROW(Tasks[[#Headers],[ID]])</f>
        <v>109</v>
      </c>
      <c r="BI1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4" s="43" t="n">
        <f aca="false">IFERROR(N(INDEX(Tasks[_Level],Tasks[[#This Row],[_Row]]+1)),0)</f>
        <v>0</v>
      </c>
      <c r="BK114" s="66" t="b">
        <f aca="false">AND(Tasks[[#This Row],[Task Name]]&lt;&gt;"",Tasks[[#This Row],[_NextLevel]]&gt;Tasks[[#This Row],[_Level]])</f>
        <v>0</v>
      </c>
      <c r="BL114" s="43" t="n">
        <f aca="false">IF(Tasks[[#This Row],[_IsSummary]],COUNTIF(Tasks[WBS],Tasks[[#This Row],[WBS]]&amp;".*"),0)</f>
        <v>0</v>
      </c>
      <c r="BM114" s="43" t="n">
        <f aca="false">IF(AND(Tasks[[#This Row],[Task Name]]&lt;&gt;"",NOT(Tasks[[#This Row],[_IsSummary]])),1,0)</f>
        <v>0</v>
      </c>
      <c r="BN114" s="43" t="n">
        <f aca="false">IF(N(Tasks[[#This Row],[Pred1 UID]])=0,0,IFERROR(MATCH(Tasks[[#This Row],[Pred1 UID]],Tasks[UID],0),-1))</f>
        <v>0</v>
      </c>
      <c r="BO114" s="43" t="n">
        <f aca="false">IF(N(Tasks[[#This Row],[Pred2 UID]])=0,0,IFERROR(MATCH(Tasks[[#This Row],[Pred2 UID]],Tasks[UID],0),-1))</f>
        <v>0</v>
      </c>
      <c r="BP11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4" s="43" t="n">
        <f aca="false">IF(NOT(Tasks[[#This Row],[_IsLeaf]]=1),0,IF(N(Tasks[[#This Row],[Actual Finish]])&gt;0,1,MIN(1,N(Tasks[[#This Row],[% Complete]]))))</f>
        <v>0</v>
      </c>
      <c r="BU1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4" s="43" t="n">
        <f aca="false">IF(Tasks[[#This Row],[_LeafWork]]=0,0,Tasks[[#This Row],[_LeafWork]]*IFERROR(INDEX(res_Rate,MATCH(Tasks[[#This Row],[Resource]],res_Name,0)),0))</f>
        <v>0</v>
      </c>
      <c r="BW11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4" s="43" t="n">
        <f aca="false">IF(NOT(Tasks[[#This Row],[_IsLeaf]]=1),0,MAX(_xlfn.MAXIFS(Tasks[_Row],Tasks[Pred1 UID],Tasks[[#This Row],[UID]]),_xlfn.MAXIFS(Tasks[_Row],Tasks[Pred2 UID],Tasks[[#This Row],[UID]])))</f>
        <v>0</v>
      </c>
      <c r="CB11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4" s="67" t="str">
        <f aca="false">IF(NOT(Tasks[[#This Row],[_IsLeaf]]=1),"",MIN(ProjectFinish,IF(N(Tasks[[#This Row],[Deadline]])&gt;0,Tasks[[#This Row],[Deadline]],2958465),Tasks[[#This Row],[_SuccessorFinishLimit]]))</f>
        <v/>
      </c>
      <c r="CD11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4" s="66" t="b">
        <f aca="false">AND(Tasks[[#This Row],[_IsLeaf]]=1,Tasks[[#This Row],[_LeafProgress]]&lt;1,N(Tasks[[#This Row],[_LeafTotalSlack]])&lt;=CriticalSlackDays)</f>
        <v>0</v>
      </c>
      <c r="CG11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4" s="43" t="n">
        <f aca="false">IF(AND(Tasks[[#This Row],[_IsLeaf]]=1,Tasks[[#This Row],[_LeafWork]]&gt;0),NETWORKDAYS.INTL(ProjectStart,Tasks[[#This Row],[_LeafFcstStart]],WorkWeek,Holidays),0)</f>
        <v>0</v>
      </c>
      <c r="CP1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4" s="43" t="n">
        <f aca="false">IF(AND(Tasks[[#This Row],[_IsLeaf]]=1,Tasks[[#This Row],[_LeafWork]]&gt;0),Tasks[[#This Row],[_LeafWork]]/(Tasks[[#This Row],[_FinishWorkday]]-Tasks[[#This Row],[_StartWorkday]]+1),0)</f>
        <v>0</v>
      </c>
      <c r="CR114" s="43" t="n">
        <f aca="false">Tasks[[#This Row],[_WorkPerWorkday]]*(Tasks[[#This Row],[_StartWorkday]]-1)</f>
        <v>-0</v>
      </c>
      <c r="CS114" s="43" t="n">
        <f aca="false">IF(Tasks[[#This Row],[_IsLeaf]]=1,MAX(N(Tasks[[#This Row],[Duration]]),0.1),0)</f>
        <v>0</v>
      </c>
      <c r="CT114" s="43" t="n">
        <f aca="false">Tasks[[#This Row],[_WeightDur]]*Tasks[[#This Row],[_LeafProgress]]</f>
        <v>0</v>
      </c>
      <c r="CU1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4" s="43" t="str">
        <f aca="false">IF(AND(Tasks[[#This Row],[_IsLeaf]]=1,N(Tasks[[#This Row],[Duration]])=0,Tasks[[#This Row],[_LeafProgress]]&lt;1),Tasks[[#This Row],[_LeafFcstFinish]]+Tasks[[#This Row],[_Row]]/100000,"")</f>
        <v/>
      </c>
      <c r="DA1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4" s="43" t="n">
        <f aca="false">IF(NOT(Tasks[[#This Row],[_IsLeaf]]=1),0,IF(Tasks[[#This Row],[Baseline Cost]]="",Tasks[[#This Row],[_LeafCost]],N(Tasks[[#This Row],[Baseline Cost]])))</f>
        <v>0</v>
      </c>
      <c r="DC114" s="43" t="n">
        <f aca="false">Tasks[[#This Row],[_LeafBudget]]*Tasks[[#This Row],[_PlannedPct]]</f>
        <v>0</v>
      </c>
      <c r="DD114" s="43" t="n">
        <f aca="false">Tasks[[#This Row],[_LeafBudget]]*Tasks[[#This Row],[_LeafProgress]]</f>
        <v>0</v>
      </c>
      <c r="DE114" s="43" t="n">
        <f aca="false">IF(NOT(Tasks[[#This Row],[_IsLeaf]]=1),0,IF(Tasks[[#This Row],[Actual Cost]]="",Tasks[[#This Row],[_LeafCost]]*Tasks[[#This Row],[_LeafProgress]],N(Tasks[[#This Row],[Actual Cost]])))</f>
        <v>0</v>
      </c>
      <c r="DF114" s="43" t="str">
        <f aca="false">IF(Tasks[[#This Row],[Task Name]]="","",LEFT(Tasks[[#This Row],[WBS]],FIND(".",Tasks[[#This Row],[WBS]]&amp;".")-1))</f>
        <v/>
      </c>
      <c r="DG114" s="43" t="str">
        <f aca="false">IF(AND(Tasks[[#This Row],[Task Name]]&lt;&gt;"",Tasks[[#This Row],[_Level]]=1),Tasks[[#This Row],[_Row]],"")</f>
        <v/>
      </c>
      <c r="DH114" s="43" t="str">
        <f aca="false">IF(AND(Tasks[[#This Row],[_IsLeaf]]=1,N(Tasks[[#This Row],[Duration]])=0),Tasks[[#This Row],[Planned Finish]]+Tasks[[#This Row],[_Row]]/100000,"")</f>
        <v/>
      </c>
      <c r="DI1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4" s="43" t="str">
        <f aca="false">IF(Tasks[[#This Row],[_LeafCritical]],Tasks[[#This Row],[_LeafFcstStart]]+Tasks[[#This Row],[_Row]]/100000,"")</f>
        <v/>
      </c>
    </row>
    <row r="115" customFormat="false" ht="15" hidden="false" customHeight="false" outlineLevel="0" collapsed="false">
      <c r="A115" s="28" t="str">
        <f aca="false">IF(Tasks[[#This Row],[Task Name]]="","",COUNTA(Tasks[[#Headers],[Task Name]]:Tasks[[#This Row],[Task Name]])-1)</f>
        <v/>
      </c>
      <c r="B115" s="29" t="n">
        <v>110</v>
      </c>
      <c r="C1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29"/>
      <c r="E115" s="30"/>
      <c r="F115" s="29"/>
      <c r="G115" s="29"/>
      <c r="H115" s="29"/>
      <c r="I115" s="29"/>
      <c r="J115" s="29"/>
      <c r="K115" s="29"/>
      <c r="L115" s="29"/>
      <c r="M115" s="29"/>
      <c r="N115" s="53"/>
      <c r="O115" s="53"/>
      <c r="P115" s="25" t="str">
        <f aca="false">IF(Tasks[[#This Row],[Task Name]]="","",IF(N(Tasks[[#This Row],[Baseline Start]])&gt;0,Tasks[[#This Row],[Baseline Start]],Tasks[[#This Row],[_CalcStart]]))</f>
        <v/>
      </c>
      <c r="Q115" s="25" t="str">
        <f aca="false">IF(Tasks[[#This Row],[Task Name]]="","",IF(N(Tasks[[#This Row],[Baseline Finish]])&gt;0,Tasks[[#This Row],[Baseline Finish]],Tasks[[#This Row],[_CalcFinish]]))</f>
        <v/>
      </c>
      <c r="R115" s="53"/>
      <c r="S115" s="53"/>
      <c r="T1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55"/>
      <c r="AF11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30"/>
      <c r="AI115" s="55"/>
      <c r="AJ11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64"/>
      <c r="AM11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5" s="30"/>
      <c r="AP115" s="25" t="str">
        <f aca="false">IF(Tasks[[#This Row],[Task Name]]="","",Tasks[[#This Row],[Forecast Start]])</f>
        <v/>
      </c>
      <c r="AQ115" s="25" t="str">
        <f aca="false">IF(Tasks[[#This Row],[Task Name]]="","",Tasks[[#This Row],[Forecast Finish]])</f>
        <v/>
      </c>
      <c r="AR1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5" s="62" t="str">
        <f aca="false">IF(Tasks[[#This Row],[Task Name]]="","",Tasks[[#This Row],[Work]])</f>
        <v/>
      </c>
      <c r="AT115" s="63" t="str">
        <f aca="false">IF(Tasks[[#This Row],[Task Name]]="","",Tasks[[#This Row],[Cost]])</f>
        <v/>
      </c>
      <c r="AU115" s="53"/>
      <c r="AV115" s="53"/>
      <c r="AW115" s="29"/>
      <c r="AX115" s="65"/>
      <c r="AY115" s="64"/>
      <c r="AZ115" s="28" t="str">
        <f aca="false">IF(OR(Tasks[[#This Row],[Task Name]]="",Tasks[[#This Row],[Baseline Duration]]=""),"",Tasks[[#This Row],[BL Source Duration]]-N(Tasks[[#This Row],[Baseline Duration]]))</f>
        <v/>
      </c>
      <c r="BA115" s="62" t="str">
        <f aca="false">IF(OR(Tasks[[#This Row],[Task Name]]="",Tasks[[#This Row],[Baseline Work]]=""),"",Tasks[[#This Row],[Work]]-N(Tasks[[#This Row],[Baseline Work]]))</f>
        <v/>
      </c>
      <c r="BB115" s="63" t="str">
        <f aca="false">IF(OR(Tasks[[#This Row],[Task Name]]="",Tasks[[#This Row],[Baseline Cost]]=""),"",Tasks[[#This Row],[Cost]]-N(Tasks[[#This Row],[Baseline Cost]]))</f>
        <v/>
      </c>
      <c r="BC11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5" s="43" t="str">
        <f aca="false">IF(Tasks[[#This Row],[Task Name]]="","",MAX(1,N(Tasks[[#This Row],[Level]])))</f>
        <v/>
      </c>
      <c r="BH115" s="43" t="n">
        <f aca="false">ROW()-ROW(Tasks[[#Headers],[ID]])</f>
        <v>110</v>
      </c>
      <c r="BI1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5" s="43" t="n">
        <f aca="false">IFERROR(N(INDEX(Tasks[_Level],Tasks[[#This Row],[_Row]]+1)),0)</f>
        <v>0</v>
      </c>
      <c r="BK115" s="66" t="b">
        <f aca="false">AND(Tasks[[#This Row],[Task Name]]&lt;&gt;"",Tasks[[#This Row],[_NextLevel]]&gt;Tasks[[#This Row],[_Level]])</f>
        <v>0</v>
      </c>
      <c r="BL115" s="43" t="n">
        <f aca="false">IF(Tasks[[#This Row],[_IsSummary]],COUNTIF(Tasks[WBS],Tasks[[#This Row],[WBS]]&amp;".*"),0)</f>
        <v>0</v>
      </c>
      <c r="BM115" s="43" t="n">
        <f aca="false">IF(AND(Tasks[[#This Row],[Task Name]]&lt;&gt;"",NOT(Tasks[[#This Row],[_IsSummary]])),1,0)</f>
        <v>0</v>
      </c>
      <c r="BN115" s="43" t="n">
        <f aca="false">IF(N(Tasks[[#This Row],[Pred1 UID]])=0,0,IFERROR(MATCH(Tasks[[#This Row],[Pred1 UID]],Tasks[UID],0),-1))</f>
        <v>0</v>
      </c>
      <c r="BO115" s="43" t="n">
        <f aca="false">IF(N(Tasks[[#This Row],[Pred2 UID]])=0,0,IFERROR(MATCH(Tasks[[#This Row],[Pred2 UID]],Tasks[UID],0),-1))</f>
        <v>0</v>
      </c>
      <c r="BP11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5" s="43" t="n">
        <f aca="false">IF(NOT(Tasks[[#This Row],[_IsLeaf]]=1),0,IF(N(Tasks[[#This Row],[Actual Finish]])&gt;0,1,MIN(1,N(Tasks[[#This Row],[% Complete]]))))</f>
        <v>0</v>
      </c>
      <c r="BU1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5" s="43" t="n">
        <f aca="false">IF(Tasks[[#This Row],[_LeafWork]]=0,0,Tasks[[#This Row],[_LeafWork]]*IFERROR(INDEX(res_Rate,MATCH(Tasks[[#This Row],[Resource]],res_Name,0)),0))</f>
        <v>0</v>
      </c>
      <c r="BW1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5" s="43" t="n">
        <f aca="false">IF(NOT(Tasks[[#This Row],[_IsLeaf]]=1),0,MAX(_xlfn.MAXIFS(Tasks[_Row],Tasks[Pred1 UID],Tasks[[#This Row],[UID]]),_xlfn.MAXIFS(Tasks[_Row],Tasks[Pred2 UID],Tasks[[#This Row],[UID]])))</f>
        <v>0</v>
      </c>
      <c r="CB11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5" s="67" t="str">
        <f aca="false">IF(NOT(Tasks[[#This Row],[_IsLeaf]]=1),"",MIN(ProjectFinish,IF(N(Tasks[[#This Row],[Deadline]])&gt;0,Tasks[[#This Row],[Deadline]],2958465),Tasks[[#This Row],[_SuccessorFinishLimit]]))</f>
        <v/>
      </c>
      <c r="CD11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5" s="66" t="b">
        <f aca="false">AND(Tasks[[#This Row],[_IsLeaf]]=1,Tasks[[#This Row],[_LeafProgress]]&lt;1,N(Tasks[[#This Row],[_LeafTotalSlack]])&lt;=CriticalSlackDays)</f>
        <v>0</v>
      </c>
      <c r="CG11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5" s="43" t="n">
        <f aca="false">IF(AND(Tasks[[#This Row],[_IsLeaf]]=1,Tasks[[#This Row],[_LeafWork]]&gt;0),NETWORKDAYS.INTL(ProjectStart,Tasks[[#This Row],[_LeafFcstStart]],WorkWeek,Holidays),0)</f>
        <v>0</v>
      </c>
      <c r="CP1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5" s="43" t="n">
        <f aca="false">IF(AND(Tasks[[#This Row],[_IsLeaf]]=1,Tasks[[#This Row],[_LeafWork]]&gt;0),Tasks[[#This Row],[_LeafWork]]/(Tasks[[#This Row],[_FinishWorkday]]-Tasks[[#This Row],[_StartWorkday]]+1),0)</f>
        <v>0</v>
      </c>
      <c r="CR115" s="43" t="n">
        <f aca="false">Tasks[[#This Row],[_WorkPerWorkday]]*(Tasks[[#This Row],[_StartWorkday]]-1)</f>
        <v>-0</v>
      </c>
      <c r="CS115" s="43" t="n">
        <f aca="false">IF(Tasks[[#This Row],[_IsLeaf]]=1,MAX(N(Tasks[[#This Row],[Duration]]),0.1),0)</f>
        <v>0</v>
      </c>
      <c r="CT115" s="43" t="n">
        <f aca="false">Tasks[[#This Row],[_WeightDur]]*Tasks[[#This Row],[_LeafProgress]]</f>
        <v>0</v>
      </c>
      <c r="CU1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5" s="43" t="str">
        <f aca="false">IF(AND(Tasks[[#This Row],[_IsLeaf]]=1,N(Tasks[[#This Row],[Duration]])=0,Tasks[[#This Row],[_LeafProgress]]&lt;1),Tasks[[#This Row],[_LeafFcstFinish]]+Tasks[[#This Row],[_Row]]/100000,"")</f>
        <v/>
      </c>
      <c r="DA1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5" s="43" t="n">
        <f aca="false">IF(NOT(Tasks[[#This Row],[_IsLeaf]]=1),0,IF(Tasks[[#This Row],[Baseline Cost]]="",Tasks[[#This Row],[_LeafCost]],N(Tasks[[#This Row],[Baseline Cost]])))</f>
        <v>0</v>
      </c>
      <c r="DC115" s="43" t="n">
        <f aca="false">Tasks[[#This Row],[_LeafBudget]]*Tasks[[#This Row],[_PlannedPct]]</f>
        <v>0</v>
      </c>
      <c r="DD115" s="43" t="n">
        <f aca="false">Tasks[[#This Row],[_LeafBudget]]*Tasks[[#This Row],[_LeafProgress]]</f>
        <v>0</v>
      </c>
      <c r="DE115" s="43" t="n">
        <f aca="false">IF(NOT(Tasks[[#This Row],[_IsLeaf]]=1),0,IF(Tasks[[#This Row],[Actual Cost]]="",Tasks[[#This Row],[_LeafCost]]*Tasks[[#This Row],[_LeafProgress]],N(Tasks[[#This Row],[Actual Cost]])))</f>
        <v>0</v>
      </c>
      <c r="DF115" s="43" t="str">
        <f aca="false">IF(Tasks[[#This Row],[Task Name]]="","",LEFT(Tasks[[#This Row],[WBS]],FIND(".",Tasks[[#This Row],[WBS]]&amp;".")-1))</f>
        <v/>
      </c>
      <c r="DG115" s="43" t="str">
        <f aca="false">IF(AND(Tasks[[#This Row],[Task Name]]&lt;&gt;"",Tasks[[#This Row],[_Level]]=1),Tasks[[#This Row],[_Row]],"")</f>
        <v/>
      </c>
      <c r="DH115" s="43" t="str">
        <f aca="false">IF(AND(Tasks[[#This Row],[_IsLeaf]]=1,N(Tasks[[#This Row],[Duration]])=0),Tasks[[#This Row],[Planned Finish]]+Tasks[[#This Row],[_Row]]/100000,"")</f>
        <v/>
      </c>
      <c r="DI1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5" s="43" t="str">
        <f aca="false">IF(Tasks[[#This Row],[_LeafCritical]],Tasks[[#This Row],[_LeafFcstStart]]+Tasks[[#This Row],[_Row]]/100000,"")</f>
        <v/>
      </c>
    </row>
    <row r="116" customFormat="false" ht="15" hidden="false" customHeight="false" outlineLevel="0" collapsed="false">
      <c r="A116" s="28" t="str">
        <f aca="false">IF(Tasks[[#This Row],[Task Name]]="","",COUNTA(Tasks[[#Headers],[Task Name]]:Tasks[[#This Row],[Task Name]])-1)</f>
        <v/>
      </c>
      <c r="B116" s="29" t="n">
        <v>111</v>
      </c>
      <c r="C1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29"/>
      <c r="E116" s="30"/>
      <c r="F116" s="29"/>
      <c r="G116" s="29"/>
      <c r="H116" s="29"/>
      <c r="I116" s="29"/>
      <c r="J116" s="29"/>
      <c r="K116" s="29"/>
      <c r="L116" s="29"/>
      <c r="M116" s="29"/>
      <c r="N116" s="53"/>
      <c r="O116" s="53"/>
      <c r="P116" s="25" t="str">
        <f aca="false">IF(Tasks[[#This Row],[Task Name]]="","",IF(N(Tasks[[#This Row],[Baseline Start]])&gt;0,Tasks[[#This Row],[Baseline Start]],Tasks[[#This Row],[_CalcStart]]))</f>
        <v/>
      </c>
      <c r="Q116" s="25" t="str">
        <f aca="false">IF(Tasks[[#This Row],[Task Name]]="","",IF(N(Tasks[[#This Row],[Baseline Finish]])&gt;0,Tasks[[#This Row],[Baseline Finish]],Tasks[[#This Row],[_CalcFinish]]))</f>
        <v/>
      </c>
      <c r="R116" s="53"/>
      <c r="S116" s="53"/>
      <c r="T1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55"/>
      <c r="AF11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30"/>
      <c r="AI116" s="55"/>
      <c r="AJ11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64"/>
      <c r="AM11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6" s="30"/>
      <c r="AP116" s="25" t="str">
        <f aca="false">IF(Tasks[[#This Row],[Task Name]]="","",Tasks[[#This Row],[Forecast Start]])</f>
        <v/>
      </c>
      <c r="AQ116" s="25" t="str">
        <f aca="false">IF(Tasks[[#This Row],[Task Name]]="","",Tasks[[#This Row],[Forecast Finish]])</f>
        <v/>
      </c>
      <c r="AR1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6" s="62" t="str">
        <f aca="false">IF(Tasks[[#This Row],[Task Name]]="","",Tasks[[#This Row],[Work]])</f>
        <v/>
      </c>
      <c r="AT116" s="63" t="str">
        <f aca="false">IF(Tasks[[#This Row],[Task Name]]="","",Tasks[[#This Row],[Cost]])</f>
        <v/>
      </c>
      <c r="AU116" s="53"/>
      <c r="AV116" s="53"/>
      <c r="AW116" s="29"/>
      <c r="AX116" s="65"/>
      <c r="AY116" s="64"/>
      <c r="AZ116" s="28" t="str">
        <f aca="false">IF(OR(Tasks[[#This Row],[Task Name]]="",Tasks[[#This Row],[Baseline Duration]]=""),"",Tasks[[#This Row],[BL Source Duration]]-N(Tasks[[#This Row],[Baseline Duration]]))</f>
        <v/>
      </c>
      <c r="BA116" s="62" t="str">
        <f aca="false">IF(OR(Tasks[[#This Row],[Task Name]]="",Tasks[[#This Row],[Baseline Work]]=""),"",Tasks[[#This Row],[Work]]-N(Tasks[[#This Row],[Baseline Work]]))</f>
        <v/>
      </c>
      <c r="BB116" s="63" t="str">
        <f aca="false">IF(OR(Tasks[[#This Row],[Task Name]]="",Tasks[[#This Row],[Baseline Cost]]=""),"",Tasks[[#This Row],[Cost]]-N(Tasks[[#This Row],[Baseline Cost]]))</f>
        <v/>
      </c>
      <c r="BC11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6" s="43" t="str">
        <f aca="false">IF(Tasks[[#This Row],[Task Name]]="","",MAX(1,N(Tasks[[#This Row],[Level]])))</f>
        <v/>
      </c>
      <c r="BH116" s="43" t="n">
        <f aca="false">ROW()-ROW(Tasks[[#Headers],[ID]])</f>
        <v>111</v>
      </c>
      <c r="BI1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6" s="43" t="n">
        <f aca="false">IFERROR(N(INDEX(Tasks[_Level],Tasks[[#This Row],[_Row]]+1)),0)</f>
        <v>0</v>
      </c>
      <c r="BK116" s="66" t="b">
        <f aca="false">AND(Tasks[[#This Row],[Task Name]]&lt;&gt;"",Tasks[[#This Row],[_NextLevel]]&gt;Tasks[[#This Row],[_Level]])</f>
        <v>0</v>
      </c>
      <c r="BL116" s="43" t="n">
        <f aca="false">IF(Tasks[[#This Row],[_IsSummary]],COUNTIF(Tasks[WBS],Tasks[[#This Row],[WBS]]&amp;".*"),0)</f>
        <v>0</v>
      </c>
      <c r="BM116" s="43" t="n">
        <f aca="false">IF(AND(Tasks[[#This Row],[Task Name]]&lt;&gt;"",NOT(Tasks[[#This Row],[_IsSummary]])),1,0)</f>
        <v>0</v>
      </c>
      <c r="BN116" s="43" t="n">
        <f aca="false">IF(N(Tasks[[#This Row],[Pred1 UID]])=0,0,IFERROR(MATCH(Tasks[[#This Row],[Pred1 UID]],Tasks[UID],0),-1))</f>
        <v>0</v>
      </c>
      <c r="BO116" s="43" t="n">
        <f aca="false">IF(N(Tasks[[#This Row],[Pred2 UID]])=0,0,IFERROR(MATCH(Tasks[[#This Row],[Pred2 UID]],Tasks[UID],0),-1))</f>
        <v>0</v>
      </c>
      <c r="BP11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6" s="43" t="n">
        <f aca="false">IF(NOT(Tasks[[#This Row],[_IsLeaf]]=1),0,IF(N(Tasks[[#This Row],[Actual Finish]])&gt;0,1,MIN(1,N(Tasks[[#This Row],[% Complete]]))))</f>
        <v>0</v>
      </c>
      <c r="BU1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6" s="43" t="n">
        <f aca="false">IF(Tasks[[#This Row],[_LeafWork]]=0,0,Tasks[[#This Row],[_LeafWork]]*IFERROR(INDEX(res_Rate,MATCH(Tasks[[#This Row],[Resource]],res_Name,0)),0))</f>
        <v>0</v>
      </c>
      <c r="BW1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6" s="43" t="n">
        <f aca="false">IF(NOT(Tasks[[#This Row],[_IsLeaf]]=1),0,MAX(_xlfn.MAXIFS(Tasks[_Row],Tasks[Pred1 UID],Tasks[[#This Row],[UID]]),_xlfn.MAXIFS(Tasks[_Row],Tasks[Pred2 UID],Tasks[[#This Row],[UID]])))</f>
        <v>0</v>
      </c>
      <c r="CB11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6" s="67" t="str">
        <f aca="false">IF(NOT(Tasks[[#This Row],[_IsLeaf]]=1),"",MIN(ProjectFinish,IF(N(Tasks[[#This Row],[Deadline]])&gt;0,Tasks[[#This Row],[Deadline]],2958465),Tasks[[#This Row],[_SuccessorFinishLimit]]))</f>
        <v/>
      </c>
      <c r="CD11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6" s="66" t="b">
        <f aca="false">AND(Tasks[[#This Row],[_IsLeaf]]=1,Tasks[[#This Row],[_LeafProgress]]&lt;1,N(Tasks[[#This Row],[_LeafTotalSlack]])&lt;=CriticalSlackDays)</f>
        <v>0</v>
      </c>
      <c r="CG11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6" s="43" t="n">
        <f aca="false">IF(AND(Tasks[[#This Row],[_IsLeaf]]=1,Tasks[[#This Row],[_LeafWork]]&gt;0),NETWORKDAYS.INTL(ProjectStart,Tasks[[#This Row],[_LeafFcstStart]],WorkWeek,Holidays),0)</f>
        <v>0</v>
      </c>
      <c r="CP1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6" s="43" t="n">
        <f aca="false">IF(AND(Tasks[[#This Row],[_IsLeaf]]=1,Tasks[[#This Row],[_LeafWork]]&gt;0),Tasks[[#This Row],[_LeafWork]]/(Tasks[[#This Row],[_FinishWorkday]]-Tasks[[#This Row],[_StartWorkday]]+1),0)</f>
        <v>0</v>
      </c>
      <c r="CR116" s="43" t="n">
        <f aca="false">Tasks[[#This Row],[_WorkPerWorkday]]*(Tasks[[#This Row],[_StartWorkday]]-1)</f>
        <v>-0</v>
      </c>
      <c r="CS116" s="43" t="n">
        <f aca="false">IF(Tasks[[#This Row],[_IsLeaf]]=1,MAX(N(Tasks[[#This Row],[Duration]]),0.1),0)</f>
        <v>0</v>
      </c>
      <c r="CT116" s="43" t="n">
        <f aca="false">Tasks[[#This Row],[_WeightDur]]*Tasks[[#This Row],[_LeafProgress]]</f>
        <v>0</v>
      </c>
      <c r="CU1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6" s="43" t="str">
        <f aca="false">IF(AND(Tasks[[#This Row],[_IsLeaf]]=1,N(Tasks[[#This Row],[Duration]])=0,Tasks[[#This Row],[_LeafProgress]]&lt;1),Tasks[[#This Row],[_LeafFcstFinish]]+Tasks[[#This Row],[_Row]]/100000,"")</f>
        <v/>
      </c>
      <c r="DA1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6" s="43" t="n">
        <f aca="false">IF(NOT(Tasks[[#This Row],[_IsLeaf]]=1),0,IF(Tasks[[#This Row],[Baseline Cost]]="",Tasks[[#This Row],[_LeafCost]],N(Tasks[[#This Row],[Baseline Cost]])))</f>
        <v>0</v>
      </c>
      <c r="DC116" s="43" t="n">
        <f aca="false">Tasks[[#This Row],[_LeafBudget]]*Tasks[[#This Row],[_PlannedPct]]</f>
        <v>0</v>
      </c>
      <c r="DD116" s="43" t="n">
        <f aca="false">Tasks[[#This Row],[_LeafBudget]]*Tasks[[#This Row],[_LeafProgress]]</f>
        <v>0</v>
      </c>
      <c r="DE116" s="43" t="n">
        <f aca="false">IF(NOT(Tasks[[#This Row],[_IsLeaf]]=1),0,IF(Tasks[[#This Row],[Actual Cost]]="",Tasks[[#This Row],[_LeafCost]]*Tasks[[#This Row],[_LeafProgress]],N(Tasks[[#This Row],[Actual Cost]])))</f>
        <v>0</v>
      </c>
      <c r="DF116" s="43" t="str">
        <f aca="false">IF(Tasks[[#This Row],[Task Name]]="","",LEFT(Tasks[[#This Row],[WBS]],FIND(".",Tasks[[#This Row],[WBS]]&amp;".")-1))</f>
        <v/>
      </c>
      <c r="DG116" s="43" t="str">
        <f aca="false">IF(AND(Tasks[[#This Row],[Task Name]]&lt;&gt;"",Tasks[[#This Row],[_Level]]=1),Tasks[[#This Row],[_Row]],"")</f>
        <v/>
      </c>
      <c r="DH116" s="43" t="str">
        <f aca="false">IF(AND(Tasks[[#This Row],[_IsLeaf]]=1,N(Tasks[[#This Row],[Duration]])=0),Tasks[[#This Row],[Planned Finish]]+Tasks[[#This Row],[_Row]]/100000,"")</f>
        <v/>
      </c>
      <c r="DI1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6" s="43" t="str">
        <f aca="false">IF(Tasks[[#This Row],[_LeafCritical]],Tasks[[#This Row],[_LeafFcstStart]]+Tasks[[#This Row],[_Row]]/100000,"")</f>
        <v/>
      </c>
    </row>
    <row r="117" customFormat="false" ht="15" hidden="false" customHeight="false" outlineLevel="0" collapsed="false">
      <c r="A117" s="28" t="str">
        <f aca="false">IF(Tasks[[#This Row],[Task Name]]="","",COUNTA(Tasks[[#Headers],[Task Name]]:Tasks[[#This Row],[Task Name]])-1)</f>
        <v/>
      </c>
      <c r="B117" s="29" t="n">
        <v>112</v>
      </c>
      <c r="C1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29"/>
      <c r="E117" s="30"/>
      <c r="F117" s="29"/>
      <c r="G117" s="29"/>
      <c r="H117" s="29"/>
      <c r="I117" s="29"/>
      <c r="J117" s="29"/>
      <c r="K117" s="29"/>
      <c r="L117" s="29"/>
      <c r="M117" s="29"/>
      <c r="N117" s="53"/>
      <c r="O117" s="53"/>
      <c r="P117" s="25" t="str">
        <f aca="false">IF(Tasks[[#This Row],[Task Name]]="","",IF(N(Tasks[[#This Row],[Baseline Start]])&gt;0,Tasks[[#This Row],[Baseline Start]],Tasks[[#This Row],[_CalcStart]]))</f>
        <v/>
      </c>
      <c r="Q117" s="25" t="str">
        <f aca="false">IF(Tasks[[#This Row],[Task Name]]="","",IF(N(Tasks[[#This Row],[Baseline Finish]])&gt;0,Tasks[[#This Row],[Baseline Finish]],Tasks[[#This Row],[_CalcFinish]]))</f>
        <v/>
      </c>
      <c r="R117" s="53"/>
      <c r="S117" s="53"/>
      <c r="T1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55"/>
      <c r="AF11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30"/>
      <c r="AI117" s="55"/>
      <c r="AJ11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64"/>
      <c r="AM11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7" s="30"/>
      <c r="AP117" s="25" t="str">
        <f aca="false">IF(Tasks[[#This Row],[Task Name]]="","",Tasks[[#This Row],[Forecast Start]])</f>
        <v/>
      </c>
      <c r="AQ117" s="25" t="str">
        <f aca="false">IF(Tasks[[#This Row],[Task Name]]="","",Tasks[[#This Row],[Forecast Finish]])</f>
        <v/>
      </c>
      <c r="AR1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7" s="62" t="str">
        <f aca="false">IF(Tasks[[#This Row],[Task Name]]="","",Tasks[[#This Row],[Work]])</f>
        <v/>
      </c>
      <c r="AT117" s="63" t="str">
        <f aca="false">IF(Tasks[[#This Row],[Task Name]]="","",Tasks[[#This Row],[Cost]])</f>
        <v/>
      </c>
      <c r="AU117" s="53"/>
      <c r="AV117" s="53"/>
      <c r="AW117" s="29"/>
      <c r="AX117" s="65"/>
      <c r="AY117" s="64"/>
      <c r="AZ117" s="28" t="str">
        <f aca="false">IF(OR(Tasks[[#This Row],[Task Name]]="",Tasks[[#This Row],[Baseline Duration]]=""),"",Tasks[[#This Row],[BL Source Duration]]-N(Tasks[[#This Row],[Baseline Duration]]))</f>
        <v/>
      </c>
      <c r="BA117" s="62" t="str">
        <f aca="false">IF(OR(Tasks[[#This Row],[Task Name]]="",Tasks[[#This Row],[Baseline Work]]=""),"",Tasks[[#This Row],[Work]]-N(Tasks[[#This Row],[Baseline Work]]))</f>
        <v/>
      </c>
      <c r="BB117" s="63" t="str">
        <f aca="false">IF(OR(Tasks[[#This Row],[Task Name]]="",Tasks[[#This Row],[Baseline Cost]]=""),"",Tasks[[#This Row],[Cost]]-N(Tasks[[#This Row],[Baseline Cost]]))</f>
        <v/>
      </c>
      <c r="BC11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7" s="43" t="str">
        <f aca="false">IF(Tasks[[#This Row],[Task Name]]="","",MAX(1,N(Tasks[[#This Row],[Level]])))</f>
        <v/>
      </c>
      <c r="BH117" s="43" t="n">
        <f aca="false">ROW()-ROW(Tasks[[#Headers],[ID]])</f>
        <v>112</v>
      </c>
      <c r="BI1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7" s="43" t="n">
        <f aca="false">IFERROR(N(INDEX(Tasks[_Level],Tasks[[#This Row],[_Row]]+1)),0)</f>
        <v>0</v>
      </c>
      <c r="BK117" s="66" t="b">
        <f aca="false">AND(Tasks[[#This Row],[Task Name]]&lt;&gt;"",Tasks[[#This Row],[_NextLevel]]&gt;Tasks[[#This Row],[_Level]])</f>
        <v>0</v>
      </c>
      <c r="BL117" s="43" t="n">
        <f aca="false">IF(Tasks[[#This Row],[_IsSummary]],COUNTIF(Tasks[WBS],Tasks[[#This Row],[WBS]]&amp;".*"),0)</f>
        <v>0</v>
      </c>
      <c r="BM117" s="43" t="n">
        <f aca="false">IF(AND(Tasks[[#This Row],[Task Name]]&lt;&gt;"",NOT(Tasks[[#This Row],[_IsSummary]])),1,0)</f>
        <v>0</v>
      </c>
      <c r="BN117" s="43" t="n">
        <f aca="false">IF(N(Tasks[[#This Row],[Pred1 UID]])=0,0,IFERROR(MATCH(Tasks[[#This Row],[Pred1 UID]],Tasks[UID],0),-1))</f>
        <v>0</v>
      </c>
      <c r="BO117" s="43" t="n">
        <f aca="false">IF(N(Tasks[[#This Row],[Pred2 UID]])=0,0,IFERROR(MATCH(Tasks[[#This Row],[Pred2 UID]],Tasks[UID],0),-1))</f>
        <v>0</v>
      </c>
      <c r="BP11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7" s="43" t="n">
        <f aca="false">IF(NOT(Tasks[[#This Row],[_IsLeaf]]=1),0,IF(N(Tasks[[#This Row],[Actual Finish]])&gt;0,1,MIN(1,N(Tasks[[#This Row],[% Complete]]))))</f>
        <v>0</v>
      </c>
      <c r="BU11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7" s="43" t="n">
        <f aca="false">IF(Tasks[[#This Row],[_LeafWork]]=0,0,Tasks[[#This Row],[_LeafWork]]*IFERROR(INDEX(res_Rate,MATCH(Tasks[[#This Row],[Resource]],res_Name,0)),0))</f>
        <v>0</v>
      </c>
      <c r="BW11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7" s="43" t="n">
        <f aca="false">IF(NOT(Tasks[[#This Row],[_IsLeaf]]=1),0,MAX(_xlfn.MAXIFS(Tasks[_Row],Tasks[Pred1 UID],Tasks[[#This Row],[UID]]),_xlfn.MAXIFS(Tasks[_Row],Tasks[Pred2 UID],Tasks[[#This Row],[UID]])))</f>
        <v>0</v>
      </c>
      <c r="CB11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7" s="67" t="str">
        <f aca="false">IF(NOT(Tasks[[#This Row],[_IsLeaf]]=1),"",MIN(ProjectFinish,IF(N(Tasks[[#This Row],[Deadline]])&gt;0,Tasks[[#This Row],[Deadline]],2958465),Tasks[[#This Row],[_SuccessorFinishLimit]]))</f>
        <v/>
      </c>
      <c r="CD11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7" s="66" t="b">
        <f aca="false">AND(Tasks[[#This Row],[_IsLeaf]]=1,Tasks[[#This Row],[_LeafProgress]]&lt;1,N(Tasks[[#This Row],[_LeafTotalSlack]])&lt;=CriticalSlackDays)</f>
        <v>0</v>
      </c>
      <c r="CG11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7" s="43" t="n">
        <f aca="false">IF(AND(Tasks[[#This Row],[_IsLeaf]]=1,Tasks[[#This Row],[_LeafWork]]&gt;0),NETWORKDAYS.INTL(ProjectStart,Tasks[[#This Row],[_LeafFcstStart]],WorkWeek,Holidays),0)</f>
        <v>0</v>
      </c>
      <c r="CP11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7" s="43" t="n">
        <f aca="false">IF(AND(Tasks[[#This Row],[_IsLeaf]]=1,Tasks[[#This Row],[_LeafWork]]&gt;0),Tasks[[#This Row],[_LeafWork]]/(Tasks[[#This Row],[_FinishWorkday]]-Tasks[[#This Row],[_StartWorkday]]+1),0)</f>
        <v>0</v>
      </c>
      <c r="CR117" s="43" t="n">
        <f aca="false">Tasks[[#This Row],[_WorkPerWorkday]]*(Tasks[[#This Row],[_StartWorkday]]-1)</f>
        <v>-0</v>
      </c>
      <c r="CS117" s="43" t="n">
        <f aca="false">IF(Tasks[[#This Row],[_IsLeaf]]=1,MAX(N(Tasks[[#This Row],[Duration]]),0.1),0)</f>
        <v>0</v>
      </c>
      <c r="CT117" s="43" t="n">
        <f aca="false">Tasks[[#This Row],[_WeightDur]]*Tasks[[#This Row],[_LeafProgress]]</f>
        <v>0</v>
      </c>
      <c r="CU1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7" s="43" t="str">
        <f aca="false">IF(AND(Tasks[[#This Row],[_IsLeaf]]=1,N(Tasks[[#This Row],[Duration]])=0,Tasks[[#This Row],[_LeafProgress]]&lt;1),Tasks[[#This Row],[_LeafFcstFinish]]+Tasks[[#This Row],[_Row]]/100000,"")</f>
        <v/>
      </c>
      <c r="DA1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7" s="43" t="n">
        <f aca="false">IF(NOT(Tasks[[#This Row],[_IsLeaf]]=1),0,IF(Tasks[[#This Row],[Baseline Cost]]="",Tasks[[#This Row],[_LeafCost]],N(Tasks[[#This Row],[Baseline Cost]])))</f>
        <v>0</v>
      </c>
      <c r="DC117" s="43" t="n">
        <f aca="false">Tasks[[#This Row],[_LeafBudget]]*Tasks[[#This Row],[_PlannedPct]]</f>
        <v>0</v>
      </c>
      <c r="DD117" s="43" t="n">
        <f aca="false">Tasks[[#This Row],[_LeafBudget]]*Tasks[[#This Row],[_LeafProgress]]</f>
        <v>0</v>
      </c>
      <c r="DE117" s="43" t="n">
        <f aca="false">IF(NOT(Tasks[[#This Row],[_IsLeaf]]=1),0,IF(Tasks[[#This Row],[Actual Cost]]="",Tasks[[#This Row],[_LeafCost]]*Tasks[[#This Row],[_LeafProgress]],N(Tasks[[#This Row],[Actual Cost]])))</f>
        <v>0</v>
      </c>
      <c r="DF117" s="43" t="str">
        <f aca="false">IF(Tasks[[#This Row],[Task Name]]="","",LEFT(Tasks[[#This Row],[WBS]],FIND(".",Tasks[[#This Row],[WBS]]&amp;".")-1))</f>
        <v/>
      </c>
      <c r="DG117" s="43" t="str">
        <f aca="false">IF(AND(Tasks[[#This Row],[Task Name]]&lt;&gt;"",Tasks[[#This Row],[_Level]]=1),Tasks[[#This Row],[_Row]],"")</f>
        <v/>
      </c>
      <c r="DH117" s="43" t="str">
        <f aca="false">IF(AND(Tasks[[#This Row],[_IsLeaf]]=1,N(Tasks[[#This Row],[Duration]])=0),Tasks[[#This Row],[Planned Finish]]+Tasks[[#This Row],[_Row]]/100000,"")</f>
        <v/>
      </c>
      <c r="DI1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7" s="43" t="str">
        <f aca="false">IF(Tasks[[#This Row],[_LeafCritical]],Tasks[[#This Row],[_LeafFcstStart]]+Tasks[[#This Row],[_Row]]/100000,"")</f>
        <v/>
      </c>
    </row>
    <row r="118" customFormat="false" ht="15" hidden="false" customHeight="false" outlineLevel="0" collapsed="false">
      <c r="A118" s="28" t="str">
        <f aca="false">IF(Tasks[[#This Row],[Task Name]]="","",COUNTA(Tasks[[#Headers],[Task Name]]:Tasks[[#This Row],[Task Name]])-1)</f>
        <v/>
      </c>
      <c r="B118" s="29" t="n">
        <v>113</v>
      </c>
      <c r="C1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29"/>
      <c r="E118" s="30"/>
      <c r="F118" s="29"/>
      <c r="G118" s="29"/>
      <c r="H118" s="29"/>
      <c r="I118" s="29"/>
      <c r="J118" s="29"/>
      <c r="K118" s="29"/>
      <c r="L118" s="29"/>
      <c r="M118" s="29"/>
      <c r="N118" s="53"/>
      <c r="O118" s="53"/>
      <c r="P118" s="25" t="str">
        <f aca="false">IF(Tasks[[#This Row],[Task Name]]="","",IF(N(Tasks[[#This Row],[Baseline Start]])&gt;0,Tasks[[#This Row],[Baseline Start]],Tasks[[#This Row],[_CalcStart]]))</f>
        <v/>
      </c>
      <c r="Q118" s="25" t="str">
        <f aca="false">IF(Tasks[[#This Row],[Task Name]]="","",IF(N(Tasks[[#This Row],[Baseline Finish]])&gt;0,Tasks[[#This Row],[Baseline Finish]],Tasks[[#This Row],[_CalcFinish]]))</f>
        <v/>
      </c>
      <c r="R118" s="53"/>
      <c r="S118" s="53"/>
      <c r="T1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55"/>
      <c r="AF11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30"/>
      <c r="AI118" s="55"/>
      <c r="AJ11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64"/>
      <c r="AM11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8" s="30"/>
      <c r="AP118" s="25" t="str">
        <f aca="false">IF(Tasks[[#This Row],[Task Name]]="","",Tasks[[#This Row],[Forecast Start]])</f>
        <v/>
      </c>
      <c r="AQ118" s="25" t="str">
        <f aca="false">IF(Tasks[[#This Row],[Task Name]]="","",Tasks[[#This Row],[Forecast Finish]])</f>
        <v/>
      </c>
      <c r="AR1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8" s="62" t="str">
        <f aca="false">IF(Tasks[[#This Row],[Task Name]]="","",Tasks[[#This Row],[Work]])</f>
        <v/>
      </c>
      <c r="AT118" s="63" t="str">
        <f aca="false">IF(Tasks[[#This Row],[Task Name]]="","",Tasks[[#This Row],[Cost]])</f>
        <v/>
      </c>
      <c r="AU118" s="53"/>
      <c r="AV118" s="53"/>
      <c r="AW118" s="29"/>
      <c r="AX118" s="65"/>
      <c r="AY118" s="64"/>
      <c r="AZ118" s="28" t="str">
        <f aca="false">IF(OR(Tasks[[#This Row],[Task Name]]="",Tasks[[#This Row],[Baseline Duration]]=""),"",Tasks[[#This Row],[BL Source Duration]]-N(Tasks[[#This Row],[Baseline Duration]]))</f>
        <v/>
      </c>
      <c r="BA118" s="62" t="str">
        <f aca="false">IF(OR(Tasks[[#This Row],[Task Name]]="",Tasks[[#This Row],[Baseline Work]]=""),"",Tasks[[#This Row],[Work]]-N(Tasks[[#This Row],[Baseline Work]]))</f>
        <v/>
      </c>
      <c r="BB118" s="63" t="str">
        <f aca="false">IF(OR(Tasks[[#This Row],[Task Name]]="",Tasks[[#This Row],[Baseline Cost]]=""),"",Tasks[[#This Row],[Cost]]-N(Tasks[[#This Row],[Baseline Cost]]))</f>
        <v/>
      </c>
      <c r="BC11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8" s="43" t="str">
        <f aca="false">IF(Tasks[[#This Row],[Task Name]]="","",MAX(1,N(Tasks[[#This Row],[Level]])))</f>
        <v/>
      </c>
      <c r="BH118" s="43" t="n">
        <f aca="false">ROW()-ROW(Tasks[[#Headers],[ID]])</f>
        <v>113</v>
      </c>
      <c r="BI1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8" s="43" t="n">
        <f aca="false">IFERROR(N(INDEX(Tasks[_Level],Tasks[[#This Row],[_Row]]+1)),0)</f>
        <v>0</v>
      </c>
      <c r="BK118" s="66" t="b">
        <f aca="false">AND(Tasks[[#This Row],[Task Name]]&lt;&gt;"",Tasks[[#This Row],[_NextLevel]]&gt;Tasks[[#This Row],[_Level]])</f>
        <v>0</v>
      </c>
      <c r="BL118" s="43" t="n">
        <f aca="false">IF(Tasks[[#This Row],[_IsSummary]],COUNTIF(Tasks[WBS],Tasks[[#This Row],[WBS]]&amp;".*"),0)</f>
        <v>0</v>
      </c>
      <c r="BM118" s="43" t="n">
        <f aca="false">IF(AND(Tasks[[#This Row],[Task Name]]&lt;&gt;"",NOT(Tasks[[#This Row],[_IsSummary]])),1,0)</f>
        <v>0</v>
      </c>
      <c r="BN118" s="43" t="n">
        <f aca="false">IF(N(Tasks[[#This Row],[Pred1 UID]])=0,0,IFERROR(MATCH(Tasks[[#This Row],[Pred1 UID]],Tasks[UID],0),-1))</f>
        <v>0</v>
      </c>
      <c r="BO118" s="43" t="n">
        <f aca="false">IF(N(Tasks[[#This Row],[Pred2 UID]])=0,0,IFERROR(MATCH(Tasks[[#This Row],[Pred2 UID]],Tasks[UID],0),-1))</f>
        <v>0</v>
      </c>
      <c r="BP11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8" s="43" t="n">
        <f aca="false">IF(NOT(Tasks[[#This Row],[_IsLeaf]]=1),0,IF(N(Tasks[[#This Row],[Actual Finish]])&gt;0,1,MIN(1,N(Tasks[[#This Row],[% Complete]]))))</f>
        <v>0</v>
      </c>
      <c r="BU11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8" s="43" t="n">
        <f aca="false">IF(Tasks[[#This Row],[_LeafWork]]=0,0,Tasks[[#This Row],[_LeafWork]]*IFERROR(INDEX(res_Rate,MATCH(Tasks[[#This Row],[Resource]],res_Name,0)),0))</f>
        <v>0</v>
      </c>
      <c r="BW11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8" s="43" t="n">
        <f aca="false">IF(NOT(Tasks[[#This Row],[_IsLeaf]]=1),0,MAX(_xlfn.MAXIFS(Tasks[_Row],Tasks[Pred1 UID],Tasks[[#This Row],[UID]]),_xlfn.MAXIFS(Tasks[_Row],Tasks[Pred2 UID],Tasks[[#This Row],[UID]])))</f>
        <v>0</v>
      </c>
      <c r="CB11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8" s="67" t="str">
        <f aca="false">IF(NOT(Tasks[[#This Row],[_IsLeaf]]=1),"",MIN(ProjectFinish,IF(N(Tasks[[#This Row],[Deadline]])&gt;0,Tasks[[#This Row],[Deadline]],2958465),Tasks[[#This Row],[_SuccessorFinishLimit]]))</f>
        <v/>
      </c>
      <c r="CD11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8" s="66" t="b">
        <f aca="false">AND(Tasks[[#This Row],[_IsLeaf]]=1,Tasks[[#This Row],[_LeafProgress]]&lt;1,N(Tasks[[#This Row],[_LeafTotalSlack]])&lt;=CriticalSlackDays)</f>
        <v>0</v>
      </c>
      <c r="CG11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8" s="43" t="n">
        <f aca="false">IF(AND(Tasks[[#This Row],[_IsLeaf]]=1,Tasks[[#This Row],[_LeafWork]]&gt;0),NETWORKDAYS.INTL(ProjectStart,Tasks[[#This Row],[_LeafFcstStart]],WorkWeek,Holidays),0)</f>
        <v>0</v>
      </c>
      <c r="CP11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8" s="43" t="n">
        <f aca="false">IF(AND(Tasks[[#This Row],[_IsLeaf]]=1,Tasks[[#This Row],[_LeafWork]]&gt;0),Tasks[[#This Row],[_LeafWork]]/(Tasks[[#This Row],[_FinishWorkday]]-Tasks[[#This Row],[_StartWorkday]]+1),0)</f>
        <v>0</v>
      </c>
      <c r="CR118" s="43" t="n">
        <f aca="false">Tasks[[#This Row],[_WorkPerWorkday]]*(Tasks[[#This Row],[_StartWorkday]]-1)</f>
        <v>-0</v>
      </c>
      <c r="CS118" s="43" t="n">
        <f aca="false">IF(Tasks[[#This Row],[_IsLeaf]]=1,MAX(N(Tasks[[#This Row],[Duration]]),0.1),0)</f>
        <v>0</v>
      </c>
      <c r="CT118" s="43" t="n">
        <f aca="false">Tasks[[#This Row],[_WeightDur]]*Tasks[[#This Row],[_LeafProgress]]</f>
        <v>0</v>
      </c>
      <c r="CU1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8" s="43" t="str">
        <f aca="false">IF(AND(Tasks[[#This Row],[_IsLeaf]]=1,N(Tasks[[#This Row],[Duration]])=0,Tasks[[#This Row],[_LeafProgress]]&lt;1),Tasks[[#This Row],[_LeafFcstFinish]]+Tasks[[#This Row],[_Row]]/100000,"")</f>
        <v/>
      </c>
      <c r="DA1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8" s="43" t="n">
        <f aca="false">IF(NOT(Tasks[[#This Row],[_IsLeaf]]=1),0,IF(Tasks[[#This Row],[Baseline Cost]]="",Tasks[[#This Row],[_LeafCost]],N(Tasks[[#This Row],[Baseline Cost]])))</f>
        <v>0</v>
      </c>
      <c r="DC118" s="43" t="n">
        <f aca="false">Tasks[[#This Row],[_LeafBudget]]*Tasks[[#This Row],[_PlannedPct]]</f>
        <v>0</v>
      </c>
      <c r="DD118" s="43" t="n">
        <f aca="false">Tasks[[#This Row],[_LeafBudget]]*Tasks[[#This Row],[_LeafProgress]]</f>
        <v>0</v>
      </c>
      <c r="DE118" s="43" t="n">
        <f aca="false">IF(NOT(Tasks[[#This Row],[_IsLeaf]]=1),0,IF(Tasks[[#This Row],[Actual Cost]]="",Tasks[[#This Row],[_LeafCost]]*Tasks[[#This Row],[_LeafProgress]],N(Tasks[[#This Row],[Actual Cost]])))</f>
        <v>0</v>
      </c>
      <c r="DF118" s="43" t="str">
        <f aca="false">IF(Tasks[[#This Row],[Task Name]]="","",LEFT(Tasks[[#This Row],[WBS]],FIND(".",Tasks[[#This Row],[WBS]]&amp;".")-1))</f>
        <v/>
      </c>
      <c r="DG118" s="43" t="str">
        <f aca="false">IF(AND(Tasks[[#This Row],[Task Name]]&lt;&gt;"",Tasks[[#This Row],[_Level]]=1),Tasks[[#This Row],[_Row]],"")</f>
        <v/>
      </c>
      <c r="DH118" s="43" t="str">
        <f aca="false">IF(AND(Tasks[[#This Row],[_IsLeaf]]=1,N(Tasks[[#This Row],[Duration]])=0),Tasks[[#This Row],[Planned Finish]]+Tasks[[#This Row],[_Row]]/100000,"")</f>
        <v/>
      </c>
      <c r="DI11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8" s="43" t="str">
        <f aca="false">IF(Tasks[[#This Row],[_LeafCritical]],Tasks[[#This Row],[_LeafFcstStart]]+Tasks[[#This Row],[_Row]]/100000,"")</f>
        <v/>
      </c>
    </row>
    <row r="119" customFormat="false" ht="15" hidden="false" customHeight="false" outlineLevel="0" collapsed="false">
      <c r="A119" s="28" t="str">
        <f aca="false">IF(Tasks[[#This Row],[Task Name]]="","",COUNTA(Tasks[[#Headers],[Task Name]]:Tasks[[#This Row],[Task Name]])-1)</f>
        <v/>
      </c>
      <c r="B119" s="29" t="n">
        <v>114</v>
      </c>
      <c r="C1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29"/>
      <c r="E119" s="30"/>
      <c r="F119" s="29"/>
      <c r="G119" s="29"/>
      <c r="H119" s="29"/>
      <c r="I119" s="29"/>
      <c r="J119" s="29"/>
      <c r="K119" s="29"/>
      <c r="L119" s="29"/>
      <c r="M119" s="29"/>
      <c r="N119" s="53"/>
      <c r="O119" s="53"/>
      <c r="P119" s="25" t="str">
        <f aca="false">IF(Tasks[[#This Row],[Task Name]]="","",IF(N(Tasks[[#This Row],[Baseline Start]])&gt;0,Tasks[[#This Row],[Baseline Start]],Tasks[[#This Row],[_CalcStart]]))</f>
        <v/>
      </c>
      <c r="Q119" s="25" t="str">
        <f aca="false">IF(Tasks[[#This Row],[Task Name]]="","",IF(N(Tasks[[#This Row],[Baseline Finish]])&gt;0,Tasks[[#This Row],[Baseline Finish]],Tasks[[#This Row],[_CalcFinish]]))</f>
        <v/>
      </c>
      <c r="R119" s="53"/>
      <c r="S119" s="53"/>
      <c r="T1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55"/>
      <c r="AF11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30"/>
      <c r="AI119" s="55"/>
      <c r="AJ11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64"/>
      <c r="AM11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19" s="30"/>
      <c r="AP119" s="25" t="str">
        <f aca="false">IF(Tasks[[#This Row],[Task Name]]="","",Tasks[[#This Row],[Forecast Start]])</f>
        <v/>
      </c>
      <c r="AQ119" s="25" t="str">
        <f aca="false">IF(Tasks[[#This Row],[Task Name]]="","",Tasks[[#This Row],[Forecast Finish]])</f>
        <v/>
      </c>
      <c r="AR1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19" s="62" t="str">
        <f aca="false">IF(Tasks[[#This Row],[Task Name]]="","",Tasks[[#This Row],[Work]])</f>
        <v/>
      </c>
      <c r="AT119" s="63" t="str">
        <f aca="false">IF(Tasks[[#This Row],[Task Name]]="","",Tasks[[#This Row],[Cost]])</f>
        <v/>
      </c>
      <c r="AU119" s="53"/>
      <c r="AV119" s="53"/>
      <c r="AW119" s="29"/>
      <c r="AX119" s="65"/>
      <c r="AY119" s="64"/>
      <c r="AZ119" s="28" t="str">
        <f aca="false">IF(OR(Tasks[[#This Row],[Task Name]]="",Tasks[[#This Row],[Baseline Duration]]=""),"",Tasks[[#This Row],[BL Source Duration]]-N(Tasks[[#This Row],[Baseline Duration]]))</f>
        <v/>
      </c>
      <c r="BA119" s="62" t="str">
        <f aca="false">IF(OR(Tasks[[#This Row],[Task Name]]="",Tasks[[#This Row],[Baseline Work]]=""),"",Tasks[[#This Row],[Work]]-N(Tasks[[#This Row],[Baseline Work]]))</f>
        <v/>
      </c>
      <c r="BB119" s="63" t="str">
        <f aca="false">IF(OR(Tasks[[#This Row],[Task Name]]="",Tasks[[#This Row],[Baseline Cost]]=""),"",Tasks[[#This Row],[Cost]]-N(Tasks[[#This Row],[Baseline Cost]]))</f>
        <v/>
      </c>
      <c r="BC11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1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1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1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19" s="43" t="str">
        <f aca="false">IF(Tasks[[#This Row],[Task Name]]="","",MAX(1,N(Tasks[[#This Row],[Level]])))</f>
        <v/>
      </c>
      <c r="BH119" s="43" t="n">
        <f aca="false">ROW()-ROW(Tasks[[#Headers],[ID]])</f>
        <v>114</v>
      </c>
      <c r="BI1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19" s="43" t="n">
        <f aca="false">IFERROR(N(INDEX(Tasks[_Level],Tasks[[#This Row],[_Row]]+1)),0)</f>
        <v>0</v>
      </c>
      <c r="BK119" s="66" t="b">
        <f aca="false">AND(Tasks[[#This Row],[Task Name]]&lt;&gt;"",Tasks[[#This Row],[_NextLevel]]&gt;Tasks[[#This Row],[_Level]])</f>
        <v>0</v>
      </c>
      <c r="BL119" s="43" t="n">
        <f aca="false">IF(Tasks[[#This Row],[_IsSummary]],COUNTIF(Tasks[WBS],Tasks[[#This Row],[WBS]]&amp;".*"),0)</f>
        <v>0</v>
      </c>
      <c r="BM119" s="43" t="n">
        <f aca="false">IF(AND(Tasks[[#This Row],[Task Name]]&lt;&gt;"",NOT(Tasks[[#This Row],[_IsSummary]])),1,0)</f>
        <v>0</v>
      </c>
      <c r="BN119" s="43" t="n">
        <f aca="false">IF(N(Tasks[[#This Row],[Pred1 UID]])=0,0,IFERROR(MATCH(Tasks[[#This Row],[Pred1 UID]],Tasks[UID],0),-1))</f>
        <v>0</v>
      </c>
      <c r="BO119" s="43" t="n">
        <f aca="false">IF(N(Tasks[[#This Row],[Pred2 UID]])=0,0,IFERROR(MATCH(Tasks[[#This Row],[Pred2 UID]],Tasks[UID],0),-1))</f>
        <v>0</v>
      </c>
      <c r="BP11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1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1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1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19" s="43" t="n">
        <f aca="false">IF(NOT(Tasks[[#This Row],[_IsLeaf]]=1),0,IF(N(Tasks[[#This Row],[Actual Finish]])&gt;0,1,MIN(1,N(Tasks[[#This Row],[% Complete]]))))</f>
        <v>0</v>
      </c>
      <c r="BU11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19" s="43" t="n">
        <f aca="false">IF(Tasks[[#This Row],[_LeafWork]]=0,0,Tasks[[#This Row],[_LeafWork]]*IFERROR(INDEX(res_Rate,MATCH(Tasks[[#This Row],[Resource]],res_Name,0)),0))</f>
        <v>0</v>
      </c>
      <c r="BW11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1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19" s="43" t="n">
        <f aca="false">IF(NOT(Tasks[[#This Row],[_IsLeaf]]=1),0,MAX(_xlfn.MAXIFS(Tasks[_Row],Tasks[Pred1 UID],Tasks[[#This Row],[UID]]),_xlfn.MAXIFS(Tasks[_Row],Tasks[Pred2 UID],Tasks[[#This Row],[UID]])))</f>
        <v>0</v>
      </c>
      <c r="CB11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19" s="67" t="str">
        <f aca="false">IF(NOT(Tasks[[#This Row],[_IsLeaf]]=1),"",MIN(ProjectFinish,IF(N(Tasks[[#This Row],[Deadline]])&gt;0,Tasks[[#This Row],[Deadline]],2958465),Tasks[[#This Row],[_SuccessorFinishLimit]]))</f>
        <v/>
      </c>
      <c r="CD11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1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19" s="66" t="b">
        <f aca="false">AND(Tasks[[#This Row],[_IsLeaf]]=1,Tasks[[#This Row],[_LeafProgress]]&lt;1,N(Tasks[[#This Row],[_LeafTotalSlack]])&lt;=CriticalSlackDays)</f>
        <v>0</v>
      </c>
      <c r="CG11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1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1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1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1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1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19" s="43" t="n">
        <f aca="false">IF(AND(Tasks[[#This Row],[_IsLeaf]]=1,Tasks[[#This Row],[_LeafWork]]&gt;0),NETWORKDAYS.INTL(ProjectStart,Tasks[[#This Row],[_LeafFcstStart]],WorkWeek,Holidays),0)</f>
        <v>0</v>
      </c>
      <c r="CP11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19" s="43" t="n">
        <f aca="false">IF(AND(Tasks[[#This Row],[_IsLeaf]]=1,Tasks[[#This Row],[_LeafWork]]&gt;0),Tasks[[#This Row],[_LeafWork]]/(Tasks[[#This Row],[_FinishWorkday]]-Tasks[[#This Row],[_StartWorkday]]+1),0)</f>
        <v>0</v>
      </c>
      <c r="CR119" s="43" t="n">
        <f aca="false">Tasks[[#This Row],[_WorkPerWorkday]]*(Tasks[[#This Row],[_StartWorkday]]-1)</f>
        <v>-0</v>
      </c>
      <c r="CS119" s="43" t="n">
        <f aca="false">IF(Tasks[[#This Row],[_IsLeaf]]=1,MAX(N(Tasks[[#This Row],[Duration]]),0.1),0)</f>
        <v>0</v>
      </c>
      <c r="CT119" s="43" t="n">
        <f aca="false">Tasks[[#This Row],[_WeightDur]]*Tasks[[#This Row],[_LeafProgress]]</f>
        <v>0</v>
      </c>
      <c r="CU1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19" s="43" t="str">
        <f aca="false">IF(AND(Tasks[[#This Row],[_IsLeaf]]=1,N(Tasks[[#This Row],[Duration]])=0,Tasks[[#This Row],[_LeafProgress]]&lt;1),Tasks[[#This Row],[_LeafFcstFinish]]+Tasks[[#This Row],[_Row]]/100000,"")</f>
        <v/>
      </c>
      <c r="DA1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19" s="43" t="n">
        <f aca="false">IF(NOT(Tasks[[#This Row],[_IsLeaf]]=1),0,IF(Tasks[[#This Row],[Baseline Cost]]="",Tasks[[#This Row],[_LeafCost]],N(Tasks[[#This Row],[Baseline Cost]])))</f>
        <v>0</v>
      </c>
      <c r="DC119" s="43" t="n">
        <f aca="false">Tasks[[#This Row],[_LeafBudget]]*Tasks[[#This Row],[_PlannedPct]]</f>
        <v>0</v>
      </c>
      <c r="DD119" s="43" t="n">
        <f aca="false">Tasks[[#This Row],[_LeafBudget]]*Tasks[[#This Row],[_LeafProgress]]</f>
        <v>0</v>
      </c>
      <c r="DE119" s="43" t="n">
        <f aca="false">IF(NOT(Tasks[[#This Row],[_IsLeaf]]=1),0,IF(Tasks[[#This Row],[Actual Cost]]="",Tasks[[#This Row],[_LeafCost]]*Tasks[[#This Row],[_LeafProgress]],N(Tasks[[#This Row],[Actual Cost]])))</f>
        <v>0</v>
      </c>
      <c r="DF119" s="43" t="str">
        <f aca="false">IF(Tasks[[#This Row],[Task Name]]="","",LEFT(Tasks[[#This Row],[WBS]],FIND(".",Tasks[[#This Row],[WBS]]&amp;".")-1))</f>
        <v/>
      </c>
      <c r="DG119" s="43" t="str">
        <f aca="false">IF(AND(Tasks[[#This Row],[Task Name]]&lt;&gt;"",Tasks[[#This Row],[_Level]]=1),Tasks[[#This Row],[_Row]],"")</f>
        <v/>
      </c>
      <c r="DH119" s="43" t="str">
        <f aca="false">IF(AND(Tasks[[#This Row],[_IsLeaf]]=1,N(Tasks[[#This Row],[Duration]])=0),Tasks[[#This Row],[Planned Finish]]+Tasks[[#This Row],[_Row]]/100000,"")</f>
        <v/>
      </c>
      <c r="DI11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1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19" s="43" t="str">
        <f aca="false">IF(Tasks[[#This Row],[_LeafCritical]],Tasks[[#This Row],[_LeafFcstStart]]+Tasks[[#This Row],[_Row]]/100000,"")</f>
        <v/>
      </c>
    </row>
    <row r="120" customFormat="false" ht="15" hidden="false" customHeight="false" outlineLevel="0" collapsed="false">
      <c r="A120" s="28" t="str">
        <f aca="false">IF(Tasks[[#This Row],[Task Name]]="","",COUNTA(Tasks[[#Headers],[Task Name]]:Tasks[[#This Row],[Task Name]])-1)</f>
        <v/>
      </c>
      <c r="B120" s="29" t="n">
        <v>115</v>
      </c>
      <c r="C1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29"/>
      <c r="E120" s="30"/>
      <c r="F120" s="29"/>
      <c r="G120" s="29"/>
      <c r="H120" s="29"/>
      <c r="I120" s="29"/>
      <c r="J120" s="29"/>
      <c r="K120" s="29"/>
      <c r="L120" s="29"/>
      <c r="M120" s="29"/>
      <c r="N120" s="53"/>
      <c r="O120" s="53"/>
      <c r="P120" s="25" t="str">
        <f aca="false">IF(Tasks[[#This Row],[Task Name]]="","",IF(N(Tasks[[#This Row],[Baseline Start]])&gt;0,Tasks[[#This Row],[Baseline Start]],Tasks[[#This Row],[_CalcStart]]))</f>
        <v/>
      </c>
      <c r="Q120" s="25" t="str">
        <f aca="false">IF(Tasks[[#This Row],[Task Name]]="","",IF(N(Tasks[[#This Row],[Baseline Finish]])&gt;0,Tasks[[#This Row],[Baseline Finish]],Tasks[[#This Row],[_CalcFinish]]))</f>
        <v/>
      </c>
      <c r="R120" s="53"/>
      <c r="S120" s="53"/>
      <c r="T1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55"/>
      <c r="AF12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30"/>
      <c r="AI120" s="55"/>
      <c r="AJ12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64"/>
      <c r="AM12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0" s="30"/>
      <c r="AP120" s="25" t="str">
        <f aca="false">IF(Tasks[[#This Row],[Task Name]]="","",Tasks[[#This Row],[Forecast Start]])</f>
        <v/>
      </c>
      <c r="AQ120" s="25" t="str">
        <f aca="false">IF(Tasks[[#This Row],[Task Name]]="","",Tasks[[#This Row],[Forecast Finish]])</f>
        <v/>
      </c>
      <c r="AR1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0" s="62" t="str">
        <f aca="false">IF(Tasks[[#This Row],[Task Name]]="","",Tasks[[#This Row],[Work]])</f>
        <v/>
      </c>
      <c r="AT120" s="63" t="str">
        <f aca="false">IF(Tasks[[#This Row],[Task Name]]="","",Tasks[[#This Row],[Cost]])</f>
        <v/>
      </c>
      <c r="AU120" s="53"/>
      <c r="AV120" s="53"/>
      <c r="AW120" s="29"/>
      <c r="AX120" s="65"/>
      <c r="AY120" s="64"/>
      <c r="AZ120" s="28" t="str">
        <f aca="false">IF(OR(Tasks[[#This Row],[Task Name]]="",Tasks[[#This Row],[Baseline Duration]]=""),"",Tasks[[#This Row],[BL Source Duration]]-N(Tasks[[#This Row],[Baseline Duration]]))</f>
        <v/>
      </c>
      <c r="BA120" s="62" t="str">
        <f aca="false">IF(OR(Tasks[[#This Row],[Task Name]]="",Tasks[[#This Row],[Baseline Work]]=""),"",Tasks[[#This Row],[Work]]-N(Tasks[[#This Row],[Baseline Work]]))</f>
        <v/>
      </c>
      <c r="BB120" s="63" t="str">
        <f aca="false">IF(OR(Tasks[[#This Row],[Task Name]]="",Tasks[[#This Row],[Baseline Cost]]=""),"",Tasks[[#This Row],[Cost]]-N(Tasks[[#This Row],[Baseline Cost]]))</f>
        <v/>
      </c>
      <c r="BC12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0" s="43" t="str">
        <f aca="false">IF(Tasks[[#This Row],[Task Name]]="","",MAX(1,N(Tasks[[#This Row],[Level]])))</f>
        <v/>
      </c>
      <c r="BH120" s="43" t="n">
        <f aca="false">ROW()-ROW(Tasks[[#Headers],[ID]])</f>
        <v>115</v>
      </c>
      <c r="BI1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0" s="43" t="n">
        <f aca="false">IFERROR(N(INDEX(Tasks[_Level],Tasks[[#This Row],[_Row]]+1)),0)</f>
        <v>0</v>
      </c>
      <c r="BK120" s="66" t="b">
        <f aca="false">AND(Tasks[[#This Row],[Task Name]]&lt;&gt;"",Tasks[[#This Row],[_NextLevel]]&gt;Tasks[[#This Row],[_Level]])</f>
        <v>0</v>
      </c>
      <c r="BL120" s="43" t="n">
        <f aca="false">IF(Tasks[[#This Row],[_IsSummary]],COUNTIF(Tasks[WBS],Tasks[[#This Row],[WBS]]&amp;".*"),0)</f>
        <v>0</v>
      </c>
      <c r="BM120" s="43" t="n">
        <f aca="false">IF(AND(Tasks[[#This Row],[Task Name]]&lt;&gt;"",NOT(Tasks[[#This Row],[_IsSummary]])),1,0)</f>
        <v>0</v>
      </c>
      <c r="BN120" s="43" t="n">
        <f aca="false">IF(N(Tasks[[#This Row],[Pred1 UID]])=0,0,IFERROR(MATCH(Tasks[[#This Row],[Pred1 UID]],Tasks[UID],0),-1))</f>
        <v>0</v>
      </c>
      <c r="BO120" s="43" t="n">
        <f aca="false">IF(N(Tasks[[#This Row],[Pred2 UID]])=0,0,IFERROR(MATCH(Tasks[[#This Row],[Pred2 UID]],Tasks[UID],0),-1))</f>
        <v>0</v>
      </c>
      <c r="BP12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0" s="43" t="n">
        <f aca="false">IF(NOT(Tasks[[#This Row],[_IsLeaf]]=1),0,IF(N(Tasks[[#This Row],[Actual Finish]])&gt;0,1,MIN(1,N(Tasks[[#This Row],[% Complete]]))))</f>
        <v>0</v>
      </c>
      <c r="BU1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0" s="43" t="n">
        <f aca="false">IF(Tasks[[#This Row],[_LeafWork]]=0,0,Tasks[[#This Row],[_LeafWork]]*IFERROR(INDEX(res_Rate,MATCH(Tasks[[#This Row],[Resource]],res_Name,0)),0))</f>
        <v>0</v>
      </c>
      <c r="BW1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0" s="43" t="n">
        <f aca="false">IF(NOT(Tasks[[#This Row],[_IsLeaf]]=1),0,MAX(_xlfn.MAXIFS(Tasks[_Row],Tasks[Pred1 UID],Tasks[[#This Row],[UID]]),_xlfn.MAXIFS(Tasks[_Row],Tasks[Pred2 UID],Tasks[[#This Row],[UID]])))</f>
        <v>0</v>
      </c>
      <c r="CB12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0" s="67" t="str">
        <f aca="false">IF(NOT(Tasks[[#This Row],[_IsLeaf]]=1),"",MIN(ProjectFinish,IF(N(Tasks[[#This Row],[Deadline]])&gt;0,Tasks[[#This Row],[Deadline]],2958465),Tasks[[#This Row],[_SuccessorFinishLimit]]))</f>
        <v/>
      </c>
      <c r="CD12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0" s="66" t="b">
        <f aca="false">AND(Tasks[[#This Row],[_IsLeaf]]=1,Tasks[[#This Row],[_LeafProgress]]&lt;1,N(Tasks[[#This Row],[_LeafTotalSlack]])&lt;=CriticalSlackDays)</f>
        <v>0</v>
      </c>
      <c r="CG12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0" s="43" t="n">
        <f aca="false">IF(AND(Tasks[[#This Row],[_IsLeaf]]=1,Tasks[[#This Row],[_LeafWork]]&gt;0),NETWORKDAYS.INTL(ProjectStart,Tasks[[#This Row],[_LeafFcstStart]],WorkWeek,Holidays),0)</f>
        <v>0</v>
      </c>
      <c r="CP1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0" s="43" t="n">
        <f aca="false">IF(AND(Tasks[[#This Row],[_IsLeaf]]=1,Tasks[[#This Row],[_LeafWork]]&gt;0),Tasks[[#This Row],[_LeafWork]]/(Tasks[[#This Row],[_FinishWorkday]]-Tasks[[#This Row],[_StartWorkday]]+1),0)</f>
        <v>0</v>
      </c>
      <c r="CR120" s="43" t="n">
        <f aca="false">Tasks[[#This Row],[_WorkPerWorkday]]*(Tasks[[#This Row],[_StartWorkday]]-1)</f>
        <v>-0</v>
      </c>
      <c r="CS120" s="43" t="n">
        <f aca="false">IF(Tasks[[#This Row],[_IsLeaf]]=1,MAX(N(Tasks[[#This Row],[Duration]]),0.1),0)</f>
        <v>0</v>
      </c>
      <c r="CT120" s="43" t="n">
        <f aca="false">Tasks[[#This Row],[_WeightDur]]*Tasks[[#This Row],[_LeafProgress]]</f>
        <v>0</v>
      </c>
      <c r="CU1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0" s="43" t="str">
        <f aca="false">IF(AND(Tasks[[#This Row],[_IsLeaf]]=1,N(Tasks[[#This Row],[Duration]])=0,Tasks[[#This Row],[_LeafProgress]]&lt;1),Tasks[[#This Row],[_LeafFcstFinish]]+Tasks[[#This Row],[_Row]]/100000,"")</f>
        <v/>
      </c>
      <c r="DA1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0" s="43" t="n">
        <f aca="false">IF(NOT(Tasks[[#This Row],[_IsLeaf]]=1),0,IF(Tasks[[#This Row],[Baseline Cost]]="",Tasks[[#This Row],[_LeafCost]],N(Tasks[[#This Row],[Baseline Cost]])))</f>
        <v>0</v>
      </c>
      <c r="DC120" s="43" t="n">
        <f aca="false">Tasks[[#This Row],[_LeafBudget]]*Tasks[[#This Row],[_PlannedPct]]</f>
        <v>0</v>
      </c>
      <c r="DD120" s="43" t="n">
        <f aca="false">Tasks[[#This Row],[_LeafBudget]]*Tasks[[#This Row],[_LeafProgress]]</f>
        <v>0</v>
      </c>
      <c r="DE120" s="43" t="n">
        <f aca="false">IF(NOT(Tasks[[#This Row],[_IsLeaf]]=1),0,IF(Tasks[[#This Row],[Actual Cost]]="",Tasks[[#This Row],[_LeafCost]]*Tasks[[#This Row],[_LeafProgress]],N(Tasks[[#This Row],[Actual Cost]])))</f>
        <v>0</v>
      </c>
      <c r="DF120" s="43" t="str">
        <f aca="false">IF(Tasks[[#This Row],[Task Name]]="","",LEFT(Tasks[[#This Row],[WBS]],FIND(".",Tasks[[#This Row],[WBS]]&amp;".")-1))</f>
        <v/>
      </c>
      <c r="DG120" s="43" t="str">
        <f aca="false">IF(AND(Tasks[[#This Row],[Task Name]]&lt;&gt;"",Tasks[[#This Row],[_Level]]=1),Tasks[[#This Row],[_Row]],"")</f>
        <v/>
      </c>
      <c r="DH120" s="43" t="str">
        <f aca="false">IF(AND(Tasks[[#This Row],[_IsLeaf]]=1,N(Tasks[[#This Row],[Duration]])=0),Tasks[[#This Row],[Planned Finish]]+Tasks[[#This Row],[_Row]]/100000,"")</f>
        <v/>
      </c>
      <c r="DI1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0" s="43" t="str">
        <f aca="false">IF(Tasks[[#This Row],[_LeafCritical]],Tasks[[#This Row],[_LeafFcstStart]]+Tasks[[#This Row],[_Row]]/100000,"")</f>
        <v/>
      </c>
    </row>
    <row r="121" customFormat="false" ht="15" hidden="false" customHeight="false" outlineLevel="0" collapsed="false">
      <c r="A121" s="28" t="str">
        <f aca="false">IF(Tasks[[#This Row],[Task Name]]="","",COUNTA(Tasks[[#Headers],[Task Name]]:Tasks[[#This Row],[Task Name]])-1)</f>
        <v/>
      </c>
      <c r="B121" s="29" t="n">
        <v>116</v>
      </c>
      <c r="C1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29"/>
      <c r="E121" s="30"/>
      <c r="F121" s="29"/>
      <c r="G121" s="29"/>
      <c r="H121" s="29"/>
      <c r="I121" s="29"/>
      <c r="J121" s="29"/>
      <c r="K121" s="29"/>
      <c r="L121" s="29"/>
      <c r="M121" s="29"/>
      <c r="N121" s="53"/>
      <c r="O121" s="53"/>
      <c r="P121" s="25" t="str">
        <f aca="false">IF(Tasks[[#This Row],[Task Name]]="","",IF(N(Tasks[[#This Row],[Baseline Start]])&gt;0,Tasks[[#This Row],[Baseline Start]],Tasks[[#This Row],[_CalcStart]]))</f>
        <v/>
      </c>
      <c r="Q121" s="25" t="str">
        <f aca="false">IF(Tasks[[#This Row],[Task Name]]="","",IF(N(Tasks[[#This Row],[Baseline Finish]])&gt;0,Tasks[[#This Row],[Baseline Finish]],Tasks[[#This Row],[_CalcFinish]]))</f>
        <v/>
      </c>
      <c r="R121" s="53"/>
      <c r="S121" s="53"/>
      <c r="T1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55"/>
      <c r="AF12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30"/>
      <c r="AI121" s="55"/>
      <c r="AJ12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64"/>
      <c r="AM12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1" s="30"/>
      <c r="AP121" s="25" t="str">
        <f aca="false">IF(Tasks[[#This Row],[Task Name]]="","",Tasks[[#This Row],[Forecast Start]])</f>
        <v/>
      </c>
      <c r="AQ121" s="25" t="str">
        <f aca="false">IF(Tasks[[#This Row],[Task Name]]="","",Tasks[[#This Row],[Forecast Finish]])</f>
        <v/>
      </c>
      <c r="AR1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1" s="62" t="str">
        <f aca="false">IF(Tasks[[#This Row],[Task Name]]="","",Tasks[[#This Row],[Work]])</f>
        <v/>
      </c>
      <c r="AT121" s="63" t="str">
        <f aca="false">IF(Tasks[[#This Row],[Task Name]]="","",Tasks[[#This Row],[Cost]])</f>
        <v/>
      </c>
      <c r="AU121" s="53"/>
      <c r="AV121" s="53"/>
      <c r="AW121" s="29"/>
      <c r="AX121" s="65"/>
      <c r="AY121" s="64"/>
      <c r="AZ121" s="28" t="str">
        <f aca="false">IF(OR(Tasks[[#This Row],[Task Name]]="",Tasks[[#This Row],[Baseline Duration]]=""),"",Tasks[[#This Row],[BL Source Duration]]-N(Tasks[[#This Row],[Baseline Duration]]))</f>
        <v/>
      </c>
      <c r="BA121" s="62" t="str">
        <f aca="false">IF(OR(Tasks[[#This Row],[Task Name]]="",Tasks[[#This Row],[Baseline Work]]=""),"",Tasks[[#This Row],[Work]]-N(Tasks[[#This Row],[Baseline Work]]))</f>
        <v/>
      </c>
      <c r="BB121" s="63" t="str">
        <f aca="false">IF(OR(Tasks[[#This Row],[Task Name]]="",Tasks[[#This Row],[Baseline Cost]]=""),"",Tasks[[#This Row],[Cost]]-N(Tasks[[#This Row],[Baseline Cost]]))</f>
        <v/>
      </c>
      <c r="BC12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1" s="43" t="str">
        <f aca="false">IF(Tasks[[#This Row],[Task Name]]="","",MAX(1,N(Tasks[[#This Row],[Level]])))</f>
        <v/>
      </c>
      <c r="BH121" s="43" t="n">
        <f aca="false">ROW()-ROW(Tasks[[#Headers],[ID]])</f>
        <v>116</v>
      </c>
      <c r="BI1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1" s="43" t="n">
        <f aca="false">IFERROR(N(INDEX(Tasks[_Level],Tasks[[#This Row],[_Row]]+1)),0)</f>
        <v>0</v>
      </c>
      <c r="BK121" s="66" t="b">
        <f aca="false">AND(Tasks[[#This Row],[Task Name]]&lt;&gt;"",Tasks[[#This Row],[_NextLevel]]&gt;Tasks[[#This Row],[_Level]])</f>
        <v>0</v>
      </c>
      <c r="BL121" s="43" t="n">
        <f aca="false">IF(Tasks[[#This Row],[_IsSummary]],COUNTIF(Tasks[WBS],Tasks[[#This Row],[WBS]]&amp;".*"),0)</f>
        <v>0</v>
      </c>
      <c r="BM121" s="43" t="n">
        <f aca="false">IF(AND(Tasks[[#This Row],[Task Name]]&lt;&gt;"",NOT(Tasks[[#This Row],[_IsSummary]])),1,0)</f>
        <v>0</v>
      </c>
      <c r="BN121" s="43" t="n">
        <f aca="false">IF(N(Tasks[[#This Row],[Pred1 UID]])=0,0,IFERROR(MATCH(Tasks[[#This Row],[Pred1 UID]],Tasks[UID],0),-1))</f>
        <v>0</v>
      </c>
      <c r="BO121" s="43" t="n">
        <f aca="false">IF(N(Tasks[[#This Row],[Pred2 UID]])=0,0,IFERROR(MATCH(Tasks[[#This Row],[Pred2 UID]],Tasks[UID],0),-1))</f>
        <v>0</v>
      </c>
      <c r="BP12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1" s="43" t="n">
        <f aca="false">IF(NOT(Tasks[[#This Row],[_IsLeaf]]=1),0,IF(N(Tasks[[#This Row],[Actual Finish]])&gt;0,1,MIN(1,N(Tasks[[#This Row],[% Complete]]))))</f>
        <v>0</v>
      </c>
      <c r="BU12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1" s="43" t="n">
        <f aca="false">IF(Tasks[[#This Row],[_LeafWork]]=0,0,Tasks[[#This Row],[_LeafWork]]*IFERROR(INDEX(res_Rate,MATCH(Tasks[[#This Row],[Resource]],res_Name,0)),0))</f>
        <v>0</v>
      </c>
      <c r="BW12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1" s="43" t="n">
        <f aca="false">IF(NOT(Tasks[[#This Row],[_IsLeaf]]=1),0,MAX(_xlfn.MAXIFS(Tasks[_Row],Tasks[Pred1 UID],Tasks[[#This Row],[UID]]),_xlfn.MAXIFS(Tasks[_Row],Tasks[Pred2 UID],Tasks[[#This Row],[UID]])))</f>
        <v>0</v>
      </c>
      <c r="CB12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1" s="67" t="str">
        <f aca="false">IF(NOT(Tasks[[#This Row],[_IsLeaf]]=1),"",MIN(ProjectFinish,IF(N(Tasks[[#This Row],[Deadline]])&gt;0,Tasks[[#This Row],[Deadline]],2958465),Tasks[[#This Row],[_SuccessorFinishLimit]]))</f>
        <v/>
      </c>
      <c r="CD12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1" s="66" t="b">
        <f aca="false">AND(Tasks[[#This Row],[_IsLeaf]]=1,Tasks[[#This Row],[_LeafProgress]]&lt;1,N(Tasks[[#This Row],[_LeafTotalSlack]])&lt;=CriticalSlackDays)</f>
        <v>0</v>
      </c>
      <c r="CG12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1" s="43" t="n">
        <f aca="false">IF(AND(Tasks[[#This Row],[_IsLeaf]]=1,Tasks[[#This Row],[_LeafWork]]&gt;0),NETWORKDAYS.INTL(ProjectStart,Tasks[[#This Row],[_LeafFcstStart]],WorkWeek,Holidays),0)</f>
        <v>0</v>
      </c>
      <c r="CP12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1" s="43" t="n">
        <f aca="false">IF(AND(Tasks[[#This Row],[_IsLeaf]]=1,Tasks[[#This Row],[_LeafWork]]&gt;0),Tasks[[#This Row],[_LeafWork]]/(Tasks[[#This Row],[_FinishWorkday]]-Tasks[[#This Row],[_StartWorkday]]+1),0)</f>
        <v>0</v>
      </c>
      <c r="CR121" s="43" t="n">
        <f aca="false">Tasks[[#This Row],[_WorkPerWorkday]]*(Tasks[[#This Row],[_StartWorkday]]-1)</f>
        <v>-0</v>
      </c>
      <c r="CS121" s="43" t="n">
        <f aca="false">IF(Tasks[[#This Row],[_IsLeaf]]=1,MAX(N(Tasks[[#This Row],[Duration]]),0.1),0)</f>
        <v>0</v>
      </c>
      <c r="CT121" s="43" t="n">
        <f aca="false">Tasks[[#This Row],[_WeightDur]]*Tasks[[#This Row],[_LeafProgress]]</f>
        <v>0</v>
      </c>
      <c r="CU1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1" s="43" t="str">
        <f aca="false">IF(AND(Tasks[[#This Row],[_IsLeaf]]=1,N(Tasks[[#This Row],[Duration]])=0,Tasks[[#This Row],[_LeafProgress]]&lt;1),Tasks[[#This Row],[_LeafFcstFinish]]+Tasks[[#This Row],[_Row]]/100000,"")</f>
        <v/>
      </c>
      <c r="DA1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1" s="43" t="n">
        <f aca="false">IF(NOT(Tasks[[#This Row],[_IsLeaf]]=1),0,IF(Tasks[[#This Row],[Baseline Cost]]="",Tasks[[#This Row],[_LeafCost]],N(Tasks[[#This Row],[Baseline Cost]])))</f>
        <v>0</v>
      </c>
      <c r="DC121" s="43" t="n">
        <f aca="false">Tasks[[#This Row],[_LeafBudget]]*Tasks[[#This Row],[_PlannedPct]]</f>
        <v>0</v>
      </c>
      <c r="DD121" s="43" t="n">
        <f aca="false">Tasks[[#This Row],[_LeafBudget]]*Tasks[[#This Row],[_LeafProgress]]</f>
        <v>0</v>
      </c>
      <c r="DE121" s="43" t="n">
        <f aca="false">IF(NOT(Tasks[[#This Row],[_IsLeaf]]=1),0,IF(Tasks[[#This Row],[Actual Cost]]="",Tasks[[#This Row],[_LeafCost]]*Tasks[[#This Row],[_LeafProgress]],N(Tasks[[#This Row],[Actual Cost]])))</f>
        <v>0</v>
      </c>
      <c r="DF121" s="43" t="str">
        <f aca="false">IF(Tasks[[#This Row],[Task Name]]="","",LEFT(Tasks[[#This Row],[WBS]],FIND(".",Tasks[[#This Row],[WBS]]&amp;".")-1))</f>
        <v/>
      </c>
      <c r="DG121" s="43" t="str">
        <f aca="false">IF(AND(Tasks[[#This Row],[Task Name]]&lt;&gt;"",Tasks[[#This Row],[_Level]]=1),Tasks[[#This Row],[_Row]],"")</f>
        <v/>
      </c>
      <c r="DH121" s="43" t="str">
        <f aca="false">IF(AND(Tasks[[#This Row],[_IsLeaf]]=1,N(Tasks[[#This Row],[Duration]])=0),Tasks[[#This Row],[Planned Finish]]+Tasks[[#This Row],[_Row]]/100000,"")</f>
        <v/>
      </c>
      <c r="DI1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1" s="43" t="str">
        <f aca="false">IF(Tasks[[#This Row],[_LeafCritical]],Tasks[[#This Row],[_LeafFcstStart]]+Tasks[[#This Row],[_Row]]/100000,"")</f>
        <v/>
      </c>
    </row>
    <row r="122" customFormat="false" ht="15" hidden="false" customHeight="false" outlineLevel="0" collapsed="false">
      <c r="A122" s="28" t="str">
        <f aca="false">IF(Tasks[[#This Row],[Task Name]]="","",COUNTA(Tasks[[#Headers],[Task Name]]:Tasks[[#This Row],[Task Name]])-1)</f>
        <v/>
      </c>
      <c r="B122" s="29" t="n">
        <v>117</v>
      </c>
      <c r="C1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29"/>
      <c r="E122" s="30"/>
      <c r="F122" s="29"/>
      <c r="G122" s="29"/>
      <c r="H122" s="29"/>
      <c r="I122" s="29"/>
      <c r="J122" s="29"/>
      <c r="K122" s="29"/>
      <c r="L122" s="29"/>
      <c r="M122" s="29"/>
      <c r="N122" s="53"/>
      <c r="O122" s="53"/>
      <c r="P122" s="25" t="str">
        <f aca="false">IF(Tasks[[#This Row],[Task Name]]="","",IF(N(Tasks[[#This Row],[Baseline Start]])&gt;0,Tasks[[#This Row],[Baseline Start]],Tasks[[#This Row],[_CalcStart]]))</f>
        <v/>
      </c>
      <c r="Q122" s="25" t="str">
        <f aca="false">IF(Tasks[[#This Row],[Task Name]]="","",IF(N(Tasks[[#This Row],[Baseline Finish]])&gt;0,Tasks[[#This Row],[Baseline Finish]],Tasks[[#This Row],[_CalcFinish]]))</f>
        <v/>
      </c>
      <c r="R122" s="53"/>
      <c r="S122" s="53"/>
      <c r="T1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55"/>
      <c r="AF12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30"/>
      <c r="AI122" s="55"/>
      <c r="AJ12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64"/>
      <c r="AM12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2" s="30"/>
      <c r="AP122" s="25" t="str">
        <f aca="false">IF(Tasks[[#This Row],[Task Name]]="","",Tasks[[#This Row],[Forecast Start]])</f>
        <v/>
      </c>
      <c r="AQ122" s="25" t="str">
        <f aca="false">IF(Tasks[[#This Row],[Task Name]]="","",Tasks[[#This Row],[Forecast Finish]])</f>
        <v/>
      </c>
      <c r="AR1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2" s="62" t="str">
        <f aca="false">IF(Tasks[[#This Row],[Task Name]]="","",Tasks[[#This Row],[Work]])</f>
        <v/>
      </c>
      <c r="AT122" s="63" t="str">
        <f aca="false">IF(Tasks[[#This Row],[Task Name]]="","",Tasks[[#This Row],[Cost]])</f>
        <v/>
      </c>
      <c r="AU122" s="53"/>
      <c r="AV122" s="53"/>
      <c r="AW122" s="29"/>
      <c r="AX122" s="65"/>
      <c r="AY122" s="64"/>
      <c r="AZ122" s="28" t="str">
        <f aca="false">IF(OR(Tasks[[#This Row],[Task Name]]="",Tasks[[#This Row],[Baseline Duration]]=""),"",Tasks[[#This Row],[BL Source Duration]]-N(Tasks[[#This Row],[Baseline Duration]]))</f>
        <v/>
      </c>
      <c r="BA122" s="62" t="str">
        <f aca="false">IF(OR(Tasks[[#This Row],[Task Name]]="",Tasks[[#This Row],[Baseline Work]]=""),"",Tasks[[#This Row],[Work]]-N(Tasks[[#This Row],[Baseline Work]]))</f>
        <v/>
      </c>
      <c r="BB122" s="63" t="str">
        <f aca="false">IF(OR(Tasks[[#This Row],[Task Name]]="",Tasks[[#This Row],[Baseline Cost]]=""),"",Tasks[[#This Row],[Cost]]-N(Tasks[[#This Row],[Baseline Cost]]))</f>
        <v/>
      </c>
      <c r="BC12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2" s="43" t="str">
        <f aca="false">IF(Tasks[[#This Row],[Task Name]]="","",MAX(1,N(Tasks[[#This Row],[Level]])))</f>
        <v/>
      </c>
      <c r="BH122" s="43" t="n">
        <f aca="false">ROW()-ROW(Tasks[[#Headers],[ID]])</f>
        <v>117</v>
      </c>
      <c r="BI1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2" s="43" t="n">
        <f aca="false">IFERROR(N(INDEX(Tasks[_Level],Tasks[[#This Row],[_Row]]+1)),0)</f>
        <v>0</v>
      </c>
      <c r="BK122" s="66" t="b">
        <f aca="false">AND(Tasks[[#This Row],[Task Name]]&lt;&gt;"",Tasks[[#This Row],[_NextLevel]]&gt;Tasks[[#This Row],[_Level]])</f>
        <v>0</v>
      </c>
      <c r="BL122" s="43" t="n">
        <f aca="false">IF(Tasks[[#This Row],[_IsSummary]],COUNTIF(Tasks[WBS],Tasks[[#This Row],[WBS]]&amp;".*"),0)</f>
        <v>0</v>
      </c>
      <c r="BM122" s="43" t="n">
        <f aca="false">IF(AND(Tasks[[#This Row],[Task Name]]&lt;&gt;"",NOT(Tasks[[#This Row],[_IsSummary]])),1,0)</f>
        <v>0</v>
      </c>
      <c r="BN122" s="43" t="n">
        <f aca="false">IF(N(Tasks[[#This Row],[Pred1 UID]])=0,0,IFERROR(MATCH(Tasks[[#This Row],[Pred1 UID]],Tasks[UID],0),-1))</f>
        <v>0</v>
      </c>
      <c r="BO122" s="43" t="n">
        <f aca="false">IF(N(Tasks[[#This Row],[Pred2 UID]])=0,0,IFERROR(MATCH(Tasks[[#This Row],[Pred2 UID]],Tasks[UID],0),-1))</f>
        <v>0</v>
      </c>
      <c r="BP12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2" s="43" t="n">
        <f aca="false">IF(NOT(Tasks[[#This Row],[_IsLeaf]]=1),0,IF(N(Tasks[[#This Row],[Actual Finish]])&gt;0,1,MIN(1,N(Tasks[[#This Row],[% Complete]]))))</f>
        <v>0</v>
      </c>
      <c r="BU12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2" s="43" t="n">
        <f aca="false">IF(Tasks[[#This Row],[_LeafWork]]=0,0,Tasks[[#This Row],[_LeafWork]]*IFERROR(INDEX(res_Rate,MATCH(Tasks[[#This Row],[Resource]],res_Name,0)),0))</f>
        <v>0</v>
      </c>
      <c r="BW12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2" s="43" t="n">
        <f aca="false">IF(NOT(Tasks[[#This Row],[_IsLeaf]]=1),0,MAX(_xlfn.MAXIFS(Tasks[_Row],Tasks[Pred1 UID],Tasks[[#This Row],[UID]]),_xlfn.MAXIFS(Tasks[_Row],Tasks[Pred2 UID],Tasks[[#This Row],[UID]])))</f>
        <v>0</v>
      </c>
      <c r="CB12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2" s="67" t="str">
        <f aca="false">IF(NOT(Tasks[[#This Row],[_IsLeaf]]=1),"",MIN(ProjectFinish,IF(N(Tasks[[#This Row],[Deadline]])&gt;0,Tasks[[#This Row],[Deadline]],2958465),Tasks[[#This Row],[_SuccessorFinishLimit]]))</f>
        <v/>
      </c>
      <c r="CD12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2" s="66" t="b">
        <f aca="false">AND(Tasks[[#This Row],[_IsLeaf]]=1,Tasks[[#This Row],[_LeafProgress]]&lt;1,N(Tasks[[#This Row],[_LeafTotalSlack]])&lt;=CriticalSlackDays)</f>
        <v>0</v>
      </c>
      <c r="CG12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2" s="43" t="n">
        <f aca="false">IF(AND(Tasks[[#This Row],[_IsLeaf]]=1,Tasks[[#This Row],[_LeafWork]]&gt;0),NETWORKDAYS.INTL(ProjectStart,Tasks[[#This Row],[_LeafFcstStart]],WorkWeek,Holidays),0)</f>
        <v>0</v>
      </c>
      <c r="CP12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2" s="43" t="n">
        <f aca="false">IF(AND(Tasks[[#This Row],[_IsLeaf]]=1,Tasks[[#This Row],[_LeafWork]]&gt;0),Tasks[[#This Row],[_LeafWork]]/(Tasks[[#This Row],[_FinishWorkday]]-Tasks[[#This Row],[_StartWorkday]]+1),0)</f>
        <v>0</v>
      </c>
      <c r="CR122" s="43" t="n">
        <f aca="false">Tasks[[#This Row],[_WorkPerWorkday]]*(Tasks[[#This Row],[_StartWorkday]]-1)</f>
        <v>-0</v>
      </c>
      <c r="CS122" s="43" t="n">
        <f aca="false">IF(Tasks[[#This Row],[_IsLeaf]]=1,MAX(N(Tasks[[#This Row],[Duration]]),0.1),0)</f>
        <v>0</v>
      </c>
      <c r="CT122" s="43" t="n">
        <f aca="false">Tasks[[#This Row],[_WeightDur]]*Tasks[[#This Row],[_LeafProgress]]</f>
        <v>0</v>
      </c>
      <c r="CU1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2" s="43" t="str">
        <f aca="false">IF(AND(Tasks[[#This Row],[_IsLeaf]]=1,N(Tasks[[#This Row],[Duration]])=0,Tasks[[#This Row],[_LeafProgress]]&lt;1),Tasks[[#This Row],[_LeafFcstFinish]]+Tasks[[#This Row],[_Row]]/100000,"")</f>
        <v/>
      </c>
      <c r="DA1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2" s="43" t="n">
        <f aca="false">IF(NOT(Tasks[[#This Row],[_IsLeaf]]=1),0,IF(Tasks[[#This Row],[Baseline Cost]]="",Tasks[[#This Row],[_LeafCost]],N(Tasks[[#This Row],[Baseline Cost]])))</f>
        <v>0</v>
      </c>
      <c r="DC122" s="43" t="n">
        <f aca="false">Tasks[[#This Row],[_LeafBudget]]*Tasks[[#This Row],[_PlannedPct]]</f>
        <v>0</v>
      </c>
      <c r="DD122" s="43" t="n">
        <f aca="false">Tasks[[#This Row],[_LeafBudget]]*Tasks[[#This Row],[_LeafProgress]]</f>
        <v>0</v>
      </c>
      <c r="DE122" s="43" t="n">
        <f aca="false">IF(NOT(Tasks[[#This Row],[_IsLeaf]]=1),0,IF(Tasks[[#This Row],[Actual Cost]]="",Tasks[[#This Row],[_LeafCost]]*Tasks[[#This Row],[_LeafProgress]],N(Tasks[[#This Row],[Actual Cost]])))</f>
        <v>0</v>
      </c>
      <c r="DF122" s="43" t="str">
        <f aca="false">IF(Tasks[[#This Row],[Task Name]]="","",LEFT(Tasks[[#This Row],[WBS]],FIND(".",Tasks[[#This Row],[WBS]]&amp;".")-1))</f>
        <v/>
      </c>
      <c r="DG122" s="43" t="str">
        <f aca="false">IF(AND(Tasks[[#This Row],[Task Name]]&lt;&gt;"",Tasks[[#This Row],[_Level]]=1),Tasks[[#This Row],[_Row]],"")</f>
        <v/>
      </c>
      <c r="DH122" s="43" t="str">
        <f aca="false">IF(AND(Tasks[[#This Row],[_IsLeaf]]=1,N(Tasks[[#This Row],[Duration]])=0),Tasks[[#This Row],[Planned Finish]]+Tasks[[#This Row],[_Row]]/100000,"")</f>
        <v/>
      </c>
      <c r="DI12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2" s="43" t="str">
        <f aca="false">IF(Tasks[[#This Row],[_LeafCritical]],Tasks[[#This Row],[_LeafFcstStart]]+Tasks[[#This Row],[_Row]]/100000,"")</f>
        <v/>
      </c>
    </row>
    <row r="123" customFormat="false" ht="15" hidden="false" customHeight="false" outlineLevel="0" collapsed="false">
      <c r="A123" s="28" t="str">
        <f aca="false">IF(Tasks[[#This Row],[Task Name]]="","",COUNTA(Tasks[[#Headers],[Task Name]]:Tasks[[#This Row],[Task Name]])-1)</f>
        <v/>
      </c>
      <c r="B123" s="29" t="n">
        <v>118</v>
      </c>
      <c r="C1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29"/>
      <c r="E123" s="30"/>
      <c r="F123" s="29"/>
      <c r="G123" s="29"/>
      <c r="H123" s="29"/>
      <c r="I123" s="29"/>
      <c r="J123" s="29"/>
      <c r="K123" s="29"/>
      <c r="L123" s="29"/>
      <c r="M123" s="29"/>
      <c r="N123" s="53"/>
      <c r="O123" s="53"/>
      <c r="P123" s="25" t="str">
        <f aca="false">IF(Tasks[[#This Row],[Task Name]]="","",IF(N(Tasks[[#This Row],[Baseline Start]])&gt;0,Tasks[[#This Row],[Baseline Start]],Tasks[[#This Row],[_CalcStart]]))</f>
        <v/>
      </c>
      <c r="Q123" s="25" t="str">
        <f aca="false">IF(Tasks[[#This Row],[Task Name]]="","",IF(N(Tasks[[#This Row],[Baseline Finish]])&gt;0,Tasks[[#This Row],[Baseline Finish]],Tasks[[#This Row],[_CalcFinish]]))</f>
        <v/>
      </c>
      <c r="R123" s="53"/>
      <c r="S123" s="53"/>
      <c r="T1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55"/>
      <c r="AF12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30"/>
      <c r="AI123" s="55"/>
      <c r="AJ12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64"/>
      <c r="AM12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3" s="30"/>
      <c r="AP123" s="25" t="str">
        <f aca="false">IF(Tasks[[#This Row],[Task Name]]="","",Tasks[[#This Row],[Forecast Start]])</f>
        <v/>
      </c>
      <c r="AQ123" s="25" t="str">
        <f aca="false">IF(Tasks[[#This Row],[Task Name]]="","",Tasks[[#This Row],[Forecast Finish]])</f>
        <v/>
      </c>
      <c r="AR1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3" s="62" t="str">
        <f aca="false">IF(Tasks[[#This Row],[Task Name]]="","",Tasks[[#This Row],[Work]])</f>
        <v/>
      </c>
      <c r="AT123" s="63" t="str">
        <f aca="false">IF(Tasks[[#This Row],[Task Name]]="","",Tasks[[#This Row],[Cost]])</f>
        <v/>
      </c>
      <c r="AU123" s="53"/>
      <c r="AV123" s="53"/>
      <c r="AW123" s="29"/>
      <c r="AX123" s="65"/>
      <c r="AY123" s="64"/>
      <c r="AZ123" s="28" t="str">
        <f aca="false">IF(OR(Tasks[[#This Row],[Task Name]]="",Tasks[[#This Row],[Baseline Duration]]=""),"",Tasks[[#This Row],[BL Source Duration]]-N(Tasks[[#This Row],[Baseline Duration]]))</f>
        <v/>
      </c>
      <c r="BA123" s="62" t="str">
        <f aca="false">IF(OR(Tasks[[#This Row],[Task Name]]="",Tasks[[#This Row],[Baseline Work]]=""),"",Tasks[[#This Row],[Work]]-N(Tasks[[#This Row],[Baseline Work]]))</f>
        <v/>
      </c>
      <c r="BB123" s="63" t="str">
        <f aca="false">IF(OR(Tasks[[#This Row],[Task Name]]="",Tasks[[#This Row],[Baseline Cost]]=""),"",Tasks[[#This Row],[Cost]]-N(Tasks[[#This Row],[Baseline Cost]]))</f>
        <v/>
      </c>
      <c r="BC12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3" s="43" t="str">
        <f aca="false">IF(Tasks[[#This Row],[Task Name]]="","",MAX(1,N(Tasks[[#This Row],[Level]])))</f>
        <v/>
      </c>
      <c r="BH123" s="43" t="n">
        <f aca="false">ROW()-ROW(Tasks[[#Headers],[ID]])</f>
        <v>118</v>
      </c>
      <c r="BI1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3" s="43" t="n">
        <f aca="false">IFERROR(N(INDEX(Tasks[_Level],Tasks[[#This Row],[_Row]]+1)),0)</f>
        <v>0</v>
      </c>
      <c r="BK123" s="66" t="b">
        <f aca="false">AND(Tasks[[#This Row],[Task Name]]&lt;&gt;"",Tasks[[#This Row],[_NextLevel]]&gt;Tasks[[#This Row],[_Level]])</f>
        <v>0</v>
      </c>
      <c r="BL123" s="43" t="n">
        <f aca="false">IF(Tasks[[#This Row],[_IsSummary]],COUNTIF(Tasks[WBS],Tasks[[#This Row],[WBS]]&amp;".*"),0)</f>
        <v>0</v>
      </c>
      <c r="BM123" s="43" t="n">
        <f aca="false">IF(AND(Tasks[[#This Row],[Task Name]]&lt;&gt;"",NOT(Tasks[[#This Row],[_IsSummary]])),1,0)</f>
        <v>0</v>
      </c>
      <c r="BN123" s="43" t="n">
        <f aca="false">IF(N(Tasks[[#This Row],[Pred1 UID]])=0,0,IFERROR(MATCH(Tasks[[#This Row],[Pred1 UID]],Tasks[UID],0),-1))</f>
        <v>0</v>
      </c>
      <c r="BO123" s="43" t="n">
        <f aca="false">IF(N(Tasks[[#This Row],[Pred2 UID]])=0,0,IFERROR(MATCH(Tasks[[#This Row],[Pred2 UID]],Tasks[UID],0),-1))</f>
        <v>0</v>
      </c>
      <c r="BP12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3" s="43" t="n">
        <f aca="false">IF(NOT(Tasks[[#This Row],[_IsLeaf]]=1),0,IF(N(Tasks[[#This Row],[Actual Finish]])&gt;0,1,MIN(1,N(Tasks[[#This Row],[% Complete]]))))</f>
        <v>0</v>
      </c>
      <c r="BU12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3" s="43" t="n">
        <f aca="false">IF(Tasks[[#This Row],[_LeafWork]]=0,0,Tasks[[#This Row],[_LeafWork]]*IFERROR(INDEX(res_Rate,MATCH(Tasks[[#This Row],[Resource]],res_Name,0)),0))</f>
        <v>0</v>
      </c>
      <c r="BW12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3" s="43" t="n">
        <f aca="false">IF(NOT(Tasks[[#This Row],[_IsLeaf]]=1),0,MAX(_xlfn.MAXIFS(Tasks[_Row],Tasks[Pred1 UID],Tasks[[#This Row],[UID]]),_xlfn.MAXIFS(Tasks[_Row],Tasks[Pred2 UID],Tasks[[#This Row],[UID]])))</f>
        <v>0</v>
      </c>
      <c r="CB12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3" s="67" t="str">
        <f aca="false">IF(NOT(Tasks[[#This Row],[_IsLeaf]]=1),"",MIN(ProjectFinish,IF(N(Tasks[[#This Row],[Deadline]])&gt;0,Tasks[[#This Row],[Deadline]],2958465),Tasks[[#This Row],[_SuccessorFinishLimit]]))</f>
        <v/>
      </c>
      <c r="CD12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3" s="66" t="b">
        <f aca="false">AND(Tasks[[#This Row],[_IsLeaf]]=1,Tasks[[#This Row],[_LeafProgress]]&lt;1,N(Tasks[[#This Row],[_LeafTotalSlack]])&lt;=CriticalSlackDays)</f>
        <v>0</v>
      </c>
      <c r="CG12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3" s="43" t="n">
        <f aca="false">IF(AND(Tasks[[#This Row],[_IsLeaf]]=1,Tasks[[#This Row],[_LeafWork]]&gt;0),NETWORKDAYS.INTL(ProjectStart,Tasks[[#This Row],[_LeafFcstStart]],WorkWeek,Holidays),0)</f>
        <v>0</v>
      </c>
      <c r="CP12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3" s="43" t="n">
        <f aca="false">IF(AND(Tasks[[#This Row],[_IsLeaf]]=1,Tasks[[#This Row],[_LeafWork]]&gt;0),Tasks[[#This Row],[_LeafWork]]/(Tasks[[#This Row],[_FinishWorkday]]-Tasks[[#This Row],[_StartWorkday]]+1),0)</f>
        <v>0</v>
      </c>
      <c r="CR123" s="43" t="n">
        <f aca="false">Tasks[[#This Row],[_WorkPerWorkday]]*(Tasks[[#This Row],[_StartWorkday]]-1)</f>
        <v>-0</v>
      </c>
      <c r="CS123" s="43" t="n">
        <f aca="false">IF(Tasks[[#This Row],[_IsLeaf]]=1,MAX(N(Tasks[[#This Row],[Duration]]),0.1),0)</f>
        <v>0</v>
      </c>
      <c r="CT123" s="43" t="n">
        <f aca="false">Tasks[[#This Row],[_WeightDur]]*Tasks[[#This Row],[_LeafProgress]]</f>
        <v>0</v>
      </c>
      <c r="CU1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3" s="43" t="str">
        <f aca="false">IF(AND(Tasks[[#This Row],[_IsLeaf]]=1,N(Tasks[[#This Row],[Duration]])=0,Tasks[[#This Row],[_LeafProgress]]&lt;1),Tasks[[#This Row],[_LeafFcstFinish]]+Tasks[[#This Row],[_Row]]/100000,"")</f>
        <v/>
      </c>
      <c r="DA1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3" s="43" t="n">
        <f aca="false">IF(NOT(Tasks[[#This Row],[_IsLeaf]]=1),0,IF(Tasks[[#This Row],[Baseline Cost]]="",Tasks[[#This Row],[_LeafCost]],N(Tasks[[#This Row],[Baseline Cost]])))</f>
        <v>0</v>
      </c>
      <c r="DC123" s="43" t="n">
        <f aca="false">Tasks[[#This Row],[_LeafBudget]]*Tasks[[#This Row],[_PlannedPct]]</f>
        <v>0</v>
      </c>
      <c r="DD123" s="43" t="n">
        <f aca="false">Tasks[[#This Row],[_LeafBudget]]*Tasks[[#This Row],[_LeafProgress]]</f>
        <v>0</v>
      </c>
      <c r="DE123" s="43" t="n">
        <f aca="false">IF(NOT(Tasks[[#This Row],[_IsLeaf]]=1),0,IF(Tasks[[#This Row],[Actual Cost]]="",Tasks[[#This Row],[_LeafCost]]*Tasks[[#This Row],[_LeafProgress]],N(Tasks[[#This Row],[Actual Cost]])))</f>
        <v>0</v>
      </c>
      <c r="DF123" s="43" t="str">
        <f aca="false">IF(Tasks[[#This Row],[Task Name]]="","",LEFT(Tasks[[#This Row],[WBS]],FIND(".",Tasks[[#This Row],[WBS]]&amp;".")-1))</f>
        <v/>
      </c>
      <c r="DG123" s="43" t="str">
        <f aca="false">IF(AND(Tasks[[#This Row],[Task Name]]&lt;&gt;"",Tasks[[#This Row],[_Level]]=1),Tasks[[#This Row],[_Row]],"")</f>
        <v/>
      </c>
      <c r="DH123" s="43" t="str">
        <f aca="false">IF(AND(Tasks[[#This Row],[_IsLeaf]]=1,N(Tasks[[#This Row],[Duration]])=0),Tasks[[#This Row],[Planned Finish]]+Tasks[[#This Row],[_Row]]/100000,"")</f>
        <v/>
      </c>
      <c r="DI12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3" s="43" t="str">
        <f aca="false">IF(Tasks[[#This Row],[_LeafCritical]],Tasks[[#This Row],[_LeafFcstStart]]+Tasks[[#This Row],[_Row]]/100000,"")</f>
        <v/>
      </c>
    </row>
    <row r="124" customFormat="false" ht="15" hidden="false" customHeight="false" outlineLevel="0" collapsed="false">
      <c r="A124" s="28" t="str">
        <f aca="false">IF(Tasks[[#This Row],[Task Name]]="","",COUNTA(Tasks[[#Headers],[Task Name]]:Tasks[[#This Row],[Task Name]])-1)</f>
        <v/>
      </c>
      <c r="B124" s="29" t="n">
        <v>119</v>
      </c>
      <c r="C1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29"/>
      <c r="E124" s="30"/>
      <c r="F124" s="29"/>
      <c r="G124" s="29"/>
      <c r="H124" s="29"/>
      <c r="I124" s="29"/>
      <c r="J124" s="29"/>
      <c r="K124" s="29"/>
      <c r="L124" s="29"/>
      <c r="M124" s="29"/>
      <c r="N124" s="53"/>
      <c r="O124" s="53"/>
      <c r="P124" s="25" t="str">
        <f aca="false">IF(Tasks[[#This Row],[Task Name]]="","",IF(N(Tasks[[#This Row],[Baseline Start]])&gt;0,Tasks[[#This Row],[Baseline Start]],Tasks[[#This Row],[_CalcStart]]))</f>
        <v/>
      </c>
      <c r="Q124" s="25" t="str">
        <f aca="false">IF(Tasks[[#This Row],[Task Name]]="","",IF(N(Tasks[[#This Row],[Baseline Finish]])&gt;0,Tasks[[#This Row],[Baseline Finish]],Tasks[[#This Row],[_CalcFinish]]))</f>
        <v/>
      </c>
      <c r="R124" s="53"/>
      <c r="S124" s="53"/>
      <c r="T1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55"/>
      <c r="AF12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30"/>
      <c r="AI124" s="55"/>
      <c r="AJ12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64"/>
      <c r="AM12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4" s="30"/>
      <c r="AP124" s="25" t="str">
        <f aca="false">IF(Tasks[[#This Row],[Task Name]]="","",Tasks[[#This Row],[Forecast Start]])</f>
        <v/>
      </c>
      <c r="AQ124" s="25" t="str">
        <f aca="false">IF(Tasks[[#This Row],[Task Name]]="","",Tasks[[#This Row],[Forecast Finish]])</f>
        <v/>
      </c>
      <c r="AR1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4" s="62" t="str">
        <f aca="false">IF(Tasks[[#This Row],[Task Name]]="","",Tasks[[#This Row],[Work]])</f>
        <v/>
      </c>
      <c r="AT124" s="63" t="str">
        <f aca="false">IF(Tasks[[#This Row],[Task Name]]="","",Tasks[[#This Row],[Cost]])</f>
        <v/>
      </c>
      <c r="AU124" s="53"/>
      <c r="AV124" s="53"/>
      <c r="AW124" s="29"/>
      <c r="AX124" s="65"/>
      <c r="AY124" s="64"/>
      <c r="AZ124" s="28" t="str">
        <f aca="false">IF(OR(Tasks[[#This Row],[Task Name]]="",Tasks[[#This Row],[Baseline Duration]]=""),"",Tasks[[#This Row],[BL Source Duration]]-N(Tasks[[#This Row],[Baseline Duration]]))</f>
        <v/>
      </c>
      <c r="BA124" s="62" t="str">
        <f aca="false">IF(OR(Tasks[[#This Row],[Task Name]]="",Tasks[[#This Row],[Baseline Work]]=""),"",Tasks[[#This Row],[Work]]-N(Tasks[[#This Row],[Baseline Work]]))</f>
        <v/>
      </c>
      <c r="BB124" s="63" t="str">
        <f aca="false">IF(OR(Tasks[[#This Row],[Task Name]]="",Tasks[[#This Row],[Baseline Cost]]=""),"",Tasks[[#This Row],[Cost]]-N(Tasks[[#This Row],[Baseline Cost]]))</f>
        <v/>
      </c>
      <c r="BC12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4" s="43" t="str">
        <f aca="false">IF(Tasks[[#This Row],[Task Name]]="","",MAX(1,N(Tasks[[#This Row],[Level]])))</f>
        <v/>
      </c>
      <c r="BH124" s="43" t="n">
        <f aca="false">ROW()-ROW(Tasks[[#Headers],[ID]])</f>
        <v>119</v>
      </c>
      <c r="BI1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4" s="43" t="n">
        <f aca="false">IFERROR(N(INDEX(Tasks[_Level],Tasks[[#This Row],[_Row]]+1)),0)</f>
        <v>0</v>
      </c>
      <c r="BK124" s="66" t="b">
        <f aca="false">AND(Tasks[[#This Row],[Task Name]]&lt;&gt;"",Tasks[[#This Row],[_NextLevel]]&gt;Tasks[[#This Row],[_Level]])</f>
        <v>0</v>
      </c>
      <c r="BL124" s="43" t="n">
        <f aca="false">IF(Tasks[[#This Row],[_IsSummary]],COUNTIF(Tasks[WBS],Tasks[[#This Row],[WBS]]&amp;".*"),0)</f>
        <v>0</v>
      </c>
      <c r="BM124" s="43" t="n">
        <f aca="false">IF(AND(Tasks[[#This Row],[Task Name]]&lt;&gt;"",NOT(Tasks[[#This Row],[_IsSummary]])),1,0)</f>
        <v>0</v>
      </c>
      <c r="BN124" s="43" t="n">
        <f aca="false">IF(N(Tasks[[#This Row],[Pred1 UID]])=0,0,IFERROR(MATCH(Tasks[[#This Row],[Pred1 UID]],Tasks[UID],0),-1))</f>
        <v>0</v>
      </c>
      <c r="BO124" s="43" t="n">
        <f aca="false">IF(N(Tasks[[#This Row],[Pred2 UID]])=0,0,IFERROR(MATCH(Tasks[[#This Row],[Pred2 UID]],Tasks[UID],0),-1))</f>
        <v>0</v>
      </c>
      <c r="BP12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4" s="43" t="n">
        <f aca="false">IF(NOT(Tasks[[#This Row],[_IsLeaf]]=1),0,IF(N(Tasks[[#This Row],[Actual Finish]])&gt;0,1,MIN(1,N(Tasks[[#This Row],[% Complete]]))))</f>
        <v>0</v>
      </c>
      <c r="BU1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4" s="43" t="n">
        <f aca="false">IF(Tasks[[#This Row],[_LeafWork]]=0,0,Tasks[[#This Row],[_LeafWork]]*IFERROR(INDEX(res_Rate,MATCH(Tasks[[#This Row],[Resource]],res_Name,0)),0))</f>
        <v>0</v>
      </c>
      <c r="BW12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4" s="43" t="n">
        <f aca="false">IF(NOT(Tasks[[#This Row],[_IsLeaf]]=1),0,MAX(_xlfn.MAXIFS(Tasks[_Row],Tasks[Pred1 UID],Tasks[[#This Row],[UID]]),_xlfn.MAXIFS(Tasks[_Row],Tasks[Pred2 UID],Tasks[[#This Row],[UID]])))</f>
        <v>0</v>
      </c>
      <c r="CB12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4" s="67" t="str">
        <f aca="false">IF(NOT(Tasks[[#This Row],[_IsLeaf]]=1),"",MIN(ProjectFinish,IF(N(Tasks[[#This Row],[Deadline]])&gt;0,Tasks[[#This Row],[Deadline]],2958465),Tasks[[#This Row],[_SuccessorFinishLimit]]))</f>
        <v/>
      </c>
      <c r="CD12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4" s="66" t="b">
        <f aca="false">AND(Tasks[[#This Row],[_IsLeaf]]=1,Tasks[[#This Row],[_LeafProgress]]&lt;1,N(Tasks[[#This Row],[_LeafTotalSlack]])&lt;=CriticalSlackDays)</f>
        <v>0</v>
      </c>
      <c r="CG12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4" s="43" t="n">
        <f aca="false">IF(AND(Tasks[[#This Row],[_IsLeaf]]=1,Tasks[[#This Row],[_LeafWork]]&gt;0),NETWORKDAYS.INTL(ProjectStart,Tasks[[#This Row],[_LeafFcstStart]],WorkWeek,Holidays),0)</f>
        <v>0</v>
      </c>
      <c r="CP1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4" s="43" t="n">
        <f aca="false">IF(AND(Tasks[[#This Row],[_IsLeaf]]=1,Tasks[[#This Row],[_LeafWork]]&gt;0),Tasks[[#This Row],[_LeafWork]]/(Tasks[[#This Row],[_FinishWorkday]]-Tasks[[#This Row],[_StartWorkday]]+1),0)</f>
        <v>0</v>
      </c>
      <c r="CR124" s="43" t="n">
        <f aca="false">Tasks[[#This Row],[_WorkPerWorkday]]*(Tasks[[#This Row],[_StartWorkday]]-1)</f>
        <v>-0</v>
      </c>
      <c r="CS124" s="43" t="n">
        <f aca="false">IF(Tasks[[#This Row],[_IsLeaf]]=1,MAX(N(Tasks[[#This Row],[Duration]]),0.1),0)</f>
        <v>0</v>
      </c>
      <c r="CT124" s="43" t="n">
        <f aca="false">Tasks[[#This Row],[_WeightDur]]*Tasks[[#This Row],[_LeafProgress]]</f>
        <v>0</v>
      </c>
      <c r="CU1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4" s="43" t="str">
        <f aca="false">IF(AND(Tasks[[#This Row],[_IsLeaf]]=1,N(Tasks[[#This Row],[Duration]])=0,Tasks[[#This Row],[_LeafProgress]]&lt;1),Tasks[[#This Row],[_LeafFcstFinish]]+Tasks[[#This Row],[_Row]]/100000,"")</f>
        <v/>
      </c>
      <c r="DA1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4" s="43" t="n">
        <f aca="false">IF(NOT(Tasks[[#This Row],[_IsLeaf]]=1),0,IF(Tasks[[#This Row],[Baseline Cost]]="",Tasks[[#This Row],[_LeafCost]],N(Tasks[[#This Row],[Baseline Cost]])))</f>
        <v>0</v>
      </c>
      <c r="DC124" s="43" t="n">
        <f aca="false">Tasks[[#This Row],[_LeafBudget]]*Tasks[[#This Row],[_PlannedPct]]</f>
        <v>0</v>
      </c>
      <c r="DD124" s="43" t="n">
        <f aca="false">Tasks[[#This Row],[_LeafBudget]]*Tasks[[#This Row],[_LeafProgress]]</f>
        <v>0</v>
      </c>
      <c r="DE124" s="43" t="n">
        <f aca="false">IF(NOT(Tasks[[#This Row],[_IsLeaf]]=1),0,IF(Tasks[[#This Row],[Actual Cost]]="",Tasks[[#This Row],[_LeafCost]]*Tasks[[#This Row],[_LeafProgress]],N(Tasks[[#This Row],[Actual Cost]])))</f>
        <v>0</v>
      </c>
      <c r="DF124" s="43" t="str">
        <f aca="false">IF(Tasks[[#This Row],[Task Name]]="","",LEFT(Tasks[[#This Row],[WBS]],FIND(".",Tasks[[#This Row],[WBS]]&amp;".")-1))</f>
        <v/>
      </c>
      <c r="DG124" s="43" t="str">
        <f aca="false">IF(AND(Tasks[[#This Row],[Task Name]]&lt;&gt;"",Tasks[[#This Row],[_Level]]=1),Tasks[[#This Row],[_Row]],"")</f>
        <v/>
      </c>
      <c r="DH124" s="43" t="str">
        <f aca="false">IF(AND(Tasks[[#This Row],[_IsLeaf]]=1,N(Tasks[[#This Row],[Duration]])=0),Tasks[[#This Row],[Planned Finish]]+Tasks[[#This Row],[_Row]]/100000,"")</f>
        <v/>
      </c>
      <c r="DI12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4" s="43" t="str">
        <f aca="false">IF(Tasks[[#This Row],[_LeafCritical]],Tasks[[#This Row],[_LeafFcstStart]]+Tasks[[#This Row],[_Row]]/100000,"")</f>
        <v/>
      </c>
    </row>
    <row r="125" customFormat="false" ht="15" hidden="false" customHeight="false" outlineLevel="0" collapsed="false">
      <c r="A125" s="28" t="str">
        <f aca="false">IF(Tasks[[#This Row],[Task Name]]="","",COUNTA(Tasks[[#Headers],[Task Name]]:Tasks[[#This Row],[Task Name]])-1)</f>
        <v/>
      </c>
      <c r="B125" s="29" t="n">
        <v>120</v>
      </c>
      <c r="C1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29"/>
      <c r="E125" s="30"/>
      <c r="F125" s="29"/>
      <c r="G125" s="29"/>
      <c r="H125" s="29"/>
      <c r="I125" s="29"/>
      <c r="J125" s="29"/>
      <c r="K125" s="29"/>
      <c r="L125" s="29"/>
      <c r="M125" s="29"/>
      <c r="N125" s="53"/>
      <c r="O125" s="53"/>
      <c r="P125" s="25" t="str">
        <f aca="false">IF(Tasks[[#This Row],[Task Name]]="","",IF(N(Tasks[[#This Row],[Baseline Start]])&gt;0,Tasks[[#This Row],[Baseline Start]],Tasks[[#This Row],[_CalcStart]]))</f>
        <v/>
      </c>
      <c r="Q125" s="25" t="str">
        <f aca="false">IF(Tasks[[#This Row],[Task Name]]="","",IF(N(Tasks[[#This Row],[Baseline Finish]])&gt;0,Tasks[[#This Row],[Baseline Finish]],Tasks[[#This Row],[_CalcFinish]]))</f>
        <v/>
      </c>
      <c r="R125" s="53"/>
      <c r="S125" s="53"/>
      <c r="T1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55"/>
      <c r="AF12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30"/>
      <c r="AI125" s="55"/>
      <c r="AJ12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64"/>
      <c r="AM12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5" s="30"/>
      <c r="AP125" s="25" t="str">
        <f aca="false">IF(Tasks[[#This Row],[Task Name]]="","",Tasks[[#This Row],[Forecast Start]])</f>
        <v/>
      </c>
      <c r="AQ125" s="25" t="str">
        <f aca="false">IF(Tasks[[#This Row],[Task Name]]="","",Tasks[[#This Row],[Forecast Finish]])</f>
        <v/>
      </c>
      <c r="AR1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5" s="62" t="str">
        <f aca="false">IF(Tasks[[#This Row],[Task Name]]="","",Tasks[[#This Row],[Work]])</f>
        <v/>
      </c>
      <c r="AT125" s="63" t="str">
        <f aca="false">IF(Tasks[[#This Row],[Task Name]]="","",Tasks[[#This Row],[Cost]])</f>
        <v/>
      </c>
      <c r="AU125" s="53"/>
      <c r="AV125" s="53"/>
      <c r="AW125" s="29"/>
      <c r="AX125" s="65"/>
      <c r="AY125" s="64"/>
      <c r="AZ125" s="28" t="str">
        <f aca="false">IF(OR(Tasks[[#This Row],[Task Name]]="",Tasks[[#This Row],[Baseline Duration]]=""),"",Tasks[[#This Row],[BL Source Duration]]-N(Tasks[[#This Row],[Baseline Duration]]))</f>
        <v/>
      </c>
      <c r="BA125" s="62" t="str">
        <f aca="false">IF(OR(Tasks[[#This Row],[Task Name]]="",Tasks[[#This Row],[Baseline Work]]=""),"",Tasks[[#This Row],[Work]]-N(Tasks[[#This Row],[Baseline Work]]))</f>
        <v/>
      </c>
      <c r="BB125" s="63" t="str">
        <f aca="false">IF(OR(Tasks[[#This Row],[Task Name]]="",Tasks[[#This Row],[Baseline Cost]]=""),"",Tasks[[#This Row],[Cost]]-N(Tasks[[#This Row],[Baseline Cost]]))</f>
        <v/>
      </c>
      <c r="BC12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5" s="43" t="str">
        <f aca="false">IF(Tasks[[#This Row],[Task Name]]="","",MAX(1,N(Tasks[[#This Row],[Level]])))</f>
        <v/>
      </c>
      <c r="BH125" s="43" t="n">
        <f aca="false">ROW()-ROW(Tasks[[#Headers],[ID]])</f>
        <v>120</v>
      </c>
      <c r="BI1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5" s="43" t="n">
        <f aca="false">IFERROR(N(INDEX(Tasks[_Level],Tasks[[#This Row],[_Row]]+1)),0)</f>
        <v>0</v>
      </c>
      <c r="BK125" s="66" t="b">
        <f aca="false">AND(Tasks[[#This Row],[Task Name]]&lt;&gt;"",Tasks[[#This Row],[_NextLevel]]&gt;Tasks[[#This Row],[_Level]])</f>
        <v>0</v>
      </c>
      <c r="BL125" s="43" t="n">
        <f aca="false">IF(Tasks[[#This Row],[_IsSummary]],COUNTIF(Tasks[WBS],Tasks[[#This Row],[WBS]]&amp;".*"),0)</f>
        <v>0</v>
      </c>
      <c r="BM125" s="43" t="n">
        <f aca="false">IF(AND(Tasks[[#This Row],[Task Name]]&lt;&gt;"",NOT(Tasks[[#This Row],[_IsSummary]])),1,0)</f>
        <v>0</v>
      </c>
      <c r="BN125" s="43" t="n">
        <f aca="false">IF(N(Tasks[[#This Row],[Pred1 UID]])=0,0,IFERROR(MATCH(Tasks[[#This Row],[Pred1 UID]],Tasks[UID],0),-1))</f>
        <v>0</v>
      </c>
      <c r="BO125" s="43" t="n">
        <f aca="false">IF(N(Tasks[[#This Row],[Pred2 UID]])=0,0,IFERROR(MATCH(Tasks[[#This Row],[Pred2 UID]],Tasks[UID],0),-1))</f>
        <v>0</v>
      </c>
      <c r="BP12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5" s="43" t="n">
        <f aca="false">IF(NOT(Tasks[[#This Row],[_IsLeaf]]=1),0,IF(N(Tasks[[#This Row],[Actual Finish]])&gt;0,1,MIN(1,N(Tasks[[#This Row],[% Complete]]))))</f>
        <v>0</v>
      </c>
      <c r="BU1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5" s="43" t="n">
        <f aca="false">IF(Tasks[[#This Row],[_LeafWork]]=0,0,Tasks[[#This Row],[_LeafWork]]*IFERROR(INDEX(res_Rate,MATCH(Tasks[[#This Row],[Resource]],res_Name,0)),0))</f>
        <v>0</v>
      </c>
      <c r="BW1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5" s="43" t="n">
        <f aca="false">IF(NOT(Tasks[[#This Row],[_IsLeaf]]=1),0,MAX(_xlfn.MAXIFS(Tasks[_Row],Tasks[Pred1 UID],Tasks[[#This Row],[UID]]),_xlfn.MAXIFS(Tasks[_Row],Tasks[Pred2 UID],Tasks[[#This Row],[UID]])))</f>
        <v>0</v>
      </c>
      <c r="CB12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5" s="67" t="str">
        <f aca="false">IF(NOT(Tasks[[#This Row],[_IsLeaf]]=1),"",MIN(ProjectFinish,IF(N(Tasks[[#This Row],[Deadline]])&gt;0,Tasks[[#This Row],[Deadline]],2958465),Tasks[[#This Row],[_SuccessorFinishLimit]]))</f>
        <v/>
      </c>
      <c r="CD12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5" s="66" t="b">
        <f aca="false">AND(Tasks[[#This Row],[_IsLeaf]]=1,Tasks[[#This Row],[_LeafProgress]]&lt;1,N(Tasks[[#This Row],[_LeafTotalSlack]])&lt;=CriticalSlackDays)</f>
        <v>0</v>
      </c>
      <c r="CG12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5" s="43" t="n">
        <f aca="false">IF(AND(Tasks[[#This Row],[_IsLeaf]]=1,Tasks[[#This Row],[_LeafWork]]&gt;0),NETWORKDAYS.INTL(ProjectStart,Tasks[[#This Row],[_LeafFcstStart]],WorkWeek,Holidays),0)</f>
        <v>0</v>
      </c>
      <c r="CP1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5" s="43" t="n">
        <f aca="false">IF(AND(Tasks[[#This Row],[_IsLeaf]]=1,Tasks[[#This Row],[_LeafWork]]&gt;0),Tasks[[#This Row],[_LeafWork]]/(Tasks[[#This Row],[_FinishWorkday]]-Tasks[[#This Row],[_StartWorkday]]+1),0)</f>
        <v>0</v>
      </c>
      <c r="CR125" s="43" t="n">
        <f aca="false">Tasks[[#This Row],[_WorkPerWorkday]]*(Tasks[[#This Row],[_StartWorkday]]-1)</f>
        <v>-0</v>
      </c>
      <c r="CS125" s="43" t="n">
        <f aca="false">IF(Tasks[[#This Row],[_IsLeaf]]=1,MAX(N(Tasks[[#This Row],[Duration]]),0.1),0)</f>
        <v>0</v>
      </c>
      <c r="CT125" s="43" t="n">
        <f aca="false">Tasks[[#This Row],[_WeightDur]]*Tasks[[#This Row],[_LeafProgress]]</f>
        <v>0</v>
      </c>
      <c r="CU1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5" s="43" t="str">
        <f aca="false">IF(AND(Tasks[[#This Row],[_IsLeaf]]=1,N(Tasks[[#This Row],[Duration]])=0,Tasks[[#This Row],[_LeafProgress]]&lt;1),Tasks[[#This Row],[_LeafFcstFinish]]+Tasks[[#This Row],[_Row]]/100000,"")</f>
        <v/>
      </c>
      <c r="DA1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5" s="43" t="n">
        <f aca="false">IF(NOT(Tasks[[#This Row],[_IsLeaf]]=1),0,IF(Tasks[[#This Row],[Baseline Cost]]="",Tasks[[#This Row],[_LeafCost]],N(Tasks[[#This Row],[Baseline Cost]])))</f>
        <v>0</v>
      </c>
      <c r="DC125" s="43" t="n">
        <f aca="false">Tasks[[#This Row],[_LeafBudget]]*Tasks[[#This Row],[_PlannedPct]]</f>
        <v>0</v>
      </c>
      <c r="DD125" s="43" t="n">
        <f aca="false">Tasks[[#This Row],[_LeafBudget]]*Tasks[[#This Row],[_LeafProgress]]</f>
        <v>0</v>
      </c>
      <c r="DE125" s="43" t="n">
        <f aca="false">IF(NOT(Tasks[[#This Row],[_IsLeaf]]=1),0,IF(Tasks[[#This Row],[Actual Cost]]="",Tasks[[#This Row],[_LeafCost]]*Tasks[[#This Row],[_LeafProgress]],N(Tasks[[#This Row],[Actual Cost]])))</f>
        <v>0</v>
      </c>
      <c r="DF125" s="43" t="str">
        <f aca="false">IF(Tasks[[#This Row],[Task Name]]="","",LEFT(Tasks[[#This Row],[WBS]],FIND(".",Tasks[[#This Row],[WBS]]&amp;".")-1))</f>
        <v/>
      </c>
      <c r="DG125" s="43" t="str">
        <f aca="false">IF(AND(Tasks[[#This Row],[Task Name]]&lt;&gt;"",Tasks[[#This Row],[_Level]]=1),Tasks[[#This Row],[_Row]],"")</f>
        <v/>
      </c>
      <c r="DH125" s="43" t="str">
        <f aca="false">IF(AND(Tasks[[#This Row],[_IsLeaf]]=1,N(Tasks[[#This Row],[Duration]])=0),Tasks[[#This Row],[Planned Finish]]+Tasks[[#This Row],[_Row]]/100000,"")</f>
        <v/>
      </c>
      <c r="DI1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5" s="43" t="str">
        <f aca="false">IF(Tasks[[#This Row],[_LeafCritical]],Tasks[[#This Row],[_LeafFcstStart]]+Tasks[[#This Row],[_Row]]/100000,"")</f>
        <v/>
      </c>
    </row>
    <row r="126" customFormat="false" ht="15" hidden="false" customHeight="false" outlineLevel="0" collapsed="false">
      <c r="A126" s="28" t="str">
        <f aca="false">IF(Tasks[[#This Row],[Task Name]]="","",COUNTA(Tasks[[#Headers],[Task Name]]:Tasks[[#This Row],[Task Name]])-1)</f>
        <v/>
      </c>
      <c r="B126" s="29" t="n">
        <v>121</v>
      </c>
      <c r="C1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29"/>
      <c r="E126" s="30"/>
      <c r="F126" s="29"/>
      <c r="G126" s="29"/>
      <c r="H126" s="29"/>
      <c r="I126" s="29"/>
      <c r="J126" s="29"/>
      <c r="K126" s="29"/>
      <c r="L126" s="29"/>
      <c r="M126" s="29"/>
      <c r="N126" s="53"/>
      <c r="O126" s="53"/>
      <c r="P126" s="25" t="str">
        <f aca="false">IF(Tasks[[#This Row],[Task Name]]="","",IF(N(Tasks[[#This Row],[Baseline Start]])&gt;0,Tasks[[#This Row],[Baseline Start]],Tasks[[#This Row],[_CalcStart]]))</f>
        <v/>
      </c>
      <c r="Q126" s="25" t="str">
        <f aca="false">IF(Tasks[[#This Row],[Task Name]]="","",IF(N(Tasks[[#This Row],[Baseline Finish]])&gt;0,Tasks[[#This Row],[Baseline Finish]],Tasks[[#This Row],[_CalcFinish]]))</f>
        <v/>
      </c>
      <c r="R126" s="53"/>
      <c r="S126" s="53"/>
      <c r="T1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55"/>
      <c r="AF12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30"/>
      <c r="AI126" s="55"/>
      <c r="AJ12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64"/>
      <c r="AM12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6" s="30"/>
      <c r="AP126" s="25" t="str">
        <f aca="false">IF(Tasks[[#This Row],[Task Name]]="","",Tasks[[#This Row],[Forecast Start]])</f>
        <v/>
      </c>
      <c r="AQ126" s="25" t="str">
        <f aca="false">IF(Tasks[[#This Row],[Task Name]]="","",Tasks[[#This Row],[Forecast Finish]])</f>
        <v/>
      </c>
      <c r="AR1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6" s="62" t="str">
        <f aca="false">IF(Tasks[[#This Row],[Task Name]]="","",Tasks[[#This Row],[Work]])</f>
        <v/>
      </c>
      <c r="AT126" s="63" t="str">
        <f aca="false">IF(Tasks[[#This Row],[Task Name]]="","",Tasks[[#This Row],[Cost]])</f>
        <v/>
      </c>
      <c r="AU126" s="53"/>
      <c r="AV126" s="53"/>
      <c r="AW126" s="29"/>
      <c r="AX126" s="65"/>
      <c r="AY126" s="64"/>
      <c r="AZ126" s="28" t="str">
        <f aca="false">IF(OR(Tasks[[#This Row],[Task Name]]="",Tasks[[#This Row],[Baseline Duration]]=""),"",Tasks[[#This Row],[BL Source Duration]]-N(Tasks[[#This Row],[Baseline Duration]]))</f>
        <v/>
      </c>
      <c r="BA126" s="62" t="str">
        <f aca="false">IF(OR(Tasks[[#This Row],[Task Name]]="",Tasks[[#This Row],[Baseline Work]]=""),"",Tasks[[#This Row],[Work]]-N(Tasks[[#This Row],[Baseline Work]]))</f>
        <v/>
      </c>
      <c r="BB126" s="63" t="str">
        <f aca="false">IF(OR(Tasks[[#This Row],[Task Name]]="",Tasks[[#This Row],[Baseline Cost]]=""),"",Tasks[[#This Row],[Cost]]-N(Tasks[[#This Row],[Baseline Cost]]))</f>
        <v/>
      </c>
      <c r="BC12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6" s="43" t="str">
        <f aca="false">IF(Tasks[[#This Row],[Task Name]]="","",MAX(1,N(Tasks[[#This Row],[Level]])))</f>
        <v/>
      </c>
      <c r="BH126" s="43" t="n">
        <f aca="false">ROW()-ROW(Tasks[[#Headers],[ID]])</f>
        <v>121</v>
      </c>
      <c r="BI1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6" s="43" t="n">
        <f aca="false">IFERROR(N(INDEX(Tasks[_Level],Tasks[[#This Row],[_Row]]+1)),0)</f>
        <v>0</v>
      </c>
      <c r="BK126" s="66" t="b">
        <f aca="false">AND(Tasks[[#This Row],[Task Name]]&lt;&gt;"",Tasks[[#This Row],[_NextLevel]]&gt;Tasks[[#This Row],[_Level]])</f>
        <v>0</v>
      </c>
      <c r="BL126" s="43" t="n">
        <f aca="false">IF(Tasks[[#This Row],[_IsSummary]],COUNTIF(Tasks[WBS],Tasks[[#This Row],[WBS]]&amp;".*"),0)</f>
        <v>0</v>
      </c>
      <c r="BM126" s="43" t="n">
        <f aca="false">IF(AND(Tasks[[#This Row],[Task Name]]&lt;&gt;"",NOT(Tasks[[#This Row],[_IsSummary]])),1,0)</f>
        <v>0</v>
      </c>
      <c r="BN126" s="43" t="n">
        <f aca="false">IF(N(Tasks[[#This Row],[Pred1 UID]])=0,0,IFERROR(MATCH(Tasks[[#This Row],[Pred1 UID]],Tasks[UID],0),-1))</f>
        <v>0</v>
      </c>
      <c r="BO126" s="43" t="n">
        <f aca="false">IF(N(Tasks[[#This Row],[Pred2 UID]])=0,0,IFERROR(MATCH(Tasks[[#This Row],[Pred2 UID]],Tasks[UID],0),-1))</f>
        <v>0</v>
      </c>
      <c r="BP12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6" s="43" t="n">
        <f aca="false">IF(NOT(Tasks[[#This Row],[_IsLeaf]]=1),0,IF(N(Tasks[[#This Row],[Actual Finish]])&gt;0,1,MIN(1,N(Tasks[[#This Row],[% Complete]]))))</f>
        <v>0</v>
      </c>
      <c r="BU12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6" s="43" t="n">
        <f aca="false">IF(Tasks[[#This Row],[_LeafWork]]=0,0,Tasks[[#This Row],[_LeafWork]]*IFERROR(INDEX(res_Rate,MATCH(Tasks[[#This Row],[Resource]],res_Name,0)),0))</f>
        <v>0</v>
      </c>
      <c r="BW12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6" s="43" t="n">
        <f aca="false">IF(NOT(Tasks[[#This Row],[_IsLeaf]]=1),0,MAX(_xlfn.MAXIFS(Tasks[_Row],Tasks[Pred1 UID],Tasks[[#This Row],[UID]]),_xlfn.MAXIFS(Tasks[_Row],Tasks[Pred2 UID],Tasks[[#This Row],[UID]])))</f>
        <v>0</v>
      </c>
      <c r="CB12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6" s="67" t="str">
        <f aca="false">IF(NOT(Tasks[[#This Row],[_IsLeaf]]=1),"",MIN(ProjectFinish,IF(N(Tasks[[#This Row],[Deadline]])&gt;0,Tasks[[#This Row],[Deadline]],2958465),Tasks[[#This Row],[_SuccessorFinishLimit]]))</f>
        <v/>
      </c>
      <c r="CD12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6" s="66" t="b">
        <f aca="false">AND(Tasks[[#This Row],[_IsLeaf]]=1,Tasks[[#This Row],[_LeafProgress]]&lt;1,N(Tasks[[#This Row],[_LeafTotalSlack]])&lt;=CriticalSlackDays)</f>
        <v>0</v>
      </c>
      <c r="CG12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6" s="43" t="n">
        <f aca="false">IF(AND(Tasks[[#This Row],[_IsLeaf]]=1,Tasks[[#This Row],[_LeafWork]]&gt;0),NETWORKDAYS.INTL(ProjectStart,Tasks[[#This Row],[_LeafFcstStart]],WorkWeek,Holidays),0)</f>
        <v>0</v>
      </c>
      <c r="CP12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6" s="43" t="n">
        <f aca="false">IF(AND(Tasks[[#This Row],[_IsLeaf]]=1,Tasks[[#This Row],[_LeafWork]]&gt;0),Tasks[[#This Row],[_LeafWork]]/(Tasks[[#This Row],[_FinishWorkday]]-Tasks[[#This Row],[_StartWorkday]]+1),0)</f>
        <v>0</v>
      </c>
      <c r="CR126" s="43" t="n">
        <f aca="false">Tasks[[#This Row],[_WorkPerWorkday]]*(Tasks[[#This Row],[_StartWorkday]]-1)</f>
        <v>-0</v>
      </c>
      <c r="CS126" s="43" t="n">
        <f aca="false">IF(Tasks[[#This Row],[_IsLeaf]]=1,MAX(N(Tasks[[#This Row],[Duration]]),0.1),0)</f>
        <v>0</v>
      </c>
      <c r="CT126" s="43" t="n">
        <f aca="false">Tasks[[#This Row],[_WeightDur]]*Tasks[[#This Row],[_LeafProgress]]</f>
        <v>0</v>
      </c>
      <c r="CU1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6" s="43" t="str">
        <f aca="false">IF(AND(Tasks[[#This Row],[_IsLeaf]]=1,N(Tasks[[#This Row],[Duration]])=0,Tasks[[#This Row],[_LeafProgress]]&lt;1),Tasks[[#This Row],[_LeafFcstFinish]]+Tasks[[#This Row],[_Row]]/100000,"")</f>
        <v/>
      </c>
      <c r="DA1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6" s="43" t="n">
        <f aca="false">IF(NOT(Tasks[[#This Row],[_IsLeaf]]=1),0,IF(Tasks[[#This Row],[Baseline Cost]]="",Tasks[[#This Row],[_LeafCost]],N(Tasks[[#This Row],[Baseline Cost]])))</f>
        <v>0</v>
      </c>
      <c r="DC126" s="43" t="n">
        <f aca="false">Tasks[[#This Row],[_LeafBudget]]*Tasks[[#This Row],[_PlannedPct]]</f>
        <v>0</v>
      </c>
      <c r="DD126" s="43" t="n">
        <f aca="false">Tasks[[#This Row],[_LeafBudget]]*Tasks[[#This Row],[_LeafProgress]]</f>
        <v>0</v>
      </c>
      <c r="DE126" s="43" t="n">
        <f aca="false">IF(NOT(Tasks[[#This Row],[_IsLeaf]]=1),0,IF(Tasks[[#This Row],[Actual Cost]]="",Tasks[[#This Row],[_LeafCost]]*Tasks[[#This Row],[_LeafProgress]],N(Tasks[[#This Row],[Actual Cost]])))</f>
        <v>0</v>
      </c>
      <c r="DF126" s="43" t="str">
        <f aca="false">IF(Tasks[[#This Row],[Task Name]]="","",LEFT(Tasks[[#This Row],[WBS]],FIND(".",Tasks[[#This Row],[WBS]]&amp;".")-1))</f>
        <v/>
      </c>
      <c r="DG126" s="43" t="str">
        <f aca="false">IF(AND(Tasks[[#This Row],[Task Name]]&lt;&gt;"",Tasks[[#This Row],[_Level]]=1),Tasks[[#This Row],[_Row]],"")</f>
        <v/>
      </c>
      <c r="DH126" s="43" t="str">
        <f aca="false">IF(AND(Tasks[[#This Row],[_IsLeaf]]=1,N(Tasks[[#This Row],[Duration]])=0),Tasks[[#This Row],[Planned Finish]]+Tasks[[#This Row],[_Row]]/100000,"")</f>
        <v/>
      </c>
      <c r="DI12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6" s="43" t="str">
        <f aca="false">IF(Tasks[[#This Row],[_LeafCritical]],Tasks[[#This Row],[_LeafFcstStart]]+Tasks[[#This Row],[_Row]]/100000,"")</f>
        <v/>
      </c>
    </row>
    <row r="127" customFormat="false" ht="15" hidden="false" customHeight="false" outlineLevel="0" collapsed="false">
      <c r="A127" s="28" t="str">
        <f aca="false">IF(Tasks[[#This Row],[Task Name]]="","",COUNTA(Tasks[[#Headers],[Task Name]]:Tasks[[#This Row],[Task Name]])-1)</f>
        <v/>
      </c>
      <c r="B127" s="29" t="n">
        <v>122</v>
      </c>
      <c r="C1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29"/>
      <c r="E127" s="30"/>
      <c r="F127" s="29"/>
      <c r="G127" s="29"/>
      <c r="H127" s="29"/>
      <c r="I127" s="29"/>
      <c r="J127" s="29"/>
      <c r="K127" s="29"/>
      <c r="L127" s="29"/>
      <c r="M127" s="29"/>
      <c r="N127" s="53"/>
      <c r="O127" s="53"/>
      <c r="P127" s="25" t="str">
        <f aca="false">IF(Tasks[[#This Row],[Task Name]]="","",IF(N(Tasks[[#This Row],[Baseline Start]])&gt;0,Tasks[[#This Row],[Baseline Start]],Tasks[[#This Row],[_CalcStart]]))</f>
        <v/>
      </c>
      <c r="Q127" s="25" t="str">
        <f aca="false">IF(Tasks[[#This Row],[Task Name]]="","",IF(N(Tasks[[#This Row],[Baseline Finish]])&gt;0,Tasks[[#This Row],[Baseline Finish]],Tasks[[#This Row],[_CalcFinish]]))</f>
        <v/>
      </c>
      <c r="R127" s="53"/>
      <c r="S127" s="53"/>
      <c r="T1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55"/>
      <c r="AF12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30"/>
      <c r="AI127" s="55"/>
      <c r="AJ12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64"/>
      <c r="AM12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7" s="30"/>
      <c r="AP127" s="25" t="str">
        <f aca="false">IF(Tasks[[#This Row],[Task Name]]="","",Tasks[[#This Row],[Forecast Start]])</f>
        <v/>
      </c>
      <c r="AQ127" s="25" t="str">
        <f aca="false">IF(Tasks[[#This Row],[Task Name]]="","",Tasks[[#This Row],[Forecast Finish]])</f>
        <v/>
      </c>
      <c r="AR1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7" s="62" t="str">
        <f aca="false">IF(Tasks[[#This Row],[Task Name]]="","",Tasks[[#This Row],[Work]])</f>
        <v/>
      </c>
      <c r="AT127" s="63" t="str">
        <f aca="false">IF(Tasks[[#This Row],[Task Name]]="","",Tasks[[#This Row],[Cost]])</f>
        <v/>
      </c>
      <c r="AU127" s="53"/>
      <c r="AV127" s="53"/>
      <c r="AW127" s="29"/>
      <c r="AX127" s="65"/>
      <c r="AY127" s="64"/>
      <c r="AZ127" s="28" t="str">
        <f aca="false">IF(OR(Tasks[[#This Row],[Task Name]]="",Tasks[[#This Row],[Baseline Duration]]=""),"",Tasks[[#This Row],[BL Source Duration]]-N(Tasks[[#This Row],[Baseline Duration]]))</f>
        <v/>
      </c>
      <c r="BA127" s="62" t="str">
        <f aca="false">IF(OR(Tasks[[#This Row],[Task Name]]="",Tasks[[#This Row],[Baseline Work]]=""),"",Tasks[[#This Row],[Work]]-N(Tasks[[#This Row],[Baseline Work]]))</f>
        <v/>
      </c>
      <c r="BB127" s="63" t="str">
        <f aca="false">IF(OR(Tasks[[#This Row],[Task Name]]="",Tasks[[#This Row],[Baseline Cost]]=""),"",Tasks[[#This Row],[Cost]]-N(Tasks[[#This Row],[Baseline Cost]]))</f>
        <v/>
      </c>
      <c r="BC12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7" s="43" t="str">
        <f aca="false">IF(Tasks[[#This Row],[Task Name]]="","",MAX(1,N(Tasks[[#This Row],[Level]])))</f>
        <v/>
      </c>
      <c r="BH127" s="43" t="n">
        <f aca="false">ROW()-ROW(Tasks[[#Headers],[ID]])</f>
        <v>122</v>
      </c>
      <c r="BI1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7" s="43" t="n">
        <f aca="false">IFERROR(N(INDEX(Tasks[_Level],Tasks[[#This Row],[_Row]]+1)),0)</f>
        <v>0</v>
      </c>
      <c r="BK127" s="66" t="b">
        <f aca="false">AND(Tasks[[#This Row],[Task Name]]&lt;&gt;"",Tasks[[#This Row],[_NextLevel]]&gt;Tasks[[#This Row],[_Level]])</f>
        <v>0</v>
      </c>
      <c r="BL127" s="43" t="n">
        <f aca="false">IF(Tasks[[#This Row],[_IsSummary]],COUNTIF(Tasks[WBS],Tasks[[#This Row],[WBS]]&amp;".*"),0)</f>
        <v>0</v>
      </c>
      <c r="BM127" s="43" t="n">
        <f aca="false">IF(AND(Tasks[[#This Row],[Task Name]]&lt;&gt;"",NOT(Tasks[[#This Row],[_IsSummary]])),1,0)</f>
        <v>0</v>
      </c>
      <c r="BN127" s="43" t="n">
        <f aca="false">IF(N(Tasks[[#This Row],[Pred1 UID]])=0,0,IFERROR(MATCH(Tasks[[#This Row],[Pred1 UID]],Tasks[UID],0),-1))</f>
        <v>0</v>
      </c>
      <c r="BO127" s="43" t="n">
        <f aca="false">IF(N(Tasks[[#This Row],[Pred2 UID]])=0,0,IFERROR(MATCH(Tasks[[#This Row],[Pred2 UID]],Tasks[UID],0),-1))</f>
        <v>0</v>
      </c>
      <c r="BP12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7" s="43" t="n">
        <f aca="false">IF(NOT(Tasks[[#This Row],[_IsLeaf]]=1),0,IF(N(Tasks[[#This Row],[Actual Finish]])&gt;0,1,MIN(1,N(Tasks[[#This Row],[% Complete]]))))</f>
        <v>0</v>
      </c>
      <c r="BU12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7" s="43" t="n">
        <f aca="false">IF(Tasks[[#This Row],[_LeafWork]]=0,0,Tasks[[#This Row],[_LeafWork]]*IFERROR(INDEX(res_Rate,MATCH(Tasks[[#This Row],[Resource]],res_Name,0)),0))</f>
        <v>0</v>
      </c>
      <c r="BW12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7" s="43" t="n">
        <f aca="false">IF(NOT(Tasks[[#This Row],[_IsLeaf]]=1),0,MAX(_xlfn.MAXIFS(Tasks[_Row],Tasks[Pred1 UID],Tasks[[#This Row],[UID]]),_xlfn.MAXIFS(Tasks[_Row],Tasks[Pred2 UID],Tasks[[#This Row],[UID]])))</f>
        <v>0</v>
      </c>
      <c r="CB12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7" s="67" t="str">
        <f aca="false">IF(NOT(Tasks[[#This Row],[_IsLeaf]]=1),"",MIN(ProjectFinish,IF(N(Tasks[[#This Row],[Deadline]])&gt;0,Tasks[[#This Row],[Deadline]],2958465),Tasks[[#This Row],[_SuccessorFinishLimit]]))</f>
        <v/>
      </c>
      <c r="CD12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7" s="66" t="b">
        <f aca="false">AND(Tasks[[#This Row],[_IsLeaf]]=1,Tasks[[#This Row],[_LeafProgress]]&lt;1,N(Tasks[[#This Row],[_LeafTotalSlack]])&lt;=CriticalSlackDays)</f>
        <v>0</v>
      </c>
      <c r="CG12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7" s="43" t="n">
        <f aca="false">IF(AND(Tasks[[#This Row],[_IsLeaf]]=1,Tasks[[#This Row],[_LeafWork]]&gt;0),NETWORKDAYS.INTL(ProjectStart,Tasks[[#This Row],[_LeafFcstStart]],WorkWeek,Holidays),0)</f>
        <v>0</v>
      </c>
      <c r="CP12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7" s="43" t="n">
        <f aca="false">IF(AND(Tasks[[#This Row],[_IsLeaf]]=1,Tasks[[#This Row],[_LeafWork]]&gt;0),Tasks[[#This Row],[_LeafWork]]/(Tasks[[#This Row],[_FinishWorkday]]-Tasks[[#This Row],[_StartWorkday]]+1),0)</f>
        <v>0</v>
      </c>
      <c r="CR127" s="43" t="n">
        <f aca="false">Tasks[[#This Row],[_WorkPerWorkday]]*(Tasks[[#This Row],[_StartWorkday]]-1)</f>
        <v>-0</v>
      </c>
      <c r="CS127" s="43" t="n">
        <f aca="false">IF(Tasks[[#This Row],[_IsLeaf]]=1,MAX(N(Tasks[[#This Row],[Duration]]),0.1),0)</f>
        <v>0</v>
      </c>
      <c r="CT127" s="43" t="n">
        <f aca="false">Tasks[[#This Row],[_WeightDur]]*Tasks[[#This Row],[_LeafProgress]]</f>
        <v>0</v>
      </c>
      <c r="CU1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7" s="43" t="str">
        <f aca="false">IF(AND(Tasks[[#This Row],[_IsLeaf]]=1,N(Tasks[[#This Row],[Duration]])=0,Tasks[[#This Row],[_LeafProgress]]&lt;1),Tasks[[#This Row],[_LeafFcstFinish]]+Tasks[[#This Row],[_Row]]/100000,"")</f>
        <v/>
      </c>
      <c r="DA1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7" s="43" t="n">
        <f aca="false">IF(NOT(Tasks[[#This Row],[_IsLeaf]]=1),0,IF(Tasks[[#This Row],[Baseline Cost]]="",Tasks[[#This Row],[_LeafCost]],N(Tasks[[#This Row],[Baseline Cost]])))</f>
        <v>0</v>
      </c>
      <c r="DC127" s="43" t="n">
        <f aca="false">Tasks[[#This Row],[_LeafBudget]]*Tasks[[#This Row],[_PlannedPct]]</f>
        <v>0</v>
      </c>
      <c r="DD127" s="43" t="n">
        <f aca="false">Tasks[[#This Row],[_LeafBudget]]*Tasks[[#This Row],[_LeafProgress]]</f>
        <v>0</v>
      </c>
      <c r="DE127" s="43" t="n">
        <f aca="false">IF(NOT(Tasks[[#This Row],[_IsLeaf]]=1),0,IF(Tasks[[#This Row],[Actual Cost]]="",Tasks[[#This Row],[_LeafCost]]*Tasks[[#This Row],[_LeafProgress]],N(Tasks[[#This Row],[Actual Cost]])))</f>
        <v>0</v>
      </c>
      <c r="DF127" s="43" t="str">
        <f aca="false">IF(Tasks[[#This Row],[Task Name]]="","",LEFT(Tasks[[#This Row],[WBS]],FIND(".",Tasks[[#This Row],[WBS]]&amp;".")-1))</f>
        <v/>
      </c>
      <c r="DG127" s="43" t="str">
        <f aca="false">IF(AND(Tasks[[#This Row],[Task Name]]&lt;&gt;"",Tasks[[#This Row],[_Level]]=1),Tasks[[#This Row],[_Row]],"")</f>
        <v/>
      </c>
      <c r="DH127" s="43" t="str">
        <f aca="false">IF(AND(Tasks[[#This Row],[_IsLeaf]]=1,N(Tasks[[#This Row],[Duration]])=0),Tasks[[#This Row],[Planned Finish]]+Tasks[[#This Row],[_Row]]/100000,"")</f>
        <v/>
      </c>
      <c r="DI1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7" s="43" t="str">
        <f aca="false">IF(Tasks[[#This Row],[_LeafCritical]],Tasks[[#This Row],[_LeafFcstStart]]+Tasks[[#This Row],[_Row]]/100000,"")</f>
        <v/>
      </c>
    </row>
    <row r="128" customFormat="false" ht="15" hidden="false" customHeight="false" outlineLevel="0" collapsed="false">
      <c r="A128" s="28" t="str">
        <f aca="false">IF(Tasks[[#This Row],[Task Name]]="","",COUNTA(Tasks[[#Headers],[Task Name]]:Tasks[[#This Row],[Task Name]])-1)</f>
        <v/>
      </c>
      <c r="B128" s="29" t="n">
        <v>123</v>
      </c>
      <c r="C1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29"/>
      <c r="E128" s="30"/>
      <c r="F128" s="29"/>
      <c r="G128" s="29"/>
      <c r="H128" s="29"/>
      <c r="I128" s="29"/>
      <c r="J128" s="29"/>
      <c r="K128" s="29"/>
      <c r="L128" s="29"/>
      <c r="M128" s="29"/>
      <c r="N128" s="53"/>
      <c r="O128" s="53"/>
      <c r="P128" s="25" t="str">
        <f aca="false">IF(Tasks[[#This Row],[Task Name]]="","",IF(N(Tasks[[#This Row],[Baseline Start]])&gt;0,Tasks[[#This Row],[Baseline Start]],Tasks[[#This Row],[_CalcStart]]))</f>
        <v/>
      </c>
      <c r="Q128" s="25" t="str">
        <f aca="false">IF(Tasks[[#This Row],[Task Name]]="","",IF(N(Tasks[[#This Row],[Baseline Finish]])&gt;0,Tasks[[#This Row],[Baseline Finish]],Tasks[[#This Row],[_CalcFinish]]))</f>
        <v/>
      </c>
      <c r="R128" s="53"/>
      <c r="S128" s="53"/>
      <c r="T1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55"/>
      <c r="AF12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30"/>
      <c r="AI128" s="55"/>
      <c r="AJ12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64"/>
      <c r="AM12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8" s="30"/>
      <c r="AP128" s="25" t="str">
        <f aca="false">IF(Tasks[[#This Row],[Task Name]]="","",Tasks[[#This Row],[Forecast Start]])</f>
        <v/>
      </c>
      <c r="AQ128" s="25" t="str">
        <f aca="false">IF(Tasks[[#This Row],[Task Name]]="","",Tasks[[#This Row],[Forecast Finish]])</f>
        <v/>
      </c>
      <c r="AR1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8" s="62" t="str">
        <f aca="false">IF(Tasks[[#This Row],[Task Name]]="","",Tasks[[#This Row],[Work]])</f>
        <v/>
      </c>
      <c r="AT128" s="63" t="str">
        <f aca="false">IF(Tasks[[#This Row],[Task Name]]="","",Tasks[[#This Row],[Cost]])</f>
        <v/>
      </c>
      <c r="AU128" s="53"/>
      <c r="AV128" s="53"/>
      <c r="AW128" s="29"/>
      <c r="AX128" s="65"/>
      <c r="AY128" s="64"/>
      <c r="AZ128" s="28" t="str">
        <f aca="false">IF(OR(Tasks[[#This Row],[Task Name]]="",Tasks[[#This Row],[Baseline Duration]]=""),"",Tasks[[#This Row],[BL Source Duration]]-N(Tasks[[#This Row],[Baseline Duration]]))</f>
        <v/>
      </c>
      <c r="BA128" s="62" t="str">
        <f aca="false">IF(OR(Tasks[[#This Row],[Task Name]]="",Tasks[[#This Row],[Baseline Work]]=""),"",Tasks[[#This Row],[Work]]-N(Tasks[[#This Row],[Baseline Work]]))</f>
        <v/>
      </c>
      <c r="BB128" s="63" t="str">
        <f aca="false">IF(OR(Tasks[[#This Row],[Task Name]]="",Tasks[[#This Row],[Baseline Cost]]=""),"",Tasks[[#This Row],[Cost]]-N(Tasks[[#This Row],[Baseline Cost]]))</f>
        <v/>
      </c>
      <c r="BC12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8" s="43" t="str">
        <f aca="false">IF(Tasks[[#This Row],[Task Name]]="","",MAX(1,N(Tasks[[#This Row],[Level]])))</f>
        <v/>
      </c>
      <c r="BH128" s="43" t="n">
        <f aca="false">ROW()-ROW(Tasks[[#Headers],[ID]])</f>
        <v>123</v>
      </c>
      <c r="BI1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8" s="43" t="n">
        <f aca="false">IFERROR(N(INDEX(Tasks[_Level],Tasks[[#This Row],[_Row]]+1)),0)</f>
        <v>0</v>
      </c>
      <c r="BK128" s="66" t="b">
        <f aca="false">AND(Tasks[[#This Row],[Task Name]]&lt;&gt;"",Tasks[[#This Row],[_NextLevel]]&gt;Tasks[[#This Row],[_Level]])</f>
        <v>0</v>
      </c>
      <c r="BL128" s="43" t="n">
        <f aca="false">IF(Tasks[[#This Row],[_IsSummary]],COUNTIF(Tasks[WBS],Tasks[[#This Row],[WBS]]&amp;".*"),0)</f>
        <v>0</v>
      </c>
      <c r="BM128" s="43" t="n">
        <f aca="false">IF(AND(Tasks[[#This Row],[Task Name]]&lt;&gt;"",NOT(Tasks[[#This Row],[_IsSummary]])),1,0)</f>
        <v>0</v>
      </c>
      <c r="BN128" s="43" t="n">
        <f aca="false">IF(N(Tasks[[#This Row],[Pred1 UID]])=0,0,IFERROR(MATCH(Tasks[[#This Row],[Pred1 UID]],Tasks[UID],0),-1))</f>
        <v>0</v>
      </c>
      <c r="BO128" s="43" t="n">
        <f aca="false">IF(N(Tasks[[#This Row],[Pred2 UID]])=0,0,IFERROR(MATCH(Tasks[[#This Row],[Pred2 UID]],Tasks[UID],0),-1))</f>
        <v>0</v>
      </c>
      <c r="BP12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8" s="43" t="n">
        <f aca="false">IF(NOT(Tasks[[#This Row],[_IsLeaf]]=1),0,IF(N(Tasks[[#This Row],[Actual Finish]])&gt;0,1,MIN(1,N(Tasks[[#This Row],[% Complete]]))))</f>
        <v>0</v>
      </c>
      <c r="BU12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8" s="43" t="n">
        <f aca="false">IF(Tasks[[#This Row],[_LeafWork]]=0,0,Tasks[[#This Row],[_LeafWork]]*IFERROR(INDEX(res_Rate,MATCH(Tasks[[#This Row],[Resource]],res_Name,0)),0))</f>
        <v>0</v>
      </c>
      <c r="BW12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8" s="43" t="n">
        <f aca="false">IF(NOT(Tasks[[#This Row],[_IsLeaf]]=1),0,MAX(_xlfn.MAXIFS(Tasks[_Row],Tasks[Pred1 UID],Tasks[[#This Row],[UID]]),_xlfn.MAXIFS(Tasks[_Row],Tasks[Pred2 UID],Tasks[[#This Row],[UID]])))</f>
        <v>0</v>
      </c>
      <c r="CB12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8" s="67" t="str">
        <f aca="false">IF(NOT(Tasks[[#This Row],[_IsLeaf]]=1),"",MIN(ProjectFinish,IF(N(Tasks[[#This Row],[Deadline]])&gt;0,Tasks[[#This Row],[Deadline]],2958465),Tasks[[#This Row],[_SuccessorFinishLimit]]))</f>
        <v/>
      </c>
      <c r="CD12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8" s="66" t="b">
        <f aca="false">AND(Tasks[[#This Row],[_IsLeaf]]=1,Tasks[[#This Row],[_LeafProgress]]&lt;1,N(Tasks[[#This Row],[_LeafTotalSlack]])&lt;=CriticalSlackDays)</f>
        <v>0</v>
      </c>
      <c r="CG12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8" s="43" t="n">
        <f aca="false">IF(AND(Tasks[[#This Row],[_IsLeaf]]=1,Tasks[[#This Row],[_LeafWork]]&gt;0),NETWORKDAYS.INTL(ProjectStart,Tasks[[#This Row],[_LeafFcstStart]],WorkWeek,Holidays),0)</f>
        <v>0</v>
      </c>
      <c r="CP12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8" s="43" t="n">
        <f aca="false">IF(AND(Tasks[[#This Row],[_IsLeaf]]=1,Tasks[[#This Row],[_LeafWork]]&gt;0),Tasks[[#This Row],[_LeafWork]]/(Tasks[[#This Row],[_FinishWorkday]]-Tasks[[#This Row],[_StartWorkday]]+1),0)</f>
        <v>0</v>
      </c>
      <c r="CR128" s="43" t="n">
        <f aca="false">Tasks[[#This Row],[_WorkPerWorkday]]*(Tasks[[#This Row],[_StartWorkday]]-1)</f>
        <v>-0</v>
      </c>
      <c r="CS128" s="43" t="n">
        <f aca="false">IF(Tasks[[#This Row],[_IsLeaf]]=1,MAX(N(Tasks[[#This Row],[Duration]]),0.1),0)</f>
        <v>0</v>
      </c>
      <c r="CT128" s="43" t="n">
        <f aca="false">Tasks[[#This Row],[_WeightDur]]*Tasks[[#This Row],[_LeafProgress]]</f>
        <v>0</v>
      </c>
      <c r="CU1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8" s="43" t="str">
        <f aca="false">IF(AND(Tasks[[#This Row],[_IsLeaf]]=1,N(Tasks[[#This Row],[Duration]])=0,Tasks[[#This Row],[_LeafProgress]]&lt;1),Tasks[[#This Row],[_LeafFcstFinish]]+Tasks[[#This Row],[_Row]]/100000,"")</f>
        <v/>
      </c>
      <c r="DA1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8" s="43" t="n">
        <f aca="false">IF(NOT(Tasks[[#This Row],[_IsLeaf]]=1),0,IF(Tasks[[#This Row],[Baseline Cost]]="",Tasks[[#This Row],[_LeafCost]],N(Tasks[[#This Row],[Baseline Cost]])))</f>
        <v>0</v>
      </c>
      <c r="DC128" s="43" t="n">
        <f aca="false">Tasks[[#This Row],[_LeafBudget]]*Tasks[[#This Row],[_PlannedPct]]</f>
        <v>0</v>
      </c>
      <c r="DD128" s="43" t="n">
        <f aca="false">Tasks[[#This Row],[_LeafBudget]]*Tasks[[#This Row],[_LeafProgress]]</f>
        <v>0</v>
      </c>
      <c r="DE128" s="43" t="n">
        <f aca="false">IF(NOT(Tasks[[#This Row],[_IsLeaf]]=1),0,IF(Tasks[[#This Row],[Actual Cost]]="",Tasks[[#This Row],[_LeafCost]]*Tasks[[#This Row],[_LeafProgress]],N(Tasks[[#This Row],[Actual Cost]])))</f>
        <v>0</v>
      </c>
      <c r="DF128" s="43" t="str">
        <f aca="false">IF(Tasks[[#This Row],[Task Name]]="","",LEFT(Tasks[[#This Row],[WBS]],FIND(".",Tasks[[#This Row],[WBS]]&amp;".")-1))</f>
        <v/>
      </c>
      <c r="DG128" s="43" t="str">
        <f aca="false">IF(AND(Tasks[[#This Row],[Task Name]]&lt;&gt;"",Tasks[[#This Row],[_Level]]=1),Tasks[[#This Row],[_Row]],"")</f>
        <v/>
      </c>
      <c r="DH128" s="43" t="str">
        <f aca="false">IF(AND(Tasks[[#This Row],[_IsLeaf]]=1,N(Tasks[[#This Row],[Duration]])=0),Tasks[[#This Row],[Planned Finish]]+Tasks[[#This Row],[_Row]]/100000,"")</f>
        <v/>
      </c>
      <c r="DI12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8" s="43" t="str">
        <f aca="false">IF(Tasks[[#This Row],[_LeafCritical]],Tasks[[#This Row],[_LeafFcstStart]]+Tasks[[#This Row],[_Row]]/100000,"")</f>
        <v/>
      </c>
    </row>
    <row r="129" customFormat="false" ht="15" hidden="false" customHeight="false" outlineLevel="0" collapsed="false">
      <c r="A129" s="28" t="str">
        <f aca="false">IF(Tasks[[#This Row],[Task Name]]="","",COUNTA(Tasks[[#Headers],[Task Name]]:Tasks[[#This Row],[Task Name]])-1)</f>
        <v/>
      </c>
      <c r="B129" s="29" t="n">
        <v>124</v>
      </c>
      <c r="C1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29"/>
      <c r="E129" s="30"/>
      <c r="F129" s="29"/>
      <c r="G129" s="29"/>
      <c r="H129" s="29"/>
      <c r="I129" s="29"/>
      <c r="J129" s="29"/>
      <c r="K129" s="29"/>
      <c r="L129" s="29"/>
      <c r="M129" s="29"/>
      <c r="N129" s="53"/>
      <c r="O129" s="53"/>
      <c r="P129" s="25" t="str">
        <f aca="false">IF(Tasks[[#This Row],[Task Name]]="","",IF(N(Tasks[[#This Row],[Baseline Start]])&gt;0,Tasks[[#This Row],[Baseline Start]],Tasks[[#This Row],[_CalcStart]]))</f>
        <v/>
      </c>
      <c r="Q129" s="25" t="str">
        <f aca="false">IF(Tasks[[#This Row],[Task Name]]="","",IF(N(Tasks[[#This Row],[Baseline Finish]])&gt;0,Tasks[[#This Row],[Baseline Finish]],Tasks[[#This Row],[_CalcFinish]]))</f>
        <v/>
      </c>
      <c r="R129" s="53"/>
      <c r="S129" s="53"/>
      <c r="T1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55"/>
      <c r="AF12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30"/>
      <c r="AI129" s="55"/>
      <c r="AJ12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64"/>
      <c r="AM12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29" s="30"/>
      <c r="AP129" s="25" t="str">
        <f aca="false">IF(Tasks[[#This Row],[Task Name]]="","",Tasks[[#This Row],[Forecast Start]])</f>
        <v/>
      </c>
      <c r="AQ129" s="25" t="str">
        <f aca="false">IF(Tasks[[#This Row],[Task Name]]="","",Tasks[[#This Row],[Forecast Finish]])</f>
        <v/>
      </c>
      <c r="AR1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29" s="62" t="str">
        <f aca="false">IF(Tasks[[#This Row],[Task Name]]="","",Tasks[[#This Row],[Work]])</f>
        <v/>
      </c>
      <c r="AT129" s="63" t="str">
        <f aca="false">IF(Tasks[[#This Row],[Task Name]]="","",Tasks[[#This Row],[Cost]])</f>
        <v/>
      </c>
      <c r="AU129" s="53"/>
      <c r="AV129" s="53"/>
      <c r="AW129" s="29"/>
      <c r="AX129" s="65"/>
      <c r="AY129" s="64"/>
      <c r="AZ129" s="28" t="str">
        <f aca="false">IF(OR(Tasks[[#This Row],[Task Name]]="",Tasks[[#This Row],[Baseline Duration]]=""),"",Tasks[[#This Row],[BL Source Duration]]-N(Tasks[[#This Row],[Baseline Duration]]))</f>
        <v/>
      </c>
      <c r="BA129" s="62" t="str">
        <f aca="false">IF(OR(Tasks[[#This Row],[Task Name]]="",Tasks[[#This Row],[Baseline Work]]=""),"",Tasks[[#This Row],[Work]]-N(Tasks[[#This Row],[Baseline Work]]))</f>
        <v/>
      </c>
      <c r="BB129" s="63" t="str">
        <f aca="false">IF(OR(Tasks[[#This Row],[Task Name]]="",Tasks[[#This Row],[Baseline Cost]]=""),"",Tasks[[#This Row],[Cost]]-N(Tasks[[#This Row],[Baseline Cost]]))</f>
        <v/>
      </c>
      <c r="BC12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2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2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2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29" s="43" t="str">
        <f aca="false">IF(Tasks[[#This Row],[Task Name]]="","",MAX(1,N(Tasks[[#This Row],[Level]])))</f>
        <v/>
      </c>
      <c r="BH129" s="43" t="n">
        <f aca="false">ROW()-ROW(Tasks[[#Headers],[ID]])</f>
        <v>124</v>
      </c>
      <c r="BI1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29" s="43" t="n">
        <f aca="false">IFERROR(N(INDEX(Tasks[_Level],Tasks[[#This Row],[_Row]]+1)),0)</f>
        <v>0</v>
      </c>
      <c r="BK129" s="66" t="b">
        <f aca="false">AND(Tasks[[#This Row],[Task Name]]&lt;&gt;"",Tasks[[#This Row],[_NextLevel]]&gt;Tasks[[#This Row],[_Level]])</f>
        <v>0</v>
      </c>
      <c r="BL129" s="43" t="n">
        <f aca="false">IF(Tasks[[#This Row],[_IsSummary]],COUNTIF(Tasks[WBS],Tasks[[#This Row],[WBS]]&amp;".*"),0)</f>
        <v>0</v>
      </c>
      <c r="BM129" s="43" t="n">
        <f aca="false">IF(AND(Tasks[[#This Row],[Task Name]]&lt;&gt;"",NOT(Tasks[[#This Row],[_IsSummary]])),1,0)</f>
        <v>0</v>
      </c>
      <c r="BN129" s="43" t="n">
        <f aca="false">IF(N(Tasks[[#This Row],[Pred1 UID]])=0,0,IFERROR(MATCH(Tasks[[#This Row],[Pred1 UID]],Tasks[UID],0),-1))</f>
        <v>0</v>
      </c>
      <c r="BO129" s="43" t="n">
        <f aca="false">IF(N(Tasks[[#This Row],[Pred2 UID]])=0,0,IFERROR(MATCH(Tasks[[#This Row],[Pred2 UID]],Tasks[UID],0),-1))</f>
        <v>0</v>
      </c>
      <c r="BP12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2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2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2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29" s="43" t="n">
        <f aca="false">IF(NOT(Tasks[[#This Row],[_IsLeaf]]=1),0,IF(N(Tasks[[#This Row],[Actual Finish]])&gt;0,1,MIN(1,N(Tasks[[#This Row],[% Complete]]))))</f>
        <v>0</v>
      </c>
      <c r="BU12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29" s="43" t="n">
        <f aca="false">IF(Tasks[[#This Row],[_LeafWork]]=0,0,Tasks[[#This Row],[_LeafWork]]*IFERROR(INDEX(res_Rate,MATCH(Tasks[[#This Row],[Resource]],res_Name,0)),0))</f>
        <v>0</v>
      </c>
      <c r="BW12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2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2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2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29" s="43" t="n">
        <f aca="false">IF(NOT(Tasks[[#This Row],[_IsLeaf]]=1),0,MAX(_xlfn.MAXIFS(Tasks[_Row],Tasks[Pred1 UID],Tasks[[#This Row],[UID]]),_xlfn.MAXIFS(Tasks[_Row],Tasks[Pred2 UID],Tasks[[#This Row],[UID]])))</f>
        <v>0</v>
      </c>
      <c r="CB12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29" s="67" t="str">
        <f aca="false">IF(NOT(Tasks[[#This Row],[_IsLeaf]]=1),"",MIN(ProjectFinish,IF(N(Tasks[[#This Row],[Deadline]])&gt;0,Tasks[[#This Row],[Deadline]],2958465),Tasks[[#This Row],[_SuccessorFinishLimit]]))</f>
        <v/>
      </c>
      <c r="CD12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2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29" s="66" t="b">
        <f aca="false">AND(Tasks[[#This Row],[_IsLeaf]]=1,Tasks[[#This Row],[_LeafProgress]]&lt;1,N(Tasks[[#This Row],[_LeafTotalSlack]])&lt;=CriticalSlackDays)</f>
        <v>0</v>
      </c>
      <c r="CG12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2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2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2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2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2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29" s="43" t="n">
        <f aca="false">IF(AND(Tasks[[#This Row],[_IsLeaf]]=1,Tasks[[#This Row],[_LeafWork]]&gt;0),NETWORKDAYS.INTL(ProjectStart,Tasks[[#This Row],[_LeafFcstStart]],WorkWeek,Holidays),0)</f>
        <v>0</v>
      </c>
      <c r="CP12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29" s="43" t="n">
        <f aca="false">IF(AND(Tasks[[#This Row],[_IsLeaf]]=1,Tasks[[#This Row],[_LeafWork]]&gt;0),Tasks[[#This Row],[_LeafWork]]/(Tasks[[#This Row],[_FinishWorkday]]-Tasks[[#This Row],[_StartWorkday]]+1),0)</f>
        <v>0</v>
      </c>
      <c r="CR129" s="43" t="n">
        <f aca="false">Tasks[[#This Row],[_WorkPerWorkday]]*(Tasks[[#This Row],[_StartWorkday]]-1)</f>
        <v>-0</v>
      </c>
      <c r="CS129" s="43" t="n">
        <f aca="false">IF(Tasks[[#This Row],[_IsLeaf]]=1,MAX(N(Tasks[[#This Row],[Duration]]),0.1),0)</f>
        <v>0</v>
      </c>
      <c r="CT129" s="43" t="n">
        <f aca="false">Tasks[[#This Row],[_WeightDur]]*Tasks[[#This Row],[_LeafProgress]]</f>
        <v>0</v>
      </c>
      <c r="CU1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29" s="43" t="str">
        <f aca="false">IF(AND(Tasks[[#This Row],[_IsLeaf]]=1,N(Tasks[[#This Row],[Duration]])=0,Tasks[[#This Row],[_LeafProgress]]&lt;1),Tasks[[#This Row],[_LeafFcstFinish]]+Tasks[[#This Row],[_Row]]/100000,"")</f>
        <v/>
      </c>
      <c r="DA1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29" s="43" t="n">
        <f aca="false">IF(NOT(Tasks[[#This Row],[_IsLeaf]]=1),0,IF(Tasks[[#This Row],[Baseline Cost]]="",Tasks[[#This Row],[_LeafCost]],N(Tasks[[#This Row],[Baseline Cost]])))</f>
        <v>0</v>
      </c>
      <c r="DC129" s="43" t="n">
        <f aca="false">Tasks[[#This Row],[_LeafBudget]]*Tasks[[#This Row],[_PlannedPct]]</f>
        <v>0</v>
      </c>
      <c r="DD129" s="43" t="n">
        <f aca="false">Tasks[[#This Row],[_LeafBudget]]*Tasks[[#This Row],[_LeafProgress]]</f>
        <v>0</v>
      </c>
      <c r="DE129" s="43" t="n">
        <f aca="false">IF(NOT(Tasks[[#This Row],[_IsLeaf]]=1),0,IF(Tasks[[#This Row],[Actual Cost]]="",Tasks[[#This Row],[_LeafCost]]*Tasks[[#This Row],[_LeafProgress]],N(Tasks[[#This Row],[Actual Cost]])))</f>
        <v>0</v>
      </c>
      <c r="DF129" s="43" t="str">
        <f aca="false">IF(Tasks[[#This Row],[Task Name]]="","",LEFT(Tasks[[#This Row],[WBS]],FIND(".",Tasks[[#This Row],[WBS]]&amp;".")-1))</f>
        <v/>
      </c>
      <c r="DG129" s="43" t="str">
        <f aca="false">IF(AND(Tasks[[#This Row],[Task Name]]&lt;&gt;"",Tasks[[#This Row],[_Level]]=1),Tasks[[#This Row],[_Row]],"")</f>
        <v/>
      </c>
      <c r="DH129" s="43" t="str">
        <f aca="false">IF(AND(Tasks[[#This Row],[_IsLeaf]]=1,N(Tasks[[#This Row],[Duration]])=0),Tasks[[#This Row],[Planned Finish]]+Tasks[[#This Row],[_Row]]/100000,"")</f>
        <v/>
      </c>
      <c r="DI1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29" s="43" t="str">
        <f aca="false">IF(Tasks[[#This Row],[_LeafCritical]],Tasks[[#This Row],[_LeafFcstStart]]+Tasks[[#This Row],[_Row]]/100000,"")</f>
        <v/>
      </c>
    </row>
    <row r="130" customFormat="false" ht="15" hidden="false" customHeight="false" outlineLevel="0" collapsed="false">
      <c r="A130" s="28" t="str">
        <f aca="false">IF(Tasks[[#This Row],[Task Name]]="","",COUNTA(Tasks[[#Headers],[Task Name]]:Tasks[[#This Row],[Task Name]])-1)</f>
        <v/>
      </c>
      <c r="B130" s="29" t="n">
        <v>125</v>
      </c>
      <c r="C1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29"/>
      <c r="E130" s="30"/>
      <c r="F130" s="29"/>
      <c r="G130" s="29"/>
      <c r="H130" s="29"/>
      <c r="I130" s="29"/>
      <c r="J130" s="29"/>
      <c r="K130" s="29"/>
      <c r="L130" s="29"/>
      <c r="M130" s="29"/>
      <c r="N130" s="53"/>
      <c r="O130" s="53"/>
      <c r="P130" s="25" t="str">
        <f aca="false">IF(Tasks[[#This Row],[Task Name]]="","",IF(N(Tasks[[#This Row],[Baseline Start]])&gt;0,Tasks[[#This Row],[Baseline Start]],Tasks[[#This Row],[_CalcStart]]))</f>
        <v/>
      </c>
      <c r="Q130" s="25" t="str">
        <f aca="false">IF(Tasks[[#This Row],[Task Name]]="","",IF(N(Tasks[[#This Row],[Baseline Finish]])&gt;0,Tasks[[#This Row],[Baseline Finish]],Tasks[[#This Row],[_CalcFinish]]))</f>
        <v/>
      </c>
      <c r="R130" s="53"/>
      <c r="S130" s="53"/>
      <c r="T1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55"/>
      <c r="AF13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30"/>
      <c r="AI130" s="55"/>
      <c r="AJ13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64"/>
      <c r="AM13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0" s="30"/>
      <c r="AP130" s="25" t="str">
        <f aca="false">IF(Tasks[[#This Row],[Task Name]]="","",Tasks[[#This Row],[Forecast Start]])</f>
        <v/>
      </c>
      <c r="AQ130" s="25" t="str">
        <f aca="false">IF(Tasks[[#This Row],[Task Name]]="","",Tasks[[#This Row],[Forecast Finish]])</f>
        <v/>
      </c>
      <c r="AR1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0" s="62" t="str">
        <f aca="false">IF(Tasks[[#This Row],[Task Name]]="","",Tasks[[#This Row],[Work]])</f>
        <v/>
      </c>
      <c r="AT130" s="63" t="str">
        <f aca="false">IF(Tasks[[#This Row],[Task Name]]="","",Tasks[[#This Row],[Cost]])</f>
        <v/>
      </c>
      <c r="AU130" s="53"/>
      <c r="AV130" s="53"/>
      <c r="AW130" s="29"/>
      <c r="AX130" s="65"/>
      <c r="AY130" s="64"/>
      <c r="AZ130" s="28" t="str">
        <f aca="false">IF(OR(Tasks[[#This Row],[Task Name]]="",Tasks[[#This Row],[Baseline Duration]]=""),"",Tasks[[#This Row],[BL Source Duration]]-N(Tasks[[#This Row],[Baseline Duration]]))</f>
        <v/>
      </c>
      <c r="BA130" s="62" t="str">
        <f aca="false">IF(OR(Tasks[[#This Row],[Task Name]]="",Tasks[[#This Row],[Baseline Work]]=""),"",Tasks[[#This Row],[Work]]-N(Tasks[[#This Row],[Baseline Work]]))</f>
        <v/>
      </c>
      <c r="BB130" s="63" t="str">
        <f aca="false">IF(OR(Tasks[[#This Row],[Task Name]]="",Tasks[[#This Row],[Baseline Cost]]=""),"",Tasks[[#This Row],[Cost]]-N(Tasks[[#This Row],[Baseline Cost]]))</f>
        <v/>
      </c>
      <c r="BC13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0" s="43" t="str">
        <f aca="false">IF(Tasks[[#This Row],[Task Name]]="","",MAX(1,N(Tasks[[#This Row],[Level]])))</f>
        <v/>
      </c>
      <c r="BH130" s="43" t="n">
        <f aca="false">ROW()-ROW(Tasks[[#Headers],[ID]])</f>
        <v>125</v>
      </c>
      <c r="BI1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0" s="43" t="n">
        <f aca="false">IFERROR(N(INDEX(Tasks[_Level],Tasks[[#This Row],[_Row]]+1)),0)</f>
        <v>0</v>
      </c>
      <c r="BK130" s="66" t="b">
        <f aca="false">AND(Tasks[[#This Row],[Task Name]]&lt;&gt;"",Tasks[[#This Row],[_NextLevel]]&gt;Tasks[[#This Row],[_Level]])</f>
        <v>0</v>
      </c>
      <c r="BL130" s="43" t="n">
        <f aca="false">IF(Tasks[[#This Row],[_IsSummary]],COUNTIF(Tasks[WBS],Tasks[[#This Row],[WBS]]&amp;".*"),0)</f>
        <v>0</v>
      </c>
      <c r="BM130" s="43" t="n">
        <f aca="false">IF(AND(Tasks[[#This Row],[Task Name]]&lt;&gt;"",NOT(Tasks[[#This Row],[_IsSummary]])),1,0)</f>
        <v>0</v>
      </c>
      <c r="BN130" s="43" t="n">
        <f aca="false">IF(N(Tasks[[#This Row],[Pred1 UID]])=0,0,IFERROR(MATCH(Tasks[[#This Row],[Pred1 UID]],Tasks[UID],0),-1))</f>
        <v>0</v>
      </c>
      <c r="BO130" s="43" t="n">
        <f aca="false">IF(N(Tasks[[#This Row],[Pred2 UID]])=0,0,IFERROR(MATCH(Tasks[[#This Row],[Pred2 UID]],Tasks[UID],0),-1))</f>
        <v>0</v>
      </c>
      <c r="BP13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0" s="43" t="n">
        <f aca="false">IF(NOT(Tasks[[#This Row],[_IsLeaf]]=1),0,IF(N(Tasks[[#This Row],[Actual Finish]])&gt;0,1,MIN(1,N(Tasks[[#This Row],[% Complete]]))))</f>
        <v>0</v>
      </c>
      <c r="BU1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0" s="43" t="n">
        <f aca="false">IF(Tasks[[#This Row],[_LeafWork]]=0,0,Tasks[[#This Row],[_LeafWork]]*IFERROR(INDEX(res_Rate,MATCH(Tasks[[#This Row],[Resource]],res_Name,0)),0))</f>
        <v>0</v>
      </c>
      <c r="BW13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0" s="43" t="n">
        <f aca="false">IF(NOT(Tasks[[#This Row],[_IsLeaf]]=1),0,MAX(_xlfn.MAXIFS(Tasks[_Row],Tasks[Pred1 UID],Tasks[[#This Row],[UID]]),_xlfn.MAXIFS(Tasks[_Row],Tasks[Pred2 UID],Tasks[[#This Row],[UID]])))</f>
        <v>0</v>
      </c>
      <c r="CB13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0" s="67" t="str">
        <f aca="false">IF(NOT(Tasks[[#This Row],[_IsLeaf]]=1),"",MIN(ProjectFinish,IF(N(Tasks[[#This Row],[Deadline]])&gt;0,Tasks[[#This Row],[Deadline]],2958465),Tasks[[#This Row],[_SuccessorFinishLimit]]))</f>
        <v/>
      </c>
      <c r="CD13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0" s="66" t="b">
        <f aca="false">AND(Tasks[[#This Row],[_IsLeaf]]=1,Tasks[[#This Row],[_LeafProgress]]&lt;1,N(Tasks[[#This Row],[_LeafTotalSlack]])&lt;=CriticalSlackDays)</f>
        <v>0</v>
      </c>
      <c r="CG13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0" s="43" t="n">
        <f aca="false">IF(AND(Tasks[[#This Row],[_IsLeaf]]=1,Tasks[[#This Row],[_LeafWork]]&gt;0),NETWORKDAYS.INTL(ProjectStart,Tasks[[#This Row],[_LeafFcstStart]],WorkWeek,Holidays),0)</f>
        <v>0</v>
      </c>
      <c r="CP1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0" s="43" t="n">
        <f aca="false">IF(AND(Tasks[[#This Row],[_IsLeaf]]=1,Tasks[[#This Row],[_LeafWork]]&gt;0),Tasks[[#This Row],[_LeafWork]]/(Tasks[[#This Row],[_FinishWorkday]]-Tasks[[#This Row],[_StartWorkday]]+1),0)</f>
        <v>0</v>
      </c>
      <c r="CR130" s="43" t="n">
        <f aca="false">Tasks[[#This Row],[_WorkPerWorkday]]*(Tasks[[#This Row],[_StartWorkday]]-1)</f>
        <v>-0</v>
      </c>
      <c r="CS130" s="43" t="n">
        <f aca="false">IF(Tasks[[#This Row],[_IsLeaf]]=1,MAX(N(Tasks[[#This Row],[Duration]]),0.1),0)</f>
        <v>0</v>
      </c>
      <c r="CT130" s="43" t="n">
        <f aca="false">Tasks[[#This Row],[_WeightDur]]*Tasks[[#This Row],[_LeafProgress]]</f>
        <v>0</v>
      </c>
      <c r="CU1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0" s="43" t="str">
        <f aca="false">IF(AND(Tasks[[#This Row],[_IsLeaf]]=1,N(Tasks[[#This Row],[Duration]])=0,Tasks[[#This Row],[_LeafProgress]]&lt;1),Tasks[[#This Row],[_LeafFcstFinish]]+Tasks[[#This Row],[_Row]]/100000,"")</f>
        <v/>
      </c>
      <c r="DA1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0" s="43" t="n">
        <f aca="false">IF(NOT(Tasks[[#This Row],[_IsLeaf]]=1),0,IF(Tasks[[#This Row],[Baseline Cost]]="",Tasks[[#This Row],[_LeafCost]],N(Tasks[[#This Row],[Baseline Cost]])))</f>
        <v>0</v>
      </c>
      <c r="DC130" s="43" t="n">
        <f aca="false">Tasks[[#This Row],[_LeafBudget]]*Tasks[[#This Row],[_PlannedPct]]</f>
        <v>0</v>
      </c>
      <c r="DD130" s="43" t="n">
        <f aca="false">Tasks[[#This Row],[_LeafBudget]]*Tasks[[#This Row],[_LeafProgress]]</f>
        <v>0</v>
      </c>
      <c r="DE130" s="43" t="n">
        <f aca="false">IF(NOT(Tasks[[#This Row],[_IsLeaf]]=1),0,IF(Tasks[[#This Row],[Actual Cost]]="",Tasks[[#This Row],[_LeafCost]]*Tasks[[#This Row],[_LeafProgress]],N(Tasks[[#This Row],[Actual Cost]])))</f>
        <v>0</v>
      </c>
      <c r="DF130" s="43" t="str">
        <f aca="false">IF(Tasks[[#This Row],[Task Name]]="","",LEFT(Tasks[[#This Row],[WBS]],FIND(".",Tasks[[#This Row],[WBS]]&amp;".")-1))</f>
        <v/>
      </c>
      <c r="DG130" s="43" t="str">
        <f aca="false">IF(AND(Tasks[[#This Row],[Task Name]]&lt;&gt;"",Tasks[[#This Row],[_Level]]=1),Tasks[[#This Row],[_Row]],"")</f>
        <v/>
      </c>
      <c r="DH130" s="43" t="str">
        <f aca="false">IF(AND(Tasks[[#This Row],[_IsLeaf]]=1,N(Tasks[[#This Row],[Duration]])=0),Tasks[[#This Row],[Planned Finish]]+Tasks[[#This Row],[_Row]]/100000,"")</f>
        <v/>
      </c>
      <c r="DI1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0" s="43" t="str">
        <f aca="false">IF(Tasks[[#This Row],[_LeafCritical]],Tasks[[#This Row],[_LeafFcstStart]]+Tasks[[#This Row],[_Row]]/100000,"")</f>
        <v/>
      </c>
    </row>
    <row r="131" customFormat="false" ht="15" hidden="false" customHeight="false" outlineLevel="0" collapsed="false">
      <c r="A131" s="28" t="str">
        <f aca="false">IF(Tasks[[#This Row],[Task Name]]="","",COUNTA(Tasks[[#Headers],[Task Name]]:Tasks[[#This Row],[Task Name]])-1)</f>
        <v/>
      </c>
      <c r="B131" s="29" t="n">
        <v>126</v>
      </c>
      <c r="C1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29"/>
      <c r="E131" s="30"/>
      <c r="F131" s="29"/>
      <c r="G131" s="29"/>
      <c r="H131" s="29"/>
      <c r="I131" s="29"/>
      <c r="J131" s="29"/>
      <c r="K131" s="29"/>
      <c r="L131" s="29"/>
      <c r="M131" s="29"/>
      <c r="N131" s="53"/>
      <c r="O131" s="53"/>
      <c r="P131" s="25" t="str">
        <f aca="false">IF(Tasks[[#This Row],[Task Name]]="","",IF(N(Tasks[[#This Row],[Baseline Start]])&gt;0,Tasks[[#This Row],[Baseline Start]],Tasks[[#This Row],[_CalcStart]]))</f>
        <v/>
      </c>
      <c r="Q131" s="25" t="str">
        <f aca="false">IF(Tasks[[#This Row],[Task Name]]="","",IF(N(Tasks[[#This Row],[Baseline Finish]])&gt;0,Tasks[[#This Row],[Baseline Finish]],Tasks[[#This Row],[_CalcFinish]]))</f>
        <v/>
      </c>
      <c r="R131" s="53"/>
      <c r="S131" s="53"/>
      <c r="T1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55"/>
      <c r="AF13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30"/>
      <c r="AI131" s="55"/>
      <c r="AJ13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64"/>
      <c r="AM13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1" s="30"/>
      <c r="AP131" s="25" t="str">
        <f aca="false">IF(Tasks[[#This Row],[Task Name]]="","",Tasks[[#This Row],[Forecast Start]])</f>
        <v/>
      </c>
      <c r="AQ131" s="25" t="str">
        <f aca="false">IF(Tasks[[#This Row],[Task Name]]="","",Tasks[[#This Row],[Forecast Finish]])</f>
        <v/>
      </c>
      <c r="AR1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1" s="62" t="str">
        <f aca="false">IF(Tasks[[#This Row],[Task Name]]="","",Tasks[[#This Row],[Work]])</f>
        <v/>
      </c>
      <c r="AT131" s="63" t="str">
        <f aca="false">IF(Tasks[[#This Row],[Task Name]]="","",Tasks[[#This Row],[Cost]])</f>
        <v/>
      </c>
      <c r="AU131" s="53"/>
      <c r="AV131" s="53"/>
      <c r="AW131" s="29"/>
      <c r="AX131" s="65"/>
      <c r="AY131" s="64"/>
      <c r="AZ131" s="28" t="str">
        <f aca="false">IF(OR(Tasks[[#This Row],[Task Name]]="",Tasks[[#This Row],[Baseline Duration]]=""),"",Tasks[[#This Row],[BL Source Duration]]-N(Tasks[[#This Row],[Baseline Duration]]))</f>
        <v/>
      </c>
      <c r="BA131" s="62" t="str">
        <f aca="false">IF(OR(Tasks[[#This Row],[Task Name]]="",Tasks[[#This Row],[Baseline Work]]=""),"",Tasks[[#This Row],[Work]]-N(Tasks[[#This Row],[Baseline Work]]))</f>
        <v/>
      </c>
      <c r="BB131" s="63" t="str">
        <f aca="false">IF(OR(Tasks[[#This Row],[Task Name]]="",Tasks[[#This Row],[Baseline Cost]]=""),"",Tasks[[#This Row],[Cost]]-N(Tasks[[#This Row],[Baseline Cost]]))</f>
        <v/>
      </c>
      <c r="BC13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1" s="43" t="str">
        <f aca="false">IF(Tasks[[#This Row],[Task Name]]="","",MAX(1,N(Tasks[[#This Row],[Level]])))</f>
        <v/>
      </c>
      <c r="BH131" s="43" t="n">
        <f aca="false">ROW()-ROW(Tasks[[#Headers],[ID]])</f>
        <v>126</v>
      </c>
      <c r="BI1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1" s="43" t="n">
        <f aca="false">IFERROR(N(INDEX(Tasks[_Level],Tasks[[#This Row],[_Row]]+1)),0)</f>
        <v>0</v>
      </c>
      <c r="BK131" s="66" t="b">
        <f aca="false">AND(Tasks[[#This Row],[Task Name]]&lt;&gt;"",Tasks[[#This Row],[_NextLevel]]&gt;Tasks[[#This Row],[_Level]])</f>
        <v>0</v>
      </c>
      <c r="BL131" s="43" t="n">
        <f aca="false">IF(Tasks[[#This Row],[_IsSummary]],COUNTIF(Tasks[WBS],Tasks[[#This Row],[WBS]]&amp;".*"),0)</f>
        <v>0</v>
      </c>
      <c r="BM131" s="43" t="n">
        <f aca="false">IF(AND(Tasks[[#This Row],[Task Name]]&lt;&gt;"",NOT(Tasks[[#This Row],[_IsSummary]])),1,0)</f>
        <v>0</v>
      </c>
      <c r="BN131" s="43" t="n">
        <f aca="false">IF(N(Tasks[[#This Row],[Pred1 UID]])=0,0,IFERROR(MATCH(Tasks[[#This Row],[Pred1 UID]],Tasks[UID],0),-1))</f>
        <v>0</v>
      </c>
      <c r="BO131" s="43" t="n">
        <f aca="false">IF(N(Tasks[[#This Row],[Pred2 UID]])=0,0,IFERROR(MATCH(Tasks[[#This Row],[Pred2 UID]],Tasks[UID],0),-1))</f>
        <v>0</v>
      </c>
      <c r="BP13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1" s="43" t="n">
        <f aca="false">IF(NOT(Tasks[[#This Row],[_IsLeaf]]=1),0,IF(N(Tasks[[#This Row],[Actual Finish]])&gt;0,1,MIN(1,N(Tasks[[#This Row],[% Complete]]))))</f>
        <v>0</v>
      </c>
      <c r="BU13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1" s="43" t="n">
        <f aca="false">IF(Tasks[[#This Row],[_LeafWork]]=0,0,Tasks[[#This Row],[_LeafWork]]*IFERROR(INDEX(res_Rate,MATCH(Tasks[[#This Row],[Resource]],res_Name,0)),0))</f>
        <v>0</v>
      </c>
      <c r="BW13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1" s="43" t="n">
        <f aca="false">IF(NOT(Tasks[[#This Row],[_IsLeaf]]=1),0,MAX(_xlfn.MAXIFS(Tasks[_Row],Tasks[Pred1 UID],Tasks[[#This Row],[UID]]),_xlfn.MAXIFS(Tasks[_Row],Tasks[Pred2 UID],Tasks[[#This Row],[UID]])))</f>
        <v>0</v>
      </c>
      <c r="CB13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1" s="67" t="str">
        <f aca="false">IF(NOT(Tasks[[#This Row],[_IsLeaf]]=1),"",MIN(ProjectFinish,IF(N(Tasks[[#This Row],[Deadline]])&gt;0,Tasks[[#This Row],[Deadline]],2958465),Tasks[[#This Row],[_SuccessorFinishLimit]]))</f>
        <v/>
      </c>
      <c r="CD13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1" s="66" t="b">
        <f aca="false">AND(Tasks[[#This Row],[_IsLeaf]]=1,Tasks[[#This Row],[_LeafProgress]]&lt;1,N(Tasks[[#This Row],[_LeafTotalSlack]])&lt;=CriticalSlackDays)</f>
        <v>0</v>
      </c>
      <c r="CG13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1" s="43" t="n">
        <f aca="false">IF(AND(Tasks[[#This Row],[_IsLeaf]]=1,Tasks[[#This Row],[_LeafWork]]&gt;0),NETWORKDAYS.INTL(ProjectStart,Tasks[[#This Row],[_LeafFcstStart]],WorkWeek,Holidays),0)</f>
        <v>0</v>
      </c>
      <c r="CP13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1" s="43" t="n">
        <f aca="false">IF(AND(Tasks[[#This Row],[_IsLeaf]]=1,Tasks[[#This Row],[_LeafWork]]&gt;0),Tasks[[#This Row],[_LeafWork]]/(Tasks[[#This Row],[_FinishWorkday]]-Tasks[[#This Row],[_StartWorkday]]+1),0)</f>
        <v>0</v>
      </c>
      <c r="CR131" s="43" t="n">
        <f aca="false">Tasks[[#This Row],[_WorkPerWorkday]]*(Tasks[[#This Row],[_StartWorkday]]-1)</f>
        <v>-0</v>
      </c>
      <c r="CS131" s="43" t="n">
        <f aca="false">IF(Tasks[[#This Row],[_IsLeaf]]=1,MAX(N(Tasks[[#This Row],[Duration]]),0.1),0)</f>
        <v>0</v>
      </c>
      <c r="CT131" s="43" t="n">
        <f aca="false">Tasks[[#This Row],[_WeightDur]]*Tasks[[#This Row],[_LeafProgress]]</f>
        <v>0</v>
      </c>
      <c r="CU1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1" s="43" t="str">
        <f aca="false">IF(AND(Tasks[[#This Row],[_IsLeaf]]=1,N(Tasks[[#This Row],[Duration]])=0,Tasks[[#This Row],[_LeafProgress]]&lt;1),Tasks[[#This Row],[_LeafFcstFinish]]+Tasks[[#This Row],[_Row]]/100000,"")</f>
        <v/>
      </c>
      <c r="DA1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1" s="43" t="n">
        <f aca="false">IF(NOT(Tasks[[#This Row],[_IsLeaf]]=1),0,IF(Tasks[[#This Row],[Baseline Cost]]="",Tasks[[#This Row],[_LeafCost]],N(Tasks[[#This Row],[Baseline Cost]])))</f>
        <v>0</v>
      </c>
      <c r="DC131" s="43" t="n">
        <f aca="false">Tasks[[#This Row],[_LeafBudget]]*Tasks[[#This Row],[_PlannedPct]]</f>
        <v>0</v>
      </c>
      <c r="DD131" s="43" t="n">
        <f aca="false">Tasks[[#This Row],[_LeafBudget]]*Tasks[[#This Row],[_LeafProgress]]</f>
        <v>0</v>
      </c>
      <c r="DE131" s="43" t="n">
        <f aca="false">IF(NOT(Tasks[[#This Row],[_IsLeaf]]=1),0,IF(Tasks[[#This Row],[Actual Cost]]="",Tasks[[#This Row],[_LeafCost]]*Tasks[[#This Row],[_LeafProgress]],N(Tasks[[#This Row],[Actual Cost]])))</f>
        <v>0</v>
      </c>
      <c r="DF131" s="43" t="str">
        <f aca="false">IF(Tasks[[#This Row],[Task Name]]="","",LEFT(Tasks[[#This Row],[WBS]],FIND(".",Tasks[[#This Row],[WBS]]&amp;".")-1))</f>
        <v/>
      </c>
      <c r="DG131" s="43" t="str">
        <f aca="false">IF(AND(Tasks[[#This Row],[Task Name]]&lt;&gt;"",Tasks[[#This Row],[_Level]]=1),Tasks[[#This Row],[_Row]],"")</f>
        <v/>
      </c>
      <c r="DH131" s="43" t="str">
        <f aca="false">IF(AND(Tasks[[#This Row],[_IsLeaf]]=1,N(Tasks[[#This Row],[Duration]])=0),Tasks[[#This Row],[Planned Finish]]+Tasks[[#This Row],[_Row]]/100000,"")</f>
        <v/>
      </c>
      <c r="DI1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1" s="43" t="str">
        <f aca="false">IF(Tasks[[#This Row],[_LeafCritical]],Tasks[[#This Row],[_LeafFcstStart]]+Tasks[[#This Row],[_Row]]/100000,"")</f>
        <v/>
      </c>
    </row>
    <row r="132" customFormat="false" ht="15" hidden="false" customHeight="false" outlineLevel="0" collapsed="false">
      <c r="A132" s="28" t="str">
        <f aca="false">IF(Tasks[[#This Row],[Task Name]]="","",COUNTA(Tasks[[#Headers],[Task Name]]:Tasks[[#This Row],[Task Name]])-1)</f>
        <v/>
      </c>
      <c r="B132" s="29" t="n">
        <v>127</v>
      </c>
      <c r="C1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29"/>
      <c r="E132" s="30"/>
      <c r="F132" s="29"/>
      <c r="G132" s="29"/>
      <c r="H132" s="29"/>
      <c r="I132" s="29"/>
      <c r="J132" s="29"/>
      <c r="K132" s="29"/>
      <c r="L132" s="29"/>
      <c r="M132" s="29"/>
      <c r="N132" s="53"/>
      <c r="O132" s="53"/>
      <c r="P132" s="25" t="str">
        <f aca="false">IF(Tasks[[#This Row],[Task Name]]="","",IF(N(Tasks[[#This Row],[Baseline Start]])&gt;0,Tasks[[#This Row],[Baseline Start]],Tasks[[#This Row],[_CalcStart]]))</f>
        <v/>
      </c>
      <c r="Q132" s="25" t="str">
        <f aca="false">IF(Tasks[[#This Row],[Task Name]]="","",IF(N(Tasks[[#This Row],[Baseline Finish]])&gt;0,Tasks[[#This Row],[Baseline Finish]],Tasks[[#This Row],[_CalcFinish]]))</f>
        <v/>
      </c>
      <c r="R132" s="53"/>
      <c r="S132" s="53"/>
      <c r="T1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55"/>
      <c r="AF13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30"/>
      <c r="AI132" s="55"/>
      <c r="AJ13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64"/>
      <c r="AM13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2" s="30"/>
      <c r="AP132" s="25" t="str">
        <f aca="false">IF(Tasks[[#This Row],[Task Name]]="","",Tasks[[#This Row],[Forecast Start]])</f>
        <v/>
      </c>
      <c r="AQ132" s="25" t="str">
        <f aca="false">IF(Tasks[[#This Row],[Task Name]]="","",Tasks[[#This Row],[Forecast Finish]])</f>
        <v/>
      </c>
      <c r="AR1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2" s="62" t="str">
        <f aca="false">IF(Tasks[[#This Row],[Task Name]]="","",Tasks[[#This Row],[Work]])</f>
        <v/>
      </c>
      <c r="AT132" s="63" t="str">
        <f aca="false">IF(Tasks[[#This Row],[Task Name]]="","",Tasks[[#This Row],[Cost]])</f>
        <v/>
      </c>
      <c r="AU132" s="53"/>
      <c r="AV132" s="53"/>
      <c r="AW132" s="29"/>
      <c r="AX132" s="65"/>
      <c r="AY132" s="64"/>
      <c r="AZ132" s="28" t="str">
        <f aca="false">IF(OR(Tasks[[#This Row],[Task Name]]="",Tasks[[#This Row],[Baseline Duration]]=""),"",Tasks[[#This Row],[BL Source Duration]]-N(Tasks[[#This Row],[Baseline Duration]]))</f>
        <v/>
      </c>
      <c r="BA132" s="62" t="str">
        <f aca="false">IF(OR(Tasks[[#This Row],[Task Name]]="",Tasks[[#This Row],[Baseline Work]]=""),"",Tasks[[#This Row],[Work]]-N(Tasks[[#This Row],[Baseline Work]]))</f>
        <v/>
      </c>
      <c r="BB132" s="63" t="str">
        <f aca="false">IF(OR(Tasks[[#This Row],[Task Name]]="",Tasks[[#This Row],[Baseline Cost]]=""),"",Tasks[[#This Row],[Cost]]-N(Tasks[[#This Row],[Baseline Cost]]))</f>
        <v/>
      </c>
      <c r="BC13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2" s="43" t="str">
        <f aca="false">IF(Tasks[[#This Row],[Task Name]]="","",MAX(1,N(Tasks[[#This Row],[Level]])))</f>
        <v/>
      </c>
      <c r="BH132" s="43" t="n">
        <f aca="false">ROW()-ROW(Tasks[[#Headers],[ID]])</f>
        <v>127</v>
      </c>
      <c r="BI1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2" s="43" t="n">
        <f aca="false">IFERROR(N(INDEX(Tasks[_Level],Tasks[[#This Row],[_Row]]+1)),0)</f>
        <v>0</v>
      </c>
      <c r="BK132" s="66" t="b">
        <f aca="false">AND(Tasks[[#This Row],[Task Name]]&lt;&gt;"",Tasks[[#This Row],[_NextLevel]]&gt;Tasks[[#This Row],[_Level]])</f>
        <v>0</v>
      </c>
      <c r="BL132" s="43" t="n">
        <f aca="false">IF(Tasks[[#This Row],[_IsSummary]],COUNTIF(Tasks[WBS],Tasks[[#This Row],[WBS]]&amp;".*"),0)</f>
        <v>0</v>
      </c>
      <c r="BM132" s="43" t="n">
        <f aca="false">IF(AND(Tasks[[#This Row],[Task Name]]&lt;&gt;"",NOT(Tasks[[#This Row],[_IsSummary]])),1,0)</f>
        <v>0</v>
      </c>
      <c r="BN132" s="43" t="n">
        <f aca="false">IF(N(Tasks[[#This Row],[Pred1 UID]])=0,0,IFERROR(MATCH(Tasks[[#This Row],[Pred1 UID]],Tasks[UID],0),-1))</f>
        <v>0</v>
      </c>
      <c r="BO132" s="43" t="n">
        <f aca="false">IF(N(Tasks[[#This Row],[Pred2 UID]])=0,0,IFERROR(MATCH(Tasks[[#This Row],[Pred2 UID]],Tasks[UID],0),-1))</f>
        <v>0</v>
      </c>
      <c r="BP13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2" s="43" t="n">
        <f aca="false">IF(NOT(Tasks[[#This Row],[_IsLeaf]]=1),0,IF(N(Tasks[[#This Row],[Actual Finish]])&gt;0,1,MIN(1,N(Tasks[[#This Row],[% Complete]]))))</f>
        <v>0</v>
      </c>
      <c r="BU1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2" s="43" t="n">
        <f aca="false">IF(Tasks[[#This Row],[_LeafWork]]=0,0,Tasks[[#This Row],[_LeafWork]]*IFERROR(INDEX(res_Rate,MATCH(Tasks[[#This Row],[Resource]],res_Name,0)),0))</f>
        <v>0</v>
      </c>
      <c r="BW1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2" s="43" t="n">
        <f aca="false">IF(NOT(Tasks[[#This Row],[_IsLeaf]]=1),0,MAX(_xlfn.MAXIFS(Tasks[_Row],Tasks[Pred1 UID],Tasks[[#This Row],[UID]]),_xlfn.MAXIFS(Tasks[_Row],Tasks[Pred2 UID],Tasks[[#This Row],[UID]])))</f>
        <v>0</v>
      </c>
      <c r="CB13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2" s="67" t="str">
        <f aca="false">IF(NOT(Tasks[[#This Row],[_IsLeaf]]=1),"",MIN(ProjectFinish,IF(N(Tasks[[#This Row],[Deadline]])&gt;0,Tasks[[#This Row],[Deadline]],2958465),Tasks[[#This Row],[_SuccessorFinishLimit]]))</f>
        <v/>
      </c>
      <c r="CD13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2" s="66" t="b">
        <f aca="false">AND(Tasks[[#This Row],[_IsLeaf]]=1,Tasks[[#This Row],[_LeafProgress]]&lt;1,N(Tasks[[#This Row],[_LeafTotalSlack]])&lt;=CriticalSlackDays)</f>
        <v>0</v>
      </c>
      <c r="CG13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2" s="43" t="n">
        <f aca="false">IF(AND(Tasks[[#This Row],[_IsLeaf]]=1,Tasks[[#This Row],[_LeafWork]]&gt;0),NETWORKDAYS.INTL(ProjectStart,Tasks[[#This Row],[_LeafFcstStart]],WorkWeek,Holidays),0)</f>
        <v>0</v>
      </c>
      <c r="CP1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2" s="43" t="n">
        <f aca="false">IF(AND(Tasks[[#This Row],[_IsLeaf]]=1,Tasks[[#This Row],[_LeafWork]]&gt;0),Tasks[[#This Row],[_LeafWork]]/(Tasks[[#This Row],[_FinishWorkday]]-Tasks[[#This Row],[_StartWorkday]]+1),0)</f>
        <v>0</v>
      </c>
      <c r="CR132" s="43" t="n">
        <f aca="false">Tasks[[#This Row],[_WorkPerWorkday]]*(Tasks[[#This Row],[_StartWorkday]]-1)</f>
        <v>-0</v>
      </c>
      <c r="CS132" s="43" t="n">
        <f aca="false">IF(Tasks[[#This Row],[_IsLeaf]]=1,MAX(N(Tasks[[#This Row],[Duration]]),0.1),0)</f>
        <v>0</v>
      </c>
      <c r="CT132" s="43" t="n">
        <f aca="false">Tasks[[#This Row],[_WeightDur]]*Tasks[[#This Row],[_LeafProgress]]</f>
        <v>0</v>
      </c>
      <c r="CU1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2" s="43" t="str">
        <f aca="false">IF(AND(Tasks[[#This Row],[_IsLeaf]]=1,N(Tasks[[#This Row],[Duration]])=0,Tasks[[#This Row],[_LeafProgress]]&lt;1),Tasks[[#This Row],[_LeafFcstFinish]]+Tasks[[#This Row],[_Row]]/100000,"")</f>
        <v/>
      </c>
      <c r="DA1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2" s="43" t="n">
        <f aca="false">IF(NOT(Tasks[[#This Row],[_IsLeaf]]=1),0,IF(Tasks[[#This Row],[Baseline Cost]]="",Tasks[[#This Row],[_LeafCost]],N(Tasks[[#This Row],[Baseline Cost]])))</f>
        <v>0</v>
      </c>
      <c r="DC132" s="43" t="n">
        <f aca="false">Tasks[[#This Row],[_LeafBudget]]*Tasks[[#This Row],[_PlannedPct]]</f>
        <v>0</v>
      </c>
      <c r="DD132" s="43" t="n">
        <f aca="false">Tasks[[#This Row],[_LeafBudget]]*Tasks[[#This Row],[_LeafProgress]]</f>
        <v>0</v>
      </c>
      <c r="DE132" s="43" t="n">
        <f aca="false">IF(NOT(Tasks[[#This Row],[_IsLeaf]]=1),0,IF(Tasks[[#This Row],[Actual Cost]]="",Tasks[[#This Row],[_LeafCost]]*Tasks[[#This Row],[_LeafProgress]],N(Tasks[[#This Row],[Actual Cost]])))</f>
        <v>0</v>
      </c>
      <c r="DF132" s="43" t="str">
        <f aca="false">IF(Tasks[[#This Row],[Task Name]]="","",LEFT(Tasks[[#This Row],[WBS]],FIND(".",Tasks[[#This Row],[WBS]]&amp;".")-1))</f>
        <v/>
      </c>
      <c r="DG132" s="43" t="str">
        <f aca="false">IF(AND(Tasks[[#This Row],[Task Name]]&lt;&gt;"",Tasks[[#This Row],[_Level]]=1),Tasks[[#This Row],[_Row]],"")</f>
        <v/>
      </c>
      <c r="DH132" s="43" t="str">
        <f aca="false">IF(AND(Tasks[[#This Row],[_IsLeaf]]=1,N(Tasks[[#This Row],[Duration]])=0),Tasks[[#This Row],[Planned Finish]]+Tasks[[#This Row],[_Row]]/100000,"")</f>
        <v/>
      </c>
      <c r="DI1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2" s="43" t="str">
        <f aca="false">IF(Tasks[[#This Row],[_LeafCritical]],Tasks[[#This Row],[_LeafFcstStart]]+Tasks[[#This Row],[_Row]]/100000,"")</f>
        <v/>
      </c>
    </row>
    <row r="133" customFormat="false" ht="15" hidden="false" customHeight="false" outlineLevel="0" collapsed="false">
      <c r="A133" s="28" t="str">
        <f aca="false">IF(Tasks[[#This Row],[Task Name]]="","",COUNTA(Tasks[[#Headers],[Task Name]]:Tasks[[#This Row],[Task Name]])-1)</f>
        <v/>
      </c>
      <c r="B133" s="29" t="n">
        <v>128</v>
      </c>
      <c r="C1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29"/>
      <c r="E133" s="30"/>
      <c r="F133" s="29"/>
      <c r="G133" s="29"/>
      <c r="H133" s="29"/>
      <c r="I133" s="29"/>
      <c r="J133" s="29"/>
      <c r="K133" s="29"/>
      <c r="L133" s="29"/>
      <c r="M133" s="29"/>
      <c r="N133" s="53"/>
      <c r="O133" s="53"/>
      <c r="P133" s="25" t="str">
        <f aca="false">IF(Tasks[[#This Row],[Task Name]]="","",IF(N(Tasks[[#This Row],[Baseline Start]])&gt;0,Tasks[[#This Row],[Baseline Start]],Tasks[[#This Row],[_CalcStart]]))</f>
        <v/>
      </c>
      <c r="Q133" s="25" t="str">
        <f aca="false">IF(Tasks[[#This Row],[Task Name]]="","",IF(N(Tasks[[#This Row],[Baseline Finish]])&gt;0,Tasks[[#This Row],[Baseline Finish]],Tasks[[#This Row],[_CalcFinish]]))</f>
        <v/>
      </c>
      <c r="R133" s="53"/>
      <c r="S133" s="53"/>
      <c r="T1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55"/>
      <c r="AF13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30"/>
      <c r="AI133" s="55"/>
      <c r="AJ13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64"/>
      <c r="AM13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3" s="30"/>
      <c r="AP133" s="25" t="str">
        <f aca="false">IF(Tasks[[#This Row],[Task Name]]="","",Tasks[[#This Row],[Forecast Start]])</f>
        <v/>
      </c>
      <c r="AQ133" s="25" t="str">
        <f aca="false">IF(Tasks[[#This Row],[Task Name]]="","",Tasks[[#This Row],[Forecast Finish]])</f>
        <v/>
      </c>
      <c r="AR1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3" s="62" t="str">
        <f aca="false">IF(Tasks[[#This Row],[Task Name]]="","",Tasks[[#This Row],[Work]])</f>
        <v/>
      </c>
      <c r="AT133" s="63" t="str">
        <f aca="false">IF(Tasks[[#This Row],[Task Name]]="","",Tasks[[#This Row],[Cost]])</f>
        <v/>
      </c>
      <c r="AU133" s="53"/>
      <c r="AV133" s="53"/>
      <c r="AW133" s="29"/>
      <c r="AX133" s="65"/>
      <c r="AY133" s="64"/>
      <c r="AZ133" s="28" t="str">
        <f aca="false">IF(OR(Tasks[[#This Row],[Task Name]]="",Tasks[[#This Row],[Baseline Duration]]=""),"",Tasks[[#This Row],[BL Source Duration]]-N(Tasks[[#This Row],[Baseline Duration]]))</f>
        <v/>
      </c>
      <c r="BA133" s="62" t="str">
        <f aca="false">IF(OR(Tasks[[#This Row],[Task Name]]="",Tasks[[#This Row],[Baseline Work]]=""),"",Tasks[[#This Row],[Work]]-N(Tasks[[#This Row],[Baseline Work]]))</f>
        <v/>
      </c>
      <c r="BB133" s="63" t="str">
        <f aca="false">IF(OR(Tasks[[#This Row],[Task Name]]="",Tasks[[#This Row],[Baseline Cost]]=""),"",Tasks[[#This Row],[Cost]]-N(Tasks[[#This Row],[Baseline Cost]]))</f>
        <v/>
      </c>
      <c r="BC13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3" s="43" t="str">
        <f aca="false">IF(Tasks[[#This Row],[Task Name]]="","",MAX(1,N(Tasks[[#This Row],[Level]])))</f>
        <v/>
      </c>
      <c r="BH133" s="43" t="n">
        <f aca="false">ROW()-ROW(Tasks[[#Headers],[ID]])</f>
        <v>128</v>
      </c>
      <c r="BI1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3" s="43" t="n">
        <f aca="false">IFERROR(N(INDEX(Tasks[_Level],Tasks[[#This Row],[_Row]]+1)),0)</f>
        <v>0</v>
      </c>
      <c r="BK133" s="66" t="b">
        <f aca="false">AND(Tasks[[#This Row],[Task Name]]&lt;&gt;"",Tasks[[#This Row],[_NextLevel]]&gt;Tasks[[#This Row],[_Level]])</f>
        <v>0</v>
      </c>
      <c r="BL133" s="43" t="n">
        <f aca="false">IF(Tasks[[#This Row],[_IsSummary]],COUNTIF(Tasks[WBS],Tasks[[#This Row],[WBS]]&amp;".*"),0)</f>
        <v>0</v>
      </c>
      <c r="BM133" s="43" t="n">
        <f aca="false">IF(AND(Tasks[[#This Row],[Task Name]]&lt;&gt;"",NOT(Tasks[[#This Row],[_IsSummary]])),1,0)</f>
        <v>0</v>
      </c>
      <c r="BN133" s="43" t="n">
        <f aca="false">IF(N(Tasks[[#This Row],[Pred1 UID]])=0,0,IFERROR(MATCH(Tasks[[#This Row],[Pred1 UID]],Tasks[UID],0),-1))</f>
        <v>0</v>
      </c>
      <c r="BO133" s="43" t="n">
        <f aca="false">IF(N(Tasks[[#This Row],[Pred2 UID]])=0,0,IFERROR(MATCH(Tasks[[#This Row],[Pred2 UID]],Tasks[UID],0),-1))</f>
        <v>0</v>
      </c>
      <c r="BP13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3" s="43" t="n">
        <f aca="false">IF(NOT(Tasks[[#This Row],[_IsLeaf]]=1),0,IF(N(Tasks[[#This Row],[Actual Finish]])&gt;0,1,MIN(1,N(Tasks[[#This Row],[% Complete]]))))</f>
        <v>0</v>
      </c>
      <c r="BU13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3" s="43" t="n">
        <f aca="false">IF(Tasks[[#This Row],[_LeafWork]]=0,0,Tasks[[#This Row],[_LeafWork]]*IFERROR(INDEX(res_Rate,MATCH(Tasks[[#This Row],[Resource]],res_Name,0)),0))</f>
        <v>0</v>
      </c>
      <c r="BW1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3" s="43" t="n">
        <f aca="false">IF(NOT(Tasks[[#This Row],[_IsLeaf]]=1),0,MAX(_xlfn.MAXIFS(Tasks[_Row],Tasks[Pred1 UID],Tasks[[#This Row],[UID]]),_xlfn.MAXIFS(Tasks[_Row],Tasks[Pred2 UID],Tasks[[#This Row],[UID]])))</f>
        <v>0</v>
      </c>
      <c r="CB13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3" s="67" t="str">
        <f aca="false">IF(NOT(Tasks[[#This Row],[_IsLeaf]]=1),"",MIN(ProjectFinish,IF(N(Tasks[[#This Row],[Deadline]])&gt;0,Tasks[[#This Row],[Deadline]],2958465),Tasks[[#This Row],[_SuccessorFinishLimit]]))</f>
        <v/>
      </c>
      <c r="CD13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3" s="66" t="b">
        <f aca="false">AND(Tasks[[#This Row],[_IsLeaf]]=1,Tasks[[#This Row],[_LeafProgress]]&lt;1,N(Tasks[[#This Row],[_LeafTotalSlack]])&lt;=CriticalSlackDays)</f>
        <v>0</v>
      </c>
      <c r="CG13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3" s="43" t="n">
        <f aca="false">IF(AND(Tasks[[#This Row],[_IsLeaf]]=1,Tasks[[#This Row],[_LeafWork]]&gt;0),NETWORKDAYS.INTL(ProjectStart,Tasks[[#This Row],[_LeafFcstStart]],WorkWeek,Holidays),0)</f>
        <v>0</v>
      </c>
      <c r="CP13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3" s="43" t="n">
        <f aca="false">IF(AND(Tasks[[#This Row],[_IsLeaf]]=1,Tasks[[#This Row],[_LeafWork]]&gt;0),Tasks[[#This Row],[_LeafWork]]/(Tasks[[#This Row],[_FinishWorkday]]-Tasks[[#This Row],[_StartWorkday]]+1),0)</f>
        <v>0</v>
      </c>
      <c r="CR133" s="43" t="n">
        <f aca="false">Tasks[[#This Row],[_WorkPerWorkday]]*(Tasks[[#This Row],[_StartWorkday]]-1)</f>
        <v>-0</v>
      </c>
      <c r="CS133" s="43" t="n">
        <f aca="false">IF(Tasks[[#This Row],[_IsLeaf]]=1,MAX(N(Tasks[[#This Row],[Duration]]),0.1),0)</f>
        <v>0</v>
      </c>
      <c r="CT133" s="43" t="n">
        <f aca="false">Tasks[[#This Row],[_WeightDur]]*Tasks[[#This Row],[_LeafProgress]]</f>
        <v>0</v>
      </c>
      <c r="CU1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3" s="43" t="str">
        <f aca="false">IF(AND(Tasks[[#This Row],[_IsLeaf]]=1,N(Tasks[[#This Row],[Duration]])=0,Tasks[[#This Row],[_LeafProgress]]&lt;1),Tasks[[#This Row],[_LeafFcstFinish]]+Tasks[[#This Row],[_Row]]/100000,"")</f>
        <v/>
      </c>
      <c r="DA1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3" s="43" t="n">
        <f aca="false">IF(NOT(Tasks[[#This Row],[_IsLeaf]]=1),0,IF(Tasks[[#This Row],[Baseline Cost]]="",Tasks[[#This Row],[_LeafCost]],N(Tasks[[#This Row],[Baseline Cost]])))</f>
        <v>0</v>
      </c>
      <c r="DC133" s="43" t="n">
        <f aca="false">Tasks[[#This Row],[_LeafBudget]]*Tasks[[#This Row],[_PlannedPct]]</f>
        <v>0</v>
      </c>
      <c r="DD133" s="43" t="n">
        <f aca="false">Tasks[[#This Row],[_LeafBudget]]*Tasks[[#This Row],[_LeafProgress]]</f>
        <v>0</v>
      </c>
      <c r="DE133" s="43" t="n">
        <f aca="false">IF(NOT(Tasks[[#This Row],[_IsLeaf]]=1),0,IF(Tasks[[#This Row],[Actual Cost]]="",Tasks[[#This Row],[_LeafCost]]*Tasks[[#This Row],[_LeafProgress]],N(Tasks[[#This Row],[Actual Cost]])))</f>
        <v>0</v>
      </c>
      <c r="DF133" s="43" t="str">
        <f aca="false">IF(Tasks[[#This Row],[Task Name]]="","",LEFT(Tasks[[#This Row],[WBS]],FIND(".",Tasks[[#This Row],[WBS]]&amp;".")-1))</f>
        <v/>
      </c>
      <c r="DG133" s="43" t="str">
        <f aca="false">IF(AND(Tasks[[#This Row],[Task Name]]&lt;&gt;"",Tasks[[#This Row],[_Level]]=1),Tasks[[#This Row],[_Row]],"")</f>
        <v/>
      </c>
      <c r="DH133" s="43" t="str">
        <f aca="false">IF(AND(Tasks[[#This Row],[_IsLeaf]]=1,N(Tasks[[#This Row],[Duration]])=0),Tasks[[#This Row],[Planned Finish]]+Tasks[[#This Row],[_Row]]/100000,"")</f>
        <v/>
      </c>
      <c r="DI1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3" s="43" t="str">
        <f aca="false">IF(Tasks[[#This Row],[_LeafCritical]],Tasks[[#This Row],[_LeafFcstStart]]+Tasks[[#This Row],[_Row]]/100000,"")</f>
        <v/>
      </c>
    </row>
    <row r="134" customFormat="false" ht="15" hidden="false" customHeight="false" outlineLevel="0" collapsed="false">
      <c r="A134" s="28" t="str">
        <f aca="false">IF(Tasks[[#This Row],[Task Name]]="","",COUNTA(Tasks[[#Headers],[Task Name]]:Tasks[[#This Row],[Task Name]])-1)</f>
        <v/>
      </c>
      <c r="B134" s="29" t="n">
        <v>129</v>
      </c>
      <c r="C1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29"/>
      <c r="E134" s="30"/>
      <c r="F134" s="29"/>
      <c r="G134" s="29"/>
      <c r="H134" s="29"/>
      <c r="I134" s="29"/>
      <c r="J134" s="29"/>
      <c r="K134" s="29"/>
      <c r="L134" s="29"/>
      <c r="M134" s="29"/>
      <c r="N134" s="53"/>
      <c r="O134" s="53"/>
      <c r="P134" s="25" t="str">
        <f aca="false">IF(Tasks[[#This Row],[Task Name]]="","",IF(N(Tasks[[#This Row],[Baseline Start]])&gt;0,Tasks[[#This Row],[Baseline Start]],Tasks[[#This Row],[_CalcStart]]))</f>
        <v/>
      </c>
      <c r="Q134" s="25" t="str">
        <f aca="false">IF(Tasks[[#This Row],[Task Name]]="","",IF(N(Tasks[[#This Row],[Baseline Finish]])&gt;0,Tasks[[#This Row],[Baseline Finish]],Tasks[[#This Row],[_CalcFinish]]))</f>
        <v/>
      </c>
      <c r="R134" s="53"/>
      <c r="S134" s="53"/>
      <c r="T1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55"/>
      <c r="AF13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30"/>
      <c r="AI134" s="55"/>
      <c r="AJ13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64"/>
      <c r="AM13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4" s="30"/>
      <c r="AP134" s="25" t="str">
        <f aca="false">IF(Tasks[[#This Row],[Task Name]]="","",Tasks[[#This Row],[Forecast Start]])</f>
        <v/>
      </c>
      <c r="AQ134" s="25" t="str">
        <f aca="false">IF(Tasks[[#This Row],[Task Name]]="","",Tasks[[#This Row],[Forecast Finish]])</f>
        <v/>
      </c>
      <c r="AR1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4" s="62" t="str">
        <f aca="false">IF(Tasks[[#This Row],[Task Name]]="","",Tasks[[#This Row],[Work]])</f>
        <v/>
      </c>
      <c r="AT134" s="63" t="str">
        <f aca="false">IF(Tasks[[#This Row],[Task Name]]="","",Tasks[[#This Row],[Cost]])</f>
        <v/>
      </c>
      <c r="AU134" s="53"/>
      <c r="AV134" s="53"/>
      <c r="AW134" s="29"/>
      <c r="AX134" s="65"/>
      <c r="AY134" s="64"/>
      <c r="AZ134" s="28" t="str">
        <f aca="false">IF(OR(Tasks[[#This Row],[Task Name]]="",Tasks[[#This Row],[Baseline Duration]]=""),"",Tasks[[#This Row],[BL Source Duration]]-N(Tasks[[#This Row],[Baseline Duration]]))</f>
        <v/>
      </c>
      <c r="BA134" s="62" t="str">
        <f aca="false">IF(OR(Tasks[[#This Row],[Task Name]]="",Tasks[[#This Row],[Baseline Work]]=""),"",Tasks[[#This Row],[Work]]-N(Tasks[[#This Row],[Baseline Work]]))</f>
        <v/>
      </c>
      <c r="BB134" s="63" t="str">
        <f aca="false">IF(OR(Tasks[[#This Row],[Task Name]]="",Tasks[[#This Row],[Baseline Cost]]=""),"",Tasks[[#This Row],[Cost]]-N(Tasks[[#This Row],[Baseline Cost]]))</f>
        <v/>
      </c>
      <c r="BC13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4" s="43" t="str">
        <f aca="false">IF(Tasks[[#This Row],[Task Name]]="","",MAX(1,N(Tasks[[#This Row],[Level]])))</f>
        <v/>
      </c>
      <c r="BH134" s="43" t="n">
        <f aca="false">ROW()-ROW(Tasks[[#Headers],[ID]])</f>
        <v>129</v>
      </c>
      <c r="BI1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4" s="43" t="n">
        <f aca="false">IFERROR(N(INDEX(Tasks[_Level],Tasks[[#This Row],[_Row]]+1)),0)</f>
        <v>0</v>
      </c>
      <c r="BK134" s="66" t="b">
        <f aca="false">AND(Tasks[[#This Row],[Task Name]]&lt;&gt;"",Tasks[[#This Row],[_NextLevel]]&gt;Tasks[[#This Row],[_Level]])</f>
        <v>0</v>
      </c>
      <c r="BL134" s="43" t="n">
        <f aca="false">IF(Tasks[[#This Row],[_IsSummary]],COUNTIF(Tasks[WBS],Tasks[[#This Row],[WBS]]&amp;".*"),0)</f>
        <v>0</v>
      </c>
      <c r="BM134" s="43" t="n">
        <f aca="false">IF(AND(Tasks[[#This Row],[Task Name]]&lt;&gt;"",NOT(Tasks[[#This Row],[_IsSummary]])),1,0)</f>
        <v>0</v>
      </c>
      <c r="BN134" s="43" t="n">
        <f aca="false">IF(N(Tasks[[#This Row],[Pred1 UID]])=0,0,IFERROR(MATCH(Tasks[[#This Row],[Pred1 UID]],Tasks[UID],0),-1))</f>
        <v>0</v>
      </c>
      <c r="BO134" s="43" t="n">
        <f aca="false">IF(N(Tasks[[#This Row],[Pred2 UID]])=0,0,IFERROR(MATCH(Tasks[[#This Row],[Pred2 UID]],Tasks[UID],0),-1))</f>
        <v>0</v>
      </c>
      <c r="BP13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4" s="43" t="n">
        <f aca="false">IF(NOT(Tasks[[#This Row],[_IsLeaf]]=1),0,IF(N(Tasks[[#This Row],[Actual Finish]])&gt;0,1,MIN(1,N(Tasks[[#This Row],[% Complete]]))))</f>
        <v>0</v>
      </c>
      <c r="BU13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4" s="43" t="n">
        <f aca="false">IF(Tasks[[#This Row],[_LeafWork]]=0,0,Tasks[[#This Row],[_LeafWork]]*IFERROR(INDEX(res_Rate,MATCH(Tasks[[#This Row],[Resource]],res_Name,0)),0))</f>
        <v>0</v>
      </c>
      <c r="BW13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4" s="43" t="n">
        <f aca="false">IF(NOT(Tasks[[#This Row],[_IsLeaf]]=1),0,MAX(_xlfn.MAXIFS(Tasks[_Row],Tasks[Pred1 UID],Tasks[[#This Row],[UID]]),_xlfn.MAXIFS(Tasks[_Row],Tasks[Pred2 UID],Tasks[[#This Row],[UID]])))</f>
        <v>0</v>
      </c>
      <c r="CB13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4" s="67" t="str">
        <f aca="false">IF(NOT(Tasks[[#This Row],[_IsLeaf]]=1),"",MIN(ProjectFinish,IF(N(Tasks[[#This Row],[Deadline]])&gt;0,Tasks[[#This Row],[Deadline]],2958465),Tasks[[#This Row],[_SuccessorFinishLimit]]))</f>
        <v/>
      </c>
      <c r="CD13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4" s="66" t="b">
        <f aca="false">AND(Tasks[[#This Row],[_IsLeaf]]=1,Tasks[[#This Row],[_LeafProgress]]&lt;1,N(Tasks[[#This Row],[_LeafTotalSlack]])&lt;=CriticalSlackDays)</f>
        <v>0</v>
      </c>
      <c r="CG13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4" s="43" t="n">
        <f aca="false">IF(AND(Tasks[[#This Row],[_IsLeaf]]=1,Tasks[[#This Row],[_LeafWork]]&gt;0),NETWORKDAYS.INTL(ProjectStart,Tasks[[#This Row],[_LeafFcstStart]],WorkWeek,Holidays),0)</f>
        <v>0</v>
      </c>
      <c r="CP13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4" s="43" t="n">
        <f aca="false">IF(AND(Tasks[[#This Row],[_IsLeaf]]=1,Tasks[[#This Row],[_LeafWork]]&gt;0),Tasks[[#This Row],[_LeafWork]]/(Tasks[[#This Row],[_FinishWorkday]]-Tasks[[#This Row],[_StartWorkday]]+1),0)</f>
        <v>0</v>
      </c>
      <c r="CR134" s="43" t="n">
        <f aca="false">Tasks[[#This Row],[_WorkPerWorkday]]*(Tasks[[#This Row],[_StartWorkday]]-1)</f>
        <v>-0</v>
      </c>
      <c r="CS134" s="43" t="n">
        <f aca="false">IF(Tasks[[#This Row],[_IsLeaf]]=1,MAX(N(Tasks[[#This Row],[Duration]]),0.1),0)</f>
        <v>0</v>
      </c>
      <c r="CT134" s="43" t="n">
        <f aca="false">Tasks[[#This Row],[_WeightDur]]*Tasks[[#This Row],[_LeafProgress]]</f>
        <v>0</v>
      </c>
      <c r="CU1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4" s="43" t="str">
        <f aca="false">IF(AND(Tasks[[#This Row],[_IsLeaf]]=1,N(Tasks[[#This Row],[Duration]])=0,Tasks[[#This Row],[_LeafProgress]]&lt;1),Tasks[[#This Row],[_LeafFcstFinish]]+Tasks[[#This Row],[_Row]]/100000,"")</f>
        <v/>
      </c>
      <c r="DA1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4" s="43" t="n">
        <f aca="false">IF(NOT(Tasks[[#This Row],[_IsLeaf]]=1),0,IF(Tasks[[#This Row],[Baseline Cost]]="",Tasks[[#This Row],[_LeafCost]],N(Tasks[[#This Row],[Baseline Cost]])))</f>
        <v>0</v>
      </c>
      <c r="DC134" s="43" t="n">
        <f aca="false">Tasks[[#This Row],[_LeafBudget]]*Tasks[[#This Row],[_PlannedPct]]</f>
        <v>0</v>
      </c>
      <c r="DD134" s="43" t="n">
        <f aca="false">Tasks[[#This Row],[_LeafBudget]]*Tasks[[#This Row],[_LeafProgress]]</f>
        <v>0</v>
      </c>
      <c r="DE134" s="43" t="n">
        <f aca="false">IF(NOT(Tasks[[#This Row],[_IsLeaf]]=1),0,IF(Tasks[[#This Row],[Actual Cost]]="",Tasks[[#This Row],[_LeafCost]]*Tasks[[#This Row],[_LeafProgress]],N(Tasks[[#This Row],[Actual Cost]])))</f>
        <v>0</v>
      </c>
      <c r="DF134" s="43" t="str">
        <f aca="false">IF(Tasks[[#This Row],[Task Name]]="","",LEFT(Tasks[[#This Row],[WBS]],FIND(".",Tasks[[#This Row],[WBS]]&amp;".")-1))</f>
        <v/>
      </c>
      <c r="DG134" s="43" t="str">
        <f aca="false">IF(AND(Tasks[[#This Row],[Task Name]]&lt;&gt;"",Tasks[[#This Row],[_Level]]=1),Tasks[[#This Row],[_Row]],"")</f>
        <v/>
      </c>
      <c r="DH134" s="43" t="str">
        <f aca="false">IF(AND(Tasks[[#This Row],[_IsLeaf]]=1,N(Tasks[[#This Row],[Duration]])=0),Tasks[[#This Row],[Planned Finish]]+Tasks[[#This Row],[_Row]]/100000,"")</f>
        <v/>
      </c>
      <c r="DI1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4" s="43" t="str">
        <f aca="false">IF(Tasks[[#This Row],[_LeafCritical]],Tasks[[#This Row],[_LeafFcstStart]]+Tasks[[#This Row],[_Row]]/100000,"")</f>
        <v/>
      </c>
    </row>
    <row r="135" customFormat="false" ht="15" hidden="false" customHeight="false" outlineLevel="0" collapsed="false">
      <c r="A135" s="28" t="str">
        <f aca="false">IF(Tasks[[#This Row],[Task Name]]="","",COUNTA(Tasks[[#Headers],[Task Name]]:Tasks[[#This Row],[Task Name]])-1)</f>
        <v/>
      </c>
      <c r="B135" s="29" t="n">
        <v>130</v>
      </c>
      <c r="C1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29"/>
      <c r="E135" s="30"/>
      <c r="F135" s="29"/>
      <c r="G135" s="29"/>
      <c r="H135" s="29"/>
      <c r="I135" s="29"/>
      <c r="J135" s="29"/>
      <c r="K135" s="29"/>
      <c r="L135" s="29"/>
      <c r="M135" s="29"/>
      <c r="N135" s="53"/>
      <c r="O135" s="53"/>
      <c r="P135" s="25" t="str">
        <f aca="false">IF(Tasks[[#This Row],[Task Name]]="","",IF(N(Tasks[[#This Row],[Baseline Start]])&gt;0,Tasks[[#This Row],[Baseline Start]],Tasks[[#This Row],[_CalcStart]]))</f>
        <v/>
      </c>
      <c r="Q135" s="25" t="str">
        <f aca="false">IF(Tasks[[#This Row],[Task Name]]="","",IF(N(Tasks[[#This Row],[Baseline Finish]])&gt;0,Tasks[[#This Row],[Baseline Finish]],Tasks[[#This Row],[_CalcFinish]]))</f>
        <v/>
      </c>
      <c r="R135" s="53"/>
      <c r="S135" s="53"/>
      <c r="T1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55"/>
      <c r="AF13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30"/>
      <c r="AI135" s="55"/>
      <c r="AJ13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64"/>
      <c r="AM13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5" s="30"/>
      <c r="AP135" s="25" t="str">
        <f aca="false">IF(Tasks[[#This Row],[Task Name]]="","",Tasks[[#This Row],[Forecast Start]])</f>
        <v/>
      </c>
      <c r="AQ135" s="25" t="str">
        <f aca="false">IF(Tasks[[#This Row],[Task Name]]="","",Tasks[[#This Row],[Forecast Finish]])</f>
        <v/>
      </c>
      <c r="AR1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5" s="62" t="str">
        <f aca="false">IF(Tasks[[#This Row],[Task Name]]="","",Tasks[[#This Row],[Work]])</f>
        <v/>
      </c>
      <c r="AT135" s="63" t="str">
        <f aca="false">IF(Tasks[[#This Row],[Task Name]]="","",Tasks[[#This Row],[Cost]])</f>
        <v/>
      </c>
      <c r="AU135" s="53"/>
      <c r="AV135" s="53"/>
      <c r="AW135" s="29"/>
      <c r="AX135" s="65"/>
      <c r="AY135" s="64"/>
      <c r="AZ135" s="28" t="str">
        <f aca="false">IF(OR(Tasks[[#This Row],[Task Name]]="",Tasks[[#This Row],[Baseline Duration]]=""),"",Tasks[[#This Row],[BL Source Duration]]-N(Tasks[[#This Row],[Baseline Duration]]))</f>
        <v/>
      </c>
      <c r="BA135" s="62" t="str">
        <f aca="false">IF(OR(Tasks[[#This Row],[Task Name]]="",Tasks[[#This Row],[Baseline Work]]=""),"",Tasks[[#This Row],[Work]]-N(Tasks[[#This Row],[Baseline Work]]))</f>
        <v/>
      </c>
      <c r="BB135" s="63" t="str">
        <f aca="false">IF(OR(Tasks[[#This Row],[Task Name]]="",Tasks[[#This Row],[Baseline Cost]]=""),"",Tasks[[#This Row],[Cost]]-N(Tasks[[#This Row],[Baseline Cost]]))</f>
        <v/>
      </c>
      <c r="BC13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5" s="43" t="str">
        <f aca="false">IF(Tasks[[#This Row],[Task Name]]="","",MAX(1,N(Tasks[[#This Row],[Level]])))</f>
        <v/>
      </c>
      <c r="BH135" s="43" t="n">
        <f aca="false">ROW()-ROW(Tasks[[#Headers],[ID]])</f>
        <v>130</v>
      </c>
      <c r="BI1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5" s="43" t="n">
        <f aca="false">IFERROR(N(INDEX(Tasks[_Level],Tasks[[#This Row],[_Row]]+1)),0)</f>
        <v>0</v>
      </c>
      <c r="BK135" s="66" t="b">
        <f aca="false">AND(Tasks[[#This Row],[Task Name]]&lt;&gt;"",Tasks[[#This Row],[_NextLevel]]&gt;Tasks[[#This Row],[_Level]])</f>
        <v>0</v>
      </c>
      <c r="BL135" s="43" t="n">
        <f aca="false">IF(Tasks[[#This Row],[_IsSummary]],COUNTIF(Tasks[WBS],Tasks[[#This Row],[WBS]]&amp;".*"),0)</f>
        <v>0</v>
      </c>
      <c r="BM135" s="43" t="n">
        <f aca="false">IF(AND(Tasks[[#This Row],[Task Name]]&lt;&gt;"",NOT(Tasks[[#This Row],[_IsSummary]])),1,0)</f>
        <v>0</v>
      </c>
      <c r="BN135" s="43" t="n">
        <f aca="false">IF(N(Tasks[[#This Row],[Pred1 UID]])=0,0,IFERROR(MATCH(Tasks[[#This Row],[Pred1 UID]],Tasks[UID],0),-1))</f>
        <v>0</v>
      </c>
      <c r="BO135" s="43" t="n">
        <f aca="false">IF(N(Tasks[[#This Row],[Pred2 UID]])=0,0,IFERROR(MATCH(Tasks[[#This Row],[Pred2 UID]],Tasks[UID],0),-1))</f>
        <v>0</v>
      </c>
      <c r="BP13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5" s="43" t="n">
        <f aca="false">IF(NOT(Tasks[[#This Row],[_IsLeaf]]=1),0,IF(N(Tasks[[#This Row],[Actual Finish]])&gt;0,1,MIN(1,N(Tasks[[#This Row],[% Complete]]))))</f>
        <v>0</v>
      </c>
      <c r="BU1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5" s="43" t="n">
        <f aca="false">IF(Tasks[[#This Row],[_LeafWork]]=0,0,Tasks[[#This Row],[_LeafWork]]*IFERROR(INDEX(res_Rate,MATCH(Tasks[[#This Row],[Resource]],res_Name,0)),0))</f>
        <v>0</v>
      </c>
      <c r="BW13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5" s="43" t="n">
        <f aca="false">IF(NOT(Tasks[[#This Row],[_IsLeaf]]=1),0,MAX(_xlfn.MAXIFS(Tasks[_Row],Tasks[Pred1 UID],Tasks[[#This Row],[UID]]),_xlfn.MAXIFS(Tasks[_Row],Tasks[Pred2 UID],Tasks[[#This Row],[UID]])))</f>
        <v>0</v>
      </c>
      <c r="CB13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5" s="67" t="str">
        <f aca="false">IF(NOT(Tasks[[#This Row],[_IsLeaf]]=1),"",MIN(ProjectFinish,IF(N(Tasks[[#This Row],[Deadline]])&gt;0,Tasks[[#This Row],[Deadline]],2958465),Tasks[[#This Row],[_SuccessorFinishLimit]]))</f>
        <v/>
      </c>
      <c r="CD13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5" s="66" t="b">
        <f aca="false">AND(Tasks[[#This Row],[_IsLeaf]]=1,Tasks[[#This Row],[_LeafProgress]]&lt;1,N(Tasks[[#This Row],[_LeafTotalSlack]])&lt;=CriticalSlackDays)</f>
        <v>0</v>
      </c>
      <c r="CG13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5" s="43" t="n">
        <f aca="false">IF(AND(Tasks[[#This Row],[_IsLeaf]]=1,Tasks[[#This Row],[_LeafWork]]&gt;0),NETWORKDAYS.INTL(ProjectStart,Tasks[[#This Row],[_LeafFcstStart]],WorkWeek,Holidays),0)</f>
        <v>0</v>
      </c>
      <c r="CP1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5" s="43" t="n">
        <f aca="false">IF(AND(Tasks[[#This Row],[_IsLeaf]]=1,Tasks[[#This Row],[_LeafWork]]&gt;0),Tasks[[#This Row],[_LeafWork]]/(Tasks[[#This Row],[_FinishWorkday]]-Tasks[[#This Row],[_StartWorkday]]+1),0)</f>
        <v>0</v>
      </c>
      <c r="CR135" s="43" t="n">
        <f aca="false">Tasks[[#This Row],[_WorkPerWorkday]]*(Tasks[[#This Row],[_StartWorkday]]-1)</f>
        <v>-0</v>
      </c>
      <c r="CS135" s="43" t="n">
        <f aca="false">IF(Tasks[[#This Row],[_IsLeaf]]=1,MAX(N(Tasks[[#This Row],[Duration]]),0.1),0)</f>
        <v>0</v>
      </c>
      <c r="CT135" s="43" t="n">
        <f aca="false">Tasks[[#This Row],[_WeightDur]]*Tasks[[#This Row],[_LeafProgress]]</f>
        <v>0</v>
      </c>
      <c r="CU1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5" s="43" t="str">
        <f aca="false">IF(AND(Tasks[[#This Row],[_IsLeaf]]=1,N(Tasks[[#This Row],[Duration]])=0,Tasks[[#This Row],[_LeafProgress]]&lt;1),Tasks[[#This Row],[_LeafFcstFinish]]+Tasks[[#This Row],[_Row]]/100000,"")</f>
        <v/>
      </c>
      <c r="DA1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5" s="43" t="n">
        <f aca="false">IF(NOT(Tasks[[#This Row],[_IsLeaf]]=1),0,IF(Tasks[[#This Row],[Baseline Cost]]="",Tasks[[#This Row],[_LeafCost]],N(Tasks[[#This Row],[Baseline Cost]])))</f>
        <v>0</v>
      </c>
      <c r="DC135" s="43" t="n">
        <f aca="false">Tasks[[#This Row],[_LeafBudget]]*Tasks[[#This Row],[_PlannedPct]]</f>
        <v>0</v>
      </c>
      <c r="DD135" s="43" t="n">
        <f aca="false">Tasks[[#This Row],[_LeafBudget]]*Tasks[[#This Row],[_LeafProgress]]</f>
        <v>0</v>
      </c>
      <c r="DE135" s="43" t="n">
        <f aca="false">IF(NOT(Tasks[[#This Row],[_IsLeaf]]=1),0,IF(Tasks[[#This Row],[Actual Cost]]="",Tasks[[#This Row],[_LeafCost]]*Tasks[[#This Row],[_LeafProgress]],N(Tasks[[#This Row],[Actual Cost]])))</f>
        <v>0</v>
      </c>
      <c r="DF135" s="43" t="str">
        <f aca="false">IF(Tasks[[#This Row],[Task Name]]="","",LEFT(Tasks[[#This Row],[WBS]],FIND(".",Tasks[[#This Row],[WBS]]&amp;".")-1))</f>
        <v/>
      </c>
      <c r="DG135" s="43" t="str">
        <f aca="false">IF(AND(Tasks[[#This Row],[Task Name]]&lt;&gt;"",Tasks[[#This Row],[_Level]]=1),Tasks[[#This Row],[_Row]],"")</f>
        <v/>
      </c>
      <c r="DH135" s="43" t="str">
        <f aca="false">IF(AND(Tasks[[#This Row],[_IsLeaf]]=1,N(Tasks[[#This Row],[Duration]])=0),Tasks[[#This Row],[Planned Finish]]+Tasks[[#This Row],[_Row]]/100000,"")</f>
        <v/>
      </c>
      <c r="DI1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5" s="43" t="str">
        <f aca="false">IF(Tasks[[#This Row],[_LeafCritical]],Tasks[[#This Row],[_LeafFcstStart]]+Tasks[[#This Row],[_Row]]/100000,"")</f>
        <v/>
      </c>
    </row>
    <row r="136" customFormat="false" ht="15" hidden="false" customHeight="false" outlineLevel="0" collapsed="false">
      <c r="A136" s="28" t="str">
        <f aca="false">IF(Tasks[[#This Row],[Task Name]]="","",COUNTA(Tasks[[#Headers],[Task Name]]:Tasks[[#This Row],[Task Name]])-1)</f>
        <v/>
      </c>
      <c r="B136" s="29" t="n">
        <v>131</v>
      </c>
      <c r="C1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29"/>
      <c r="E136" s="30"/>
      <c r="F136" s="29"/>
      <c r="G136" s="29"/>
      <c r="H136" s="29"/>
      <c r="I136" s="29"/>
      <c r="J136" s="29"/>
      <c r="K136" s="29"/>
      <c r="L136" s="29"/>
      <c r="M136" s="29"/>
      <c r="N136" s="53"/>
      <c r="O136" s="53"/>
      <c r="P136" s="25" t="str">
        <f aca="false">IF(Tasks[[#This Row],[Task Name]]="","",IF(N(Tasks[[#This Row],[Baseline Start]])&gt;0,Tasks[[#This Row],[Baseline Start]],Tasks[[#This Row],[_CalcStart]]))</f>
        <v/>
      </c>
      <c r="Q136" s="25" t="str">
        <f aca="false">IF(Tasks[[#This Row],[Task Name]]="","",IF(N(Tasks[[#This Row],[Baseline Finish]])&gt;0,Tasks[[#This Row],[Baseline Finish]],Tasks[[#This Row],[_CalcFinish]]))</f>
        <v/>
      </c>
      <c r="R136" s="53"/>
      <c r="S136" s="53"/>
      <c r="T1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55"/>
      <c r="AF13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30"/>
      <c r="AI136" s="55"/>
      <c r="AJ13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64"/>
      <c r="AM13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6" s="30"/>
      <c r="AP136" s="25" t="str">
        <f aca="false">IF(Tasks[[#This Row],[Task Name]]="","",Tasks[[#This Row],[Forecast Start]])</f>
        <v/>
      </c>
      <c r="AQ136" s="25" t="str">
        <f aca="false">IF(Tasks[[#This Row],[Task Name]]="","",Tasks[[#This Row],[Forecast Finish]])</f>
        <v/>
      </c>
      <c r="AR1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6" s="62" t="str">
        <f aca="false">IF(Tasks[[#This Row],[Task Name]]="","",Tasks[[#This Row],[Work]])</f>
        <v/>
      </c>
      <c r="AT136" s="63" t="str">
        <f aca="false">IF(Tasks[[#This Row],[Task Name]]="","",Tasks[[#This Row],[Cost]])</f>
        <v/>
      </c>
      <c r="AU136" s="53"/>
      <c r="AV136" s="53"/>
      <c r="AW136" s="29"/>
      <c r="AX136" s="65"/>
      <c r="AY136" s="64"/>
      <c r="AZ136" s="28" t="str">
        <f aca="false">IF(OR(Tasks[[#This Row],[Task Name]]="",Tasks[[#This Row],[Baseline Duration]]=""),"",Tasks[[#This Row],[BL Source Duration]]-N(Tasks[[#This Row],[Baseline Duration]]))</f>
        <v/>
      </c>
      <c r="BA136" s="62" t="str">
        <f aca="false">IF(OR(Tasks[[#This Row],[Task Name]]="",Tasks[[#This Row],[Baseline Work]]=""),"",Tasks[[#This Row],[Work]]-N(Tasks[[#This Row],[Baseline Work]]))</f>
        <v/>
      </c>
      <c r="BB136" s="63" t="str">
        <f aca="false">IF(OR(Tasks[[#This Row],[Task Name]]="",Tasks[[#This Row],[Baseline Cost]]=""),"",Tasks[[#This Row],[Cost]]-N(Tasks[[#This Row],[Baseline Cost]]))</f>
        <v/>
      </c>
      <c r="BC13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6" s="43" t="str">
        <f aca="false">IF(Tasks[[#This Row],[Task Name]]="","",MAX(1,N(Tasks[[#This Row],[Level]])))</f>
        <v/>
      </c>
      <c r="BH136" s="43" t="n">
        <f aca="false">ROW()-ROW(Tasks[[#Headers],[ID]])</f>
        <v>131</v>
      </c>
      <c r="BI1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6" s="43" t="n">
        <f aca="false">IFERROR(N(INDEX(Tasks[_Level],Tasks[[#This Row],[_Row]]+1)),0)</f>
        <v>0</v>
      </c>
      <c r="BK136" s="66" t="b">
        <f aca="false">AND(Tasks[[#This Row],[Task Name]]&lt;&gt;"",Tasks[[#This Row],[_NextLevel]]&gt;Tasks[[#This Row],[_Level]])</f>
        <v>0</v>
      </c>
      <c r="BL136" s="43" t="n">
        <f aca="false">IF(Tasks[[#This Row],[_IsSummary]],COUNTIF(Tasks[WBS],Tasks[[#This Row],[WBS]]&amp;".*"),0)</f>
        <v>0</v>
      </c>
      <c r="BM136" s="43" t="n">
        <f aca="false">IF(AND(Tasks[[#This Row],[Task Name]]&lt;&gt;"",NOT(Tasks[[#This Row],[_IsSummary]])),1,0)</f>
        <v>0</v>
      </c>
      <c r="BN136" s="43" t="n">
        <f aca="false">IF(N(Tasks[[#This Row],[Pred1 UID]])=0,0,IFERROR(MATCH(Tasks[[#This Row],[Pred1 UID]],Tasks[UID],0),-1))</f>
        <v>0</v>
      </c>
      <c r="BO136" s="43" t="n">
        <f aca="false">IF(N(Tasks[[#This Row],[Pred2 UID]])=0,0,IFERROR(MATCH(Tasks[[#This Row],[Pred2 UID]],Tasks[UID],0),-1))</f>
        <v>0</v>
      </c>
      <c r="BP13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6" s="43" t="n">
        <f aca="false">IF(NOT(Tasks[[#This Row],[_IsLeaf]]=1),0,IF(N(Tasks[[#This Row],[Actual Finish]])&gt;0,1,MIN(1,N(Tasks[[#This Row],[% Complete]]))))</f>
        <v>0</v>
      </c>
      <c r="BU1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6" s="43" t="n">
        <f aca="false">IF(Tasks[[#This Row],[_LeafWork]]=0,0,Tasks[[#This Row],[_LeafWork]]*IFERROR(INDEX(res_Rate,MATCH(Tasks[[#This Row],[Resource]],res_Name,0)),0))</f>
        <v>0</v>
      </c>
      <c r="BW1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6" s="43" t="n">
        <f aca="false">IF(NOT(Tasks[[#This Row],[_IsLeaf]]=1),0,MAX(_xlfn.MAXIFS(Tasks[_Row],Tasks[Pred1 UID],Tasks[[#This Row],[UID]]),_xlfn.MAXIFS(Tasks[_Row],Tasks[Pred2 UID],Tasks[[#This Row],[UID]])))</f>
        <v>0</v>
      </c>
      <c r="CB13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6" s="67" t="str">
        <f aca="false">IF(NOT(Tasks[[#This Row],[_IsLeaf]]=1),"",MIN(ProjectFinish,IF(N(Tasks[[#This Row],[Deadline]])&gt;0,Tasks[[#This Row],[Deadline]],2958465),Tasks[[#This Row],[_SuccessorFinishLimit]]))</f>
        <v/>
      </c>
      <c r="CD13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6" s="66" t="b">
        <f aca="false">AND(Tasks[[#This Row],[_IsLeaf]]=1,Tasks[[#This Row],[_LeafProgress]]&lt;1,N(Tasks[[#This Row],[_LeafTotalSlack]])&lt;=CriticalSlackDays)</f>
        <v>0</v>
      </c>
      <c r="CG13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6" s="43" t="n">
        <f aca="false">IF(AND(Tasks[[#This Row],[_IsLeaf]]=1,Tasks[[#This Row],[_LeafWork]]&gt;0),NETWORKDAYS.INTL(ProjectStart,Tasks[[#This Row],[_LeafFcstStart]],WorkWeek,Holidays),0)</f>
        <v>0</v>
      </c>
      <c r="CP1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6" s="43" t="n">
        <f aca="false">IF(AND(Tasks[[#This Row],[_IsLeaf]]=1,Tasks[[#This Row],[_LeafWork]]&gt;0),Tasks[[#This Row],[_LeafWork]]/(Tasks[[#This Row],[_FinishWorkday]]-Tasks[[#This Row],[_StartWorkday]]+1),0)</f>
        <v>0</v>
      </c>
      <c r="CR136" s="43" t="n">
        <f aca="false">Tasks[[#This Row],[_WorkPerWorkday]]*(Tasks[[#This Row],[_StartWorkday]]-1)</f>
        <v>-0</v>
      </c>
      <c r="CS136" s="43" t="n">
        <f aca="false">IF(Tasks[[#This Row],[_IsLeaf]]=1,MAX(N(Tasks[[#This Row],[Duration]]),0.1),0)</f>
        <v>0</v>
      </c>
      <c r="CT136" s="43" t="n">
        <f aca="false">Tasks[[#This Row],[_WeightDur]]*Tasks[[#This Row],[_LeafProgress]]</f>
        <v>0</v>
      </c>
      <c r="CU1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6" s="43" t="str">
        <f aca="false">IF(AND(Tasks[[#This Row],[_IsLeaf]]=1,N(Tasks[[#This Row],[Duration]])=0,Tasks[[#This Row],[_LeafProgress]]&lt;1),Tasks[[#This Row],[_LeafFcstFinish]]+Tasks[[#This Row],[_Row]]/100000,"")</f>
        <v/>
      </c>
      <c r="DA1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6" s="43" t="n">
        <f aca="false">IF(NOT(Tasks[[#This Row],[_IsLeaf]]=1),0,IF(Tasks[[#This Row],[Baseline Cost]]="",Tasks[[#This Row],[_LeafCost]],N(Tasks[[#This Row],[Baseline Cost]])))</f>
        <v>0</v>
      </c>
      <c r="DC136" s="43" t="n">
        <f aca="false">Tasks[[#This Row],[_LeafBudget]]*Tasks[[#This Row],[_PlannedPct]]</f>
        <v>0</v>
      </c>
      <c r="DD136" s="43" t="n">
        <f aca="false">Tasks[[#This Row],[_LeafBudget]]*Tasks[[#This Row],[_LeafProgress]]</f>
        <v>0</v>
      </c>
      <c r="DE136" s="43" t="n">
        <f aca="false">IF(NOT(Tasks[[#This Row],[_IsLeaf]]=1),0,IF(Tasks[[#This Row],[Actual Cost]]="",Tasks[[#This Row],[_LeafCost]]*Tasks[[#This Row],[_LeafProgress]],N(Tasks[[#This Row],[Actual Cost]])))</f>
        <v>0</v>
      </c>
      <c r="DF136" s="43" t="str">
        <f aca="false">IF(Tasks[[#This Row],[Task Name]]="","",LEFT(Tasks[[#This Row],[WBS]],FIND(".",Tasks[[#This Row],[WBS]]&amp;".")-1))</f>
        <v/>
      </c>
      <c r="DG136" s="43" t="str">
        <f aca="false">IF(AND(Tasks[[#This Row],[Task Name]]&lt;&gt;"",Tasks[[#This Row],[_Level]]=1),Tasks[[#This Row],[_Row]],"")</f>
        <v/>
      </c>
      <c r="DH136" s="43" t="str">
        <f aca="false">IF(AND(Tasks[[#This Row],[_IsLeaf]]=1,N(Tasks[[#This Row],[Duration]])=0),Tasks[[#This Row],[Planned Finish]]+Tasks[[#This Row],[_Row]]/100000,"")</f>
        <v/>
      </c>
      <c r="DI1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6" s="43" t="str">
        <f aca="false">IF(Tasks[[#This Row],[_LeafCritical]],Tasks[[#This Row],[_LeafFcstStart]]+Tasks[[#This Row],[_Row]]/100000,"")</f>
        <v/>
      </c>
    </row>
    <row r="137" customFormat="false" ht="15" hidden="false" customHeight="false" outlineLevel="0" collapsed="false">
      <c r="A137" s="28" t="str">
        <f aca="false">IF(Tasks[[#This Row],[Task Name]]="","",COUNTA(Tasks[[#Headers],[Task Name]]:Tasks[[#This Row],[Task Name]])-1)</f>
        <v/>
      </c>
      <c r="B137" s="29" t="n">
        <v>132</v>
      </c>
      <c r="C1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29"/>
      <c r="E137" s="30"/>
      <c r="F137" s="29"/>
      <c r="G137" s="29"/>
      <c r="H137" s="29"/>
      <c r="I137" s="29"/>
      <c r="J137" s="29"/>
      <c r="K137" s="29"/>
      <c r="L137" s="29"/>
      <c r="M137" s="29"/>
      <c r="N137" s="53"/>
      <c r="O137" s="53"/>
      <c r="P137" s="25" t="str">
        <f aca="false">IF(Tasks[[#This Row],[Task Name]]="","",IF(N(Tasks[[#This Row],[Baseline Start]])&gt;0,Tasks[[#This Row],[Baseline Start]],Tasks[[#This Row],[_CalcStart]]))</f>
        <v/>
      </c>
      <c r="Q137" s="25" t="str">
        <f aca="false">IF(Tasks[[#This Row],[Task Name]]="","",IF(N(Tasks[[#This Row],[Baseline Finish]])&gt;0,Tasks[[#This Row],[Baseline Finish]],Tasks[[#This Row],[_CalcFinish]]))</f>
        <v/>
      </c>
      <c r="R137" s="53"/>
      <c r="S137" s="53"/>
      <c r="T1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55"/>
      <c r="AF13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30"/>
      <c r="AI137" s="55"/>
      <c r="AJ13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64"/>
      <c r="AM13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7" s="30"/>
      <c r="AP137" s="25" t="str">
        <f aca="false">IF(Tasks[[#This Row],[Task Name]]="","",Tasks[[#This Row],[Forecast Start]])</f>
        <v/>
      </c>
      <c r="AQ137" s="25" t="str">
        <f aca="false">IF(Tasks[[#This Row],[Task Name]]="","",Tasks[[#This Row],[Forecast Finish]])</f>
        <v/>
      </c>
      <c r="AR1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7" s="62" t="str">
        <f aca="false">IF(Tasks[[#This Row],[Task Name]]="","",Tasks[[#This Row],[Work]])</f>
        <v/>
      </c>
      <c r="AT137" s="63" t="str">
        <f aca="false">IF(Tasks[[#This Row],[Task Name]]="","",Tasks[[#This Row],[Cost]])</f>
        <v/>
      </c>
      <c r="AU137" s="53"/>
      <c r="AV137" s="53"/>
      <c r="AW137" s="29"/>
      <c r="AX137" s="65"/>
      <c r="AY137" s="64"/>
      <c r="AZ137" s="28" t="str">
        <f aca="false">IF(OR(Tasks[[#This Row],[Task Name]]="",Tasks[[#This Row],[Baseline Duration]]=""),"",Tasks[[#This Row],[BL Source Duration]]-N(Tasks[[#This Row],[Baseline Duration]]))</f>
        <v/>
      </c>
      <c r="BA137" s="62" t="str">
        <f aca="false">IF(OR(Tasks[[#This Row],[Task Name]]="",Tasks[[#This Row],[Baseline Work]]=""),"",Tasks[[#This Row],[Work]]-N(Tasks[[#This Row],[Baseline Work]]))</f>
        <v/>
      </c>
      <c r="BB137" s="63" t="str">
        <f aca="false">IF(OR(Tasks[[#This Row],[Task Name]]="",Tasks[[#This Row],[Baseline Cost]]=""),"",Tasks[[#This Row],[Cost]]-N(Tasks[[#This Row],[Baseline Cost]]))</f>
        <v/>
      </c>
      <c r="BC13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7" s="43" t="str">
        <f aca="false">IF(Tasks[[#This Row],[Task Name]]="","",MAX(1,N(Tasks[[#This Row],[Level]])))</f>
        <v/>
      </c>
      <c r="BH137" s="43" t="n">
        <f aca="false">ROW()-ROW(Tasks[[#Headers],[ID]])</f>
        <v>132</v>
      </c>
      <c r="BI1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7" s="43" t="n">
        <f aca="false">IFERROR(N(INDEX(Tasks[_Level],Tasks[[#This Row],[_Row]]+1)),0)</f>
        <v>0</v>
      </c>
      <c r="BK137" s="66" t="b">
        <f aca="false">AND(Tasks[[#This Row],[Task Name]]&lt;&gt;"",Tasks[[#This Row],[_NextLevel]]&gt;Tasks[[#This Row],[_Level]])</f>
        <v>0</v>
      </c>
      <c r="BL137" s="43" t="n">
        <f aca="false">IF(Tasks[[#This Row],[_IsSummary]],COUNTIF(Tasks[WBS],Tasks[[#This Row],[WBS]]&amp;".*"),0)</f>
        <v>0</v>
      </c>
      <c r="BM137" s="43" t="n">
        <f aca="false">IF(AND(Tasks[[#This Row],[Task Name]]&lt;&gt;"",NOT(Tasks[[#This Row],[_IsSummary]])),1,0)</f>
        <v>0</v>
      </c>
      <c r="BN137" s="43" t="n">
        <f aca="false">IF(N(Tasks[[#This Row],[Pred1 UID]])=0,0,IFERROR(MATCH(Tasks[[#This Row],[Pred1 UID]],Tasks[UID],0),-1))</f>
        <v>0</v>
      </c>
      <c r="BO137" s="43" t="n">
        <f aca="false">IF(N(Tasks[[#This Row],[Pred2 UID]])=0,0,IFERROR(MATCH(Tasks[[#This Row],[Pred2 UID]],Tasks[UID],0),-1))</f>
        <v>0</v>
      </c>
      <c r="BP13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7" s="43" t="n">
        <f aca="false">IF(NOT(Tasks[[#This Row],[_IsLeaf]]=1),0,IF(N(Tasks[[#This Row],[Actual Finish]])&gt;0,1,MIN(1,N(Tasks[[#This Row],[% Complete]]))))</f>
        <v>0</v>
      </c>
      <c r="BU1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7" s="43" t="n">
        <f aca="false">IF(Tasks[[#This Row],[_LeafWork]]=0,0,Tasks[[#This Row],[_LeafWork]]*IFERROR(INDEX(res_Rate,MATCH(Tasks[[#This Row],[Resource]],res_Name,0)),0))</f>
        <v>0</v>
      </c>
      <c r="BW1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7" s="43" t="n">
        <f aca="false">IF(NOT(Tasks[[#This Row],[_IsLeaf]]=1),0,MAX(_xlfn.MAXIFS(Tasks[_Row],Tasks[Pred1 UID],Tasks[[#This Row],[UID]]),_xlfn.MAXIFS(Tasks[_Row],Tasks[Pred2 UID],Tasks[[#This Row],[UID]])))</f>
        <v>0</v>
      </c>
      <c r="CB13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7" s="67" t="str">
        <f aca="false">IF(NOT(Tasks[[#This Row],[_IsLeaf]]=1),"",MIN(ProjectFinish,IF(N(Tasks[[#This Row],[Deadline]])&gt;0,Tasks[[#This Row],[Deadline]],2958465),Tasks[[#This Row],[_SuccessorFinishLimit]]))</f>
        <v/>
      </c>
      <c r="CD13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7" s="66" t="b">
        <f aca="false">AND(Tasks[[#This Row],[_IsLeaf]]=1,Tasks[[#This Row],[_LeafProgress]]&lt;1,N(Tasks[[#This Row],[_LeafTotalSlack]])&lt;=CriticalSlackDays)</f>
        <v>0</v>
      </c>
      <c r="CG13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7" s="43" t="n">
        <f aca="false">IF(AND(Tasks[[#This Row],[_IsLeaf]]=1,Tasks[[#This Row],[_LeafWork]]&gt;0),NETWORKDAYS.INTL(ProjectStart,Tasks[[#This Row],[_LeafFcstStart]],WorkWeek,Holidays),0)</f>
        <v>0</v>
      </c>
      <c r="CP1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7" s="43" t="n">
        <f aca="false">IF(AND(Tasks[[#This Row],[_IsLeaf]]=1,Tasks[[#This Row],[_LeafWork]]&gt;0),Tasks[[#This Row],[_LeafWork]]/(Tasks[[#This Row],[_FinishWorkday]]-Tasks[[#This Row],[_StartWorkday]]+1),0)</f>
        <v>0</v>
      </c>
      <c r="CR137" s="43" t="n">
        <f aca="false">Tasks[[#This Row],[_WorkPerWorkday]]*(Tasks[[#This Row],[_StartWorkday]]-1)</f>
        <v>-0</v>
      </c>
      <c r="CS137" s="43" t="n">
        <f aca="false">IF(Tasks[[#This Row],[_IsLeaf]]=1,MAX(N(Tasks[[#This Row],[Duration]]),0.1),0)</f>
        <v>0</v>
      </c>
      <c r="CT137" s="43" t="n">
        <f aca="false">Tasks[[#This Row],[_WeightDur]]*Tasks[[#This Row],[_LeafProgress]]</f>
        <v>0</v>
      </c>
      <c r="CU1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7" s="43" t="str">
        <f aca="false">IF(AND(Tasks[[#This Row],[_IsLeaf]]=1,N(Tasks[[#This Row],[Duration]])=0,Tasks[[#This Row],[_LeafProgress]]&lt;1),Tasks[[#This Row],[_LeafFcstFinish]]+Tasks[[#This Row],[_Row]]/100000,"")</f>
        <v/>
      </c>
      <c r="DA1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7" s="43" t="n">
        <f aca="false">IF(NOT(Tasks[[#This Row],[_IsLeaf]]=1),0,IF(Tasks[[#This Row],[Baseline Cost]]="",Tasks[[#This Row],[_LeafCost]],N(Tasks[[#This Row],[Baseline Cost]])))</f>
        <v>0</v>
      </c>
      <c r="DC137" s="43" t="n">
        <f aca="false">Tasks[[#This Row],[_LeafBudget]]*Tasks[[#This Row],[_PlannedPct]]</f>
        <v>0</v>
      </c>
      <c r="DD137" s="43" t="n">
        <f aca="false">Tasks[[#This Row],[_LeafBudget]]*Tasks[[#This Row],[_LeafProgress]]</f>
        <v>0</v>
      </c>
      <c r="DE137" s="43" t="n">
        <f aca="false">IF(NOT(Tasks[[#This Row],[_IsLeaf]]=1),0,IF(Tasks[[#This Row],[Actual Cost]]="",Tasks[[#This Row],[_LeafCost]]*Tasks[[#This Row],[_LeafProgress]],N(Tasks[[#This Row],[Actual Cost]])))</f>
        <v>0</v>
      </c>
      <c r="DF137" s="43" t="str">
        <f aca="false">IF(Tasks[[#This Row],[Task Name]]="","",LEFT(Tasks[[#This Row],[WBS]],FIND(".",Tasks[[#This Row],[WBS]]&amp;".")-1))</f>
        <v/>
      </c>
      <c r="DG137" s="43" t="str">
        <f aca="false">IF(AND(Tasks[[#This Row],[Task Name]]&lt;&gt;"",Tasks[[#This Row],[_Level]]=1),Tasks[[#This Row],[_Row]],"")</f>
        <v/>
      </c>
      <c r="DH137" s="43" t="str">
        <f aca="false">IF(AND(Tasks[[#This Row],[_IsLeaf]]=1,N(Tasks[[#This Row],[Duration]])=0),Tasks[[#This Row],[Planned Finish]]+Tasks[[#This Row],[_Row]]/100000,"")</f>
        <v/>
      </c>
      <c r="DI1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7" s="43" t="str">
        <f aca="false">IF(Tasks[[#This Row],[_LeafCritical]],Tasks[[#This Row],[_LeafFcstStart]]+Tasks[[#This Row],[_Row]]/100000,"")</f>
        <v/>
      </c>
    </row>
    <row r="138" customFormat="false" ht="15" hidden="false" customHeight="false" outlineLevel="0" collapsed="false">
      <c r="A138" s="28" t="str">
        <f aca="false">IF(Tasks[[#This Row],[Task Name]]="","",COUNTA(Tasks[[#Headers],[Task Name]]:Tasks[[#This Row],[Task Name]])-1)</f>
        <v/>
      </c>
      <c r="B138" s="29" t="n">
        <v>133</v>
      </c>
      <c r="C1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29"/>
      <c r="E138" s="30"/>
      <c r="F138" s="29"/>
      <c r="G138" s="29"/>
      <c r="H138" s="29"/>
      <c r="I138" s="29"/>
      <c r="J138" s="29"/>
      <c r="K138" s="29"/>
      <c r="L138" s="29"/>
      <c r="M138" s="29"/>
      <c r="N138" s="53"/>
      <c r="O138" s="53"/>
      <c r="P138" s="25" t="str">
        <f aca="false">IF(Tasks[[#This Row],[Task Name]]="","",IF(N(Tasks[[#This Row],[Baseline Start]])&gt;0,Tasks[[#This Row],[Baseline Start]],Tasks[[#This Row],[_CalcStart]]))</f>
        <v/>
      </c>
      <c r="Q138" s="25" t="str">
        <f aca="false">IF(Tasks[[#This Row],[Task Name]]="","",IF(N(Tasks[[#This Row],[Baseline Finish]])&gt;0,Tasks[[#This Row],[Baseline Finish]],Tasks[[#This Row],[_CalcFinish]]))</f>
        <v/>
      </c>
      <c r="R138" s="53"/>
      <c r="S138" s="53"/>
      <c r="T1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55"/>
      <c r="AF13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30"/>
      <c r="AI138" s="55"/>
      <c r="AJ13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64"/>
      <c r="AM13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8" s="30"/>
      <c r="AP138" s="25" t="str">
        <f aca="false">IF(Tasks[[#This Row],[Task Name]]="","",Tasks[[#This Row],[Forecast Start]])</f>
        <v/>
      </c>
      <c r="AQ138" s="25" t="str">
        <f aca="false">IF(Tasks[[#This Row],[Task Name]]="","",Tasks[[#This Row],[Forecast Finish]])</f>
        <v/>
      </c>
      <c r="AR1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8" s="62" t="str">
        <f aca="false">IF(Tasks[[#This Row],[Task Name]]="","",Tasks[[#This Row],[Work]])</f>
        <v/>
      </c>
      <c r="AT138" s="63" t="str">
        <f aca="false">IF(Tasks[[#This Row],[Task Name]]="","",Tasks[[#This Row],[Cost]])</f>
        <v/>
      </c>
      <c r="AU138" s="53"/>
      <c r="AV138" s="53"/>
      <c r="AW138" s="29"/>
      <c r="AX138" s="65"/>
      <c r="AY138" s="64"/>
      <c r="AZ138" s="28" t="str">
        <f aca="false">IF(OR(Tasks[[#This Row],[Task Name]]="",Tasks[[#This Row],[Baseline Duration]]=""),"",Tasks[[#This Row],[BL Source Duration]]-N(Tasks[[#This Row],[Baseline Duration]]))</f>
        <v/>
      </c>
      <c r="BA138" s="62" t="str">
        <f aca="false">IF(OR(Tasks[[#This Row],[Task Name]]="",Tasks[[#This Row],[Baseline Work]]=""),"",Tasks[[#This Row],[Work]]-N(Tasks[[#This Row],[Baseline Work]]))</f>
        <v/>
      </c>
      <c r="BB138" s="63" t="str">
        <f aca="false">IF(OR(Tasks[[#This Row],[Task Name]]="",Tasks[[#This Row],[Baseline Cost]]=""),"",Tasks[[#This Row],[Cost]]-N(Tasks[[#This Row],[Baseline Cost]]))</f>
        <v/>
      </c>
      <c r="BC13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8" s="43" t="str">
        <f aca="false">IF(Tasks[[#This Row],[Task Name]]="","",MAX(1,N(Tasks[[#This Row],[Level]])))</f>
        <v/>
      </c>
      <c r="BH138" s="43" t="n">
        <f aca="false">ROW()-ROW(Tasks[[#Headers],[ID]])</f>
        <v>133</v>
      </c>
      <c r="BI1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8" s="43" t="n">
        <f aca="false">IFERROR(N(INDEX(Tasks[_Level],Tasks[[#This Row],[_Row]]+1)),0)</f>
        <v>0</v>
      </c>
      <c r="BK138" s="66" t="b">
        <f aca="false">AND(Tasks[[#This Row],[Task Name]]&lt;&gt;"",Tasks[[#This Row],[_NextLevel]]&gt;Tasks[[#This Row],[_Level]])</f>
        <v>0</v>
      </c>
      <c r="BL138" s="43" t="n">
        <f aca="false">IF(Tasks[[#This Row],[_IsSummary]],COUNTIF(Tasks[WBS],Tasks[[#This Row],[WBS]]&amp;".*"),0)</f>
        <v>0</v>
      </c>
      <c r="BM138" s="43" t="n">
        <f aca="false">IF(AND(Tasks[[#This Row],[Task Name]]&lt;&gt;"",NOT(Tasks[[#This Row],[_IsSummary]])),1,0)</f>
        <v>0</v>
      </c>
      <c r="BN138" s="43" t="n">
        <f aca="false">IF(N(Tasks[[#This Row],[Pred1 UID]])=0,0,IFERROR(MATCH(Tasks[[#This Row],[Pred1 UID]],Tasks[UID],0),-1))</f>
        <v>0</v>
      </c>
      <c r="BO138" s="43" t="n">
        <f aca="false">IF(N(Tasks[[#This Row],[Pred2 UID]])=0,0,IFERROR(MATCH(Tasks[[#This Row],[Pred2 UID]],Tasks[UID],0),-1))</f>
        <v>0</v>
      </c>
      <c r="BP13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8" s="43" t="n">
        <f aca="false">IF(NOT(Tasks[[#This Row],[_IsLeaf]]=1),0,IF(N(Tasks[[#This Row],[Actual Finish]])&gt;0,1,MIN(1,N(Tasks[[#This Row],[% Complete]]))))</f>
        <v>0</v>
      </c>
      <c r="BU1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8" s="43" t="n">
        <f aca="false">IF(Tasks[[#This Row],[_LeafWork]]=0,0,Tasks[[#This Row],[_LeafWork]]*IFERROR(INDEX(res_Rate,MATCH(Tasks[[#This Row],[Resource]],res_Name,0)),0))</f>
        <v>0</v>
      </c>
      <c r="BW1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8" s="43" t="n">
        <f aca="false">IF(NOT(Tasks[[#This Row],[_IsLeaf]]=1),0,MAX(_xlfn.MAXIFS(Tasks[_Row],Tasks[Pred1 UID],Tasks[[#This Row],[UID]]),_xlfn.MAXIFS(Tasks[_Row],Tasks[Pred2 UID],Tasks[[#This Row],[UID]])))</f>
        <v>0</v>
      </c>
      <c r="CB13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8" s="67" t="str">
        <f aca="false">IF(NOT(Tasks[[#This Row],[_IsLeaf]]=1),"",MIN(ProjectFinish,IF(N(Tasks[[#This Row],[Deadline]])&gt;0,Tasks[[#This Row],[Deadline]],2958465),Tasks[[#This Row],[_SuccessorFinishLimit]]))</f>
        <v/>
      </c>
      <c r="CD13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8" s="66" t="b">
        <f aca="false">AND(Tasks[[#This Row],[_IsLeaf]]=1,Tasks[[#This Row],[_LeafProgress]]&lt;1,N(Tasks[[#This Row],[_LeafTotalSlack]])&lt;=CriticalSlackDays)</f>
        <v>0</v>
      </c>
      <c r="CG13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8" s="43" t="n">
        <f aca="false">IF(AND(Tasks[[#This Row],[_IsLeaf]]=1,Tasks[[#This Row],[_LeafWork]]&gt;0),NETWORKDAYS.INTL(ProjectStart,Tasks[[#This Row],[_LeafFcstStart]],WorkWeek,Holidays),0)</f>
        <v>0</v>
      </c>
      <c r="CP1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8" s="43" t="n">
        <f aca="false">IF(AND(Tasks[[#This Row],[_IsLeaf]]=1,Tasks[[#This Row],[_LeafWork]]&gt;0),Tasks[[#This Row],[_LeafWork]]/(Tasks[[#This Row],[_FinishWorkday]]-Tasks[[#This Row],[_StartWorkday]]+1),0)</f>
        <v>0</v>
      </c>
      <c r="CR138" s="43" t="n">
        <f aca="false">Tasks[[#This Row],[_WorkPerWorkday]]*(Tasks[[#This Row],[_StartWorkday]]-1)</f>
        <v>-0</v>
      </c>
      <c r="CS138" s="43" t="n">
        <f aca="false">IF(Tasks[[#This Row],[_IsLeaf]]=1,MAX(N(Tasks[[#This Row],[Duration]]),0.1),0)</f>
        <v>0</v>
      </c>
      <c r="CT138" s="43" t="n">
        <f aca="false">Tasks[[#This Row],[_WeightDur]]*Tasks[[#This Row],[_LeafProgress]]</f>
        <v>0</v>
      </c>
      <c r="CU1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8" s="43" t="str">
        <f aca="false">IF(AND(Tasks[[#This Row],[_IsLeaf]]=1,N(Tasks[[#This Row],[Duration]])=0,Tasks[[#This Row],[_LeafProgress]]&lt;1),Tasks[[#This Row],[_LeafFcstFinish]]+Tasks[[#This Row],[_Row]]/100000,"")</f>
        <v/>
      </c>
      <c r="DA1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8" s="43" t="n">
        <f aca="false">IF(NOT(Tasks[[#This Row],[_IsLeaf]]=1),0,IF(Tasks[[#This Row],[Baseline Cost]]="",Tasks[[#This Row],[_LeafCost]],N(Tasks[[#This Row],[Baseline Cost]])))</f>
        <v>0</v>
      </c>
      <c r="DC138" s="43" t="n">
        <f aca="false">Tasks[[#This Row],[_LeafBudget]]*Tasks[[#This Row],[_PlannedPct]]</f>
        <v>0</v>
      </c>
      <c r="DD138" s="43" t="n">
        <f aca="false">Tasks[[#This Row],[_LeafBudget]]*Tasks[[#This Row],[_LeafProgress]]</f>
        <v>0</v>
      </c>
      <c r="DE138" s="43" t="n">
        <f aca="false">IF(NOT(Tasks[[#This Row],[_IsLeaf]]=1),0,IF(Tasks[[#This Row],[Actual Cost]]="",Tasks[[#This Row],[_LeafCost]]*Tasks[[#This Row],[_LeafProgress]],N(Tasks[[#This Row],[Actual Cost]])))</f>
        <v>0</v>
      </c>
      <c r="DF138" s="43" t="str">
        <f aca="false">IF(Tasks[[#This Row],[Task Name]]="","",LEFT(Tasks[[#This Row],[WBS]],FIND(".",Tasks[[#This Row],[WBS]]&amp;".")-1))</f>
        <v/>
      </c>
      <c r="DG138" s="43" t="str">
        <f aca="false">IF(AND(Tasks[[#This Row],[Task Name]]&lt;&gt;"",Tasks[[#This Row],[_Level]]=1),Tasks[[#This Row],[_Row]],"")</f>
        <v/>
      </c>
      <c r="DH138" s="43" t="str">
        <f aca="false">IF(AND(Tasks[[#This Row],[_IsLeaf]]=1,N(Tasks[[#This Row],[Duration]])=0),Tasks[[#This Row],[Planned Finish]]+Tasks[[#This Row],[_Row]]/100000,"")</f>
        <v/>
      </c>
      <c r="DI1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8" s="43" t="str">
        <f aca="false">IF(Tasks[[#This Row],[_LeafCritical]],Tasks[[#This Row],[_LeafFcstStart]]+Tasks[[#This Row],[_Row]]/100000,"")</f>
        <v/>
      </c>
    </row>
    <row r="139" customFormat="false" ht="15" hidden="false" customHeight="false" outlineLevel="0" collapsed="false">
      <c r="A139" s="28" t="str">
        <f aca="false">IF(Tasks[[#This Row],[Task Name]]="","",COUNTA(Tasks[[#Headers],[Task Name]]:Tasks[[#This Row],[Task Name]])-1)</f>
        <v/>
      </c>
      <c r="B139" s="29" t="n">
        <v>134</v>
      </c>
      <c r="C1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29"/>
      <c r="E139" s="30"/>
      <c r="F139" s="29"/>
      <c r="G139" s="29"/>
      <c r="H139" s="29"/>
      <c r="I139" s="29"/>
      <c r="J139" s="29"/>
      <c r="K139" s="29"/>
      <c r="L139" s="29"/>
      <c r="M139" s="29"/>
      <c r="N139" s="53"/>
      <c r="O139" s="53"/>
      <c r="P139" s="25" t="str">
        <f aca="false">IF(Tasks[[#This Row],[Task Name]]="","",IF(N(Tasks[[#This Row],[Baseline Start]])&gt;0,Tasks[[#This Row],[Baseline Start]],Tasks[[#This Row],[_CalcStart]]))</f>
        <v/>
      </c>
      <c r="Q139" s="25" t="str">
        <f aca="false">IF(Tasks[[#This Row],[Task Name]]="","",IF(N(Tasks[[#This Row],[Baseline Finish]])&gt;0,Tasks[[#This Row],[Baseline Finish]],Tasks[[#This Row],[_CalcFinish]]))</f>
        <v/>
      </c>
      <c r="R139" s="53"/>
      <c r="S139" s="53"/>
      <c r="T1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55"/>
      <c r="AF13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30"/>
      <c r="AI139" s="55"/>
      <c r="AJ13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64"/>
      <c r="AM13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39" s="30"/>
      <c r="AP139" s="25" t="str">
        <f aca="false">IF(Tasks[[#This Row],[Task Name]]="","",Tasks[[#This Row],[Forecast Start]])</f>
        <v/>
      </c>
      <c r="AQ139" s="25" t="str">
        <f aca="false">IF(Tasks[[#This Row],[Task Name]]="","",Tasks[[#This Row],[Forecast Finish]])</f>
        <v/>
      </c>
      <c r="AR1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39" s="62" t="str">
        <f aca="false">IF(Tasks[[#This Row],[Task Name]]="","",Tasks[[#This Row],[Work]])</f>
        <v/>
      </c>
      <c r="AT139" s="63" t="str">
        <f aca="false">IF(Tasks[[#This Row],[Task Name]]="","",Tasks[[#This Row],[Cost]])</f>
        <v/>
      </c>
      <c r="AU139" s="53"/>
      <c r="AV139" s="53"/>
      <c r="AW139" s="29"/>
      <c r="AX139" s="65"/>
      <c r="AY139" s="64"/>
      <c r="AZ139" s="28" t="str">
        <f aca="false">IF(OR(Tasks[[#This Row],[Task Name]]="",Tasks[[#This Row],[Baseline Duration]]=""),"",Tasks[[#This Row],[BL Source Duration]]-N(Tasks[[#This Row],[Baseline Duration]]))</f>
        <v/>
      </c>
      <c r="BA139" s="62" t="str">
        <f aca="false">IF(OR(Tasks[[#This Row],[Task Name]]="",Tasks[[#This Row],[Baseline Work]]=""),"",Tasks[[#This Row],[Work]]-N(Tasks[[#This Row],[Baseline Work]]))</f>
        <v/>
      </c>
      <c r="BB139" s="63" t="str">
        <f aca="false">IF(OR(Tasks[[#This Row],[Task Name]]="",Tasks[[#This Row],[Baseline Cost]]=""),"",Tasks[[#This Row],[Cost]]-N(Tasks[[#This Row],[Baseline Cost]]))</f>
        <v/>
      </c>
      <c r="BC13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3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3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3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39" s="43" t="str">
        <f aca="false">IF(Tasks[[#This Row],[Task Name]]="","",MAX(1,N(Tasks[[#This Row],[Level]])))</f>
        <v/>
      </c>
      <c r="BH139" s="43" t="n">
        <f aca="false">ROW()-ROW(Tasks[[#Headers],[ID]])</f>
        <v>134</v>
      </c>
      <c r="BI1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39" s="43" t="n">
        <f aca="false">IFERROR(N(INDEX(Tasks[_Level],Tasks[[#This Row],[_Row]]+1)),0)</f>
        <v>0</v>
      </c>
      <c r="BK139" s="66" t="b">
        <f aca="false">AND(Tasks[[#This Row],[Task Name]]&lt;&gt;"",Tasks[[#This Row],[_NextLevel]]&gt;Tasks[[#This Row],[_Level]])</f>
        <v>0</v>
      </c>
      <c r="BL139" s="43" t="n">
        <f aca="false">IF(Tasks[[#This Row],[_IsSummary]],COUNTIF(Tasks[WBS],Tasks[[#This Row],[WBS]]&amp;".*"),0)</f>
        <v>0</v>
      </c>
      <c r="BM139" s="43" t="n">
        <f aca="false">IF(AND(Tasks[[#This Row],[Task Name]]&lt;&gt;"",NOT(Tasks[[#This Row],[_IsSummary]])),1,0)</f>
        <v>0</v>
      </c>
      <c r="BN139" s="43" t="n">
        <f aca="false">IF(N(Tasks[[#This Row],[Pred1 UID]])=0,0,IFERROR(MATCH(Tasks[[#This Row],[Pred1 UID]],Tasks[UID],0),-1))</f>
        <v>0</v>
      </c>
      <c r="BO139" s="43" t="n">
        <f aca="false">IF(N(Tasks[[#This Row],[Pred2 UID]])=0,0,IFERROR(MATCH(Tasks[[#This Row],[Pred2 UID]],Tasks[UID],0),-1))</f>
        <v>0</v>
      </c>
      <c r="BP13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3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3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3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39" s="43" t="n">
        <f aca="false">IF(NOT(Tasks[[#This Row],[_IsLeaf]]=1),0,IF(N(Tasks[[#This Row],[Actual Finish]])&gt;0,1,MIN(1,N(Tasks[[#This Row],[% Complete]]))))</f>
        <v>0</v>
      </c>
      <c r="BU1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39" s="43" t="n">
        <f aca="false">IF(Tasks[[#This Row],[_LeafWork]]=0,0,Tasks[[#This Row],[_LeafWork]]*IFERROR(INDEX(res_Rate,MATCH(Tasks[[#This Row],[Resource]],res_Name,0)),0))</f>
        <v>0</v>
      </c>
      <c r="BW1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39" s="43" t="n">
        <f aca="false">IF(NOT(Tasks[[#This Row],[_IsLeaf]]=1),0,MAX(_xlfn.MAXIFS(Tasks[_Row],Tasks[Pred1 UID],Tasks[[#This Row],[UID]]),_xlfn.MAXIFS(Tasks[_Row],Tasks[Pred2 UID],Tasks[[#This Row],[UID]])))</f>
        <v>0</v>
      </c>
      <c r="CB13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39" s="67" t="str">
        <f aca="false">IF(NOT(Tasks[[#This Row],[_IsLeaf]]=1),"",MIN(ProjectFinish,IF(N(Tasks[[#This Row],[Deadline]])&gt;0,Tasks[[#This Row],[Deadline]],2958465),Tasks[[#This Row],[_SuccessorFinishLimit]]))</f>
        <v/>
      </c>
      <c r="CD13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39" s="66" t="b">
        <f aca="false">AND(Tasks[[#This Row],[_IsLeaf]]=1,Tasks[[#This Row],[_LeafProgress]]&lt;1,N(Tasks[[#This Row],[_LeafTotalSlack]])&lt;=CriticalSlackDays)</f>
        <v>0</v>
      </c>
      <c r="CG13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3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3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3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3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3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39" s="43" t="n">
        <f aca="false">IF(AND(Tasks[[#This Row],[_IsLeaf]]=1,Tasks[[#This Row],[_LeafWork]]&gt;0),NETWORKDAYS.INTL(ProjectStart,Tasks[[#This Row],[_LeafFcstStart]],WorkWeek,Holidays),0)</f>
        <v>0</v>
      </c>
      <c r="CP1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39" s="43" t="n">
        <f aca="false">IF(AND(Tasks[[#This Row],[_IsLeaf]]=1,Tasks[[#This Row],[_LeafWork]]&gt;0),Tasks[[#This Row],[_LeafWork]]/(Tasks[[#This Row],[_FinishWorkday]]-Tasks[[#This Row],[_StartWorkday]]+1),0)</f>
        <v>0</v>
      </c>
      <c r="CR139" s="43" t="n">
        <f aca="false">Tasks[[#This Row],[_WorkPerWorkday]]*(Tasks[[#This Row],[_StartWorkday]]-1)</f>
        <v>-0</v>
      </c>
      <c r="CS139" s="43" t="n">
        <f aca="false">IF(Tasks[[#This Row],[_IsLeaf]]=1,MAX(N(Tasks[[#This Row],[Duration]]),0.1),0)</f>
        <v>0</v>
      </c>
      <c r="CT139" s="43" t="n">
        <f aca="false">Tasks[[#This Row],[_WeightDur]]*Tasks[[#This Row],[_LeafProgress]]</f>
        <v>0</v>
      </c>
      <c r="CU1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39" s="43" t="str">
        <f aca="false">IF(AND(Tasks[[#This Row],[_IsLeaf]]=1,N(Tasks[[#This Row],[Duration]])=0,Tasks[[#This Row],[_LeafProgress]]&lt;1),Tasks[[#This Row],[_LeafFcstFinish]]+Tasks[[#This Row],[_Row]]/100000,"")</f>
        <v/>
      </c>
      <c r="DA1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39" s="43" t="n">
        <f aca="false">IF(NOT(Tasks[[#This Row],[_IsLeaf]]=1),0,IF(Tasks[[#This Row],[Baseline Cost]]="",Tasks[[#This Row],[_LeafCost]],N(Tasks[[#This Row],[Baseline Cost]])))</f>
        <v>0</v>
      </c>
      <c r="DC139" s="43" t="n">
        <f aca="false">Tasks[[#This Row],[_LeafBudget]]*Tasks[[#This Row],[_PlannedPct]]</f>
        <v>0</v>
      </c>
      <c r="DD139" s="43" t="n">
        <f aca="false">Tasks[[#This Row],[_LeafBudget]]*Tasks[[#This Row],[_LeafProgress]]</f>
        <v>0</v>
      </c>
      <c r="DE139" s="43" t="n">
        <f aca="false">IF(NOT(Tasks[[#This Row],[_IsLeaf]]=1),0,IF(Tasks[[#This Row],[Actual Cost]]="",Tasks[[#This Row],[_LeafCost]]*Tasks[[#This Row],[_LeafProgress]],N(Tasks[[#This Row],[Actual Cost]])))</f>
        <v>0</v>
      </c>
      <c r="DF139" s="43" t="str">
        <f aca="false">IF(Tasks[[#This Row],[Task Name]]="","",LEFT(Tasks[[#This Row],[WBS]],FIND(".",Tasks[[#This Row],[WBS]]&amp;".")-1))</f>
        <v/>
      </c>
      <c r="DG139" s="43" t="str">
        <f aca="false">IF(AND(Tasks[[#This Row],[Task Name]]&lt;&gt;"",Tasks[[#This Row],[_Level]]=1),Tasks[[#This Row],[_Row]],"")</f>
        <v/>
      </c>
      <c r="DH139" s="43" t="str">
        <f aca="false">IF(AND(Tasks[[#This Row],[_IsLeaf]]=1,N(Tasks[[#This Row],[Duration]])=0),Tasks[[#This Row],[Planned Finish]]+Tasks[[#This Row],[_Row]]/100000,"")</f>
        <v/>
      </c>
      <c r="DI1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39" s="43" t="str">
        <f aca="false">IF(Tasks[[#This Row],[_LeafCritical]],Tasks[[#This Row],[_LeafFcstStart]]+Tasks[[#This Row],[_Row]]/100000,"")</f>
        <v/>
      </c>
    </row>
    <row r="140" customFormat="false" ht="15" hidden="false" customHeight="false" outlineLevel="0" collapsed="false">
      <c r="A140" s="28" t="str">
        <f aca="false">IF(Tasks[[#This Row],[Task Name]]="","",COUNTA(Tasks[[#Headers],[Task Name]]:Tasks[[#This Row],[Task Name]])-1)</f>
        <v/>
      </c>
      <c r="B140" s="29" t="n">
        <v>135</v>
      </c>
      <c r="C1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29"/>
      <c r="E140" s="30"/>
      <c r="F140" s="29"/>
      <c r="G140" s="29"/>
      <c r="H140" s="29"/>
      <c r="I140" s="29"/>
      <c r="J140" s="29"/>
      <c r="K140" s="29"/>
      <c r="L140" s="29"/>
      <c r="M140" s="29"/>
      <c r="N140" s="53"/>
      <c r="O140" s="53"/>
      <c r="P140" s="25" t="str">
        <f aca="false">IF(Tasks[[#This Row],[Task Name]]="","",IF(N(Tasks[[#This Row],[Baseline Start]])&gt;0,Tasks[[#This Row],[Baseline Start]],Tasks[[#This Row],[_CalcStart]]))</f>
        <v/>
      </c>
      <c r="Q140" s="25" t="str">
        <f aca="false">IF(Tasks[[#This Row],[Task Name]]="","",IF(N(Tasks[[#This Row],[Baseline Finish]])&gt;0,Tasks[[#This Row],[Baseline Finish]],Tasks[[#This Row],[_CalcFinish]]))</f>
        <v/>
      </c>
      <c r="R140" s="53"/>
      <c r="S140" s="53"/>
      <c r="T1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55"/>
      <c r="AF14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30"/>
      <c r="AI140" s="55"/>
      <c r="AJ14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64"/>
      <c r="AM14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0" s="30"/>
      <c r="AP140" s="25" t="str">
        <f aca="false">IF(Tasks[[#This Row],[Task Name]]="","",Tasks[[#This Row],[Forecast Start]])</f>
        <v/>
      </c>
      <c r="AQ140" s="25" t="str">
        <f aca="false">IF(Tasks[[#This Row],[Task Name]]="","",Tasks[[#This Row],[Forecast Finish]])</f>
        <v/>
      </c>
      <c r="AR1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0" s="62" t="str">
        <f aca="false">IF(Tasks[[#This Row],[Task Name]]="","",Tasks[[#This Row],[Work]])</f>
        <v/>
      </c>
      <c r="AT140" s="63" t="str">
        <f aca="false">IF(Tasks[[#This Row],[Task Name]]="","",Tasks[[#This Row],[Cost]])</f>
        <v/>
      </c>
      <c r="AU140" s="53"/>
      <c r="AV140" s="53"/>
      <c r="AW140" s="29"/>
      <c r="AX140" s="65"/>
      <c r="AY140" s="64"/>
      <c r="AZ140" s="28" t="str">
        <f aca="false">IF(OR(Tasks[[#This Row],[Task Name]]="",Tasks[[#This Row],[Baseline Duration]]=""),"",Tasks[[#This Row],[BL Source Duration]]-N(Tasks[[#This Row],[Baseline Duration]]))</f>
        <v/>
      </c>
      <c r="BA140" s="62" t="str">
        <f aca="false">IF(OR(Tasks[[#This Row],[Task Name]]="",Tasks[[#This Row],[Baseline Work]]=""),"",Tasks[[#This Row],[Work]]-N(Tasks[[#This Row],[Baseline Work]]))</f>
        <v/>
      </c>
      <c r="BB140" s="63" t="str">
        <f aca="false">IF(OR(Tasks[[#This Row],[Task Name]]="",Tasks[[#This Row],[Baseline Cost]]=""),"",Tasks[[#This Row],[Cost]]-N(Tasks[[#This Row],[Baseline Cost]]))</f>
        <v/>
      </c>
      <c r="BC14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0" s="43" t="str">
        <f aca="false">IF(Tasks[[#This Row],[Task Name]]="","",MAX(1,N(Tasks[[#This Row],[Level]])))</f>
        <v/>
      </c>
      <c r="BH140" s="43" t="n">
        <f aca="false">ROW()-ROW(Tasks[[#Headers],[ID]])</f>
        <v>135</v>
      </c>
      <c r="BI1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0" s="43" t="n">
        <f aca="false">IFERROR(N(INDEX(Tasks[_Level],Tasks[[#This Row],[_Row]]+1)),0)</f>
        <v>0</v>
      </c>
      <c r="BK140" s="66" t="b">
        <f aca="false">AND(Tasks[[#This Row],[Task Name]]&lt;&gt;"",Tasks[[#This Row],[_NextLevel]]&gt;Tasks[[#This Row],[_Level]])</f>
        <v>0</v>
      </c>
      <c r="BL140" s="43" t="n">
        <f aca="false">IF(Tasks[[#This Row],[_IsSummary]],COUNTIF(Tasks[WBS],Tasks[[#This Row],[WBS]]&amp;".*"),0)</f>
        <v>0</v>
      </c>
      <c r="BM140" s="43" t="n">
        <f aca="false">IF(AND(Tasks[[#This Row],[Task Name]]&lt;&gt;"",NOT(Tasks[[#This Row],[_IsSummary]])),1,0)</f>
        <v>0</v>
      </c>
      <c r="BN140" s="43" t="n">
        <f aca="false">IF(N(Tasks[[#This Row],[Pred1 UID]])=0,0,IFERROR(MATCH(Tasks[[#This Row],[Pred1 UID]],Tasks[UID],0),-1))</f>
        <v>0</v>
      </c>
      <c r="BO140" s="43" t="n">
        <f aca="false">IF(N(Tasks[[#This Row],[Pred2 UID]])=0,0,IFERROR(MATCH(Tasks[[#This Row],[Pred2 UID]],Tasks[UID],0),-1))</f>
        <v>0</v>
      </c>
      <c r="BP14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0" s="43" t="n">
        <f aca="false">IF(NOT(Tasks[[#This Row],[_IsLeaf]]=1),0,IF(N(Tasks[[#This Row],[Actual Finish]])&gt;0,1,MIN(1,N(Tasks[[#This Row],[% Complete]]))))</f>
        <v>0</v>
      </c>
      <c r="BU1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0" s="43" t="n">
        <f aca="false">IF(Tasks[[#This Row],[_LeafWork]]=0,0,Tasks[[#This Row],[_LeafWork]]*IFERROR(INDEX(res_Rate,MATCH(Tasks[[#This Row],[Resource]],res_Name,0)),0))</f>
        <v>0</v>
      </c>
      <c r="BW1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0" s="43" t="n">
        <f aca="false">IF(NOT(Tasks[[#This Row],[_IsLeaf]]=1),0,MAX(_xlfn.MAXIFS(Tasks[_Row],Tasks[Pred1 UID],Tasks[[#This Row],[UID]]),_xlfn.MAXIFS(Tasks[_Row],Tasks[Pred2 UID],Tasks[[#This Row],[UID]])))</f>
        <v>0</v>
      </c>
      <c r="CB14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0" s="67" t="str">
        <f aca="false">IF(NOT(Tasks[[#This Row],[_IsLeaf]]=1),"",MIN(ProjectFinish,IF(N(Tasks[[#This Row],[Deadline]])&gt;0,Tasks[[#This Row],[Deadline]],2958465),Tasks[[#This Row],[_SuccessorFinishLimit]]))</f>
        <v/>
      </c>
      <c r="CD14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0" s="66" t="b">
        <f aca="false">AND(Tasks[[#This Row],[_IsLeaf]]=1,Tasks[[#This Row],[_LeafProgress]]&lt;1,N(Tasks[[#This Row],[_LeafTotalSlack]])&lt;=CriticalSlackDays)</f>
        <v>0</v>
      </c>
      <c r="CG14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0" s="43" t="n">
        <f aca="false">IF(AND(Tasks[[#This Row],[_IsLeaf]]=1,Tasks[[#This Row],[_LeafWork]]&gt;0),NETWORKDAYS.INTL(ProjectStart,Tasks[[#This Row],[_LeafFcstStart]],WorkWeek,Holidays),0)</f>
        <v>0</v>
      </c>
      <c r="CP1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0" s="43" t="n">
        <f aca="false">IF(AND(Tasks[[#This Row],[_IsLeaf]]=1,Tasks[[#This Row],[_LeafWork]]&gt;0),Tasks[[#This Row],[_LeafWork]]/(Tasks[[#This Row],[_FinishWorkday]]-Tasks[[#This Row],[_StartWorkday]]+1),0)</f>
        <v>0</v>
      </c>
      <c r="CR140" s="43" t="n">
        <f aca="false">Tasks[[#This Row],[_WorkPerWorkday]]*(Tasks[[#This Row],[_StartWorkday]]-1)</f>
        <v>-0</v>
      </c>
      <c r="CS140" s="43" t="n">
        <f aca="false">IF(Tasks[[#This Row],[_IsLeaf]]=1,MAX(N(Tasks[[#This Row],[Duration]]),0.1),0)</f>
        <v>0</v>
      </c>
      <c r="CT140" s="43" t="n">
        <f aca="false">Tasks[[#This Row],[_WeightDur]]*Tasks[[#This Row],[_LeafProgress]]</f>
        <v>0</v>
      </c>
      <c r="CU1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0" s="43" t="str">
        <f aca="false">IF(AND(Tasks[[#This Row],[_IsLeaf]]=1,N(Tasks[[#This Row],[Duration]])=0,Tasks[[#This Row],[_LeafProgress]]&lt;1),Tasks[[#This Row],[_LeafFcstFinish]]+Tasks[[#This Row],[_Row]]/100000,"")</f>
        <v/>
      </c>
      <c r="DA1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0" s="43" t="n">
        <f aca="false">IF(NOT(Tasks[[#This Row],[_IsLeaf]]=1),0,IF(Tasks[[#This Row],[Baseline Cost]]="",Tasks[[#This Row],[_LeafCost]],N(Tasks[[#This Row],[Baseline Cost]])))</f>
        <v>0</v>
      </c>
      <c r="DC140" s="43" t="n">
        <f aca="false">Tasks[[#This Row],[_LeafBudget]]*Tasks[[#This Row],[_PlannedPct]]</f>
        <v>0</v>
      </c>
      <c r="DD140" s="43" t="n">
        <f aca="false">Tasks[[#This Row],[_LeafBudget]]*Tasks[[#This Row],[_LeafProgress]]</f>
        <v>0</v>
      </c>
      <c r="DE140" s="43" t="n">
        <f aca="false">IF(NOT(Tasks[[#This Row],[_IsLeaf]]=1),0,IF(Tasks[[#This Row],[Actual Cost]]="",Tasks[[#This Row],[_LeafCost]]*Tasks[[#This Row],[_LeafProgress]],N(Tasks[[#This Row],[Actual Cost]])))</f>
        <v>0</v>
      </c>
      <c r="DF140" s="43" t="str">
        <f aca="false">IF(Tasks[[#This Row],[Task Name]]="","",LEFT(Tasks[[#This Row],[WBS]],FIND(".",Tasks[[#This Row],[WBS]]&amp;".")-1))</f>
        <v/>
      </c>
      <c r="DG140" s="43" t="str">
        <f aca="false">IF(AND(Tasks[[#This Row],[Task Name]]&lt;&gt;"",Tasks[[#This Row],[_Level]]=1),Tasks[[#This Row],[_Row]],"")</f>
        <v/>
      </c>
      <c r="DH140" s="43" t="str">
        <f aca="false">IF(AND(Tasks[[#This Row],[_IsLeaf]]=1,N(Tasks[[#This Row],[Duration]])=0),Tasks[[#This Row],[Planned Finish]]+Tasks[[#This Row],[_Row]]/100000,"")</f>
        <v/>
      </c>
      <c r="DI1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0" s="43" t="str">
        <f aca="false">IF(Tasks[[#This Row],[_LeafCritical]],Tasks[[#This Row],[_LeafFcstStart]]+Tasks[[#This Row],[_Row]]/100000,"")</f>
        <v/>
      </c>
    </row>
    <row r="141" customFormat="false" ht="15" hidden="false" customHeight="false" outlineLevel="0" collapsed="false">
      <c r="A141" s="28" t="str">
        <f aca="false">IF(Tasks[[#This Row],[Task Name]]="","",COUNTA(Tasks[[#Headers],[Task Name]]:Tasks[[#This Row],[Task Name]])-1)</f>
        <v/>
      </c>
      <c r="B141" s="29" t="n">
        <v>136</v>
      </c>
      <c r="C1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29"/>
      <c r="E141" s="30"/>
      <c r="F141" s="29"/>
      <c r="G141" s="29"/>
      <c r="H141" s="29"/>
      <c r="I141" s="29"/>
      <c r="J141" s="29"/>
      <c r="K141" s="29"/>
      <c r="L141" s="29"/>
      <c r="M141" s="29"/>
      <c r="N141" s="53"/>
      <c r="O141" s="53"/>
      <c r="P141" s="25" t="str">
        <f aca="false">IF(Tasks[[#This Row],[Task Name]]="","",IF(N(Tasks[[#This Row],[Baseline Start]])&gt;0,Tasks[[#This Row],[Baseline Start]],Tasks[[#This Row],[_CalcStart]]))</f>
        <v/>
      </c>
      <c r="Q141" s="25" t="str">
        <f aca="false">IF(Tasks[[#This Row],[Task Name]]="","",IF(N(Tasks[[#This Row],[Baseline Finish]])&gt;0,Tasks[[#This Row],[Baseline Finish]],Tasks[[#This Row],[_CalcFinish]]))</f>
        <v/>
      </c>
      <c r="R141" s="53"/>
      <c r="S141" s="53"/>
      <c r="T1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55"/>
      <c r="AF14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30"/>
      <c r="AI141" s="55"/>
      <c r="AJ14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64"/>
      <c r="AM14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1" s="30"/>
      <c r="AP141" s="25" t="str">
        <f aca="false">IF(Tasks[[#This Row],[Task Name]]="","",Tasks[[#This Row],[Forecast Start]])</f>
        <v/>
      </c>
      <c r="AQ141" s="25" t="str">
        <f aca="false">IF(Tasks[[#This Row],[Task Name]]="","",Tasks[[#This Row],[Forecast Finish]])</f>
        <v/>
      </c>
      <c r="AR1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1" s="62" t="str">
        <f aca="false">IF(Tasks[[#This Row],[Task Name]]="","",Tasks[[#This Row],[Work]])</f>
        <v/>
      </c>
      <c r="AT141" s="63" t="str">
        <f aca="false">IF(Tasks[[#This Row],[Task Name]]="","",Tasks[[#This Row],[Cost]])</f>
        <v/>
      </c>
      <c r="AU141" s="53"/>
      <c r="AV141" s="53"/>
      <c r="AW141" s="29"/>
      <c r="AX141" s="65"/>
      <c r="AY141" s="64"/>
      <c r="AZ141" s="28" t="str">
        <f aca="false">IF(OR(Tasks[[#This Row],[Task Name]]="",Tasks[[#This Row],[Baseline Duration]]=""),"",Tasks[[#This Row],[BL Source Duration]]-N(Tasks[[#This Row],[Baseline Duration]]))</f>
        <v/>
      </c>
      <c r="BA141" s="62" t="str">
        <f aca="false">IF(OR(Tasks[[#This Row],[Task Name]]="",Tasks[[#This Row],[Baseline Work]]=""),"",Tasks[[#This Row],[Work]]-N(Tasks[[#This Row],[Baseline Work]]))</f>
        <v/>
      </c>
      <c r="BB141" s="63" t="str">
        <f aca="false">IF(OR(Tasks[[#This Row],[Task Name]]="",Tasks[[#This Row],[Baseline Cost]]=""),"",Tasks[[#This Row],[Cost]]-N(Tasks[[#This Row],[Baseline Cost]]))</f>
        <v/>
      </c>
      <c r="BC14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1" s="43" t="str">
        <f aca="false">IF(Tasks[[#This Row],[Task Name]]="","",MAX(1,N(Tasks[[#This Row],[Level]])))</f>
        <v/>
      </c>
      <c r="BH141" s="43" t="n">
        <f aca="false">ROW()-ROW(Tasks[[#Headers],[ID]])</f>
        <v>136</v>
      </c>
      <c r="BI1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1" s="43" t="n">
        <f aca="false">IFERROR(N(INDEX(Tasks[_Level],Tasks[[#This Row],[_Row]]+1)),0)</f>
        <v>0</v>
      </c>
      <c r="BK141" s="66" t="b">
        <f aca="false">AND(Tasks[[#This Row],[Task Name]]&lt;&gt;"",Tasks[[#This Row],[_NextLevel]]&gt;Tasks[[#This Row],[_Level]])</f>
        <v>0</v>
      </c>
      <c r="BL141" s="43" t="n">
        <f aca="false">IF(Tasks[[#This Row],[_IsSummary]],COUNTIF(Tasks[WBS],Tasks[[#This Row],[WBS]]&amp;".*"),0)</f>
        <v>0</v>
      </c>
      <c r="BM141" s="43" t="n">
        <f aca="false">IF(AND(Tasks[[#This Row],[Task Name]]&lt;&gt;"",NOT(Tasks[[#This Row],[_IsSummary]])),1,0)</f>
        <v>0</v>
      </c>
      <c r="BN141" s="43" t="n">
        <f aca="false">IF(N(Tasks[[#This Row],[Pred1 UID]])=0,0,IFERROR(MATCH(Tasks[[#This Row],[Pred1 UID]],Tasks[UID],0),-1))</f>
        <v>0</v>
      </c>
      <c r="BO141" s="43" t="n">
        <f aca="false">IF(N(Tasks[[#This Row],[Pred2 UID]])=0,0,IFERROR(MATCH(Tasks[[#This Row],[Pred2 UID]],Tasks[UID],0),-1))</f>
        <v>0</v>
      </c>
      <c r="BP14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1" s="43" t="n">
        <f aca="false">IF(NOT(Tasks[[#This Row],[_IsLeaf]]=1),0,IF(N(Tasks[[#This Row],[Actual Finish]])&gt;0,1,MIN(1,N(Tasks[[#This Row],[% Complete]]))))</f>
        <v>0</v>
      </c>
      <c r="BU1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1" s="43" t="n">
        <f aca="false">IF(Tasks[[#This Row],[_LeafWork]]=0,0,Tasks[[#This Row],[_LeafWork]]*IFERROR(INDEX(res_Rate,MATCH(Tasks[[#This Row],[Resource]],res_Name,0)),0))</f>
        <v>0</v>
      </c>
      <c r="BW1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1" s="43" t="n">
        <f aca="false">IF(NOT(Tasks[[#This Row],[_IsLeaf]]=1),0,MAX(_xlfn.MAXIFS(Tasks[_Row],Tasks[Pred1 UID],Tasks[[#This Row],[UID]]),_xlfn.MAXIFS(Tasks[_Row],Tasks[Pred2 UID],Tasks[[#This Row],[UID]])))</f>
        <v>0</v>
      </c>
      <c r="CB14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1" s="67" t="str">
        <f aca="false">IF(NOT(Tasks[[#This Row],[_IsLeaf]]=1),"",MIN(ProjectFinish,IF(N(Tasks[[#This Row],[Deadline]])&gt;0,Tasks[[#This Row],[Deadline]],2958465),Tasks[[#This Row],[_SuccessorFinishLimit]]))</f>
        <v/>
      </c>
      <c r="CD14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1" s="66" t="b">
        <f aca="false">AND(Tasks[[#This Row],[_IsLeaf]]=1,Tasks[[#This Row],[_LeafProgress]]&lt;1,N(Tasks[[#This Row],[_LeafTotalSlack]])&lt;=CriticalSlackDays)</f>
        <v>0</v>
      </c>
      <c r="CG14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1" s="43" t="n">
        <f aca="false">IF(AND(Tasks[[#This Row],[_IsLeaf]]=1,Tasks[[#This Row],[_LeafWork]]&gt;0),NETWORKDAYS.INTL(ProjectStart,Tasks[[#This Row],[_LeafFcstStart]],WorkWeek,Holidays),0)</f>
        <v>0</v>
      </c>
      <c r="CP1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1" s="43" t="n">
        <f aca="false">IF(AND(Tasks[[#This Row],[_IsLeaf]]=1,Tasks[[#This Row],[_LeafWork]]&gt;0),Tasks[[#This Row],[_LeafWork]]/(Tasks[[#This Row],[_FinishWorkday]]-Tasks[[#This Row],[_StartWorkday]]+1),0)</f>
        <v>0</v>
      </c>
      <c r="CR141" s="43" t="n">
        <f aca="false">Tasks[[#This Row],[_WorkPerWorkday]]*(Tasks[[#This Row],[_StartWorkday]]-1)</f>
        <v>-0</v>
      </c>
      <c r="CS141" s="43" t="n">
        <f aca="false">IF(Tasks[[#This Row],[_IsLeaf]]=1,MAX(N(Tasks[[#This Row],[Duration]]),0.1),0)</f>
        <v>0</v>
      </c>
      <c r="CT141" s="43" t="n">
        <f aca="false">Tasks[[#This Row],[_WeightDur]]*Tasks[[#This Row],[_LeafProgress]]</f>
        <v>0</v>
      </c>
      <c r="CU1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1" s="43" t="str">
        <f aca="false">IF(AND(Tasks[[#This Row],[_IsLeaf]]=1,N(Tasks[[#This Row],[Duration]])=0,Tasks[[#This Row],[_LeafProgress]]&lt;1),Tasks[[#This Row],[_LeafFcstFinish]]+Tasks[[#This Row],[_Row]]/100000,"")</f>
        <v/>
      </c>
      <c r="DA1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1" s="43" t="n">
        <f aca="false">IF(NOT(Tasks[[#This Row],[_IsLeaf]]=1),0,IF(Tasks[[#This Row],[Baseline Cost]]="",Tasks[[#This Row],[_LeafCost]],N(Tasks[[#This Row],[Baseline Cost]])))</f>
        <v>0</v>
      </c>
      <c r="DC141" s="43" t="n">
        <f aca="false">Tasks[[#This Row],[_LeafBudget]]*Tasks[[#This Row],[_PlannedPct]]</f>
        <v>0</v>
      </c>
      <c r="DD141" s="43" t="n">
        <f aca="false">Tasks[[#This Row],[_LeafBudget]]*Tasks[[#This Row],[_LeafProgress]]</f>
        <v>0</v>
      </c>
      <c r="DE141" s="43" t="n">
        <f aca="false">IF(NOT(Tasks[[#This Row],[_IsLeaf]]=1),0,IF(Tasks[[#This Row],[Actual Cost]]="",Tasks[[#This Row],[_LeafCost]]*Tasks[[#This Row],[_LeafProgress]],N(Tasks[[#This Row],[Actual Cost]])))</f>
        <v>0</v>
      </c>
      <c r="DF141" s="43" t="str">
        <f aca="false">IF(Tasks[[#This Row],[Task Name]]="","",LEFT(Tasks[[#This Row],[WBS]],FIND(".",Tasks[[#This Row],[WBS]]&amp;".")-1))</f>
        <v/>
      </c>
      <c r="DG141" s="43" t="str">
        <f aca="false">IF(AND(Tasks[[#This Row],[Task Name]]&lt;&gt;"",Tasks[[#This Row],[_Level]]=1),Tasks[[#This Row],[_Row]],"")</f>
        <v/>
      </c>
      <c r="DH141" s="43" t="str">
        <f aca="false">IF(AND(Tasks[[#This Row],[_IsLeaf]]=1,N(Tasks[[#This Row],[Duration]])=0),Tasks[[#This Row],[Planned Finish]]+Tasks[[#This Row],[_Row]]/100000,"")</f>
        <v/>
      </c>
      <c r="DI1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1" s="43" t="str">
        <f aca="false">IF(Tasks[[#This Row],[_LeafCritical]],Tasks[[#This Row],[_LeafFcstStart]]+Tasks[[#This Row],[_Row]]/100000,"")</f>
        <v/>
      </c>
    </row>
    <row r="142" customFormat="false" ht="15" hidden="false" customHeight="false" outlineLevel="0" collapsed="false">
      <c r="A142" s="28" t="str">
        <f aca="false">IF(Tasks[[#This Row],[Task Name]]="","",COUNTA(Tasks[[#Headers],[Task Name]]:Tasks[[#This Row],[Task Name]])-1)</f>
        <v/>
      </c>
      <c r="B142" s="29" t="n">
        <v>137</v>
      </c>
      <c r="C1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29"/>
      <c r="E142" s="30"/>
      <c r="F142" s="29"/>
      <c r="G142" s="29"/>
      <c r="H142" s="29"/>
      <c r="I142" s="29"/>
      <c r="J142" s="29"/>
      <c r="K142" s="29"/>
      <c r="L142" s="29"/>
      <c r="M142" s="29"/>
      <c r="N142" s="53"/>
      <c r="O142" s="53"/>
      <c r="P142" s="25" t="str">
        <f aca="false">IF(Tasks[[#This Row],[Task Name]]="","",IF(N(Tasks[[#This Row],[Baseline Start]])&gt;0,Tasks[[#This Row],[Baseline Start]],Tasks[[#This Row],[_CalcStart]]))</f>
        <v/>
      </c>
      <c r="Q142" s="25" t="str">
        <f aca="false">IF(Tasks[[#This Row],[Task Name]]="","",IF(N(Tasks[[#This Row],[Baseline Finish]])&gt;0,Tasks[[#This Row],[Baseline Finish]],Tasks[[#This Row],[_CalcFinish]]))</f>
        <v/>
      </c>
      <c r="R142" s="53"/>
      <c r="S142" s="53"/>
      <c r="T1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55"/>
      <c r="AF14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30"/>
      <c r="AI142" s="55"/>
      <c r="AJ14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64"/>
      <c r="AM14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2" s="30"/>
      <c r="AP142" s="25" t="str">
        <f aca="false">IF(Tasks[[#This Row],[Task Name]]="","",Tasks[[#This Row],[Forecast Start]])</f>
        <v/>
      </c>
      <c r="AQ142" s="25" t="str">
        <f aca="false">IF(Tasks[[#This Row],[Task Name]]="","",Tasks[[#This Row],[Forecast Finish]])</f>
        <v/>
      </c>
      <c r="AR1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2" s="62" t="str">
        <f aca="false">IF(Tasks[[#This Row],[Task Name]]="","",Tasks[[#This Row],[Work]])</f>
        <v/>
      </c>
      <c r="AT142" s="63" t="str">
        <f aca="false">IF(Tasks[[#This Row],[Task Name]]="","",Tasks[[#This Row],[Cost]])</f>
        <v/>
      </c>
      <c r="AU142" s="53"/>
      <c r="AV142" s="53"/>
      <c r="AW142" s="29"/>
      <c r="AX142" s="65"/>
      <c r="AY142" s="64"/>
      <c r="AZ142" s="28" t="str">
        <f aca="false">IF(OR(Tasks[[#This Row],[Task Name]]="",Tasks[[#This Row],[Baseline Duration]]=""),"",Tasks[[#This Row],[BL Source Duration]]-N(Tasks[[#This Row],[Baseline Duration]]))</f>
        <v/>
      </c>
      <c r="BA142" s="62" t="str">
        <f aca="false">IF(OR(Tasks[[#This Row],[Task Name]]="",Tasks[[#This Row],[Baseline Work]]=""),"",Tasks[[#This Row],[Work]]-N(Tasks[[#This Row],[Baseline Work]]))</f>
        <v/>
      </c>
      <c r="BB142" s="63" t="str">
        <f aca="false">IF(OR(Tasks[[#This Row],[Task Name]]="",Tasks[[#This Row],[Baseline Cost]]=""),"",Tasks[[#This Row],[Cost]]-N(Tasks[[#This Row],[Baseline Cost]]))</f>
        <v/>
      </c>
      <c r="BC14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2" s="43" t="str">
        <f aca="false">IF(Tasks[[#This Row],[Task Name]]="","",MAX(1,N(Tasks[[#This Row],[Level]])))</f>
        <v/>
      </c>
      <c r="BH142" s="43" t="n">
        <f aca="false">ROW()-ROW(Tasks[[#Headers],[ID]])</f>
        <v>137</v>
      </c>
      <c r="BI1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2" s="43" t="n">
        <f aca="false">IFERROR(N(INDEX(Tasks[_Level],Tasks[[#This Row],[_Row]]+1)),0)</f>
        <v>0</v>
      </c>
      <c r="BK142" s="66" t="b">
        <f aca="false">AND(Tasks[[#This Row],[Task Name]]&lt;&gt;"",Tasks[[#This Row],[_NextLevel]]&gt;Tasks[[#This Row],[_Level]])</f>
        <v>0</v>
      </c>
      <c r="BL142" s="43" t="n">
        <f aca="false">IF(Tasks[[#This Row],[_IsSummary]],COUNTIF(Tasks[WBS],Tasks[[#This Row],[WBS]]&amp;".*"),0)</f>
        <v>0</v>
      </c>
      <c r="BM142" s="43" t="n">
        <f aca="false">IF(AND(Tasks[[#This Row],[Task Name]]&lt;&gt;"",NOT(Tasks[[#This Row],[_IsSummary]])),1,0)</f>
        <v>0</v>
      </c>
      <c r="BN142" s="43" t="n">
        <f aca="false">IF(N(Tasks[[#This Row],[Pred1 UID]])=0,0,IFERROR(MATCH(Tasks[[#This Row],[Pred1 UID]],Tasks[UID],0),-1))</f>
        <v>0</v>
      </c>
      <c r="BO142" s="43" t="n">
        <f aca="false">IF(N(Tasks[[#This Row],[Pred2 UID]])=0,0,IFERROR(MATCH(Tasks[[#This Row],[Pred2 UID]],Tasks[UID],0),-1))</f>
        <v>0</v>
      </c>
      <c r="BP14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2" s="43" t="n">
        <f aca="false">IF(NOT(Tasks[[#This Row],[_IsLeaf]]=1),0,IF(N(Tasks[[#This Row],[Actual Finish]])&gt;0,1,MIN(1,N(Tasks[[#This Row],[% Complete]]))))</f>
        <v>0</v>
      </c>
      <c r="BU1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2" s="43" t="n">
        <f aca="false">IF(Tasks[[#This Row],[_LeafWork]]=0,0,Tasks[[#This Row],[_LeafWork]]*IFERROR(INDEX(res_Rate,MATCH(Tasks[[#This Row],[Resource]],res_Name,0)),0))</f>
        <v>0</v>
      </c>
      <c r="BW1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2" s="43" t="n">
        <f aca="false">IF(NOT(Tasks[[#This Row],[_IsLeaf]]=1),0,MAX(_xlfn.MAXIFS(Tasks[_Row],Tasks[Pred1 UID],Tasks[[#This Row],[UID]]),_xlfn.MAXIFS(Tasks[_Row],Tasks[Pred2 UID],Tasks[[#This Row],[UID]])))</f>
        <v>0</v>
      </c>
      <c r="CB14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2" s="67" t="str">
        <f aca="false">IF(NOT(Tasks[[#This Row],[_IsLeaf]]=1),"",MIN(ProjectFinish,IF(N(Tasks[[#This Row],[Deadline]])&gt;0,Tasks[[#This Row],[Deadline]],2958465),Tasks[[#This Row],[_SuccessorFinishLimit]]))</f>
        <v/>
      </c>
      <c r="CD14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2" s="66" t="b">
        <f aca="false">AND(Tasks[[#This Row],[_IsLeaf]]=1,Tasks[[#This Row],[_LeafProgress]]&lt;1,N(Tasks[[#This Row],[_LeafTotalSlack]])&lt;=CriticalSlackDays)</f>
        <v>0</v>
      </c>
      <c r="CG14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2" s="43" t="n">
        <f aca="false">IF(AND(Tasks[[#This Row],[_IsLeaf]]=1,Tasks[[#This Row],[_LeafWork]]&gt;0),NETWORKDAYS.INTL(ProjectStart,Tasks[[#This Row],[_LeafFcstStart]],WorkWeek,Holidays),0)</f>
        <v>0</v>
      </c>
      <c r="CP1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2" s="43" t="n">
        <f aca="false">IF(AND(Tasks[[#This Row],[_IsLeaf]]=1,Tasks[[#This Row],[_LeafWork]]&gt;0),Tasks[[#This Row],[_LeafWork]]/(Tasks[[#This Row],[_FinishWorkday]]-Tasks[[#This Row],[_StartWorkday]]+1),0)</f>
        <v>0</v>
      </c>
      <c r="CR142" s="43" t="n">
        <f aca="false">Tasks[[#This Row],[_WorkPerWorkday]]*(Tasks[[#This Row],[_StartWorkday]]-1)</f>
        <v>-0</v>
      </c>
      <c r="CS142" s="43" t="n">
        <f aca="false">IF(Tasks[[#This Row],[_IsLeaf]]=1,MAX(N(Tasks[[#This Row],[Duration]]),0.1),0)</f>
        <v>0</v>
      </c>
      <c r="CT142" s="43" t="n">
        <f aca="false">Tasks[[#This Row],[_WeightDur]]*Tasks[[#This Row],[_LeafProgress]]</f>
        <v>0</v>
      </c>
      <c r="CU1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2" s="43" t="str">
        <f aca="false">IF(AND(Tasks[[#This Row],[_IsLeaf]]=1,N(Tasks[[#This Row],[Duration]])=0,Tasks[[#This Row],[_LeafProgress]]&lt;1),Tasks[[#This Row],[_LeafFcstFinish]]+Tasks[[#This Row],[_Row]]/100000,"")</f>
        <v/>
      </c>
      <c r="DA1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2" s="43" t="n">
        <f aca="false">IF(NOT(Tasks[[#This Row],[_IsLeaf]]=1),0,IF(Tasks[[#This Row],[Baseline Cost]]="",Tasks[[#This Row],[_LeafCost]],N(Tasks[[#This Row],[Baseline Cost]])))</f>
        <v>0</v>
      </c>
      <c r="DC142" s="43" t="n">
        <f aca="false">Tasks[[#This Row],[_LeafBudget]]*Tasks[[#This Row],[_PlannedPct]]</f>
        <v>0</v>
      </c>
      <c r="DD142" s="43" t="n">
        <f aca="false">Tasks[[#This Row],[_LeafBudget]]*Tasks[[#This Row],[_LeafProgress]]</f>
        <v>0</v>
      </c>
      <c r="DE142" s="43" t="n">
        <f aca="false">IF(NOT(Tasks[[#This Row],[_IsLeaf]]=1),0,IF(Tasks[[#This Row],[Actual Cost]]="",Tasks[[#This Row],[_LeafCost]]*Tasks[[#This Row],[_LeafProgress]],N(Tasks[[#This Row],[Actual Cost]])))</f>
        <v>0</v>
      </c>
      <c r="DF142" s="43" t="str">
        <f aca="false">IF(Tasks[[#This Row],[Task Name]]="","",LEFT(Tasks[[#This Row],[WBS]],FIND(".",Tasks[[#This Row],[WBS]]&amp;".")-1))</f>
        <v/>
      </c>
      <c r="DG142" s="43" t="str">
        <f aca="false">IF(AND(Tasks[[#This Row],[Task Name]]&lt;&gt;"",Tasks[[#This Row],[_Level]]=1),Tasks[[#This Row],[_Row]],"")</f>
        <v/>
      </c>
      <c r="DH142" s="43" t="str">
        <f aca="false">IF(AND(Tasks[[#This Row],[_IsLeaf]]=1,N(Tasks[[#This Row],[Duration]])=0),Tasks[[#This Row],[Planned Finish]]+Tasks[[#This Row],[_Row]]/100000,"")</f>
        <v/>
      </c>
      <c r="DI1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2" s="43" t="str">
        <f aca="false">IF(Tasks[[#This Row],[_LeafCritical]],Tasks[[#This Row],[_LeafFcstStart]]+Tasks[[#This Row],[_Row]]/100000,"")</f>
        <v/>
      </c>
    </row>
    <row r="143" customFormat="false" ht="15" hidden="false" customHeight="false" outlineLevel="0" collapsed="false">
      <c r="A143" s="28" t="str">
        <f aca="false">IF(Tasks[[#This Row],[Task Name]]="","",COUNTA(Tasks[[#Headers],[Task Name]]:Tasks[[#This Row],[Task Name]])-1)</f>
        <v/>
      </c>
      <c r="B143" s="29" t="n">
        <v>138</v>
      </c>
      <c r="C1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29"/>
      <c r="E143" s="30"/>
      <c r="F143" s="29"/>
      <c r="G143" s="29"/>
      <c r="H143" s="29"/>
      <c r="I143" s="29"/>
      <c r="J143" s="29"/>
      <c r="K143" s="29"/>
      <c r="L143" s="29"/>
      <c r="M143" s="29"/>
      <c r="N143" s="53"/>
      <c r="O143" s="53"/>
      <c r="P143" s="25" t="str">
        <f aca="false">IF(Tasks[[#This Row],[Task Name]]="","",IF(N(Tasks[[#This Row],[Baseline Start]])&gt;0,Tasks[[#This Row],[Baseline Start]],Tasks[[#This Row],[_CalcStart]]))</f>
        <v/>
      </c>
      <c r="Q143" s="25" t="str">
        <f aca="false">IF(Tasks[[#This Row],[Task Name]]="","",IF(N(Tasks[[#This Row],[Baseline Finish]])&gt;0,Tasks[[#This Row],[Baseline Finish]],Tasks[[#This Row],[_CalcFinish]]))</f>
        <v/>
      </c>
      <c r="R143" s="53"/>
      <c r="S143" s="53"/>
      <c r="T1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55"/>
      <c r="AF14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30"/>
      <c r="AI143" s="55"/>
      <c r="AJ14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64"/>
      <c r="AM14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3" s="30"/>
      <c r="AP143" s="25" t="str">
        <f aca="false">IF(Tasks[[#This Row],[Task Name]]="","",Tasks[[#This Row],[Forecast Start]])</f>
        <v/>
      </c>
      <c r="AQ143" s="25" t="str">
        <f aca="false">IF(Tasks[[#This Row],[Task Name]]="","",Tasks[[#This Row],[Forecast Finish]])</f>
        <v/>
      </c>
      <c r="AR1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3" s="62" t="str">
        <f aca="false">IF(Tasks[[#This Row],[Task Name]]="","",Tasks[[#This Row],[Work]])</f>
        <v/>
      </c>
      <c r="AT143" s="63" t="str">
        <f aca="false">IF(Tasks[[#This Row],[Task Name]]="","",Tasks[[#This Row],[Cost]])</f>
        <v/>
      </c>
      <c r="AU143" s="53"/>
      <c r="AV143" s="53"/>
      <c r="AW143" s="29"/>
      <c r="AX143" s="65"/>
      <c r="AY143" s="64"/>
      <c r="AZ143" s="28" t="str">
        <f aca="false">IF(OR(Tasks[[#This Row],[Task Name]]="",Tasks[[#This Row],[Baseline Duration]]=""),"",Tasks[[#This Row],[BL Source Duration]]-N(Tasks[[#This Row],[Baseline Duration]]))</f>
        <v/>
      </c>
      <c r="BA143" s="62" t="str">
        <f aca="false">IF(OR(Tasks[[#This Row],[Task Name]]="",Tasks[[#This Row],[Baseline Work]]=""),"",Tasks[[#This Row],[Work]]-N(Tasks[[#This Row],[Baseline Work]]))</f>
        <v/>
      </c>
      <c r="BB143" s="63" t="str">
        <f aca="false">IF(OR(Tasks[[#This Row],[Task Name]]="",Tasks[[#This Row],[Baseline Cost]]=""),"",Tasks[[#This Row],[Cost]]-N(Tasks[[#This Row],[Baseline Cost]]))</f>
        <v/>
      </c>
      <c r="BC14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3" s="43" t="str">
        <f aca="false">IF(Tasks[[#This Row],[Task Name]]="","",MAX(1,N(Tasks[[#This Row],[Level]])))</f>
        <v/>
      </c>
      <c r="BH143" s="43" t="n">
        <f aca="false">ROW()-ROW(Tasks[[#Headers],[ID]])</f>
        <v>138</v>
      </c>
      <c r="BI1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3" s="43" t="n">
        <f aca="false">IFERROR(N(INDEX(Tasks[_Level],Tasks[[#This Row],[_Row]]+1)),0)</f>
        <v>0</v>
      </c>
      <c r="BK143" s="66" t="b">
        <f aca="false">AND(Tasks[[#This Row],[Task Name]]&lt;&gt;"",Tasks[[#This Row],[_NextLevel]]&gt;Tasks[[#This Row],[_Level]])</f>
        <v>0</v>
      </c>
      <c r="BL143" s="43" t="n">
        <f aca="false">IF(Tasks[[#This Row],[_IsSummary]],COUNTIF(Tasks[WBS],Tasks[[#This Row],[WBS]]&amp;".*"),0)</f>
        <v>0</v>
      </c>
      <c r="BM143" s="43" t="n">
        <f aca="false">IF(AND(Tasks[[#This Row],[Task Name]]&lt;&gt;"",NOT(Tasks[[#This Row],[_IsSummary]])),1,0)</f>
        <v>0</v>
      </c>
      <c r="BN143" s="43" t="n">
        <f aca="false">IF(N(Tasks[[#This Row],[Pred1 UID]])=0,0,IFERROR(MATCH(Tasks[[#This Row],[Pred1 UID]],Tasks[UID],0),-1))</f>
        <v>0</v>
      </c>
      <c r="BO143" s="43" t="n">
        <f aca="false">IF(N(Tasks[[#This Row],[Pred2 UID]])=0,0,IFERROR(MATCH(Tasks[[#This Row],[Pred2 UID]],Tasks[UID],0),-1))</f>
        <v>0</v>
      </c>
      <c r="BP14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3" s="43" t="n">
        <f aca="false">IF(NOT(Tasks[[#This Row],[_IsLeaf]]=1),0,IF(N(Tasks[[#This Row],[Actual Finish]])&gt;0,1,MIN(1,N(Tasks[[#This Row],[% Complete]]))))</f>
        <v>0</v>
      </c>
      <c r="BU1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3" s="43" t="n">
        <f aca="false">IF(Tasks[[#This Row],[_LeafWork]]=0,0,Tasks[[#This Row],[_LeafWork]]*IFERROR(INDEX(res_Rate,MATCH(Tasks[[#This Row],[Resource]],res_Name,0)),0))</f>
        <v>0</v>
      </c>
      <c r="BW1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3" s="43" t="n">
        <f aca="false">IF(NOT(Tasks[[#This Row],[_IsLeaf]]=1),0,MAX(_xlfn.MAXIFS(Tasks[_Row],Tasks[Pred1 UID],Tasks[[#This Row],[UID]]),_xlfn.MAXIFS(Tasks[_Row],Tasks[Pred2 UID],Tasks[[#This Row],[UID]])))</f>
        <v>0</v>
      </c>
      <c r="CB14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3" s="67" t="str">
        <f aca="false">IF(NOT(Tasks[[#This Row],[_IsLeaf]]=1),"",MIN(ProjectFinish,IF(N(Tasks[[#This Row],[Deadline]])&gt;0,Tasks[[#This Row],[Deadline]],2958465),Tasks[[#This Row],[_SuccessorFinishLimit]]))</f>
        <v/>
      </c>
      <c r="CD14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3" s="66" t="b">
        <f aca="false">AND(Tasks[[#This Row],[_IsLeaf]]=1,Tasks[[#This Row],[_LeafProgress]]&lt;1,N(Tasks[[#This Row],[_LeafTotalSlack]])&lt;=CriticalSlackDays)</f>
        <v>0</v>
      </c>
      <c r="CG14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3" s="43" t="n">
        <f aca="false">IF(AND(Tasks[[#This Row],[_IsLeaf]]=1,Tasks[[#This Row],[_LeafWork]]&gt;0),NETWORKDAYS.INTL(ProjectStart,Tasks[[#This Row],[_LeafFcstStart]],WorkWeek,Holidays),0)</f>
        <v>0</v>
      </c>
      <c r="CP1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3" s="43" t="n">
        <f aca="false">IF(AND(Tasks[[#This Row],[_IsLeaf]]=1,Tasks[[#This Row],[_LeafWork]]&gt;0),Tasks[[#This Row],[_LeafWork]]/(Tasks[[#This Row],[_FinishWorkday]]-Tasks[[#This Row],[_StartWorkday]]+1),0)</f>
        <v>0</v>
      </c>
      <c r="CR143" s="43" t="n">
        <f aca="false">Tasks[[#This Row],[_WorkPerWorkday]]*(Tasks[[#This Row],[_StartWorkday]]-1)</f>
        <v>-0</v>
      </c>
      <c r="CS143" s="43" t="n">
        <f aca="false">IF(Tasks[[#This Row],[_IsLeaf]]=1,MAX(N(Tasks[[#This Row],[Duration]]),0.1),0)</f>
        <v>0</v>
      </c>
      <c r="CT143" s="43" t="n">
        <f aca="false">Tasks[[#This Row],[_WeightDur]]*Tasks[[#This Row],[_LeafProgress]]</f>
        <v>0</v>
      </c>
      <c r="CU1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3" s="43" t="str">
        <f aca="false">IF(AND(Tasks[[#This Row],[_IsLeaf]]=1,N(Tasks[[#This Row],[Duration]])=0,Tasks[[#This Row],[_LeafProgress]]&lt;1),Tasks[[#This Row],[_LeafFcstFinish]]+Tasks[[#This Row],[_Row]]/100000,"")</f>
        <v/>
      </c>
      <c r="DA1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3" s="43" t="n">
        <f aca="false">IF(NOT(Tasks[[#This Row],[_IsLeaf]]=1),0,IF(Tasks[[#This Row],[Baseline Cost]]="",Tasks[[#This Row],[_LeafCost]],N(Tasks[[#This Row],[Baseline Cost]])))</f>
        <v>0</v>
      </c>
      <c r="DC143" s="43" t="n">
        <f aca="false">Tasks[[#This Row],[_LeafBudget]]*Tasks[[#This Row],[_PlannedPct]]</f>
        <v>0</v>
      </c>
      <c r="DD143" s="43" t="n">
        <f aca="false">Tasks[[#This Row],[_LeafBudget]]*Tasks[[#This Row],[_LeafProgress]]</f>
        <v>0</v>
      </c>
      <c r="DE143" s="43" t="n">
        <f aca="false">IF(NOT(Tasks[[#This Row],[_IsLeaf]]=1),0,IF(Tasks[[#This Row],[Actual Cost]]="",Tasks[[#This Row],[_LeafCost]]*Tasks[[#This Row],[_LeafProgress]],N(Tasks[[#This Row],[Actual Cost]])))</f>
        <v>0</v>
      </c>
      <c r="DF143" s="43" t="str">
        <f aca="false">IF(Tasks[[#This Row],[Task Name]]="","",LEFT(Tasks[[#This Row],[WBS]],FIND(".",Tasks[[#This Row],[WBS]]&amp;".")-1))</f>
        <v/>
      </c>
      <c r="DG143" s="43" t="str">
        <f aca="false">IF(AND(Tasks[[#This Row],[Task Name]]&lt;&gt;"",Tasks[[#This Row],[_Level]]=1),Tasks[[#This Row],[_Row]],"")</f>
        <v/>
      </c>
      <c r="DH143" s="43" t="str">
        <f aca="false">IF(AND(Tasks[[#This Row],[_IsLeaf]]=1,N(Tasks[[#This Row],[Duration]])=0),Tasks[[#This Row],[Planned Finish]]+Tasks[[#This Row],[_Row]]/100000,"")</f>
        <v/>
      </c>
      <c r="DI1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3" s="43" t="str">
        <f aca="false">IF(Tasks[[#This Row],[_LeafCritical]],Tasks[[#This Row],[_LeafFcstStart]]+Tasks[[#This Row],[_Row]]/100000,"")</f>
        <v/>
      </c>
    </row>
    <row r="144" customFormat="false" ht="15" hidden="false" customHeight="false" outlineLevel="0" collapsed="false">
      <c r="A144" s="28" t="str">
        <f aca="false">IF(Tasks[[#This Row],[Task Name]]="","",COUNTA(Tasks[[#Headers],[Task Name]]:Tasks[[#This Row],[Task Name]])-1)</f>
        <v/>
      </c>
      <c r="B144" s="29" t="n">
        <v>139</v>
      </c>
      <c r="C1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29"/>
      <c r="E144" s="30"/>
      <c r="F144" s="29"/>
      <c r="G144" s="29"/>
      <c r="H144" s="29"/>
      <c r="I144" s="29"/>
      <c r="J144" s="29"/>
      <c r="K144" s="29"/>
      <c r="L144" s="29"/>
      <c r="M144" s="29"/>
      <c r="N144" s="53"/>
      <c r="O144" s="53"/>
      <c r="P144" s="25" t="str">
        <f aca="false">IF(Tasks[[#This Row],[Task Name]]="","",IF(N(Tasks[[#This Row],[Baseline Start]])&gt;0,Tasks[[#This Row],[Baseline Start]],Tasks[[#This Row],[_CalcStart]]))</f>
        <v/>
      </c>
      <c r="Q144" s="25" t="str">
        <f aca="false">IF(Tasks[[#This Row],[Task Name]]="","",IF(N(Tasks[[#This Row],[Baseline Finish]])&gt;0,Tasks[[#This Row],[Baseline Finish]],Tasks[[#This Row],[_CalcFinish]]))</f>
        <v/>
      </c>
      <c r="R144" s="53"/>
      <c r="S144" s="53"/>
      <c r="T1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55"/>
      <c r="AF14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30"/>
      <c r="AI144" s="55"/>
      <c r="AJ14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64"/>
      <c r="AM14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4" s="30"/>
      <c r="AP144" s="25" t="str">
        <f aca="false">IF(Tasks[[#This Row],[Task Name]]="","",Tasks[[#This Row],[Forecast Start]])</f>
        <v/>
      </c>
      <c r="AQ144" s="25" t="str">
        <f aca="false">IF(Tasks[[#This Row],[Task Name]]="","",Tasks[[#This Row],[Forecast Finish]])</f>
        <v/>
      </c>
      <c r="AR1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4" s="62" t="str">
        <f aca="false">IF(Tasks[[#This Row],[Task Name]]="","",Tasks[[#This Row],[Work]])</f>
        <v/>
      </c>
      <c r="AT144" s="63" t="str">
        <f aca="false">IF(Tasks[[#This Row],[Task Name]]="","",Tasks[[#This Row],[Cost]])</f>
        <v/>
      </c>
      <c r="AU144" s="53"/>
      <c r="AV144" s="53"/>
      <c r="AW144" s="29"/>
      <c r="AX144" s="65"/>
      <c r="AY144" s="64"/>
      <c r="AZ144" s="28" t="str">
        <f aca="false">IF(OR(Tasks[[#This Row],[Task Name]]="",Tasks[[#This Row],[Baseline Duration]]=""),"",Tasks[[#This Row],[BL Source Duration]]-N(Tasks[[#This Row],[Baseline Duration]]))</f>
        <v/>
      </c>
      <c r="BA144" s="62" t="str">
        <f aca="false">IF(OR(Tasks[[#This Row],[Task Name]]="",Tasks[[#This Row],[Baseline Work]]=""),"",Tasks[[#This Row],[Work]]-N(Tasks[[#This Row],[Baseline Work]]))</f>
        <v/>
      </c>
      <c r="BB144" s="63" t="str">
        <f aca="false">IF(OR(Tasks[[#This Row],[Task Name]]="",Tasks[[#This Row],[Baseline Cost]]=""),"",Tasks[[#This Row],[Cost]]-N(Tasks[[#This Row],[Baseline Cost]]))</f>
        <v/>
      </c>
      <c r="BC14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4" s="43" t="str">
        <f aca="false">IF(Tasks[[#This Row],[Task Name]]="","",MAX(1,N(Tasks[[#This Row],[Level]])))</f>
        <v/>
      </c>
      <c r="BH144" s="43" t="n">
        <f aca="false">ROW()-ROW(Tasks[[#Headers],[ID]])</f>
        <v>139</v>
      </c>
      <c r="BI1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4" s="43" t="n">
        <f aca="false">IFERROR(N(INDEX(Tasks[_Level],Tasks[[#This Row],[_Row]]+1)),0)</f>
        <v>0</v>
      </c>
      <c r="BK144" s="66" t="b">
        <f aca="false">AND(Tasks[[#This Row],[Task Name]]&lt;&gt;"",Tasks[[#This Row],[_NextLevel]]&gt;Tasks[[#This Row],[_Level]])</f>
        <v>0</v>
      </c>
      <c r="BL144" s="43" t="n">
        <f aca="false">IF(Tasks[[#This Row],[_IsSummary]],COUNTIF(Tasks[WBS],Tasks[[#This Row],[WBS]]&amp;".*"),0)</f>
        <v>0</v>
      </c>
      <c r="BM144" s="43" t="n">
        <f aca="false">IF(AND(Tasks[[#This Row],[Task Name]]&lt;&gt;"",NOT(Tasks[[#This Row],[_IsSummary]])),1,0)</f>
        <v>0</v>
      </c>
      <c r="BN144" s="43" t="n">
        <f aca="false">IF(N(Tasks[[#This Row],[Pred1 UID]])=0,0,IFERROR(MATCH(Tasks[[#This Row],[Pred1 UID]],Tasks[UID],0),-1))</f>
        <v>0</v>
      </c>
      <c r="BO144" s="43" t="n">
        <f aca="false">IF(N(Tasks[[#This Row],[Pred2 UID]])=0,0,IFERROR(MATCH(Tasks[[#This Row],[Pred2 UID]],Tasks[UID],0),-1))</f>
        <v>0</v>
      </c>
      <c r="BP14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4" s="43" t="n">
        <f aca="false">IF(NOT(Tasks[[#This Row],[_IsLeaf]]=1),0,IF(N(Tasks[[#This Row],[Actual Finish]])&gt;0,1,MIN(1,N(Tasks[[#This Row],[% Complete]]))))</f>
        <v>0</v>
      </c>
      <c r="BU1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4" s="43" t="n">
        <f aca="false">IF(Tasks[[#This Row],[_LeafWork]]=0,0,Tasks[[#This Row],[_LeafWork]]*IFERROR(INDEX(res_Rate,MATCH(Tasks[[#This Row],[Resource]],res_Name,0)),0))</f>
        <v>0</v>
      </c>
      <c r="BW1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4" s="43" t="n">
        <f aca="false">IF(NOT(Tasks[[#This Row],[_IsLeaf]]=1),0,MAX(_xlfn.MAXIFS(Tasks[_Row],Tasks[Pred1 UID],Tasks[[#This Row],[UID]]),_xlfn.MAXIFS(Tasks[_Row],Tasks[Pred2 UID],Tasks[[#This Row],[UID]])))</f>
        <v>0</v>
      </c>
      <c r="CB14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4" s="67" t="str">
        <f aca="false">IF(NOT(Tasks[[#This Row],[_IsLeaf]]=1),"",MIN(ProjectFinish,IF(N(Tasks[[#This Row],[Deadline]])&gt;0,Tasks[[#This Row],[Deadline]],2958465),Tasks[[#This Row],[_SuccessorFinishLimit]]))</f>
        <v/>
      </c>
      <c r="CD14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4" s="66" t="b">
        <f aca="false">AND(Tasks[[#This Row],[_IsLeaf]]=1,Tasks[[#This Row],[_LeafProgress]]&lt;1,N(Tasks[[#This Row],[_LeafTotalSlack]])&lt;=CriticalSlackDays)</f>
        <v>0</v>
      </c>
      <c r="CG14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4" s="43" t="n">
        <f aca="false">IF(AND(Tasks[[#This Row],[_IsLeaf]]=1,Tasks[[#This Row],[_LeafWork]]&gt;0),NETWORKDAYS.INTL(ProjectStart,Tasks[[#This Row],[_LeafFcstStart]],WorkWeek,Holidays),0)</f>
        <v>0</v>
      </c>
      <c r="CP1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4" s="43" t="n">
        <f aca="false">IF(AND(Tasks[[#This Row],[_IsLeaf]]=1,Tasks[[#This Row],[_LeafWork]]&gt;0),Tasks[[#This Row],[_LeafWork]]/(Tasks[[#This Row],[_FinishWorkday]]-Tasks[[#This Row],[_StartWorkday]]+1),0)</f>
        <v>0</v>
      </c>
      <c r="CR144" s="43" t="n">
        <f aca="false">Tasks[[#This Row],[_WorkPerWorkday]]*(Tasks[[#This Row],[_StartWorkday]]-1)</f>
        <v>-0</v>
      </c>
      <c r="CS144" s="43" t="n">
        <f aca="false">IF(Tasks[[#This Row],[_IsLeaf]]=1,MAX(N(Tasks[[#This Row],[Duration]]),0.1),0)</f>
        <v>0</v>
      </c>
      <c r="CT144" s="43" t="n">
        <f aca="false">Tasks[[#This Row],[_WeightDur]]*Tasks[[#This Row],[_LeafProgress]]</f>
        <v>0</v>
      </c>
      <c r="CU1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4" s="43" t="str">
        <f aca="false">IF(AND(Tasks[[#This Row],[_IsLeaf]]=1,N(Tasks[[#This Row],[Duration]])=0,Tasks[[#This Row],[_LeafProgress]]&lt;1),Tasks[[#This Row],[_LeafFcstFinish]]+Tasks[[#This Row],[_Row]]/100000,"")</f>
        <v/>
      </c>
      <c r="DA1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4" s="43" t="n">
        <f aca="false">IF(NOT(Tasks[[#This Row],[_IsLeaf]]=1),0,IF(Tasks[[#This Row],[Baseline Cost]]="",Tasks[[#This Row],[_LeafCost]],N(Tasks[[#This Row],[Baseline Cost]])))</f>
        <v>0</v>
      </c>
      <c r="DC144" s="43" t="n">
        <f aca="false">Tasks[[#This Row],[_LeafBudget]]*Tasks[[#This Row],[_PlannedPct]]</f>
        <v>0</v>
      </c>
      <c r="DD144" s="43" t="n">
        <f aca="false">Tasks[[#This Row],[_LeafBudget]]*Tasks[[#This Row],[_LeafProgress]]</f>
        <v>0</v>
      </c>
      <c r="DE144" s="43" t="n">
        <f aca="false">IF(NOT(Tasks[[#This Row],[_IsLeaf]]=1),0,IF(Tasks[[#This Row],[Actual Cost]]="",Tasks[[#This Row],[_LeafCost]]*Tasks[[#This Row],[_LeafProgress]],N(Tasks[[#This Row],[Actual Cost]])))</f>
        <v>0</v>
      </c>
      <c r="DF144" s="43" t="str">
        <f aca="false">IF(Tasks[[#This Row],[Task Name]]="","",LEFT(Tasks[[#This Row],[WBS]],FIND(".",Tasks[[#This Row],[WBS]]&amp;".")-1))</f>
        <v/>
      </c>
      <c r="DG144" s="43" t="str">
        <f aca="false">IF(AND(Tasks[[#This Row],[Task Name]]&lt;&gt;"",Tasks[[#This Row],[_Level]]=1),Tasks[[#This Row],[_Row]],"")</f>
        <v/>
      </c>
      <c r="DH144" s="43" t="str">
        <f aca="false">IF(AND(Tasks[[#This Row],[_IsLeaf]]=1,N(Tasks[[#This Row],[Duration]])=0),Tasks[[#This Row],[Planned Finish]]+Tasks[[#This Row],[_Row]]/100000,"")</f>
        <v/>
      </c>
      <c r="DI1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4" s="43" t="str">
        <f aca="false">IF(Tasks[[#This Row],[_LeafCritical]],Tasks[[#This Row],[_LeafFcstStart]]+Tasks[[#This Row],[_Row]]/100000,"")</f>
        <v/>
      </c>
    </row>
    <row r="145" customFormat="false" ht="15" hidden="false" customHeight="false" outlineLevel="0" collapsed="false">
      <c r="A145" s="28" t="str">
        <f aca="false">IF(Tasks[[#This Row],[Task Name]]="","",COUNTA(Tasks[[#Headers],[Task Name]]:Tasks[[#This Row],[Task Name]])-1)</f>
        <v/>
      </c>
      <c r="B145" s="29" t="n">
        <v>140</v>
      </c>
      <c r="C1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29"/>
      <c r="E145" s="30"/>
      <c r="F145" s="29"/>
      <c r="G145" s="29"/>
      <c r="H145" s="29"/>
      <c r="I145" s="29"/>
      <c r="J145" s="29"/>
      <c r="K145" s="29"/>
      <c r="L145" s="29"/>
      <c r="M145" s="29"/>
      <c r="N145" s="53"/>
      <c r="O145" s="53"/>
      <c r="P145" s="25" t="str">
        <f aca="false">IF(Tasks[[#This Row],[Task Name]]="","",IF(N(Tasks[[#This Row],[Baseline Start]])&gt;0,Tasks[[#This Row],[Baseline Start]],Tasks[[#This Row],[_CalcStart]]))</f>
        <v/>
      </c>
      <c r="Q145" s="25" t="str">
        <f aca="false">IF(Tasks[[#This Row],[Task Name]]="","",IF(N(Tasks[[#This Row],[Baseline Finish]])&gt;0,Tasks[[#This Row],[Baseline Finish]],Tasks[[#This Row],[_CalcFinish]]))</f>
        <v/>
      </c>
      <c r="R145" s="53"/>
      <c r="S145" s="53"/>
      <c r="T1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55"/>
      <c r="AF14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30"/>
      <c r="AI145" s="55"/>
      <c r="AJ14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64"/>
      <c r="AM14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5" s="30"/>
      <c r="AP145" s="25" t="str">
        <f aca="false">IF(Tasks[[#This Row],[Task Name]]="","",Tasks[[#This Row],[Forecast Start]])</f>
        <v/>
      </c>
      <c r="AQ145" s="25" t="str">
        <f aca="false">IF(Tasks[[#This Row],[Task Name]]="","",Tasks[[#This Row],[Forecast Finish]])</f>
        <v/>
      </c>
      <c r="AR1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5" s="62" t="str">
        <f aca="false">IF(Tasks[[#This Row],[Task Name]]="","",Tasks[[#This Row],[Work]])</f>
        <v/>
      </c>
      <c r="AT145" s="63" t="str">
        <f aca="false">IF(Tasks[[#This Row],[Task Name]]="","",Tasks[[#This Row],[Cost]])</f>
        <v/>
      </c>
      <c r="AU145" s="53"/>
      <c r="AV145" s="53"/>
      <c r="AW145" s="29"/>
      <c r="AX145" s="65"/>
      <c r="AY145" s="64"/>
      <c r="AZ145" s="28" t="str">
        <f aca="false">IF(OR(Tasks[[#This Row],[Task Name]]="",Tasks[[#This Row],[Baseline Duration]]=""),"",Tasks[[#This Row],[BL Source Duration]]-N(Tasks[[#This Row],[Baseline Duration]]))</f>
        <v/>
      </c>
      <c r="BA145" s="62" t="str">
        <f aca="false">IF(OR(Tasks[[#This Row],[Task Name]]="",Tasks[[#This Row],[Baseline Work]]=""),"",Tasks[[#This Row],[Work]]-N(Tasks[[#This Row],[Baseline Work]]))</f>
        <v/>
      </c>
      <c r="BB145" s="63" t="str">
        <f aca="false">IF(OR(Tasks[[#This Row],[Task Name]]="",Tasks[[#This Row],[Baseline Cost]]=""),"",Tasks[[#This Row],[Cost]]-N(Tasks[[#This Row],[Baseline Cost]]))</f>
        <v/>
      </c>
      <c r="BC14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5" s="43" t="str">
        <f aca="false">IF(Tasks[[#This Row],[Task Name]]="","",MAX(1,N(Tasks[[#This Row],[Level]])))</f>
        <v/>
      </c>
      <c r="BH145" s="43" t="n">
        <f aca="false">ROW()-ROW(Tasks[[#Headers],[ID]])</f>
        <v>140</v>
      </c>
      <c r="BI1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5" s="43" t="n">
        <f aca="false">IFERROR(N(INDEX(Tasks[_Level],Tasks[[#This Row],[_Row]]+1)),0)</f>
        <v>0</v>
      </c>
      <c r="BK145" s="66" t="b">
        <f aca="false">AND(Tasks[[#This Row],[Task Name]]&lt;&gt;"",Tasks[[#This Row],[_NextLevel]]&gt;Tasks[[#This Row],[_Level]])</f>
        <v>0</v>
      </c>
      <c r="BL145" s="43" t="n">
        <f aca="false">IF(Tasks[[#This Row],[_IsSummary]],COUNTIF(Tasks[WBS],Tasks[[#This Row],[WBS]]&amp;".*"),0)</f>
        <v>0</v>
      </c>
      <c r="BM145" s="43" t="n">
        <f aca="false">IF(AND(Tasks[[#This Row],[Task Name]]&lt;&gt;"",NOT(Tasks[[#This Row],[_IsSummary]])),1,0)</f>
        <v>0</v>
      </c>
      <c r="BN145" s="43" t="n">
        <f aca="false">IF(N(Tasks[[#This Row],[Pred1 UID]])=0,0,IFERROR(MATCH(Tasks[[#This Row],[Pred1 UID]],Tasks[UID],0),-1))</f>
        <v>0</v>
      </c>
      <c r="BO145" s="43" t="n">
        <f aca="false">IF(N(Tasks[[#This Row],[Pred2 UID]])=0,0,IFERROR(MATCH(Tasks[[#This Row],[Pred2 UID]],Tasks[UID],0),-1))</f>
        <v>0</v>
      </c>
      <c r="BP14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5" s="43" t="n">
        <f aca="false">IF(NOT(Tasks[[#This Row],[_IsLeaf]]=1),0,IF(N(Tasks[[#This Row],[Actual Finish]])&gt;0,1,MIN(1,N(Tasks[[#This Row],[% Complete]]))))</f>
        <v>0</v>
      </c>
      <c r="BU1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5" s="43" t="n">
        <f aca="false">IF(Tasks[[#This Row],[_LeafWork]]=0,0,Tasks[[#This Row],[_LeafWork]]*IFERROR(INDEX(res_Rate,MATCH(Tasks[[#This Row],[Resource]],res_Name,0)),0))</f>
        <v>0</v>
      </c>
      <c r="BW1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5" s="43" t="n">
        <f aca="false">IF(NOT(Tasks[[#This Row],[_IsLeaf]]=1),0,MAX(_xlfn.MAXIFS(Tasks[_Row],Tasks[Pred1 UID],Tasks[[#This Row],[UID]]),_xlfn.MAXIFS(Tasks[_Row],Tasks[Pred2 UID],Tasks[[#This Row],[UID]])))</f>
        <v>0</v>
      </c>
      <c r="CB14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5" s="67" t="str">
        <f aca="false">IF(NOT(Tasks[[#This Row],[_IsLeaf]]=1),"",MIN(ProjectFinish,IF(N(Tasks[[#This Row],[Deadline]])&gt;0,Tasks[[#This Row],[Deadline]],2958465),Tasks[[#This Row],[_SuccessorFinishLimit]]))</f>
        <v/>
      </c>
      <c r="CD14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5" s="66" t="b">
        <f aca="false">AND(Tasks[[#This Row],[_IsLeaf]]=1,Tasks[[#This Row],[_LeafProgress]]&lt;1,N(Tasks[[#This Row],[_LeafTotalSlack]])&lt;=CriticalSlackDays)</f>
        <v>0</v>
      </c>
      <c r="CG14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5" s="43" t="n">
        <f aca="false">IF(AND(Tasks[[#This Row],[_IsLeaf]]=1,Tasks[[#This Row],[_LeafWork]]&gt;0),NETWORKDAYS.INTL(ProjectStart,Tasks[[#This Row],[_LeafFcstStart]],WorkWeek,Holidays),0)</f>
        <v>0</v>
      </c>
      <c r="CP1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5" s="43" t="n">
        <f aca="false">IF(AND(Tasks[[#This Row],[_IsLeaf]]=1,Tasks[[#This Row],[_LeafWork]]&gt;0),Tasks[[#This Row],[_LeafWork]]/(Tasks[[#This Row],[_FinishWorkday]]-Tasks[[#This Row],[_StartWorkday]]+1),0)</f>
        <v>0</v>
      </c>
      <c r="CR145" s="43" t="n">
        <f aca="false">Tasks[[#This Row],[_WorkPerWorkday]]*(Tasks[[#This Row],[_StartWorkday]]-1)</f>
        <v>-0</v>
      </c>
      <c r="CS145" s="43" t="n">
        <f aca="false">IF(Tasks[[#This Row],[_IsLeaf]]=1,MAX(N(Tasks[[#This Row],[Duration]]),0.1),0)</f>
        <v>0</v>
      </c>
      <c r="CT145" s="43" t="n">
        <f aca="false">Tasks[[#This Row],[_WeightDur]]*Tasks[[#This Row],[_LeafProgress]]</f>
        <v>0</v>
      </c>
      <c r="CU1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5" s="43" t="str">
        <f aca="false">IF(AND(Tasks[[#This Row],[_IsLeaf]]=1,N(Tasks[[#This Row],[Duration]])=0,Tasks[[#This Row],[_LeafProgress]]&lt;1),Tasks[[#This Row],[_LeafFcstFinish]]+Tasks[[#This Row],[_Row]]/100000,"")</f>
        <v/>
      </c>
      <c r="DA1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5" s="43" t="n">
        <f aca="false">IF(NOT(Tasks[[#This Row],[_IsLeaf]]=1),0,IF(Tasks[[#This Row],[Baseline Cost]]="",Tasks[[#This Row],[_LeafCost]],N(Tasks[[#This Row],[Baseline Cost]])))</f>
        <v>0</v>
      </c>
      <c r="DC145" s="43" t="n">
        <f aca="false">Tasks[[#This Row],[_LeafBudget]]*Tasks[[#This Row],[_PlannedPct]]</f>
        <v>0</v>
      </c>
      <c r="DD145" s="43" t="n">
        <f aca="false">Tasks[[#This Row],[_LeafBudget]]*Tasks[[#This Row],[_LeafProgress]]</f>
        <v>0</v>
      </c>
      <c r="DE145" s="43" t="n">
        <f aca="false">IF(NOT(Tasks[[#This Row],[_IsLeaf]]=1),0,IF(Tasks[[#This Row],[Actual Cost]]="",Tasks[[#This Row],[_LeafCost]]*Tasks[[#This Row],[_LeafProgress]],N(Tasks[[#This Row],[Actual Cost]])))</f>
        <v>0</v>
      </c>
      <c r="DF145" s="43" t="str">
        <f aca="false">IF(Tasks[[#This Row],[Task Name]]="","",LEFT(Tasks[[#This Row],[WBS]],FIND(".",Tasks[[#This Row],[WBS]]&amp;".")-1))</f>
        <v/>
      </c>
      <c r="DG145" s="43" t="str">
        <f aca="false">IF(AND(Tasks[[#This Row],[Task Name]]&lt;&gt;"",Tasks[[#This Row],[_Level]]=1),Tasks[[#This Row],[_Row]],"")</f>
        <v/>
      </c>
      <c r="DH145" s="43" t="str">
        <f aca="false">IF(AND(Tasks[[#This Row],[_IsLeaf]]=1,N(Tasks[[#This Row],[Duration]])=0),Tasks[[#This Row],[Planned Finish]]+Tasks[[#This Row],[_Row]]/100000,"")</f>
        <v/>
      </c>
      <c r="DI1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5" s="43" t="str">
        <f aca="false">IF(Tasks[[#This Row],[_LeafCritical]],Tasks[[#This Row],[_LeafFcstStart]]+Tasks[[#This Row],[_Row]]/100000,"")</f>
        <v/>
      </c>
    </row>
    <row r="146" customFormat="false" ht="15" hidden="false" customHeight="false" outlineLevel="0" collapsed="false">
      <c r="A146" s="28" t="str">
        <f aca="false">IF(Tasks[[#This Row],[Task Name]]="","",COUNTA(Tasks[[#Headers],[Task Name]]:Tasks[[#This Row],[Task Name]])-1)</f>
        <v/>
      </c>
      <c r="B146" s="29" t="n">
        <v>141</v>
      </c>
      <c r="C1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29"/>
      <c r="E146" s="30"/>
      <c r="F146" s="29"/>
      <c r="G146" s="29"/>
      <c r="H146" s="29"/>
      <c r="I146" s="29"/>
      <c r="J146" s="29"/>
      <c r="K146" s="29"/>
      <c r="L146" s="29"/>
      <c r="M146" s="29"/>
      <c r="N146" s="53"/>
      <c r="O146" s="53"/>
      <c r="P146" s="25" t="str">
        <f aca="false">IF(Tasks[[#This Row],[Task Name]]="","",IF(N(Tasks[[#This Row],[Baseline Start]])&gt;0,Tasks[[#This Row],[Baseline Start]],Tasks[[#This Row],[_CalcStart]]))</f>
        <v/>
      </c>
      <c r="Q146" s="25" t="str">
        <f aca="false">IF(Tasks[[#This Row],[Task Name]]="","",IF(N(Tasks[[#This Row],[Baseline Finish]])&gt;0,Tasks[[#This Row],[Baseline Finish]],Tasks[[#This Row],[_CalcFinish]]))</f>
        <v/>
      </c>
      <c r="R146" s="53"/>
      <c r="S146" s="53"/>
      <c r="T1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55"/>
      <c r="AF14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30"/>
      <c r="AI146" s="55"/>
      <c r="AJ14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64"/>
      <c r="AM14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6" s="30"/>
      <c r="AP146" s="25" t="str">
        <f aca="false">IF(Tasks[[#This Row],[Task Name]]="","",Tasks[[#This Row],[Forecast Start]])</f>
        <v/>
      </c>
      <c r="AQ146" s="25" t="str">
        <f aca="false">IF(Tasks[[#This Row],[Task Name]]="","",Tasks[[#This Row],[Forecast Finish]])</f>
        <v/>
      </c>
      <c r="AR1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6" s="62" t="str">
        <f aca="false">IF(Tasks[[#This Row],[Task Name]]="","",Tasks[[#This Row],[Work]])</f>
        <v/>
      </c>
      <c r="AT146" s="63" t="str">
        <f aca="false">IF(Tasks[[#This Row],[Task Name]]="","",Tasks[[#This Row],[Cost]])</f>
        <v/>
      </c>
      <c r="AU146" s="53"/>
      <c r="AV146" s="53"/>
      <c r="AW146" s="29"/>
      <c r="AX146" s="65"/>
      <c r="AY146" s="64"/>
      <c r="AZ146" s="28" t="str">
        <f aca="false">IF(OR(Tasks[[#This Row],[Task Name]]="",Tasks[[#This Row],[Baseline Duration]]=""),"",Tasks[[#This Row],[BL Source Duration]]-N(Tasks[[#This Row],[Baseline Duration]]))</f>
        <v/>
      </c>
      <c r="BA146" s="62" t="str">
        <f aca="false">IF(OR(Tasks[[#This Row],[Task Name]]="",Tasks[[#This Row],[Baseline Work]]=""),"",Tasks[[#This Row],[Work]]-N(Tasks[[#This Row],[Baseline Work]]))</f>
        <v/>
      </c>
      <c r="BB146" s="63" t="str">
        <f aca="false">IF(OR(Tasks[[#This Row],[Task Name]]="",Tasks[[#This Row],[Baseline Cost]]=""),"",Tasks[[#This Row],[Cost]]-N(Tasks[[#This Row],[Baseline Cost]]))</f>
        <v/>
      </c>
      <c r="BC14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6" s="43" t="str">
        <f aca="false">IF(Tasks[[#This Row],[Task Name]]="","",MAX(1,N(Tasks[[#This Row],[Level]])))</f>
        <v/>
      </c>
      <c r="BH146" s="43" t="n">
        <f aca="false">ROW()-ROW(Tasks[[#Headers],[ID]])</f>
        <v>141</v>
      </c>
      <c r="BI1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6" s="43" t="n">
        <f aca="false">IFERROR(N(INDEX(Tasks[_Level],Tasks[[#This Row],[_Row]]+1)),0)</f>
        <v>0</v>
      </c>
      <c r="BK146" s="66" t="b">
        <f aca="false">AND(Tasks[[#This Row],[Task Name]]&lt;&gt;"",Tasks[[#This Row],[_NextLevel]]&gt;Tasks[[#This Row],[_Level]])</f>
        <v>0</v>
      </c>
      <c r="BL146" s="43" t="n">
        <f aca="false">IF(Tasks[[#This Row],[_IsSummary]],COUNTIF(Tasks[WBS],Tasks[[#This Row],[WBS]]&amp;".*"),0)</f>
        <v>0</v>
      </c>
      <c r="BM146" s="43" t="n">
        <f aca="false">IF(AND(Tasks[[#This Row],[Task Name]]&lt;&gt;"",NOT(Tasks[[#This Row],[_IsSummary]])),1,0)</f>
        <v>0</v>
      </c>
      <c r="BN146" s="43" t="n">
        <f aca="false">IF(N(Tasks[[#This Row],[Pred1 UID]])=0,0,IFERROR(MATCH(Tasks[[#This Row],[Pred1 UID]],Tasks[UID],0),-1))</f>
        <v>0</v>
      </c>
      <c r="BO146" s="43" t="n">
        <f aca="false">IF(N(Tasks[[#This Row],[Pred2 UID]])=0,0,IFERROR(MATCH(Tasks[[#This Row],[Pred2 UID]],Tasks[UID],0),-1))</f>
        <v>0</v>
      </c>
      <c r="BP14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6" s="43" t="n">
        <f aca="false">IF(NOT(Tasks[[#This Row],[_IsLeaf]]=1),0,IF(N(Tasks[[#This Row],[Actual Finish]])&gt;0,1,MIN(1,N(Tasks[[#This Row],[% Complete]]))))</f>
        <v>0</v>
      </c>
      <c r="BU1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6" s="43" t="n">
        <f aca="false">IF(Tasks[[#This Row],[_LeafWork]]=0,0,Tasks[[#This Row],[_LeafWork]]*IFERROR(INDEX(res_Rate,MATCH(Tasks[[#This Row],[Resource]],res_Name,0)),0))</f>
        <v>0</v>
      </c>
      <c r="BW1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6" s="43" t="n">
        <f aca="false">IF(NOT(Tasks[[#This Row],[_IsLeaf]]=1),0,MAX(_xlfn.MAXIFS(Tasks[_Row],Tasks[Pred1 UID],Tasks[[#This Row],[UID]]),_xlfn.MAXIFS(Tasks[_Row],Tasks[Pred2 UID],Tasks[[#This Row],[UID]])))</f>
        <v>0</v>
      </c>
      <c r="CB14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6" s="67" t="str">
        <f aca="false">IF(NOT(Tasks[[#This Row],[_IsLeaf]]=1),"",MIN(ProjectFinish,IF(N(Tasks[[#This Row],[Deadline]])&gt;0,Tasks[[#This Row],[Deadline]],2958465),Tasks[[#This Row],[_SuccessorFinishLimit]]))</f>
        <v/>
      </c>
      <c r="CD14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6" s="66" t="b">
        <f aca="false">AND(Tasks[[#This Row],[_IsLeaf]]=1,Tasks[[#This Row],[_LeafProgress]]&lt;1,N(Tasks[[#This Row],[_LeafTotalSlack]])&lt;=CriticalSlackDays)</f>
        <v>0</v>
      </c>
      <c r="CG14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6" s="43" t="n">
        <f aca="false">IF(AND(Tasks[[#This Row],[_IsLeaf]]=1,Tasks[[#This Row],[_LeafWork]]&gt;0),NETWORKDAYS.INTL(ProjectStart,Tasks[[#This Row],[_LeafFcstStart]],WorkWeek,Holidays),0)</f>
        <v>0</v>
      </c>
      <c r="CP1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6" s="43" t="n">
        <f aca="false">IF(AND(Tasks[[#This Row],[_IsLeaf]]=1,Tasks[[#This Row],[_LeafWork]]&gt;0),Tasks[[#This Row],[_LeafWork]]/(Tasks[[#This Row],[_FinishWorkday]]-Tasks[[#This Row],[_StartWorkday]]+1),0)</f>
        <v>0</v>
      </c>
      <c r="CR146" s="43" t="n">
        <f aca="false">Tasks[[#This Row],[_WorkPerWorkday]]*(Tasks[[#This Row],[_StartWorkday]]-1)</f>
        <v>-0</v>
      </c>
      <c r="CS146" s="43" t="n">
        <f aca="false">IF(Tasks[[#This Row],[_IsLeaf]]=1,MAX(N(Tasks[[#This Row],[Duration]]),0.1),0)</f>
        <v>0</v>
      </c>
      <c r="CT146" s="43" t="n">
        <f aca="false">Tasks[[#This Row],[_WeightDur]]*Tasks[[#This Row],[_LeafProgress]]</f>
        <v>0</v>
      </c>
      <c r="CU1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6" s="43" t="str">
        <f aca="false">IF(AND(Tasks[[#This Row],[_IsLeaf]]=1,N(Tasks[[#This Row],[Duration]])=0,Tasks[[#This Row],[_LeafProgress]]&lt;1),Tasks[[#This Row],[_LeafFcstFinish]]+Tasks[[#This Row],[_Row]]/100000,"")</f>
        <v/>
      </c>
      <c r="DA1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6" s="43" t="n">
        <f aca="false">IF(NOT(Tasks[[#This Row],[_IsLeaf]]=1),0,IF(Tasks[[#This Row],[Baseline Cost]]="",Tasks[[#This Row],[_LeafCost]],N(Tasks[[#This Row],[Baseline Cost]])))</f>
        <v>0</v>
      </c>
      <c r="DC146" s="43" t="n">
        <f aca="false">Tasks[[#This Row],[_LeafBudget]]*Tasks[[#This Row],[_PlannedPct]]</f>
        <v>0</v>
      </c>
      <c r="DD146" s="43" t="n">
        <f aca="false">Tasks[[#This Row],[_LeafBudget]]*Tasks[[#This Row],[_LeafProgress]]</f>
        <v>0</v>
      </c>
      <c r="DE146" s="43" t="n">
        <f aca="false">IF(NOT(Tasks[[#This Row],[_IsLeaf]]=1),0,IF(Tasks[[#This Row],[Actual Cost]]="",Tasks[[#This Row],[_LeafCost]]*Tasks[[#This Row],[_LeafProgress]],N(Tasks[[#This Row],[Actual Cost]])))</f>
        <v>0</v>
      </c>
      <c r="DF146" s="43" t="str">
        <f aca="false">IF(Tasks[[#This Row],[Task Name]]="","",LEFT(Tasks[[#This Row],[WBS]],FIND(".",Tasks[[#This Row],[WBS]]&amp;".")-1))</f>
        <v/>
      </c>
      <c r="DG146" s="43" t="str">
        <f aca="false">IF(AND(Tasks[[#This Row],[Task Name]]&lt;&gt;"",Tasks[[#This Row],[_Level]]=1),Tasks[[#This Row],[_Row]],"")</f>
        <v/>
      </c>
      <c r="DH146" s="43" t="str">
        <f aca="false">IF(AND(Tasks[[#This Row],[_IsLeaf]]=1,N(Tasks[[#This Row],[Duration]])=0),Tasks[[#This Row],[Planned Finish]]+Tasks[[#This Row],[_Row]]/100000,"")</f>
        <v/>
      </c>
      <c r="DI1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6" s="43" t="str">
        <f aca="false">IF(Tasks[[#This Row],[_LeafCritical]],Tasks[[#This Row],[_LeafFcstStart]]+Tasks[[#This Row],[_Row]]/100000,"")</f>
        <v/>
      </c>
    </row>
    <row r="147" customFormat="false" ht="15" hidden="false" customHeight="false" outlineLevel="0" collapsed="false">
      <c r="A147" s="28" t="str">
        <f aca="false">IF(Tasks[[#This Row],[Task Name]]="","",COUNTA(Tasks[[#Headers],[Task Name]]:Tasks[[#This Row],[Task Name]])-1)</f>
        <v/>
      </c>
      <c r="B147" s="29" t="n">
        <v>142</v>
      </c>
      <c r="C1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29"/>
      <c r="E147" s="30"/>
      <c r="F147" s="29"/>
      <c r="G147" s="29"/>
      <c r="H147" s="29"/>
      <c r="I147" s="29"/>
      <c r="J147" s="29"/>
      <c r="K147" s="29"/>
      <c r="L147" s="29"/>
      <c r="M147" s="29"/>
      <c r="N147" s="53"/>
      <c r="O147" s="53"/>
      <c r="P147" s="25" t="str">
        <f aca="false">IF(Tasks[[#This Row],[Task Name]]="","",IF(N(Tasks[[#This Row],[Baseline Start]])&gt;0,Tasks[[#This Row],[Baseline Start]],Tasks[[#This Row],[_CalcStart]]))</f>
        <v/>
      </c>
      <c r="Q147" s="25" t="str">
        <f aca="false">IF(Tasks[[#This Row],[Task Name]]="","",IF(N(Tasks[[#This Row],[Baseline Finish]])&gt;0,Tasks[[#This Row],[Baseline Finish]],Tasks[[#This Row],[_CalcFinish]]))</f>
        <v/>
      </c>
      <c r="R147" s="53"/>
      <c r="S147" s="53"/>
      <c r="T1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55"/>
      <c r="AF14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30"/>
      <c r="AI147" s="55"/>
      <c r="AJ14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64"/>
      <c r="AM14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7" s="30"/>
      <c r="AP147" s="25" t="str">
        <f aca="false">IF(Tasks[[#This Row],[Task Name]]="","",Tasks[[#This Row],[Forecast Start]])</f>
        <v/>
      </c>
      <c r="AQ147" s="25" t="str">
        <f aca="false">IF(Tasks[[#This Row],[Task Name]]="","",Tasks[[#This Row],[Forecast Finish]])</f>
        <v/>
      </c>
      <c r="AR1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7" s="62" t="str">
        <f aca="false">IF(Tasks[[#This Row],[Task Name]]="","",Tasks[[#This Row],[Work]])</f>
        <v/>
      </c>
      <c r="AT147" s="63" t="str">
        <f aca="false">IF(Tasks[[#This Row],[Task Name]]="","",Tasks[[#This Row],[Cost]])</f>
        <v/>
      </c>
      <c r="AU147" s="53"/>
      <c r="AV147" s="53"/>
      <c r="AW147" s="29"/>
      <c r="AX147" s="65"/>
      <c r="AY147" s="64"/>
      <c r="AZ147" s="28" t="str">
        <f aca="false">IF(OR(Tasks[[#This Row],[Task Name]]="",Tasks[[#This Row],[Baseline Duration]]=""),"",Tasks[[#This Row],[BL Source Duration]]-N(Tasks[[#This Row],[Baseline Duration]]))</f>
        <v/>
      </c>
      <c r="BA147" s="62" t="str">
        <f aca="false">IF(OR(Tasks[[#This Row],[Task Name]]="",Tasks[[#This Row],[Baseline Work]]=""),"",Tasks[[#This Row],[Work]]-N(Tasks[[#This Row],[Baseline Work]]))</f>
        <v/>
      </c>
      <c r="BB147" s="63" t="str">
        <f aca="false">IF(OR(Tasks[[#This Row],[Task Name]]="",Tasks[[#This Row],[Baseline Cost]]=""),"",Tasks[[#This Row],[Cost]]-N(Tasks[[#This Row],[Baseline Cost]]))</f>
        <v/>
      </c>
      <c r="BC14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7" s="43" t="str">
        <f aca="false">IF(Tasks[[#This Row],[Task Name]]="","",MAX(1,N(Tasks[[#This Row],[Level]])))</f>
        <v/>
      </c>
      <c r="BH147" s="43" t="n">
        <f aca="false">ROW()-ROW(Tasks[[#Headers],[ID]])</f>
        <v>142</v>
      </c>
      <c r="BI1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7" s="43" t="n">
        <f aca="false">IFERROR(N(INDEX(Tasks[_Level],Tasks[[#This Row],[_Row]]+1)),0)</f>
        <v>0</v>
      </c>
      <c r="BK147" s="66" t="b">
        <f aca="false">AND(Tasks[[#This Row],[Task Name]]&lt;&gt;"",Tasks[[#This Row],[_NextLevel]]&gt;Tasks[[#This Row],[_Level]])</f>
        <v>0</v>
      </c>
      <c r="BL147" s="43" t="n">
        <f aca="false">IF(Tasks[[#This Row],[_IsSummary]],COUNTIF(Tasks[WBS],Tasks[[#This Row],[WBS]]&amp;".*"),0)</f>
        <v>0</v>
      </c>
      <c r="BM147" s="43" t="n">
        <f aca="false">IF(AND(Tasks[[#This Row],[Task Name]]&lt;&gt;"",NOT(Tasks[[#This Row],[_IsSummary]])),1,0)</f>
        <v>0</v>
      </c>
      <c r="BN147" s="43" t="n">
        <f aca="false">IF(N(Tasks[[#This Row],[Pred1 UID]])=0,0,IFERROR(MATCH(Tasks[[#This Row],[Pred1 UID]],Tasks[UID],0),-1))</f>
        <v>0</v>
      </c>
      <c r="BO147" s="43" t="n">
        <f aca="false">IF(N(Tasks[[#This Row],[Pred2 UID]])=0,0,IFERROR(MATCH(Tasks[[#This Row],[Pred2 UID]],Tasks[UID],0),-1))</f>
        <v>0</v>
      </c>
      <c r="BP14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7" s="43" t="n">
        <f aca="false">IF(NOT(Tasks[[#This Row],[_IsLeaf]]=1),0,IF(N(Tasks[[#This Row],[Actual Finish]])&gt;0,1,MIN(1,N(Tasks[[#This Row],[% Complete]]))))</f>
        <v>0</v>
      </c>
      <c r="BU1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7" s="43" t="n">
        <f aca="false">IF(Tasks[[#This Row],[_LeafWork]]=0,0,Tasks[[#This Row],[_LeafWork]]*IFERROR(INDEX(res_Rate,MATCH(Tasks[[#This Row],[Resource]],res_Name,0)),0))</f>
        <v>0</v>
      </c>
      <c r="BW1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7" s="43" t="n">
        <f aca="false">IF(NOT(Tasks[[#This Row],[_IsLeaf]]=1),0,MAX(_xlfn.MAXIFS(Tasks[_Row],Tasks[Pred1 UID],Tasks[[#This Row],[UID]]),_xlfn.MAXIFS(Tasks[_Row],Tasks[Pred2 UID],Tasks[[#This Row],[UID]])))</f>
        <v>0</v>
      </c>
      <c r="CB14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7" s="67" t="str">
        <f aca="false">IF(NOT(Tasks[[#This Row],[_IsLeaf]]=1),"",MIN(ProjectFinish,IF(N(Tasks[[#This Row],[Deadline]])&gt;0,Tasks[[#This Row],[Deadline]],2958465),Tasks[[#This Row],[_SuccessorFinishLimit]]))</f>
        <v/>
      </c>
      <c r="CD14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7" s="66" t="b">
        <f aca="false">AND(Tasks[[#This Row],[_IsLeaf]]=1,Tasks[[#This Row],[_LeafProgress]]&lt;1,N(Tasks[[#This Row],[_LeafTotalSlack]])&lt;=CriticalSlackDays)</f>
        <v>0</v>
      </c>
      <c r="CG14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7" s="43" t="n">
        <f aca="false">IF(AND(Tasks[[#This Row],[_IsLeaf]]=1,Tasks[[#This Row],[_LeafWork]]&gt;0),NETWORKDAYS.INTL(ProjectStart,Tasks[[#This Row],[_LeafFcstStart]],WorkWeek,Holidays),0)</f>
        <v>0</v>
      </c>
      <c r="CP1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7" s="43" t="n">
        <f aca="false">IF(AND(Tasks[[#This Row],[_IsLeaf]]=1,Tasks[[#This Row],[_LeafWork]]&gt;0),Tasks[[#This Row],[_LeafWork]]/(Tasks[[#This Row],[_FinishWorkday]]-Tasks[[#This Row],[_StartWorkday]]+1),0)</f>
        <v>0</v>
      </c>
      <c r="CR147" s="43" t="n">
        <f aca="false">Tasks[[#This Row],[_WorkPerWorkday]]*(Tasks[[#This Row],[_StartWorkday]]-1)</f>
        <v>-0</v>
      </c>
      <c r="CS147" s="43" t="n">
        <f aca="false">IF(Tasks[[#This Row],[_IsLeaf]]=1,MAX(N(Tasks[[#This Row],[Duration]]),0.1),0)</f>
        <v>0</v>
      </c>
      <c r="CT147" s="43" t="n">
        <f aca="false">Tasks[[#This Row],[_WeightDur]]*Tasks[[#This Row],[_LeafProgress]]</f>
        <v>0</v>
      </c>
      <c r="CU1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7" s="43" t="str">
        <f aca="false">IF(AND(Tasks[[#This Row],[_IsLeaf]]=1,N(Tasks[[#This Row],[Duration]])=0,Tasks[[#This Row],[_LeafProgress]]&lt;1),Tasks[[#This Row],[_LeafFcstFinish]]+Tasks[[#This Row],[_Row]]/100000,"")</f>
        <v/>
      </c>
      <c r="DA1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7" s="43" t="n">
        <f aca="false">IF(NOT(Tasks[[#This Row],[_IsLeaf]]=1),0,IF(Tasks[[#This Row],[Baseline Cost]]="",Tasks[[#This Row],[_LeafCost]],N(Tasks[[#This Row],[Baseline Cost]])))</f>
        <v>0</v>
      </c>
      <c r="DC147" s="43" t="n">
        <f aca="false">Tasks[[#This Row],[_LeafBudget]]*Tasks[[#This Row],[_PlannedPct]]</f>
        <v>0</v>
      </c>
      <c r="DD147" s="43" t="n">
        <f aca="false">Tasks[[#This Row],[_LeafBudget]]*Tasks[[#This Row],[_LeafProgress]]</f>
        <v>0</v>
      </c>
      <c r="DE147" s="43" t="n">
        <f aca="false">IF(NOT(Tasks[[#This Row],[_IsLeaf]]=1),0,IF(Tasks[[#This Row],[Actual Cost]]="",Tasks[[#This Row],[_LeafCost]]*Tasks[[#This Row],[_LeafProgress]],N(Tasks[[#This Row],[Actual Cost]])))</f>
        <v>0</v>
      </c>
      <c r="DF147" s="43" t="str">
        <f aca="false">IF(Tasks[[#This Row],[Task Name]]="","",LEFT(Tasks[[#This Row],[WBS]],FIND(".",Tasks[[#This Row],[WBS]]&amp;".")-1))</f>
        <v/>
      </c>
      <c r="DG147" s="43" t="str">
        <f aca="false">IF(AND(Tasks[[#This Row],[Task Name]]&lt;&gt;"",Tasks[[#This Row],[_Level]]=1),Tasks[[#This Row],[_Row]],"")</f>
        <v/>
      </c>
      <c r="DH147" s="43" t="str">
        <f aca="false">IF(AND(Tasks[[#This Row],[_IsLeaf]]=1,N(Tasks[[#This Row],[Duration]])=0),Tasks[[#This Row],[Planned Finish]]+Tasks[[#This Row],[_Row]]/100000,"")</f>
        <v/>
      </c>
      <c r="DI1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7" s="43" t="str">
        <f aca="false">IF(Tasks[[#This Row],[_LeafCritical]],Tasks[[#This Row],[_LeafFcstStart]]+Tasks[[#This Row],[_Row]]/100000,"")</f>
        <v/>
      </c>
    </row>
    <row r="148" customFormat="false" ht="15" hidden="false" customHeight="false" outlineLevel="0" collapsed="false">
      <c r="A148" s="28" t="str">
        <f aca="false">IF(Tasks[[#This Row],[Task Name]]="","",COUNTA(Tasks[[#Headers],[Task Name]]:Tasks[[#This Row],[Task Name]])-1)</f>
        <v/>
      </c>
      <c r="B148" s="29" t="n">
        <v>143</v>
      </c>
      <c r="C1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29"/>
      <c r="E148" s="30"/>
      <c r="F148" s="29"/>
      <c r="G148" s="29"/>
      <c r="H148" s="29"/>
      <c r="I148" s="29"/>
      <c r="J148" s="29"/>
      <c r="K148" s="29"/>
      <c r="L148" s="29"/>
      <c r="M148" s="29"/>
      <c r="N148" s="53"/>
      <c r="O148" s="53"/>
      <c r="P148" s="25" t="str">
        <f aca="false">IF(Tasks[[#This Row],[Task Name]]="","",IF(N(Tasks[[#This Row],[Baseline Start]])&gt;0,Tasks[[#This Row],[Baseline Start]],Tasks[[#This Row],[_CalcStart]]))</f>
        <v/>
      </c>
      <c r="Q148" s="25" t="str">
        <f aca="false">IF(Tasks[[#This Row],[Task Name]]="","",IF(N(Tasks[[#This Row],[Baseline Finish]])&gt;0,Tasks[[#This Row],[Baseline Finish]],Tasks[[#This Row],[_CalcFinish]]))</f>
        <v/>
      </c>
      <c r="R148" s="53"/>
      <c r="S148" s="53"/>
      <c r="T1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55"/>
      <c r="AF14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30"/>
      <c r="AI148" s="55"/>
      <c r="AJ14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64"/>
      <c r="AM14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8" s="30"/>
      <c r="AP148" s="25" t="str">
        <f aca="false">IF(Tasks[[#This Row],[Task Name]]="","",Tasks[[#This Row],[Forecast Start]])</f>
        <v/>
      </c>
      <c r="AQ148" s="25" t="str">
        <f aca="false">IF(Tasks[[#This Row],[Task Name]]="","",Tasks[[#This Row],[Forecast Finish]])</f>
        <v/>
      </c>
      <c r="AR1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8" s="62" t="str">
        <f aca="false">IF(Tasks[[#This Row],[Task Name]]="","",Tasks[[#This Row],[Work]])</f>
        <v/>
      </c>
      <c r="AT148" s="63" t="str">
        <f aca="false">IF(Tasks[[#This Row],[Task Name]]="","",Tasks[[#This Row],[Cost]])</f>
        <v/>
      </c>
      <c r="AU148" s="53"/>
      <c r="AV148" s="53"/>
      <c r="AW148" s="29"/>
      <c r="AX148" s="65"/>
      <c r="AY148" s="64"/>
      <c r="AZ148" s="28" t="str">
        <f aca="false">IF(OR(Tasks[[#This Row],[Task Name]]="",Tasks[[#This Row],[Baseline Duration]]=""),"",Tasks[[#This Row],[BL Source Duration]]-N(Tasks[[#This Row],[Baseline Duration]]))</f>
        <v/>
      </c>
      <c r="BA148" s="62" t="str">
        <f aca="false">IF(OR(Tasks[[#This Row],[Task Name]]="",Tasks[[#This Row],[Baseline Work]]=""),"",Tasks[[#This Row],[Work]]-N(Tasks[[#This Row],[Baseline Work]]))</f>
        <v/>
      </c>
      <c r="BB148" s="63" t="str">
        <f aca="false">IF(OR(Tasks[[#This Row],[Task Name]]="",Tasks[[#This Row],[Baseline Cost]]=""),"",Tasks[[#This Row],[Cost]]-N(Tasks[[#This Row],[Baseline Cost]]))</f>
        <v/>
      </c>
      <c r="BC14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8" s="43" t="str">
        <f aca="false">IF(Tasks[[#This Row],[Task Name]]="","",MAX(1,N(Tasks[[#This Row],[Level]])))</f>
        <v/>
      </c>
      <c r="BH148" s="43" t="n">
        <f aca="false">ROW()-ROW(Tasks[[#Headers],[ID]])</f>
        <v>143</v>
      </c>
      <c r="BI1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8" s="43" t="n">
        <f aca="false">IFERROR(N(INDEX(Tasks[_Level],Tasks[[#This Row],[_Row]]+1)),0)</f>
        <v>0</v>
      </c>
      <c r="BK148" s="66" t="b">
        <f aca="false">AND(Tasks[[#This Row],[Task Name]]&lt;&gt;"",Tasks[[#This Row],[_NextLevel]]&gt;Tasks[[#This Row],[_Level]])</f>
        <v>0</v>
      </c>
      <c r="BL148" s="43" t="n">
        <f aca="false">IF(Tasks[[#This Row],[_IsSummary]],COUNTIF(Tasks[WBS],Tasks[[#This Row],[WBS]]&amp;".*"),0)</f>
        <v>0</v>
      </c>
      <c r="BM148" s="43" t="n">
        <f aca="false">IF(AND(Tasks[[#This Row],[Task Name]]&lt;&gt;"",NOT(Tasks[[#This Row],[_IsSummary]])),1,0)</f>
        <v>0</v>
      </c>
      <c r="BN148" s="43" t="n">
        <f aca="false">IF(N(Tasks[[#This Row],[Pred1 UID]])=0,0,IFERROR(MATCH(Tasks[[#This Row],[Pred1 UID]],Tasks[UID],0),-1))</f>
        <v>0</v>
      </c>
      <c r="BO148" s="43" t="n">
        <f aca="false">IF(N(Tasks[[#This Row],[Pred2 UID]])=0,0,IFERROR(MATCH(Tasks[[#This Row],[Pred2 UID]],Tasks[UID],0),-1))</f>
        <v>0</v>
      </c>
      <c r="BP14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8" s="43" t="n">
        <f aca="false">IF(NOT(Tasks[[#This Row],[_IsLeaf]]=1),0,IF(N(Tasks[[#This Row],[Actual Finish]])&gt;0,1,MIN(1,N(Tasks[[#This Row],[% Complete]]))))</f>
        <v>0</v>
      </c>
      <c r="BU1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8" s="43" t="n">
        <f aca="false">IF(Tasks[[#This Row],[_LeafWork]]=0,0,Tasks[[#This Row],[_LeafWork]]*IFERROR(INDEX(res_Rate,MATCH(Tasks[[#This Row],[Resource]],res_Name,0)),0))</f>
        <v>0</v>
      </c>
      <c r="BW1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8" s="43" t="n">
        <f aca="false">IF(NOT(Tasks[[#This Row],[_IsLeaf]]=1),0,MAX(_xlfn.MAXIFS(Tasks[_Row],Tasks[Pred1 UID],Tasks[[#This Row],[UID]]),_xlfn.MAXIFS(Tasks[_Row],Tasks[Pred2 UID],Tasks[[#This Row],[UID]])))</f>
        <v>0</v>
      </c>
      <c r="CB14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8" s="67" t="str">
        <f aca="false">IF(NOT(Tasks[[#This Row],[_IsLeaf]]=1),"",MIN(ProjectFinish,IF(N(Tasks[[#This Row],[Deadline]])&gt;0,Tasks[[#This Row],[Deadline]],2958465),Tasks[[#This Row],[_SuccessorFinishLimit]]))</f>
        <v/>
      </c>
      <c r="CD14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8" s="66" t="b">
        <f aca="false">AND(Tasks[[#This Row],[_IsLeaf]]=1,Tasks[[#This Row],[_LeafProgress]]&lt;1,N(Tasks[[#This Row],[_LeafTotalSlack]])&lt;=CriticalSlackDays)</f>
        <v>0</v>
      </c>
      <c r="CG14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8" s="43" t="n">
        <f aca="false">IF(AND(Tasks[[#This Row],[_IsLeaf]]=1,Tasks[[#This Row],[_LeafWork]]&gt;0),NETWORKDAYS.INTL(ProjectStart,Tasks[[#This Row],[_LeafFcstStart]],WorkWeek,Holidays),0)</f>
        <v>0</v>
      </c>
      <c r="CP1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8" s="43" t="n">
        <f aca="false">IF(AND(Tasks[[#This Row],[_IsLeaf]]=1,Tasks[[#This Row],[_LeafWork]]&gt;0),Tasks[[#This Row],[_LeafWork]]/(Tasks[[#This Row],[_FinishWorkday]]-Tasks[[#This Row],[_StartWorkday]]+1),0)</f>
        <v>0</v>
      </c>
      <c r="CR148" s="43" t="n">
        <f aca="false">Tasks[[#This Row],[_WorkPerWorkday]]*(Tasks[[#This Row],[_StartWorkday]]-1)</f>
        <v>-0</v>
      </c>
      <c r="CS148" s="43" t="n">
        <f aca="false">IF(Tasks[[#This Row],[_IsLeaf]]=1,MAX(N(Tasks[[#This Row],[Duration]]),0.1),0)</f>
        <v>0</v>
      </c>
      <c r="CT148" s="43" t="n">
        <f aca="false">Tasks[[#This Row],[_WeightDur]]*Tasks[[#This Row],[_LeafProgress]]</f>
        <v>0</v>
      </c>
      <c r="CU1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8" s="43" t="str">
        <f aca="false">IF(AND(Tasks[[#This Row],[_IsLeaf]]=1,N(Tasks[[#This Row],[Duration]])=0,Tasks[[#This Row],[_LeafProgress]]&lt;1),Tasks[[#This Row],[_LeafFcstFinish]]+Tasks[[#This Row],[_Row]]/100000,"")</f>
        <v/>
      </c>
      <c r="DA1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8" s="43" t="n">
        <f aca="false">IF(NOT(Tasks[[#This Row],[_IsLeaf]]=1),0,IF(Tasks[[#This Row],[Baseline Cost]]="",Tasks[[#This Row],[_LeafCost]],N(Tasks[[#This Row],[Baseline Cost]])))</f>
        <v>0</v>
      </c>
      <c r="DC148" s="43" t="n">
        <f aca="false">Tasks[[#This Row],[_LeafBudget]]*Tasks[[#This Row],[_PlannedPct]]</f>
        <v>0</v>
      </c>
      <c r="DD148" s="43" t="n">
        <f aca="false">Tasks[[#This Row],[_LeafBudget]]*Tasks[[#This Row],[_LeafProgress]]</f>
        <v>0</v>
      </c>
      <c r="DE148" s="43" t="n">
        <f aca="false">IF(NOT(Tasks[[#This Row],[_IsLeaf]]=1),0,IF(Tasks[[#This Row],[Actual Cost]]="",Tasks[[#This Row],[_LeafCost]]*Tasks[[#This Row],[_LeafProgress]],N(Tasks[[#This Row],[Actual Cost]])))</f>
        <v>0</v>
      </c>
      <c r="DF148" s="43" t="str">
        <f aca="false">IF(Tasks[[#This Row],[Task Name]]="","",LEFT(Tasks[[#This Row],[WBS]],FIND(".",Tasks[[#This Row],[WBS]]&amp;".")-1))</f>
        <v/>
      </c>
      <c r="DG148" s="43" t="str">
        <f aca="false">IF(AND(Tasks[[#This Row],[Task Name]]&lt;&gt;"",Tasks[[#This Row],[_Level]]=1),Tasks[[#This Row],[_Row]],"")</f>
        <v/>
      </c>
      <c r="DH148" s="43" t="str">
        <f aca="false">IF(AND(Tasks[[#This Row],[_IsLeaf]]=1,N(Tasks[[#This Row],[Duration]])=0),Tasks[[#This Row],[Planned Finish]]+Tasks[[#This Row],[_Row]]/100000,"")</f>
        <v/>
      </c>
      <c r="DI1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8" s="43" t="str">
        <f aca="false">IF(Tasks[[#This Row],[_LeafCritical]],Tasks[[#This Row],[_LeafFcstStart]]+Tasks[[#This Row],[_Row]]/100000,"")</f>
        <v/>
      </c>
    </row>
    <row r="149" customFormat="false" ht="15" hidden="false" customHeight="false" outlineLevel="0" collapsed="false">
      <c r="A149" s="28" t="str">
        <f aca="false">IF(Tasks[[#This Row],[Task Name]]="","",COUNTA(Tasks[[#Headers],[Task Name]]:Tasks[[#This Row],[Task Name]])-1)</f>
        <v/>
      </c>
      <c r="B149" s="29" t="n">
        <v>144</v>
      </c>
      <c r="C1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29"/>
      <c r="E149" s="30"/>
      <c r="F149" s="29"/>
      <c r="G149" s="29"/>
      <c r="H149" s="29"/>
      <c r="I149" s="29"/>
      <c r="J149" s="29"/>
      <c r="K149" s="29"/>
      <c r="L149" s="29"/>
      <c r="M149" s="29"/>
      <c r="N149" s="53"/>
      <c r="O149" s="53"/>
      <c r="P149" s="25" t="str">
        <f aca="false">IF(Tasks[[#This Row],[Task Name]]="","",IF(N(Tasks[[#This Row],[Baseline Start]])&gt;0,Tasks[[#This Row],[Baseline Start]],Tasks[[#This Row],[_CalcStart]]))</f>
        <v/>
      </c>
      <c r="Q149" s="25" t="str">
        <f aca="false">IF(Tasks[[#This Row],[Task Name]]="","",IF(N(Tasks[[#This Row],[Baseline Finish]])&gt;0,Tasks[[#This Row],[Baseline Finish]],Tasks[[#This Row],[_CalcFinish]]))</f>
        <v/>
      </c>
      <c r="R149" s="53"/>
      <c r="S149" s="53"/>
      <c r="T1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55"/>
      <c r="AF14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30"/>
      <c r="AI149" s="55"/>
      <c r="AJ14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64"/>
      <c r="AM14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49" s="30"/>
      <c r="AP149" s="25" t="str">
        <f aca="false">IF(Tasks[[#This Row],[Task Name]]="","",Tasks[[#This Row],[Forecast Start]])</f>
        <v/>
      </c>
      <c r="AQ149" s="25" t="str">
        <f aca="false">IF(Tasks[[#This Row],[Task Name]]="","",Tasks[[#This Row],[Forecast Finish]])</f>
        <v/>
      </c>
      <c r="AR1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49" s="62" t="str">
        <f aca="false">IF(Tasks[[#This Row],[Task Name]]="","",Tasks[[#This Row],[Work]])</f>
        <v/>
      </c>
      <c r="AT149" s="63" t="str">
        <f aca="false">IF(Tasks[[#This Row],[Task Name]]="","",Tasks[[#This Row],[Cost]])</f>
        <v/>
      </c>
      <c r="AU149" s="53"/>
      <c r="AV149" s="53"/>
      <c r="AW149" s="29"/>
      <c r="AX149" s="65"/>
      <c r="AY149" s="64"/>
      <c r="AZ149" s="28" t="str">
        <f aca="false">IF(OR(Tasks[[#This Row],[Task Name]]="",Tasks[[#This Row],[Baseline Duration]]=""),"",Tasks[[#This Row],[BL Source Duration]]-N(Tasks[[#This Row],[Baseline Duration]]))</f>
        <v/>
      </c>
      <c r="BA149" s="62" t="str">
        <f aca="false">IF(OR(Tasks[[#This Row],[Task Name]]="",Tasks[[#This Row],[Baseline Work]]=""),"",Tasks[[#This Row],[Work]]-N(Tasks[[#This Row],[Baseline Work]]))</f>
        <v/>
      </c>
      <c r="BB149" s="63" t="str">
        <f aca="false">IF(OR(Tasks[[#This Row],[Task Name]]="",Tasks[[#This Row],[Baseline Cost]]=""),"",Tasks[[#This Row],[Cost]]-N(Tasks[[#This Row],[Baseline Cost]]))</f>
        <v/>
      </c>
      <c r="BC14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4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4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4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49" s="43" t="str">
        <f aca="false">IF(Tasks[[#This Row],[Task Name]]="","",MAX(1,N(Tasks[[#This Row],[Level]])))</f>
        <v/>
      </c>
      <c r="BH149" s="43" t="n">
        <f aca="false">ROW()-ROW(Tasks[[#Headers],[ID]])</f>
        <v>144</v>
      </c>
      <c r="BI1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49" s="43" t="n">
        <f aca="false">IFERROR(N(INDEX(Tasks[_Level],Tasks[[#This Row],[_Row]]+1)),0)</f>
        <v>0</v>
      </c>
      <c r="BK149" s="66" t="b">
        <f aca="false">AND(Tasks[[#This Row],[Task Name]]&lt;&gt;"",Tasks[[#This Row],[_NextLevel]]&gt;Tasks[[#This Row],[_Level]])</f>
        <v>0</v>
      </c>
      <c r="BL149" s="43" t="n">
        <f aca="false">IF(Tasks[[#This Row],[_IsSummary]],COUNTIF(Tasks[WBS],Tasks[[#This Row],[WBS]]&amp;".*"),0)</f>
        <v>0</v>
      </c>
      <c r="BM149" s="43" t="n">
        <f aca="false">IF(AND(Tasks[[#This Row],[Task Name]]&lt;&gt;"",NOT(Tasks[[#This Row],[_IsSummary]])),1,0)</f>
        <v>0</v>
      </c>
      <c r="BN149" s="43" t="n">
        <f aca="false">IF(N(Tasks[[#This Row],[Pred1 UID]])=0,0,IFERROR(MATCH(Tasks[[#This Row],[Pred1 UID]],Tasks[UID],0),-1))</f>
        <v>0</v>
      </c>
      <c r="BO149" s="43" t="n">
        <f aca="false">IF(N(Tasks[[#This Row],[Pred2 UID]])=0,0,IFERROR(MATCH(Tasks[[#This Row],[Pred2 UID]],Tasks[UID],0),-1))</f>
        <v>0</v>
      </c>
      <c r="BP14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4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4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4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49" s="43" t="n">
        <f aca="false">IF(NOT(Tasks[[#This Row],[_IsLeaf]]=1),0,IF(N(Tasks[[#This Row],[Actual Finish]])&gt;0,1,MIN(1,N(Tasks[[#This Row],[% Complete]]))))</f>
        <v>0</v>
      </c>
      <c r="BU1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49" s="43" t="n">
        <f aca="false">IF(Tasks[[#This Row],[_LeafWork]]=0,0,Tasks[[#This Row],[_LeafWork]]*IFERROR(INDEX(res_Rate,MATCH(Tasks[[#This Row],[Resource]],res_Name,0)),0))</f>
        <v>0</v>
      </c>
      <c r="BW1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49" s="43" t="n">
        <f aca="false">IF(NOT(Tasks[[#This Row],[_IsLeaf]]=1),0,MAX(_xlfn.MAXIFS(Tasks[_Row],Tasks[Pred1 UID],Tasks[[#This Row],[UID]]),_xlfn.MAXIFS(Tasks[_Row],Tasks[Pred2 UID],Tasks[[#This Row],[UID]])))</f>
        <v>0</v>
      </c>
      <c r="CB14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49" s="67" t="str">
        <f aca="false">IF(NOT(Tasks[[#This Row],[_IsLeaf]]=1),"",MIN(ProjectFinish,IF(N(Tasks[[#This Row],[Deadline]])&gt;0,Tasks[[#This Row],[Deadline]],2958465),Tasks[[#This Row],[_SuccessorFinishLimit]]))</f>
        <v/>
      </c>
      <c r="CD14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49" s="66" t="b">
        <f aca="false">AND(Tasks[[#This Row],[_IsLeaf]]=1,Tasks[[#This Row],[_LeafProgress]]&lt;1,N(Tasks[[#This Row],[_LeafTotalSlack]])&lt;=CriticalSlackDays)</f>
        <v>0</v>
      </c>
      <c r="CG14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4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4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4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4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4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49" s="43" t="n">
        <f aca="false">IF(AND(Tasks[[#This Row],[_IsLeaf]]=1,Tasks[[#This Row],[_LeafWork]]&gt;0),NETWORKDAYS.INTL(ProjectStart,Tasks[[#This Row],[_LeafFcstStart]],WorkWeek,Holidays),0)</f>
        <v>0</v>
      </c>
      <c r="CP1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49" s="43" t="n">
        <f aca="false">IF(AND(Tasks[[#This Row],[_IsLeaf]]=1,Tasks[[#This Row],[_LeafWork]]&gt;0),Tasks[[#This Row],[_LeafWork]]/(Tasks[[#This Row],[_FinishWorkday]]-Tasks[[#This Row],[_StartWorkday]]+1),0)</f>
        <v>0</v>
      </c>
      <c r="CR149" s="43" t="n">
        <f aca="false">Tasks[[#This Row],[_WorkPerWorkday]]*(Tasks[[#This Row],[_StartWorkday]]-1)</f>
        <v>-0</v>
      </c>
      <c r="CS149" s="43" t="n">
        <f aca="false">IF(Tasks[[#This Row],[_IsLeaf]]=1,MAX(N(Tasks[[#This Row],[Duration]]),0.1),0)</f>
        <v>0</v>
      </c>
      <c r="CT149" s="43" t="n">
        <f aca="false">Tasks[[#This Row],[_WeightDur]]*Tasks[[#This Row],[_LeafProgress]]</f>
        <v>0</v>
      </c>
      <c r="CU1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49" s="43" t="str">
        <f aca="false">IF(AND(Tasks[[#This Row],[_IsLeaf]]=1,N(Tasks[[#This Row],[Duration]])=0,Tasks[[#This Row],[_LeafProgress]]&lt;1),Tasks[[#This Row],[_LeafFcstFinish]]+Tasks[[#This Row],[_Row]]/100000,"")</f>
        <v/>
      </c>
      <c r="DA1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49" s="43" t="n">
        <f aca="false">IF(NOT(Tasks[[#This Row],[_IsLeaf]]=1),0,IF(Tasks[[#This Row],[Baseline Cost]]="",Tasks[[#This Row],[_LeafCost]],N(Tasks[[#This Row],[Baseline Cost]])))</f>
        <v>0</v>
      </c>
      <c r="DC149" s="43" t="n">
        <f aca="false">Tasks[[#This Row],[_LeafBudget]]*Tasks[[#This Row],[_PlannedPct]]</f>
        <v>0</v>
      </c>
      <c r="DD149" s="43" t="n">
        <f aca="false">Tasks[[#This Row],[_LeafBudget]]*Tasks[[#This Row],[_LeafProgress]]</f>
        <v>0</v>
      </c>
      <c r="DE149" s="43" t="n">
        <f aca="false">IF(NOT(Tasks[[#This Row],[_IsLeaf]]=1),0,IF(Tasks[[#This Row],[Actual Cost]]="",Tasks[[#This Row],[_LeafCost]]*Tasks[[#This Row],[_LeafProgress]],N(Tasks[[#This Row],[Actual Cost]])))</f>
        <v>0</v>
      </c>
      <c r="DF149" s="43" t="str">
        <f aca="false">IF(Tasks[[#This Row],[Task Name]]="","",LEFT(Tasks[[#This Row],[WBS]],FIND(".",Tasks[[#This Row],[WBS]]&amp;".")-1))</f>
        <v/>
      </c>
      <c r="DG149" s="43" t="str">
        <f aca="false">IF(AND(Tasks[[#This Row],[Task Name]]&lt;&gt;"",Tasks[[#This Row],[_Level]]=1),Tasks[[#This Row],[_Row]],"")</f>
        <v/>
      </c>
      <c r="DH149" s="43" t="str">
        <f aca="false">IF(AND(Tasks[[#This Row],[_IsLeaf]]=1,N(Tasks[[#This Row],[Duration]])=0),Tasks[[#This Row],[Planned Finish]]+Tasks[[#This Row],[_Row]]/100000,"")</f>
        <v/>
      </c>
      <c r="DI1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49" s="43" t="str">
        <f aca="false">IF(Tasks[[#This Row],[_LeafCritical]],Tasks[[#This Row],[_LeafFcstStart]]+Tasks[[#This Row],[_Row]]/100000,"")</f>
        <v/>
      </c>
    </row>
    <row r="150" customFormat="false" ht="15" hidden="false" customHeight="false" outlineLevel="0" collapsed="false">
      <c r="A150" s="28" t="str">
        <f aca="false">IF(Tasks[[#This Row],[Task Name]]="","",COUNTA(Tasks[[#Headers],[Task Name]]:Tasks[[#This Row],[Task Name]])-1)</f>
        <v/>
      </c>
      <c r="B150" s="29" t="n">
        <v>145</v>
      </c>
      <c r="C1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29"/>
      <c r="E150" s="30"/>
      <c r="F150" s="29"/>
      <c r="G150" s="29"/>
      <c r="H150" s="29"/>
      <c r="I150" s="29"/>
      <c r="J150" s="29"/>
      <c r="K150" s="29"/>
      <c r="L150" s="29"/>
      <c r="M150" s="29"/>
      <c r="N150" s="53"/>
      <c r="O150" s="53"/>
      <c r="P150" s="25" t="str">
        <f aca="false">IF(Tasks[[#This Row],[Task Name]]="","",IF(N(Tasks[[#This Row],[Baseline Start]])&gt;0,Tasks[[#This Row],[Baseline Start]],Tasks[[#This Row],[_CalcStart]]))</f>
        <v/>
      </c>
      <c r="Q150" s="25" t="str">
        <f aca="false">IF(Tasks[[#This Row],[Task Name]]="","",IF(N(Tasks[[#This Row],[Baseline Finish]])&gt;0,Tasks[[#This Row],[Baseline Finish]],Tasks[[#This Row],[_CalcFinish]]))</f>
        <v/>
      </c>
      <c r="R150" s="53"/>
      <c r="S150" s="53"/>
      <c r="T1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55"/>
      <c r="AF15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30"/>
      <c r="AI150" s="55"/>
      <c r="AJ15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64"/>
      <c r="AM15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0" s="30"/>
      <c r="AP150" s="25" t="str">
        <f aca="false">IF(Tasks[[#This Row],[Task Name]]="","",Tasks[[#This Row],[Forecast Start]])</f>
        <v/>
      </c>
      <c r="AQ150" s="25" t="str">
        <f aca="false">IF(Tasks[[#This Row],[Task Name]]="","",Tasks[[#This Row],[Forecast Finish]])</f>
        <v/>
      </c>
      <c r="AR1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0" s="62" t="str">
        <f aca="false">IF(Tasks[[#This Row],[Task Name]]="","",Tasks[[#This Row],[Work]])</f>
        <v/>
      </c>
      <c r="AT150" s="63" t="str">
        <f aca="false">IF(Tasks[[#This Row],[Task Name]]="","",Tasks[[#This Row],[Cost]])</f>
        <v/>
      </c>
      <c r="AU150" s="53"/>
      <c r="AV150" s="53"/>
      <c r="AW150" s="29"/>
      <c r="AX150" s="65"/>
      <c r="AY150" s="64"/>
      <c r="AZ150" s="28" t="str">
        <f aca="false">IF(OR(Tasks[[#This Row],[Task Name]]="",Tasks[[#This Row],[Baseline Duration]]=""),"",Tasks[[#This Row],[BL Source Duration]]-N(Tasks[[#This Row],[Baseline Duration]]))</f>
        <v/>
      </c>
      <c r="BA150" s="62" t="str">
        <f aca="false">IF(OR(Tasks[[#This Row],[Task Name]]="",Tasks[[#This Row],[Baseline Work]]=""),"",Tasks[[#This Row],[Work]]-N(Tasks[[#This Row],[Baseline Work]]))</f>
        <v/>
      </c>
      <c r="BB150" s="63" t="str">
        <f aca="false">IF(OR(Tasks[[#This Row],[Task Name]]="",Tasks[[#This Row],[Baseline Cost]]=""),"",Tasks[[#This Row],[Cost]]-N(Tasks[[#This Row],[Baseline Cost]]))</f>
        <v/>
      </c>
      <c r="BC15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0" s="43" t="str">
        <f aca="false">IF(Tasks[[#This Row],[Task Name]]="","",MAX(1,N(Tasks[[#This Row],[Level]])))</f>
        <v/>
      </c>
      <c r="BH150" s="43" t="n">
        <f aca="false">ROW()-ROW(Tasks[[#Headers],[ID]])</f>
        <v>145</v>
      </c>
      <c r="BI1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0" s="43" t="n">
        <f aca="false">IFERROR(N(INDEX(Tasks[_Level],Tasks[[#This Row],[_Row]]+1)),0)</f>
        <v>0</v>
      </c>
      <c r="BK150" s="66" t="b">
        <f aca="false">AND(Tasks[[#This Row],[Task Name]]&lt;&gt;"",Tasks[[#This Row],[_NextLevel]]&gt;Tasks[[#This Row],[_Level]])</f>
        <v>0</v>
      </c>
      <c r="BL150" s="43" t="n">
        <f aca="false">IF(Tasks[[#This Row],[_IsSummary]],COUNTIF(Tasks[WBS],Tasks[[#This Row],[WBS]]&amp;".*"),0)</f>
        <v>0</v>
      </c>
      <c r="BM150" s="43" t="n">
        <f aca="false">IF(AND(Tasks[[#This Row],[Task Name]]&lt;&gt;"",NOT(Tasks[[#This Row],[_IsSummary]])),1,0)</f>
        <v>0</v>
      </c>
      <c r="BN150" s="43" t="n">
        <f aca="false">IF(N(Tasks[[#This Row],[Pred1 UID]])=0,0,IFERROR(MATCH(Tasks[[#This Row],[Pred1 UID]],Tasks[UID],0),-1))</f>
        <v>0</v>
      </c>
      <c r="BO150" s="43" t="n">
        <f aca="false">IF(N(Tasks[[#This Row],[Pred2 UID]])=0,0,IFERROR(MATCH(Tasks[[#This Row],[Pred2 UID]],Tasks[UID],0),-1))</f>
        <v>0</v>
      </c>
      <c r="BP15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0" s="43" t="n">
        <f aca="false">IF(NOT(Tasks[[#This Row],[_IsLeaf]]=1),0,IF(N(Tasks[[#This Row],[Actual Finish]])&gt;0,1,MIN(1,N(Tasks[[#This Row],[% Complete]]))))</f>
        <v>0</v>
      </c>
      <c r="BU1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0" s="43" t="n">
        <f aca="false">IF(Tasks[[#This Row],[_LeafWork]]=0,0,Tasks[[#This Row],[_LeafWork]]*IFERROR(INDEX(res_Rate,MATCH(Tasks[[#This Row],[Resource]],res_Name,0)),0))</f>
        <v>0</v>
      </c>
      <c r="BW1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0" s="43" t="n">
        <f aca="false">IF(NOT(Tasks[[#This Row],[_IsLeaf]]=1),0,MAX(_xlfn.MAXIFS(Tasks[_Row],Tasks[Pred1 UID],Tasks[[#This Row],[UID]]),_xlfn.MAXIFS(Tasks[_Row],Tasks[Pred2 UID],Tasks[[#This Row],[UID]])))</f>
        <v>0</v>
      </c>
      <c r="CB15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0" s="67" t="str">
        <f aca="false">IF(NOT(Tasks[[#This Row],[_IsLeaf]]=1),"",MIN(ProjectFinish,IF(N(Tasks[[#This Row],[Deadline]])&gt;0,Tasks[[#This Row],[Deadline]],2958465),Tasks[[#This Row],[_SuccessorFinishLimit]]))</f>
        <v/>
      </c>
      <c r="CD15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0" s="66" t="b">
        <f aca="false">AND(Tasks[[#This Row],[_IsLeaf]]=1,Tasks[[#This Row],[_LeafProgress]]&lt;1,N(Tasks[[#This Row],[_LeafTotalSlack]])&lt;=CriticalSlackDays)</f>
        <v>0</v>
      </c>
      <c r="CG15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0" s="43" t="n">
        <f aca="false">IF(AND(Tasks[[#This Row],[_IsLeaf]]=1,Tasks[[#This Row],[_LeafWork]]&gt;0),NETWORKDAYS.INTL(ProjectStart,Tasks[[#This Row],[_LeafFcstStart]],WorkWeek,Holidays),0)</f>
        <v>0</v>
      </c>
      <c r="CP1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0" s="43" t="n">
        <f aca="false">IF(AND(Tasks[[#This Row],[_IsLeaf]]=1,Tasks[[#This Row],[_LeafWork]]&gt;0),Tasks[[#This Row],[_LeafWork]]/(Tasks[[#This Row],[_FinishWorkday]]-Tasks[[#This Row],[_StartWorkday]]+1),0)</f>
        <v>0</v>
      </c>
      <c r="CR150" s="43" t="n">
        <f aca="false">Tasks[[#This Row],[_WorkPerWorkday]]*(Tasks[[#This Row],[_StartWorkday]]-1)</f>
        <v>-0</v>
      </c>
      <c r="CS150" s="43" t="n">
        <f aca="false">IF(Tasks[[#This Row],[_IsLeaf]]=1,MAX(N(Tasks[[#This Row],[Duration]]),0.1),0)</f>
        <v>0</v>
      </c>
      <c r="CT150" s="43" t="n">
        <f aca="false">Tasks[[#This Row],[_WeightDur]]*Tasks[[#This Row],[_LeafProgress]]</f>
        <v>0</v>
      </c>
      <c r="CU1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0" s="43" t="str">
        <f aca="false">IF(AND(Tasks[[#This Row],[_IsLeaf]]=1,N(Tasks[[#This Row],[Duration]])=0,Tasks[[#This Row],[_LeafProgress]]&lt;1),Tasks[[#This Row],[_LeafFcstFinish]]+Tasks[[#This Row],[_Row]]/100000,"")</f>
        <v/>
      </c>
      <c r="DA1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0" s="43" t="n">
        <f aca="false">IF(NOT(Tasks[[#This Row],[_IsLeaf]]=1),0,IF(Tasks[[#This Row],[Baseline Cost]]="",Tasks[[#This Row],[_LeafCost]],N(Tasks[[#This Row],[Baseline Cost]])))</f>
        <v>0</v>
      </c>
      <c r="DC150" s="43" t="n">
        <f aca="false">Tasks[[#This Row],[_LeafBudget]]*Tasks[[#This Row],[_PlannedPct]]</f>
        <v>0</v>
      </c>
      <c r="DD150" s="43" t="n">
        <f aca="false">Tasks[[#This Row],[_LeafBudget]]*Tasks[[#This Row],[_LeafProgress]]</f>
        <v>0</v>
      </c>
      <c r="DE150" s="43" t="n">
        <f aca="false">IF(NOT(Tasks[[#This Row],[_IsLeaf]]=1),0,IF(Tasks[[#This Row],[Actual Cost]]="",Tasks[[#This Row],[_LeafCost]]*Tasks[[#This Row],[_LeafProgress]],N(Tasks[[#This Row],[Actual Cost]])))</f>
        <v>0</v>
      </c>
      <c r="DF150" s="43" t="str">
        <f aca="false">IF(Tasks[[#This Row],[Task Name]]="","",LEFT(Tasks[[#This Row],[WBS]],FIND(".",Tasks[[#This Row],[WBS]]&amp;".")-1))</f>
        <v/>
      </c>
      <c r="DG150" s="43" t="str">
        <f aca="false">IF(AND(Tasks[[#This Row],[Task Name]]&lt;&gt;"",Tasks[[#This Row],[_Level]]=1),Tasks[[#This Row],[_Row]],"")</f>
        <v/>
      </c>
      <c r="DH150" s="43" t="str">
        <f aca="false">IF(AND(Tasks[[#This Row],[_IsLeaf]]=1,N(Tasks[[#This Row],[Duration]])=0),Tasks[[#This Row],[Planned Finish]]+Tasks[[#This Row],[_Row]]/100000,"")</f>
        <v/>
      </c>
      <c r="DI1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0" s="43" t="str">
        <f aca="false">IF(Tasks[[#This Row],[_LeafCritical]],Tasks[[#This Row],[_LeafFcstStart]]+Tasks[[#This Row],[_Row]]/100000,"")</f>
        <v/>
      </c>
    </row>
    <row r="151" customFormat="false" ht="15" hidden="false" customHeight="false" outlineLevel="0" collapsed="false">
      <c r="A151" s="28" t="str">
        <f aca="false">IF(Tasks[[#This Row],[Task Name]]="","",COUNTA(Tasks[[#Headers],[Task Name]]:Tasks[[#This Row],[Task Name]])-1)</f>
        <v/>
      </c>
      <c r="B151" s="29" t="n">
        <v>146</v>
      </c>
      <c r="C1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29"/>
      <c r="E151" s="30"/>
      <c r="F151" s="29"/>
      <c r="G151" s="29"/>
      <c r="H151" s="29"/>
      <c r="I151" s="29"/>
      <c r="J151" s="29"/>
      <c r="K151" s="29"/>
      <c r="L151" s="29"/>
      <c r="M151" s="29"/>
      <c r="N151" s="53"/>
      <c r="O151" s="53"/>
      <c r="P151" s="25" t="str">
        <f aca="false">IF(Tasks[[#This Row],[Task Name]]="","",IF(N(Tasks[[#This Row],[Baseline Start]])&gt;0,Tasks[[#This Row],[Baseline Start]],Tasks[[#This Row],[_CalcStart]]))</f>
        <v/>
      </c>
      <c r="Q151" s="25" t="str">
        <f aca="false">IF(Tasks[[#This Row],[Task Name]]="","",IF(N(Tasks[[#This Row],[Baseline Finish]])&gt;0,Tasks[[#This Row],[Baseline Finish]],Tasks[[#This Row],[_CalcFinish]]))</f>
        <v/>
      </c>
      <c r="R151" s="53"/>
      <c r="S151" s="53"/>
      <c r="T1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55"/>
      <c r="AF15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30"/>
      <c r="AI151" s="55"/>
      <c r="AJ15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64"/>
      <c r="AM15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1" s="30"/>
      <c r="AP151" s="25" t="str">
        <f aca="false">IF(Tasks[[#This Row],[Task Name]]="","",Tasks[[#This Row],[Forecast Start]])</f>
        <v/>
      </c>
      <c r="AQ151" s="25" t="str">
        <f aca="false">IF(Tasks[[#This Row],[Task Name]]="","",Tasks[[#This Row],[Forecast Finish]])</f>
        <v/>
      </c>
      <c r="AR1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1" s="62" t="str">
        <f aca="false">IF(Tasks[[#This Row],[Task Name]]="","",Tasks[[#This Row],[Work]])</f>
        <v/>
      </c>
      <c r="AT151" s="63" t="str">
        <f aca="false">IF(Tasks[[#This Row],[Task Name]]="","",Tasks[[#This Row],[Cost]])</f>
        <v/>
      </c>
      <c r="AU151" s="53"/>
      <c r="AV151" s="53"/>
      <c r="AW151" s="29"/>
      <c r="AX151" s="65"/>
      <c r="AY151" s="64"/>
      <c r="AZ151" s="28" t="str">
        <f aca="false">IF(OR(Tasks[[#This Row],[Task Name]]="",Tasks[[#This Row],[Baseline Duration]]=""),"",Tasks[[#This Row],[BL Source Duration]]-N(Tasks[[#This Row],[Baseline Duration]]))</f>
        <v/>
      </c>
      <c r="BA151" s="62" t="str">
        <f aca="false">IF(OR(Tasks[[#This Row],[Task Name]]="",Tasks[[#This Row],[Baseline Work]]=""),"",Tasks[[#This Row],[Work]]-N(Tasks[[#This Row],[Baseline Work]]))</f>
        <v/>
      </c>
      <c r="BB151" s="63" t="str">
        <f aca="false">IF(OR(Tasks[[#This Row],[Task Name]]="",Tasks[[#This Row],[Baseline Cost]]=""),"",Tasks[[#This Row],[Cost]]-N(Tasks[[#This Row],[Baseline Cost]]))</f>
        <v/>
      </c>
      <c r="BC15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1" s="43" t="str">
        <f aca="false">IF(Tasks[[#This Row],[Task Name]]="","",MAX(1,N(Tasks[[#This Row],[Level]])))</f>
        <v/>
      </c>
      <c r="BH151" s="43" t="n">
        <f aca="false">ROW()-ROW(Tasks[[#Headers],[ID]])</f>
        <v>146</v>
      </c>
      <c r="BI1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1" s="43" t="n">
        <f aca="false">IFERROR(N(INDEX(Tasks[_Level],Tasks[[#This Row],[_Row]]+1)),0)</f>
        <v>0</v>
      </c>
      <c r="BK151" s="66" t="b">
        <f aca="false">AND(Tasks[[#This Row],[Task Name]]&lt;&gt;"",Tasks[[#This Row],[_NextLevel]]&gt;Tasks[[#This Row],[_Level]])</f>
        <v>0</v>
      </c>
      <c r="BL151" s="43" t="n">
        <f aca="false">IF(Tasks[[#This Row],[_IsSummary]],COUNTIF(Tasks[WBS],Tasks[[#This Row],[WBS]]&amp;".*"),0)</f>
        <v>0</v>
      </c>
      <c r="BM151" s="43" t="n">
        <f aca="false">IF(AND(Tasks[[#This Row],[Task Name]]&lt;&gt;"",NOT(Tasks[[#This Row],[_IsSummary]])),1,0)</f>
        <v>0</v>
      </c>
      <c r="BN151" s="43" t="n">
        <f aca="false">IF(N(Tasks[[#This Row],[Pred1 UID]])=0,0,IFERROR(MATCH(Tasks[[#This Row],[Pred1 UID]],Tasks[UID],0),-1))</f>
        <v>0</v>
      </c>
      <c r="BO151" s="43" t="n">
        <f aca="false">IF(N(Tasks[[#This Row],[Pred2 UID]])=0,0,IFERROR(MATCH(Tasks[[#This Row],[Pred2 UID]],Tasks[UID],0),-1))</f>
        <v>0</v>
      </c>
      <c r="BP15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1" s="43" t="n">
        <f aca="false">IF(NOT(Tasks[[#This Row],[_IsLeaf]]=1),0,IF(N(Tasks[[#This Row],[Actual Finish]])&gt;0,1,MIN(1,N(Tasks[[#This Row],[% Complete]]))))</f>
        <v>0</v>
      </c>
      <c r="BU1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1" s="43" t="n">
        <f aca="false">IF(Tasks[[#This Row],[_LeafWork]]=0,0,Tasks[[#This Row],[_LeafWork]]*IFERROR(INDEX(res_Rate,MATCH(Tasks[[#This Row],[Resource]],res_Name,0)),0))</f>
        <v>0</v>
      </c>
      <c r="BW1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1" s="43" t="n">
        <f aca="false">IF(NOT(Tasks[[#This Row],[_IsLeaf]]=1),0,MAX(_xlfn.MAXIFS(Tasks[_Row],Tasks[Pred1 UID],Tasks[[#This Row],[UID]]),_xlfn.MAXIFS(Tasks[_Row],Tasks[Pred2 UID],Tasks[[#This Row],[UID]])))</f>
        <v>0</v>
      </c>
      <c r="CB15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1" s="67" t="str">
        <f aca="false">IF(NOT(Tasks[[#This Row],[_IsLeaf]]=1),"",MIN(ProjectFinish,IF(N(Tasks[[#This Row],[Deadline]])&gt;0,Tasks[[#This Row],[Deadline]],2958465),Tasks[[#This Row],[_SuccessorFinishLimit]]))</f>
        <v/>
      </c>
      <c r="CD15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1" s="66" t="b">
        <f aca="false">AND(Tasks[[#This Row],[_IsLeaf]]=1,Tasks[[#This Row],[_LeafProgress]]&lt;1,N(Tasks[[#This Row],[_LeafTotalSlack]])&lt;=CriticalSlackDays)</f>
        <v>0</v>
      </c>
      <c r="CG15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1" s="43" t="n">
        <f aca="false">IF(AND(Tasks[[#This Row],[_IsLeaf]]=1,Tasks[[#This Row],[_LeafWork]]&gt;0),NETWORKDAYS.INTL(ProjectStart,Tasks[[#This Row],[_LeafFcstStart]],WorkWeek,Holidays),0)</f>
        <v>0</v>
      </c>
      <c r="CP1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1" s="43" t="n">
        <f aca="false">IF(AND(Tasks[[#This Row],[_IsLeaf]]=1,Tasks[[#This Row],[_LeafWork]]&gt;0),Tasks[[#This Row],[_LeafWork]]/(Tasks[[#This Row],[_FinishWorkday]]-Tasks[[#This Row],[_StartWorkday]]+1),0)</f>
        <v>0</v>
      </c>
      <c r="CR151" s="43" t="n">
        <f aca="false">Tasks[[#This Row],[_WorkPerWorkday]]*(Tasks[[#This Row],[_StartWorkday]]-1)</f>
        <v>-0</v>
      </c>
      <c r="CS151" s="43" t="n">
        <f aca="false">IF(Tasks[[#This Row],[_IsLeaf]]=1,MAX(N(Tasks[[#This Row],[Duration]]),0.1),0)</f>
        <v>0</v>
      </c>
      <c r="CT151" s="43" t="n">
        <f aca="false">Tasks[[#This Row],[_WeightDur]]*Tasks[[#This Row],[_LeafProgress]]</f>
        <v>0</v>
      </c>
      <c r="CU1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1" s="43" t="str">
        <f aca="false">IF(AND(Tasks[[#This Row],[_IsLeaf]]=1,N(Tasks[[#This Row],[Duration]])=0,Tasks[[#This Row],[_LeafProgress]]&lt;1),Tasks[[#This Row],[_LeafFcstFinish]]+Tasks[[#This Row],[_Row]]/100000,"")</f>
        <v/>
      </c>
      <c r="DA1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1" s="43" t="n">
        <f aca="false">IF(NOT(Tasks[[#This Row],[_IsLeaf]]=1),0,IF(Tasks[[#This Row],[Baseline Cost]]="",Tasks[[#This Row],[_LeafCost]],N(Tasks[[#This Row],[Baseline Cost]])))</f>
        <v>0</v>
      </c>
      <c r="DC151" s="43" t="n">
        <f aca="false">Tasks[[#This Row],[_LeafBudget]]*Tasks[[#This Row],[_PlannedPct]]</f>
        <v>0</v>
      </c>
      <c r="DD151" s="43" t="n">
        <f aca="false">Tasks[[#This Row],[_LeafBudget]]*Tasks[[#This Row],[_LeafProgress]]</f>
        <v>0</v>
      </c>
      <c r="DE151" s="43" t="n">
        <f aca="false">IF(NOT(Tasks[[#This Row],[_IsLeaf]]=1),0,IF(Tasks[[#This Row],[Actual Cost]]="",Tasks[[#This Row],[_LeafCost]]*Tasks[[#This Row],[_LeafProgress]],N(Tasks[[#This Row],[Actual Cost]])))</f>
        <v>0</v>
      </c>
      <c r="DF151" s="43" t="str">
        <f aca="false">IF(Tasks[[#This Row],[Task Name]]="","",LEFT(Tasks[[#This Row],[WBS]],FIND(".",Tasks[[#This Row],[WBS]]&amp;".")-1))</f>
        <v/>
      </c>
      <c r="DG151" s="43" t="str">
        <f aca="false">IF(AND(Tasks[[#This Row],[Task Name]]&lt;&gt;"",Tasks[[#This Row],[_Level]]=1),Tasks[[#This Row],[_Row]],"")</f>
        <v/>
      </c>
      <c r="DH151" s="43" t="str">
        <f aca="false">IF(AND(Tasks[[#This Row],[_IsLeaf]]=1,N(Tasks[[#This Row],[Duration]])=0),Tasks[[#This Row],[Planned Finish]]+Tasks[[#This Row],[_Row]]/100000,"")</f>
        <v/>
      </c>
      <c r="DI1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1" s="43" t="str">
        <f aca="false">IF(Tasks[[#This Row],[_LeafCritical]],Tasks[[#This Row],[_LeafFcstStart]]+Tasks[[#This Row],[_Row]]/100000,"")</f>
        <v/>
      </c>
    </row>
    <row r="152" customFormat="false" ht="15" hidden="false" customHeight="false" outlineLevel="0" collapsed="false">
      <c r="A152" s="28" t="str">
        <f aca="false">IF(Tasks[[#This Row],[Task Name]]="","",COUNTA(Tasks[[#Headers],[Task Name]]:Tasks[[#This Row],[Task Name]])-1)</f>
        <v/>
      </c>
      <c r="B152" s="29" t="n">
        <v>147</v>
      </c>
      <c r="C1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29"/>
      <c r="E152" s="30"/>
      <c r="F152" s="29"/>
      <c r="G152" s="29"/>
      <c r="H152" s="29"/>
      <c r="I152" s="29"/>
      <c r="J152" s="29"/>
      <c r="K152" s="29"/>
      <c r="L152" s="29"/>
      <c r="M152" s="29"/>
      <c r="N152" s="53"/>
      <c r="O152" s="53"/>
      <c r="P152" s="25" t="str">
        <f aca="false">IF(Tasks[[#This Row],[Task Name]]="","",IF(N(Tasks[[#This Row],[Baseline Start]])&gt;0,Tasks[[#This Row],[Baseline Start]],Tasks[[#This Row],[_CalcStart]]))</f>
        <v/>
      </c>
      <c r="Q152" s="25" t="str">
        <f aca="false">IF(Tasks[[#This Row],[Task Name]]="","",IF(N(Tasks[[#This Row],[Baseline Finish]])&gt;0,Tasks[[#This Row],[Baseline Finish]],Tasks[[#This Row],[_CalcFinish]]))</f>
        <v/>
      </c>
      <c r="R152" s="53"/>
      <c r="S152" s="53"/>
      <c r="T1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55"/>
      <c r="AF15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30"/>
      <c r="AI152" s="55"/>
      <c r="AJ15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64"/>
      <c r="AM15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2" s="30"/>
      <c r="AP152" s="25" t="str">
        <f aca="false">IF(Tasks[[#This Row],[Task Name]]="","",Tasks[[#This Row],[Forecast Start]])</f>
        <v/>
      </c>
      <c r="AQ152" s="25" t="str">
        <f aca="false">IF(Tasks[[#This Row],[Task Name]]="","",Tasks[[#This Row],[Forecast Finish]])</f>
        <v/>
      </c>
      <c r="AR1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2" s="62" t="str">
        <f aca="false">IF(Tasks[[#This Row],[Task Name]]="","",Tasks[[#This Row],[Work]])</f>
        <v/>
      </c>
      <c r="AT152" s="63" t="str">
        <f aca="false">IF(Tasks[[#This Row],[Task Name]]="","",Tasks[[#This Row],[Cost]])</f>
        <v/>
      </c>
      <c r="AU152" s="53"/>
      <c r="AV152" s="53"/>
      <c r="AW152" s="29"/>
      <c r="AX152" s="65"/>
      <c r="AY152" s="64"/>
      <c r="AZ152" s="28" t="str">
        <f aca="false">IF(OR(Tasks[[#This Row],[Task Name]]="",Tasks[[#This Row],[Baseline Duration]]=""),"",Tasks[[#This Row],[BL Source Duration]]-N(Tasks[[#This Row],[Baseline Duration]]))</f>
        <v/>
      </c>
      <c r="BA152" s="62" t="str">
        <f aca="false">IF(OR(Tasks[[#This Row],[Task Name]]="",Tasks[[#This Row],[Baseline Work]]=""),"",Tasks[[#This Row],[Work]]-N(Tasks[[#This Row],[Baseline Work]]))</f>
        <v/>
      </c>
      <c r="BB152" s="63" t="str">
        <f aca="false">IF(OR(Tasks[[#This Row],[Task Name]]="",Tasks[[#This Row],[Baseline Cost]]=""),"",Tasks[[#This Row],[Cost]]-N(Tasks[[#This Row],[Baseline Cost]]))</f>
        <v/>
      </c>
      <c r="BC15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2" s="43" t="str">
        <f aca="false">IF(Tasks[[#This Row],[Task Name]]="","",MAX(1,N(Tasks[[#This Row],[Level]])))</f>
        <v/>
      </c>
      <c r="BH152" s="43" t="n">
        <f aca="false">ROW()-ROW(Tasks[[#Headers],[ID]])</f>
        <v>147</v>
      </c>
      <c r="BI1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2" s="43" t="n">
        <f aca="false">IFERROR(N(INDEX(Tasks[_Level],Tasks[[#This Row],[_Row]]+1)),0)</f>
        <v>0</v>
      </c>
      <c r="BK152" s="66" t="b">
        <f aca="false">AND(Tasks[[#This Row],[Task Name]]&lt;&gt;"",Tasks[[#This Row],[_NextLevel]]&gt;Tasks[[#This Row],[_Level]])</f>
        <v>0</v>
      </c>
      <c r="BL152" s="43" t="n">
        <f aca="false">IF(Tasks[[#This Row],[_IsSummary]],COUNTIF(Tasks[WBS],Tasks[[#This Row],[WBS]]&amp;".*"),0)</f>
        <v>0</v>
      </c>
      <c r="BM152" s="43" t="n">
        <f aca="false">IF(AND(Tasks[[#This Row],[Task Name]]&lt;&gt;"",NOT(Tasks[[#This Row],[_IsSummary]])),1,0)</f>
        <v>0</v>
      </c>
      <c r="BN152" s="43" t="n">
        <f aca="false">IF(N(Tasks[[#This Row],[Pred1 UID]])=0,0,IFERROR(MATCH(Tasks[[#This Row],[Pred1 UID]],Tasks[UID],0),-1))</f>
        <v>0</v>
      </c>
      <c r="BO152" s="43" t="n">
        <f aca="false">IF(N(Tasks[[#This Row],[Pred2 UID]])=0,0,IFERROR(MATCH(Tasks[[#This Row],[Pred2 UID]],Tasks[UID],0),-1))</f>
        <v>0</v>
      </c>
      <c r="BP15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2" s="43" t="n">
        <f aca="false">IF(NOT(Tasks[[#This Row],[_IsLeaf]]=1),0,IF(N(Tasks[[#This Row],[Actual Finish]])&gt;0,1,MIN(1,N(Tasks[[#This Row],[% Complete]]))))</f>
        <v>0</v>
      </c>
      <c r="BU1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2" s="43" t="n">
        <f aca="false">IF(Tasks[[#This Row],[_LeafWork]]=0,0,Tasks[[#This Row],[_LeafWork]]*IFERROR(INDEX(res_Rate,MATCH(Tasks[[#This Row],[Resource]],res_Name,0)),0))</f>
        <v>0</v>
      </c>
      <c r="BW1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2" s="43" t="n">
        <f aca="false">IF(NOT(Tasks[[#This Row],[_IsLeaf]]=1),0,MAX(_xlfn.MAXIFS(Tasks[_Row],Tasks[Pred1 UID],Tasks[[#This Row],[UID]]),_xlfn.MAXIFS(Tasks[_Row],Tasks[Pred2 UID],Tasks[[#This Row],[UID]])))</f>
        <v>0</v>
      </c>
      <c r="CB15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2" s="67" t="str">
        <f aca="false">IF(NOT(Tasks[[#This Row],[_IsLeaf]]=1),"",MIN(ProjectFinish,IF(N(Tasks[[#This Row],[Deadline]])&gt;0,Tasks[[#This Row],[Deadline]],2958465),Tasks[[#This Row],[_SuccessorFinishLimit]]))</f>
        <v/>
      </c>
      <c r="CD15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2" s="66" t="b">
        <f aca="false">AND(Tasks[[#This Row],[_IsLeaf]]=1,Tasks[[#This Row],[_LeafProgress]]&lt;1,N(Tasks[[#This Row],[_LeafTotalSlack]])&lt;=CriticalSlackDays)</f>
        <v>0</v>
      </c>
      <c r="CG15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2" s="43" t="n">
        <f aca="false">IF(AND(Tasks[[#This Row],[_IsLeaf]]=1,Tasks[[#This Row],[_LeafWork]]&gt;0),NETWORKDAYS.INTL(ProjectStart,Tasks[[#This Row],[_LeafFcstStart]],WorkWeek,Holidays),0)</f>
        <v>0</v>
      </c>
      <c r="CP1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2" s="43" t="n">
        <f aca="false">IF(AND(Tasks[[#This Row],[_IsLeaf]]=1,Tasks[[#This Row],[_LeafWork]]&gt;0),Tasks[[#This Row],[_LeafWork]]/(Tasks[[#This Row],[_FinishWorkday]]-Tasks[[#This Row],[_StartWorkday]]+1),0)</f>
        <v>0</v>
      </c>
      <c r="CR152" s="43" t="n">
        <f aca="false">Tasks[[#This Row],[_WorkPerWorkday]]*(Tasks[[#This Row],[_StartWorkday]]-1)</f>
        <v>-0</v>
      </c>
      <c r="CS152" s="43" t="n">
        <f aca="false">IF(Tasks[[#This Row],[_IsLeaf]]=1,MAX(N(Tasks[[#This Row],[Duration]]),0.1),0)</f>
        <v>0</v>
      </c>
      <c r="CT152" s="43" t="n">
        <f aca="false">Tasks[[#This Row],[_WeightDur]]*Tasks[[#This Row],[_LeafProgress]]</f>
        <v>0</v>
      </c>
      <c r="CU1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2" s="43" t="str">
        <f aca="false">IF(AND(Tasks[[#This Row],[_IsLeaf]]=1,N(Tasks[[#This Row],[Duration]])=0,Tasks[[#This Row],[_LeafProgress]]&lt;1),Tasks[[#This Row],[_LeafFcstFinish]]+Tasks[[#This Row],[_Row]]/100000,"")</f>
        <v/>
      </c>
      <c r="DA1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2" s="43" t="n">
        <f aca="false">IF(NOT(Tasks[[#This Row],[_IsLeaf]]=1),0,IF(Tasks[[#This Row],[Baseline Cost]]="",Tasks[[#This Row],[_LeafCost]],N(Tasks[[#This Row],[Baseline Cost]])))</f>
        <v>0</v>
      </c>
      <c r="DC152" s="43" t="n">
        <f aca="false">Tasks[[#This Row],[_LeafBudget]]*Tasks[[#This Row],[_PlannedPct]]</f>
        <v>0</v>
      </c>
      <c r="DD152" s="43" t="n">
        <f aca="false">Tasks[[#This Row],[_LeafBudget]]*Tasks[[#This Row],[_LeafProgress]]</f>
        <v>0</v>
      </c>
      <c r="DE152" s="43" t="n">
        <f aca="false">IF(NOT(Tasks[[#This Row],[_IsLeaf]]=1),0,IF(Tasks[[#This Row],[Actual Cost]]="",Tasks[[#This Row],[_LeafCost]]*Tasks[[#This Row],[_LeafProgress]],N(Tasks[[#This Row],[Actual Cost]])))</f>
        <v>0</v>
      </c>
      <c r="DF152" s="43" t="str">
        <f aca="false">IF(Tasks[[#This Row],[Task Name]]="","",LEFT(Tasks[[#This Row],[WBS]],FIND(".",Tasks[[#This Row],[WBS]]&amp;".")-1))</f>
        <v/>
      </c>
      <c r="DG152" s="43" t="str">
        <f aca="false">IF(AND(Tasks[[#This Row],[Task Name]]&lt;&gt;"",Tasks[[#This Row],[_Level]]=1),Tasks[[#This Row],[_Row]],"")</f>
        <v/>
      </c>
      <c r="DH152" s="43" t="str">
        <f aca="false">IF(AND(Tasks[[#This Row],[_IsLeaf]]=1,N(Tasks[[#This Row],[Duration]])=0),Tasks[[#This Row],[Planned Finish]]+Tasks[[#This Row],[_Row]]/100000,"")</f>
        <v/>
      </c>
      <c r="DI1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2" s="43" t="str">
        <f aca="false">IF(Tasks[[#This Row],[_LeafCritical]],Tasks[[#This Row],[_LeafFcstStart]]+Tasks[[#This Row],[_Row]]/100000,"")</f>
        <v/>
      </c>
    </row>
    <row r="153" customFormat="false" ht="15" hidden="false" customHeight="false" outlineLevel="0" collapsed="false">
      <c r="A153" s="28" t="str">
        <f aca="false">IF(Tasks[[#This Row],[Task Name]]="","",COUNTA(Tasks[[#Headers],[Task Name]]:Tasks[[#This Row],[Task Name]])-1)</f>
        <v/>
      </c>
      <c r="B153" s="29" t="n">
        <v>148</v>
      </c>
      <c r="C1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29"/>
      <c r="E153" s="30"/>
      <c r="F153" s="29"/>
      <c r="G153" s="29"/>
      <c r="H153" s="29"/>
      <c r="I153" s="29"/>
      <c r="J153" s="29"/>
      <c r="K153" s="29"/>
      <c r="L153" s="29"/>
      <c r="M153" s="29"/>
      <c r="N153" s="53"/>
      <c r="O153" s="53"/>
      <c r="P153" s="25" t="str">
        <f aca="false">IF(Tasks[[#This Row],[Task Name]]="","",IF(N(Tasks[[#This Row],[Baseline Start]])&gt;0,Tasks[[#This Row],[Baseline Start]],Tasks[[#This Row],[_CalcStart]]))</f>
        <v/>
      </c>
      <c r="Q153" s="25" t="str">
        <f aca="false">IF(Tasks[[#This Row],[Task Name]]="","",IF(N(Tasks[[#This Row],[Baseline Finish]])&gt;0,Tasks[[#This Row],[Baseline Finish]],Tasks[[#This Row],[_CalcFinish]]))</f>
        <v/>
      </c>
      <c r="R153" s="53"/>
      <c r="S153" s="53"/>
      <c r="T1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55"/>
      <c r="AF15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30"/>
      <c r="AI153" s="55"/>
      <c r="AJ15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64"/>
      <c r="AM15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3" s="30"/>
      <c r="AP153" s="25" t="str">
        <f aca="false">IF(Tasks[[#This Row],[Task Name]]="","",Tasks[[#This Row],[Forecast Start]])</f>
        <v/>
      </c>
      <c r="AQ153" s="25" t="str">
        <f aca="false">IF(Tasks[[#This Row],[Task Name]]="","",Tasks[[#This Row],[Forecast Finish]])</f>
        <v/>
      </c>
      <c r="AR1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3" s="62" t="str">
        <f aca="false">IF(Tasks[[#This Row],[Task Name]]="","",Tasks[[#This Row],[Work]])</f>
        <v/>
      </c>
      <c r="AT153" s="63" t="str">
        <f aca="false">IF(Tasks[[#This Row],[Task Name]]="","",Tasks[[#This Row],[Cost]])</f>
        <v/>
      </c>
      <c r="AU153" s="53"/>
      <c r="AV153" s="53"/>
      <c r="AW153" s="29"/>
      <c r="AX153" s="65"/>
      <c r="AY153" s="64"/>
      <c r="AZ153" s="28" t="str">
        <f aca="false">IF(OR(Tasks[[#This Row],[Task Name]]="",Tasks[[#This Row],[Baseline Duration]]=""),"",Tasks[[#This Row],[BL Source Duration]]-N(Tasks[[#This Row],[Baseline Duration]]))</f>
        <v/>
      </c>
      <c r="BA153" s="62" t="str">
        <f aca="false">IF(OR(Tasks[[#This Row],[Task Name]]="",Tasks[[#This Row],[Baseline Work]]=""),"",Tasks[[#This Row],[Work]]-N(Tasks[[#This Row],[Baseline Work]]))</f>
        <v/>
      </c>
      <c r="BB153" s="63" t="str">
        <f aca="false">IF(OR(Tasks[[#This Row],[Task Name]]="",Tasks[[#This Row],[Baseline Cost]]=""),"",Tasks[[#This Row],[Cost]]-N(Tasks[[#This Row],[Baseline Cost]]))</f>
        <v/>
      </c>
      <c r="BC15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3" s="43" t="str">
        <f aca="false">IF(Tasks[[#This Row],[Task Name]]="","",MAX(1,N(Tasks[[#This Row],[Level]])))</f>
        <v/>
      </c>
      <c r="BH153" s="43" t="n">
        <f aca="false">ROW()-ROW(Tasks[[#Headers],[ID]])</f>
        <v>148</v>
      </c>
      <c r="BI1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3" s="43" t="n">
        <f aca="false">IFERROR(N(INDEX(Tasks[_Level],Tasks[[#This Row],[_Row]]+1)),0)</f>
        <v>0</v>
      </c>
      <c r="BK153" s="66" t="b">
        <f aca="false">AND(Tasks[[#This Row],[Task Name]]&lt;&gt;"",Tasks[[#This Row],[_NextLevel]]&gt;Tasks[[#This Row],[_Level]])</f>
        <v>0</v>
      </c>
      <c r="BL153" s="43" t="n">
        <f aca="false">IF(Tasks[[#This Row],[_IsSummary]],COUNTIF(Tasks[WBS],Tasks[[#This Row],[WBS]]&amp;".*"),0)</f>
        <v>0</v>
      </c>
      <c r="BM153" s="43" t="n">
        <f aca="false">IF(AND(Tasks[[#This Row],[Task Name]]&lt;&gt;"",NOT(Tasks[[#This Row],[_IsSummary]])),1,0)</f>
        <v>0</v>
      </c>
      <c r="BN153" s="43" t="n">
        <f aca="false">IF(N(Tasks[[#This Row],[Pred1 UID]])=0,0,IFERROR(MATCH(Tasks[[#This Row],[Pred1 UID]],Tasks[UID],0),-1))</f>
        <v>0</v>
      </c>
      <c r="BO153" s="43" t="n">
        <f aca="false">IF(N(Tasks[[#This Row],[Pred2 UID]])=0,0,IFERROR(MATCH(Tasks[[#This Row],[Pred2 UID]],Tasks[UID],0),-1))</f>
        <v>0</v>
      </c>
      <c r="BP15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3" s="43" t="n">
        <f aca="false">IF(NOT(Tasks[[#This Row],[_IsLeaf]]=1),0,IF(N(Tasks[[#This Row],[Actual Finish]])&gt;0,1,MIN(1,N(Tasks[[#This Row],[% Complete]]))))</f>
        <v>0</v>
      </c>
      <c r="BU1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3" s="43" t="n">
        <f aca="false">IF(Tasks[[#This Row],[_LeafWork]]=0,0,Tasks[[#This Row],[_LeafWork]]*IFERROR(INDEX(res_Rate,MATCH(Tasks[[#This Row],[Resource]],res_Name,0)),0))</f>
        <v>0</v>
      </c>
      <c r="BW1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3" s="43" t="n">
        <f aca="false">IF(NOT(Tasks[[#This Row],[_IsLeaf]]=1),0,MAX(_xlfn.MAXIFS(Tasks[_Row],Tasks[Pred1 UID],Tasks[[#This Row],[UID]]),_xlfn.MAXIFS(Tasks[_Row],Tasks[Pred2 UID],Tasks[[#This Row],[UID]])))</f>
        <v>0</v>
      </c>
      <c r="CB15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3" s="67" t="str">
        <f aca="false">IF(NOT(Tasks[[#This Row],[_IsLeaf]]=1),"",MIN(ProjectFinish,IF(N(Tasks[[#This Row],[Deadline]])&gt;0,Tasks[[#This Row],[Deadline]],2958465),Tasks[[#This Row],[_SuccessorFinishLimit]]))</f>
        <v/>
      </c>
      <c r="CD15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3" s="66" t="b">
        <f aca="false">AND(Tasks[[#This Row],[_IsLeaf]]=1,Tasks[[#This Row],[_LeafProgress]]&lt;1,N(Tasks[[#This Row],[_LeafTotalSlack]])&lt;=CriticalSlackDays)</f>
        <v>0</v>
      </c>
      <c r="CG15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3" s="43" t="n">
        <f aca="false">IF(AND(Tasks[[#This Row],[_IsLeaf]]=1,Tasks[[#This Row],[_LeafWork]]&gt;0),NETWORKDAYS.INTL(ProjectStart,Tasks[[#This Row],[_LeafFcstStart]],WorkWeek,Holidays),0)</f>
        <v>0</v>
      </c>
      <c r="CP1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3" s="43" t="n">
        <f aca="false">IF(AND(Tasks[[#This Row],[_IsLeaf]]=1,Tasks[[#This Row],[_LeafWork]]&gt;0),Tasks[[#This Row],[_LeafWork]]/(Tasks[[#This Row],[_FinishWorkday]]-Tasks[[#This Row],[_StartWorkday]]+1),0)</f>
        <v>0</v>
      </c>
      <c r="CR153" s="43" t="n">
        <f aca="false">Tasks[[#This Row],[_WorkPerWorkday]]*(Tasks[[#This Row],[_StartWorkday]]-1)</f>
        <v>-0</v>
      </c>
      <c r="CS153" s="43" t="n">
        <f aca="false">IF(Tasks[[#This Row],[_IsLeaf]]=1,MAX(N(Tasks[[#This Row],[Duration]]),0.1),0)</f>
        <v>0</v>
      </c>
      <c r="CT153" s="43" t="n">
        <f aca="false">Tasks[[#This Row],[_WeightDur]]*Tasks[[#This Row],[_LeafProgress]]</f>
        <v>0</v>
      </c>
      <c r="CU1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3" s="43" t="str">
        <f aca="false">IF(AND(Tasks[[#This Row],[_IsLeaf]]=1,N(Tasks[[#This Row],[Duration]])=0,Tasks[[#This Row],[_LeafProgress]]&lt;1),Tasks[[#This Row],[_LeafFcstFinish]]+Tasks[[#This Row],[_Row]]/100000,"")</f>
        <v/>
      </c>
      <c r="DA1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3" s="43" t="n">
        <f aca="false">IF(NOT(Tasks[[#This Row],[_IsLeaf]]=1),0,IF(Tasks[[#This Row],[Baseline Cost]]="",Tasks[[#This Row],[_LeafCost]],N(Tasks[[#This Row],[Baseline Cost]])))</f>
        <v>0</v>
      </c>
      <c r="DC153" s="43" t="n">
        <f aca="false">Tasks[[#This Row],[_LeafBudget]]*Tasks[[#This Row],[_PlannedPct]]</f>
        <v>0</v>
      </c>
      <c r="DD153" s="43" t="n">
        <f aca="false">Tasks[[#This Row],[_LeafBudget]]*Tasks[[#This Row],[_LeafProgress]]</f>
        <v>0</v>
      </c>
      <c r="DE153" s="43" t="n">
        <f aca="false">IF(NOT(Tasks[[#This Row],[_IsLeaf]]=1),0,IF(Tasks[[#This Row],[Actual Cost]]="",Tasks[[#This Row],[_LeafCost]]*Tasks[[#This Row],[_LeafProgress]],N(Tasks[[#This Row],[Actual Cost]])))</f>
        <v>0</v>
      </c>
      <c r="DF153" s="43" t="str">
        <f aca="false">IF(Tasks[[#This Row],[Task Name]]="","",LEFT(Tasks[[#This Row],[WBS]],FIND(".",Tasks[[#This Row],[WBS]]&amp;".")-1))</f>
        <v/>
      </c>
      <c r="DG153" s="43" t="str">
        <f aca="false">IF(AND(Tasks[[#This Row],[Task Name]]&lt;&gt;"",Tasks[[#This Row],[_Level]]=1),Tasks[[#This Row],[_Row]],"")</f>
        <v/>
      </c>
      <c r="DH153" s="43" t="str">
        <f aca="false">IF(AND(Tasks[[#This Row],[_IsLeaf]]=1,N(Tasks[[#This Row],[Duration]])=0),Tasks[[#This Row],[Planned Finish]]+Tasks[[#This Row],[_Row]]/100000,"")</f>
        <v/>
      </c>
      <c r="DI1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3" s="43" t="str">
        <f aca="false">IF(Tasks[[#This Row],[_LeafCritical]],Tasks[[#This Row],[_LeafFcstStart]]+Tasks[[#This Row],[_Row]]/100000,"")</f>
        <v/>
      </c>
    </row>
    <row r="154" customFormat="false" ht="15" hidden="false" customHeight="false" outlineLevel="0" collapsed="false">
      <c r="A154" s="28" t="str">
        <f aca="false">IF(Tasks[[#This Row],[Task Name]]="","",COUNTA(Tasks[[#Headers],[Task Name]]:Tasks[[#This Row],[Task Name]])-1)</f>
        <v/>
      </c>
      <c r="B154" s="29" t="n">
        <v>149</v>
      </c>
      <c r="C1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29"/>
      <c r="E154" s="30"/>
      <c r="F154" s="29"/>
      <c r="G154" s="29"/>
      <c r="H154" s="29"/>
      <c r="I154" s="29"/>
      <c r="J154" s="29"/>
      <c r="K154" s="29"/>
      <c r="L154" s="29"/>
      <c r="M154" s="29"/>
      <c r="N154" s="53"/>
      <c r="O154" s="53"/>
      <c r="P154" s="25" t="str">
        <f aca="false">IF(Tasks[[#This Row],[Task Name]]="","",IF(N(Tasks[[#This Row],[Baseline Start]])&gt;0,Tasks[[#This Row],[Baseline Start]],Tasks[[#This Row],[_CalcStart]]))</f>
        <v/>
      </c>
      <c r="Q154" s="25" t="str">
        <f aca="false">IF(Tasks[[#This Row],[Task Name]]="","",IF(N(Tasks[[#This Row],[Baseline Finish]])&gt;0,Tasks[[#This Row],[Baseline Finish]],Tasks[[#This Row],[_CalcFinish]]))</f>
        <v/>
      </c>
      <c r="R154" s="53"/>
      <c r="S154" s="53"/>
      <c r="T1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55"/>
      <c r="AF15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30"/>
      <c r="AI154" s="55"/>
      <c r="AJ15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64"/>
      <c r="AM15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4" s="30"/>
      <c r="AP154" s="25" t="str">
        <f aca="false">IF(Tasks[[#This Row],[Task Name]]="","",Tasks[[#This Row],[Forecast Start]])</f>
        <v/>
      </c>
      <c r="AQ154" s="25" t="str">
        <f aca="false">IF(Tasks[[#This Row],[Task Name]]="","",Tasks[[#This Row],[Forecast Finish]])</f>
        <v/>
      </c>
      <c r="AR1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4" s="62" t="str">
        <f aca="false">IF(Tasks[[#This Row],[Task Name]]="","",Tasks[[#This Row],[Work]])</f>
        <v/>
      </c>
      <c r="AT154" s="63" t="str">
        <f aca="false">IF(Tasks[[#This Row],[Task Name]]="","",Tasks[[#This Row],[Cost]])</f>
        <v/>
      </c>
      <c r="AU154" s="53"/>
      <c r="AV154" s="53"/>
      <c r="AW154" s="29"/>
      <c r="AX154" s="65"/>
      <c r="AY154" s="64"/>
      <c r="AZ154" s="28" t="str">
        <f aca="false">IF(OR(Tasks[[#This Row],[Task Name]]="",Tasks[[#This Row],[Baseline Duration]]=""),"",Tasks[[#This Row],[BL Source Duration]]-N(Tasks[[#This Row],[Baseline Duration]]))</f>
        <v/>
      </c>
      <c r="BA154" s="62" t="str">
        <f aca="false">IF(OR(Tasks[[#This Row],[Task Name]]="",Tasks[[#This Row],[Baseline Work]]=""),"",Tasks[[#This Row],[Work]]-N(Tasks[[#This Row],[Baseline Work]]))</f>
        <v/>
      </c>
      <c r="BB154" s="63" t="str">
        <f aca="false">IF(OR(Tasks[[#This Row],[Task Name]]="",Tasks[[#This Row],[Baseline Cost]]=""),"",Tasks[[#This Row],[Cost]]-N(Tasks[[#This Row],[Baseline Cost]]))</f>
        <v/>
      </c>
      <c r="BC15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4" s="43" t="str">
        <f aca="false">IF(Tasks[[#This Row],[Task Name]]="","",MAX(1,N(Tasks[[#This Row],[Level]])))</f>
        <v/>
      </c>
      <c r="BH154" s="43" t="n">
        <f aca="false">ROW()-ROW(Tasks[[#Headers],[ID]])</f>
        <v>149</v>
      </c>
      <c r="BI1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4" s="43" t="n">
        <f aca="false">IFERROR(N(INDEX(Tasks[_Level],Tasks[[#This Row],[_Row]]+1)),0)</f>
        <v>0</v>
      </c>
      <c r="BK154" s="66" t="b">
        <f aca="false">AND(Tasks[[#This Row],[Task Name]]&lt;&gt;"",Tasks[[#This Row],[_NextLevel]]&gt;Tasks[[#This Row],[_Level]])</f>
        <v>0</v>
      </c>
      <c r="BL154" s="43" t="n">
        <f aca="false">IF(Tasks[[#This Row],[_IsSummary]],COUNTIF(Tasks[WBS],Tasks[[#This Row],[WBS]]&amp;".*"),0)</f>
        <v>0</v>
      </c>
      <c r="BM154" s="43" t="n">
        <f aca="false">IF(AND(Tasks[[#This Row],[Task Name]]&lt;&gt;"",NOT(Tasks[[#This Row],[_IsSummary]])),1,0)</f>
        <v>0</v>
      </c>
      <c r="BN154" s="43" t="n">
        <f aca="false">IF(N(Tasks[[#This Row],[Pred1 UID]])=0,0,IFERROR(MATCH(Tasks[[#This Row],[Pred1 UID]],Tasks[UID],0),-1))</f>
        <v>0</v>
      </c>
      <c r="BO154" s="43" t="n">
        <f aca="false">IF(N(Tasks[[#This Row],[Pred2 UID]])=0,0,IFERROR(MATCH(Tasks[[#This Row],[Pred2 UID]],Tasks[UID],0),-1))</f>
        <v>0</v>
      </c>
      <c r="BP15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4" s="43" t="n">
        <f aca="false">IF(NOT(Tasks[[#This Row],[_IsLeaf]]=1),0,IF(N(Tasks[[#This Row],[Actual Finish]])&gt;0,1,MIN(1,N(Tasks[[#This Row],[% Complete]]))))</f>
        <v>0</v>
      </c>
      <c r="BU1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4" s="43" t="n">
        <f aca="false">IF(Tasks[[#This Row],[_LeafWork]]=0,0,Tasks[[#This Row],[_LeafWork]]*IFERROR(INDEX(res_Rate,MATCH(Tasks[[#This Row],[Resource]],res_Name,0)),0))</f>
        <v>0</v>
      </c>
      <c r="BW1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4" s="43" t="n">
        <f aca="false">IF(NOT(Tasks[[#This Row],[_IsLeaf]]=1),0,MAX(_xlfn.MAXIFS(Tasks[_Row],Tasks[Pred1 UID],Tasks[[#This Row],[UID]]),_xlfn.MAXIFS(Tasks[_Row],Tasks[Pred2 UID],Tasks[[#This Row],[UID]])))</f>
        <v>0</v>
      </c>
      <c r="CB15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4" s="67" t="str">
        <f aca="false">IF(NOT(Tasks[[#This Row],[_IsLeaf]]=1),"",MIN(ProjectFinish,IF(N(Tasks[[#This Row],[Deadline]])&gt;0,Tasks[[#This Row],[Deadline]],2958465),Tasks[[#This Row],[_SuccessorFinishLimit]]))</f>
        <v/>
      </c>
      <c r="CD15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4" s="66" t="b">
        <f aca="false">AND(Tasks[[#This Row],[_IsLeaf]]=1,Tasks[[#This Row],[_LeafProgress]]&lt;1,N(Tasks[[#This Row],[_LeafTotalSlack]])&lt;=CriticalSlackDays)</f>
        <v>0</v>
      </c>
      <c r="CG15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4" s="43" t="n">
        <f aca="false">IF(AND(Tasks[[#This Row],[_IsLeaf]]=1,Tasks[[#This Row],[_LeafWork]]&gt;0),NETWORKDAYS.INTL(ProjectStart,Tasks[[#This Row],[_LeafFcstStart]],WorkWeek,Holidays),0)</f>
        <v>0</v>
      </c>
      <c r="CP1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4" s="43" t="n">
        <f aca="false">IF(AND(Tasks[[#This Row],[_IsLeaf]]=1,Tasks[[#This Row],[_LeafWork]]&gt;0),Tasks[[#This Row],[_LeafWork]]/(Tasks[[#This Row],[_FinishWorkday]]-Tasks[[#This Row],[_StartWorkday]]+1),0)</f>
        <v>0</v>
      </c>
      <c r="CR154" s="43" t="n">
        <f aca="false">Tasks[[#This Row],[_WorkPerWorkday]]*(Tasks[[#This Row],[_StartWorkday]]-1)</f>
        <v>-0</v>
      </c>
      <c r="CS154" s="43" t="n">
        <f aca="false">IF(Tasks[[#This Row],[_IsLeaf]]=1,MAX(N(Tasks[[#This Row],[Duration]]),0.1),0)</f>
        <v>0</v>
      </c>
      <c r="CT154" s="43" t="n">
        <f aca="false">Tasks[[#This Row],[_WeightDur]]*Tasks[[#This Row],[_LeafProgress]]</f>
        <v>0</v>
      </c>
      <c r="CU1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4" s="43" t="str">
        <f aca="false">IF(AND(Tasks[[#This Row],[_IsLeaf]]=1,N(Tasks[[#This Row],[Duration]])=0,Tasks[[#This Row],[_LeafProgress]]&lt;1),Tasks[[#This Row],[_LeafFcstFinish]]+Tasks[[#This Row],[_Row]]/100000,"")</f>
        <v/>
      </c>
      <c r="DA1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4" s="43" t="n">
        <f aca="false">IF(NOT(Tasks[[#This Row],[_IsLeaf]]=1),0,IF(Tasks[[#This Row],[Baseline Cost]]="",Tasks[[#This Row],[_LeafCost]],N(Tasks[[#This Row],[Baseline Cost]])))</f>
        <v>0</v>
      </c>
      <c r="DC154" s="43" t="n">
        <f aca="false">Tasks[[#This Row],[_LeafBudget]]*Tasks[[#This Row],[_PlannedPct]]</f>
        <v>0</v>
      </c>
      <c r="DD154" s="43" t="n">
        <f aca="false">Tasks[[#This Row],[_LeafBudget]]*Tasks[[#This Row],[_LeafProgress]]</f>
        <v>0</v>
      </c>
      <c r="DE154" s="43" t="n">
        <f aca="false">IF(NOT(Tasks[[#This Row],[_IsLeaf]]=1),0,IF(Tasks[[#This Row],[Actual Cost]]="",Tasks[[#This Row],[_LeafCost]]*Tasks[[#This Row],[_LeafProgress]],N(Tasks[[#This Row],[Actual Cost]])))</f>
        <v>0</v>
      </c>
      <c r="DF154" s="43" t="str">
        <f aca="false">IF(Tasks[[#This Row],[Task Name]]="","",LEFT(Tasks[[#This Row],[WBS]],FIND(".",Tasks[[#This Row],[WBS]]&amp;".")-1))</f>
        <v/>
      </c>
      <c r="DG154" s="43" t="str">
        <f aca="false">IF(AND(Tasks[[#This Row],[Task Name]]&lt;&gt;"",Tasks[[#This Row],[_Level]]=1),Tasks[[#This Row],[_Row]],"")</f>
        <v/>
      </c>
      <c r="DH154" s="43" t="str">
        <f aca="false">IF(AND(Tasks[[#This Row],[_IsLeaf]]=1,N(Tasks[[#This Row],[Duration]])=0),Tasks[[#This Row],[Planned Finish]]+Tasks[[#This Row],[_Row]]/100000,"")</f>
        <v/>
      </c>
      <c r="DI1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4" s="43" t="str">
        <f aca="false">IF(Tasks[[#This Row],[_LeafCritical]],Tasks[[#This Row],[_LeafFcstStart]]+Tasks[[#This Row],[_Row]]/100000,"")</f>
        <v/>
      </c>
    </row>
    <row r="155" customFormat="false" ht="15" hidden="false" customHeight="false" outlineLevel="0" collapsed="false">
      <c r="A155" s="28" t="str">
        <f aca="false">IF(Tasks[[#This Row],[Task Name]]="","",COUNTA(Tasks[[#Headers],[Task Name]]:Tasks[[#This Row],[Task Name]])-1)</f>
        <v/>
      </c>
      <c r="B155" s="29" t="n">
        <v>150</v>
      </c>
      <c r="C1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29"/>
      <c r="E155" s="30"/>
      <c r="F155" s="29"/>
      <c r="G155" s="29"/>
      <c r="H155" s="29"/>
      <c r="I155" s="29"/>
      <c r="J155" s="29"/>
      <c r="K155" s="29"/>
      <c r="L155" s="29"/>
      <c r="M155" s="29"/>
      <c r="N155" s="53"/>
      <c r="O155" s="53"/>
      <c r="P155" s="25" t="str">
        <f aca="false">IF(Tasks[[#This Row],[Task Name]]="","",IF(N(Tasks[[#This Row],[Baseline Start]])&gt;0,Tasks[[#This Row],[Baseline Start]],Tasks[[#This Row],[_CalcStart]]))</f>
        <v/>
      </c>
      <c r="Q155" s="25" t="str">
        <f aca="false">IF(Tasks[[#This Row],[Task Name]]="","",IF(N(Tasks[[#This Row],[Baseline Finish]])&gt;0,Tasks[[#This Row],[Baseline Finish]],Tasks[[#This Row],[_CalcFinish]]))</f>
        <v/>
      </c>
      <c r="R155" s="53"/>
      <c r="S155" s="53"/>
      <c r="T1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55"/>
      <c r="AF15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30"/>
      <c r="AI155" s="55"/>
      <c r="AJ15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64"/>
      <c r="AM15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5" s="30"/>
      <c r="AP155" s="25" t="str">
        <f aca="false">IF(Tasks[[#This Row],[Task Name]]="","",Tasks[[#This Row],[Forecast Start]])</f>
        <v/>
      </c>
      <c r="AQ155" s="25" t="str">
        <f aca="false">IF(Tasks[[#This Row],[Task Name]]="","",Tasks[[#This Row],[Forecast Finish]])</f>
        <v/>
      </c>
      <c r="AR1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5" s="62" t="str">
        <f aca="false">IF(Tasks[[#This Row],[Task Name]]="","",Tasks[[#This Row],[Work]])</f>
        <v/>
      </c>
      <c r="AT155" s="63" t="str">
        <f aca="false">IF(Tasks[[#This Row],[Task Name]]="","",Tasks[[#This Row],[Cost]])</f>
        <v/>
      </c>
      <c r="AU155" s="53"/>
      <c r="AV155" s="53"/>
      <c r="AW155" s="29"/>
      <c r="AX155" s="65"/>
      <c r="AY155" s="64"/>
      <c r="AZ155" s="28" t="str">
        <f aca="false">IF(OR(Tasks[[#This Row],[Task Name]]="",Tasks[[#This Row],[Baseline Duration]]=""),"",Tasks[[#This Row],[BL Source Duration]]-N(Tasks[[#This Row],[Baseline Duration]]))</f>
        <v/>
      </c>
      <c r="BA155" s="62" t="str">
        <f aca="false">IF(OR(Tasks[[#This Row],[Task Name]]="",Tasks[[#This Row],[Baseline Work]]=""),"",Tasks[[#This Row],[Work]]-N(Tasks[[#This Row],[Baseline Work]]))</f>
        <v/>
      </c>
      <c r="BB155" s="63" t="str">
        <f aca="false">IF(OR(Tasks[[#This Row],[Task Name]]="",Tasks[[#This Row],[Baseline Cost]]=""),"",Tasks[[#This Row],[Cost]]-N(Tasks[[#This Row],[Baseline Cost]]))</f>
        <v/>
      </c>
      <c r="BC15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5" s="43" t="str">
        <f aca="false">IF(Tasks[[#This Row],[Task Name]]="","",MAX(1,N(Tasks[[#This Row],[Level]])))</f>
        <v/>
      </c>
      <c r="BH155" s="43" t="n">
        <f aca="false">ROW()-ROW(Tasks[[#Headers],[ID]])</f>
        <v>150</v>
      </c>
      <c r="BI1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5" s="43" t="n">
        <f aca="false">IFERROR(N(INDEX(Tasks[_Level],Tasks[[#This Row],[_Row]]+1)),0)</f>
        <v>0</v>
      </c>
      <c r="BK155" s="66" t="b">
        <f aca="false">AND(Tasks[[#This Row],[Task Name]]&lt;&gt;"",Tasks[[#This Row],[_NextLevel]]&gt;Tasks[[#This Row],[_Level]])</f>
        <v>0</v>
      </c>
      <c r="BL155" s="43" t="n">
        <f aca="false">IF(Tasks[[#This Row],[_IsSummary]],COUNTIF(Tasks[WBS],Tasks[[#This Row],[WBS]]&amp;".*"),0)</f>
        <v>0</v>
      </c>
      <c r="BM155" s="43" t="n">
        <f aca="false">IF(AND(Tasks[[#This Row],[Task Name]]&lt;&gt;"",NOT(Tasks[[#This Row],[_IsSummary]])),1,0)</f>
        <v>0</v>
      </c>
      <c r="BN155" s="43" t="n">
        <f aca="false">IF(N(Tasks[[#This Row],[Pred1 UID]])=0,0,IFERROR(MATCH(Tasks[[#This Row],[Pred1 UID]],Tasks[UID],0),-1))</f>
        <v>0</v>
      </c>
      <c r="BO155" s="43" t="n">
        <f aca="false">IF(N(Tasks[[#This Row],[Pred2 UID]])=0,0,IFERROR(MATCH(Tasks[[#This Row],[Pred2 UID]],Tasks[UID],0),-1))</f>
        <v>0</v>
      </c>
      <c r="BP15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5" s="43" t="n">
        <f aca="false">IF(NOT(Tasks[[#This Row],[_IsLeaf]]=1),0,IF(N(Tasks[[#This Row],[Actual Finish]])&gt;0,1,MIN(1,N(Tasks[[#This Row],[% Complete]]))))</f>
        <v>0</v>
      </c>
      <c r="BU1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5" s="43" t="n">
        <f aca="false">IF(Tasks[[#This Row],[_LeafWork]]=0,0,Tasks[[#This Row],[_LeafWork]]*IFERROR(INDEX(res_Rate,MATCH(Tasks[[#This Row],[Resource]],res_Name,0)),0))</f>
        <v>0</v>
      </c>
      <c r="BW1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5" s="43" t="n">
        <f aca="false">IF(NOT(Tasks[[#This Row],[_IsLeaf]]=1),0,MAX(_xlfn.MAXIFS(Tasks[_Row],Tasks[Pred1 UID],Tasks[[#This Row],[UID]]),_xlfn.MAXIFS(Tasks[_Row],Tasks[Pred2 UID],Tasks[[#This Row],[UID]])))</f>
        <v>0</v>
      </c>
      <c r="CB15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5" s="67" t="str">
        <f aca="false">IF(NOT(Tasks[[#This Row],[_IsLeaf]]=1),"",MIN(ProjectFinish,IF(N(Tasks[[#This Row],[Deadline]])&gt;0,Tasks[[#This Row],[Deadline]],2958465),Tasks[[#This Row],[_SuccessorFinishLimit]]))</f>
        <v/>
      </c>
      <c r="CD15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5" s="66" t="b">
        <f aca="false">AND(Tasks[[#This Row],[_IsLeaf]]=1,Tasks[[#This Row],[_LeafProgress]]&lt;1,N(Tasks[[#This Row],[_LeafTotalSlack]])&lt;=CriticalSlackDays)</f>
        <v>0</v>
      </c>
      <c r="CG15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5" s="43" t="n">
        <f aca="false">IF(AND(Tasks[[#This Row],[_IsLeaf]]=1,Tasks[[#This Row],[_LeafWork]]&gt;0),NETWORKDAYS.INTL(ProjectStart,Tasks[[#This Row],[_LeafFcstStart]],WorkWeek,Holidays),0)</f>
        <v>0</v>
      </c>
      <c r="CP1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5" s="43" t="n">
        <f aca="false">IF(AND(Tasks[[#This Row],[_IsLeaf]]=1,Tasks[[#This Row],[_LeafWork]]&gt;0),Tasks[[#This Row],[_LeafWork]]/(Tasks[[#This Row],[_FinishWorkday]]-Tasks[[#This Row],[_StartWorkday]]+1),0)</f>
        <v>0</v>
      </c>
      <c r="CR155" s="43" t="n">
        <f aca="false">Tasks[[#This Row],[_WorkPerWorkday]]*(Tasks[[#This Row],[_StartWorkday]]-1)</f>
        <v>-0</v>
      </c>
      <c r="CS155" s="43" t="n">
        <f aca="false">IF(Tasks[[#This Row],[_IsLeaf]]=1,MAX(N(Tasks[[#This Row],[Duration]]),0.1),0)</f>
        <v>0</v>
      </c>
      <c r="CT155" s="43" t="n">
        <f aca="false">Tasks[[#This Row],[_WeightDur]]*Tasks[[#This Row],[_LeafProgress]]</f>
        <v>0</v>
      </c>
      <c r="CU1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5" s="43" t="str">
        <f aca="false">IF(AND(Tasks[[#This Row],[_IsLeaf]]=1,N(Tasks[[#This Row],[Duration]])=0,Tasks[[#This Row],[_LeafProgress]]&lt;1),Tasks[[#This Row],[_LeafFcstFinish]]+Tasks[[#This Row],[_Row]]/100000,"")</f>
        <v/>
      </c>
      <c r="DA1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5" s="43" t="n">
        <f aca="false">IF(NOT(Tasks[[#This Row],[_IsLeaf]]=1),0,IF(Tasks[[#This Row],[Baseline Cost]]="",Tasks[[#This Row],[_LeafCost]],N(Tasks[[#This Row],[Baseline Cost]])))</f>
        <v>0</v>
      </c>
      <c r="DC155" s="43" t="n">
        <f aca="false">Tasks[[#This Row],[_LeafBudget]]*Tasks[[#This Row],[_PlannedPct]]</f>
        <v>0</v>
      </c>
      <c r="DD155" s="43" t="n">
        <f aca="false">Tasks[[#This Row],[_LeafBudget]]*Tasks[[#This Row],[_LeafProgress]]</f>
        <v>0</v>
      </c>
      <c r="DE155" s="43" t="n">
        <f aca="false">IF(NOT(Tasks[[#This Row],[_IsLeaf]]=1),0,IF(Tasks[[#This Row],[Actual Cost]]="",Tasks[[#This Row],[_LeafCost]]*Tasks[[#This Row],[_LeafProgress]],N(Tasks[[#This Row],[Actual Cost]])))</f>
        <v>0</v>
      </c>
      <c r="DF155" s="43" t="str">
        <f aca="false">IF(Tasks[[#This Row],[Task Name]]="","",LEFT(Tasks[[#This Row],[WBS]],FIND(".",Tasks[[#This Row],[WBS]]&amp;".")-1))</f>
        <v/>
      </c>
      <c r="DG155" s="43" t="str">
        <f aca="false">IF(AND(Tasks[[#This Row],[Task Name]]&lt;&gt;"",Tasks[[#This Row],[_Level]]=1),Tasks[[#This Row],[_Row]],"")</f>
        <v/>
      </c>
      <c r="DH155" s="43" t="str">
        <f aca="false">IF(AND(Tasks[[#This Row],[_IsLeaf]]=1,N(Tasks[[#This Row],[Duration]])=0),Tasks[[#This Row],[Planned Finish]]+Tasks[[#This Row],[_Row]]/100000,"")</f>
        <v/>
      </c>
      <c r="DI1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5" s="43" t="str">
        <f aca="false">IF(Tasks[[#This Row],[_LeafCritical]],Tasks[[#This Row],[_LeafFcstStart]]+Tasks[[#This Row],[_Row]]/100000,"")</f>
        <v/>
      </c>
    </row>
    <row r="156" customFormat="false" ht="15" hidden="false" customHeight="false" outlineLevel="0" collapsed="false">
      <c r="A156" s="28" t="str">
        <f aca="false">IF(Tasks[[#This Row],[Task Name]]="","",COUNTA(Tasks[[#Headers],[Task Name]]:Tasks[[#This Row],[Task Name]])-1)</f>
        <v/>
      </c>
      <c r="B156" s="29" t="n">
        <v>151</v>
      </c>
      <c r="C1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29"/>
      <c r="E156" s="30"/>
      <c r="F156" s="29"/>
      <c r="G156" s="29"/>
      <c r="H156" s="29"/>
      <c r="I156" s="29"/>
      <c r="J156" s="29"/>
      <c r="K156" s="29"/>
      <c r="L156" s="29"/>
      <c r="M156" s="29"/>
      <c r="N156" s="53"/>
      <c r="O156" s="53"/>
      <c r="P156" s="25" t="str">
        <f aca="false">IF(Tasks[[#This Row],[Task Name]]="","",IF(N(Tasks[[#This Row],[Baseline Start]])&gt;0,Tasks[[#This Row],[Baseline Start]],Tasks[[#This Row],[_CalcStart]]))</f>
        <v/>
      </c>
      <c r="Q156" s="25" t="str">
        <f aca="false">IF(Tasks[[#This Row],[Task Name]]="","",IF(N(Tasks[[#This Row],[Baseline Finish]])&gt;0,Tasks[[#This Row],[Baseline Finish]],Tasks[[#This Row],[_CalcFinish]]))</f>
        <v/>
      </c>
      <c r="R156" s="53"/>
      <c r="S156" s="53"/>
      <c r="T1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55"/>
      <c r="AF15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30"/>
      <c r="AI156" s="55"/>
      <c r="AJ15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64"/>
      <c r="AM15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6" s="30"/>
      <c r="AP156" s="25" t="str">
        <f aca="false">IF(Tasks[[#This Row],[Task Name]]="","",Tasks[[#This Row],[Forecast Start]])</f>
        <v/>
      </c>
      <c r="AQ156" s="25" t="str">
        <f aca="false">IF(Tasks[[#This Row],[Task Name]]="","",Tasks[[#This Row],[Forecast Finish]])</f>
        <v/>
      </c>
      <c r="AR1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6" s="62" t="str">
        <f aca="false">IF(Tasks[[#This Row],[Task Name]]="","",Tasks[[#This Row],[Work]])</f>
        <v/>
      </c>
      <c r="AT156" s="63" t="str">
        <f aca="false">IF(Tasks[[#This Row],[Task Name]]="","",Tasks[[#This Row],[Cost]])</f>
        <v/>
      </c>
      <c r="AU156" s="53"/>
      <c r="AV156" s="53"/>
      <c r="AW156" s="29"/>
      <c r="AX156" s="65"/>
      <c r="AY156" s="64"/>
      <c r="AZ156" s="28" t="str">
        <f aca="false">IF(OR(Tasks[[#This Row],[Task Name]]="",Tasks[[#This Row],[Baseline Duration]]=""),"",Tasks[[#This Row],[BL Source Duration]]-N(Tasks[[#This Row],[Baseline Duration]]))</f>
        <v/>
      </c>
      <c r="BA156" s="62" t="str">
        <f aca="false">IF(OR(Tasks[[#This Row],[Task Name]]="",Tasks[[#This Row],[Baseline Work]]=""),"",Tasks[[#This Row],[Work]]-N(Tasks[[#This Row],[Baseline Work]]))</f>
        <v/>
      </c>
      <c r="BB156" s="63" t="str">
        <f aca="false">IF(OR(Tasks[[#This Row],[Task Name]]="",Tasks[[#This Row],[Baseline Cost]]=""),"",Tasks[[#This Row],[Cost]]-N(Tasks[[#This Row],[Baseline Cost]]))</f>
        <v/>
      </c>
      <c r="BC15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6" s="43" t="str">
        <f aca="false">IF(Tasks[[#This Row],[Task Name]]="","",MAX(1,N(Tasks[[#This Row],[Level]])))</f>
        <v/>
      </c>
      <c r="BH156" s="43" t="n">
        <f aca="false">ROW()-ROW(Tasks[[#Headers],[ID]])</f>
        <v>151</v>
      </c>
      <c r="BI1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6" s="43" t="n">
        <f aca="false">IFERROR(N(INDEX(Tasks[_Level],Tasks[[#This Row],[_Row]]+1)),0)</f>
        <v>0</v>
      </c>
      <c r="BK156" s="66" t="b">
        <f aca="false">AND(Tasks[[#This Row],[Task Name]]&lt;&gt;"",Tasks[[#This Row],[_NextLevel]]&gt;Tasks[[#This Row],[_Level]])</f>
        <v>0</v>
      </c>
      <c r="BL156" s="43" t="n">
        <f aca="false">IF(Tasks[[#This Row],[_IsSummary]],COUNTIF(Tasks[WBS],Tasks[[#This Row],[WBS]]&amp;".*"),0)</f>
        <v>0</v>
      </c>
      <c r="BM156" s="43" t="n">
        <f aca="false">IF(AND(Tasks[[#This Row],[Task Name]]&lt;&gt;"",NOT(Tasks[[#This Row],[_IsSummary]])),1,0)</f>
        <v>0</v>
      </c>
      <c r="BN156" s="43" t="n">
        <f aca="false">IF(N(Tasks[[#This Row],[Pred1 UID]])=0,0,IFERROR(MATCH(Tasks[[#This Row],[Pred1 UID]],Tasks[UID],0),-1))</f>
        <v>0</v>
      </c>
      <c r="BO156" s="43" t="n">
        <f aca="false">IF(N(Tasks[[#This Row],[Pred2 UID]])=0,0,IFERROR(MATCH(Tasks[[#This Row],[Pred2 UID]],Tasks[UID],0),-1))</f>
        <v>0</v>
      </c>
      <c r="BP15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6" s="43" t="n">
        <f aca="false">IF(NOT(Tasks[[#This Row],[_IsLeaf]]=1),0,IF(N(Tasks[[#This Row],[Actual Finish]])&gt;0,1,MIN(1,N(Tasks[[#This Row],[% Complete]]))))</f>
        <v>0</v>
      </c>
      <c r="BU1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6" s="43" t="n">
        <f aca="false">IF(Tasks[[#This Row],[_LeafWork]]=0,0,Tasks[[#This Row],[_LeafWork]]*IFERROR(INDEX(res_Rate,MATCH(Tasks[[#This Row],[Resource]],res_Name,0)),0))</f>
        <v>0</v>
      </c>
      <c r="BW1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6" s="43" t="n">
        <f aca="false">IF(NOT(Tasks[[#This Row],[_IsLeaf]]=1),0,MAX(_xlfn.MAXIFS(Tasks[_Row],Tasks[Pred1 UID],Tasks[[#This Row],[UID]]),_xlfn.MAXIFS(Tasks[_Row],Tasks[Pred2 UID],Tasks[[#This Row],[UID]])))</f>
        <v>0</v>
      </c>
      <c r="CB15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6" s="67" t="str">
        <f aca="false">IF(NOT(Tasks[[#This Row],[_IsLeaf]]=1),"",MIN(ProjectFinish,IF(N(Tasks[[#This Row],[Deadline]])&gt;0,Tasks[[#This Row],[Deadline]],2958465),Tasks[[#This Row],[_SuccessorFinishLimit]]))</f>
        <v/>
      </c>
      <c r="CD15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6" s="66" t="b">
        <f aca="false">AND(Tasks[[#This Row],[_IsLeaf]]=1,Tasks[[#This Row],[_LeafProgress]]&lt;1,N(Tasks[[#This Row],[_LeafTotalSlack]])&lt;=CriticalSlackDays)</f>
        <v>0</v>
      </c>
      <c r="CG15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6" s="43" t="n">
        <f aca="false">IF(AND(Tasks[[#This Row],[_IsLeaf]]=1,Tasks[[#This Row],[_LeafWork]]&gt;0),NETWORKDAYS.INTL(ProjectStart,Tasks[[#This Row],[_LeafFcstStart]],WorkWeek,Holidays),0)</f>
        <v>0</v>
      </c>
      <c r="CP1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6" s="43" t="n">
        <f aca="false">IF(AND(Tasks[[#This Row],[_IsLeaf]]=1,Tasks[[#This Row],[_LeafWork]]&gt;0),Tasks[[#This Row],[_LeafWork]]/(Tasks[[#This Row],[_FinishWorkday]]-Tasks[[#This Row],[_StartWorkday]]+1),0)</f>
        <v>0</v>
      </c>
      <c r="CR156" s="43" t="n">
        <f aca="false">Tasks[[#This Row],[_WorkPerWorkday]]*(Tasks[[#This Row],[_StartWorkday]]-1)</f>
        <v>-0</v>
      </c>
      <c r="CS156" s="43" t="n">
        <f aca="false">IF(Tasks[[#This Row],[_IsLeaf]]=1,MAX(N(Tasks[[#This Row],[Duration]]),0.1),0)</f>
        <v>0</v>
      </c>
      <c r="CT156" s="43" t="n">
        <f aca="false">Tasks[[#This Row],[_WeightDur]]*Tasks[[#This Row],[_LeafProgress]]</f>
        <v>0</v>
      </c>
      <c r="CU1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6" s="43" t="str">
        <f aca="false">IF(AND(Tasks[[#This Row],[_IsLeaf]]=1,N(Tasks[[#This Row],[Duration]])=0,Tasks[[#This Row],[_LeafProgress]]&lt;1),Tasks[[#This Row],[_LeafFcstFinish]]+Tasks[[#This Row],[_Row]]/100000,"")</f>
        <v/>
      </c>
      <c r="DA1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6" s="43" t="n">
        <f aca="false">IF(NOT(Tasks[[#This Row],[_IsLeaf]]=1),0,IF(Tasks[[#This Row],[Baseline Cost]]="",Tasks[[#This Row],[_LeafCost]],N(Tasks[[#This Row],[Baseline Cost]])))</f>
        <v>0</v>
      </c>
      <c r="DC156" s="43" t="n">
        <f aca="false">Tasks[[#This Row],[_LeafBudget]]*Tasks[[#This Row],[_PlannedPct]]</f>
        <v>0</v>
      </c>
      <c r="DD156" s="43" t="n">
        <f aca="false">Tasks[[#This Row],[_LeafBudget]]*Tasks[[#This Row],[_LeafProgress]]</f>
        <v>0</v>
      </c>
      <c r="DE156" s="43" t="n">
        <f aca="false">IF(NOT(Tasks[[#This Row],[_IsLeaf]]=1),0,IF(Tasks[[#This Row],[Actual Cost]]="",Tasks[[#This Row],[_LeafCost]]*Tasks[[#This Row],[_LeafProgress]],N(Tasks[[#This Row],[Actual Cost]])))</f>
        <v>0</v>
      </c>
      <c r="DF156" s="43" t="str">
        <f aca="false">IF(Tasks[[#This Row],[Task Name]]="","",LEFT(Tasks[[#This Row],[WBS]],FIND(".",Tasks[[#This Row],[WBS]]&amp;".")-1))</f>
        <v/>
      </c>
      <c r="DG156" s="43" t="str">
        <f aca="false">IF(AND(Tasks[[#This Row],[Task Name]]&lt;&gt;"",Tasks[[#This Row],[_Level]]=1),Tasks[[#This Row],[_Row]],"")</f>
        <v/>
      </c>
      <c r="DH156" s="43" t="str">
        <f aca="false">IF(AND(Tasks[[#This Row],[_IsLeaf]]=1,N(Tasks[[#This Row],[Duration]])=0),Tasks[[#This Row],[Planned Finish]]+Tasks[[#This Row],[_Row]]/100000,"")</f>
        <v/>
      </c>
      <c r="DI1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6" s="43" t="str">
        <f aca="false">IF(Tasks[[#This Row],[_LeafCritical]],Tasks[[#This Row],[_LeafFcstStart]]+Tasks[[#This Row],[_Row]]/100000,"")</f>
        <v/>
      </c>
    </row>
    <row r="157" customFormat="false" ht="15" hidden="false" customHeight="false" outlineLevel="0" collapsed="false">
      <c r="A157" s="28" t="str">
        <f aca="false">IF(Tasks[[#This Row],[Task Name]]="","",COUNTA(Tasks[[#Headers],[Task Name]]:Tasks[[#This Row],[Task Name]])-1)</f>
        <v/>
      </c>
      <c r="B157" s="29" t="n">
        <v>152</v>
      </c>
      <c r="C1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29"/>
      <c r="E157" s="30"/>
      <c r="F157" s="29"/>
      <c r="G157" s="29"/>
      <c r="H157" s="29"/>
      <c r="I157" s="29"/>
      <c r="J157" s="29"/>
      <c r="K157" s="29"/>
      <c r="L157" s="29"/>
      <c r="M157" s="29"/>
      <c r="N157" s="53"/>
      <c r="O157" s="53"/>
      <c r="P157" s="25" t="str">
        <f aca="false">IF(Tasks[[#This Row],[Task Name]]="","",IF(N(Tasks[[#This Row],[Baseline Start]])&gt;0,Tasks[[#This Row],[Baseline Start]],Tasks[[#This Row],[_CalcStart]]))</f>
        <v/>
      </c>
      <c r="Q157" s="25" t="str">
        <f aca="false">IF(Tasks[[#This Row],[Task Name]]="","",IF(N(Tasks[[#This Row],[Baseline Finish]])&gt;0,Tasks[[#This Row],[Baseline Finish]],Tasks[[#This Row],[_CalcFinish]]))</f>
        <v/>
      </c>
      <c r="R157" s="53"/>
      <c r="S157" s="53"/>
      <c r="T1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55"/>
      <c r="AF15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30"/>
      <c r="AI157" s="55"/>
      <c r="AJ15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64"/>
      <c r="AM15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7" s="30"/>
      <c r="AP157" s="25" t="str">
        <f aca="false">IF(Tasks[[#This Row],[Task Name]]="","",Tasks[[#This Row],[Forecast Start]])</f>
        <v/>
      </c>
      <c r="AQ157" s="25" t="str">
        <f aca="false">IF(Tasks[[#This Row],[Task Name]]="","",Tasks[[#This Row],[Forecast Finish]])</f>
        <v/>
      </c>
      <c r="AR1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7" s="62" t="str">
        <f aca="false">IF(Tasks[[#This Row],[Task Name]]="","",Tasks[[#This Row],[Work]])</f>
        <v/>
      </c>
      <c r="AT157" s="63" t="str">
        <f aca="false">IF(Tasks[[#This Row],[Task Name]]="","",Tasks[[#This Row],[Cost]])</f>
        <v/>
      </c>
      <c r="AU157" s="53"/>
      <c r="AV157" s="53"/>
      <c r="AW157" s="29"/>
      <c r="AX157" s="65"/>
      <c r="AY157" s="64"/>
      <c r="AZ157" s="28" t="str">
        <f aca="false">IF(OR(Tasks[[#This Row],[Task Name]]="",Tasks[[#This Row],[Baseline Duration]]=""),"",Tasks[[#This Row],[BL Source Duration]]-N(Tasks[[#This Row],[Baseline Duration]]))</f>
        <v/>
      </c>
      <c r="BA157" s="62" t="str">
        <f aca="false">IF(OR(Tasks[[#This Row],[Task Name]]="",Tasks[[#This Row],[Baseline Work]]=""),"",Tasks[[#This Row],[Work]]-N(Tasks[[#This Row],[Baseline Work]]))</f>
        <v/>
      </c>
      <c r="BB157" s="63" t="str">
        <f aca="false">IF(OR(Tasks[[#This Row],[Task Name]]="",Tasks[[#This Row],[Baseline Cost]]=""),"",Tasks[[#This Row],[Cost]]-N(Tasks[[#This Row],[Baseline Cost]]))</f>
        <v/>
      </c>
      <c r="BC15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7" s="43" t="str">
        <f aca="false">IF(Tasks[[#This Row],[Task Name]]="","",MAX(1,N(Tasks[[#This Row],[Level]])))</f>
        <v/>
      </c>
      <c r="BH157" s="43" t="n">
        <f aca="false">ROW()-ROW(Tasks[[#Headers],[ID]])</f>
        <v>152</v>
      </c>
      <c r="BI1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7" s="43" t="n">
        <f aca="false">IFERROR(N(INDEX(Tasks[_Level],Tasks[[#This Row],[_Row]]+1)),0)</f>
        <v>0</v>
      </c>
      <c r="BK157" s="66" t="b">
        <f aca="false">AND(Tasks[[#This Row],[Task Name]]&lt;&gt;"",Tasks[[#This Row],[_NextLevel]]&gt;Tasks[[#This Row],[_Level]])</f>
        <v>0</v>
      </c>
      <c r="BL157" s="43" t="n">
        <f aca="false">IF(Tasks[[#This Row],[_IsSummary]],COUNTIF(Tasks[WBS],Tasks[[#This Row],[WBS]]&amp;".*"),0)</f>
        <v>0</v>
      </c>
      <c r="BM157" s="43" t="n">
        <f aca="false">IF(AND(Tasks[[#This Row],[Task Name]]&lt;&gt;"",NOT(Tasks[[#This Row],[_IsSummary]])),1,0)</f>
        <v>0</v>
      </c>
      <c r="BN157" s="43" t="n">
        <f aca="false">IF(N(Tasks[[#This Row],[Pred1 UID]])=0,0,IFERROR(MATCH(Tasks[[#This Row],[Pred1 UID]],Tasks[UID],0),-1))</f>
        <v>0</v>
      </c>
      <c r="BO157" s="43" t="n">
        <f aca="false">IF(N(Tasks[[#This Row],[Pred2 UID]])=0,0,IFERROR(MATCH(Tasks[[#This Row],[Pred2 UID]],Tasks[UID],0),-1))</f>
        <v>0</v>
      </c>
      <c r="BP15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7" s="43" t="n">
        <f aca="false">IF(NOT(Tasks[[#This Row],[_IsLeaf]]=1),0,IF(N(Tasks[[#This Row],[Actual Finish]])&gt;0,1,MIN(1,N(Tasks[[#This Row],[% Complete]]))))</f>
        <v>0</v>
      </c>
      <c r="BU1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7" s="43" t="n">
        <f aca="false">IF(Tasks[[#This Row],[_LeafWork]]=0,0,Tasks[[#This Row],[_LeafWork]]*IFERROR(INDEX(res_Rate,MATCH(Tasks[[#This Row],[Resource]],res_Name,0)),0))</f>
        <v>0</v>
      </c>
      <c r="BW1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7" s="43" t="n">
        <f aca="false">IF(NOT(Tasks[[#This Row],[_IsLeaf]]=1),0,MAX(_xlfn.MAXIFS(Tasks[_Row],Tasks[Pred1 UID],Tasks[[#This Row],[UID]]),_xlfn.MAXIFS(Tasks[_Row],Tasks[Pred2 UID],Tasks[[#This Row],[UID]])))</f>
        <v>0</v>
      </c>
      <c r="CB15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7" s="67" t="str">
        <f aca="false">IF(NOT(Tasks[[#This Row],[_IsLeaf]]=1),"",MIN(ProjectFinish,IF(N(Tasks[[#This Row],[Deadline]])&gt;0,Tasks[[#This Row],[Deadline]],2958465),Tasks[[#This Row],[_SuccessorFinishLimit]]))</f>
        <v/>
      </c>
      <c r="CD15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7" s="66" t="b">
        <f aca="false">AND(Tasks[[#This Row],[_IsLeaf]]=1,Tasks[[#This Row],[_LeafProgress]]&lt;1,N(Tasks[[#This Row],[_LeafTotalSlack]])&lt;=CriticalSlackDays)</f>
        <v>0</v>
      </c>
      <c r="CG15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7" s="43" t="n">
        <f aca="false">IF(AND(Tasks[[#This Row],[_IsLeaf]]=1,Tasks[[#This Row],[_LeafWork]]&gt;0),NETWORKDAYS.INTL(ProjectStart,Tasks[[#This Row],[_LeafFcstStart]],WorkWeek,Holidays),0)</f>
        <v>0</v>
      </c>
      <c r="CP1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7" s="43" t="n">
        <f aca="false">IF(AND(Tasks[[#This Row],[_IsLeaf]]=1,Tasks[[#This Row],[_LeafWork]]&gt;0),Tasks[[#This Row],[_LeafWork]]/(Tasks[[#This Row],[_FinishWorkday]]-Tasks[[#This Row],[_StartWorkday]]+1),0)</f>
        <v>0</v>
      </c>
      <c r="CR157" s="43" t="n">
        <f aca="false">Tasks[[#This Row],[_WorkPerWorkday]]*(Tasks[[#This Row],[_StartWorkday]]-1)</f>
        <v>-0</v>
      </c>
      <c r="CS157" s="43" t="n">
        <f aca="false">IF(Tasks[[#This Row],[_IsLeaf]]=1,MAX(N(Tasks[[#This Row],[Duration]]),0.1),0)</f>
        <v>0</v>
      </c>
      <c r="CT157" s="43" t="n">
        <f aca="false">Tasks[[#This Row],[_WeightDur]]*Tasks[[#This Row],[_LeafProgress]]</f>
        <v>0</v>
      </c>
      <c r="CU1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7" s="43" t="str">
        <f aca="false">IF(AND(Tasks[[#This Row],[_IsLeaf]]=1,N(Tasks[[#This Row],[Duration]])=0,Tasks[[#This Row],[_LeafProgress]]&lt;1),Tasks[[#This Row],[_LeafFcstFinish]]+Tasks[[#This Row],[_Row]]/100000,"")</f>
        <v/>
      </c>
      <c r="DA1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7" s="43" t="n">
        <f aca="false">IF(NOT(Tasks[[#This Row],[_IsLeaf]]=1),0,IF(Tasks[[#This Row],[Baseline Cost]]="",Tasks[[#This Row],[_LeafCost]],N(Tasks[[#This Row],[Baseline Cost]])))</f>
        <v>0</v>
      </c>
      <c r="DC157" s="43" t="n">
        <f aca="false">Tasks[[#This Row],[_LeafBudget]]*Tasks[[#This Row],[_PlannedPct]]</f>
        <v>0</v>
      </c>
      <c r="DD157" s="43" t="n">
        <f aca="false">Tasks[[#This Row],[_LeafBudget]]*Tasks[[#This Row],[_LeafProgress]]</f>
        <v>0</v>
      </c>
      <c r="DE157" s="43" t="n">
        <f aca="false">IF(NOT(Tasks[[#This Row],[_IsLeaf]]=1),0,IF(Tasks[[#This Row],[Actual Cost]]="",Tasks[[#This Row],[_LeafCost]]*Tasks[[#This Row],[_LeafProgress]],N(Tasks[[#This Row],[Actual Cost]])))</f>
        <v>0</v>
      </c>
      <c r="DF157" s="43" t="str">
        <f aca="false">IF(Tasks[[#This Row],[Task Name]]="","",LEFT(Tasks[[#This Row],[WBS]],FIND(".",Tasks[[#This Row],[WBS]]&amp;".")-1))</f>
        <v/>
      </c>
      <c r="DG157" s="43" t="str">
        <f aca="false">IF(AND(Tasks[[#This Row],[Task Name]]&lt;&gt;"",Tasks[[#This Row],[_Level]]=1),Tasks[[#This Row],[_Row]],"")</f>
        <v/>
      </c>
      <c r="DH157" s="43" t="str">
        <f aca="false">IF(AND(Tasks[[#This Row],[_IsLeaf]]=1,N(Tasks[[#This Row],[Duration]])=0),Tasks[[#This Row],[Planned Finish]]+Tasks[[#This Row],[_Row]]/100000,"")</f>
        <v/>
      </c>
      <c r="DI1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7" s="43" t="str">
        <f aca="false">IF(Tasks[[#This Row],[_LeafCritical]],Tasks[[#This Row],[_LeafFcstStart]]+Tasks[[#This Row],[_Row]]/100000,"")</f>
        <v/>
      </c>
    </row>
    <row r="158" customFormat="false" ht="15" hidden="false" customHeight="false" outlineLevel="0" collapsed="false">
      <c r="A158" s="28" t="str">
        <f aca="false">IF(Tasks[[#This Row],[Task Name]]="","",COUNTA(Tasks[[#Headers],[Task Name]]:Tasks[[#This Row],[Task Name]])-1)</f>
        <v/>
      </c>
      <c r="B158" s="29" t="n">
        <v>153</v>
      </c>
      <c r="C1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29"/>
      <c r="E158" s="30"/>
      <c r="F158" s="29"/>
      <c r="G158" s="29"/>
      <c r="H158" s="29"/>
      <c r="I158" s="29"/>
      <c r="J158" s="29"/>
      <c r="K158" s="29"/>
      <c r="L158" s="29"/>
      <c r="M158" s="29"/>
      <c r="N158" s="53"/>
      <c r="O158" s="53"/>
      <c r="P158" s="25" t="str">
        <f aca="false">IF(Tasks[[#This Row],[Task Name]]="","",IF(N(Tasks[[#This Row],[Baseline Start]])&gt;0,Tasks[[#This Row],[Baseline Start]],Tasks[[#This Row],[_CalcStart]]))</f>
        <v/>
      </c>
      <c r="Q158" s="25" t="str">
        <f aca="false">IF(Tasks[[#This Row],[Task Name]]="","",IF(N(Tasks[[#This Row],[Baseline Finish]])&gt;0,Tasks[[#This Row],[Baseline Finish]],Tasks[[#This Row],[_CalcFinish]]))</f>
        <v/>
      </c>
      <c r="R158" s="53"/>
      <c r="S158" s="53"/>
      <c r="T1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55"/>
      <c r="AF15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30"/>
      <c r="AI158" s="55"/>
      <c r="AJ15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64"/>
      <c r="AM15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8" s="30"/>
      <c r="AP158" s="25" t="str">
        <f aca="false">IF(Tasks[[#This Row],[Task Name]]="","",Tasks[[#This Row],[Forecast Start]])</f>
        <v/>
      </c>
      <c r="AQ158" s="25" t="str">
        <f aca="false">IF(Tasks[[#This Row],[Task Name]]="","",Tasks[[#This Row],[Forecast Finish]])</f>
        <v/>
      </c>
      <c r="AR1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8" s="62" t="str">
        <f aca="false">IF(Tasks[[#This Row],[Task Name]]="","",Tasks[[#This Row],[Work]])</f>
        <v/>
      </c>
      <c r="AT158" s="63" t="str">
        <f aca="false">IF(Tasks[[#This Row],[Task Name]]="","",Tasks[[#This Row],[Cost]])</f>
        <v/>
      </c>
      <c r="AU158" s="53"/>
      <c r="AV158" s="53"/>
      <c r="AW158" s="29"/>
      <c r="AX158" s="65"/>
      <c r="AY158" s="64"/>
      <c r="AZ158" s="28" t="str">
        <f aca="false">IF(OR(Tasks[[#This Row],[Task Name]]="",Tasks[[#This Row],[Baseline Duration]]=""),"",Tasks[[#This Row],[BL Source Duration]]-N(Tasks[[#This Row],[Baseline Duration]]))</f>
        <v/>
      </c>
      <c r="BA158" s="62" t="str">
        <f aca="false">IF(OR(Tasks[[#This Row],[Task Name]]="",Tasks[[#This Row],[Baseline Work]]=""),"",Tasks[[#This Row],[Work]]-N(Tasks[[#This Row],[Baseline Work]]))</f>
        <v/>
      </c>
      <c r="BB158" s="63" t="str">
        <f aca="false">IF(OR(Tasks[[#This Row],[Task Name]]="",Tasks[[#This Row],[Baseline Cost]]=""),"",Tasks[[#This Row],[Cost]]-N(Tasks[[#This Row],[Baseline Cost]]))</f>
        <v/>
      </c>
      <c r="BC15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8" s="43" t="str">
        <f aca="false">IF(Tasks[[#This Row],[Task Name]]="","",MAX(1,N(Tasks[[#This Row],[Level]])))</f>
        <v/>
      </c>
      <c r="BH158" s="43" t="n">
        <f aca="false">ROW()-ROW(Tasks[[#Headers],[ID]])</f>
        <v>153</v>
      </c>
      <c r="BI1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8" s="43" t="n">
        <f aca="false">IFERROR(N(INDEX(Tasks[_Level],Tasks[[#This Row],[_Row]]+1)),0)</f>
        <v>0</v>
      </c>
      <c r="BK158" s="66" t="b">
        <f aca="false">AND(Tasks[[#This Row],[Task Name]]&lt;&gt;"",Tasks[[#This Row],[_NextLevel]]&gt;Tasks[[#This Row],[_Level]])</f>
        <v>0</v>
      </c>
      <c r="BL158" s="43" t="n">
        <f aca="false">IF(Tasks[[#This Row],[_IsSummary]],COUNTIF(Tasks[WBS],Tasks[[#This Row],[WBS]]&amp;".*"),0)</f>
        <v>0</v>
      </c>
      <c r="BM158" s="43" t="n">
        <f aca="false">IF(AND(Tasks[[#This Row],[Task Name]]&lt;&gt;"",NOT(Tasks[[#This Row],[_IsSummary]])),1,0)</f>
        <v>0</v>
      </c>
      <c r="BN158" s="43" t="n">
        <f aca="false">IF(N(Tasks[[#This Row],[Pred1 UID]])=0,0,IFERROR(MATCH(Tasks[[#This Row],[Pred1 UID]],Tasks[UID],0),-1))</f>
        <v>0</v>
      </c>
      <c r="BO158" s="43" t="n">
        <f aca="false">IF(N(Tasks[[#This Row],[Pred2 UID]])=0,0,IFERROR(MATCH(Tasks[[#This Row],[Pred2 UID]],Tasks[UID],0),-1))</f>
        <v>0</v>
      </c>
      <c r="BP15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8" s="43" t="n">
        <f aca="false">IF(NOT(Tasks[[#This Row],[_IsLeaf]]=1),0,IF(N(Tasks[[#This Row],[Actual Finish]])&gt;0,1,MIN(1,N(Tasks[[#This Row],[% Complete]]))))</f>
        <v>0</v>
      </c>
      <c r="BU1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8" s="43" t="n">
        <f aca="false">IF(Tasks[[#This Row],[_LeafWork]]=0,0,Tasks[[#This Row],[_LeafWork]]*IFERROR(INDEX(res_Rate,MATCH(Tasks[[#This Row],[Resource]],res_Name,0)),0))</f>
        <v>0</v>
      </c>
      <c r="BW1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8" s="43" t="n">
        <f aca="false">IF(NOT(Tasks[[#This Row],[_IsLeaf]]=1),0,MAX(_xlfn.MAXIFS(Tasks[_Row],Tasks[Pred1 UID],Tasks[[#This Row],[UID]]),_xlfn.MAXIFS(Tasks[_Row],Tasks[Pred2 UID],Tasks[[#This Row],[UID]])))</f>
        <v>0</v>
      </c>
      <c r="CB15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8" s="67" t="str">
        <f aca="false">IF(NOT(Tasks[[#This Row],[_IsLeaf]]=1),"",MIN(ProjectFinish,IF(N(Tasks[[#This Row],[Deadline]])&gt;0,Tasks[[#This Row],[Deadline]],2958465),Tasks[[#This Row],[_SuccessorFinishLimit]]))</f>
        <v/>
      </c>
      <c r="CD15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8" s="66" t="b">
        <f aca="false">AND(Tasks[[#This Row],[_IsLeaf]]=1,Tasks[[#This Row],[_LeafProgress]]&lt;1,N(Tasks[[#This Row],[_LeafTotalSlack]])&lt;=CriticalSlackDays)</f>
        <v>0</v>
      </c>
      <c r="CG15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8" s="43" t="n">
        <f aca="false">IF(AND(Tasks[[#This Row],[_IsLeaf]]=1,Tasks[[#This Row],[_LeafWork]]&gt;0),NETWORKDAYS.INTL(ProjectStart,Tasks[[#This Row],[_LeafFcstStart]],WorkWeek,Holidays),0)</f>
        <v>0</v>
      </c>
      <c r="CP1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8" s="43" t="n">
        <f aca="false">IF(AND(Tasks[[#This Row],[_IsLeaf]]=1,Tasks[[#This Row],[_LeafWork]]&gt;0),Tasks[[#This Row],[_LeafWork]]/(Tasks[[#This Row],[_FinishWorkday]]-Tasks[[#This Row],[_StartWorkday]]+1),0)</f>
        <v>0</v>
      </c>
      <c r="CR158" s="43" t="n">
        <f aca="false">Tasks[[#This Row],[_WorkPerWorkday]]*(Tasks[[#This Row],[_StartWorkday]]-1)</f>
        <v>-0</v>
      </c>
      <c r="CS158" s="43" t="n">
        <f aca="false">IF(Tasks[[#This Row],[_IsLeaf]]=1,MAX(N(Tasks[[#This Row],[Duration]]),0.1),0)</f>
        <v>0</v>
      </c>
      <c r="CT158" s="43" t="n">
        <f aca="false">Tasks[[#This Row],[_WeightDur]]*Tasks[[#This Row],[_LeafProgress]]</f>
        <v>0</v>
      </c>
      <c r="CU1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8" s="43" t="str">
        <f aca="false">IF(AND(Tasks[[#This Row],[_IsLeaf]]=1,N(Tasks[[#This Row],[Duration]])=0,Tasks[[#This Row],[_LeafProgress]]&lt;1),Tasks[[#This Row],[_LeafFcstFinish]]+Tasks[[#This Row],[_Row]]/100000,"")</f>
        <v/>
      </c>
      <c r="DA1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8" s="43" t="n">
        <f aca="false">IF(NOT(Tasks[[#This Row],[_IsLeaf]]=1),0,IF(Tasks[[#This Row],[Baseline Cost]]="",Tasks[[#This Row],[_LeafCost]],N(Tasks[[#This Row],[Baseline Cost]])))</f>
        <v>0</v>
      </c>
      <c r="DC158" s="43" t="n">
        <f aca="false">Tasks[[#This Row],[_LeafBudget]]*Tasks[[#This Row],[_PlannedPct]]</f>
        <v>0</v>
      </c>
      <c r="DD158" s="43" t="n">
        <f aca="false">Tasks[[#This Row],[_LeafBudget]]*Tasks[[#This Row],[_LeafProgress]]</f>
        <v>0</v>
      </c>
      <c r="DE158" s="43" t="n">
        <f aca="false">IF(NOT(Tasks[[#This Row],[_IsLeaf]]=1),0,IF(Tasks[[#This Row],[Actual Cost]]="",Tasks[[#This Row],[_LeafCost]]*Tasks[[#This Row],[_LeafProgress]],N(Tasks[[#This Row],[Actual Cost]])))</f>
        <v>0</v>
      </c>
      <c r="DF158" s="43" t="str">
        <f aca="false">IF(Tasks[[#This Row],[Task Name]]="","",LEFT(Tasks[[#This Row],[WBS]],FIND(".",Tasks[[#This Row],[WBS]]&amp;".")-1))</f>
        <v/>
      </c>
      <c r="DG158" s="43" t="str">
        <f aca="false">IF(AND(Tasks[[#This Row],[Task Name]]&lt;&gt;"",Tasks[[#This Row],[_Level]]=1),Tasks[[#This Row],[_Row]],"")</f>
        <v/>
      </c>
      <c r="DH158" s="43" t="str">
        <f aca="false">IF(AND(Tasks[[#This Row],[_IsLeaf]]=1,N(Tasks[[#This Row],[Duration]])=0),Tasks[[#This Row],[Planned Finish]]+Tasks[[#This Row],[_Row]]/100000,"")</f>
        <v/>
      </c>
      <c r="DI1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8" s="43" t="str">
        <f aca="false">IF(Tasks[[#This Row],[_LeafCritical]],Tasks[[#This Row],[_LeafFcstStart]]+Tasks[[#This Row],[_Row]]/100000,"")</f>
        <v/>
      </c>
    </row>
    <row r="159" customFormat="false" ht="15" hidden="false" customHeight="false" outlineLevel="0" collapsed="false">
      <c r="A159" s="28" t="str">
        <f aca="false">IF(Tasks[[#This Row],[Task Name]]="","",COUNTA(Tasks[[#Headers],[Task Name]]:Tasks[[#This Row],[Task Name]])-1)</f>
        <v/>
      </c>
      <c r="B159" s="29" t="n">
        <v>154</v>
      </c>
      <c r="C1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29"/>
      <c r="E159" s="30"/>
      <c r="F159" s="29"/>
      <c r="G159" s="29"/>
      <c r="H159" s="29"/>
      <c r="I159" s="29"/>
      <c r="J159" s="29"/>
      <c r="K159" s="29"/>
      <c r="L159" s="29"/>
      <c r="M159" s="29"/>
      <c r="N159" s="53"/>
      <c r="O159" s="53"/>
      <c r="P159" s="25" t="str">
        <f aca="false">IF(Tasks[[#This Row],[Task Name]]="","",IF(N(Tasks[[#This Row],[Baseline Start]])&gt;0,Tasks[[#This Row],[Baseline Start]],Tasks[[#This Row],[_CalcStart]]))</f>
        <v/>
      </c>
      <c r="Q159" s="25" t="str">
        <f aca="false">IF(Tasks[[#This Row],[Task Name]]="","",IF(N(Tasks[[#This Row],[Baseline Finish]])&gt;0,Tasks[[#This Row],[Baseline Finish]],Tasks[[#This Row],[_CalcFinish]]))</f>
        <v/>
      </c>
      <c r="R159" s="53"/>
      <c r="S159" s="53"/>
      <c r="T1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55"/>
      <c r="AF15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30"/>
      <c r="AI159" s="55"/>
      <c r="AJ15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64"/>
      <c r="AM15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59" s="30"/>
      <c r="AP159" s="25" t="str">
        <f aca="false">IF(Tasks[[#This Row],[Task Name]]="","",Tasks[[#This Row],[Forecast Start]])</f>
        <v/>
      </c>
      <c r="AQ159" s="25" t="str">
        <f aca="false">IF(Tasks[[#This Row],[Task Name]]="","",Tasks[[#This Row],[Forecast Finish]])</f>
        <v/>
      </c>
      <c r="AR1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59" s="62" t="str">
        <f aca="false">IF(Tasks[[#This Row],[Task Name]]="","",Tasks[[#This Row],[Work]])</f>
        <v/>
      </c>
      <c r="AT159" s="63" t="str">
        <f aca="false">IF(Tasks[[#This Row],[Task Name]]="","",Tasks[[#This Row],[Cost]])</f>
        <v/>
      </c>
      <c r="AU159" s="53"/>
      <c r="AV159" s="53"/>
      <c r="AW159" s="29"/>
      <c r="AX159" s="65"/>
      <c r="AY159" s="64"/>
      <c r="AZ159" s="28" t="str">
        <f aca="false">IF(OR(Tasks[[#This Row],[Task Name]]="",Tasks[[#This Row],[Baseline Duration]]=""),"",Tasks[[#This Row],[BL Source Duration]]-N(Tasks[[#This Row],[Baseline Duration]]))</f>
        <v/>
      </c>
      <c r="BA159" s="62" t="str">
        <f aca="false">IF(OR(Tasks[[#This Row],[Task Name]]="",Tasks[[#This Row],[Baseline Work]]=""),"",Tasks[[#This Row],[Work]]-N(Tasks[[#This Row],[Baseline Work]]))</f>
        <v/>
      </c>
      <c r="BB159" s="63" t="str">
        <f aca="false">IF(OR(Tasks[[#This Row],[Task Name]]="",Tasks[[#This Row],[Baseline Cost]]=""),"",Tasks[[#This Row],[Cost]]-N(Tasks[[#This Row],[Baseline Cost]]))</f>
        <v/>
      </c>
      <c r="BC15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5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5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5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59" s="43" t="str">
        <f aca="false">IF(Tasks[[#This Row],[Task Name]]="","",MAX(1,N(Tasks[[#This Row],[Level]])))</f>
        <v/>
      </c>
      <c r="BH159" s="43" t="n">
        <f aca="false">ROW()-ROW(Tasks[[#Headers],[ID]])</f>
        <v>154</v>
      </c>
      <c r="BI1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59" s="43" t="n">
        <f aca="false">IFERROR(N(INDEX(Tasks[_Level],Tasks[[#This Row],[_Row]]+1)),0)</f>
        <v>0</v>
      </c>
      <c r="BK159" s="66" t="b">
        <f aca="false">AND(Tasks[[#This Row],[Task Name]]&lt;&gt;"",Tasks[[#This Row],[_NextLevel]]&gt;Tasks[[#This Row],[_Level]])</f>
        <v>0</v>
      </c>
      <c r="BL159" s="43" t="n">
        <f aca="false">IF(Tasks[[#This Row],[_IsSummary]],COUNTIF(Tasks[WBS],Tasks[[#This Row],[WBS]]&amp;".*"),0)</f>
        <v>0</v>
      </c>
      <c r="BM159" s="43" t="n">
        <f aca="false">IF(AND(Tasks[[#This Row],[Task Name]]&lt;&gt;"",NOT(Tasks[[#This Row],[_IsSummary]])),1,0)</f>
        <v>0</v>
      </c>
      <c r="BN159" s="43" t="n">
        <f aca="false">IF(N(Tasks[[#This Row],[Pred1 UID]])=0,0,IFERROR(MATCH(Tasks[[#This Row],[Pred1 UID]],Tasks[UID],0),-1))</f>
        <v>0</v>
      </c>
      <c r="BO159" s="43" t="n">
        <f aca="false">IF(N(Tasks[[#This Row],[Pred2 UID]])=0,0,IFERROR(MATCH(Tasks[[#This Row],[Pred2 UID]],Tasks[UID],0),-1))</f>
        <v>0</v>
      </c>
      <c r="BP15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5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5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5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59" s="43" t="n">
        <f aca="false">IF(NOT(Tasks[[#This Row],[_IsLeaf]]=1),0,IF(N(Tasks[[#This Row],[Actual Finish]])&gt;0,1,MIN(1,N(Tasks[[#This Row],[% Complete]]))))</f>
        <v>0</v>
      </c>
      <c r="BU1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59" s="43" t="n">
        <f aca="false">IF(Tasks[[#This Row],[_LeafWork]]=0,0,Tasks[[#This Row],[_LeafWork]]*IFERROR(INDEX(res_Rate,MATCH(Tasks[[#This Row],[Resource]],res_Name,0)),0))</f>
        <v>0</v>
      </c>
      <c r="BW1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59" s="43" t="n">
        <f aca="false">IF(NOT(Tasks[[#This Row],[_IsLeaf]]=1),0,MAX(_xlfn.MAXIFS(Tasks[_Row],Tasks[Pred1 UID],Tasks[[#This Row],[UID]]),_xlfn.MAXIFS(Tasks[_Row],Tasks[Pred2 UID],Tasks[[#This Row],[UID]])))</f>
        <v>0</v>
      </c>
      <c r="CB15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59" s="67" t="str">
        <f aca="false">IF(NOT(Tasks[[#This Row],[_IsLeaf]]=1),"",MIN(ProjectFinish,IF(N(Tasks[[#This Row],[Deadline]])&gt;0,Tasks[[#This Row],[Deadline]],2958465),Tasks[[#This Row],[_SuccessorFinishLimit]]))</f>
        <v/>
      </c>
      <c r="CD15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59" s="66" t="b">
        <f aca="false">AND(Tasks[[#This Row],[_IsLeaf]]=1,Tasks[[#This Row],[_LeafProgress]]&lt;1,N(Tasks[[#This Row],[_LeafTotalSlack]])&lt;=CriticalSlackDays)</f>
        <v>0</v>
      </c>
      <c r="CG15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5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5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5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5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5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59" s="43" t="n">
        <f aca="false">IF(AND(Tasks[[#This Row],[_IsLeaf]]=1,Tasks[[#This Row],[_LeafWork]]&gt;0),NETWORKDAYS.INTL(ProjectStart,Tasks[[#This Row],[_LeafFcstStart]],WorkWeek,Holidays),0)</f>
        <v>0</v>
      </c>
      <c r="CP1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59" s="43" t="n">
        <f aca="false">IF(AND(Tasks[[#This Row],[_IsLeaf]]=1,Tasks[[#This Row],[_LeafWork]]&gt;0),Tasks[[#This Row],[_LeafWork]]/(Tasks[[#This Row],[_FinishWorkday]]-Tasks[[#This Row],[_StartWorkday]]+1),0)</f>
        <v>0</v>
      </c>
      <c r="CR159" s="43" t="n">
        <f aca="false">Tasks[[#This Row],[_WorkPerWorkday]]*(Tasks[[#This Row],[_StartWorkday]]-1)</f>
        <v>-0</v>
      </c>
      <c r="CS159" s="43" t="n">
        <f aca="false">IF(Tasks[[#This Row],[_IsLeaf]]=1,MAX(N(Tasks[[#This Row],[Duration]]),0.1),0)</f>
        <v>0</v>
      </c>
      <c r="CT159" s="43" t="n">
        <f aca="false">Tasks[[#This Row],[_WeightDur]]*Tasks[[#This Row],[_LeafProgress]]</f>
        <v>0</v>
      </c>
      <c r="CU1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59" s="43" t="str">
        <f aca="false">IF(AND(Tasks[[#This Row],[_IsLeaf]]=1,N(Tasks[[#This Row],[Duration]])=0,Tasks[[#This Row],[_LeafProgress]]&lt;1),Tasks[[#This Row],[_LeafFcstFinish]]+Tasks[[#This Row],[_Row]]/100000,"")</f>
        <v/>
      </c>
      <c r="DA1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59" s="43" t="n">
        <f aca="false">IF(NOT(Tasks[[#This Row],[_IsLeaf]]=1),0,IF(Tasks[[#This Row],[Baseline Cost]]="",Tasks[[#This Row],[_LeafCost]],N(Tasks[[#This Row],[Baseline Cost]])))</f>
        <v>0</v>
      </c>
      <c r="DC159" s="43" t="n">
        <f aca="false">Tasks[[#This Row],[_LeafBudget]]*Tasks[[#This Row],[_PlannedPct]]</f>
        <v>0</v>
      </c>
      <c r="DD159" s="43" t="n">
        <f aca="false">Tasks[[#This Row],[_LeafBudget]]*Tasks[[#This Row],[_LeafProgress]]</f>
        <v>0</v>
      </c>
      <c r="DE159" s="43" t="n">
        <f aca="false">IF(NOT(Tasks[[#This Row],[_IsLeaf]]=1),0,IF(Tasks[[#This Row],[Actual Cost]]="",Tasks[[#This Row],[_LeafCost]]*Tasks[[#This Row],[_LeafProgress]],N(Tasks[[#This Row],[Actual Cost]])))</f>
        <v>0</v>
      </c>
      <c r="DF159" s="43" t="str">
        <f aca="false">IF(Tasks[[#This Row],[Task Name]]="","",LEFT(Tasks[[#This Row],[WBS]],FIND(".",Tasks[[#This Row],[WBS]]&amp;".")-1))</f>
        <v/>
      </c>
      <c r="DG159" s="43" t="str">
        <f aca="false">IF(AND(Tasks[[#This Row],[Task Name]]&lt;&gt;"",Tasks[[#This Row],[_Level]]=1),Tasks[[#This Row],[_Row]],"")</f>
        <v/>
      </c>
      <c r="DH159" s="43" t="str">
        <f aca="false">IF(AND(Tasks[[#This Row],[_IsLeaf]]=1,N(Tasks[[#This Row],[Duration]])=0),Tasks[[#This Row],[Planned Finish]]+Tasks[[#This Row],[_Row]]/100000,"")</f>
        <v/>
      </c>
      <c r="DI1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59" s="43" t="str">
        <f aca="false">IF(Tasks[[#This Row],[_LeafCritical]],Tasks[[#This Row],[_LeafFcstStart]]+Tasks[[#This Row],[_Row]]/100000,"")</f>
        <v/>
      </c>
    </row>
    <row r="160" customFormat="false" ht="15" hidden="false" customHeight="false" outlineLevel="0" collapsed="false">
      <c r="A160" s="28" t="str">
        <f aca="false">IF(Tasks[[#This Row],[Task Name]]="","",COUNTA(Tasks[[#Headers],[Task Name]]:Tasks[[#This Row],[Task Name]])-1)</f>
        <v/>
      </c>
      <c r="B160" s="29" t="n">
        <v>155</v>
      </c>
      <c r="C1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29"/>
      <c r="E160" s="30"/>
      <c r="F160" s="29"/>
      <c r="G160" s="29"/>
      <c r="H160" s="29"/>
      <c r="I160" s="29"/>
      <c r="J160" s="29"/>
      <c r="K160" s="29"/>
      <c r="L160" s="29"/>
      <c r="M160" s="29"/>
      <c r="N160" s="53"/>
      <c r="O160" s="53"/>
      <c r="P160" s="25" t="str">
        <f aca="false">IF(Tasks[[#This Row],[Task Name]]="","",IF(N(Tasks[[#This Row],[Baseline Start]])&gt;0,Tasks[[#This Row],[Baseline Start]],Tasks[[#This Row],[_CalcStart]]))</f>
        <v/>
      </c>
      <c r="Q160" s="25" t="str">
        <f aca="false">IF(Tasks[[#This Row],[Task Name]]="","",IF(N(Tasks[[#This Row],[Baseline Finish]])&gt;0,Tasks[[#This Row],[Baseline Finish]],Tasks[[#This Row],[_CalcFinish]]))</f>
        <v/>
      </c>
      <c r="R160" s="53"/>
      <c r="S160" s="53"/>
      <c r="T1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55"/>
      <c r="AF16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30"/>
      <c r="AI160" s="55"/>
      <c r="AJ16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64"/>
      <c r="AM16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0" s="30"/>
      <c r="AP160" s="25" t="str">
        <f aca="false">IF(Tasks[[#This Row],[Task Name]]="","",Tasks[[#This Row],[Forecast Start]])</f>
        <v/>
      </c>
      <c r="AQ160" s="25" t="str">
        <f aca="false">IF(Tasks[[#This Row],[Task Name]]="","",Tasks[[#This Row],[Forecast Finish]])</f>
        <v/>
      </c>
      <c r="AR1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0" s="62" t="str">
        <f aca="false">IF(Tasks[[#This Row],[Task Name]]="","",Tasks[[#This Row],[Work]])</f>
        <v/>
      </c>
      <c r="AT160" s="63" t="str">
        <f aca="false">IF(Tasks[[#This Row],[Task Name]]="","",Tasks[[#This Row],[Cost]])</f>
        <v/>
      </c>
      <c r="AU160" s="53"/>
      <c r="AV160" s="53"/>
      <c r="AW160" s="29"/>
      <c r="AX160" s="65"/>
      <c r="AY160" s="64"/>
      <c r="AZ160" s="28" t="str">
        <f aca="false">IF(OR(Tasks[[#This Row],[Task Name]]="",Tasks[[#This Row],[Baseline Duration]]=""),"",Tasks[[#This Row],[BL Source Duration]]-N(Tasks[[#This Row],[Baseline Duration]]))</f>
        <v/>
      </c>
      <c r="BA160" s="62" t="str">
        <f aca="false">IF(OR(Tasks[[#This Row],[Task Name]]="",Tasks[[#This Row],[Baseline Work]]=""),"",Tasks[[#This Row],[Work]]-N(Tasks[[#This Row],[Baseline Work]]))</f>
        <v/>
      </c>
      <c r="BB160" s="63" t="str">
        <f aca="false">IF(OR(Tasks[[#This Row],[Task Name]]="",Tasks[[#This Row],[Baseline Cost]]=""),"",Tasks[[#This Row],[Cost]]-N(Tasks[[#This Row],[Baseline Cost]]))</f>
        <v/>
      </c>
      <c r="BC16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0" s="43" t="str">
        <f aca="false">IF(Tasks[[#This Row],[Task Name]]="","",MAX(1,N(Tasks[[#This Row],[Level]])))</f>
        <v/>
      </c>
      <c r="BH160" s="43" t="n">
        <f aca="false">ROW()-ROW(Tasks[[#Headers],[ID]])</f>
        <v>155</v>
      </c>
      <c r="BI1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0" s="43" t="n">
        <f aca="false">IFERROR(N(INDEX(Tasks[_Level],Tasks[[#This Row],[_Row]]+1)),0)</f>
        <v>0</v>
      </c>
      <c r="BK160" s="66" t="b">
        <f aca="false">AND(Tasks[[#This Row],[Task Name]]&lt;&gt;"",Tasks[[#This Row],[_NextLevel]]&gt;Tasks[[#This Row],[_Level]])</f>
        <v>0</v>
      </c>
      <c r="BL160" s="43" t="n">
        <f aca="false">IF(Tasks[[#This Row],[_IsSummary]],COUNTIF(Tasks[WBS],Tasks[[#This Row],[WBS]]&amp;".*"),0)</f>
        <v>0</v>
      </c>
      <c r="BM160" s="43" t="n">
        <f aca="false">IF(AND(Tasks[[#This Row],[Task Name]]&lt;&gt;"",NOT(Tasks[[#This Row],[_IsSummary]])),1,0)</f>
        <v>0</v>
      </c>
      <c r="BN160" s="43" t="n">
        <f aca="false">IF(N(Tasks[[#This Row],[Pred1 UID]])=0,0,IFERROR(MATCH(Tasks[[#This Row],[Pred1 UID]],Tasks[UID],0),-1))</f>
        <v>0</v>
      </c>
      <c r="BO160" s="43" t="n">
        <f aca="false">IF(N(Tasks[[#This Row],[Pred2 UID]])=0,0,IFERROR(MATCH(Tasks[[#This Row],[Pred2 UID]],Tasks[UID],0),-1))</f>
        <v>0</v>
      </c>
      <c r="BP16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0" s="43" t="n">
        <f aca="false">IF(NOT(Tasks[[#This Row],[_IsLeaf]]=1),0,IF(N(Tasks[[#This Row],[Actual Finish]])&gt;0,1,MIN(1,N(Tasks[[#This Row],[% Complete]]))))</f>
        <v>0</v>
      </c>
      <c r="BU1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0" s="43" t="n">
        <f aca="false">IF(Tasks[[#This Row],[_LeafWork]]=0,0,Tasks[[#This Row],[_LeafWork]]*IFERROR(INDEX(res_Rate,MATCH(Tasks[[#This Row],[Resource]],res_Name,0)),0))</f>
        <v>0</v>
      </c>
      <c r="BW1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0" s="43" t="n">
        <f aca="false">IF(NOT(Tasks[[#This Row],[_IsLeaf]]=1),0,MAX(_xlfn.MAXIFS(Tasks[_Row],Tasks[Pred1 UID],Tasks[[#This Row],[UID]]),_xlfn.MAXIFS(Tasks[_Row],Tasks[Pred2 UID],Tasks[[#This Row],[UID]])))</f>
        <v>0</v>
      </c>
      <c r="CB16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0" s="67" t="str">
        <f aca="false">IF(NOT(Tasks[[#This Row],[_IsLeaf]]=1),"",MIN(ProjectFinish,IF(N(Tasks[[#This Row],[Deadline]])&gt;0,Tasks[[#This Row],[Deadline]],2958465),Tasks[[#This Row],[_SuccessorFinishLimit]]))</f>
        <v/>
      </c>
      <c r="CD16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0" s="66" t="b">
        <f aca="false">AND(Tasks[[#This Row],[_IsLeaf]]=1,Tasks[[#This Row],[_LeafProgress]]&lt;1,N(Tasks[[#This Row],[_LeafTotalSlack]])&lt;=CriticalSlackDays)</f>
        <v>0</v>
      </c>
      <c r="CG16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0" s="43" t="n">
        <f aca="false">IF(AND(Tasks[[#This Row],[_IsLeaf]]=1,Tasks[[#This Row],[_LeafWork]]&gt;0),NETWORKDAYS.INTL(ProjectStart,Tasks[[#This Row],[_LeafFcstStart]],WorkWeek,Holidays),0)</f>
        <v>0</v>
      </c>
      <c r="CP1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0" s="43" t="n">
        <f aca="false">IF(AND(Tasks[[#This Row],[_IsLeaf]]=1,Tasks[[#This Row],[_LeafWork]]&gt;0),Tasks[[#This Row],[_LeafWork]]/(Tasks[[#This Row],[_FinishWorkday]]-Tasks[[#This Row],[_StartWorkday]]+1),0)</f>
        <v>0</v>
      </c>
      <c r="CR160" s="43" t="n">
        <f aca="false">Tasks[[#This Row],[_WorkPerWorkday]]*(Tasks[[#This Row],[_StartWorkday]]-1)</f>
        <v>-0</v>
      </c>
      <c r="CS160" s="43" t="n">
        <f aca="false">IF(Tasks[[#This Row],[_IsLeaf]]=1,MAX(N(Tasks[[#This Row],[Duration]]),0.1),0)</f>
        <v>0</v>
      </c>
      <c r="CT160" s="43" t="n">
        <f aca="false">Tasks[[#This Row],[_WeightDur]]*Tasks[[#This Row],[_LeafProgress]]</f>
        <v>0</v>
      </c>
      <c r="CU1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0" s="43" t="str">
        <f aca="false">IF(AND(Tasks[[#This Row],[_IsLeaf]]=1,N(Tasks[[#This Row],[Duration]])=0,Tasks[[#This Row],[_LeafProgress]]&lt;1),Tasks[[#This Row],[_LeafFcstFinish]]+Tasks[[#This Row],[_Row]]/100000,"")</f>
        <v/>
      </c>
      <c r="DA1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0" s="43" t="n">
        <f aca="false">IF(NOT(Tasks[[#This Row],[_IsLeaf]]=1),0,IF(Tasks[[#This Row],[Baseline Cost]]="",Tasks[[#This Row],[_LeafCost]],N(Tasks[[#This Row],[Baseline Cost]])))</f>
        <v>0</v>
      </c>
      <c r="DC160" s="43" t="n">
        <f aca="false">Tasks[[#This Row],[_LeafBudget]]*Tasks[[#This Row],[_PlannedPct]]</f>
        <v>0</v>
      </c>
      <c r="DD160" s="43" t="n">
        <f aca="false">Tasks[[#This Row],[_LeafBudget]]*Tasks[[#This Row],[_LeafProgress]]</f>
        <v>0</v>
      </c>
      <c r="DE160" s="43" t="n">
        <f aca="false">IF(NOT(Tasks[[#This Row],[_IsLeaf]]=1),0,IF(Tasks[[#This Row],[Actual Cost]]="",Tasks[[#This Row],[_LeafCost]]*Tasks[[#This Row],[_LeafProgress]],N(Tasks[[#This Row],[Actual Cost]])))</f>
        <v>0</v>
      </c>
      <c r="DF160" s="43" t="str">
        <f aca="false">IF(Tasks[[#This Row],[Task Name]]="","",LEFT(Tasks[[#This Row],[WBS]],FIND(".",Tasks[[#This Row],[WBS]]&amp;".")-1))</f>
        <v/>
      </c>
      <c r="DG160" s="43" t="str">
        <f aca="false">IF(AND(Tasks[[#This Row],[Task Name]]&lt;&gt;"",Tasks[[#This Row],[_Level]]=1),Tasks[[#This Row],[_Row]],"")</f>
        <v/>
      </c>
      <c r="DH160" s="43" t="str">
        <f aca="false">IF(AND(Tasks[[#This Row],[_IsLeaf]]=1,N(Tasks[[#This Row],[Duration]])=0),Tasks[[#This Row],[Planned Finish]]+Tasks[[#This Row],[_Row]]/100000,"")</f>
        <v/>
      </c>
      <c r="DI1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0" s="43" t="str">
        <f aca="false">IF(Tasks[[#This Row],[_LeafCritical]],Tasks[[#This Row],[_LeafFcstStart]]+Tasks[[#This Row],[_Row]]/100000,"")</f>
        <v/>
      </c>
    </row>
    <row r="161" customFormat="false" ht="15" hidden="false" customHeight="false" outlineLevel="0" collapsed="false">
      <c r="A161" s="28" t="str">
        <f aca="false">IF(Tasks[[#This Row],[Task Name]]="","",COUNTA(Tasks[[#Headers],[Task Name]]:Tasks[[#This Row],[Task Name]])-1)</f>
        <v/>
      </c>
      <c r="B161" s="29" t="n">
        <v>156</v>
      </c>
      <c r="C1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29"/>
      <c r="E161" s="30"/>
      <c r="F161" s="29"/>
      <c r="G161" s="29"/>
      <c r="H161" s="29"/>
      <c r="I161" s="29"/>
      <c r="J161" s="29"/>
      <c r="K161" s="29"/>
      <c r="L161" s="29"/>
      <c r="M161" s="29"/>
      <c r="N161" s="53"/>
      <c r="O161" s="53"/>
      <c r="P161" s="25" t="str">
        <f aca="false">IF(Tasks[[#This Row],[Task Name]]="","",IF(N(Tasks[[#This Row],[Baseline Start]])&gt;0,Tasks[[#This Row],[Baseline Start]],Tasks[[#This Row],[_CalcStart]]))</f>
        <v/>
      </c>
      <c r="Q161" s="25" t="str">
        <f aca="false">IF(Tasks[[#This Row],[Task Name]]="","",IF(N(Tasks[[#This Row],[Baseline Finish]])&gt;0,Tasks[[#This Row],[Baseline Finish]],Tasks[[#This Row],[_CalcFinish]]))</f>
        <v/>
      </c>
      <c r="R161" s="53"/>
      <c r="S161" s="53"/>
      <c r="T1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55"/>
      <c r="AF16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30"/>
      <c r="AI161" s="55"/>
      <c r="AJ16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64"/>
      <c r="AM16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1" s="30"/>
      <c r="AP161" s="25" t="str">
        <f aca="false">IF(Tasks[[#This Row],[Task Name]]="","",Tasks[[#This Row],[Forecast Start]])</f>
        <v/>
      </c>
      <c r="AQ161" s="25" t="str">
        <f aca="false">IF(Tasks[[#This Row],[Task Name]]="","",Tasks[[#This Row],[Forecast Finish]])</f>
        <v/>
      </c>
      <c r="AR1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1" s="62" t="str">
        <f aca="false">IF(Tasks[[#This Row],[Task Name]]="","",Tasks[[#This Row],[Work]])</f>
        <v/>
      </c>
      <c r="AT161" s="63" t="str">
        <f aca="false">IF(Tasks[[#This Row],[Task Name]]="","",Tasks[[#This Row],[Cost]])</f>
        <v/>
      </c>
      <c r="AU161" s="53"/>
      <c r="AV161" s="53"/>
      <c r="AW161" s="29"/>
      <c r="AX161" s="65"/>
      <c r="AY161" s="64"/>
      <c r="AZ161" s="28" t="str">
        <f aca="false">IF(OR(Tasks[[#This Row],[Task Name]]="",Tasks[[#This Row],[Baseline Duration]]=""),"",Tasks[[#This Row],[BL Source Duration]]-N(Tasks[[#This Row],[Baseline Duration]]))</f>
        <v/>
      </c>
      <c r="BA161" s="62" t="str">
        <f aca="false">IF(OR(Tasks[[#This Row],[Task Name]]="",Tasks[[#This Row],[Baseline Work]]=""),"",Tasks[[#This Row],[Work]]-N(Tasks[[#This Row],[Baseline Work]]))</f>
        <v/>
      </c>
      <c r="BB161" s="63" t="str">
        <f aca="false">IF(OR(Tasks[[#This Row],[Task Name]]="",Tasks[[#This Row],[Baseline Cost]]=""),"",Tasks[[#This Row],[Cost]]-N(Tasks[[#This Row],[Baseline Cost]]))</f>
        <v/>
      </c>
      <c r="BC16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1" s="43" t="str">
        <f aca="false">IF(Tasks[[#This Row],[Task Name]]="","",MAX(1,N(Tasks[[#This Row],[Level]])))</f>
        <v/>
      </c>
      <c r="BH161" s="43" t="n">
        <f aca="false">ROW()-ROW(Tasks[[#Headers],[ID]])</f>
        <v>156</v>
      </c>
      <c r="BI1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1" s="43" t="n">
        <f aca="false">IFERROR(N(INDEX(Tasks[_Level],Tasks[[#This Row],[_Row]]+1)),0)</f>
        <v>0</v>
      </c>
      <c r="BK161" s="66" t="b">
        <f aca="false">AND(Tasks[[#This Row],[Task Name]]&lt;&gt;"",Tasks[[#This Row],[_NextLevel]]&gt;Tasks[[#This Row],[_Level]])</f>
        <v>0</v>
      </c>
      <c r="BL161" s="43" t="n">
        <f aca="false">IF(Tasks[[#This Row],[_IsSummary]],COUNTIF(Tasks[WBS],Tasks[[#This Row],[WBS]]&amp;".*"),0)</f>
        <v>0</v>
      </c>
      <c r="BM161" s="43" t="n">
        <f aca="false">IF(AND(Tasks[[#This Row],[Task Name]]&lt;&gt;"",NOT(Tasks[[#This Row],[_IsSummary]])),1,0)</f>
        <v>0</v>
      </c>
      <c r="BN161" s="43" t="n">
        <f aca="false">IF(N(Tasks[[#This Row],[Pred1 UID]])=0,0,IFERROR(MATCH(Tasks[[#This Row],[Pred1 UID]],Tasks[UID],0),-1))</f>
        <v>0</v>
      </c>
      <c r="BO161" s="43" t="n">
        <f aca="false">IF(N(Tasks[[#This Row],[Pred2 UID]])=0,0,IFERROR(MATCH(Tasks[[#This Row],[Pred2 UID]],Tasks[UID],0),-1))</f>
        <v>0</v>
      </c>
      <c r="BP16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1" s="43" t="n">
        <f aca="false">IF(NOT(Tasks[[#This Row],[_IsLeaf]]=1),0,IF(N(Tasks[[#This Row],[Actual Finish]])&gt;0,1,MIN(1,N(Tasks[[#This Row],[% Complete]]))))</f>
        <v>0</v>
      </c>
      <c r="BU1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1" s="43" t="n">
        <f aca="false">IF(Tasks[[#This Row],[_LeafWork]]=0,0,Tasks[[#This Row],[_LeafWork]]*IFERROR(INDEX(res_Rate,MATCH(Tasks[[#This Row],[Resource]],res_Name,0)),0))</f>
        <v>0</v>
      </c>
      <c r="BW1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1" s="43" t="n">
        <f aca="false">IF(NOT(Tasks[[#This Row],[_IsLeaf]]=1),0,MAX(_xlfn.MAXIFS(Tasks[_Row],Tasks[Pred1 UID],Tasks[[#This Row],[UID]]),_xlfn.MAXIFS(Tasks[_Row],Tasks[Pred2 UID],Tasks[[#This Row],[UID]])))</f>
        <v>0</v>
      </c>
      <c r="CB16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1" s="67" t="str">
        <f aca="false">IF(NOT(Tasks[[#This Row],[_IsLeaf]]=1),"",MIN(ProjectFinish,IF(N(Tasks[[#This Row],[Deadline]])&gt;0,Tasks[[#This Row],[Deadline]],2958465),Tasks[[#This Row],[_SuccessorFinishLimit]]))</f>
        <v/>
      </c>
      <c r="CD16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1" s="66" t="b">
        <f aca="false">AND(Tasks[[#This Row],[_IsLeaf]]=1,Tasks[[#This Row],[_LeafProgress]]&lt;1,N(Tasks[[#This Row],[_LeafTotalSlack]])&lt;=CriticalSlackDays)</f>
        <v>0</v>
      </c>
      <c r="CG16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1" s="43" t="n">
        <f aca="false">IF(AND(Tasks[[#This Row],[_IsLeaf]]=1,Tasks[[#This Row],[_LeafWork]]&gt;0),NETWORKDAYS.INTL(ProjectStart,Tasks[[#This Row],[_LeafFcstStart]],WorkWeek,Holidays),0)</f>
        <v>0</v>
      </c>
      <c r="CP1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1" s="43" t="n">
        <f aca="false">IF(AND(Tasks[[#This Row],[_IsLeaf]]=1,Tasks[[#This Row],[_LeafWork]]&gt;0),Tasks[[#This Row],[_LeafWork]]/(Tasks[[#This Row],[_FinishWorkday]]-Tasks[[#This Row],[_StartWorkday]]+1),0)</f>
        <v>0</v>
      </c>
      <c r="CR161" s="43" t="n">
        <f aca="false">Tasks[[#This Row],[_WorkPerWorkday]]*(Tasks[[#This Row],[_StartWorkday]]-1)</f>
        <v>-0</v>
      </c>
      <c r="CS161" s="43" t="n">
        <f aca="false">IF(Tasks[[#This Row],[_IsLeaf]]=1,MAX(N(Tasks[[#This Row],[Duration]]),0.1),0)</f>
        <v>0</v>
      </c>
      <c r="CT161" s="43" t="n">
        <f aca="false">Tasks[[#This Row],[_WeightDur]]*Tasks[[#This Row],[_LeafProgress]]</f>
        <v>0</v>
      </c>
      <c r="CU1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1" s="43" t="str">
        <f aca="false">IF(AND(Tasks[[#This Row],[_IsLeaf]]=1,N(Tasks[[#This Row],[Duration]])=0,Tasks[[#This Row],[_LeafProgress]]&lt;1),Tasks[[#This Row],[_LeafFcstFinish]]+Tasks[[#This Row],[_Row]]/100000,"")</f>
        <v/>
      </c>
      <c r="DA1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1" s="43" t="n">
        <f aca="false">IF(NOT(Tasks[[#This Row],[_IsLeaf]]=1),0,IF(Tasks[[#This Row],[Baseline Cost]]="",Tasks[[#This Row],[_LeafCost]],N(Tasks[[#This Row],[Baseline Cost]])))</f>
        <v>0</v>
      </c>
      <c r="DC161" s="43" t="n">
        <f aca="false">Tasks[[#This Row],[_LeafBudget]]*Tasks[[#This Row],[_PlannedPct]]</f>
        <v>0</v>
      </c>
      <c r="DD161" s="43" t="n">
        <f aca="false">Tasks[[#This Row],[_LeafBudget]]*Tasks[[#This Row],[_LeafProgress]]</f>
        <v>0</v>
      </c>
      <c r="DE161" s="43" t="n">
        <f aca="false">IF(NOT(Tasks[[#This Row],[_IsLeaf]]=1),0,IF(Tasks[[#This Row],[Actual Cost]]="",Tasks[[#This Row],[_LeafCost]]*Tasks[[#This Row],[_LeafProgress]],N(Tasks[[#This Row],[Actual Cost]])))</f>
        <v>0</v>
      </c>
      <c r="DF161" s="43" t="str">
        <f aca="false">IF(Tasks[[#This Row],[Task Name]]="","",LEFT(Tasks[[#This Row],[WBS]],FIND(".",Tasks[[#This Row],[WBS]]&amp;".")-1))</f>
        <v/>
      </c>
      <c r="DG161" s="43" t="str">
        <f aca="false">IF(AND(Tasks[[#This Row],[Task Name]]&lt;&gt;"",Tasks[[#This Row],[_Level]]=1),Tasks[[#This Row],[_Row]],"")</f>
        <v/>
      </c>
      <c r="DH161" s="43" t="str">
        <f aca="false">IF(AND(Tasks[[#This Row],[_IsLeaf]]=1,N(Tasks[[#This Row],[Duration]])=0),Tasks[[#This Row],[Planned Finish]]+Tasks[[#This Row],[_Row]]/100000,"")</f>
        <v/>
      </c>
      <c r="DI1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1" s="43" t="str">
        <f aca="false">IF(Tasks[[#This Row],[_LeafCritical]],Tasks[[#This Row],[_LeafFcstStart]]+Tasks[[#This Row],[_Row]]/100000,"")</f>
        <v/>
      </c>
    </row>
    <row r="162" customFormat="false" ht="15" hidden="false" customHeight="false" outlineLevel="0" collapsed="false">
      <c r="A162" s="28" t="str">
        <f aca="false">IF(Tasks[[#This Row],[Task Name]]="","",COUNTA(Tasks[[#Headers],[Task Name]]:Tasks[[#This Row],[Task Name]])-1)</f>
        <v/>
      </c>
      <c r="B162" s="29" t="n">
        <v>157</v>
      </c>
      <c r="C1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29"/>
      <c r="E162" s="30"/>
      <c r="F162" s="29"/>
      <c r="G162" s="29"/>
      <c r="H162" s="29"/>
      <c r="I162" s="29"/>
      <c r="J162" s="29"/>
      <c r="K162" s="29"/>
      <c r="L162" s="29"/>
      <c r="M162" s="29"/>
      <c r="N162" s="53"/>
      <c r="O162" s="53"/>
      <c r="P162" s="25" t="str">
        <f aca="false">IF(Tasks[[#This Row],[Task Name]]="","",IF(N(Tasks[[#This Row],[Baseline Start]])&gt;0,Tasks[[#This Row],[Baseline Start]],Tasks[[#This Row],[_CalcStart]]))</f>
        <v/>
      </c>
      <c r="Q162" s="25" t="str">
        <f aca="false">IF(Tasks[[#This Row],[Task Name]]="","",IF(N(Tasks[[#This Row],[Baseline Finish]])&gt;0,Tasks[[#This Row],[Baseline Finish]],Tasks[[#This Row],[_CalcFinish]]))</f>
        <v/>
      </c>
      <c r="R162" s="53"/>
      <c r="S162" s="53"/>
      <c r="T1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55"/>
      <c r="AF16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30"/>
      <c r="AI162" s="55"/>
      <c r="AJ16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64"/>
      <c r="AM16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2" s="30"/>
      <c r="AP162" s="25" t="str">
        <f aca="false">IF(Tasks[[#This Row],[Task Name]]="","",Tasks[[#This Row],[Forecast Start]])</f>
        <v/>
      </c>
      <c r="AQ162" s="25" t="str">
        <f aca="false">IF(Tasks[[#This Row],[Task Name]]="","",Tasks[[#This Row],[Forecast Finish]])</f>
        <v/>
      </c>
      <c r="AR1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2" s="62" t="str">
        <f aca="false">IF(Tasks[[#This Row],[Task Name]]="","",Tasks[[#This Row],[Work]])</f>
        <v/>
      </c>
      <c r="AT162" s="63" t="str">
        <f aca="false">IF(Tasks[[#This Row],[Task Name]]="","",Tasks[[#This Row],[Cost]])</f>
        <v/>
      </c>
      <c r="AU162" s="53"/>
      <c r="AV162" s="53"/>
      <c r="AW162" s="29"/>
      <c r="AX162" s="65"/>
      <c r="AY162" s="64"/>
      <c r="AZ162" s="28" t="str">
        <f aca="false">IF(OR(Tasks[[#This Row],[Task Name]]="",Tasks[[#This Row],[Baseline Duration]]=""),"",Tasks[[#This Row],[BL Source Duration]]-N(Tasks[[#This Row],[Baseline Duration]]))</f>
        <v/>
      </c>
      <c r="BA162" s="62" t="str">
        <f aca="false">IF(OR(Tasks[[#This Row],[Task Name]]="",Tasks[[#This Row],[Baseline Work]]=""),"",Tasks[[#This Row],[Work]]-N(Tasks[[#This Row],[Baseline Work]]))</f>
        <v/>
      </c>
      <c r="BB162" s="63" t="str">
        <f aca="false">IF(OR(Tasks[[#This Row],[Task Name]]="",Tasks[[#This Row],[Baseline Cost]]=""),"",Tasks[[#This Row],[Cost]]-N(Tasks[[#This Row],[Baseline Cost]]))</f>
        <v/>
      </c>
      <c r="BC16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2" s="43" t="str">
        <f aca="false">IF(Tasks[[#This Row],[Task Name]]="","",MAX(1,N(Tasks[[#This Row],[Level]])))</f>
        <v/>
      </c>
      <c r="BH162" s="43" t="n">
        <f aca="false">ROW()-ROW(Tasks[[#Headers],[ID]])</f>
        <v>157</v>
      </c>
      <c r="BI1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2" s="43" t="n">
        <f aca="false">IFERROR(N(INDEX(Tasks[_Level],Tasks[[#This Row],[_Row]]+1)),0)</f>
        <v>0</v>
      </c>
      <c r="BK162" s="66" t="b">
        <f aca="false">AND(Tasks[[#This Row],[Task Name]]&lt;&gt;"",Tasks[[#This Row],[_NextLevel]]&gt;Tasks[[#This Row],[_Level]])</f>
        <v>0</v>
      </c>
      <c r="BL162" s="43" t="n">
        <f aca="false">IF(Tasks[[#This Row],[_IsSummary]],COUNTIF(Tasks[WBS],Tasks[[#This Row],[WBS]]&amp;".*"),0)</f>
        <v>0</v>
      </c>
      <c r="BM162" s="43" t="n">
        <f aca="false">IF(AND(Tasks[[#This Row],[Task Name]]&lt;&gt;"",NOT(Tasks[[#This Row],[_IsSummary]])),1,0)</f>
        <v>0</v>
      </c>
      <c r="BN162" s="43" t="n">
        <f aca="false">IF(N(Tasks[[#This Row],[Pred1 UID]])=0,0,IFERROR(MATCH(Tasks[[#This Row],[Pred1 UID]],Tasks[UID],0),-1))</f>
        <v>0</v>
      </c>
      <c r="BO162" s="43" t="n">
        <f aca="false">IF(N(Tasks[[#This Row],[Pred2 UID]])=0,0,IFERROR(MATCH(Tasks[[#This Row],[Pred2 UID]],Tasks[UID],0),-1))</f>
        <v>0</v>
      </c>
      <c r="BP16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2" s="43" t="n">
        <f aca="false">IF(NOT(Tasks[[#This Row],[_IsLeaf]]=1),0,IF(N(Tasks[[#This Row],[Actual Finish]])&gt;0,1,MIN(1,N(Tasks[[#This Row],[% Complete]]))))</f>
        <v>0</v>
      </c>
      <c r="BU1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2" s="43" t="n">
        <f aca="false">IF(Tasks[[#This Row],[_LeafWork]]=0,0,Tasks[[#This Row],[_LeafWork]]*IFERROR(INDEX(res_Rate,MATCH(Tasks[[#This Row],[Resource]],res_Name,0)),0))</f>
        <v>0</v>
      </c>
      <c r="BW1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2" s="43" t="n">
        <f aca="false">IF(NOT(Tasks[[#This Row],[_IsLeaf]]=1),0,MAX(_xlfn.MAXIFS(Tasks[_Row],Tasks[Pred1 UID],Tasks[[#This Row],[UID]]),_xlfn.MAXIFS(Tasks[_Row],Tasks[Pred2 UID],Tasks[[#This Row],[UID]])))</f>
        <v>0</v>
      </c>
      <c r="CB16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2" s="67" t="str">
        <f aca="false">IF(NOT(Tasks[[#This Row],[_IsLeaf]]=1),"",MIN(ProjectFinish,IF(N(Tasks[[#This Row],[Deadline]])&gt;0,Tasks[[#This Row],[Deadline]],2958465),Tasks[[#This Row],[_SuccessorFinishLimit]]))</f>
        <v/>
      </c>
      <c r="CD16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2" s="66" t="b">
        <f aca="false">AND(Tasks[[#This Row],[_IsLeaf]]=1,Tasks[[#This Row],[_LeafProgress]]&lt;1,N(Tasks[[#This Row],[_LeafTotalSlack]])&lt;=CriticalSlackDays)</f>
        <v>0</v>
      </c>
      <c r="CG16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2" s="43" t="n">
        <f aca="false">IF(AND(Tasks[[#This Row],[_IsLeaf]]=1,Tasks[[#This Row],[_LeafWork]]&gt;0),NETWORKDAYS.INTL(ProjectStart,Tasks[[#This Row],[_LeafFcstStart]],WorkWeek,Holidays),0)</f>
        <v>0</v>
      </c>
      <c r="CP1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2" s="43" t="n">
        <f aca="false">IF(AND(Tasks[[#This Row],[_IsLeaf]]=1,Tasks[[#This Row],[_LeafWork]]&gt;0),Tasks[[#This Row],[_LeafWork]]/(Tasks[[#This Row],[_FinishWorkday]]-Tasks[[#This Row],[_StartWorkday]]+1),0)</f>
        <v>0</v>
      </c>
      <c r="CR162" s="43" t="n">
        <f aca="false">Tasks[[#This Row],[_WorkPerWorkday]]*(Tasks[[#This Row],[_StartWorkday]]-1)</f>
        <v>-0</v>
      </c>
      <c r="CS162" s="43" t="n">
        <f aca="false">IF(Tasks[[#This Row],[_IsLeaf]]=1,MAX(N(Tasks[[#This Row],[Duration]]),0.1),0)</f>
        <v>0</v>
      </c>
      <c r="CT162" s="43" t="n">
        <f aca="false">Tasks[[#This Row],[_WeightDur]]*Tasks[[#This Row],[_LeafProgress]]</f>
        <v>0</v>
      </c>
      <c r="CU1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2" s="43" t="str">
        <f aca="false">IF(AND(Tasks[[#This Row],[_IsLeaf]]=1,N(Tasks[[#This Row],[Duration]])=0,Tasks[[#This Row],[_LeafProgress]]&lt;1),Tasks[[#This Row],[_LeafFcstFinish]]+Tasks[[#This Row],[_Row]]/100000,"")</f>
        <v/>
      </c>
      <c r="DA1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2" s="43" t="n">
        <f aca="false">IF(NOT(Tasks[[#This Row],[_IsLeaf]]=1),0,IF(Tasks[[#This Row],[Baseline Cost]]="",Tasks[[#This Row],[_LeafCost]],N(Tasks[[#This Row],[Baseline Cost]])))</f>
        <v>0</v>
      </c>
      <c r="DC162" s="43" t="n">
        <f aca="false">Tasks[[#This Row],[_LeafBudget]]*Tasks[[#This Row],[_PlannedPct]]</f>
        <v>0</v>
      </c>
      <c r="DD162" s="43" t="n">
        <f aca="false">Tasks[[#This Row],[_LeafBudget]]*Tasks[[#This Row],[_LeafProgress]]</f>
        <v>0</v>
      </c>
      <c r="DE162" s="43" t="n">
        <f aca="false">IF(NOT(Tasks[[#This Row],[_IsLeaf]]=1),0,IF(Tasks[[#This Row],[Actual Cost]]="",Tasks[[#This Row],[_LeafCost]]*Tasks[[#This Row],[_LeafProgress]],N(Tasks[[#This Row],[Actual Cost]])))</f>
        <v>0</v>
      </c>
      <c r="DF162" s="43" t="str">
        <f aca="false">IF(Tasks[[#This Row],[Task Name]]="","",LEFT(Tasks[[#This Row],[WBS]],FIND(".",Tasks[[#This Row],[WBS]]&amp;".")-1))</f>
        <v/>
      </c>
      <c r="DG162" s="43" t="str">
        <f aca="false">IF(AND(Tasks[[#This Row],[Task Name]]&lt;&gt;"",Tasks[[#This Row],[_Level]]=1),Tasks[[#This Row],[_Row]],"")</f>
        <v/>
      </c>
      <c r="DH162" s="43" t="str">
        <f aca="false">IF(AND(Tasks[[#This Row],[_IsLeaf]]=1,N(Tasks[[#This Row],[Duration]])=0),Tasks[[#This Row],[Planned Finish]]+Tasks[[#This Row],[_Row]]/100000,"")</f>
        <v/>
      </c>
      <c r="DI1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2" s="43" t="str">
        <f aca="false">IF(Tasks[[#This Row],[_LeafCritical]],Tasks[[#This Row],[_LeafFcstStart]]+Tasks[[#This Row],[_Row]]/100000,"")</f>
        <v/>
      </c>
    </row>
    <row r="163" customFormat="false" ht="15" hidden="false" customHeight="false" outlineLevel="0" collapsed="false">
      <c r="A163" s="28" t="str">
        <f aca="false">IF(Tasks[[#This Row],[Task Name]]="","",COUNTA(Tasks[[#Headers],[Task Name]]:Tasks[[#This Row],[Task Name]])-1)</f>
        <v/>
      </c>
      <c r="B163" s="29" t="n">
        <v>158</v>
      </c>
      <c r="C1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29"/>
      <c r="E163" s="30"/>
      <c r="F163" s="29"/>
      <c r="G163" s="29"/>
      <c r="H163" s="29"/>
      <c r="I163" s="29"/>
      <c r="J163" s="29"/>
      <c r="K163" s="29"/>
      <c r="L163" s="29"/>
      <c r="M163" s="29"/>
      <c r="N163" s="53"/>
      <c r="O163" s="53"/>
      <c r="P163" s="25" t="str">
        <f aca="false">IF(Tasks[[#This Row],[Task Name]]="","",IF(N(Tasks[[#This Row],[Baseline Start]])&gt;0,Tasks[[#This Row],[Baseline Start]],Tasks[[#This Row],[_CalcStart]]))</f>
        <v/>
      </c>
      <c r="Q163" s="25" t="str">
        <f aca="false">IF(Tasks[[#This Row],[Task Name]]="","",IF(N(Tasks[[#This Row],[Baseline Finish]])&gt;0,Tasks[[#This Row],[Baseline Finish]],Tasks[[#This Row],[_CalcFinish]]))</f>
        <v/>
      </c>
      <c r="R163" s="53"/>
      <c r="S163" s="53"/>
      <c r="T1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55"/>
      <c r="AF16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30"/>
      <c r="AI163" s="55"/>
      <c r="AJ16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64"/>
      <c r="AM16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3" s="30"/>
      <c r="AP163" s="25" t="str">
        <f aca="false">IF(Tasks[[#This Row],[Task Name]]="","",Tasks[[#This Row],[Forecast Start]])</f>
        <v/>
      </c>
      <c r="AQ163" s="25" t="str">
        <f aca="false">IF(Tasks[[#This Row],[Task Name]]="","",Tasks[[#This Row],[Forecast Finish]])</f>
        <v/>
      </c>
      <c r="AR1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3" s="62" t="str">
        <f aca="false">IF(Tasks[[#This Row],[Task Name]]="","",Tasks[[#This Row],[Work]])</f>
        <v/>
      </c>
      <c r="AT163" s="63" t="str">
        <f aca="false">IF(Tasks[[#This Row],[Task Name]]="","",Tasks[[#This Row],[Cost]])</f>
        <v/>
      </c>
      <c r="AU163" s="53"/>
      <c r="AV163" s="53"/>
      <c r="AW163" s="29"/>
      <c r="AX163" s="65"/>
      <c r="AY163" s="64"/>
      <c r="AZ163" s="28" t="str">
        <f aca="false">IF(OR(Tasks[[#This Row],[Task Name]]="",Tasks[[#This Row],[Baseline Duration]]=""),"",Tasks[[#This Row],[BL Source Duration]]-N(Tasks[[#This Row],[Baseline Duration]]))</f>
        <v/>
      </c>
      <c r="BA163" s="62" t="str">
        <f aca="false">IF(OR(Tasks[[#This Row],[Task Name]]="",Tasks[[#This Row],[Baseline Work]]=""),"",Tasks[[#This Row],[Work]]-N(Tasks[[#This Row],[Baseline Work]]))</f>
        <v/>
      </c>
      <c r="BB163" s="63" t="str">
        <f aca="false">IF(OR(Tasks[[#This Row],[Task Name]]="",Tasks[[#This Row],[Baseline Cost]]=""),"",Tasks[[#This Row],[Cost]]-N(Tasks[[#This Row],[Baseline Cost]]))</f>
        <v/>
      </c>
      <c r="BC16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3" s="43" t="str">
        <f aca="false">IF(Tasks[[#This Row],[Task Name]]="","",MAX(1,N(Tasks[[#This Row],[Level]])))</f>
        <v/>
      </c>
      <c r="BH163" s="43" t="n">
        <f aca="false">ROW()-ROW(Tasks[[#Headers],[ID]])</f>
        <v>158</v>
      </c>
      <c r="BI1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3" s="43" t="n">
        <f aca="false">IFERROR(N(INDEX(Tasks[_Level],Tasks[[#This Row],[_Row]]+1)),0)</f>
        <v>0</v>
      </c>
      <c r="BK163" s="66" t="b">
        <f aca="false">AND(Tasks[[#This Row],[Task Name]]&lt;&gt;"",Tasks[[#This Row],[_NextLevel]]&gt;Tasks[[#This Row],[_Level]])</f>
        <v>0</v>
      </c>
      <c r="BL163" s="43" t="n">
        <f aca="false">IF(Tasks[[#This Row],[_IsSummary]],COUNTIF(Tasks[WBS],Tasks[[#This Row],[WBS]]&amp;".*"),0)</f>
        <v>0</v>
      </c>
      <c r="BM163" s="43" t="n">
        <f aca="false">IF(AND(Tasks[[#This Row],[Task Name]]&lt;&gt;"",NOT(Tasks[[#This Row],[_IsSummary]])),1,0)</f>
        <v>0</v>
      </c>
      <c r="BN163" s="43" t="n">
        <f aca="false">IF(N(Tasks[[#This Row],[Pred1 UID]])=0,0,IFERROR(MATCH(Tasks[[#This Row],[Pred1 UID]],Tasks[UID],0),-1))</f>
        <v>0</v>
      </c>
      <c r="BO163" s="43" t="n">
        <f aca="false">IF(N(Tasks[[#This Row],[Pred2 UID]])=0,0,IFERROR(MATCH(Tasks[[#This Row],[Pred2 UID]],Tasks[UID],0),-1))</f>
        <v>0</v>
      </c>
      <c r="BP16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3" s="43" t="n">
        <f aca="false">IF(NOT(Tasks[[#This Row],[_IsLeaf]]=1),0,IF(N(Tasks[[#This Row],[Actual Finish]])&gt;0,1,MIN(1,N(Tasks[[#This Row],[% Complete]]))))</f>
        <v>0</v>
      </c>
      <c r="BU1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3" s="43" t="n">
        <f aca="false">IF(Tasks[[#This Row],[_LeafWork]]=0,0,Tasks[[#This Row],[_LeafWork]]*IFERROR(INDEX(res_Rate,MATCH(Tasks[[#This Row],[Resource]],res_Name,0)),0))</f>
        <v>0</v>
      </c>
      <c r="BW1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3" s="43" t="n">
        <f aca="false">IF(NOT(Tasks[[#This Row],[_IsLeaf]]=1),0,MAX(_xlfn.MAXIFS(Tasks[_Row],Tasks[Pred1 UID],Tasks[[#This Row],[UID]]),_xlfn.MAXIFS(Tasks[_Row],Tasks[Pred2 UID],Tasks[[#This Row],[UID]])))</f>
        <v>0</v>
      </c>
      <c r="CB16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3" s="67" t="str">
        <f aca="false">IF(NOT(Tasks[[#This Row],[_IsLeaf]]=1),"",MIN(ProjectFinish,IF(N(Tasks[[#This Row],[Deadline]])&gt;0,Tasks[[#This Row],[Deadline]],2958465),Tasks[[#This Row],[_SuccessorFinishLimit]]))</f>
        <v/>
      </c>
      <c r="CD16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3" s="66" t="b">
        <f aca="false">AND(Tasks[[#This Row],[_IsLeaf]]=1,Tasks[[#This Row],[_LeafProgress]]&lt;1,N(Tasks[[#This Row],[_LeafTotalSlack]])&lt;=CriticalSlackDays)</f>
        <v>0</v>
      </c>
      <c r="CG16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3" s="43" t="n">
        <f aca="false">IF(AND(Tasks[[#This Row],[_IsLeaf]]=1,Tasks[[#This Row],[_LeafWork]]&gt;0),NETWORKDAYS.INTL(ProjectStart,Tasks[[#This Row],[_LeafFcstStart]],WorkWeek,Holidays),0)</f>
        <v>0</v>
      </c>
      <c r="CP1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3" s="43" t="n">
        <f aca="false">IF(AND(Tasks[[#This Row],[_IsLeaf]]=1,Tasks[[#This Row],[_LeafWork]]&gt;0),Tasks[[#This Row],[_LeafWork]]/(Tasks[[#This Row],[_FinishWorkday]]-Tasks[[#This Row],[_StartWorkday]]+1),0)</f>
        <v>0</v>
      </c>
      <c r="CR163" s="43" t="n">
        <f aca="false">Tasks[[#This Row],[_WorkPerWorkday]]*(Tasks[[#This Row],[_StartWorkday]]-1)</f>
        <v>-0</v>
      </c>
      <c r="CS163" s="43" t="n">
        <f aca="false">IF(Tasks[[#This Row],[_IsLeaf]]=1,MAX(N(Tasks[[#This Row],[Duration]]),0.1),0)</f>
        <v>0</v>
      </c>
      <c r="CT163" s="43" t="n">
        <f aca="false">Tasks[[#This Row],[_WeightDur]]*Tasks[[#This Row],[_LeafProgress]]</f>
        <v>0</v>
      </c>
      <c r="CU1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3" s="43" t="str">
        <f aca="false">IF(AND(Tasks[[#This Row],[_IsLeaf]]=1,N(Tasks[[#This Row],[Duration]])=0,Tasks[[#This Row],[_LeafProgress]]&lt;1),Tasks[[#This Row],[_LeafFcstFinish]]+Tasks[[#This Row],[_Row]]/100000,"")</f>
        <v/>
      </c>
      <c r="DA1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3" s="43" t="n">
        <f aca="false">IF(NOT(Tasks[[#This Row],[_IsLeaf]]=1),0,IF(Tasks[[#This Row],[Baseline Cost]]="",Tasks[[#This Row],[_LeafCost]],N(Tasks[[#This Row],[Baseline Cost]])))</f>
        <v>0</v>
      </c>
      <c r="DC163" s="43" t="n">
        <f aca="false">Tasks[[#This Row],[_LeafBudget]]*Tasks[[#This Row],[_PlannedPct]]</f>
        <v>0</v>
      </c>
      <c r="DD163" s="43" t="n">
        <f aca="false">Tasks[[#This Row],[_LeafBudget]]*Tasks[[#This Row],[_LeafProgress]]</f>
        <v>0</v>
      </c>
      <c r="DE163" s="43" t="n">
        <f aca="false">IF(NOT(Tasks[[#This Row],[_IsLeaf]]=1),0,IF(Tasks[[#This Row],[Actual Cost]]="",Tasks[[#This Row],[_LeafCost]]*Tasks[[#This Row],[_LeafProgress]],N(Tasks[[#This Row],[Actual Cost]])))</f>
        <v>0</v>
      </c>
      <c r="DF163" s="43" t="str">
        <f aca="false">IF(Tasks[[#This Row],[Task Name]]="","",LEFT(Tasks[[#This Row],[WBS]],FIND(".",Tasks[[#This Row],[WBS]]&amp;".")-1))</f>
        <v/>
      </c>
      <c r="DG163" s="43" t="str">
        <f aca="false">IF(AND(Tasks[[#This Row],[Task Name]]&lt;&gt;"",Tasks[[#This Row],[_Level]]=1),Tasks[[#This Row],[_Row]],"")</f>
        <v/>
      </c>
      <c r="DH163" s="43" t="str">
        <f aca="false">IF(AND(Tasks[[#This Row],[_IsLeaf]]=1,N(Tasks[[#This Row],[Duration]])=0),Tasks[[#This Row],[Planned Finish]]+Tasks[[#This Row],[_Row]]/100000,"")</f>
        <v/>
      </c>
      <c r="DI1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3" s="43" t="str">
        <f aca="false">IF(Tasks[[#This Row],[_LeafCritical]],Tasks[[#This Row],[_LeafFcstStart]]+Tasks[[#This Row],[_Row]]/100000,"")</f>
        <v/>
      </c>
    </row>
    <row r="164" customFormat="false" ht="15" hidden="false" customHeight="false" outlineLevel="0" collapsed="false">
      <c r="A164" s="28" t="str">
        <f aca="false">IF(Tasks[[#This Row],[Task Name]]="","",COUNTA(Tasks[[#Headers],[Task Name]]:Tasks[[#This Row],[Task Name]])-1)</f>
        <v/>
      </c>
      <c r="B164" s="29" t="n">
        <v>159</v>
      </c>
      <c r="C1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29"/>
      <c r="E164" s="30"/>
      <c r="F164" s="29"/>
      <c r="G164" s="29"/>
      <c r="H164" s="29"/>
      <c r="I164" s="29"/>
      <c r="J164" s="29"/>
      <c r="K164" s="29"/>
      <c r="L164" s="29"/>
      <c r="M164" s="29"/>
      <c r="N164" s="53"/>
      <c r="O164" s="53"/>
      <c r="P164" s="25" t="str">
        <f aca="false">IF(Tasks[[#This Row],[Task Name]]="","",IF(N(Tasks[[#This Row],[Baseline Start]])&gt;0,Tasks[[#This Row],[Baseline Start]],Tasks[[#This Row],[_CalcStart]]))</f>
        <v/>
      </c>
      <c r="Q164" s="25" t="str">
        <f aca="false">IF(Tasks[[#This Row],[Task Name]]="","",IF(N(Tasks[[#This Row],[Baseline Finish]])&gt;0,Tasks[[#This Row],[Baseline Finish]],Tasks[[#This Row],[_CalcFinish]]))</f>
        <v/>
      </c>
      <c r="R164" s="53"/>
      <c r="S164" s="53"/>
      <c r="T1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55"/>
      <c r="AF16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30"/>
      <c r="AI164" s="55"/>
      <c r="AJ16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64"/>
      <c r="AM16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4" s="30"/>
      <c r="AP164" s="25" t="str">
        <f aca="false">IF(Tasks[[#This Row],[Task Name]]="","",Tasks[[#This Row],[Forecast Start]])</f>
        <v/>
      </c>
      <c r="AQ164" s="25" t="str">
        <f aca="false">IF(Tasks[[#This Row],[Task Name]]="","",Tasks[[#This Row],[Forecast Finish]])</f>
        <v/>
      </c>
      <c r="AR1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4" s="62" t="str">
        <f aca="false">IF(Tasks[[#This Row],[Task Name]]="","",Tasks[[#This Row],[Work]])</f>
        <v/>
      </c>
      <c r="AT164" s="63" t="str">
        <f aca="false">IF(Tasks[[#This Row],[Task Name]]="","",Tasks[[#This Row],[Cost]])</f>
        <v/>
      </c>
      <c r="AU164" s="53"/>
      <c r="AV164" s="53"/>
      <c r="AW164" s="29"/>
      <c r="AX164" s="65"/>
      <c r="AY164" s="64"/>
      <c r="AZ164" s="28" t="str">
        <f aca="false">IF(OR(Tasks[[#This Row],[Task Name]]="",Tasks[[#This Row],[Baseline Duration]]=""),"",Tasks[[#This Row],[BL Source Duration]]-N(Tasks[[#This Row],[Baseline Duration]]))</f>
        <v/>
      </c>
      <c r="BA164" s="62" t="str">
        <f aca="false">IF(OR(Tasks[[#This Row],[Task Name]]="",Tasks[[#This Row],[Baseline Work]]=""),"",Tasks[[#This Row],[Work]]-N(Tasks[[#This Row],[Baseline Work]]))</f>
        <v/>
      </c>
      <c r="BB164" s="63" t="str">
        <f aca="false">IF(OR(Tasks[[#This Row],[Task Name]]="",Tasks[[#This Row],[Baseline Cost]]=""),"",Tasks[[#This Row],[Cost]]-N(Tasks[[#This Row],[Baseline Cost]]))</f>
        <v/>
      </c>
      <c r="BC16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4" s="43" t="str">
        <f aca="false">IF(Tasks[[#This Row],[Task Name]]="","",MAX(1,N(Tasks[[#This Row],[Level]])))</f>
        <v/>
      </c>
      <c r="BH164" s="43" t="n">
        <f aca="false">ROW()-ROW(Tasks[[#Headers],[ID]])</f>
        <v>159</v>
      </c>
      <c r="BI1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4" s="43" t="n">
        <f aca="false">IFERROR(N(INDEX(Tasks[_Level],Tasks[[#This Row],[_Row]]+1)),0)</f>
        <v>0</v>
      </c>
      <c r="BK164" s="66" t="b">
        <f aca="false">AND(Tasks[[#This Row],[Task Name]]&lt;&gt;"",Tasks[[#This Row],[_NextLevel]]&gt;Tasks[[#This Row],[_Level]])</f>
        <v>0</v>
      </c>
      <c r="BL164" s="43" t="n">
        <f aca="false">IF(Tasks[[#This Row],[_IsSummary]],COUNTIF(Tasks[WBS],Tasks[[#This Row],[WBS]]&amp;".*"),0)</f>
        <v>0</v>
      </c>
      <c r="BM164" s="43" t="n">
        <f aca="false">IF(AND(Tasks[[#This Row],[Task Name]]&lt;&gt;"",NOT(Tasks[[#This Row],[_IsSummary]])),1,0)</f>
        <v>0</v>
      </c>
      <c r="BN164" s="43" t="n">
        <f aca="false">IF(N(Tasks[[#This Row],[Pred1 UID]])=0,0,IFERROR(MATCH(Tasks[[#This Row],[Pred1 UID]],Tasks[UID],0),-1))</f>
        <v>0</v>
      </c>
      <c r="BO164" s="43" t="n">
        <f aca="false">IF(N(Tasks[[#This Row],[Pred2 UID]])=0,0,IFERROR(MATCH(Tasks[[#This Row],[Pred2 UID]],Tasks[UID],0),-1))</f>
        <v>0</v>
      </c>
      <c r="BP16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4" s="43" t="n">
        <f aca="false">IF(NOT(Tasks[[#This Row],[_IsLeaf]]=1),0,IF(N(Tasks[[#This Row],[Actual Finish]])&gt;0,1,MIN(1,N(Tasks[[#This Row],[% Complete]]))))</f>
        <v>0</v>
      </c>
      <c r="BU1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4" s="43" t="n">
        <f aca="false">IF(Tasks[[#This Row],[_LeafWork]]=0,0,Tasks[[#This Row],[_LeafWork]]*IFERROR(INDEX(res_Rate,MATCH(Tasks[[#This Row],[Resource]],res_Name,0)),0))</f>
        <v>0</v>
      </c>
      <c r="BW1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4" s="43" t="n">
        <f aca="false">IF(NOT(Tasks[[#This Row],[_IsLeaf]]=1),0,MAX(_xlfn.MAXIFS(Tasks[_Row],Tasks[Pred1 UID],Tasks[[#This Row],[UID]]),_xlfn.MAXIFS(Tasks[_Row],Tasks[Pred2 UID],Tasks[[#This Row],[UID]])))</f>
        <v>0</v>
      </c>
      <c r="CB16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4" s="67" t="str">
        <f aca="false">IF(NOT(Tasks[[#This Row],[_IsLeaf]]=1),"",MIN(ProjectFinish,IF(N(Tasks[[#This Row],[Deadline]])&gt;0,Tasks[[#This Row],[Deadline]],2958465),Tasks[[#This Row],[_SuccessorFinishLimit]]))</f>
        <v/>
      </c>
      <c r="CD16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4" s="66" t="b">
        <f aca="false">AND(Tasks[[#This Row],[_IsLeaf]]=1,Tasks[[#This Row],[_LeafProgress]]&lt;1,N(Tasks[[#This Row],[_LeafTotalSlack]])&lt;=CriticalSlackDays)</f>
        <v>0</v>
      </c>
      <c r="CG16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4" s="43" t="n">
        <f aca="false">IF(AND(Tasks[[#This Row],[_IsLeaf]]=1,Tasks[[#This Row],[_LeafWork]]&gt;0),NETWORKDAYS.INTL(ProjectStart,Tasks[[#This Row],[_LeafFcstStart]],WorkWeek,Holidays),0)</f>
        <v>0</v>
      </c>
      <c r="CP1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4" s="43" t="n">
        <f aca="false">IF(AND(Tasks[[#This Row],[_IsLeaf]]=1,Tasks[[#This Row],[_LeafWork]]&gt;0),Tasks[[#This Row],[_LeafWork]]/(Tasks[[#This Row],[_FinishWorkday]]-Tasks[[#This Row],[_StartWorkday]]+1),0)</f>
        <v>0</v>
      </c>
      <c r="CR164" s="43" t="n">
        <f aca="false">Tasks[[#This Row],[_WorkPerWorkday]]*(Tasks[[#This Row],[_StartWorkday]]-1)</f>
        <v>-0</v>
      </c>
      <c r="CS164" s="43" t="n">
        <f aca="false">IF(Tasks[[#This Row],[_IsLeaf]]=1,MAX(N(Tasks[[#This Row],[Duration]]),0.1),0)</f>
        <v>0</v>
      </c>
      <c r="CT164" s="43" t="n">
        <f aca="false">Tasks[[#This Row],[_WeightDur]]*Tasks[[#This Row],[_LeafProgress]]</f>
        <v>0</v>
      </c>
      <c r="CU1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4" s="43" t="str">
        <f aca="false">IF(AND(Tasks[[#This Row],[_IsLeaf]]=1,N(Tasks[[#This Row],[Duration]])=0,Tasks[[#This Row],[_LeafProgress]]&lt;1),Tasks[[#This Row],[_LeafFcstFinish]]+Tasks[[#This Row],[_Row]]/100000,"")</f>
        <v/>
      </c>
      <c r="DA1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4" s="43" t="n">
        <f aca="false">IF(NOT(Tasks[[#This Row],[_IsLeaf]]=1),0,IF(Tasks[[#This Row],[Baseline Cost]]="",Tasks[[#This Row],[_LeafCost]],N(Tasks[[#This Row],[Baseline Cost]])))</f>
        <v>0</v>
      </c>
      <c r="DC164" s="43" t="n">
        <f aca="false">Tasks[[#This Row],[_LeafBudget]]*Tasks[[#This Row],[_PlannedPct]]</f>
        <v>0</v>
      </c>
      <c r="DD164" s="43" t="n">
        <f aca="false">Tasks[[#This Row],[_LeafBudget]]*Tasks[[#This Row],[_LeafProgress]]</f>
        <v>0</v>
      </c>
      <c r="DE164" s="43" t="n">
        <f aca="false">IF(NOT(Tasks[[#This Row],[_IsLeaf]]=1),0,IF(Tasks[[#This Row],[Actual Cost]]="",Tasks[[#This Row],[_LeafCost]]*Tasks[[#This Row],[_LeafProgress]],N(Tasks[[#This Row],[Actual Cost]])))</f>
        <v>0</v>
      </c>
      <c r="DF164" s="43" t="str">
        <f aca="false">IF(Tasks[[#This Row],[Task Name]]="","",LEFT(Tasks[[#This Row],[WBS]],FIND(".",Tasks[[#This Row],[WBS]]&amp;".")-1))</f>
        <v/>
      </c>
      <c r="DG164" s="43" t="str">
        <f aca="false">IF(AND(Tasks[[#This Row],[Task Name]]&lt;&gt;"",Tasks[[#This Row],[_Level]]=1),Tasks[[#This Row],[_Row]],"")</f>
        <v/>
      </c>
      <c r="DH164" s="43" t="str">
        <f aca="false">IF(AND(Tasks[[#This Row],[_IsLeaf]]=1,N(Tasks[[#This Row],[Duration]])=0),Tasks[[#This Row],[Planned Finish]]+Tasks[[#This Row],[_Row]]/100000,"")</f>
        <v/>
      </c>
      <c r="DI1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4" s="43" t="str">
        <f aca="false">IF(Tasks[[#This Row],[_LeafCritical]],Tasks[[#This Row],[_LeafFcstStart]]+Tasks[[#This Row],[_Row]]/100000,"")</f>
        <v/>
      </c>
    </row>
    <row r="165" customFormat="false" ht="15" hidden="false" customHeight="false" outlineLevel="0" collapsed="false">
      <c r="A165" s="28" t="str">
        <f aca="false">IF(Tasks[[#This Row],[Task Name]]="","",COUNTA(Tasks[[#Headers],[Task Name]]:Tasks[[#This Row],[Task Name]])-1)</f>
        <v/>
      </c>
      <c r="B165" s="29" t="n">
        <v>160</v>
      </c>
      <c r="C1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29"/>
      <c r="E165" s="30"/>
      <c r="F165" s="29"/>
      <c r="G165" s="29"/>
      <c r="H165" s="29"/>
      <c r="I165" s="29"/>
      <c r="J165" s="29"/>
      <c r="K165" s="29"/>
      <c r="L165" s="29"/>
      <c r="M165" s="29"/>
      <c r="N165" s="53"/>
      <c r="O165" s="53"/>
      <c r="P165" s="25" t="str">
        <f aca="false">IF(Tasks[[#This Row],[Task Name]]="","",IF(N(Tasks[[#This Row],[Baseline Start]])&gt;0,Tasks[[#This Row],[Baseline Start]],Tasks[[#This Row],[_CalcStart]]))</f>
        <v/>
      </c>
      <c r="Q165" s="25" t="str">
        <f aca="false">IF(Tasks[[#This Row],[Task Name]]="","",IF(N(Tasks[[#This Row],[Baseline Finish]])&gt;0,Tasks[[#This Row],[Baseline Finish]],Tasks[[#This Row],[_CalcFinish]]))</f>
        <v/>
      </c>
      <c r="R165" s="53"/>
      <c r="S165" s="53"/>
      <c r="T1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55"/>
      <c r="AF16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30"/>
      <c r="AI165" s="55"/>
      <c r="AJ16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64"/>
      <c r="AM16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5" s="30"/>
      <c r="AP165" s="25" t="str">
        <f aca="false">IF(Tasks[[#This Row],[Task Name]]="","",Tasks[[#This Row],[Forecast Start]])</f>
        <v/>
      </c>
      <c r="AQ165" s="25" t="str">
        <f aca="false">IF(Tasks[[#This Row],[Task Name]]="","",Tasks[[#This Row],[Forecast Finish]])</f>
        <v/>
      </c>
      <c r="AR1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5" s="62" t="str">
        <f aca="false">IF(Tasks[[#This Row],[Task Name]]="","",Tasks[[#This Row],[Work]])</f>
        <v/>
      </c>
      <c r="AT165" s="63" t="str">
        <f aca="false">IF(Tasks[[#This Row],[Task Name]]="","",Tasks[[#This Row],[Cost]])</f>
        <v/>
      </c>
      <c r="AU165" s="53"/>
      <c r="AV165" s="53"/>
      <c r="AW165" s="29"/>
      <c r="AX165" s="65"/>
      <c r="AY165" s="64"/>
      <c r="AZ165" s="28" t="str">
        <f aca="false">IF(OR(Tasks[[#This Row],[Task Name]]="",Tasks[[#This Row],[Baseline Duration]]=""),"",Tasks[[#This Row],[BL Source Duration]]-N(Tasks[[#This Row],[Baseline Duration]]))</f>
        <v/>
      </c>
      <c r="BA165" s="62" t="str">
        <f aca="false">IF(OR(Tasks[[#This Row],[Task Name]]="",Tasks[[#This Row],[Baseline Work]]=""),"",Tasks[[#This Row],[Work]]-N(Tasks[[#This Row],[Baseline Work]]))</f>
        <v/>
      </c>
      <c r="BB165" s="63" t="str">
        <f aca="false">IF(OR(Tasks[[#This Row],[Task Name]]="",Tasks[[#This Row],[Baseline Cost]]=""),"",Tasks[[#This Row],[Cost]]-N(Tasks[[#This Row],[Baseline Cost]]))</f>
        <v/>
      </c>
      <c r="BC16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5" s="43" t="str">
        <f aca="false">IF(Tasks[[#This Row],[Task Name]]="","",MAX(1,N(Tasks[[#This Row],[Level]])))</f>
        <v/>
      </c>
      <c r="BH165" s="43" t="n">
        <f aca="false">ROW()-ROW(Tasks[[#Headers],[ID]])</f>
        <v>160</v>
      </c>
      <c r="BI1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5" s="43" t="n">
        <f aca="false">IFERROR(N(INDEX(Tasks[_Level],Tasks[[#This Row],[_Row]]+1)),0)</f>
        <v>0</v>
      </c>
      <c r="BK165" s="66" t="b">
        <f aca="false">AND(Tasks[[#This Row],[Task Name]]&lt;&gt;"",Tasks[[#This Row],[_NextLevel]]&gt;Tasks[[#This Row],[_Level]])</f>
        <v>0</v>
      </c>
      <c r="BL165" s="43" t="n">
        <f aca="false">IF(Tasks[[#This Row],[_IsSummary]],COUNTIF(Tasks[WBS],Tasks[[#This Row],[WBS]]&amp;".*"),0)</f>
        <v>0</v>
      </c>
      <c r="BM165" s="43" t="n">
        <f aca="false">IF(AND(Tasks[[#This Row],[Task Name]]&lt;&gt;"",NOT(Tasks[[#This Row],[_IsSummary]])),1,0)</f>
        <v>0</v>
      </c>
      <c r="BN165" s="43" t="n">
        <f aca="false">IF(N(Tasks[[#This Row],[Pred1 UID]])=0,0,IFERROR(MATCH(Tasks[[#This Row],[Pred1 UID]],Tasks[UID],0),-1))</f>
        <v>0</v>
      </c>
      <c r="BO165" s="43" t="n">
        <f aca="false">IF(N(Tasks[[#This Row],[Pred2 UID]])=0,0,IFERROR(MATCH(Tasks[[#This Row],[Pred2 UID]],Tasks[UID],0),-1))</f>
        <v>0</v>
      </c>
      <c r="BP16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5" s="43" t="n">
        <f aca="false">IF(NOT(Tasks[[#This Row],[_IsLeaf]]=1),0,IF(N(Tasks[[#This Row],[Actual Finish]])&gt;0,1,MIN(1,N(Tasks[[#This Row],[% Complete]]))))</f>
        <v>0</v>
      </c>
      <c r="BU1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5" s="43" t="n">
        <f aca="false">IF(Tasks[[#This Row],[_LeafWork]]=0,0,Tasks[[#This Row],[_LeafWork]]*IFERROR(INDEX(res_Rate,MATCH(Tasks[[#This Row],[Resource]],res_Name,0)),0))</f>
        <v>0</v>
      </c>
      <c r="BW1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5" s="43" t="n">
        <f aca="false">IF(NOT(Tasks[[#This Row],[_IsLeaf]]=1),0,MAX(_xlfn.MAXIFS(Tasks[_Row],Tasks[Pred1 UID],Tasks[[#This Row],[UID]]),_xlfn.MAXIFS(Tasks[_Row],Tasks[Pred2 UID],Tasks[[#This Row],[UID]])))</f>
        <v>0</v>
      </c>
      <c r="CB16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5" s="67" t="str">
        <f aca="false">IF(NOT(Tasks[[#This Row],[_IsLeaf]]=1),"",MIN(ProjectFinish,IF(N(Tasks[[#This Row],[Deadline]])&gt;0,Tasks[[#This Row],[Deadline]],2958465),Tasks[[#This Row],[_SuccessorFinishLimit]]))</f>
        <v/>
      </c>
      <c r="CD16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5" s="66" t="b">
        <f aca="false">AND(Tasks[[#This Row],[_IsLeaf]]=1,Tasks[[#This Row],[_LeafProgress]]&lt;1,N(Tasks[[#This Row],[_LeafTotalSlack]])&lt;=CriticalSlackDays)</f>
        <v>0</v>
      </c>
      <c r="CG16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5" s="43" t="n">
        <f aca="false">IF(AND(Tasks[[#This Row],[_IsLeaf]]=1,Tasks[[#This Row],[_LeafWork]]&gt;0),NETWORKDAYS.INTL(ProjectStart,Tasks[[#This Row],[_LeafFcstStart]],WorkWeek,Holidays),0)</f>
        <v>0</v>
      </c>
      <c r="CP1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5" s="43" t="n">
        <f aca="false">IF(AND(Tasks[[#This Row],[_IsLeaf]]=1,Tasks[[#This Row],[_LeafWork]]&gt;0),Tasks[[#This Row],[_LeafWork]]/(Tasks[[#This Row],[_FinishWorkday]]-Tasks[[#This Row],[_StartWorkday]]+1),0)</f>
        <v>0</v>
      </c>
      <c r="CR165" s="43" t="n">
        <f aca="false">Tasks[[#This Row],[_WorkPerWorkday]]*(Tasks[[#This Row],[_StartWorkday]]-1)</f>
        <v>-0</v>
      </c>
      <c r="CS165" s="43" t="n">
        <f aca="false">IF(Tasks[[#This Row],[_IsLeaf]]=1,MAX(N(Tasks[[#This Row],[Duration]]),0.1),0)</f>
        <v>0</v>
      </c>
      <c r="CT165" s="43" t="n">
        <f aca="false">Tasks[[#This Row],[_WeightDur]]*Tasks[[#This Row],[_LeafProgress]]</f>
        <v>0</v>
      </c>
      <c r="CU1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5" s="43" t="str">
        <f aca="false">IF(AND(Tasks[[#This Row],[_IsLeaf]]=1,N(Tasks[[#This Row],[Duration]])=0,Tasks[[#This Row],[_LeafProgress]]&lt;1),Tasks[[#This Row],[_LeafFcstFinish]]+Tasks[[#This Row],[_Row]]/100000,"")</f>
        <v/>
      </c>
      <c r="DA1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5" s="43" t="n">
        <f aca="false">IF(NOT(Tasks[[#This Row],[_IsLeaf]]=1),0,IF(Tasks[[#This Row],[Baseline Cost]]="",Tasks[[#This Row],[_LeafCost]],N(Tasks[[#This Row],[Baseline Cost]])))</f>
        <v>0</v>
      </c>
      <c r="DC165" s="43" t="n">
        <f aca="false">Tasks[[#This Row],[_LeafBudget]]*Tasks[[#This Row],[_PlannedPct]]</f>
        <v>0</v>
      </c>
      <c r="DD165" s="43" t="n">
        <f aca="false">Tasks[[#This Row],[_LeafBudget]]*Tasks[[#This Row],[_LeafProgress]]</f>
        <v>0</v>
      </c>
      <c r="DE165" s="43" t="n">
        <f aca="false">IF(NOT(Tasks[[#This Row],[_IsLeaf]]=1),0,IF(Tasks[[#This Row],[Actual Cost]]="",Tasks[[#This Row],[_LeafCost]]*Tasks[[#This Row],[_LeafProgress]],N(Tasks[[#This Row],[Actual Cost]])))</f>
        <v>0</v>
      </c>
      <c r="DF165" s="43" t="str">
        <f aca="false">IF(Tasks[[#This Row],[Task Name]]="","",LEFT(Tasks[[#This Row],[WBS]],FIND(".",Tasks[[#This Row],[WBS]]&amp;".")-1))</f>
        <v/>
      </c>
      <c r="DG165" s="43" t="str">
        <f aca="false">IF(AND(Tasks[[#This Row],[Task Name]]&lt;&gt;"",Tasks[[#This Row],[_Level]]=1),Tasks[[#This Row],[_Row]],"")</f>
        <v/>
      </c>
      <c r="DH165" s="43" t="str">
        <f aca="false">IF(AND(Tasks[[#This Row],[_IsLeaf]]=1,N(Tasks[[#This Row],[Duration]])=0),Tasks[[#This Row],[Planned Finish]]+Tasks[[#This Row],[_Row]]/100000,"")</f>
        <v/>
      </c>
      <c r="DI1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5" s="43" t="str">
        <f aca="false">IF(Tasks[[#This Row],[_LeafCritical]],Tasks[[#This Row],[_LeafFcstStart]]+Tasks[[#This Row],[_Row]]/100000,"")</f>
        <v/>
      </c>
    </row>
    <row r="166" customFormat="false" ht="15" hidden="false" customHeight="false" outlineLevel="0" collapsed="false">
      <c r="A166" s="28" t="str">
        <f aca="false">IF(Tasks[[#This Row],[Task Name]]="","",COUNTA(Tasks[[#Headers],[Task Name]]:Tasks[[#This Row],[Task Name]])-1)</f>
        <v/>
      </c>
      <c r="B166" s="29" t="n">
        <v>161</v>
      </c>
      <c r="C1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29"/>
      <c r="E166" s="30"/>
      <c r="F166" s="29"/>
      <c r="G166" s="29"/>
      <c r="H166" s="29"/>
      <c r="I166" s="29"/>
      <c r="J166" s="29"/>
      <c r="K166" s="29"/>
      <c r="L166" s="29"/>
      <c r="M166" s="29"/>
      <c r="N166" s="53"/>
      <c r="O166" s="53"/>
      <c r="P166" s="25" t="str">
        <f aca="false">IF(Tasks[[#This Row],[Task Name]]="","",IF(N(Tasks[[#This Row],[Baseline Start]])&gt;0,Tasks[[#This Row],[Baseline Start]],Tasks[[#This Row],[_CalcStart]]))</f>
        <v/>
      </c>
      <c r="Q166" s="25" t="str">
        <f aca="false">IF(Tasks[[#This Row],[Task Name]]="","",IF(N(Tasks[[#This Row],[Baseline Finish]])&gt;0,Tasks[[#This Row],[Baseline Finish]],Tasks[[#This Row],[_CalcFinish]]))</f>
        <v/>
      </c>
      <c r="R166" s="53"/>
      <c r="S166" s="53"/>
      <c r="T1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55"/>
      <c r="AF16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30"/>
      <c r="AI166" s="55"/>
      <c r="AJ16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64"/>
      <c r="AM16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6" s="30"/>
      <c r="AP166" s="25" t="str">
        <f aca="false">IF(Tasks[[#This Row],[Task Name]]="","",Tasks[[#This Row],[Forecast Start]])</f>
        <v/>
      </c>
      <c r="AQ166" s="25" t="str">
        <f aca="false">IF(Tasks[[#This Row],[Task Name]]="","",Tasks[[#This Row],[Forecast Finish]])</f>
        <v/>
      </c>
      <c r="AR1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6" s="62" t="str">
        <f aca="false">IF(Tasks[[#This Row],[Task Name]]="","",Tasks[[#This Row],[Work]])</f>
        <v/>
      </c>
      <c r="AT166" s="63" t="str">
        <f aca="false">IF(Tasks[[#This Row],[Task Name]]="","",Tasks[[#This Row],[Cost]])</f>
        <v/>
      </c>
      <c r="AU166" s="53"/>
      <c r="AV166" s="53"/>
      <c r="AW166" s="29"/>
      <c r="AX166" s="65"/>
      <c r="AY166" s="64"/>
      <c r="AZ166" s="28" t="str">
        <f aca="false">IF(OR(Tasks[[#This Row],[Task Name]]="",Tasks[[#This Row],[Baseline Duration]]=""),"",Tasks[[#This Row],[BL Source Duration]]-N(Tasks[[#This Row],[Baseline Duration]]))</f>
        <v/>
      </c>
      <c r="BA166" s="62" t="str">
        <f aca="false">IF(OR(Tasks[[#This Row],[Task Name]]="",Tasks[[#This Row],[Baseline Work]]=""),"",Tasks[[#This Row],[Work]]-N(Tasks[[#This Row],[Baseline Work]]))</f>
        <v/>
      </c>
      <c r="BB166" s="63" t="str">
        <f aca="false">IF(OR(Tasks[[#This Row],[Task Name]]="",Tasks[[#This Row],[Baseline Cost]]=""),"",Tasks[[#This Row],[Cost]]-N(Tasks[[#This Row],[Baseline Cost]]))</f>
        <v/>
      </c>
      <c r="BC16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6" s="43" t="str">
        <f aca="false">IF(Tasks[[#This Row],[Task Name]]="","",MAX(1,N(Tasks[[#This Row],[Level]])))</f>
        <v/>
      </c>
      <c r="BH166" s="43" t="n">
        <f aca="false">ROW()-ROW(Tasks[[#Headers],[ID]])</f>
        <v>161</v>
      </c>
      <c r="BI1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6" s="43" t="n">
        <f aca="false">IFERROR(N(INDEX(Tasks[_Level],Tasks[[#This Row],[_Row]]+1)),0)</f>
        <v>0</v>
      </c>
      <c r="BK166" s="66" t="b">
        <f aca="false">AND(Tasks[[#This Row],[Task Name]]&lt;&gt;"",Tasks[[#This Row],[_NextLevel]]&gt;Tasks[[#This Row],[_Level]])</f>
        <v>0</v>
      </c>
      <c r="BL166" s="43" t="n">
        <f aca="false">IF(Tasks[[#This Row],[_IsSummary]],COUNTIF(Tasks[WBS],Tasks[[#This Row],[WBS]]&amp;".*"),0)</f>
        <v>0</v>
      </c>
      <c r="BM166" s="43" t="n">
        <f aca="false">IF(AND(Tasks[[#This Row],[Task Name]]&lt;&gt;"",NOT(Tasks[[#This Row],[_IsSummary]])),1,0)</f>
        <v>0</v>
      </c>
      <c r="BN166" s="43" t="n">
        <f aca="false">IF(N(Tasks[[#This Row],[Pred1 UID]])=0,0,IFERROR(MATCH(Tasks[[#This Row],[Pred1 UID]],Tasks[UID],0),-1))</f>
        <v>0</v>
      </c>
      <c r="BO166" s="43" t="n">
        <f aca="false">IF(N(Tasks[[#This Row],[Pred2 UID]])=0,0,IFERROR(MATCH(Tasks[[#This Row],[Pred2 UID]],Tasks[UID],0),-1))</f>
        <v>0</v>
      </c>
      <c r="BP16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6" s="43" t="n">
        <f aca="false">IF(NOT(Tasks[[#This Row],[_IsLeaf]]=1),0,IF(N(Tasks[[#This Row],[Actual Finish]])&gt;0,1,MIN(1,N(Tasks[[#This Row],[% Complete]]))))</f>
        <v>0</v>
      </c>
      <c r="BU1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6" s="43" t="n">
        <f aca="false">IF(Tasks[[#This Row],[_LeafWork]]=0,0,Tasks[[#This Row],[_LeafWork]]*IFERROR(INDEX(res_Rate,MATCH(Tasks[[#This Row],[Resource]],res_Name,0)),0))</f>
        <v>0</v>
      </c>
      <c r="BW1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6" s="43" t="n">
        <f aca="false">IF(NOT(Tasks[[#This Row],[_IsLeaf]]=1),0,MAX(_xlfn.MAXIFS(Tasks[_Row],Tasks[Pred1 UID],Tasks[[#This Row],[UID]]),_xlfn.MAXIFS(Tasks[_Row],Tasks[Pred2 UID],Tasks[[#This Row],[UID]])))</f>
        <v>0</v>
      </c>
      <c r="CB16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6" s="67" t="str">
        <f aca="false">IF(NOT(Tasks[[#This Row],[_IsLeaf]]=1),"",MIN(ProjectFinish,IF(N(Tasks[[#This Row],[Deadline]])&gt;0,Tasks[[#This Row],[Deadline]],2958465),Tasks[[#This Row],[_SuccessorFinishLimit]]))</f>
        <v/>
      </c>
      <c r="CD16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6" s="66" t="b">
        <f aca="false">AND(Tasks[[#This Row],[_IsLeaf]]=1,Tasks[[#This Row],[_LeafProgress]]&lt;1,N(Tasks[[#This Row],[_LeafTotalSlack]])&lt;=CriticalSlackDays)</f>
        <v>0</v>
      </c>
      <c r="CG16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6" s="43" t="n">
        <f aca="false">IF(AND(Tasks[[#This Row],[_IsLeaf]]=1,Tasks[[#This Row],[_LeafWork]]&gt;0),NETWORKDAYS.INTL(ProjectStart,Tasks[[#This Row],[_LeafFcstStart]],WorkWeek,Holidays),0)</f>
        <v>0</v>
      </c>
      <c r="CP1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6" s="43" t="n">
        <f aca="false">IF(AND(Tasks[[#This Row],[_IsLeaf]]=1,Tasks[[#This Row],[_LeafWork]]&gt;0),Tasks[[#This Row],[_LeafWork]]/(Tasks[[#This Row],[_FinishWorkday]]-Tasks[[#This Row],[_StartWorkday]]+1),0)</f>
        <v>0</v>
      </c>
      <c r="CR166" s="43" t="n">
        <f aca="false">Tasks[[#This Row],[_WorkPerWorkday]]*(Tasks[[#This Row],[_StartWorkday]]-1)</f>
        <v>-0</v>
      </c>
      <c r="CS166" s="43" t="n">
        <f aca="false">IF(Tasks[[#This Row],[_IsLeaf]]=1,MAX(N(Tasks[[#This Row],[Duration]]),0.1),0)</f>
        <v>0</v>
      </c>
      <c r="CT166" s="43" t="n">
        <f aca="false">Tasks[[#This Row],[_WeightDur]]*Tasks[[#This Row],[_LeafProgress]]</f>
        <v>0</v>
      </c>
      <c r="CU1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6" s="43" t="str">
        <f aca="false">IF(AND(Tasks[[#This Row],[_IsLeaf]]=1,N(Tasks[[#This Row],[Duration]])=0,Tasks[[#This Row],[_LeafProgress]]&lt;1),Tasks[[#This Row],[_LeafFcstFinish]]+Tasks[[#This Row],[_Row]]/100000,"")</f>
        <v/>
      </c>
      <c r="DA1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6" s="43" t="n">
        <f aca="false">IF(NOT(Tasks[[#This Row],[_IsLeaf]]=1),0,IF(Tasks[[#This Row],[Baseline Cost]]="",Tasks[[#This Row],[_LeafCost]],N(Tasks[[#This Row],[Baseline Cost]])))</f>
        <v>0</v>
      </c>
      <c r="DC166" s="43" t="n">
        <f aca="false">Tasks[[#This Row],[_LeafBudget]]*Tasks[[#This Row],[_PlannedPct]]</f>
        <v>0</v>
      </c>
      <c r="DD166" s="43" t="n">
        <f aca="false">Tasks[[#This Row],[_LeafBudget]]*Tasks[[#This Row],[_LeafProgress]]</f>
        <v>0</v>
      </c>
      <c r="DE166" s="43" t="n">
        <f aca="false">IF(NOT(Tasks[[#This Row],[_IsLeaf]]=1),0,IF(Tasks[[#This Row],[Actual Cost]]="",Tasks[[#This Row],[_LeafCost]]*Tasks[[#This Row],[_LeafProgress]],N(Tasks[[#This Row],[Actual Cost]])))</f>
        <v>0</v>
      </c>
      <c r="DF166" s="43" t="str">
        <f aca="false">IF(Tasks[[#This Row],[Task Name]]="","",LEFT(Tasks[[#This Row],[WBS]],FIND(".",Tasks[[#This Row],[WBS]]&amp;".")-1))</f>
        <v/>
      </c>
      <c r="DG166" s="43" t="str">
        <f aca="false">IF(AND(Tasks[[#This Row],[Task Name]]&lt;&gt;"",Tasks[[#This Row],[_Level]]=1),Tasks[[#This Row],[_Row]],"")</f>
        <v/>
      </c>
      <c r="DH166" s="43" t="str">
        <f aca="false">IF(AND(Tasks[[#This Row],[_IsLeaf]]=1,N(Tasks[[#This Row],[Duration]])=0),Tasks[[#This Row],[Planned Finish]]+Tasks[[#This Row],[_Row]]/100000,"")</f>
        <v/>
      </c>
      <c r="DI1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6" s="43" t="str">
        <f aca="false">IF(Tasks[[#This Row],[_LeafCritical]],Tasks[[#This Row],[_LeafFcstStart]]+Tasks[[#This Row],[_Row]]/100000,"")</f>
        <v/>
      </c>
    </row>
    <row r="167" customFormat="false" ht="15" hidden="false" customHeight="false" outlineLevel="0" collapsed="false">
      <c r="A167" s="28" t="str">
        <f aca="false">IF(Tasks[[#This Row],[Task Name]]="","",COUNTA(Tasks[[#Headers],[Task Name]]:Tasks[[#This Row],[Task Name]])-1)</f>
        <v/>
      </c>
      <c r="B167" s="29" t="n">
        <v>162</v>
      </c>
      <c r="C1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29"/>
      <c r="E167" s="30"/>
      <c r="F167" s="29"/>
      <c r="G167" s="29"/>
      <c r="H167" s="29"/>
      <c r="I167" s="29"/>
      <c r="J167" s="29"/>
      <c r="K167" s="29"/>
      <c r="L167" s="29"/>
      <c r="M167" s="29"/>
      <c r="N167" s="53"/>
      <c r="O167" s="53"/>
      <c r="P167" s="25" t="str">
        <f aca="false">IF(Tasks[[#This Row],[Task Name]]="","",IF(N(Tasks[[#This Row],[Baseline Start]])&gt;0,Tasks[[#This Row],[Baseline Start]],Tasks[[#This Row],[_CalcStart]]))</f>
        <v/>
      </c>
      <c r="Q167" s="25" t="str">
        <f aca="false">IF(Tasks[[#This Row],[Task Name]]="","",IF(N(Tasks[[#This Row],[Baseline Finish]])&gt;0,Tasks[[#This Row],[Baseline Finish]],Tasks[[#This Row],[_CalcFinish]]))</f>
        <v/>
      </c>
      <c r="R167" s="53"/>
      <c r="S167" s="53"/>
      <c r="T1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55"/>
      <c r="AF16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30"/>
      <c r="AI167" s="55"/>
      <c r="AJ16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64"/>
      <c r="AM16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7" s="30"/>
      <c r="AP167" s="25" t="str">
        <f aca="false">IF(Tasks[[#This Row],[Task Name]]="","",Tasks[[#This Row],[Forecast Start]])</f>
        <v/>
      </c>
      <c r="AQ167" s="25" t="str">
        <f aca="false">IF(Tasks[[#This Row],[Task Name]]="","",Tasks[[#This Row],[Forecast Finish]])</f>
        <v/>
      </c>
      <c r="AR1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7" s="62" t="str">
        <f aca="false">IF(Tasks[[#This Row],[Task Name]]="","",Tasks[[#This Row],[Work]])</f>
        <v/>
      </c>
      <c r="AT167" s="63" t="str">
        <f aca="false">IF(Tasks[[#This Row],[Task Name]]="","",Tasks[[#This Row],[Cost]])</f>
        <v/>
      </c>
      <c r="AU167" s="53"/>
      <c r="AV167" s="53"/>
      <c r="AW167" s="29"/>
      <c r="AX167" s="65"/>
      <c r="AY167" s="64"/>
      <c r="AZ167" s="28" t="str">
        <f aca="false">IF(OR(Tasks[[#This Row],[Task Name]]="",Tasks[[#This Row],[Baseline Duration]]=""),"",Tasks[[#This Row],[BL Source Duration]]-N(Tasks[[#This Row],[Baseline Duration]]))</f>
        <v/>
      </c>
      <c r="BA167" s="62" t="str">
        <f aca="false">IF(OR(Tasks[[#This Row],[Task Name]]="",Tasks[[#This Row],[Baseline Work]]=""),"",Tasks[[#This Row],[Work]]-N(Tasks[[#This Row],[Baseline Work]]))</f>
        <v/>
      </c>
      <c r="BB167" s="63" t="str">
        <f aca="false">IF(OR(Tasks[[#This Row],[Task Name]]="",Tasks[[#This Row],[Baseline Cost]]=""),"",Tasks[[#This Row],[Cost]]-N(Tasks[[#This Row],[Baseline Cost]]))</f>
        <v/>
      </c>
      <c r="BC16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7" s="43" t="str">
        <f aca="false">IF(Tasks[[#This Row],[Task Name]]="","",MAX(1,N(Tasks[[#This Row],[Level]])))</f>
        <v/>
      </c>
      <c r="BH167" s="43" t="n">
        <f aca="false">ROW()-ROW(Tasks[[#Headers],[ID]])</f>
        <v>162</v>
      </c>
      <c r="BI1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7" s="43" t="n">
        <f aca="false">IFERROR(N(INDEX(Tasks[_Level],Tasks[[#This Row],[_Row]]+1)),0)</f>
        <v>0</v>
      </c>
      <c r="BK167" s="66" t="b">
        <f aca="false">AND(Tasks[[#This Row],[Task Name]]&lt;&gt;"",Tasks[[#This Row],[_NextLevel]]&gt;Tasks[[#This Row],[_Level]])</f>
        <v>0</v>
      </c>
      <c r="BL167" s="43" t="n">
        <f aca="false">IF(Tasks[[#This Row],[_IsSummary]],COUNTIF(Tasks[WBS],Tasks[[#This Row],[WBS]]&amp;".*"),0)</f>
        <v>0</v>
      </c>
      <c r="BM167" s="43" t="n">
        <f aca="false">IF(AND(Tasks[[#This Row],[Task Name]]&lt;&gt;"",NOT(Tasks[[#This Row],[_IsSummary]])),1,0)</f>
        <v>0</v>
      </c>
      <c r="BN167" s="43" t="n">
        <f aca="false">IF(N(Tasks[[#This Row],[Pred1 UID]])=0,0,IFERROR(MATCH(Tasks[[#This Row],[Pred1 UID]],Tasks[UID],0),-1))</f>
        <v>0</v>
      </c>
      <c r="BO167" s="43" t="n">
        <f aca="false">IF(N(Tasks[[#This Row],[Pred2 UID]])=0,0,IFERROR(MATCH(Tasks[[#This Row],[Pred2 UID]],Tasks[UID],0),-1))</f>
        <v>0</v>
      </c>
      <c r="BP16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7" s="43" t="n">
        <f aca="false">IF(NOT(Tasks[[#This Row],[_IsLeaf]]=1),0,IF(N(Tasks[[#This Row],[Actual Finish]])&gt;0,1,MIN(1,N(Tasks[[#This Row],[% Complete]]))))</f>
        <v>0</v>
      </c>
      <c r="BU1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7" s="43" t="n">
        <f aca="false">IF(Tasks[[#This Row],[_LeafWork]]=0,0,Tasks[[#This Row],[_LeafWork]]*IFERROR(INDEX(res_Rate,MATCH(Tasks[[#This Row],[Resource]],res_Name,0)),0))</f>
        <v>0</v>
      </c>
      <c r="BW1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7" s="43" t="n">
        <f aca="false">IF(NOT(Tasks[[#This Row],[_IsLeaf]]=1),0,MAX(_xlfn.MAXIFS(Tasks[_Row],Tasks[Pred1 UID],Tasks[[#This Row],[UID]]),_xlfn.MAXIFS(Tasks[_Row],Tasks[Pred2 UID],Tasks[[#This Row],[UID]])))</f>
        <v>0</v>
      </c>
      <c r="CB16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7" s="67" t="str">
        <f aca="false">IF(NOT(Tasks[[#This Row],[_IsLeaf]]=1),"",MIN(ProjectFinish,IF(N(Tasks[[#This Row],[Deadline]])&gt;0,Tasks[[#This Row],[Deadline]],2958465),Tasks[[#This Row],[_SuccessorFinishLimit]]))</f>
        <v/>
      </c>
      <c r="CD16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7" s="66" t="b">
        <f aca="false">AND(Tasks[[#This Row],[_IsLeaf]]=1,Tasks[[#This Row],[_LeafProgress]]&lt;1,N(Tasks[[#This Row],[_LeafTotalSlack]])&lt;=CriticalSlackDays)</f>
        <v>0</v>
      </c>
      <c r="CG16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7" s="43" t="n">
        <f aca="false">IF(AND(Tasks[[#This Row],[_IsLeaf]]=1,Tasks[[#This Row],[_LeafWork]]&gt;0),NETWORKDAYS.INTL(ProjectStart,Tasks[[#This Row],[_LeafFcstStart]],WorkWeek,Holidays),0)</f>
        <v>0</v>
      </c>
      <c r="CP1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7" s="43" t="n">
        <f aca="false">IF(AND(Tasks[[#This Row],[_IsLeaf]]=1,Tasks[[#This Row],[_LeafWork]]&gt;0),Tasks[[#This Row],[_LeafWork]]/(Tasks[[#This Row],[_FinishWorkday]]-Tasks[[#This Row],[_StartWorkday]]+1),0)</f>
        <v>0</v>
      </c>
      <c r="CR167" s="43" t="n">
        <f aca="false">Tasks[[#This Row],[_WorkPerWorkday]]*(Tasks[[#This Row],[_StartWorkday]]-1)</f>
        <v>-0</v>
      </c>
      <c r="CS167" s="43" t="n">
        <f aca="false">IF(Tasks[[#This Row],[_IsLeaf]]=1,MAX(N(Tasks[[#This Row],[Duration]]),0.1),0)</f>
        <v>0</v>
      </c>
      <c r="CT167" s="43" t="n">
        <f aca="false">Tasks[[#This Row],[_WeightDur]]*Tasks[[#This Row],[_LeafProgress]]</f>
        <v>0</v>
      </c>
      <c r="CU1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7" s="43" t="str">
        <f aca="false">IF(AND(Tasks[[#This Row],[_IsLeaf]]=1,N(Tasks[[#This Row],[Duration]])=0,Tasks[[#This Row],[_LeafProgress]]&lt;1),Tasks[[#This Row],[_LeafFcstFinish]]+Tasks[[#This Row],[_Row]]/100000,"")</f>
        <v/>
      </c>
      <c r="DA1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7" s="43" t="n">
        <f aca="false">IF(NOT(Tasks[[#This Row],[_IsLeaf]]=1),0,IF(Tasks[[#This Row],[Baseline Cost]]="",Tasks[[#This Row],[_LeafCost]],N(Tasks[[#This Row],[Baseline Cost]])))</f>
        <v>0</v>
      </c>
      <c r="DC167" s="43" t="n">
        <f aca="false">Tasks[[#This Row],[_LeafBudget]]*Tasks[[#This Row],[_PlannedPct]]</f>
        <v>0</v>
      </c>
      <c r="DD167" s="43" t="n">
        <f aca="false">Tasks[[#This Row],[_LeafBudget]]*Tasks[[#This Row],[_LeafProgress]]</f>
        <v>0</v>
      </c>
      <c r="DE167" s="43" t="n">
        <f aca="false">IF(NOT(Tasks[[#This Row],[_IsLeaf]]=1),0,IF(Tasks[[#This Row],[Actual Cost]]="",Tasks[[#This Row],[_LeafCost]]*Tasks[[#This Row],[_LeafProgress]],N(Tasks[[#This Row],[Actual Cost]])))</f>
        <v>0</v>
      </c>
      <c r="DF167" s="43" t="str">
        <f aca="false">IF(Tasks[[#This Row],[Task Name]]="","",LEFT(Tasks[[#This Row],[WBS]],FIND(".",Tasks[[#This Row],[WBS]]&amp;".")-1))</f>
        <v/>
      </c>
      <c r="DG167" s="43" t="str">
        <f aca="false">IF(AND(Tasks[[#This Row],[Task Name]]&lt;&gt;"",Tasks[[#This Row],[_Level]]=1),Tasks[[#This Row],[_Row]],"")</f>
        <v/>
      </c>
      <c r="DH167" s="43" t="str">
        <f aca="false">IF(AND(Tasks[[#This Row],[_IsLeaf]]=1,N(Tasks[[#This Row],[Duration]])=0),Tasks[[#This Row],[Planned Finish]]+Tasks[[#This Row],[_Row]]/100000,"")</f>
        <v/>
      </c>
      <c r="DI1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7" s="43" t="str">
        <f aca="false">IF(Tasks[[#This Row],[_LeafCritical]],Tasks[[#This Row],[_LeafFcstStart]]+Tasks[[#This Row],[_Row]]/100000,"")</f>
        <v/>
      </c>
    </row>
    <row r="168" customFormat="false" ht="15" hidden="false" customHeight="false" outlineLevel="0" collapsed="false">
      <c r="A168" s="28" t="str">
        <f aca="false">IF(Tasks[[#This Row],[Task Name]]="","",COUNTA(Tasks[[#Headers],[Task Name]]:Tasks[[#This Row],[Task Name]])-1)</f>
        <v/>
      </c>
      <c r="B168" s="29" t="n">
        <v>163</v>
      </c>
      <c r="C1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29"/>
      <c r="E168" s="30"/>
      <c r="F168" s="29"/>
      <c r="G168" s="29"/>
      <c r="H168" s="29"/>
      <c r="I168" s="29"/>
      <c r="J168" s="29"/>
      <c r="K168" s="29"/>
      <c r="L168" s="29"/>
      <c r="M168" s="29"/>
      <c r="N168" s="53"/>
      <c r="O168" s="53"/>
      <c r="P168" s="25" t="str">
        <f aca="false">IF(Tasks[[#This Row],[Task Name]]="","",IF(N(Tasks[[#This Row],[Baseline Start]])&gt;0,Tasks[[#This Row],[Baseline Start]],Tasks[[#This Row],[_CalcStart]]))</f>
        <v/>
      </c>
      <c r="Q168" s="25" t="str">
        <f aca="false">IF(Tasks[[#This Row],[Task Name]]="","",IF(N(Tasks[[#This Row],[Baseline Finish]])&gt;0,Tasks[[#This Row],[Baseline Finish]],Tasks[[#This Row],[_CalcFinish]]))</f>
        <v/>
      </c>
      <c r="R168" s="53"/>
      <c r="S168" s="53"/>
      <c r="T1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55"/>
      <c r="AF16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30"/>
      <c r="AI168" s="55"/>
      <c r="AJ16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64"/>
      <c r="AM16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8" s="30"/>
      <c r="AP168" s="25" t="str">
        <f aca="false">IF(Tasks[[#This Row],[Task Name]]="","",Tasks[[#This Row],[Forecast Start]])</f>
        <v/>
      </c>
      <c r="AQ168" s="25" t="str">
        <f aca="false">IF(Tasks[[#This Row],[Task Name]]="","",Tasks[[#This Row],[Forecast Finish]])</f>
        <v/>
      </c>
      <c r="AR1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8" s="62" t="str">
        <f aca="false">IF(Tasks[[#This Row],[Task Name]]="","",Tasks[[#This Row],[Work]])</f>
        <v/>
      </c>
      <c r="AT168" s="63" t="str">
        <f aca="false">IF(Tasks[[#This Row],[Task Name]]="","",Tasks[[#This Row],[Cost]])</f>
        <v/>
      </c>
      <c r="AU168" s="53"/>
      <c r="AV168" s="53"/>
      <c r="AW168" s="29"/>
      <c r="AX168" s="65"/>
      <c r="AY168" s="64"/>
      <c r="AZ168" s="28" t="str">
        <f aca="false">IF(OR(Tasks[[#This Row],[Task Name]]="",Tasks[[#This Row],[Baseline Duration]]=""),"",Tasks[[#This Row],[BL Source Duration]]-N(Tasks[[#This Row],[Baseline Duration]]))</f>
        <v/>
      </c>
      <c r="BA168" s="62" t="str">
        <f aca="false">IF(OR(Tasks[[#This Row],[Task Name]]="",Tasks[[#This Row],[Baseline Work]]=""),"",Tasks[[#This Row],[Work]]-N(Tasks[[#This Row],[Baseline Work]]))</f>
        <v/>
      </c>
      <c r="BB168" s="63" t="str">
        <f aca="false">IF(OR(Tasks[[#This Row],[Task Name]]="",Tasks[[#This Row],[Baseline Cost]]=""),"",Tasks[[#This Row],[Cost]]-N(Tasks[[#This Row],[Baseline Cost]]))</f>
        <v/>
      </c>
      <c r="BC16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8" s="43" t="str">
        <f aca="false">IF(Tasks[[#This Row],[Task Name]]="","",MAX(1,N(Tasks[[#This Row],[Level]])))</f>
        <v/>
      </c>
      <c r="BH168" s="43" t="n">
        <f aca="false">ROW()-ROW(Tasks[[#Headers],[ID]])</f>
        <v>163</v>
      </c>
      <c r="BI1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8" s="43" t="n">
        <f aca="false">IFERROR(N(INDEX(Tasks[_Level],Tasks[[#This Row],[_Row]]+1)),0)</f>
        <v>0</v>
      </c>
      <c r="BK168" s="66" t="b">
        <f aca="false">AND(Tasks[[#This Row],[Task Name]]&lt;&gt;"",Tasks[[#This Row],[_NextLevel]]&gt;Tasks[[#This Row],[_Level]])</f>
        <v>0</v>
      </c>
      <c r="BL168" s="43" t="n">
        <f aca="false">IF(Tasks[[#This Row],[_IsSummary]],COUNTIF(Tasks[WBS],Tasks[[#This Row],[WBS]]&amp;".*"),0)</f>
        <v>0</v>
      </c>
      <c r="BM168" s="43" t="n">
        <f aca="false">IF(AND(Tasks[[#This Row],[Task Name]]&lt;&gt;"",NOT(Tasks[[#This Row],[_IsSummary]])),1,0)</f>
        <v>0</v>
      </c>
      <c r="BN168" s="43" t="n">
        <f aca="false">IF(N(Tasks[[#This Row],[Pred1 UID]])=0,0,IFERROR(MATCH(Tasks[[#This Row],[Pred1 UID]],Tasks[UID],0),-1))</f>
        <v>0</v>
      </c>
      <c r="BO168" s="43" t="n">
        <f aca="false">IF(N(Tasks[[#This Row],[Pred2 UID]])=0,0,IFERROR(MATCH(Tasks[[#This Row],[Pred2 UID]],Tasks[UID],0),-1))</f>
        <v>0</v>
      </c>
      <c r="BP16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8" s="43" t="n">
        <f aca="false">IF(NOT(Tasks[[#This Row],[_IsLeaf]]=1),0,IF(N(Tasks[[#This Row],[Actual Finish]])&gt;0,1,MIN(1,N(Tasks[[#This Row],[% Complete]]))))</f>
        <v>0</v>
      </c>
      <c r="BU1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8" s="43" t="n">
        <f aca="false">IF(Tasks[[#This Row],[_LeafWork]]=0,0,Tasks[[#This Row],[_LeafWork]]*IFERROR(INDEX(res_Rate,MATCH(Tasks[[#This Row],[Resource]],res_Name,0)),0))</f>
        <v>0</v>
      </c>
      <c r="BW1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8" s="43" t="n">
        <f aca="false">IF(NOT(Tasks[[#This Row],[_IsLeaf]]=1),0,MAX(_xlfn.MAXIFS(Tasks[_Row],Tasks[Pred1 UID],Tasks[[#This Row],[UID]]),_xlfn.MAXIFS(Tasks[_Row],Tasks[Pred2 UID],Tasks[[#This Row],[UID]])))</f>
        <v>0</v>
      </c>
      <c r="CB16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8" s="67" t="str">
        <f aca="false">IF(NOT(Tasks[[#This Row],[_IsLeaf]]=1),"",MIN(ProjectFinish,IF(N(Tasks[[#This Row],[Deadline]])&gt;0,Tasks[[#This Row],[Deadline]],2958465),Tasks[[#This Row],[_SuccessorFinishLimit]]))</f>
        <v/>
      </c>
      <c r="CD16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8" s="66" t="b">
        <f aca="false">AND(Tasks[[#This Row],[_IsLeaf]]=1,Tasks[[#This Row],[_LeafProgress]]&lt;1,N(Tasks[[#This Row],[_LeafTotalSlack]])&lt;=CriticalSlackDays)</f>
        <v>0</v>
      </c>
      <c r="CG16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8" s="43" t="n">
        <f aca="false">IF(AND(Tasks[[#This Row],[_IsLeaf]]=1,Tasks[[#This Row],[_LeafWork]]&gt;0),NETWORKDAYS.INTL(ProjectStart,Tasks[[#This Row],[_LeafFcstStart]],WorkWeek,Holidays),0)</f>
        <v>0</v>
      </c>
      <c r="CP1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8" s="43" t="n">
        <f aca="false">IF(AND(Tasks[[#This Row],[_IsLeaf]]=1,Tasks[[#This Row],[_LeafWork]]&gt;0),Tasks[[#This Row],[_LeafWork]]/(Tasks[[#This Row],[_FinishWorkday]]-Tasks[[#This Row],[_StartWorkday]]+1),0)</f>
        <v>0</v>
      </c>
      <c r="CR168" s="43" t="n">
        <f aca="false">Tasks[[#This Row],[_WorkPerWorkday]]*(Tasks[[#This Row],[_StartWorkday]]-1)</f>
        <v>-0</v>
      </c>
      <c r="CS168" s="43" t="n">
        <f aca="false">IF(Tasks[[#This Row],[_IsLeaf]]=1,MAX(N(Tasks[[#This Row],[Duration]]),0.1),0)</f>
        <v>0</v>
      </c>
      <c r="CT168" s="43" t="n">
        <f aca="false">Tasks[[#This Row],[_WeightDur]]*Tasks[[#This Row],[_LeafProgress]]</f>
        <v>0</v>
      </c>
      <c r="CU1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8" s="43" t="str">
        <f aca="false">IF(AND(Tasks[[#This Row],[_IsLeaf]]=1,N(Tasks[[#This Row],[Duration]])=0,Tasks[[#This Row],[_LeafProgress]]&lt;1),Tasks[[#This Row],[_LeafFcstFinish]]+Tasks[[#This Row],[_Row]]/100000,"")</f>
        <v/>
      </c>
      <c r="DA1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8" s="43" t="n">
        <f aca="false">IF(NOT(Tasks[[#This Row],[_IsLeaf]]=1),0,IF(Tasks[[#This Row],[Baseline Cost]]="",Tasks[[#This Row],[_LeafCost]],N(Tasks[[#This Row],[Baseline Cost]])))</f>
        <v>0</v>
      </c>
      <c r="DC168" s="43" t="n">
        <f aca="false">Tasks[[#This Row],[_LeafBudget]]*Tasks[[#This Row],[_PlannedPct]]</f>
        <v>0</v>
      </c>
      <c r="DD168" s="43" t="n">
        <f aca="false">Tasks[[#This Row],[_LeafBudget]]*Tasks[[#This Row],[_LeafProgress]]</f>
        <v>0</v>
      </c>
      <c r="DE168" s="43" t="n">
        <f aca="false">IF(NOT(Tasks[[#This Row],[_IsLeaf]]=1),0,IF(Tasks[[#This Row],[Actual Cost]]="",Tasks[[#This Row],[_LeafCost]]*Tasks[[#This Row],[_LeafProgress]],N(Tasks[[#This Row],[Actual Cost]])))</f>
        <v>0</v>
      </c>
      <c r="DF168" s="43" t="str">
        <f aca="false">IF(Tasks[[#This Row],[Task Name]]="","",LEFT(Tasks[[#This Row],[WBS]],FIND(".",Tasks[[#This Row],[WBS]]&amp;".")-1))</f>
        <v/>
      </c>
      <c r="DG168" s="43" t="str">
        <f aca="false">IF(AND(Tasks[[#This Row],[Task Name]]&lt;&gt;"",Tasks[[#This Row],[_Level]]=1),Tasks[[#This Row],[_Row]],"")</f>
        <v/>
      </c>
      <c r="DH168" s="43" t="str">
        <f aca="false">IF(AND(Tasks[[#This Row],[_IsLeaf]]=1,N(Tasks[[#This Row],[Duration]])=0),Tasks[[#This Row],[Planned Finish]]+Tasks[[#This Row],[_Row]]/100000,"")</f>
        <v/>
      </c>
      <c r="DI1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8" s="43" t="str">
        <f aca="false">IF(Tasks[[#This Row],[_LeafCritical]],Tasks[[#This Row],[_LeafFcstStart]]+Tasks[[#This Row],[_Row]]/100000,"")</f>
        <v/>
      </c>
    </row>
    <row r="169" customFormat="false" ht="15" hidden="false" customHeight="false" outlineLevel="0" collapsed="false">
      <c r="A169" s="28" t="str">
        <f aca="false">IF(Tasks[[#This Row],[Task Name]]="","",COUNTA(Tasks[[#Headers],[Task Name]]:Tasks[[#This Row],[Task Name]])-1)</f>
        <v/>
      </c>
      <c r="B169" s="29" t="n">
        <v>164</v>
      </c>
      <c r="C1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29"/>
      <c r="E169" s="30"/>
      <c r="F169" s="29"/>
      <c r="G169" s="29"/>
      <c r="H169" s="29"/>
      <c r="I169" s="29"/>
      <c r="J169" s="29"/>
      <c r="K169" s="29"/>
      <c r="L169" s="29"/>
      <c r="M169" s="29"/>
      <c r="N169" s="53"/>
      <c r="O169" s="53"/>
      <c r="P169" s="25" t="str">
        <f aca="false">IF(Tasks[[#This Row],[Task Name]]="","",IF(N(Tasks[[#This Row],[Baseline Start]])&gt;0,Tasks[[#This Row],[Baseline Start]],Tasks[[#This Row],[_CalcStart]]))</f>
        <v/>
      </c>
      <c r="Q169" s="25" t="str">
        <f aca="false">IF(Tasks[[#This Row],[Task Name]]="","",IF(N(Tasks[[#This Row],[Baseline Finish]])&gt;0,Tasks[[#This Row],[Baseline Finish]],Tasks[[#This Row],[_CalcFinish]]))</f>
        <v/>
      </c>
      <c r="R169" s="53"/>
      <c r="S169" s="53"/>
      <c r="T1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55"/>
      <c r="AF16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30"/>
      <c r="AI169" s="55"/>
      <c r="AJ16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64"/>
      <c r="AM16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69" s="30"/>
      <c r="AP169" s="25" t="str">
        <f aca="false">IF(Tasks[[#This Row],[Task Name]]="","",Tasks[[#This Row],[Forecast Start]])</f>
        <v/>
      </c>
      <c r="AQ169" s="25" t="str">
        <f aca="false">IF(Tasks[[#This Row],[Task Name]]="","",Tasks[[#This Row],[Forecast Finish]])</f>
        <v/>
      </c>
      <c r="AR1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69" s="62" t="str">
        <f aca="false">IF(Tasks[[#This Row],[Task Name]]="","",Tasks[[#This Row],[Work]])</f>
        <v/>
      </c>
      <c r="AT169" s="63" t="str">
        <f aca="false">IF(Tasks[[#This Row],[Task Name]]="","",Tasks[[#This Row],[Cost]])</f>
        <v/>
      </c>
      <c r="AU169" s="53"/>
      <c r="AV169" s="53"/>
      <c r="AW169" s="29"/>
      <c r="AX169" s="65"/>
      <c r="AY169" s="64"/>
      <c r="AZ169" s="28" t="str">
        <f aca="false">IF(OR(Tasks[[#This Row],[Task Name]]="",Tasks[[#This Row],[Baseline Duration]]=""),"",Tasks[[#This Row],[BL Source Duration]]-N(Tasks[[#This Row],[Baseline Duration]]))</f>
        <v/>
      </c>
      <c r="BA169" s="62" t="str">
        <f aca="false">IF(OR(Tasks[[#This Row],[Task Name]]="",Tasks[[#This Row],[Baseline Work]]=""),"",Tasks[[#This Row],[Work]]-N(Tasks[[#This Row],[Baseline Work]]))</f>
        <v/>
      </c>
      <c r="BB169" s="63" t="str">
        <f aca="false">IF(OR(Tasks[[#This Row],[Task Name]]="",Tasks[[#This Row],[Baseline Cost]]=""),"",Tasks[[#This Row],[Cost]]-N(Tasks[[#This Row],[Baseline Cost]]))</f>
        <v/>
      </c>
      <c r="BC16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6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6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6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69" s="43" t="str">
        <f aca="false">IF(Tasks[[#This Row],[Task Name]]="","",MAX(1,N(Tasks[[#This Row],[Level]])))</f>
        <v/>
      </c>
      <c r="BH169" s="43" t="n">
        <f aca="false">ROW()-ROW(Tasks[[#Headers],[ID]])</f>
        <v>164</v>
      </c>
      <c r="BI1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69" s="43" t="n">
        <f aca="false">IFERROR(N(INDEX(Tasks[_Level],Tasks[[#This Row],[_Row]]+1)),0)</f>
        <v>0</v>
      </c>
      <c r="BK169" s="66" t="b">
        <f aca="false">AND(Tasks[[#This Row],[Task Name]]&lt;&gt;"",Tasks[[#This Row],[_NextLevel]]&gt;Tasks[[#This Row],[_Level]])</f>
        <v>0</v>
      </c>
      <c r="BL169" s="43" t="n">
        <f aca="false">IF(Tasks[[#This Row],[_IsSummary]],COUNTIF(Tasks[WBS],Tasks[[#This Row],[WBS]]&amp;".*"),0)</f>
        <v>0</v>
      </c>
      <c r="BM169" s="43" t="n">
        <f aca="false">IF(AND(Tasks[[#This Row],[Task Name]]&lt;&gt;"",NOT(Tasks[[#This Row],[_IsSummary]])),1,0)</f>
        <v>0</v>
      </c>
      <c r="BN169" s="43" t="n">
        <f aca="false">IF(N(Tasks[[#This Row],[Pred1 UID]])=0,0,IFERROR(MATCH(Tasks[[#This Row],[Pred1 UID]],Tasks[UID],0),-1))</f>
        <v>0</v>
      </c>
      <c r="BO169" s="43" t="n">
        <f aca="false">IF(N(Tasks[[#This Row],[Pred2 UID]])=0,0,IFERROR(MATCH(Tasks[[#This Row],[Pred2 UID]],Tasks[UID],0),-1))</f>
        <v>0</v>
      </c>
      <c r="BP16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6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6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6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69" s="43" t="n">
        <f aca="false">IF(NOT(Tasks[[#This Row],[_IsLeaf]]=1),0,IF(N(Tasks[[#This Row],[Actual Finish]])&gt;0,1,MIN(1,N(Tasks[[#This Row],[% Complete]]))))</f>
        <v>0</v>
      </c>
      <c r="BU1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69" s="43" t="n">
        <f aca="false">IF(Tasks[[#This Row],[_LeafWork]]=0,0,Tasks[[#This Row],[_LeafWork]]*IFERROR(INDEX(res_Rate,MATCH(Tasks[[#This Row],[Resource]],res_Name,0)),0))</f>
        <v>0</v>
      </c>
      <c r="BW1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69" s="43" t="n">
        <f aca="false">IF(NOT(Tasks[[#This Row],[_IsLeaf]]=1),0,MAX(_xlfn.MAXIFS(Tasks[_Row],Tasks[Pred1 UID],Tasks[[#This Row],[UID]]),_xlfn.MAXIFS(Tasks[_Row],Tasks[Pred2 UID],Tasks[[#This Row],[UID]])))</f>
        <v>0</v>
      </c>
      <c r="CB16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69" s="67" t="str">
        <f aca="false">IF(NOT(Tasks[[#This Row],[_IsLeaf]]=1),"",MIN(ProjectFinish,IF(N(Tasks[[#This Row],[Deadline]])&gt;0,Tasks[[#This Row],[Deadline]],2958465),Tasks[[#This Row],[_SuccessorFinishLimit]]))</f>
        <v/>
      </c>
      <c r="CD16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69" s="66" t="b">
        <f aca="false">AND(Tasks[[#This Row],[_IsLeaf]]=1,Tasks[[#This Row],[_LeafProgress]]&lt;1,N(Tasks[[#This Row],[_LeafTotalSlack]])&lt;=CriticalSlackDays)</f>
        <v>0</v>
      </c>
      <c r="CG16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6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6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6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6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6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69" s="43" t="n">
        <f aca="false">IF(AND(Tasks[[#This Row],[_IsLeaf]]=1,Tasks[[#This Row],[_LeafWork]]&gt;0),NETWORKDAYS.INTL(ProjectStart,Tasks[[#This Row],[_LeafFcstStart]],WorkWeek,Holidays),0)</f>
        <v>0</v>
      </c>
      <c r="CP1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69" s="43" t="n">
        <f aca="false">IF(AND(Tasks[[#This Row],[_IsLeaf]]=1,Tasks[[#This Row],[_LeafWork]]&gt;0),Tasks[[#This Row],[_LeafWork]]/(Tasks[[#This Row],[_FinishWorkday]]-Tasks[[#This Row],[_StartWorkday]]+1),0)</f>
        <v>0</v>
      </c>
      <c r="CR169" s="43" t="n">
        <f aca="false">Tasks[[#This Row],[_WorkPerWorkday]]*(Tasks[[#This Row],[_StartWorkday]]-1)</f>
        <v>-0</v>
      </c>
      <c r="CS169" s="43" t="n">
        <f aca="false">IF(Tasks[[#This Row],[_IsLeaf]]=1,MAX(N(Tasks[[#This Row],[Duration]]),0.1),0)</f>
        <v>0</v>
      </c>
      <c r="CT169" s="43" t="n">
        <f aca="false">Tasks[[#This Row],[_WeightDur]]*Tasks[[#This Row],[_LeafProgress]]</f>
        <v>0</v>
      </c>
      <c r="CU1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69" s="43" t="str">
        <f aca="false">IF(AND(Tasks[[#This Row],[_IsLeaf]]=1,N(Tasks[[#This Row],[Duration]])=0,Tasks[[#This Row],[_LeafProgress]]&lt;1),Tasks[[#This Row],[_LeafFcstFinish]]+Tasks[[#This Row],[_Row]]/100000,"")</f>
        <v/>
      </c>
      <c r="DA1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69" s="43" t="n">
        <f aca="false">IF(NOT(Tasks[[#This Row],[_IsLeaf]]=1),0,IF(Tasks[[#This Row],[Baseline Cost]]="",Tasks[[#This Row],[_LeafCost]],N(Tasks[[#This Row],[Baseline Cost]])))</f>
        <v>0</v>
      </c>
      <c r="DC169" s="43" t="n">
        <f aca="false">Tasks[[#This Row],[_LeafBudget]]*Tasks[[#This Row],[_PlannedPct]]</f>
        <v>0</v>
      </c>
      <c r="DD169" s="43" t="n">
        <f aca="false">Tasks[[#This Row],[_LeafBudget]]*Tasks[[#This Row],[_LeafProgress]]</f>
        <v>0</v>
      </c>
      <c r="DE169" s="43" t="n">
        <f aca="false">IF(NOT(Tasks[[#This Row],[_IsLeaf]]=1),0,IF(Tasks[[#This Row],[Actual Cost]]="",Tasks[[#This Row],[_LeafCost]]*Tasks[[#This Row],[_LeafProgress]],N(Tasks[[#This Row],[Actual Cost]])))</f>
        <v>0</v>
      </c>
      <c r="DF169" s="43" t="str">
        <f aca="false">IF(Tasks[[#This Row],[Task Name]]="","",LEFT(Tasks[[#This Row],[WBS]],FIND(".",Tasks[[#This Row],[WBS]]&amp;".")-1))</f>
        <v/>
      </c>
      <c r="DG169" s="43" t="str">
        <f aca="false">IF(AND(Tasks[[#This Row],[Task Name]]&lt;&gt;"",Tasks[[#This Row],[_Level]]=1),Tasks[[#This Row],[_Row]],"")</f>
        <v/>
      </c>
      <c r="DH169" s="43" t="str">
        <f aca="false">IF(AND(Tasks[[#This Row],[_IsLeaf]]=1,N(Tasks[[#This Row],[Duration]])=0),Tasks[[#This Row],[Planned Finish]]+Tasks[[#This Row],[_Row]]/100000,"")</f>
        <v/>
      </c>
      <c r="DI1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69" s="43" t="str">
        <f aca="false">IF(Tasks[[#This Row],[_LeafCritical]],Tasks[[#This Row],[_LeafFcstStart]]+Tasks[[#This Row],[_Row]]/100000,"")</f>
        <v/>
      </c>
    </row>
    <row r="170" customFormat="false" ht="15" hidden="false" customHeight="false" outlineLevel="0" collapsed="false">
      <c r="A170" s="28" t="str">
        <f aca="false">IF(Tasks[[#This Row],[Task Name]]="","",COUNTA(Tasks[[#Headers],[Task Name]]:Tasks[[#This Row],[Task Name]])-1)</f>
        <v/>
      </c>
      <c r="B170" s="29" t="n">
        <v>165</v>
      </c>
      <c r="C1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29"/>
      <c r="E170" s="30"/>
      <c r="F170" s="29"/>
      <c r="G170" s="29"/>
      <c r="H170" s="29"/>
      <c r="I170" s="29"/>
      <c r="J170" s="29"/>
      <c r="K170" s="29"/>
      <c r="L170" s="29"/>
      <c r="M170" s="29"/>
      <c r="N170" s="53"/>
      <c r="O170" s="53"/>
      <c r="P170" s="25" t="str">
        <f aca="false">IF(Tasks[[#This Row],[Task Name]]="","",IF(N(Tasks[[#This Row],[Baseline Start]])&gt;0,Tasks[[#This Row],[Baseline Start]],Tasks[[#This Row],[_CalcStart]]))</f>
        <v/>
      </c>
      <c r="Q170" s="25" t="str">
        <f aca="false">IF(Tasks[[#This Row],[Task Name]]="","",IF(N(Tasks[[#This Row],[Baseline Finish]])&gt;0,Tasks[[#This Row],[Baseline Finish]],Tasks[[#This Row],[_CalcFinish]]))</f>
        <v/>
      </c>
      <c r="R170" s="53"/>
      <c r="S170" s="53"/>
      <c r="T1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55"/>
      <c r="AF17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30"/>
      <c r="AI170" s="55"/>
      <c r="AJ17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64"/>
      <c r="AM17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0" s="30"/>
      <c r="AP170" s="25" t="str">
        <f aca="false">IF(Tasks[[#This Row],[Task Name]]="","",Tasks[[#This Row],[Forecast Start]])</f>
        <v/>
      </c>
      <c r="AQ170" s="25" t="str">
        <f aca="false">IF(Tasks[[#This Row],[Task Name]]="","",Tasks[[#This Row],[Forecast Finish]])</f>
        <v/>
      </c>
      <c r="AR1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0" s="62" t="str">
        <f aca="false">IF(Tasks[[#This Row],[Task Name]]="","",Tasks[[#This Row],[Work]])</f>
        <v/>
      </c>
      <c r="AT170" s="63" t="str">
        <f aca="false">IF(Tasks[[#This Row],[Task Name]]="","",Tasks[[#This Row],[Cost]])</f>
        <v/>
      </c>
      <c r="AU170" s="53"/>
      <c r="AV170" s="53"/>
      <c r="AW170" s="29"/>
      <c r="AX170" s="65"/>
      <c r="AY170" s="64"/>
      <c r="AZ170" s="28" t="str">
        <f aca="false">IF(OR(Tasks[[#This Row],[Task Name]]="",Tasks[[#This Row],[Baseline Duration]]=""),"",Tasks[[#This Row],[BL Source Duration]]-N(Tasks[[#This Row],[Baseline Duration]]))</f>
        <v/>
      </c>
      <c r="BA170" s="62" t="str">
        <f aca="false">IF(OR(Tasks[[#This Row],[Task Name]]="",Tasks[[#This Row],[Baseline Work]]=""),"",Tasks[[#This Row],[Work]]-N(Tasks[[#This Row],[Baseline Work]]))</f>
        <v/>
      </c>
      <c r="BB170" s="63" t="str">
        <f aca="false">IF(OR(Tasks[[#This Row],[Task Name]]="",Tasks[[#This Row],[Baseline Cost]]=""),"",Tasks[[#This Row],[Cost]]-N(Tasks[[#This Row],[Baseline Cost]]))</f>
        <v/>
      </c>
      <c r="BC17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0" s="43" t="str">
        <f aca="false">IF(Tasks[[#This Row],[Task Name]]="","",MAX(1,N(Tasks[[#This Row],[Level]])))</f>
        <v/>
      </c>
      <c r="BH170" s="43" t="n">
        <f aca="false">ROW()-ROW(Tasks[[#Headers],[ID]])</f>
        <v>165</v>
      </c>
      <c r="BI1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0" s="43" t="n">
        <f aca="false">IFERROR(N(INDEX(Tasks[_Level],Tasks[[#This Row],[_Row]]+1)),0)</f>
        <v>0</v>
      </c>
      <c r="BK170" s="66" t="b">
        <f aca="false">AND(Tasks[[#This Row],[Task Name]]&lt;&gt;"",Tasks[[#This Row],[_NextLevel]]&gt;Tasks[[#This Row],[_Level]])</f>
        <v>0</v>
      </c>
      <c r="BL170" s="43" t="n">
        <f aca="false">IF(Tasks[[#This Row],[_IsSummary]],COUNTIF(Tasks[WBS],Tasks[[#This Row],[WBS]]&amp;".*"),0)</f>
        <v>0</v>
      </c>
      <c r="BM170" s="43" t="n">
        <f aca="false">IF(AND(Tasks[[#This Row],[Task Name]]&lt;&gt;"",NOT(Tasks[[#This Row],[_IsSummary]])),1,0)</f>
        <v>0</v>
      </c>
      <c r="BN170" s="43" t="n">
        <f aca="false">IF(N(Tasks[[#This Row],[Pred1 UID]])=0,0,IFERROR(MATCH(Tasks[[#This Row],[Pred1 UID]],Tasks[UID],0),-1))</f>
        <v>0</v>
      </c>
      <c r="BO170" s="43" t="n">
        <f aca="false">IF(N(Tasks[[#This Row],[Pred2 UID]])=0,0,IFERROR(MATCH(Tasks[[#This Row],[Pred2 UID]],Tasks[UID],0),-1))</f>
        <v>0</v>
      </c>
      <c r="BP17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0" s="43" t="n">
        <f aca="false">IF(NOT(Tasks[[#This Row],[_IsLeaf]]=1),0,IF(N(Tasks[[#This Row],[Actual Finish]])&gt;0,1,MIN(1,N(Tasks[[#This Row],[% Complete]]))))</f>
        <v>0</v>
      </c>
      <c r="BU1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0" s="43" t="n">
        <f aca="false">IF(Tasks[[#This Row],[_LeafWork]]=0,0,Tasks[[#This Row],[_LeafWork]]*IFERROR(INDEX(res_Rate,MATCH(Tasks[[#This Row],[Resource]],res_Name,0)),0))</f>
        <v>0</v>
      </c>
      <c r="BW1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0" s="43" t="n">
        <f aca="false">IF(NOT(Tasks[[#This Row],[_IsLeaf]]=1),0,MAX(_xlfn.MAXIFS(Tasks[_Row],Tasks[Pred1 UID],Tasks[[#This Row],[UID]]),_xlfn.MAXIFS(Tasks[_Row],Tasks[Pred2 UID],Tasks[[#This Row],[UID]])))</f>
        <v>0</v>
      </c>
      <c r="CB17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0" s="67" t="str">
        <f aca="false">IF(NOT(Tasks[[#This Row],[_IsLeaf]]=1),"",MIN(ProjectFinish,IF(N(Tasks[[#This Row],[Deadline]])&gt;0,Tasks[[#This Row],[Deadline]],2958465),Tasks[[#This Row],[_SuccessorFinishLimit]]))</f>
        <v/>
      </c>
      <c r="CD17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0" s="66" t="b">
        <f aca="false">AND(Tasks[[#This Row],[_IsLeaf]]=1,Tasks[[#This Row],[_LeafProgress]]&lt;1,N(Tasks[[#This Row],[_LeafTotalSlack]])&lt;=CriticalSlackDays)</f>
        <v>0</v>
      </c>
      <c r="CG17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0" s="43" t="n">
        <f aca="false">IF(AND(Tasks[[#This Row],[_IsLeaf]]=1,Tasks[[#This Row],[_LeafWork]]&gt;0),NETWORKDAYS.INTL(ProjectStart,Tasks[[#This Row],[_LeafFcstStart]],WorkWeek,Holidays),0)</f>
        <v>0</v>
      </c>
      <c r="CP1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0" s="43" t="n">
        <f aca="false">IF(AND(Tasks[[#This Row],[_IsLeaf]]=1,Tasks[[#This Row],[_LeafWork]]&gt;0),Tasks[[#This Row],[_LeafWork]]/(Tasks[[#This Row],[_FinishWorkday]]-Tasks[[#This Row],[_StartWorkday]]+1),0)</f>
        <v>0</v>
      </c>
      <c r="CR170" s="43" t="n">
        <f aca="false">Tasks[[#This Row],[_WorkPerWorkday]]*(Tasks[[#This Row],[_StartWorkday]]-1)</f>
        <v>-0</v>
      </c>
      <c r="CS170" s="43" t="n">
        <f aca="false">IF(Tasks[[#This Row],[_IsLeaf]]=1,MAX(N(Tasks[[#This Row],[Duration]]),0.1),0)</f>
        <v>0</v>
      </c>
      <c r="CT170" s="43" t="n">
        <f aca="false">Tasks[[#This Row],[_WeightDur]]*Tasks[[#This Row],[_LeafProgress]]</f>
        <v>0</v>
      </c>
      <c r="CU1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0" s="43" t="str">
        <f aca="false">IF(AND(Tasks[[#This Row],[_IsLeaf]]=1,N(Tasks[[#This Row],[Duration]])=0,Tasks[[#This Row],[_LeafProgress]]&lt;1),Tasks[[#This Row],[_LeafFcstFinish]]+Tasks[[#This Row],[_Row]]/100000,"")</f>
        <v/>
      </c>
      <c r="DA1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0" s="43" t="n">
        <f aca="false">IF(NOT(Tasks[[#This Row],[_IsLeaf]]=1),0,IF(Tasks[[#This Row],[Baseline Cost]]="",Tasks[[#This Row],[_LeafCost]],N(Tasks[[#This Row],[Baseline Cost]])))</f>
        <v>0</v>
      </c>
      <c r="DC170" s="43" t="n">
        <f aca="false">Tasks[[#This Row],[_LeafBudget]]*Tasks[[#This Row],[_PlannedPct]]</f>
        <v>0</v>
      </c>
      <c r="DD170" s="43" t="n">
        <f aca="false">Tasks[[#This Row],[_LeafBudget]]*Tasks[[#This Row],[_LeafProgress]]</f>
        <v>0</v>
      </c>
      <c r="DE170" s="43" t="n">
        <f aca="false">IF(NOT(Tasks[[#This Row],[_IsLeaf]]=1),0,IF(Tasks[[#This Row],[Actual Cost]]="",Tasks[[#This Row],[_LeafCost]]*Tasks[[#This Row],[_LeafProgress]],N(Tasks[[#This Row],[Actual Cost]])))</f>
        <v>0</v>
      </c>
      <c r="DF170" s="43" t="str">
        <f aca="false">IF(Tasks[[#This Row],[Task Name]]="","",LEFT(Tasks[[#This Row],[WBS]],FIND(".",Tasks[[#This Row],[WBS]]&amp;".")-1))</f>
        <v/>
      </c>
      <c r="DG170" s="43" t="str">
        <f aca="false">IF(AND(Tasks[[#This Row],[Task Name]]&lt;&gt;"",Tasks[[#This Row],[_Level]]=1),Tasks[[#This Row],[_Row]],"")</f>
        <v/>
      </c>
      <c r="DH170" s="43" t="str">
        <f aca="false">IF(AND(Tasks[[#This Row],[_IsLeaf]]=1,N(Tasks[[#This Row],[Duration]])=0),Tasks[[#This Row],[Planned Finish]]+Tasks[[#This Row],[_Row]]/100000,"")</f>
        <v/>
      </c>
      <c r="DI1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0" s="43" t="str">
        <f aca="false">IF(Tasks[[#This Row],[_LeafCritical]],Tasks[[#This Row],[_LeafFcstStart]]+Tasks[[#This Row],[_Row]]/100000,"")</f>
        <v/>
      </c>
    </row>
    <row r="171" customFormat="false" ht="15" hidden="false" customHeight="false" outlineLevel="0" collapsed="false">
      <c r="A171" s="28" t="str">
        <f aca="false">IF(Tasks[[#This Row],[Task Name]]="","",COUNTA(Tasks[[#Headers],[Task Name]]:Tasks[[#This Row],[Task Name]])-1)</f>
        <v/>
      </c>
      <c r="B171" s="29" t="n">
        <v>166</v>
      </c>
      <c r="C1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29"/>
      <c r="E171" s="30"/>
      <c r="F171" s="29"/>
      <c r="G171" s="29"/>
      <c r="H171" s="29"/>
      <c r="I171" s="29"/>
      <c r="J171" s="29"/>
      <c r="K171" s="29"/>
      <c r="L171" s="29"/>
      <c r="M171" s="29"/>
      <c r="N171" s="53"/>
      <c r="O171" s="53"/>
      <c r="P171" s="25" t="str">
        <f aca="false">IF(Tasks[[#This Row],[Task Name]]="","",IF(N(Tasks[[#This Row],[Baseline Start]])&gt;0,Tasks[[#This Row],[Baseline Start]],Tasks[[#This Row],[_CalcStart]]))</f>
        <v/>
      </c>
      <c r="Q171" s="25" t="str">
        <f aca="false">IF(Tasks[[#This Row],[Task Name]]="","",IF(N(Tasks[[#This Row],[Baseline Finish]])&gt;0,Tasks[[#This Row],[Baseline Finish]],Tasks[[#This Row],[_CalcFinish]]))</f>
        <v/>
      </c>
      <c r="R171" s="53"/>
      <c r="S171" s="53"/>
      <c r="T1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55"/>
      <c r="AF17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30"/>
      <c r="AI171" s="55"/>
      <c r="AJ17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64"/>
      <c r="AM17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1" s="30"/>
      <c r="AP171" s="25" t="str">
        <f aca="false">IF(Tasks[[#This Row],[Task Name]]="","",Tasks[[#This Row],[Forecast Start]])</f>
        <v/>
      </c>
      <c r="AQ171" s="25" t="str">
        <f aca="false">IF(Tasks[[#This Row],[Task Name]]="","",Tasks[[#This Row],[Forecast Finish]])</f>
        <v/>
      </c>
      <c r="AR1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1" s="62" t="str">
        <f aca="false">IF(Tasks[[#This Row],[Task Name]]="","",Tasks[[#This Row],[Work]])</f>
        <v/>
      </c>
      <c r="AT171" s="63" t="str">
        <f aca="false">IF(Tasks[[#This Row],[Task Name]]="","",Tasks[[#This Row],[Cost]])</f>
        <v/>
      </c>
      <c r="AU171" s="53"/>
      <c r="AV171" s="53"/>
      <c r="AW171" s="29"/>
      <c r="AX171" s="65"/>
      <c r="AY171" s="64"/>
      <c r="AZ171" s="28" t="str">
        <f aca="false">IF(OR(Tasks[[#This Row],[Task Name]]="",Tasks[[#This Row],[Baseline Duration]]=""),"",Tasks[[#This Row],[BL Source Duration]]-N(Tasks[[#This Row],[Baseline Duration]]))</f>
        <v/>
      </c>
      <c r="BA171" s="62" t="str">
        <f aca="false">IF(OR(Tasks[[#This Row],[Task Name]]="",Tasks[[#This Row],[Baseline Work]]=""),"",Tasks[[#This Row],[Work]]-N(Tasks[[#This Row],[Baseline Work]]))</f>
        <v/>
      </c>
      <c r="BB171" s="63" t="str">
        <f aca="false">IF(OR(Tasks[[#This Row],[Task Name]]="",Tasks[[#This Row],[Baseline Cost]]=""),"",Tasks[[#This Row],[Cost]]-N(Tasks[[#This Row],[Baseline Cost]]))</f>
        <v/>
      </c>
      <c r="BC17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1" s="43" t="str">
        <f aca="false">IF(Tasks[[#This Row],[Task Name]]="","",MAX(1,N(Tasks[[#This Row],[Level]])))</f>
        <v/>
      </c>
      <c r="BH171" s="43" t="n">
        <f aca="false">ROW()-ROW(Tasks[[#Headers],[ID]])</f>
        <v>166</v>
      </c>
      <c r="BI1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1" s="43" t="n">
        <f aca="false">IFERROR(N(INDEX(Tasks[_Level],Tasks[[#This Row],[_Row]]+1)),0)</f>
        <v>0</v>
      </c>
      <c r="BK171" s="66" t="b">
        <f aca="false">AND(Tasks[[#This Row],[Task Name]]&lt;&gt;"",Tasks[[#This Row],[_NextLevel]]&gt;Tasks[[#This Row],[_Level]])</f>
        <v>0</v>
      </c>
      <c r="BL171" s="43" t="n">
        <f aca="false">IF(Tasks[[#This Row],[_IsSummary]],COUNTIF(Tasks[WBS],Tasks[[#This Row],[WBS]]&amp;".*"),0)</f>
        <v>0</v>
      </c>
      <c r="BM171" s="43" t="n">
        <f aca="false">IF(AND(Tasks[[#This Row],[Task Name]]&lt;&gt;"",NOT(Tasks[[#This Row],[_IsSummary]])),1,0)</f>
        <v>0</v>
      </c>
      <c r="BN171" s="43" t="n">
        <f aca="false">IF(N(Tasks[[#This Row],[Pred1 UID]])=0,0,IFERROR(MATCH(Tasks[[#This Row],[Pred1 UID]],Tasks[UID],0),-1))</f>
        <v>0</v>
      </c>
      <c r="BO171" s="43" t="n">
        <f aca="false">IF(N(Tasks[[#This Row],[Pred2 UID]])=0,0,IFERROR(MATCH(Tasks[[#This Row],[Pred2 UID]],Tasks[UID],0),-1))</f>
        <v>0</v>
      </c>
      <c r="BP17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1" s="43" t="n">
        <f aca="false">IF(NOT(Tasks[[#This Row],[_IsLeaf]]=1),0,IF(N(Tasks[[#This Row],[Actual Finish]])&gt;0,1,MIN(1,N(Tasks[[#This Row],[% Complete]]))))</f>
        <v>0</v>
      </c>
      <c r="BU1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1" s="43" t="n">
        <f aca="false">IF(Tasks[[#This Row],[_LeafWork]]=0,0,Tasks[[#This Row],[_LeafWork]]*IFERROR(INDEX(res_Rate,MATCH(Tasks[[#This Row],[Resource]],res_Name,0)),0))</f>
        <v>0</v>
      </c>
      <c r="BW1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1" s="43" t="n">
        <f aca="false">IF(NOT(Tasks[[#This Row],[_IsLeaf]]=1),0,MAX(_xlfn.MAXIFS(Tasks[_Row],Tasks[Pred1 UID],Tasks[[#This Row],[UID]]),_xlfn.MAXIFS(Tasks[_Row],Tasks[Pred2 UID],Tasks[[#This Row],[UID]])))</f>
        <v>0</v>
      </c>
      <c r="CB17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1" s="67" t="str">
        <f aca="false">IF(NOT(Tasks[[#This Row],[_IsLeaf]]=1),"",MIN(ProjectFinish,IF(N(Tasks[[#This Row],[Deadline]])&gt;0,Tasks[[#This Row],[Deadline]],2958465),Tasks[[#This Row],[_SuccessorFinishLimit]]))</f>
        <v/>
      </c>
      <c r="CD17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1" s="66" t="b">
        <f aca="false">AND(Tasks[[#This Row],[_IsLeaf]]=1,Tasks[[#This Row],[_LeafProgress]]&lt;1,N(Tasks[[#This Row],[_LeafTotalSlack]])&lt;=CriticalSlackDays)</f>
        <v>0</v>
      </c>
      <c r="CG17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1" s="43" t="n">
        <f aca="false">IF(AND(Tasks[[#This Row],[_IsLeaf]]=1,Tasks[[#This Row],[_LeafWork]]&gt;0),NETWORKDAYS.INTL(ProjectStart,Tasks[[#This Row],[_LeafFcstStart]],WorkWeek,Holidays),0)</f>
        <v>0</v>
      </c>
      <c r="CP1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1" s="43" t="n">
        <f aca="false">IF(AND(Tasks[[#This Row],[_IsLeaf]]=1,Tasks[[#This Row],[_LeafWork]]&gt;0),Tasks[[#This Row],[_LeafWork]]/(Tasks[[#This Row],[_FinishWorkday]]-Tasks[[#This Row],[_StartWorkday]]+1),0)</f>
        <v>0</v>
      </c>
      <c r="CR171" s="43" t="n">
        <f aca="false">Tasks[[#This Row],[_WorkPerWorkday]]*(Tasks[[#This Row],[_StartWorkday]]-1)</f>
        <v>-0</v>
      </c>
      <c r="CS171" s="43" t="n">
        <f aca="false">IF(Tasks[[#This Row],[_IsLeaf]]=1,MAX(N(Tasks[[#This Row],[Duration]]),0.1),0)</f>
        <v>0</v>
      </c>
      <c r="CT171" s="43" t="n">
        <f aca="false">Tasks[[#This Row],[_WeightDur]]*Tasks[[#This Row],[_LeafProgress]]</f>
        <v>0</v>
      </c>
      <c r="CU1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1" s="43" t="str">
        <f aca="false">IF(AND(Tasks[[#This Row],[_IsLeaf]]=1,N(Tasks[[#This Row],[Duration]])=0,Tasks[[#This Row],[_LeafProgress]]&lt;1),Tasks[[#This Row],[_LeafFcstFinish]]+Tasks[[#This Row],[_Row]]/100000,"")</f>
        <v/>
      </c>
      <c r="DA1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1" s="43" t="n">
        <f aca="false">IF(NOT(Tasks[[#This Row],[_IsLeaf]]=1),0,IF(Tasks[[#This Row],[Baseline Cost]]="",Tasks[[#This Row],[_LeafCost]],N(Tasks[[#This Row],[Baseline Cost]])))</f>
        <v>0</v>
      </c>
      <c r="DC171" s="43" t="n">
        <f aca="false">Tasks[[#This Row],[_LeafBudget]]*Tasks[[#This Row],[_PlannedPct]]</f>
        <v>0</v>
      </c>
      <c r="DD171" s="43" t="n">
        <f aca="false">Tasks[[#This Row],[_LeafBudget]]*Tasks[[#This Row],[_LeafProgress]]</f>
        <v>0</v>
      </c>
      <c r="DE171" s="43" t="n">
        <f aca="false">IF(NOT(Tasks[[#This Row],[_IsLeaf]]=1),0,IF(Tasks[[#This Row],[Actual Cost]]="",Tasks[[#This Row],[_LeafCost]]*Tasks[[#This Row],[_LeafProgress]],N(Tasks[[#This Row],[Actual Cost]])))</f>
        <v>0</v>
      </c>
      <c r="DF171" s="43" t="str">
        <f aca="false">IF(Tasks[[#This Row],[Task Name]]="","",LEFT(Tasks[[#This Row],[WBS]],FIND(".",Tasks[[#This Row],[WBS]]&amp;".")-1))</f>
        <v/>
      </c>
      <c r="DG171" s="43" t="str">
        <f aca="false">IF(AND(Tasks[[#This Row],[Task Name]]&lt;&gt;"",Tasks[[#This Row],[_Level]]=1),Tasks[[#This Row],[_Row]],"")</f>
        <v/>
      </c>
      <c r="DH171" s="43" t="str">
        <f aca="false">IF(AND(Tasks[[#This Row],[_IsLeaf]]=1,N(Tasks[[#This Row],[Duration]])=0),Tasks[[#This Row],[Planned Finish]]+Tasks[[#This Row],[_Row]]/100000,"")</f>
        <v/>
      </c>
      <c r="DI1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1" s="43" t="str">
        <f aca="false">IF(Tasks[[#This Row],[_LeafCritical]],Tasks[[#This Row],[_LeafFcstStart]]+Tasks[[#This Row],[_Row]]/100000,"")</f>
        <v/>
      </c>
    </row>
    <row r="172" customFormat="false" ht="15" hidden="false" customHeight="false" outlineLevel="0" collapsed="false">
      <c r="A172" s="28" t="str">
        <f aca="false">IF(Tasks[[#This Row],[Task Name]]="","",COUNTA(Tasks[[#Headers],[Task Name]]:Tasks[[#This Row],[Task Name]])-1)</f>
        <v/>
      </c>
      <c r="B172" s="29" t="n">
        <v>167</v>
      </c>
      <c r="C1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29"/>
      <c r="E172" s="30"/>
      <c r="F172" s="29"/>
      <c r="G172" s="29"/>
      <c r="H172" s="29"/>
      <c r="I172" s="29"/>
      <c r="J172" s="29"/>
      <c r="K172" s="29"/>
      <c r="L172" s="29"/>
      <c r="M172" s="29"/>
      <c r="N172" s="53"/>
      <c r="O172" s="53"/>
      <c r="P172" s="25" t="str">
        <f aca="false">IF(Tasks[[#This Row],[Task Name]]="","",IF(N(Tasks[[#This Row],[Baseline Start]])&gt;0,Tasks[[#This Row],[Baseline Start]],Tasks[[#This Row],[_CalcStart]]))</f>
        <v/>
      </c>
      <c r="Q172" s="25" t="str">
        <f aca="false">IF(Tasks[[#This Row],[Task Name]]="","",IF(N(Tasks[[#This Row],[Baseline Finish]])&gt;0,Tasks[[#This Row],[Baseline Finish]],Tasks[[#This Row],[_CalcFinish]]))</f>
        <v/>
      </c>
      <c r="R172" s="53"/>
      <c r="S172" s="53"/>
      <c r="T1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55"/>
      <c r="AF17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30"/>
      <c r="AI172" s="55"/>
      <c r="AJ17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64"/>
      <c r="AM17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2" s="30"/>
      <c r="AP172" s="25" t="str">
        <f aca="false">IF(Tasks[[#This Row],[Task Name]]="","",Tasks[[#This Row],[Forecast Start]])</f>
        <v/>
      </c>
      <c r="AQ172" s="25" t="str">
        <f aca="false">IF(Tasks[[#This Row],[Task Name]]="","",Tasks[[#This Row],[Forecast Finish]])</f>
        <v/>
      </c>
      <c r="AR1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2" s="62" t="str">
        <f aca="false">IF(Tasks[[#This Row],[Task Name]]="","",Tasks[[#This Row],[Work]])</f>
        <v/>
      </c>
      <c r="AT172" s="63" t="str">
        <f aca="false">IF(Tasks[[#This Row],[Task Name]]="","",Tasks[[#This Row],[Cost]])</f>
        <v/>
      </c>
      <c r="AU172" s="53"/>
      <c r="AV172" s="53"/>
      <c r="AW172" s="29"/>
      <c r="AX172" s="65"/>
      <c r="AY172" s="64"/>
      <c r="AZ172" s="28" t="str">
        <f aca="false">IF(OR(Tasks[[#This Row],[Task Name]]="",Tasks[[#This Row],[Baseline Duration]]=""),"",Tasks[[#This Row],[BL Source Duration]]-N(Tasks[[#This Row],[Baseline Duration]]))</f>
        <v/>
      </c>
      <c r="BA172" s="62" t="str">
        <f aca="false">IF(OR(Tasks[[#This Row],[Task Name]]="",Tasks[[#This Row],[Baseline Work]]=""),"",Tasks[[#This Row],[Work]]-N(Tasks[[#This Row],[Baseline Work]]))</f>
        <v/>
      </c>
      <c r="BB172" s="63" t="str">
        <f aca="false">IF(OR(Tasks[[#This Row],[Task Name]]="",Tasks[[#This Row],[Baseline Cost]]=""),"",Tasks[[#This Row],[Cost]]-N(Tasks[[#This Row],[Baseline Cost]]))</f>
        <v/>
      </c>
      <c r="BC17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2" s="43" t="str">
        <f aca="false">IF(Tasks[[#This Row],[Task Name]]="","",MAX(1,N(Tasks[[#This Row],[Level]])))</f>
        <v/>
      </c>
      <c r="BH172" s="43" t="n">
        <f aca="false">ROW()-ROW(Tasks[[#Headers],[ID]])</f>
        <v>167</v>
      </c>
      <c r="BI1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2" s="43" t="n">
        <f aca="false">IFERROR(N(INDEX(Tasks[_Level],Tasks[[#This Row],[_Row]]+1)),0)</f>
        <v>0</v>
      </c>
      <c r="BK172" s="66" t="b">
        <f aca="false">AND(Tasks[[#This Row],[Task Name]]&lt;&gt;"",Tasks[[#This Row],[_NextLevel]]&gt;Tasks[[#This Row],[_Level]])</f>
        <v>0</v>
      </c>
      <c r="BL172" s="43" t="n">
        <f aca="false">IF(Tasks[[#This Row],[_IsSummary]],COUNTIF(Tasks[WBS],Tasks[[#This Row],[WBS]]&amp;".*"),0)</f>
        <v>0</v>
      </c>
      <c r="BM172" s="43" t="n">
        <f aca="false">IF(AND(Tasks[[#This Row],[Task Name]]&lt;&gt;"",NOT(Tasks[[#This Row],[_IsSummary]])),1,0)</f>
        <v>0</v>
      </c>
      <c r="BN172" s="43" t="n">
        <f aca="false">IF(N(Tasks[[#This Row],[Pred1 UID]])=0,0,IFERROR(MATCH(Tasks[[#This Row],[Pred1 UID]],Tasks[UID],0),-1))</f>
        <v>0</v>
      </c>
      <c r="BO172" s="43" t="n">
        <f aca="false">IF(N(Tasks[[#This Row],[Pred2 UID]])=0,0,IFERROR(MATCH(Tasks[[#This Row],[Pred2 UID]],Tasks[UID],0),-1))</f>
        <v>0</v>
      </c>
      <c r="BP17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2" s="43" t="n">
        <f aca="false">IF(NOT(Tasks[[#This Row],[_IsLeaf]]=1),0,IF(N(Tasks[[#This Row],[Actual Finish]])&gt;0,1,MIN(1,N(Tasks[[#This Row],[% Complete]]))))</f>
        <v>0</v>
      </c>
      <c r="BU1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2" s="43" t="n">
        <f aca="false">IF(Tasks[[#This Row],[_LeafWork]]=0,0,Tasks[[#This Row],[_LeafWork]]*IFERROR(INDEX(res_Rate,MATCH(Tasks[[#This Row],[Resource]],res_Name,0)),0))</f>
        <v>0</v>
      </c>
      <c r="BW1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2" s="43" t="n">
        <f aca="false">IF(NOT(Tasks[[#This Row],[_IsLeaf]]=1),0,MAX(_xlfn.MAXIFS(Tasks[_Row],Tasks[Pred1 UID],Tasks[[#This Row],[UID]]),_xlfn.MAXIFS(Tasks[_Row],Tasks[Pred2 UID],Tasks[[#This Row],[UID]])))</f>
        <v>0</v>
      </c>
      <c r="CB17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2" s="67" t="str">
        <f aca="false">IF(NOT(Tasks[[#This Row],[_IsLeaf]]=1),"",MIN(ProjectFinish,IF(N(Tasks[[#This Row],[Deadline]])&gt;0,Tasks[[#This Row],[Deadline]],2958465),Tasks[[#This Row],[_SuccessorFinishLimit]]))</f>
        <v/>
      </c>
      <c r="CD17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2" s="66" t="b">
        <f aca="false">AND(Tasks[[#This Row],[_IsLeaf]]=1,Tasks[[#This Row],[_LeafProgress]]&lt;1,N(Tasks[[#This Row],[_LeafTotalSlack]])&lt;=CriticalSlackDays)</f>
        <v>0</v>
      </c>
      <c r="CG17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2" s="43" t="n">
        <f aca="false">IF(AND(Tasks[[#This Row],[_IsLeaf]]=1,Tasks[[#This Row],[_LeafWork]]&gt;0),NETWORKDAYS.INTL(ProjectStart,Tasks[[#This Row],[_LeafFcstStart]],WorkWeek,Holidays),0)</f>
        <v>0</v>
      </c>
      <c r="CP1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2" s="43" t="n">
        <f aca="false">IF(AND(Tasks[[#This Row],[_IsLeaf]]=1,Tasks[[#This Row],[_LeafWork]]&gt;0),Tasks[[#This Row],[_LeafWork]]/(Tasks[[#This Row],[_FinishWorkday]]-Tasks[[#This Row],[_StartWorkday]]+1),0)</f>
        <v>0</v>
      </c>
      <c r="CR172" s="43" t="n">
        <f aca="false">Tasks[[#This Row],[_WorkPerWorkday]]*(Tasks[[#This Row],[_StartWorkday]]-1)</f>
        <v>-0</v>
      </c>
      <c r="CS172" s="43" t="n">
        <f aca="false">IF(Tasks[[#This Row],[_IsLeaf]]=1,MAX(N(Tasks[[#This Row],[Duration]]),0.1),0)</f>
        <v>0</v>
      </c>
      <c r="CT172" s="43" t="n">
        <f aca="false">Tasks[[#This Row],[_WeightDur]]*Tasks[[#This Row],[_LeafProgress]]</f>
        <v>0</v>
      </c>
      <c r="CU1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2" s="43" t="str">
        <f aca="false">IF(AND(Tasks[[#This Row],[_IsLeaf]]=1,N(Tasks[[#This Row],[Duration]])=0,Tasks[[#This Row],[_LeafProgress]]&lt;1),Tasks[[#This Row],[_LeafFcstFinish]]+Tasks[[#This Row],[_Row]]/100000,"")</f>
        <v/>
      </c>
      <c r="DA1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2" s="43" t="n">
        <f aca="false">IF(NOT(Tasks[[#This Row],[_IsLeaf]]=1),0,IF(Tasks[[#This Row],[Baseline Cost]]="",Tasks[[#This Row],[_LeafCost]],N(Tasks[[#This Row],[Baseline Cost]])))</f>
        <v>0</v>
      </c>
      <c r="DC172" s="43" t="n">
        <f aca="false">Tasks[[#This Row],[_LeafBudget]]*Tasks[[#This Row],[_PlannedPct]]</f>
        <v>0</v>
      </c>
      <c r="DD172" s="43" t="n">
        <f aca="false">Tasks[[#This Row],[_LeafBudget]]*Tasks[[#This Row],[_LeafProgress]]</f>
        <v>0</v>
      </c>
      <c r="DE172" s="43" t="n">
        <f aca="false">IF(NOT(Tasks[[#This Row],[_IsLeaf]]=1),0,IF(Tasks[[#This Row],[Actual Cost]]="",Tasks[[#This Row],[_LeafCost]]*Tasks[[#This Row],[_LeafProgress]],N(Tasks[[#This Row],[Actual Cost]])))</f>
        <v>0</v>
      </c>
      <c r="DF172" s="43" t="str">
        <f aca="false">IF(Tasks[[#This Row],[Task Name]]="","",LEFT(Tasks[[#This Row],[WBS]],FIND(".",Tasks[[#This Row],[WBS]]&amp;".")-1))</f>
        <v/>
      </c>
      <c r="DG172" s="43" t="str">
        <f aca="false">IF(AND(Tasks[[#This Row],[Task Name]]&lt;&gt;"",Tasks[[#This Row],[_Level]]=1),Tasks[[#This Row],[_Row]],"")</f>
        <v/>
      </c>
      <c r="DH172" s="43" t="str">
        <f aca="false">IF(AND(Tasks[[#This Row],[_IsLeaf]]=1,N(Tasks[[#This Row],[Duration]])=0),Tasks[[#This Row],[Planned Finish]]+Tasks[[#This Row],[_Row]]/100000,"")</f>
        <v/>
      </c>
      <c r="DI1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2" s="43" t="str">
        <f aca="false">IF(Tasks[[#This Row],[_LeafCritical]],Tasks[[#This Row],[_LeafFcstStart]]+Tasks[[#This Row],[_Row]]/100000,"")</f>
        <v/>
      </c>
    </row>
    <row r="173" customFormat="false" ht="15" hidden="false" customHeight="false" outlineLevel="0" collapsed="false">
      <c r="A173" s="28" t="str">
        <f aca="false">IF(Tasks[[#This Row],[Task Name]]="","",COUNTA(Tasks[[#Headers],[Task Name]]:Tasks[[#This Row],[Task Name]])-1)</f>
        <v/>
      </c>
      <c r="B173" s="29" t="n">
        <v>168</v>
      </c>
      <c r="C1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29"/>
      <c r="E173" s="30"/>
      <c r="F173" s="29"/>
      <c r="G173" s="29"/>
      <c r="H173" s="29"/>
      <c r="I173" s="29"/>
      <c r="J173" s="29"/>
      <c r="K173" s="29"/>
      <c r="L173" s="29"/>
      <c r="M173" s="29"/>
      <c r="N173" s="53"/>
      <c r="O173" s="53"/>
      <c r="P173" s="25" t="str">
        <f aca="false">IF(Tasks[[#This Row],[Task Name]]="","",IF(N(Tasks[[#This Row],[Baseline Start]])&gt;0,Tasks[[#This Row],[Baseline Start]],Tasks[[#This Row],[_CalcStart]]))</f>
        <v/>
      </c>
      <c r="Q173" s="25" t="str">
        <f aca="false">IF(Tasks[[#This Row],[Task Name]]="","",IF(N(Tasks[[#This Row],[Baseline Finish]])&gt;0,Tasks[[#This Row],[Baseline Finish]],Tasks[[#This Row],[_CalcFinish]]))</f>
        <v/>
      </c>
      <c r="R173" s="53"/>
      <c r="S173" s="53"/>
      <c r="T1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55"/>
      <c r="AF17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30"/>
      <c r="AI173" s="55"/>
      <c r="AJ17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64"/>
      <c r="AM17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3" s="30"/>
      <c r="AP173" s="25" t="str">
        <f aca="false">IF(Tasks[[#This Row],[Task Name]]="","",Tasks[[#This Row],[Forecast Start]])</f>
        <v/>
      </c>
      <c r="AQ173" s="25" t="str">
        <f aca="false">IF(Tasks[[#This Row],[Task Name]]="","",Tasks[[#This Row],[Forecast Finish]])</f>
        <v/>
      </c>
      <c r="AR1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3" s="62" t="str">
        <f aca="false">IF(Tasks[[#This Row],[Task Name]]="","",Tasks[[#This Row],[Work]])</f>
        <v/>
      </c>
      <c r="AT173" s="63" t="str">
        <f aca="false">IF(Tasks[[#This Row],[Task Name]]="","",Tasks[[#This Row],[Cost]])</f>
        <v/>
      </c>
      <c r="AU173" s="53"/>
      <c r="AV173" s="53"/>
      <c r="AW173" s="29"/>
      <c r="AX173" s="65"/>
      <c r="AY173" s="64"/>
      <c r="AZ173" s="28" t="str">
        <f aca="false">IF(OR(Tasks[[#This Row],[Task Name]]="",Tasks[[#This Row],[Baseline Duration]]=""),"",Tasks[[#This Row],[BL Source Duration]]-N(Tasks[[#This Row],[Baseline Duration]]))</f>
        <v/>
      </c>
      <c r="BA173" s="62" t="str">
        <f aca="false">IF(OR(Tasks[[#This Row],[Task Name]]="",Tasks[[#This Row],[Baseline Work]]=""),"",Tasks[[#This Row],[Work]]-N(Tasks[[#This Row],[Baseline Work]]))</f>
        <v/>
      </c>
      <c r="BB173" s="63" t="str">
        <f aca="false">IF(OR(Tasks[[#This Row],[Task Name]]="",Tasks[[#This Row],[Baseline Cost]]=""),"",Tasks[[#This Row],[Cost]]-N(Tasks[[#This Row],[Baseline Cost]]))</f>
        <v/>
      </c>
      <c r="BC17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3" s="43" t="str">
        <f aca="false">IF(Tasks[[#This Row],[Task Name]]="","",MAX(1,N(Tasks[[#This Row],[Level]])))</f>
        <v/>
      </c>
      <c r="BH173" s="43" t="n">
        <f aca="false">ROW()-ROW(Tasks[[#Headers],[ID]])</f>
        <v>168</v>
      </c>
      <c r="BI1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3" s="43" t="n">
        <f aca="false">IFERROR(N(INDEX(Tasks[_Level],Tasks[[#This Row],[_Row]]+1)),0)</f>
        <v>0</v>
      </c>
      <c r="BK173" s="66" t="b">
        <f aca="false">AND(Tasks[[#This Row],[Task Name]]&lt;&gt;"",Tasks[[#This Row],[_NextLevel]]&gt;Tasks[[#This Row],[_Level]])</f>
        <v>0</v>
      </c>
      <c r="BL173" s="43" t="n">
        <f aca="false">IF(Tasks[[#This Row],[_IsSummary]],COUNTIF(Tasks[WBS],Tasks[[#This Row],[WBS]]&amp;".*"),0)</f>
        <v>0</v>
      </c>
      <c r="BM173" s="43" t="n">
        <f aca="false">IF(AND(Tasks[[#This Row],[Task Name]]&lt;&gt;"",NOT(Tasks[[#This Row],[_IsSummary]])),1,0)</f>
        <v>0</v>
      </c>
      <c r="BN173" s="43" t="n">
        <f aca="false">IF(N(Tasks[[#This Row],[Pred1 UID]])=0,0,IFERROR(MATCH(Tasks[[#This Row],[Pred1 UID]],Tasks[UID],0),-1))</f>
        <v>0</v>
      </c>
      <c r="BO173" s="43" t="n">
        <f aca="false">IF(N(Tasks[[#This Row],[Pred2 UID]])=0,0,IFERROR(MATCH(Tasks[[#This Row],[Pred2 UID]],Tasks[UID],0),-1))</f>
        <v>0</v>
      </c>
      <c r="BP17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3" s="43" t="n">
        <f aca="false">IF(NOT(Tasks[[#This Row],[_IsLeaf]]=1),0,IF(N(Tasks[[#This Row],[Actual Finish]])&gt;0,1,MIN(1,N(Tasks[[#This Row],[% Complete]]))))</f>
        <v>0</v>
      </c>
      <c r="BU1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3" s="43" t="n">
        <f aca="false">IF(Tasks[[#This Row],[_LeafWork]]=0,0,Tasks[[#This Row],[_LeafWork]]*IFERROR(INDEX(res_Rate,MATCH(Tasks[[#This Row],[Resource]],res_Name,0)),0))</f>
        <v>0</v>
      </c>
      <c r="BW1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3" s="43" t="n">
        <f aca="false">IF(NOT(Tasks[[#This Row],[_IsLeaf]]=1),0,MAX(_xlfn.MAXIFS(Tasks[_Row],Tasks[Pred1 UID],Tasks[[#This Row],[UID]]),_xlfn.MAXIFS(Tasks[_Row],Tasks[Pred2 UID],Tasks[[#This Row],[UID]])))</f>
        <v>0</v>
      </c>
      <c r="CB17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3" s="67" t="str">
        <f aca="false">IF(NOT(Tasks[[#This Row],[_IsLeaf]]=1),"",MIN(ProjectFinish,IF(N(Tasks[[#This Row],[Deadline]])&gt;0,Tasks[[#This Row],[Deadline]],2958465),Tasks[[#This Row],[_SuccessorFinishLimit]]))</f>
        <v/>
      </c>
      <c r="CD17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3" s="66" t="b">
        <f aca="false">AND(Tasks[[#This Row],[_IsLeaf]]=1,Tasks[[#This Row],[_LeafProgress]]&lt;1,N(Tasks[[#This Row],[_LeafTotalSlack]])&lt;=CriticalSlackDays)</f>
        <v>0</v>
      </c>
      <c r="CG17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3" s="43" t="n">
        <f aca="false">IF(AND(Tasks[[#This Row],[_IsLeaf]]=1,Tasks[[#This Row],[_LeafWork]]&gt;0),NETWORKDAYS.INTL(ProjectStart,Tasks[[#This Row],[_LeafFcstStart]],WorkWeek,Holidays),0)</f>
        <v>0</v>
      </c>
      <c r="CP1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3" s="43" t="n">
        <f aca="false">IF(AND(Tasks[[#This Row],[_IsLeaf]]=1,Tasks[[#This Row],[_LeafWork]]&gt;0),Tasks[[#This Row],[_LeafWork]]/(Tasks[[#This Row],[_FinishWorkday]]-Tasks[[#This Row],[_StartWorkday]]+1),0)</f>
        <v>0</v>
      </c>
      <c r="CR173" s="43" t="n">
        <f aca="false">Tasks[[#This Row],[_WorkPerWorkday]]*(Tasks[[#This Row],[_StartWorkday]]-1)</f>
        <v>-0</v>
      </c>
      <c r="CS173" s="43" t="n">
        <f aca="false">IF(Tasks[[#This Row],[_IsLeaf]]=1,MAX(N(Tasks[[#This Row],[Duration]]),0.1),0)</f>
        <v>0</v>
      </c>
      <c r="CT173" s="43" t="n">
        <f aca="false">Tasks[[#This Row],[_WeightDur]]*Tasks[[#This Row],[_LeafProgress]]</f>
        <v>0</v>
      </c>
      <c r="CU1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3" s="43" t="str">
        <f aca="false">IF(AND(Tasks[[#This Row],[_IsLeaf]]=1,N(Tasks[[#This Row],[Duration]])=0,Tasks[[#This Row],[_LeafProgress]]&lt;1),Tasks[[#This Row],[_LeafFcstFinish]]+Tasks[[#This Row],[_Row]]/100000,"")</f>
        <v/>
      </c>
      <c r="DA1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3" s="43" t="n">
        <f aca="false">IF(NOT(Tasks[[#This Row],[_IsLeaf]]=1),0,IF(Tasks[[#This Row],[Baseline Cost]]="",Tasks[[#This Row],[_LeafCost]],N(Tasks[[#This Row],[Baseline Cost]])))</f>
        <v>0</v>
      </c>
      <c r="DC173" s="43" t="n">
        <f aca="false">Tasks[[#This Row],[_LeafBudget]]*Tasks[[#This Row],[_PlannedPct]]</f>
        <v>0</v>
      </c>
      <c r="DD173" s="43" t="n">
        <f aca="false">Tasks[[#This Row],[_LeafBudget]]*Tasks[[#This Row],[_LeafProgress]]</f>
        <v>0</v>
      </c>
      <c r="DE173" s="43" t="n">
        <f aca="false">IF(NOT(Tasks[[#This Row],[_IsLeaf]]=1),0,IF(Tasks[[#This Row],[Actual Cost]]="",Tasks[[#This Row],[_LeafCost]]*Tasks[[#This Row],[_LeafProgress]],N(Tasks[[#This Row],[Actual Cost]])))</f>
        <v>0</v>
      </c>
      <c r="DF173" s="43" t="str">
        <f aca="false">IF(Tasks[[#This Row],[Task Name]]="","",LEFT(Tasks[[#This Row],[WBS]],FIND(".",Tasks[[#This Row],[WBS]]&amp;".")-1))</f>
        <v/>
      </c>
      <c r="DG173" s="43" t="str">
        <f aca="false">IF(AND(Tasks[[#This Row],[Task Name]]&lt;&gt;"",Tasks[[#This Row],[_Level]]=1),Tasks[[#This Row],[_Row]],"")</f>
        <v/>
      </c>
      <c r="DH173" s="43" t="str">
        <f aca="false">IF(AND(Tasks[[#This Row],[_IsLeaf]]=1,N(Tasks[[#This Row],[Duration]])=0),Tasks[[#This Row],[Planned Finish]]+Tasks[[#This Row],[_Row]]/100000,"")</f>
        <v/>
      </c>
      <c r="DI1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3" s="43" t="str">
        <f aca="false">IF(Tasks[[#This Row],[_LeafCritical]],Tasks[[#This Row],[_LeafFcstStart]]+Tasks[[#This Row],[_Row]]/100000,"")</f>
        <v/>
      </c>
    </row>
    <row r="174" customFormat="false" ht="15" hidden="false" customHeight="false" outlineLevel="0" collapsed="false">
      <c r="A174" s="28" t="str">
        <f aca="false">IF(Tasks[[#This Row],[Task Name]]="","",COUNTA(Tasks[[#Headers],[Task Name]]:Tasks[[#This Row],[Task Name]])-1)</f>
        <v/>
      </c>
      <c r="B174" s="29" t="n">
        <v>169</v>
      </c>
      <c r="C1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29"/>
      <c r="E174" s="30"/>
      <c r="F174" s="29"/>
      <c r="G174" s="29"/>
      <c r="H174" s="29"/>
      <c r="I174" s="29"/>
      <c r="J174" s="29"/>
      <c r="K174" s="29"/>
      <c r="L174" s="29"/>
      <c r="M174" s="29"/>
      <c r="N174" s="53"/>
      <c r="O174" s="53"/>
      <c r="P174" s="25" t="str">
        <f aca="false">IF(Tasks[[#This Row],[Task Name]]="","",IF(N(Tasks[[#This Row],[Baseline Start]])&gt;0,Tasks[[#This Row],[Baseline Start]],Tasks[[#This Row],[_CalcStart]]))</f>
        <v/>
      </c>
      <c r="Q174" s="25" t="str">
        <f aca="false">IF(Tasks[[#This Row],[Task Name]]="","",IF(N(Tasks[[#This Row],[Baseline Finish]])&gt;0,Tasks[[#This Row],[Baseline Finish]],Tasks[[#This Row],[_CalcFinish]]))</f>
        <v/>
      </c>
      <c r="R174" s="53"/>
      <c r="S174" s="53"/>
      <c r="T1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55"/>
      <c r="AF17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30"/>
      <c r="AI174" s="55"/>
      <c r="AJ17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64"/>
      <c r="AM17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4" s="30"/>
      <c r="AP174" s="25" t="str">
        <f aca="false">IF(Tasks[[#This Row],[Task Name]]="","",Tasks[[#This Row],[Forecast Start]])</f>
        <v/>
      </c>
      <c r="AQ174" s="25" t="str">
        <f aca="false">IF(Tasks[[#This Row],[Task Name]]="","",Tasks[[#This Row],[Forecast Finish]])</f>
        <v/>
      </c>
      <c r="AR1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4" s="62" t="str">
        <f aca="false">IF(Tasks[[#This Row],[Task Name]]="","",Tasks[[#This Row],[Work]])</f>
        <v/>
      </c>
      <c r="AT174" s="63" t="str">
        <f aca="false">IF(Tasks[[#This Row],[Task Name]]="","",Tasks[[#This Row],[Cost]])</f>
        <v/>
      </c>
      <c r="AU174" s="53"/>
      <c r="AV174" s="53"/>
      <c r="AW174" s="29"/>
      <c r="AX174" s="65"/>
      <c r="AY174" s="64"/>
      <c r="AZ174" s="28" t="str">
        <f aca="false">IF(OR(Tasks[[#This Row],[Task Name]]="",Tasks[[#This Row],[Baseline Duration]]=""),"",Tasks[[#This Row],[BL Source Duration]]-N(Tasks[[#This Row],[Baseline Duration]]))</f>
        <v/>
      </c>
      <c r="BA174" s="62" t="str">
        <f aca="false">IF(OR(Tasks[[#This Row],[Task Name]]="",Tasks[[#This Row],[Baseline Work]]=""),"",Tasks[[#This Row],[Work]]-N(Tasks[[#This Row],[Baseline Work]]))</f>
        <v/>
      </c>
      <c r="BB174" s="63" t="str">
        <f aca="false">IF(OR(Tasks[[#This Row],[Task Name]]="",Tasks[[#This Row],[Baseline Cost]]=""),"",Tasks[[#This Row],[Cost]]-N(Tasks[[#This Row],[Baseline Cost]]))</f>
        <v/>
      </c>
      <c r="BC17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4" s="43" t="str">
        <f aca="false">IF(Tasks[[#This Row],[Task Name]]="","",MAX(1,N(Tasks[[#This Row],[Level]])))</f>
        <v/>
      </c>
      <c r="BH174" s="43" t="n">
        <f aca="false">ROW()-ROW(Tasks[[#Headers],[ID]])</f>
        <v>169</v>
      </c>
      <c r="BI1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4" s="43" t="n">
        <f aca="false">IFERROR(N(INDEX(Tasks[_Level],Tasks[[#This Row],[_Row]]+1)),0)</f>
        <v>0</v>
      </c>
      <c r="BK174" s="66" t="b">
        <f aca="false">AND(Tasks[[#This Row],[Task Name]]&lt;&gt;"",Tasks[[#This Row],[_NextLevel]]&gt;Tasks[[#This Row],[_Level]])</f>
        <v>0</v>
      </c>
      <c r="BL174" s="43" t="n">
        <f aca="false">IF(Tasks[[#This Row],[_IsSummary]],COUNTIF(Tasks[WBS],Tasks[[#This Row],[WBS]]&amp;".*"),0)</f>
        <v>0</v>
      </c>
      <c r="BM174" s="43" t="n">
        <f aca="false">IF(AND(Tasks[[#This Row],[Task Name]]&lt;&gt;"",NOT(Tasks[[#This Row],[_IsSummary]])),1,0)</f>
        <v>0</v>
      </c>
      <c r="BN174" s="43" t="n">
        <f aca="false">IF(N(Tasks[[#This Row],[Pred1 UID]])=0,0,IFERROR(MATCH(Tasks[[#This Row],[Pred1 UID]],Tasks[UID],0),-1))</f>
        <v>0</v>
      </c>
      <c r="BO174" s="43" t="n">
        <f aca="false">IF(N(Tasks[[#This Row],[Pred2 UID]])=0,0,IFERROR(MATCH(Tasks[[#This Row],[Pred2 UID]],Tasks[UID],0),-1))</f>
        <v>0</v>
      </c>
      <c r="BP17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4" s="43" t="n">
        <f aca="false">IF(NOT(Tasks[[#This Row],[_IsLeaf]]=1),0,IF(N(Tasks[[#This Row],[Actual Finish]])&gt;0,1,MIN(1,N(Tasks[[#This Row],[% Complete]]))))</f>
        <v>0</v>
      </c>
      <c r="BU1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4" s="43" t="n">
        <f aca="false">IF(Tasks[[#This Row],[_LeafWork]]=0,0,Tasks[[#This Row],[_LeafWork]]*IFERROR(INDEX(res_Rate,MATCH(Tasks[[#This Row],[Resource]],res_Name,0)),0))</f>
        <v>0</v>
      </c>
      <c r="BW1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4" s="43" t="n">
        <f aca="false">IF(NOT(Tasks[[#This Row],[_IsLeaf]]=1),0,MAX(_xlfn.MAXIFS(Tasks[_Row],Tasks[Pred1 UID],Tasks[[#This Row],[UID]]),_xlfn.MAXIFS(Tasks[_Row],Tasks[Pred2 UID],Tasks[[#This Row],[UID]])))</f>
        <v>0</v>
      </c>
      <c r="CB17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4" s="67" t="str">
        <f aca="false">IF(NOT(Tasks[[#This Row],[_IsLeaf]]=1),"",MIN(ProjectFinish,IF(N(Tasks[[#This Row],[Deadline]])&gt;0,Tasks[[#This Row],[Deadline]],2958465),Tasks[[#This Row],[_SuccessorFinishLimit]]))</f>
        <v/>
      </c>
      <c r="CD17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4" s="66" t="b">
        <f aca="false">AND(Tasks[[#This Row],[_IsLeaf]]=1,Tasks[[#This Row],[_LeafProgress]]&lt;1,N(Tasks[[#This Row],[_LeafTotalSlack]])&lt;=CriticalSlackDays)</f>
        <v>0</v>
      </c>
      <c r="CG17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4" s="43" t="n">
        <f aca="false">IF(AND(Tasks[[#This Row],[_IsLeaf]]=1,Tasks[[#This Row],[_LeafWork]]&gt;0),NETWORKDAYS.INTL(ProjectStart,Tasks[[#This Row],[_LeafFcstStart]],WorkWeek,Holidays),0)</f>
        <v>0</v>
      </c>
      <c r="CP1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4" s="43" t="n">
        <f aca="false">IF(AND(Tasks[[#This Row],[_IsLeaf]]=1,Tasks[[#This Row],[_LeafWork]]&gt;0),Tasks[[#This Row],[_LeafWork]]/(Tasks[[#This Row],[_FinishWorkday]]-Tasks[[#This Row],[_StartWorkday]]+1),0)</f>
        <v>0</v>
      </c>
      <c r="CR174" s="43" t="n">
        <f aca="false">Tasks[[#This Row],[_WorkPerWorkday]]*(Tasks[[#This Row],[_StartWorkday]]-1)</f>
        <v>-0</v>
      </c>
      <c r="CS174" s="43" t="n">
        <f aca="false">IF(Tasks[[#This Row],[_IsLeaf]]=1,MAX(N(Tasks[[#This Row],[Duration]]),0.1),0)</f>
        <v>0</v>
      </c>
      <c r="CT174" s="43" t="n">
        <f aca="false">Tasks[[#This Row],[_WeightDur]]*Tasks[[#This Row],[_LeafProgress]]</f>
        <v>0</v>
      </c>
      <c r="CU1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4" s="43" t="str">
        <f aca="false">IF(AND(Tasks[[#This Row],[_IsLeaf]]=1,N(Tasks[[#This Row],[Duration]])=0,Tasks[[#This Row],[_LeafProgress]]&lt;1),Tasks[[#This Row],[_LeafFcstFinish]]+Tasks[[#This Row],[_Row]]/100000,"")</f>
        <v/>
      </c>
      <c r="DA1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4" s="43" t="n">
        <f aca="false">IF(NOT(Tasks[[#This Row],[_IsLeaf]]=1),0,IF(Tasks[[#This Row],[Baseline Cost]]="",Tasks[[#This Row],[_LeafCost]],N(Tasks[[#This Row],[Baseline Cost]])))</f>
        <v>0</v>
      </c>
      <c r="DC174" s="43" t="n">
        <f aca="false">Tasks[[#This Row],[_LeafBudget]]*Tasks[[#This Row],[_PlannedPct]]</f>
        <v>0</v>
      </c>
      <c r="DD174" s="43" t="n">
        <f aca="false">Tasks[[#This Row],[_LeafBudget]]*Tasks[[#This Row],[_LeafProgress]]</f>
        <v>0</v>
      </c>
      <c r="DE174" s="43" t="n">
        <f aca="false">IF(NOT(Tasks[[#This Row],[_IsLeaf]]=1),0,IF(Tasks[[#This Row],[Actual Cost]]="",Tasks[[#This Row],[_LeafCost]]*Tasks[[#This Row],[_LeafProgress]],N(Tasks[[#This Row],[Actual Cost]])))</f>
        <v>0</v>
      </c>
      <c r="DF174" s="43" t="str">
        <f aca="false">IF(Tasks[[#This Row],[Task Name]]="","",LEFT(Tasks[[#This Row],[WBS]],FIND(".",Tasks[[#This Row],[WBS]]&amp;".")-1))</f>
        <v/>
      </c>
      <c r="DG174" s="43" t="str">
        <f aca="false">IF(AND(Tasks[[#This Row],[Task Name]]&lt;&gt;"",Tasks[[#This Row],[_Level]]=1),Tasks[[#This Row],[_Row]],"")</f>
        <v/>
      </c>
      <c r="DH174" s="43" t="str">
        <f aca="false">IF(AND(Tasks[[#This Row],[_IsLeaf]]=1,N(Tasks[[#This Row],[Duration]])=0),Tasks[[#This Row],[Planned Finish]]+Tasks[[#This Row],[_Row]]/100000,"")</f>
        <v/>
      </c>
      <c r="DI1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4" s="43" t="str">
        <f aca="false">IF(Tasks[[#This Row],[_LeafCritical]],Tasks[[#This Row],[_LeafFcstStart]]+Tasks[[#This Row],[_Row]]/100000,"")</f>
        <v/>
      </c>
    </row>
    <row r="175" customFormat="false" ht="15" hidden="false" customHeight="false" outlineLevel="0" collapsed="false">
      <c r="A175" s="28" t="str">
        <f aca="false">IF(Tasks[[#This Row],[Task Name]]="","",COUNTA(Tasks[[#Headers],[Task Name]]:Tasks[[#This Row],[Task Name]])-1)</f>
        <v/>
      </c>
      <c r="B175" s="29" t="n">
        <v>170</v>
      </c>
      <c r="C1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29"/>
      <c r="E175" s="30"/>
      <c r="F175" s="29"/>
      <c r="G175" s="29"/>
      <c r="H175" s="29"/>
      <c r="I175" s="29"/>
      <c r="J175" s="29"/>
      <c r="K175" s="29"/>
      <c r="L175" s="29"/>
      <c r="M175" s="29"/>
      <c r="N175" s="53"/>
      <c r="O175" s="53"/>
      <c r="P175" s="25" t="str">
        <f aca="false">IF(Tasks[[#This Row],[Task Name]]="","",IF(N(Tasks[[#This Row],[Baseline Start]])&gt;0,Tasks[[#This Row],[Baseline Start]],Tasks[[#This Row],[_CalcStart]]))</f>
        <v/>
      </c>
      <c r="Q175" s="25" t="str">
        <f aca="false">IF(Tasks[[#This Row],[Task Name]]="","",IF(N(Tasks[[#This Row],[Baseline Finish]])&gt;0,Tasks[[#This Row],[Baseline Finish]],Tasks[[#This Row],[_CalcFinish]]))</f>
        <v/>
      </c>
      <c r="R175" s="53"/>
      <c r="S175" s="53"/>
      <c r="T1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55"/>
      <c r="AF17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30"/>
      <c r="AI175" s="55"/>
      <c r="AJ17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64"/>
      <c r="AM17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5" s="30"/>
      <c r="AP175" s="25" t="str">
        <f aca="false">IF(Tasks[[#This Row],[Task Name]]="","",Tasks[[#This Row],[Forecast Start]])</f>
        <v/>
      </c>
      <c r="AQ175" s="25" t="str">
        <f aca="false">IF(Tasks[[#This Row],[Task Name]]="","",Tasks[[#This Row],[Forecast Finish]])</f>
        <v/>
      </c>
      <c r="AR1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5" s="62" t="str">
        <f aca="false">IF(Tasks[[#This Row],[Task Name]]="","",Tasks[[#This Row],[Work]])</f>
        <v/>
      </c>
      <c r="AT175" s="63" t="str">
        <f aca="false">IF(Tasks[[#This Row],[Task Name]]="","",Tasks[[#This Row],[Cost]])</f>
        <v/>
      </c>
      <c r="AU175" s="53"/>
      <c r="AV175" s="53"/>
      <c r="AW175" s="29"/>
      <c r="AX175" s="65"/>
      <c r="AY175" s="64"/>
      <c r="AZ175" s="28" t="str">
        <f aca="false">IF(OR(Tasks[[#This Row],[Task Name]]="",Tasks[[#This Row],[Baseline Duration]]=""),"",Tasks[[#This Row],[BL Source Duration]]-N(Tasks[[#This Row],[Baseline Duration]]))</f>
        <v/>
      </c>
      <c r="BA175" s="62" t="str">
        <f aca="false">IF(OR(Tasks[[#This Row],[Task Name]]="",Tasks[[#This Row],[Baseline Work]]=""),"",Tasks[[#This Row],[Work]]-N(Tasks[[#This Row],[Baseline Work]]))</f>
        <v/>
      </c>
      <c r="BB175" s="63" t="str">
        <f aca="false">IF(OR(Tasks[[#This Row],[Task Name]]="",Tasks[[#This Row],[Baseline Cost]]=""),"",Tasks[[#This Row],[Cost]]-N(Tasks[[#This Row],[Baseline Cost]]))</f>
        <v/>
      </c>
      <c r="BC17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5" s="43" t="str">
        <f aca="false">IF(Tasks[[#This Row],[Task Name]]="","",MAX(1,N(Tasks[[#This Row],[Level]])))</f>
        <v/>
      </c>
      <c r="BH175" s="43" t="n">
        <f aca="false">ROW()-ROW(Tasks[[#Headers],[ID]])</f>
        <v>170</v>
      </c>
      <c r="BI1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5" s="43" t="n">
        <f aca="false">IFERROR(N(INDEX(Tasks[_Level],Tasks[[#This Row],[_Row]]+1)),0)</f>
        <v>0</v>
      </c>
      <c r="BK175" s="66" t="b">
        <f aca="false">AND(Tasks[[#This Row],[Task Name]]&lt;&gt;"",Tasks[[#This Row],[_NextLevel]]&gt;Tasks[[#This Row],[_Level]])</f>
        <v>0</v>
      </c>
      <c r="BL175" s="43" t="n">
        <f aca="false">IF(Tasks[[#This Row],[_IsSummary]],COUNTIF(Tasks[WBS],Tasks[[#This Row],[WBS]]&amp;".*"),0)</f>
        <v>0</v>
      </c>
      <c r="BM175" s="43" t="n">
        <f aca="false">IF(AND(Tasks[[#This Row],[Task Name]]&lt;&gt;"",NOT(Tasks[[#This Row],[_IsSummary]])),1,0)</f>
        <v>0</v>
      </c>
      <c r="BN175" s="43" t="n">
        <f aca="false">IF(N(Tasks[[#This Row],[Pred1 UID]])=0,0,IFERROR(MATCH(Tasks[[#This Row],[Pred1 UID]],Tasks[UID],0),-1))</f>
        <v>0</v>
      </c>
      <c r="BO175" s="43" t="n">
        <f aca="false">IF(N(Tasks[[#This Row],[Pred2 UID]])=0,0,IFERROR(MATCH(Tasks[[#This Row],[Pred2 UID]],Tasks[UID],0),-1))</f>
        <v>0</v>
      </c>
      <c r="BP17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5" s="43" t="n">
        <f aca="false">IF(NOT(Tasks[[#This Row],[_IsLeaf]]=1),0,IF(N(Tasks[[#This Row],[Actual Finish]])&gt;0,1,MIN(1,N(Tasks[[#This Row],[% Complete]]))))</f>
        <v>0</v>
      </c>
      <c r="BU1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5" s="43" t="n">
        <f aca="false">IF(Tasks[[#This Row],[_LeafWork]]=0,0,Tasks[[#This Row],[_LeafWork]]*IFERROR(INDEX(res_Rate,MATCH(Tasks[[#This Row],[Resource]],res_Name,0)),0))</f>
        <v>0</v>
      </c>
      <c r="BW1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5" s="43" t="n">
        <f aca="false">IF(NOT(Tasks[[#This Row],[_IsLeaf]]=1),0,MAX(_xlfn.MAXIFS(Tasks[_Row],Tasks[Pred1 UID],Tasks[[#This Row],[UID]]),_xlfn.MAXIFS(Tasks[_Row],Tasks[Pred2 UID],Tasks[[#This Row],[UID]])))</f>
        <v>0</v>
      </c>
      <c r="CB17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5" s="67" t="str">
        <f aca="false">IF(NOT(Tasks[[#This Row],[_IsLeaf]]=1),"",MIN(ProjectFinish,IF(N(Tasks[[#This Row],[Deadline]])&gt;0,Tasks[[#This Row],[Deadline]],2958465),Tasks[[#This Row],[_SuccessorFinishLimit]]))</f>
        <v/>
      </c>
      <c r="CD17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5" s="66" t="b">
        <f aca="false">AND(Tasks[[#This Row],[_IsLeaf]]=1,Tasks[[#This Row],[_LeafProgress]]&lt;1,N(Tasks[[#This Row],[_LeafTotalSlack]])&lt;=CriticalSlackDays)</f>
        <v>0</v>
      </c>
      <c r="CG17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5" s="43" t="n">
        <f aca="false">IF(AND(Tasks[[#This Row],[_IsLeaf]]=1,Tasks[[#This Row],[_LeafWork]]&gt;0),NETWORKDAYS.INTL(ProjectStart,Tasks[[#This Row],[_LeafFcstStart]],WorkWeek,Holidays),0)</f>
        <v>0</v>
      </c>
      <c r="CP1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5" s="43" t="n">
        <f aca="false">IF(AND(Tasks[[#This Row],[_IsLeaf]]=1,Tasks[[#This Row],[_LeafWork]]&gt;0),Tasks[[#This Row],[_LeafWork]]/(Tasks[[#This Row],[_FinishWorkday]]-Tasks[[#This Row],[_StartWorkday]]+1),0)</f>
        <v>0</v>
      </c>
      <c r="CR175" s="43" t="n">
        <f aca="false">Tasks[[#This Row],[_WorkPerWorkday]]*(Tasks[[#This Row],[_StartWorkday]]-1)</f>
        <v>-0</v>
      </c>
      <c r="CS175" s="43" t="n">
        <f aca="false">IF(Tasks[[#This Row],[_IsLeaf]]=1,MAX(N(Tasks[[#This Row],[Duration]]),0.1),0)</f>
        <v>0</v>
      </c>
      <c r="CT175" s="43" t="n">
        <f aca="false">Tasks[[#This Row],[_WeightDur]]*Tasks[[#This Row],[_LeafProgress]]</f>
        <v>0</v>
      </c>
      <c r="CU1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5" s="43" t="str">
        <f aca="false">IF(AND(Tasks[[#This Row],[_IsLeaf]]=1,N(Tasks[[#This Row],[Duration]])=0,Tasks[[#This Row],[_LeafProgress]]&lt;1),Tasks[[#This Row],[_LeafFcstFinish]]+Tasks[[#This Row],[_Row]]/100000,"")</f>
        <v/>
      </c>
      <c r="DA1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5" s="43" t="n">
        <f aca="false">IF(NOT(Tasks[[#This Row],[_IsLeaf]]=1),0,IF(Tasks[[#This Row],[Baseline Cost]]="",Tasks[[#This Row],[_LeafCost]],N(Tasks[[#This Row],[Baseline Cost]])))</f>
        <v>0</v>
      </c>
      <c r="DC175" s="43" t="n">
        <f aca="false">Tasks[[#This Row],[_LeafBudget]]*Tasks[[#This Row],[_PlannedPct]]</f>
        <v>0</v>
      </c>
      <c r="DD175" s="43" t="n">
        <f aca="false">Tasks[[#This Row],[_LeafBudget]]*Tasks[[#This Row],[_LeafProgress]]</f>
        <v>0</v>
      </c>
      <c r="DE175" s="43" t="n">
        <f aca="false">IF(NOT(Tasks[[#This Row],[_IsLeaf]]=1),0,IF(Tasks[[#This Row],[Actual Cost]]="",Tasks[[#This Row],[_LeafCost]]*Tasks[[#This Row],[_LeafProgress]],N(Tasks[[#This Row],[Actual Cost]])))</f>
        <v>0</v>
      </c>
      <c r="DF175" s="43" t="str">
        <f aca="false">IF(Tasks[[#This Row],[Task Name]]="","",LEFT(Tasks[[#This Row],[WBS]],FIND(".",Tasks[[#This Row],[WBS]]&amp;".")-1))</f>
        <v/>
      </c>
      <c r="DG175" s="43" t="str">
        <f aca="false">IF(AND(Tasks[[#This Row],[Task Name]]&lt;&gt;"",Tasks[[#This Row],[_Level]]=1),Tasks[[#This Row],[_Row]],"")</f>
        <v/>
      </c>
      <c r="DH175" s="43" t="str">
        <f aca="false">IF(AND(Tasks[[#This Row],[_IsLeaf]]=1,N(Tasks[[#This Row],[Duration]])=0),Tasks[[#This Row],[Planned Finish]]+Tasks[[#This Row],[_Row]]/100000,"")</f>
        <v/>
      </c>
      <c r="DI1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5" s="43" t="str">
        <f aca="false">IF(Tasks[[#This Row],[_LeafCritical]],Tasks[[#This Row],[_LeafFcstStart]]+Tasks[[#This Row],[_Row]]/100000,"")</f>
        <v/>
      </c>
    </row>
    <row r="176" customFormat="false" ht="15" hidden="false" customHeight="false" outlineLevel="0" collapsed="false">
      <c r="A176" s="28" t="str">
        <f aca="false">IF(Tasks[[#This Row],[Task Name]]="","",COUNTA(Tasks[[#Headers],[Task Name]]:Tasks[[#This Row],[Task Name]])-1)</f>
        <v/>
      </c>
      <c r="B176" s="29" t="n">
        <v>171</v>
      </c>
      <c r="C1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29"/>
      <c r="E176" s="30"/>
      <c r="F176" s="29"/>
      <c r="G176" s="29"/>
      <c r="H176" s="29"/>
      <c r="I176" s="29"/>
      <c r="J176" s="29"/>
      <c r="K176" s="29"/>
      <c r="L176" s="29"/>
      <c r="M176" s="29"/>
      <c r="N176" s="53"/>
      <c r="O176" s="53"/>
      <c r="P176" s="25" t="str">
        <f aca="false">IF(Tasks[[#This Row],[Task Name]]="","",IF(N(Tasks[[#This Row],[Baseline Start]])&gt;0,Tasks[[#This Row],[Baseline Start]],Tasks[[#This Row],[_CalcStart]]))</f>
        <v/>
      </c>
      <c r="Q176" s="25" t="str">
        <f aca="false">IF(Tasks[[#This Row],[Task Name]]="","",IF(N(Tasks[[#This Row],[Baseline Finish]])&gt;0,Tasks[[#This Row],[Baseline Finish]],Tasks[[#This Row],[_CalcFinish]]))</f>
        <v/>
      </c>
      <c r="R176" s="53"/>
      <c r="S176" s="53"/>
      <c r="T1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55"/>
      <c r="AF17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30"/>
      <c r="AI176" s="55"/>
      <c r="AJ17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64"/>
      <c r="AM17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6" s="30"/>
      <c r="AP176" s="25" t="str">
        <f aca="false">IF(Tasks[[#This Row],[Task Name]]="","",Tasks[[#This Row],[Forecast Start]])</f>
        <v/>
      </c>
      <c r="AQ176" s="25" t="str">
        <f aca="false">IF(Tasks[[#This Row],[Task Name]]="","",Tasks[[#This Row],[Forecast Finish]])</f>
        <v/>
      </c>
      <c r="AR1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6" s="62" t="str">
        <f aca="false">IF(Tasks[[#This Row],[Task Name]]="","",Tasks[[#This Row],[Work]])</f>
        <v/>
      </c>
      <c r="AT176" s="63" t="str">
        <f aca="false">IF(Tasks[[#This Row],[Task Name]]="","",Tasks[[#This Row],[Cost]])</f>
        <v/>
      </c>
      <c r="AU176" s="53"/>
      <c r="AV176" s="53"/>
      <c r="AW176" s="29"/>
      <c r="AX176" s="65"/>
      <c r="AY176" s="64"/>
      <c r="AZ176" s="28" t="str">
        <f aca="false">IF(OR(Tasks[[#This Row],[Task Name]]="",Tasks[[#This Row],[Baseline Duration]]=""),"",Tasks[[#This Row],[BL Source Duration]]-N(Tasks[[#This Row],[Baseline Duration]]))</f>
        <v/>
      </c>
      <c r="BA176" s="62" t="str">
        <f aca="false">IF(OR(Tasks[[#This Row],[Task Name]]="",Tasks[[#This Row],[Baseline Work]]=""),"",Tasks[[#This Row],[Work]]-N(Tasks[[#This Row],[Baseline Work]]))</f>
        <v/>
      </c>
      <c r="BB176" s="63" t="str">
        <f aca="false">IF(OR(Tasks[[#This Row],[Task Name]]="",Tasks[[#This Row],[Baseline Cost]]=""),"",Tasks[[#This Row],[Cost]]-N(Tasks[[#This Row],[Baseline Cost]]))</f>
        <v/>
      </c>
      <c r="BC17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6" s="43" t="str">
        <f aca="false">IF(Tasks[[#This Row],[Task Name]]="","",MAX(1,N(Tasks[[#This Row],[Level]])))</f>
        <v/>
      </c>
      <c r="BH176" s="43" t="n">
        <f aca="false">ROW()-ROW(Tasks[[#Headers],[ID]])</f>
        <v>171</v>
      </c>
      <c r="BI1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6" s="43" t="n">
        <f aca="false">IFERROR(N(INDEX(Tasks[_Level],Tasks[[#This Row],[_Row]]+1)),0)</f>
        <v>0</v>
      </c>
      <c r="BK176" s="66" t="b">
        <f aca="false">AND(Tasks[[#This Row],[Task Name]]&lt;&gt;"",Tasks[[#This Row],[_NextLevel]]&gt;Tasks[[#This Row],[_Level]])</f>
        <v>0</v>
      </c>
      <c r="BL176" s="43" t="n">
        <f aca="false">IF(Tasks[[#This Row],[_IsSummary]],COUNTIF(Tasks[WBS],Tasks[[#This Row],[WBS]]&amp;".*"),0)</f>
        <v>0</v>
      </c>
      <c r="BM176" s="43" t="n">
        <f aca="false">IF(AND(Tasks[[#This Row],[Task Name]]&lt;&gt;"",NOT(Tasks[[#This Row],[_IsSummary]])),1,0)</f>
        <v>0</v>
      </c>
      <c r="BN176" s="43" t="n">
        <f aca="false">IF(N(Tasks[[#This Row],[Pred1 UID]])=0,0,IFERROR(MATCH(Tasks[[#This Row],[Pred1 UID]],Tasks[UID],0),-1))</f>
        <v>0</v>
      </c>
      <c r="BO176" s="43" t="n">
        <f aca="false">IF(N(Tasks[[#This Row],[Pred2 UID]])=0,0,IFERROR(MATCH(Tasks[[#This Row],[Pred2 UID]],Tasks[UID],0),-1))</f>
        <v>0</v>
      </c>
      <c r="BP17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6" s="43" t="n">
        <f aca="false">IF(NOT(Tasks[[#This Row],[_IsLeaf]]=1),0,IF(N(Tasks[[#This Row],[Actual Finish]])&gt;0,1,MIN(1,N(Tasks[[#This Row],[% Complete]]))))</f>
        <v>0</v>
      </c>
      <c r="BU1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6" s="43" t="n">
        <f aca="false">IF(Tasks[[#This Row],[_LeafWork]]=0,0,Tasks[[#This Row],[_LeafWork]]*IFERROR(INDEX(res_Rate,MATCH(Tasks[[#This Row],[Resource]],res_Name,0)),0))</f>
        <v>0</v>
      </c>
      <c r="BW1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6" s="43" t="n">
        <f aca="false">IF(NOT(Tasks[[#This Row],[_IsLeaf]]=1),0,MAX(_xlfn.MAXIFS(Tasks[_Row],Tasks[Pred1 UID],Tasks[[#This Row],[UID]]),_xlfn.MAXIFS(Tasks[_Row],Tasks[Pred2 UID],Tasks[[#This Row],[UID]])))</f>
        <v>0</v>
      </c>
      <c r="CB17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6" s="67" t="str">
        <f aca="false">IF(NOT(Tasks[[#This Row],[_IsLeaf]]=1),"",MIN(ProjectFinish,IF(N(Tasks[[#This Row],[Deadline]])&gt;0,Tasks[[#This Row],[Deadline]],2958465),Tasks[[#This Row],[_SuccessorFinishLimit]]))</f>
        <v/>
      </c>
      <c r="CD17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6" s="66" t="b">
        <f aca="false">AND(Tasks[[#This Row],[_IsLeaf]]=1,Tasks[[#This Row],[_LeafProgress]]&lt;1,N(Tasks[[#This Row],[_LeafTotalSlack]])&lt;=CriticalSlackDays)</f>
        <v>0</v>
      </c>
      <c r="CG17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6" s="43" t="n">
        <f aca="false">IF(AND(Tasks[[#This Row],[_IsLeaf]]=1,Tasks[[#This Row],[_LeafWork]]&gt;0),NETWORKDAYS.INTL(ProjectStart,Tasks[[#This Row],[_LeafFcstStart]],WorkWeek,Holidays),0)</f>
        <v>0</v>
      </c>
      <c r="CP1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6" s="43" t="n">
        <f aca="false">IF(AND(Tasks[[#This Row],[_IsLeaf]]=1,Tasks[[#This Row],[_LeafWork]]&gt;0),Tasks[[#This Row],[_LeafWork]]/(Tasks[[#This Row],[_FinishWorkday]]-Tasks[[#This Row],[_StartWorkday]]+1),0)</f>
        <v>0</v>
      </c>
      <c r="CR176" s="43" t="n">
        <f aca="false">Tasks[[#This Row],[_WorkPerWorkday]]*(Tasks[[#This Row],[_StartWorkday]]-1)</f>
        <v>-0</v>
      </c>
      <c r="CS176" s="43" t="n">
        <f aca="false">IF(Tasks[[#This Row],[_IsLeaf]]=1,MAX(N(Tasks[[#This Row],[Duration]]),0.1),0)</f>
        <v>0</v>
      </c>
      <c r="CT176" s="43" t="n">
        <f aca="false">Tasks[[#This Row],[_WeightDur]]*Tasks[[#This Row],[_LeafProgress]]</f>
        <v>0</v>
      </c>
      <c r="CU1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6" s="43" t="str">
        <f aca="false">IF(AND(Tasks[[#This Row],[_IsLeaf]]=1,N(Tasks[[#This Row],[Duration]])=0,Tasks[[#This Row],[_LeafProgress]]&lt;1),Tasks[[#This Row],[_LeafFcstFinish]]+Tasks[[#This Row],[_Row]]/100000,"")</f>
        <v/>
      </c>
      <c r="DA1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6" s="43" t="n">
        <f aca="false">IF(NOT(Tasks[[#This Row],[_IsLeaf]]=1),0,IF(Tasks[[#This Row],[Baseline Cost]]="",Tasks[[#This Row],[_LeafCost]],N(Tasks[[#This Row],[Baseline Cost]])))</f>
        <v>0</v>
      </c>
      <c r="DC176" s="43" t="n">
        <f aca="false">Tasks[[#This Row],[_LeafBudget]]*Tasks[[#This Row],[_PlannedPct]]</f>
        <v>0</v>
      </c>
      <c r="DD176" s="43" t="n">
        <f aca="false">Tasks[[#This Row],[_LeafBudget]]*Tasks[[#This Row],[_LeafProgress]]</f>
        <v>0</v>
      </c>
      <c r="DE176" s="43" t="n">
        <f aca="false">IF(NOT(Tasks[[#This Row],[_IsLeaf]]=1),0,IF(Tasks[[#This Row],[Actual Cost]]="",Tasks[[#This Row],[_LeafCost]]*Tasks[[#This Row],[_LeafProgress]],N(Tasks[[#This Row],[Actual Cost]])))</f>
        <v>0</v>
      </c>
      <c r="DF176" s="43" t="str">
        <f aca="false">IF(Tasks[[#This Row],[Task Name]]="","",LEFT(Tasks[[#This Row],[WBS]],FIND(".",Tasks[[#This Row],[WBS]]&amp;".")-1))</f>
        <v/>
      </c>
      <c r="DG176" s="43" t="str">
        <f aca="false">IF(AND(Tasks[[#This Row],[Task Name]]&lt;&gt;"",Tasks[[#This Row],[_Level]]=1),Tasks[[#This Row],[_Row]],"")</f>
        <v/>
      </c>
      <c r="DH176" s="43" t="str">
        <f aca="false">IF(AND(Tasks[[#This Row],[_IsLeaf]]=1,N(Tasks[[#This Row],[Duration]])=0),Tasks[[#This Row],[Planned Finish]]+Tasks[[#This Row],[_Row]]/100000,"")</f>
        <v/>
      </c>
      <c r="DI1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6" s="43" t="str">
        <f aca="false">IF(Tasks[[#This Row],[_LeafCritical]],Tasks[[#This Row],[_LeafFcstStart]]+Tasks[[#This Row],[_Row]]/100000,"")</f>
        <v/>
      </c>
    </row>
    <row r="177" customFormat="false" ht="15" hidden="false" customHeight="false" outlineLevel="0" collapsed="false">
      <c r="A177" s="28" t="str">
        <f aca="false">IF(Tasks[[#This Row],[Task Name]]="","",COUNTA(Tasks[[#Headers],[Task Name]]:Tasks[[#This Row],[Task Name]])-1)</f>
        <v/>
      </c>
      <c r="B177" s="29" t="n">
        <v>172</v>
      </c>
      <c r="C1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29"/>
      <c r="E177" s="30"/>
      <c r="F177" s="29"/>
      <c r="G177" s="29"/>
      <c r="H177" s="29"/>
      <c r="I177" s="29"/>
      <c r="J177" s="29"/>
      <c r="K177" s="29"/>
      <c r="L177" s="29"/>
      <c r="M177" s="29"/>
      <c r="N177" s="53"/>
      <c r="O177" s="53"/>
      <c r="P177" s="25" t="str">
        <f aca="false">IF(Tasks[[#This Row],[Task Name]]="","",IF(N(Tasks[[#This Row],[Baseline Start]])&gt;0,Tasks[[#This Row],[Baseline Start]],Tasks[[#This Row],[_CalcStart]]))</f>
        <v/>
      </c>
      <c r="Q177" s="25" t="str">
        <f aca="false">IF(Tasks[[#This Row],[Task Name]]="","",IF(N(Tasks[[#This Row],[Baseline Finish]])&gt;0,Tasks[[#This Row],[Baseline Finish]],Tasks[[#This Row],[_CalcFinish]]))</f>
        <v/>
      </c>
      <c r="R177" s="53"/>
      <c r="S177" s="53"/>
      <c r="T1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55"/>
      <c r="AF17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30"/>
      <c r="AI177" s="55"/>
      <c r="AJ17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64"/>
      <c r="AM17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7" s="30"/>
      <c r="AP177" s="25" t="str">
        <f aca="false">IF(Tasks[[#This Row],[Task Name]]="","",Tasks[[#This Row],[Forecast Start]])</f>
        <v/>
      </c>
      <c r="AQ177" s="25" t="str">
        <f aca="false">IF(Tasks[[#This Row],[Task Name]]="","",Tasks[[#This Row],[Forecast Finish]])</f>
        <v/>
      </c>
      <c r="AR1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7" s="62" t="str">
        <f aca="false">IF(Tasks[[#This Row],[Task Name]]="","",Tasks[[#This Row],[Work]])</f>
        <v/>
      </c>
      <c r="AT177" s="63" t="str">
        <f aca="false">IF(Tasks[[#This Row],[Task Name]]="","",Tasks[[#This Row],[Cost]])</f>
        <v/>
      </c>
      <c r="AU177" s="53"/>
      <c r="AV177" s="53"/>
      <c r="AW177" s="29"/>
      <c r="AX177" s="65"/>
      <c r="AY177" s="64"/>
      <c r="AZ177" s="28" t="str">
        <f aca="false">IF(OR(Tasks[[#This Row],[Task Name]]="",Tasks[[#This Row],[Baseline Duration]]=""),"",Tasks[[#This Row],[BL Source Duration]]-N(Tasks[[#This Row],[Baseline Duration]]))</f>
        <v/>
      </c>
      <c r="BA177" s="62" t="str">
        <f aca="false">IF(OR(Tasks[[#This Row],[Task Name]]="",Tasks[[#This Row],[Baseline Work]]=""),"",Tasks[[#This Row],[Work]]-N(Tasks[[#This Row],[Baseline Work]]))</f>
        <v/>
      </c>
      <c r="BB177" s="63" t="str">
        <f aca="false">IF(OR(Tasks[[#This Row],[Task Name]]="",Tasks[[#This Row],[Baseline Cost]]=""),"",Tasks[[#This Row],[Cost]]-N(Tasks[[#This Row],[Baseline Cost]]))</f>
        <v/>
      </c>
      <c r="BC17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7" s="43" t="str">
        <f aca="false">IF(Tasks[[#This Row],[Task Name]]="","",MAX(1,N(Tasks[[#This Row],[Level]])))</f>
        <v/>
      </c>
      <c r="BH177" s="43" t="n">
        <f aca="false">ROW()-ROW(Tasks[[#Headers],[ID]])</f>
        <v>172</v>
      </c>
      <c r="BI1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7" s="43" t="n">
        <f aca="false">IFERROR(N(INDEX(Tasks[_Level],Tasks[[#This Row],[_Row]]+1)),0)</f>
        <v>0</v>
      </c>
      <c r="BK177" s="66" t="b">
        <f aca="false">AND(Tasks[[#This Row],[Task Name]]&lt;&gt;"",Tasks[[#This Row],[_NextLevel]]&gt;Tasks[[#This Row],[_Level]])</f>
        <v>0</v>
      </c>
      <c r="BL177" s="43" t="n">
        <f aca="false">IF(Tasks[[#This Row],[_IsSummary]],COUNTIF(Tasks[WBS],Tasks[[#This Row],[WBS]]&amp;".*"),0)</f>
        <v>0</v>
      </c>
      <c r="BM177" s="43" t="n">
        <f aca="false">IF(AND(Tasks[[#This Row],[Task Name]]&lt;&gt;"",NOT(Tasks[[#This Row],[_IsSummary]])),1,0)</f>
        <v>0</v>
      </c>
      <c r="BN177" s="43" t="n">
        <f aca="false">IF(N(Tasks[[#This Row],[Pred1 UID]])=0,0,IFERROR(MATCH(Tasks[[#This Row],[Pred1 UID]],Tasks[UID],0),-1))</f>
        <v>0</v>
      </c>
      <c r="BO177" s="43" t="n">
        <f aca="false">IF(N(Tasks[[#This Row],[Pred2 UID]])=0,0,IFERROR(MATCH(Tasks[[#This Row],[Pred2 UID]],Tasks[UID],0),-1))</f>
        <v>0</v>
      </c>
      <c r="BP17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7" s="43" t="n">
        <f aca="false">IF(NOT(Tasks[[#This Row],[_IsLeaf]]=1),0,IF(N(Tasks[[#This Row],[Actual Finish]])&gt;0,1,MIN(1,N(Tasks[[#This Row],[% Complete]]))))</f>
        <v>0</v>
      </c>
      <c r="BU1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7" s="43" t="n">
        <f aca="false">IF(Tasks[[#This Row],[_LeafWork]]=0,0,Tasks[[#This Row],[_LeafWork]]*IFERROR(INDEX(res_Rate,MATCH(Tasks[[#This Row],[Resource]],res_Name,0)),0))</f>
        <v>0</v>
      </c>
      <c r="BW1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7" s="43" t="n">
        <f aca="false">IF(NOT(Tasks[[#This Row],[_IsLeaf]]=1),0,MAX(_xlfn.MAXIFS(Tasks[_Row],Tasks[Pred1 UID],Tasks[[#This Row],[UID]]),_xlfn.MAXIFS(Tasks[_Row],Tasks[Pred2 UID],Tasks[[#This Row],[UID]])))</f>
        <v>0</v>
      </c>
      <c r="CB17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7" s="67" t="str">
        <f aca="false">IF(NOT(Tasks[[#This Row],[_IsLeaf]]=1),"",MIN(ProjectFinish,IF(N(Tasks[[#This Row],[Deadline]])&gt;0,Tasks[[#This Row],[Deadline]],2958465),Tasks[[#This Row],[_SuccessorFinishLimit]]))</f>
        <v/>
      </c>
      <c r="CD17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7" s="66" t="b">
        <f aca="false">AND(Tasks[[#This Row],[_IsLeaf]]=1,Tasks[[#This Row],[_LeafProgress]]&lt;1,N(Tasks[[#This Row],[_LeafTotalSlack]])&lt;=CriticalSlackDays)</f>
        <v>0</v>
      </c>
      <c r="CG17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7" s="43" t="n">
        <f aca="false">IF(AND(Tasks[[#This Row],[_IsLeaf]]=1,Tasks[[#This Row],[_LeafWork]]&gt;0),NETWORKDAYS.INTL(ProjectStart,Tasks[[#This Row],[_LeafFcstStart]],WorkWeek,Holidays),0)</f>
        <v>0</v>
      </c>
      <c r="CP1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7" s="43" t="n">
        <f aca="false">IF(AND(Tasks[[#This Row],[_IsLeaf]]=1,Tasks[[#This Row],[_LeafWork]]&gt;0),Tasks[[#This Row],[_LeafWork]]/(Tasks[[#This Row],[_FinishWorkday]]-Tasks[[#This Row],[_StartWorkday]]+1),0)</f>
        <v>0</v>
      </c>
      <c r="CR177" s="43" t="n">
        <f aca="false">Tasks[[#This Row],[_WorkPerWorkday]]*(Tasks[[#This Row],[_StartWorkday]]-1)</f>
        <v>-0</v>
      </c>
      <c r="CS177" s="43" t="n">
        <f aca="false">IF(Tasks[[#This Row],[_IsLeaf]]=1,MAX(N(Tasks[[#This Row],[Duration]]),0.1),0)</f>
        <v>0</v>
      </c>
      <c r="CT177" s="43" t="n">
        <f aca="false">Tasks[[#This Row],[_WeightDur]]*Tasks[[#This Row],[_LeafProgress]]</f>
        <v>0</v>
      </c>
      <c r="CU1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7" s="43" t="str">
        <f aca="false">IF(AND(Tasks[[#This Row],[_IsLeaf]]=1,N(Tasks[[#This Row],[Duration]])=0,Tasks[[#This Row],[_LeafProgress]]&lt;1),Tasks[[#This Row],[_LeafFcstFinish]]+Tasks[[#This Row],[_Row]]/100000,"")</f>
        <v/>
      </c>
      <c r="DA1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7" s="43" t="n">
        <f aca="false">IF(NOT(Tasks[[#This Row],[_IsLeaf]]=1),0,IF(Tasks[[#This Row],[Baseline Cost]]="",Tasks[[#This Row],[_LeafCost]],N(Tasks[[#This Row],[Baseline Cost]])))</f>
        <v>0</v>
      </c>
      <c r="DC177" s="43" t="n">
        <f aca="false">Tasks[[#This Row],[_LeafBudget]]*Tasks[[#This Row],[_PlannedPct]]</f>
        <v>0</v>
      </c>
      <c r="DD177" s="43" t="n">
        <f aca="false">Tasks[[#This Row],[_LeafBudget]]*Tasks[[#This Row],[_LeafProgress]]</f>
        <v>0</v>
      </c>
      <c r="DE177" s="43" t="n">
        <f aca="false">IF(NOT(Tasks[[#This Row],[_IsLeaf]]=1),0,IF(Tasks[[#This Row],[Actual Cost]]="",Tasks[[#This Row],[_LeafCost]]*Tasks[[#This Row],[_LeafProgress]],N(Tasks[[#This Row],[Actual Cost]])))</f>
        <v>0</v>
      </c>
      <c r="DF177" s="43" t="str">
        <f aca="false">IF(Tasks[[#This Row],[Task Name]]="","",LEFT(Tasks[[#This Row],[WBS]],FIND(".",Tasks[[#This Row],[WBS]]&amp;".")-1))</f>
        <v/>
      </c>
      <c r="DG177" s="43" t="str">
        <f aca="false">IF(AND(Tasks[[#This Row],[Task Name]]&lt;&gt;"",Tasks[[#This Row],[_Level]]=1),Tasks[[#This Row],[_Row]],"")</f>
        <v/>
      </c>
      <c r="DH177" s="43" t="str">
        <f aca="false">IF(AND(Tasks[[#This Row],[_IsLeaf]]=1,N(Tasks[[#This Row],[Duration]])=0),Tasks[[#This Row],[Planned Finish]]+Tasks[[#This Row],[_Row]]/100000,"")</f>
        <v/>
      </c>
      <c r="DI1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7" s="43" t="str">
        <f aca="false">IF(Tasks[[#This Row],[_LeafCritical]],Tasks[[#This Row],[_LeafFcstStart]]+Tasks[[#This Row],[_Row]]/100000,"")</f>
        <v/>
      </c>
    </row>
    <row r="178" customFormat="false" ht="15" hidden="false" customHeight="false" outlineLevel="0" collapsed="false">
      <c r="A178" s="28" t="str">
        <f aca="false">IF(Tasks[[#This Row],[Task Name]]="","",COUNTA(Tasks[[#Headers],[Task Name]]:Tasks[[#This Row],[Task Name]])-1)</f>
        <v/>
      </c>
      <c r="B178" s="29" t="n">
        <v>173</v>
      </c>
      <c r="C1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29"/>
      <c r="E178" s="30"/>
      <c r="F178" s="29"/>
      <c r="G178" s="29"/>
      <c r="H178" s="29"/>
      <c r="I178" s="29"/>
      <c r="J178" s="29"/>
      <c r="K178" s="29"/>
      <c r="L178" s="29"/>
      <c r="M178" s="29"/>
      <c r="N178" s="53"/>
      <c r="O178" s="53"/>
      <c r="P178" s="25" t="str">
        <f aca="false">IF(Tasks[[#This Row],[Task Name]]="","",IF(N(Tasks[[#This Row],[Baseline Start]])&gt;0,Tasks[[#This Row],[Baseline Start]],Tasks[[#This Row],[_CalcStart]]))</f>
        <v/>
      </c>
      <c r="Q178" s="25" t="str">
        <f aca="false">IF(Tasks[[#This Row],[Task Name]]="","",IF(N(Tasks[[#This Row],[Baseline Finish]])&gt;0,Tasks[[#This Row],[Baseline Finish]],Tasks[[#This Row],[_CalcFinish]]))</f>
        <v/>
      </c>
      <c r="R178" s="53"/>
      <c r="S178" s="53"/>
      <c r="T1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55"/>
      <c r="AF17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30"/>
      <c r="AI178" s="55"/>
      <c r="AJ17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64"/>
      <c r="AM17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8" s="30"/>
      <c r="AP178" s="25" t="str">
        <f aca="false">IF(Tasks[[#This Row],[Task Name]]="","",Tasks[[#This Row],[Forecast Start]])</f>
        <v/>
      </c>
      <c r="AQ178" s="25" t="str">
        <f aca="false">IF(Tasks[[#This Row],[Task Name]]="","",Tasks[[#This Row],[Forecast Finish]])</f>
        <v/>
      </c>
      <c r="AR1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8" s="62" t="str">
        <f aca="false">IF(Tasks[[#This Row],[Task Name]]="","",Tasks[[#This Row],[Work]])</f>
        <v/>
      </c>
      <c r="AT178" s="63" t="str">
        <f aca="false">IF(Tasks[[#This Row],[Task Name]]="","",Tasks[[#This Row],[Cost]])</f>
        <v/>
      </c>
      <c r="AU178" s="53"/>
      <c r="AV178" s="53"/>
      <c r="AW178" s="29"/>
      <c r="AX178" s="65"/>
      <c r="AY178" s="64"/>
      <c r="AZ178" s="28" t="str">
        <f aca="false">IF(OR(Tasks[[#This Row],[Task Name]]="",Tasks[[#This Row],[Baseline Duration]]=""),"",Tasks[[#This Row],[BL Source Duration]]-N(Tasks[[#This Row],[Baseline Duration]]))</f>
        <v/>
      </c>
      <c r="BA178" s="62" t="str">
        <f aca="false">IF(OR(Tasks[[#This Row],[Task Name]]="",Tasks[[#This Row],[Baseline Work]]=""),"",Tasks[[#This Row],[Work]]-N(Tasks[[#This Row],[Baseline Work]]))</f>
        <v/>
      </c>
      <c r="BB178" s="63" t="str">
        <f aca="false">IF(OR(Tasks[[#This Row],[Task Name]]="",Tasks[[#This Row],[Baseline Cost]]=""),"",Tasks[[#This Row],[Cost]]-N(Tasks[[#This Row],[Baseline Cost]]))</f>
        <v/>
      </c>
      <c r="BC17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8" s="43" t="str">
        <f aca="false">IF(Tasks[[#This Row],[Task Name]]="","",MAX(1,N(Tasks[[#This Row],[Level]])))</f>
        <v/>
      </c>
      <c r="BH178" s="43" t="n">
        <f aca="false">ROW()-ROW(Tasks[[#Headers],[ID]])</f>
        <v>173</v>
      </c>
      <c r="BI1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8" s="43" t="n">
        <f aca="false">IFERROR(N(INDEX(Tasks[_Level],Tasks[[#This Row],[_Row]]+1)),0)</f>
        <v>0</v>
      </c>
      <c r="BK178" s="66" t="b">
        <f aca="false">AND(Tasks[[#This Row],[Task Name]]&lt;&gt;"",Tasks[[#This Row],[_NextLevel]]&gt;Tasks[[#This Row],[_Level]])</f>
        <v>0</v>
      </c>
      <c r="BL178" s="43" t="n">
        <f aca="false">IF(Tasks[[#This Row],[_IsSummary]],COUNTIF(Tasks[WBS],Tasks[[#This Row],[WBS]]&amp;".*"),0)</f>
        <v>0</v>
      </c>
      <c r="BM178" s="43" t="n">
        <f aca="false">IF(AND(Tasks[[#This Row],[Task Name]]&lt;&gt;"",NOT(Tasks[[#This Row],[_IsSummary]])),1,0)</f>
        <v>0</v>
      </c>
      <c r="BN178" s="43" t="n">
        <f aca="false">IF(N(Tasks[[#This Row],[Pred1 UID]])=0,0,IFERROR(MATCH(Tasks[[#This Row],[Pred1 UID]],Tasks[UID],0),-1))</f>
        <v>0</v>
      </c>
      <c r="BO178" s="43" t="n">
        <f aca="false">IF(N(Tasks[[#This Row],[Pred2 UID]])=0,0,IFERROR(MATCH(Tasks[[#This Row],[Pred2 UID]],Tasks[UID],0),-1))</f>
        <v>0</v>
      </c>
      <c r="BP17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8" s="43" t="n">
        <f aca="false">IF(NOT(Tasks[[#This Row],[_IsLeaf]]=1),0,IF(N(Tasks[[#This Row],[Actual Finish]])&gt;0,1,MIN(1,N(Tasks[[#This Row],[% Complete]]))))</f>
        <v>0</v>
      </c>
      <c r="BU1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8" s="43" t="n">
        <f aca="false">IF(Tasks[[#This Row],[_LeafWork]]=0,0,Tasks[[#This Row],[_LeafWork]]*IFERROR(INDEX(res_Rate,MATCH(Tasks[[#This Row],[Resource]],res_Name,0)),0))</f>
        <v>0</v>
      </c>
      <c r="BW1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8" s="43" t="n">
        <f aca="false">IF(NOT(Tasks[[#This Row],[_IsLeaf]]=1),0,MAX(_xlfn.MAXIFS(Tasks[_Row],Tasks[Pred1 UID],Tasks[[#This Row],[UID]]),_xlfn.MAXIFS(Tasks[_Row],Tasks[Pred2 UID],Tasks[[#This Row],[UID]])))</f>
        <v>0</v>
      </c>
      <c r="CB17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8" s="67" t="str">
        <f aca="false">IF(NOT(Tasks[[#This Row],[_IsLeaf]]=1),"",MIN(ProjectFinish,IF(N(Tasks[[#This Row],[Deadline]])&gt;0,Tasks[[#This Row],[Deadline]],2958465),Tasks[[#This Row],[_SuccessorFinishLimit]]))</f>
        <v/>
      </c>
      <c r="CD17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8" s="66" t="b">
        <f aca="false">AND(Tasks[[#This Row],[_IsLeaf]]=1,Tasks[[#This Row],[_LeafProgress]]&lt;1,N(Tasks[[#This Row],[_LeafTotalSlack]])&lt;=CriticalSlackDays)</f>
        <v>0</v>
      </c>
      <c r="CG17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8" s="43" t="n">
        <f aca="false">IF(AND(Tasks[[#This Row],[_IsLeaf]]=1,Tasks[[#This Row],[_LeafWork]]&gt;0),NETWORKDAYS.INTL(ProjectStart,Tasks[[#This Row],[_LeafFcstStart]],WorkWeek,Holidays),0)</f>
        <v>0</v>
      </c>
      <c r="CP1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8" s="43" t="n">
        <f aca="false">IF(AND(Tasks[[#This Row],[_IsLeaf]]=1,Tasks[[#This Row],[_LeafWork]]&gt;0),Tasks[[#This Row],[_LeafWork]]/(Tasks[[#This Row],[_FinishWorkday]]-Tasks[[#This Row],[_StartWorkday]]+1),0)</f>
        <v>0</v>
      </c>
      <c r="CR178" s="43" t="n">
        <f aca="false">Tasks[[#This Row],[_WorkPerWorkday]]*(Tasks[[#This Row],[_StartWorkday]]-1)</f>
        <v>-0</v>
      </c>
      <c r="CS178" s="43" t="n">
        <f aca="false">IF(Tasks[[#This Row],[_IsLeaf]]=1,MAX(N(Tasks[[#This Row],[Duration]]),0.1),0)</f>
        <v>0</v>
      </c>
      <c r="CT178" s="43" t="n">
        <f aca="false">Tasks[[#This Row],[_WeightDur]]*Tasks[[#This Row],[_LeafProgress]]</f>
        <v>0</v>
      </c>
      <c r="CU1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8" s="43" t="str">
        <f aca="false">IF(AND(Tasks[[#This Row],[_IsLeaf]]=1,N(Tasks[[#This Row],[Duration]])=0,Tasks[[#This Row],[_LeafProgress]]&lt;1),Tasks[[#This Row],[_LeafFcstFinish]]+Tasks[[#This Row],[_Row]]/100000,"")</f>
        <v/>
      </c>
      <c r="DA1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8" s="43" t="n">
        <f aca="false">IF(NOT(Tasks[[#This Row],[_IsLeaf]]=1),0,IF(Tasks[[#This Row],[Baseline Cost]]="",Tasks[[#This Row],[_LeafCost]],N(Tasks[[#This Row],[Baseline Cost]])))</f>
        <v>0</v>
      </c>
      <c r="DC178" s="43" t="n">
        <f aca="false">Tasks[[#This Row],[_LeafBudget]]*Tasks[[#This Row],[_PlannedPct]]</f>
        <v>0</v>
      </c>
      <c r="DD178" s="43" t="n">
        <f aca="false">Tasks[[#This Row],[_LeafBudget]]*Tasks[[#This Row],[_LeafProgress]]</f>
        <v>0</v>
      </c>
      <c r="DE178" s="43" t="n">
        <f aca="false">IF(NOT(Tasks[[#This Row],[_IsLeaf]]=1),0,IF(Tasks[[#This Row],[Actual Cost]]="",Tasks[[#This Row],[_LeafCost]]*Tasks[[#This Row],[_LeafProgress]],N(Tasks[[#This Row],[Actual Cost]])))</f>
        <v>0</v>
      </c>
      <c r="DF178" s="43" t="str">
        <f aca="false">IF(Tasks[[#This Row],[Task Name]]="","",LEFT(Tasks[[#This Row],[WBS]],FIND(".",Tasks[[#This Row],[WBS]]&amp;".")-1))</f>
        <v/>
      </c>
      <c r="DG178" s="43" t="str">
        <f aca="false">IF(AND(Tasks[[#This Row],[Task Name]]&lt;&gt;"",Tasks[[#This Row],[_Level]]=1),Tasks[[#This Row],[_Row]],"")</f>
        <v/>
      </c>
      <c r="DH178" s="43" t="str">
        <f aca="false">IF(AND(Tasks[[#This Row],[_IsLeaf]]=1,N(Tasks[[#This Row],[Duration]])=0),Tasks[[#This Row],[Planned Finish]]+Tasks[[#This Row],[_Row]]/100000,"")</f>
        <v/>
      </c>
      <c r="DI1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8" s="43" t="str">
        <f aca="false">IF(Tasks[[#This Row],[_LeafCritical]],Tasks[[#This Row],[_LeafFcstStart]]+Tasks[[#This Row],[_Row]]/100000,"")</f>
        <v/>
      </c>
    </row>
    <row r="179" customFormat="false" ht="15" hidden="false" customHeight="false" outlineLevel="0" collapsed="false">
      <c r="A179" s="28" t="str">
        <f aca="false">IF(Tasks[[#This Row],[Task Name]]="","",COUNTA(Tasks[[#Headers],[Task Name]]:Tasks[[#This Row],[Task Name]])-1)</f>
        <v/>
      </c>
      <c r="B179" s="29" t="n">
        <v>174</v>
      </c>
      <c r="C1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29"/>
      <c r="E179" s="30"/>
      <c r="F179" s="29"/>
      <c r="G179" s="29"/>
      <c r="H179" s="29"/>
      <c r="I179" s="29"/>
      <c r="J179" s="29"/>
      <c r="K179" s="29"/>
      <c r="L179" s="29"/>
      <c r="M179" s="29"/>
      <c r="N179" s="53"/>
      <c r="O179" s="53"/>
      <c r="P179" s="25" t="str">
        <f aca="false">IF(Tasks[[#This Row],[Task Name]]="","",IF(N(Tasks[[#This Row],[Baseline Start]])&gt;0,Tasks[[#This Row],[Baseline Start]],Tasks[[#This Row],[_CalcStart]]))</f>
        <v/>
      </c>
      <c r="Q179" s="25" t="str">
        <f aca="false">IF(Tasks[[#This Row],[Task Name]]="","",IF(N(Tasks[[#This Row],[Baseline Finish]])&gt;0,Tasks[[#This Row],[Baseline Finish]],Tasks[[#This Row],[_CalcFinish]]))</f>
        <v/>
      </c>
      <c r="R179" s="53"/>
      <c r="S179" s="53"/>
      <c r="T1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55"/>
      <c r="AF17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30"/>
      <c r="AI179" s="55"/>
      <c r="AJ17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64"/>
      <c r="AM17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79" s="30"/>
      <c r="AP179" s="25" t="str">
        <f aca="false">IF(Tasks[[#This Row],[Task Name]]="","",Tasks[[#This Row],[Forecast Start]])</f>
        <v/>
      </c>
      <c r="AQ179" s="25" t="str">
        <f aca="false">IF(Tasks[[#This Row],[Task Name]]="","",Tasks[[#This Row],[Forecast Finish]])</f>
        <v/>
      </c>
      <c r="AR1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79" s="62" t="str">
        <f aca="false">IF(Tasks[[#This Row],[Task Name]]="","",Tasks[[#This Row],[Work]])</f>
        <v/>
      </c>
      <c r="AT179" s="63" t="str">
        <f aca="false">IF(Tasks[[#This Row],[Task Name]]="","",Tasks[[#This Row],[Cost]])</f>
        <v/>
      </c>
      <c r="AU179" s="53"/>
      <c r="AV179" s="53"/>
      <c r="AW179" s="29"/>
      <c r="AX179" s="65"/>
      <c r="AY179" s="64"/>
      <c r="AZ179" s="28" t="str">
        <f aca="false">IF(OR(Tasks[[#This Row],[Task Name]]="",Tasks[[#This Row],[Baseline Duration]]=""),"",Tasks[[#This Row],[BL Source Duration]]-N(Tasks[[#This Row],[Baseline Duration]]))</f>
        <v/>
      </c>
      <c r="BA179" s="62" t="str">
        <f aca="false">IF(OR(Tasks[[#This Row],[Task Name]]="",Tasks[[#This Row],[Baseline Work]]=""),"",Tasks[[#This Row],[Work]]-N(Tasks[[#This Row],[Baseline Work]]))</f>
        <v/>
      </c>
      <c r="BB179" s="63" t="str">
        <f aca="false">IF(OR(Tasks[[#This Row],[Task Name]]="",Tasks[[#This Row],[Baseline Cost]]=""),"",Tasks[[#This Row],[Cost]]-N(Tasks[[#This Row],[Baseline Cost]]))</f>
        <v/>
      </c>
      <c r="BC17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7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7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7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79" s="43" t="str">
        <f aca="false">IF(Tasks[[#This Row],[Task Name]]="","",MAX(1,N(Tasks[[#This Row],[Level]])))</f>
        <v/>
      </c>
      <c r="BH179" s="43" t="n">
        <f aca="false">ROW()-ROW(Tasks[[#Headers],[ID]])</f>
        <v>174</v>
      </c>
      <c r="BI1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79" s="43" t="n">
        <f aca="false">IFERROR(N(INDEX(Tasks[_Level],Tasks[[#This Row],[_Row]]+1)),0)</f>
        <v>0</v>
      </c>
      <c r="BK179" s="66" t="b">
        <f aca="false">AND(Tasks[[#This Row],[Task Name]]&lt;&gt;"",Tasks[[#This Row],[_NextLevel]]&gt;Tasks[[#This Row],[_Level]])</f>
        <v>0</v>
      </c>
      <c r="BL179" s="43" t="n">
        <f aca="false">IF(Tasks[[#This Row],[_IsSummary]],COUNTIF(Tasks[WBS],Tasks[[#This Row],[WBS]]&amp;".*"),0)</f>
        <v>0</v>
      </c>
      <c r="BM179" s="43" t="n">
        <f aca="false">IF(AND(Tasks[[#This Row],[Task Name]]&lt;&gt;"",NOT(Tasks[[#This Row],[_IsSummary]])),1,0)</f>
        <v>0</v>
      </c>
      <c r="BN179" s="43" t="n">
        <f aca="false">IF(N(Tasks[[#This Row],[Pred1 UID]])=0,0,IFERROR(MATCH(Tasks[[#This Row],[Pred1 UID]],Tasks[UID],0),-1))</f>
        <v>0</v>
      </c>
      <c r="BO179" s="43" t="n">
        <f aca="false">IF(N(Tasks[[#This Row],[Pred2 UID]])=0,0,IFERROR(MATCH(Tasks[[#This Row],[Pred2 UID]],Tasks[UID],0),-1))</f>
        <v>0</v>
      </c>
      <c r="BP17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7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7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7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79" s="43" t="n">
        <f aca="false">IF(NOT(Tasks[[#This Row],[_IsLeaf]]=1),0,IF(N(Tasks[[#This Row],[Actual Finish]])&gt;0,1,MIN(1,N(Tasks[[#This Row],[% Complete]]))))</f>
        <v>0</v>
      </c>
      <c r="BU1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79" s="43" t="n">
        <f aca="false">IF(Tasks[[#This Row],[_LeafWork]]=0,0,Tasks[[#This Row],[_LeafWork]]*IFERROR(INDEX(res_Rate,MATCH(Tasks[[#This Row],[Resource]],res_Name,0)),0))</f>
        <v>0</v>
      </c>
      <c r="BW1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79" s="43" t="n">
        <f aca="false">IF(NOT(Tasks[[#This Row],[_IsLeaf]]=1),0,MAX(_xlfn.MAXIFS(Tasks[_Row],Tasks[Pred1 UID],Tasks[[#This Row],[UID]]),_xlfn.MAXIFS(Tasks[_Row],Tasks[Pred2 UID],Tasks[[#This Row],[UID]])))</f>
        <v>0</v>
      </c>
      <c r="CB17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79" s="67" t="str">
        <f aca="false">IF(NOT(Tasks[[#This Row],[_IsLeaf]]=1),"",MIN(ProjectFinish,IF(N(Tasks[[#This Row],[Deadline]])&gt;0,Tasks[[#This Row],[Deadline]],2958465),Tasks[[#This Row],[_SuccessorFinishLimit]]))</f>
        <v/>
      </c>
      <c r="CD17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79" s="66" t="b">
        <f aca="false">AND(Tasks[[#This Row],[_IsLeaf]]=1,Tasks[[#This Row],[_LeafProgress]]&lt;1,N(Tasks[[#This Row],[_LeafTotalSlack]])&lt;=CriticalSlackDays)</f>
        <v>0</v>
      </c>
      <c r="CG17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7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7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7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7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7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79" s="43" t="n">
        <f aca="false">IF(AND(Tasks[[#This Row],[_IsLeaf]]=1,Tasks[[#This Row],[_LeafWork]]&gt;0),NETWORKDAYS.INTL(ProjectStart,Tasks[[#This Row],[_LeafFcstStart]],WorkWeek,Holidays),0)</f>
        <v>0</v>
      </c>
      <c r="CP1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79" s="43" t="n">
        <f aca="false">IF(AND(Tasks[[#This Row],[_IsLeaf]]=1,Tasks[[#This Row],[_LeafWork]]&gt;0),Tasks[[#This Row],[_LeafWork]]/(Tasks[[#This Row],[_FinishWorkday]]-Tasks[[#This Row],[_StartWorkday]]+1),0)</f>
        <v>0</v>
      </c>
      <c r="CR179" s="43" t="n">
        <f aca="false">Tasks[[#This Row],[_WorkPerWorkday]]*(Tasks[[#This Row],[_StartWorkday]]-1)</f>
        <v>-0</v>
      </c>
      <c r="CS179" s="43" t="n">
        <f aca="false">IF(Tasks[[#This Row],[_IsLeaf]]=1,MAX(N(Tasks[[#This Row],[Duration]]),0.1),0)</f>
        <v>0</v>
      </c>
      <c r="CT179" s="43" t="n">
        <f aca="false">Tasks[[#This Row],[_WeightDur]]*Tasks[[#This Row],[_LeafProgress]]</f>
        <v>0</v>
      </c>
      <c r="CU1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79" s="43" t="str">
        <f aca="false">IF(AND(Tasks[[#This Row],[_IsLeaf]]=1,N(Tasks[[#This Row],[Duration]])=0,Tasks[[#This Row],[_LeafProgress]]&lt;1),Tasks[[#This Row],[_LeafFcstFinish]]+Tasks[[#This Row],[_Row]]/100000,"")</f>
        <v/>
      </c>
      <c r="DA1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79" s="43" t="n">
        <f aca="false">IF(NOT(Tasks[[#This Row],[_IsLeaf]]=1),0,IF(Tasks[[#This Row],[Baseline Cost]]="",Tasks[[#This Row],[_LeafCost]],N(Tasks[[#This Row],[Baseline Cost]])))</f>
        <v>0</v>
      </c>
      <c r="DC179" s="43" t="n">
        <f aca="false">Tasks[[#This Row],[_LeafBudget]]*Tasks[[#This Row],[_PlannedPct]]</f>
        <v>0</v>
      </c>
      <c r="DD179" s="43" t="n">
        <f aca="false">Tasks[[#This Row],[_LeafBudget]]*Tasks[[#This Row],[_LeafProgress]]</f>
        <v>0</v>
      </c>
      <c r="DE179" s="43" t="n">
        <f aca="false">IF(NOT(Tasks[[#This Row],[_IsLeaf]]=1),0,IF(Tasks[[#This Row],[Actual Cost]]="",Tasks[[#This Row],[_LeafCost]]*Tasks[[#This Row],[_LeafProgress]],N(Tasks[[#This Row],[Actual Cost]])))</f>
        <v>0</v>
      </c>
      <c r="DF179" s="43" t="str">
        <f aca="false">IF(Tasks[[#This Row],[Task Name]]="","",LEFT(Tasks[[#This Row],[WBS]],FIND(".",Tasks[[#This Row],[WBS]]&amp;".")-1))</f>
        <v/>
      </c>
      <c r="DG179" s="43" t="str">
        <f aca="false">IF(AND(Tasks[[#This Row],[Task Name]]&lt;&gt;"",Tasks[[#This Row],[_Level]]=1),Tasks[[#This Row],[_Row]],"")</f>
        <v/>
      </c>
      <c r="DH179" s="43" t="str">
        <f aca="false">IF(AND(Tasks[[#This Row],[_IsLeaf]]=1,N(Tasks[[#This Row],[Duration]])=0),Tasks[[#This Row],[Planned Finish]]+Tasks[[#This Row],[_Row]]/100000,"")</f>
        <v/>
      </c>
      <c r="DI1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79" s="43" t="str">
        <f aca="false">IF(Tasks[[#This Row],[_LeafCritical]],Tasks[[#This Row],[_LeafFcstStart]]+Tasks[[#This Row],[_Row]]/100000,"")</f>
        <v/>
      </c>
    </row>
    <row r="180" customFormat="false" ht="15" hidden="false" customHeight="false" outlineLevel="0" collapsed="false">
      <c r="A180" s="28" t="str">
        <f aca="false">IF(Tasks[[#This Row],[Task Name]]="","",COUNTA(Tasks[[#Headers],[Task Name]]:Tasks[[#This Row],[Task Name]])-1)</f>
        <v/>
      </c>
      <c r="B180" s="29" t="n">
        <v>175</v>
      </c>
      <c r="C1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29"/>
      <c r="E180" s="30"/>
      <c r="F180" s="29"/>
      <c r="G180" s="29"/>
      <c r="H180" s="29"/>
      <c r="I180" s="29"/>
      <c r="J180" s="29"/>
      <c r="K180" s="29"/>
      <c r="L180" s="29"/>
      <c r="M180" s="29"/>
      <c r="N180" s="53"/>
      <c r="O180" s="53"/>
      <c r="P180" s="25" t="str">
        <f aca="false">IF(Tasks[[#This Row],[Task Name]]="","",IF(N(Tasks[[#This Row],[Baseline Start]])&gt;0,Tasks[[#This Row],[Baseline Start]],Tasks[[#This Row],[_CalcStart]]))</f>
        <v/>
      </c>
      <c r="Q180" s="25" t="str">
        <f aca="false">IF(Tasks[[#This Row],[Task Name]]="","",IF(N(Tasks[[#This Row],[Baseline Finish]])&gt;0,Tasks[[#This Row],[Baseline Finish]],Tasks[[#This Row],[_CalcFinish]]))</f>
        <v/>
      </c>
      <c r="R180" s="53"/>
      <c r="S180" s="53"/>
      <c r="T1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55"/>
      <c r="AF18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30"/>
      <c r="AI180" s="55"/>
      <c r="AJ18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64"/>
      <c r="AM18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0" s="30"/>
      <c r="AP180" s="25" t="str">
        <f aca="false">IF(Tasks[[#This Row],[Task Name]]="","",Tasks[[#This Row],[Forecast Start]])</f>
        <v/>
      </c>
      <c r="AQ180" s="25" t="str">
        <f aca="false">IF(Tasks[[#This Row],[Task Name]]="","",Tasks[[#This Row],[Forecast Finish]])</f>
        <v/>
      </c>
      <c r="AR1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0" s="62" t="str">
        <f aca="false">IF(Tasks[[#This Row],[Task Name]]="","",Tasks[[#This Row],[Work]])</f>
        <v/>
      </c>
      <c r="AT180" s="63" t="str">
        <f aca="false">IF(Tasks[[#This Row],[Task Name]]="","",Tasks[[#This Row],[Cost]])</f>
        <v/>
      </c>
      <c r="AU180" s="53"/>
      <c r="AV180" s="53"/>
      <c r="AW180" s="29"/>
      <c r="AX180" s="65"/>
      <c r="AY180" s="64"/>
      <c r="AZ180" s="28" t="str">
        <f aca="false">IF(OR(Tasks[[#This Row],[Task Name]]="",Tasks[[#This Row],[Baseline Duration]]=""),"",Tasks[[#This Row],[BL Source Duration]]-N(Tasks[[#This Row],[Baseline Duration]]))</f>
        <v/>
      </c>
      <c r="BA180" s="62" t="str">
        <f aca="false">IF(OR(Tasks[[#This Row],[Task Name]]="",Tasks[[#This Row],[Baseline Work]]=""),"",Tasks[[#This Row],[Work]]-N(Tasks[[#This Row],[Baseline Work]]))</f>
        <v/>
      </c>
      <c r="BB180" s="63" t="str">
        <f aca="false">IF(OR(Tasks[[#This Row],[Task Name]]="",Tasks[[#This Row],[Baseline Cost]]=""),"",Tasks[[#This Row],[Cost]]-N(Tasks[[#This Row],[Baseline Cost]]))</f>
        <v/>
      </c>
      <c r="BC18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0" s="43" t="str">
        <f aca="false">IF(Tasks[[#This Row],[Task Name]]="","",MAX(1,N(Tasks[[#This Row],[Level]])))</f>
        <v/>
      </c>
      <c r="BH180" s="43" t="n">
        <f aca="false">ROW()-ROW(Tasks[[#Headers],[ID]])</f>
        <v>175</v>
      </c>
      <c r="BI1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0" s="43" t="n">
        <f aca="false">IFERROR(N(INDEX(Tasks[_Level],Tasks[[#This Row],[_Row]]+1)),0)</f>
        <v>0</v>
      </c>
      <c r="BK180" s="66" t="b">
        <f aca="false">AND(Tasks[[#This Row],[Task Name]]&lt;&gt;"",Tasks[[#This Row],[_NextLevel]]&gt;Tasks[[#This Row],[_Level]])</f>
        <v>0</v>
      </c>
      <c r="BL180" s="43" t="n">
        <f aca="false">IF(Tasks[[#This Row],[_IsSummary]],COUNTIF(Tasks[WBS],Tasks[[#This Row],[WBS]]&amp;".*"),0)</f>
        <v>0</v>
      </c>
      <c r="BM180" s="43" t="n">
        <f aca="false">IF(AND(Tasks[[#This Row],[Task Name]]&lt;&gt;"",NOT(Tasks[[#This Row],[_IsSummary]])),1,0)</f>
        <v>0</v>
      </c>
      <c r="BN180" s="43" t="n">
        <f aca="false">IF(N(Tasks[[#This Row],[Pred1 UID]])=0,0,IFERROR(MATCH(Tasks[[#This Row],[Pred1 UID]],Tasks[UID],0),-1))</f>
        <v>0</v>
      </c>
      <c r="BO180" s="43" t="n">
        <f aca="false">IF(N(Tasks[[#This Row],[Pred2 UID]])=0,0,IFERROR(MATCH(Tasks[[#This Row],[Pred2 UID]],Tasks[UID],0),-1))</f>
        <v>0</v>
      </c>
      <c r="BP18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0" s="43" t="n">
        <f aca="false">IF(NOT(Tasks[[#This Row],[_IsLeaf]]=1),0,IF(N(Tasks[[#This Row],[Actual Finish]])&gt;0,1,MIN(1,N(Tasks[[#This Row],[% Complete]]))))</f>
        <v>0</v>
      </c>
      <c r="BU1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0" s="43" t="n">
        <f aca="false">IF(Tasks[[#This Row],[_LeafWork]]=0,0,Tasks[[#This Row],[_LeafWork]]*IFERROR(INDEX(res_Rate,MATCH(Tasks[[#This Row],[Resource]],res_Name,0)),0))</f>
        <v>0</v>
      </c>
      <c r="BW1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0" s="43" t="n">
        <f aca="false">IF(NOT(Tasks[[#This Row],[_IsLeaf]]=1),0,MAX(_xlfn.MAXIFS(Tasks[_Row],Tasks[Pred1 UID],Tasks[[#This Row],[UID]]),_xlfn.MAXIFS(Tasks[_Row],Tasks[Pred2 UID],Tasks[[#This Row],[UID]])))</f>
        <v>0</v>
      </c>
      <c r="CB18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0" s="67" t="str">
        <f aca="false">IF(NOT(Tasks[[#This Row],[_IsLeaf]]=1),"",MIN(ProjectFinish,IF(N(Tasks[[#This Row],[Deadline]])&gt;0,Tasks[[#This Row],[Deadline]],2958465),Tasks[[#This Row],[_SuccessorFinishLimit]]))</f>
        <v/>
      </c>
      <c r="CD18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0" s="66" t="b">
        <f aca="false">AND(Tasks[[#This Row],[_IsLeaf]]=1,Tasks[[#This Row],[_LeafProgress]]&lt;1,N(Tasks[[#This Row],[_LeafTotalSlack]])&lt;=CriticalSlackDays)</f>
        <v>0</v>
      </c>
      <c r="CG18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0" s="43" t="n">
        <f aca="false">IF(AND(Tasks[[#This Row],[_IsLeaf]]=1,Tasks[[#This Row],[_LeafWork]]&gt;0),NETWORKDAYS.INTL(ProjectStart,Tasks[[#This Row],[_LeafFcstStart]],WorkWeek,Holidays),0)</f>
        <v>0</v>
      </c>
      <c r="CP1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0" s="43" t="n">
        <f aca="false">IF(AND(Tasks[[#This Row],[_IsLeaf]]=1,Tasks[[#This Row],[_LeafWork]]&gt;0),Tasks[[#This Row],[_LeafWork]]/(Tasks[[#This Row],[_FinishWorkday]]-Tasks[[#This Row],[_StartWorkday]]+1),0)</f>
        <v>0</v>
      </c>
      <c r="CR180" s="43" t="n">
        <f aca="false">Tasks[[#This Row],[_WorkPerWorkday]]*(Tasks[[#This Row],[_StartWorkday]]-1)</f>
        <v>-0</v>
      </c>
      <c r="CS180" s="43" t="n">
        <f aca="false">IF(Tasks[[#This Row],[_IsLeaf]]=1,MAX(N(Tasks[[#This Row],[Duration]]),0.1),0)</f>
        <v>0</v>
      </c>
      <c r="CT180" s="43" t="n">
        <f aca="false">Tasks[[#This Row],[_WeightDur]]*Tasks[[#This Row],[_LeafProgress]]</f>
        <v>0</v>
      </c>
      <c r="CU1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0" s="43" t="str">
        <f aca="false">IF(AND(Tasks[[#This Row],[_IsLeaf]]=1,N(Tasks[[#This Row],[Duration]])=0,Tasks[[#This Row],[_LeafProgress]]&lt;1),Tasks[[#This Row],[_LeafFcstFinish]]+Tasks[[#This Row],[_Row]]/100000,"")</f>
        <v/>
      </c>
      <c r="DA1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0" s="43" t="n">
        <f aca="false">IF(NOT(Tasks[[#This Row],[_IsLeaf]]=1),0,IF(Tasks[[#This Row],[Baseline Cost]]="",Tasks[[#This Row],[_LeafCost]],N(Tasks[[#This Row],[Baseline Cost]])))</f>
        <v>0</v>
      </c>
      <c r="DC180" s="43" t="n">
        <f aca="false">Tasks[[#This Row],[_LeafBudget]]*Tasks[[#This Row],[_PlannedPct]]</f>
        <v>0</v>
      </c>
      <c r="DD180" s="43" t="n">
        <f aca="false">Tasks[[#This Row],[_LeafBudget]]*Tasks[[#This Row],[_LeafProgress]]</f>
        <v>0</v>
      </c>
      <c r="DE180" s="43" t="n">
        <f aca="false">IF(NOT(Tasks[[#This Row],[_IsLeaf]]=1),0,IF(Tasks[[#This Row],[Actual Cost]]="",Tasks[[#This Row],[_LeafCost]]*Tasks[[#This Row],[_LeafProgress]],N(Tasks[[#This Row],[Actual Cost]])))</f>
        <v>0</v>
      </c>
      <c r="DF180" s="43" t="str">
        <f aca="false">IF(Tasks[[#This Row],[Task Name]]="","",LEFT(Tasks[[#This Row],[WBS]],FIND(".",Tasks[[#This Row],[WBS]]&amp;".")-1))</f>
        <v/>
      </c>
      <c r="DG180" s="43" t="str">
        <f aca="false">IF(AND(Tasks[[#This Row],[Task Name]]&lt;&gt;"",Tasks[[#This Row],[_Level]]=1),Tasks[[#This Row],[_Row]],"")</f>
        <v/>
      </c>
      <c r="DH180" s="43" t="str">
        <f aca="false">IF(AND(Tasks[[#This Row],[_IsLeaf]]=1,N(Tasks[[#This Row],[Duration]])=0),Tasks[[#This Row],[Planned Finish]]+Tasks[[#This Row],[_Row]]/100000,"")</f>
        <v/>
      </c>
      <c r="DI1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0" s="43" t="str">
        <f aca="false">IF(Tasks[[#This Row],[_LeafCritical]],Tasks[[#This Row],[_LeafFcstStart]]+Tasks[[#This Row],[_Row]]/100000,"")</f>
        <v/>
      </c>
    </row>
    <row r="181" customFormat="false" ht="15" hidden="false" customHeight="false" outlineLevel="0" collapsed="false">
      <c r="A181" s="28" t="str">
        <f aca="false">IF(Tasks[[#This Row],[Task Name]]="","",COUNTA(Tasks[[#Headers],[Task Name]]:Tasks[[#This Row],[Task Name]])-1)</f>
        <v/>
      </c>
      <c r="B181" s="29" t="n">
        <v>176</v>
      </c>
      <c r="C1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29"/>
      <c r="E181" s="30"/>
      <c r="F181" s="29"/>
      <c r="G181" s="29"/>
      <c r="H181" s="29"/>
      <c r="I181" s="29"/>
      <c r="J181" s="29"/>
      <c r="K181" s="29"/>
      <c r="L181" s="29"/>
      <c r="M181" s="29"/>
      <c r="N181" s="53"/>
      <c r="O181" s="53"/>
      <c r="P181" s="25" t="str">
        <f aca="false">IF(Tasks[[#This Row],[Task Name]]="","",IF(N(Tasks[[#This Row],[Baseline Start]])&gt;0,Tasks[[#This Row],[Baseline Start]],Tasks[[#This Row],[_CalcStart]]))</f>
        <v/>
      </c>
      <c r="Q181" s="25" t="str">
        <f aca="false">IF(Tasks[[#This Row],[Task Name]]="","",IF(N(Tasks[[#This Row],[Baseline Finish]])&gt;0,Tasks[[#This Row],[Baseline Finish]],Tasks[[#This Row],[_CalcFinish]]))</f>
        <v/>
      </c>
      <c r="R181" s="53"/>
      <c r="S181" s="53"/>
      <c r="T1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55"/>
      <c r="AF18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30"/>
      <c r="AI181" s="55"/>
      <c r="AJ18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64"/>
      <c r="AM18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1" s="30"/>
      <c r="AP181" s="25" t="str">
        <f aca="false">IF(Tasks[[#This Row],[Task Name]]="","",Tasks[[#This Row],[Forecast Start]])</f>
        <v/>
      </c>
      <c r="AQ181" s="25" t="str">
        <f aca="false">IF(Tasks[[#This Row],[Task Name]]="","",Tasks[[#This Row],[Forecast Finish]])</f>
        <v/>
      </c>
      <c r="AR1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1" s="62" t="str">
        <f aca="false">IF(Tasks[[#This Row],[Task Name]]="","",Tasks[[#This Row],[Work]])</f>
        <v/>
      </c>
      <c r="AT181" s="63" t="str">
        <f aca="false">IF(Tasks[[#This Row],[Task Name]]="","",Tasks[[#This Row],[Cost]])</f>
        <v/>
      </c>
      <c r="AU181" s="53"/>
      <c r="AV181" s="53"/>
      <c r="AW181" s="29"/>
      <c r="AX181" s="65"/>
      <c r="AY181" s="64"/>
      <c r="AZ181" s="28" t="str">
        <f aca="false">IF(OR(Tasks[[#This Row],[Task Name]]="",Tasks[[#This Row],[Baseline Duration]]=""),"",Tasks[[#This Row],[BL Source Duration]]-N(Tasks[[#This Row],[Baseline Duration]]))</f>
        <v/>
      </c>
      <c r="BA181" s="62" t="str">
        <f aca="false">IF(OR(Tasks[[#This Row],[Task Name]]="",Tasks[[#This Row],[Baseline Work]]=""),"",Tasks[[#This Row],[Work]]-N(Tasks[[#This Row],[Baseline Work]]))</f>
        <v/>
      </c>
      <c r="BB181" s="63" t="str">
        <f aca="false">IF(OR(Tasks[[#This Row],[Task Name]]="",Tasks[[#This Row],[Baseline Cost]]=""),"",Tasks[[#This Row],[Cost]]-N(Tasks[[#This Row],[Baseline Cost]]))</f>
        <v/>
      </c>
      <c r="BC18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1" s="43" t="str">
        <f aca="false">IF(Tasks[[#This Row],[Task Name]]="","",MAX(1,N(Tasks[[#This Row],[Level]])))</f>
        <v/>
      </c>
      <c r="BH181" s="43" t="n">
        <f aca="false">ROW()-ROW(Tasks[[#Headers],[ID]])</f>
        <v>176</v>
      </c>
      <c r="BI1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1" s="43" t="n">
        <f aca="false">IFERROR(N(INDEX(Tasks[_Level],Tasks[[#This Row],[_Row]]+1)),0)</f>
        <v>0</v>
      </c>
      <c r="BK181" s="66" t="b">
        <f aca="false">AND(Tasks[[#This Row],[Task Name]]&lt;&gt;"",Tasks[[#This Row],[_NextLevel]]&gt;Tasks[[#This Row],[_Level]])</f>
        <v>0</v>
      </c>
      <c r="BL181" s="43" t="n">
        <f aca="false">IF(Tasks[[#This Row],[_IsSummary]],COUNTIF(Tasks[WBS],Tasks[[#This Row],[WBS]]&amp;".*"),0)</f>
        <v>0</v>
      </c>
      <c r="BM181" s="43" t="n">
        <f aca="false">IF(AND(Tasks[[#This Row],[Task Name]]&lt;&gt;"",NOT(Tasks[[#This Row],[_IsSummary]])),1,0)</f>
        <v>0</v>
      </c>
      <c r="BN181" s="43" t="n">
        <f aca="false">IF(N(Tasks[[#This Row],[Pred1 UID]])=0,0,IFERROR(MATCH(Tasks[[#This Row],[Pred1 UID]],Tasks[UID],0),-1))</f>
        <v>0</v>
      </c>
      <c r="BO181" s="43" t="n">
        <f aca="false">IF(N(Tasks[[#This Row],[Pred2 UID]])=0,0,IFERROR(MATCH(Tasks[[#This Row],[Pred2 UID]],Tasks[UID],0),-1))</f>
        <v>0</v>
      </c>
      <c r="BP18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1" s="43" t="n">
        <f aca="false">IF(NOT(Tasks[[#This Row],[_IsLeaf]]=1),0,IF(N(Tasks[[#This Row],[Actual Finish]])&gt;0,1,MIN(1,N(Tasks[[#This Row],[% Complete]]))))</f>
        <v>0</v>
      </c>
      <c r="BU1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1" s="43" t="n">
        <f aca="false">IF(Tasks[[#This Row],[_LeafWork]]=0,0,Tasks[[#This Row],[_LeafWork]]*IFERROR(INDEX(res_Rate,MATCH(Tasks[[#This Row],[Resource]],res_Name,0)),0))</f>
        <v>0</v>
      </c>
      <c r="BW1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1" s="43" t="n">
        <f aca="false">IF(NOT(Tasks[[#This Row],[_IsLeaf]]=1),0,MAX(_xlfn.MAXIFS(Tasks[_Row],Tasks[Pred1 UID],Tasks[[#This Row],[UID]]),_xlfn.MAXIFS(Tasks[_Row],Tasks[Pred2 UID],Tasks[[#This Row],[UID]])))</f>
        <v>0</v>
      </c>
      <c r="CB18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1" s="67" t="str">
        <f aca="false">IF(NOT(Tasks[[#This Row],[_IsLeaf]]=1),"",MIN(ProjectFinish,IF(N(Tasks[[#This Row],[Deadline]])&gt;0,Tasks[[#This Row],[Deadline]],2958465),Tasks[[#This Row],[_SuccessorFinishLimit]]))</f>
        <v/>
      </c>
      <c r="CD18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1" s="66" t="b">
        <f aca="false">AND(Tasks[[#This Row],[_IsLeaf]]=1,Tasks[[#This Row],[_LeafProgress]]&lt;1,N(Tasks[[#This Row],[_LeafTotalSlack]])&lt;=CriticalSlackDays)</f>
        <v>0</v>
      </c>
      <c r="CG18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1" s="43" t="n">
        <f aca="false">IF(AND(Tasks[[#This Row],[_IsLeaf]]=1,Tasks[[#This Row],[_LeafWork]]&gt;0),NETWORKDAYS.INTL(ProjectStart,Tasks[[#This Row],[_LeafFcstStart]],WorkWeek,Holidays),0)</f>
        <v>0</v>
      </c>
      <c r="CP1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1" s="43" t="n">
        <f aca="false">IF(AND(Tasks[[#This Row],[_IsLeaf]]=1,Tasks[[#This Row],[_LeafWork]]&gt;0),Tasks[[#This Row],[_LeafWork]]/(Tasks[[#This Row],[_FinishWorkday]]-Tasks[[#This Row],[_StartWorkday]]+1),0)</f>
        <v>0</v>
      </c>
      <c r="CR181" s="43" t="n">
        <f aca="false">Tasks[[#This Row],[_WorkPerWorkday]]*(Tasks[[#This Row],[_StartWorkday]]-1)</f>
        <v>-0</v>
      </c>
      <c r="CS181" s="43" t="n">
        <f aca="false">IF(Tasks[[#This Row],[_IsLeaf]]=1,MAX(N(Tasks[[#This Row],[Duration]]),0.1),0)</f>
        <v>0</v>
      </c>
      <c r="CT181" s="43" t="n">
        <f aca="false">Tasks[[#This Row],[_WeightDur]]*Tasks[[#This Row],[_LeafProgress]]</f>
        <v>0</v>
      </c>
      <c r="CU1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1" s="43" t="str">
        <f aca="false">IF(AND(Tasks[[#This Row],[_IsLeaf]]=1,N(Tasks[[#This Row],[Duration]])=0,Tasks[[#This Row],[_LeafProgress]]&lt;1),Tasks[[#This Row],[_LeafFcstFinish]]+Tasks[[#This Row],[_Row]]/100000,"")</f>
        <v/>
      </c>
      <c r="DA1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1" s="43" t="n">
        <f aca="false">IF(NOT(Tasks[[#This Row],[_IsLeaf]]=1),0,IF(Tasks[[#This Row],[Baseline Cost]]="",Tasks[[#This Row],[_LeafCost]],N(Tasks[[#This Row],[Baseline Cost]])))</f>
        <v>0</v>
      </c>
      <c r="DC181" s="43" t="n">
        <f aca="false">Tasks[[#This Row],[_LeafBudget]]*Tasks[[#This Row],[_PlannedPct]]</f>
        <v>0</v>
      </c>
      <c r="DD181" s="43" t="n">
        <f aca="false">Tasks[[#This Row],[_LeafBudget]]*Tasks[[#This Row],[_LeafProgress]]</f>
        <v>0</v>
      </c>
      <c r="DE181" s="43" t="n">
        <f aca="false">IF(NOT(Tasks[[#This Row],[_IsLeaf]]=1),0,IF(Tasks[[#This Row],[Actual Cost]]="",Tasks[[#This Row],[_LeafCost]]*Tasks[[#This Row],[_LeafProgress]],N(Tasks[[#This Row],[Actual Cost]])))</f>
        <v>0</v>
      </c>
      <c r="DF181" s="43" t="str">
        <f aca="false">IF(Tasks[[#This Row],[Task Name]]="","",LEFT(Tasks[[#This Row],[WBS]],FIND(".",Tasks[[#This Row],[WBS]]&amp;".")-1))</f>
        <v/>
      </c>
      <c r="DG181" s="43" t="str">
        <f aca="false">IF(AND(Tasks[[#This Row],[Task Name]]&lt;&gt;"",Tasks[[#This Row],[_Level]]=1),Tasks[[#This Row],[_Row]],"")</f>
        <v/>
      </c>
      <c r="DH181" s="43" t="str">
        <f aca="false">IF(AND(Tasks[[#This Row],[_IsLeaf]]=1,N(Tasks[[#This Row],[Duration]])=0),Tasks[[#This Row],[Planned Finish]]+Tasks[[#This Row],[_Row]]/100000,"")</f>
        <v/>
      </c>
      <c r="DI1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1" s="43" t="str">
        <f aca="false">IF(Tasks[[#This Row],[_LeafCritical]],Tasks[[#This Row],[_LeafFcstStart]]+Tasks[[#This Row],[_Row]]/100000,"")</f>
        <v/>
      </c>
    </row>
    <row r="182" customFormat="false" ht="15" hidden="false" customHeight="false" outlineLevel="0" collapsed="false">
      <c r="A182" s="28" t="str">
        <f aca="false">IF(Tasks[[#This Row],[Task Name]]="","",COUNTA(Tasks[[#Headers],[Task Name]]:Tasks[[#This Row],[Task Name]])-1)</f>
        <v/>
      </c>
      <c r="B182" s="29" t="n">
        <v>177</v>
      </c>
      <c r="C1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29"/>
      <c r="E182" s="30"/>
      <c r="F182" s="29"/>
      <c r="G182" s="29"/>
      <c r="H182" s="29"/>
      <c r="I182" s="29"/>
      <c r="J182" s="29"/>
      <c r="K182" s="29"/>
      <c r="L182" s="29"/>
      <c r="M182" s="29"/>
      <c r="N182" s="53"/>
      <c r="O182" s="53"/>
      <c r="P182" s="25" t="str">
        <f aca="false">IF(Tasks[[#This Row],[Task Name]]="","",IF(N(Tasks[[#This Row],[Baseline Start]])&gt;0,Tasks[[#This Row],[Baseline Start]],Tasks[[#This Row],[_CalcStart]]))</f>
        <v/>
      </c>
      <c r="Q182" s="25" t="str">
        <f aca="false">IF(Tasks[[#This Row],[Task Name]]="","",IF(N(Tasks[[#This Row],[Baseline Finish]])&gt;0,Tasks[[#This Row],[Baseline Finish]],Tasks[[#This Row],[_CalcFinish]]))</f>
        <v/>
      </c>
      <c r="R182" s="53"/>
      <c r="S182" s="53"/>
      <c r="T1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55"/>
      <c r="AF18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30"/>
      <c r="AI182" s="55"/>
      <c r="AJ18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64"/>
      <c r="AM18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2" s="30"/>
      <c r="AP182" s="25" t="str">
        <f aca="false">IF(Tasks[[#This Row],[Task Name]]="","",Tasks[[#This Row],[Forecast Start]])</f>
        <v/>
      </c>
      <c r="AQ182" s="25" t="str">
        <f aca="false">IF(Tasks[[#This Row],[Task Name]]="","",Tasks[[#This Row],[Forecast Finish]])</f>
        <v/>
      </c>
      <c r="AR1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2" s="62" t="str">
        <f aca="false">IF(Tasks[[#This Row],[Task Name]]="","",Tasks[[#This Row],[Work]])</f>
        <v/>
      </c>
      <c r="AT182" s="63" t="str">
        <f aca="false">IF(Tasks[[#This Row],[Task Name]]="","",Tasks[[#This Row],[Cost]])</f>
        <v/>
      </c>
      <c r="AU182" s="53"/>
      <c r="AV182" s="53"/>
      <c r="AW182" s="29"/>
      <c r="AX182" s="65"/>
      <c r="AY182" s="64"/>
      <c r="AZ182" s="28" t="str">
        <f aca="false">IF(OR(Tasks[[#This Row],[Task Name]]="",Tasks[[#This Row],[Baseline Duration]]=""),"",Tasks[[#This Row],[BL Source Duration]]-N(Tasks[[#This Row],[Baseline Duration]]))</f>
        <v/>
      </c>
      <c r="BA182" s="62" t="str">
        <f aca="false">IF(OR(Tasks[[#This Row],[Task Name]]="",Tasks[[#This Row],[Baseline Work]]=""),"",Tasks[[#This Row],[Work]]-N(Tasks[[#This Row],[Baseline Work]]))</f>
        <v/>
      </c>
      <c r="BB182" s="63" t="str">
        <f aca="false">IF(OR(Tasks[[#This Row],[Task Name]]="",Tasks[[#This Row],[Baseline Cost]]=""),"",Tasks[[#This Row],[Cost]]-N(Tasks[[#This Row],[Baseline Cost]]))</f>
        <v/>
      </c>
      <c r="BC18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2" s="43" t="str">
        <f aca="false">IF(Tasks[[#This Row],[Task Name]]="","",MAX(1,N(Tasks[[#This Row],[Level]])))</f>
        <v/>
      </c>
      <c r="BH182" s="43" t="n">
        <f aca="false">ROW()-ROW(Tasks[[#Headers],[ID]])</f>
        <v>177</v>
      </c>
      <c r="BI1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2" s="43" t="n">
        <f aca="false">IFERROR(N(INDEX(Tasks[_Level],Tasks[[#This Row],[_Row]]+1)),0)</f>
        <v>0</v>
      </c>
      <c r="BK182" s="66" t="b">
        <f aca="false">AND(Tasks[[#This Row],[Task Name]]&lt;&gt;"",Tasks[[#This Row],[_NextLevel]]&gt;Tasks[[#This Row],[_Level]])</f>
        <v>0</v>
      </c>
      <c r="BL182" s="43" t="n">
        <f aca="false">IF(Tasks[[#This Row],[_IsSummary]],COUNTIF(Tasks[WBS],Tasks[[#This Row],[WBS]]&amp;".*"),0)</f>
        <v>0</v>
      </c>
      <c r="BM182" s="43" t="n">
        <f aca="false">IF(AND(Tasks[[#This Row],[Task Name]]&lt;&gt;"",NOT(Tasks[[#This Row],[_IsSummary]])),1,0)</f>
        <v>0</v>
      </c>
      <c r="BN182" s="43" t="n">
        <f aca="false">IF(N(Tasks[[#This Row],[Pred1 UID]])=0,0,IFERROR(MATCH(Tasks[[#This Row],[Pred1 UID]],Tasks[UID],0),-1))</f>
        <v>0</v>
      </c>
      <c r="BO182" s="43" t="n">
        <f aca="false">IF(N(Tasks[[#This Row],[Pred2 UID]])=0,0,IFERROR(MATCH(Tasks[[#This Row],[Pred2 UID]],Tasks[UID],0),-1))</f>
        <v>0</v>
      </c>
      <c r="BP18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2" s="43" t="n">
        <f aca="false">IF(NOT(Tasks[[#This Row],[_IsLeaf]]=1),0,IF(N(Tasks[[#This Row],[Actual Finish]])&gt;0,1,MIN(1,N(Tasks[[#This Row],[% Complete]]))))</f>
        <v>0</v>
      </c>
      <c r="BU1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2" s="43" t="n">
        <f aca="false">IF(Tasks[[#This Row],[_LeafWork]]=0,0,Tasks[[#This Row],[_LeafWork]]*IFERROR(INDEX(res_Rate,MATCH(Tasks[[#This Row],[Resource]],res_Name,0)),0))</f>
        <v>0</v>
      </c>
      <c r="BW1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2" s="43" t="n">
        <f aca="false">IF(NOT(Tasks[[#This Row],[_IsLeaf]]=1),0,MAX(_xlfn.MAXIFS(Tasks[_Row],Tasks[Pred1 UID],Tasks[[#This Row],[UID]]),_xlfn.MAXIFS(Tasks[_Row],Tasks[Pred2 UID],Tasks[[#This Row],[UID]])))</f>
        <v>0</v>
      </c>
      <c r="CB18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2" s="67" t="str">
        <f aca="false">IF(NOT(Tasks[[#This Row],[_IsLeaf]]=1),"",MIN(ProjectFinish,IF(N(Tasks[[#This Row],[Deadline]])&gt;0,Tasks[[#This Row],[Deadline]],2958465),Tasks[[#This Row],[_SuccessorFinishLimit]]))</f>
        <v/>
      </c>
      <c r="CD18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2" s="66" t="b">
        <f aca="false">AND(Tasks[[#This Row],[_IsLeaf]]=1,Tasks[[#This Row],[_LeafProgress]]&lt;1,N(Tasks[[#This Row],[_LeafTotalSlack]])&lt;=CriticalSlackDays)</f>
        <v>0</v>
      </c>
      <c r="CG18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2" s="43" t="n">
        <f aca="false">IF(AND(Tasks[[#This Row],[_IsLeaf]]=1,Tasks[[#This Row],[_LeafWork]]&gt;0),NETWORKDAYS.INTL(ProjectStart,Tasks[[#This Row],[_LeafFcstStart]],WorkWeek,Holidays),0)</f>
        <v>0</v>
      </c>
      <c r="CP1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2" s="43" t="n">
        <f aca="false">IF(AND(Tasks[[#This Row],[_IsLeaf]]=1,Tasks[[#This Row],[_LeafWork]]&gt;0),Tasks[[#This Row],[_LeafWork]]/(Tasks[[#This Row],[_FinishWorkday]]-Tasks[[#This Row],[_StartWorkday]]+1),0)</f>
        <v>0</v>
      </c>
      <c r="CR182" s="43" t="n">
        <f aca="false">Tasks[[#This Row],[_WorkPerWorkday]]*(Tasks[[#This Row],[_StartWorkday]]-1)</f>
        <v>-0</v>
      </c>
      <c r="CS182" s="43" t="n">
        <f aca="false">IF(Tasks[[#This Row],[_IsLeaf]]=1,MAX(N(Tasks[[#This Row],[Duration]]),0.1),0)</f>
        <v>0</v>
      </c>
      <c r="CT182" s="43" t="n">
        <f aca="false">Tasks[[#This Row],[_WeightDur]]*Tasks[[#This Row],[_LeafProgress]]</f>
        <v>0</v>
      </c>
      <c r="CU1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2" s="43" t="str">
        <f aca="false">IF(AND(Tasks[[#This Row],[_IsLeaf]]=1,N(Tasks[[#This Row],[Duration]])=0,Tasks[[#This Row],[_LeafProgress]]&lt;1),Tasks[[#This Row],[_LeafFcstFinish]]+Tasks[[#This Row],[_Row]]/100000,"")</f>
        <v/>
      </c>
      <c r="DA1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2" s="43" t="n">
        <f aca="false">IF(NOT(Tasks[[#This Row],[_IsLeaf]]=1),0,IF(Tasks[[#This Row],[Baseline Cost]]="",Tasks[[#This Row],[_LeafCost]],N(Tasks[[#This Row],[Baseline Cost]])))</f>
        <v>0</v>
      </c>
      <c r="DC182" s="43" t="n">
        <f aca="false">Tasks[[#This Row],[_LeafBudget]]*Tasks[[#This Row],[_PlannedPct]]</f>
        <v>0</v>
      </c>
      <c r="DD182" s="43" t="n">
        <f aca="false">Tasks[[#This Row],[_LeafBudget]]*Tasks[[#This Row],[_LeafProgress]]</f>
        <v>0</v>
      </c>
      <c r="DE182" s="43" t="n">
        <f aca="false">IF(NOT(Tasks[[#This Row],[_IsLeaf]]=1),0,IF(Tasks[[#This Row],[Actual Cost]]="",Tasks[[#This Row],[_LeafCost]]*Tasks[[#This Row],[_LeafProgress]],N(Tasks[[#This Row],[Actual Cost]])))</f>
        <v>0</v>
      </c>
      <c r="DF182" s="43" t="str">
        <f aca="false">IF(Tasks[[#This Row],[Task Name]]="","",LEFT(Tasks[[#This Row],[WBS]],FIND(".",Tasks[[#This Row],[WBS]]&amp;".")-1))</f>
        <v/>
      </c>
      <c r="DG182" s="43" t="str">
        <f aca="false">IF(AND(Tasks[[#This Row],[Task Name]]&lt;&gt;"",Tasks[[#This Row],[_Level]]=1),Tasks[[#This Row],[_Row]],"")</f>
        <v/>
      </c>
      <c r="DH182" s="43" t="str">
        <f aca="false">IF(AND(Tasks[[#This Row],[_IsLeaf]]=1,N(Tasks[[#This Row],[Duration]])=0),Tasks[[#This Row],[Planned Finish]]+Tasks[[#This Row],[_Row]]/100000,"")</f>
        <v/>
      </c>
      <c r="DI1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2" s="43" t="str">
        <f aca="false">IF(Tasks[[#This Row],[_LeafCritical]],Tasks[[#This Row],[_LeafFcstStart]]+Tasks[[#This Row],[_Row]]/100000,"")</f>
        <v/>
      </c>
    </row>
    <row r="183" customFormat="false" ht="15" hidden="false" customHeight="false" outlineLevel="0" collapsed="false">
      <c r="A183" s="28" t="str">
        <f aca="false">IF(Tasks[[#This Row],[Task Name]]="","",COUNTA(Tasks[[#Headers],[Task Name]]:Tasks[[#This Row],[Task Name]])-1)</f>
        <v/>
      </c>
      <c r="B183" s="29" t="n">
        <v>178</v>
      </c>
      <c r="C1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29"/>
      <c r="E183" s="30"/>
      <c r="F183" s="29"/>
      <c r="G183" s="29"/>
      <c r="H183" s="29"/>
      <c r="I183" s="29"/>
      <c r="J183" s="29"/>
      <c r="K183" s="29"/>
      <c r="L183" s="29"/>
      <c r="M183" s="29"/>
      <c r="N183" s="53"/>
      <c r="O183" s="53"/>
      <c r="P183" s="25" t="str">
        <f aca="false">IF(Tasks[[#This Row],[Task Name]]="","",IF(N(Tasks[[#This Row],[Baseline Start]])&gt;0,Tasks[[#This Row],[Baseline Start]],Tasks[[#This Row],[_CalcStart]]))</f>
        <v/>
      </c>
      <c r="Q183" s="25" t="str">
        <f aca="false">IF(Tasks[[#This Row],[Task Name]]="","",IF(N(Tasks[[#This Row],[Baseline Finish]])&gt;0,Tasks[[#This Row],[Baseline Finish]],Tasks[[#This Row],[_CalcFinish]]))</f>
        <v/>
      </c>
      <c r="R183" s="53"/>
      <c r="S183" s="53"/>
      <c r="T1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55"/>
      <c r="AF18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30"/>
      <c r="AI183" s="55"/>
      <c r="AJ18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64"/>
      <c r="AM18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3" s="30"/>
      <c r="AP183" s="25" t="str">
        <f aca="false">IF(Tasks[[#This Row],[Task Name]]="","",Tasks[[#This Row],[Forecast Start]])</f>
        <v/>
      </c>
      <c r="AQ183" s="25" t="str">
        <f aca="false">IF(Tasks[[#This Row],[Task Name]]="","",Tasks[[#This Row],[Forecast Finish]])</f>
        <v/>
      </c>
      <c r="AR1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3" s="62" t="str">
        <f aca="false">IF(Tasks[[#This Row],[Task Name]]="","",Tasks[[#This Row],[Work]])</f>
        <v/>
      </c>
      <c r="AT183" s="63" t="str">
        <f aca="false">IF(Tasks[[#This Row],[Task Name]]="","",Tasks[[#This Row],[Cost]])</f>
        <v/>
      </c>
      <c r="AU183" s="53"/>
      <c r="AV183" s="53"/>
      <c r="AW183" s="29"/>
      <c r="AX183" s="65"/>
      <c r="AY183" s="64"/>
      <c r="AZ183" s="28" t="str">
        <f aca="false">IF(OR(Tasks[[#This Row],[Task Name]]="",Tasks[[#This Row],[Baseline Duration]]=""),"",Tasks[[#This Row],[BL Source Duration]]-N(Tasks[[#This Row],[Baseline Duration]]))</f>
        <v/>
      </c>
      <c r="BA183" s="62" t="str">
        <f aca="false">IF(OR(Tasks[[#This Row],[Task Name]]="",Tasks[[#This Row],[Baseline Work]]=""),"",Tasks[[#This Row],[Work]]-N(Tasks[[#This Row],[Baseline Work]]))</f>
        <v/>
      </c>
      <c r="BB183" s="63" t="str">
        <f aca="false">IF(OR(Tasks[[#This Row],[Task Name]]="",Tasks[[#This Row],[Baseline Cost]]=""),"",Tasks[[#This Row],[Cost]]-N(Tasks[[#This Row],[Baseline Cost]]))</f>
        <v/>
      </c>
      <c r="BC18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3" s="43" t="str">
        <f aca="false">IF(Tasks[[#This Row],[Task Name]]="","",MAX(1,N(Tasks[[#This Row],[Level]])))</f>
        <v/>
      </c>
      <c r="BH183" s="43" t="n">
        <f aca="false">ROW()-ROW(Tasks[[#Headers],[ID]])</f>
        <v>178</v>
      </c>
      <c r="BI1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3" s="43" t="n">
        <f aca="false">IFERROR(N(INDEX(Tasks[_Level],Tasks[[#This Row],[_Row]]+1)),0)</f>
        <v>0</v>
      </c>
      <c r="BK183" s="66" t="b">
        <f aca="false">AND(Tasks[[#This Row],[Task Name]]&lt;&gt;"",Tasks[[#This Row],[_NextLevel]]&gt;Tasks[[#This Row],[_Level]])</f>
        <v>0</v>
      </c>
      <c r="BL183" s="43" t="n">
        <f aca="false">IF(Tasks[[#This Row],[_IsSummary]],COUNTIF(Tasks[WBS],Tasks[[#This Row],[WBS]]&amp;".*"),0)</f>
        <v>0</v>
      </c>
      <c r="BM183" s="43" t="n">
        <f aca="false">IF(AND(Tasks[[#This Row],[Task Name]]&lt;&gt;"",NOT(Tasks[[#This Row],[_IsSummary]])),1,0)</f>
        <v>0</v>
      </c>
      <c r="BN183" s="43" t="n">
        <f aca="false">IF(N(Tasks[[#This Row],[Pred1 UID]])=0,0,IFERROR(MATCH(Tasks[[#This Row],[Pred1 UID]],Tasks[UID],0),-1))</f>
        <v>0</v>
      </c>
      <c r="BO183" s="43" t="n">
        <f aca="false">IF(N(Tasks[[#This Row],[Pred2 UID]])=0,0,IFERROR(MATCH(Tasks[[#This Row],[Pred2 UID]],Tasks[UID],0),-1))</f>
        <v>0</v>
      </c>
      <c r="BP18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3" s="43" t="n">
        <f aca="false">IF(NOT(Tasks[[#This Row],[_IsLeaf]]=1),0,IF(N(Tasks[[#This Row],[Actual Finish]])&gt;0,1,MIN(1,N(Tasks[[#This Row],[% Complete]]))))</f>
        <v>0</v>
      </c>
      <c r="BU1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3" s="43" t="n">
        <f aca="false">IF(Tasks[[#This Row],[_LeafWork]]=0,0,Tasks[[#This Row],[_LeafWork]]*IFERROR(INDEX(res_Rate,MATCH(Tasks[[#This Row],[Resource]],res_Name,0)),0))</f>
        <v>0</v>
      </c>
      <c r="BW1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3" s="43" t="n">
        <f aca="false">IF(NOT(Tasks[[#This Row],[_IsLeaf]]=1),0,MAX(_xlfn.MAXIFS(Tasks[_Row],Tasks[Pred1 UID],Tasks[[#This Row],[UID]]),_xlfn.MAXIFS(Tasks[_Row],Tasks[Pred2 UID],Tasks[[#This Row],[UID]])))</f>
        <v>0</v>
      </c>
      <c r="CB18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3" s="67" t="str">
        <f aca="false">IF(NOT(Tasks[[#This Row],[_IsLeaf]]=1),"",MIN(ProjectFinish,IF(N(Tasks[[#This Row],[Deadline]])&gt;0,Tasks[[#This Row],[Deadline]],2958465),Tasks[[#This Row],[_SuccessorFinishLimit]]))</f>
        <v/>
      </c>
      <c r="CD18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3" s="66" t="b">
        <f aca="false">AND(Tasks[[#This Row],[_IsLeaf]]=1,Tasks[[#This Row],[_LeafProgress]]&lt;1,N(Tasks[[#This Row],[_LeafTotalSlack]])&lt;=CriticalSlackDays)</f>
        <v>0</v>
      </c>
      <c r="CG18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3" s="43" t="n">
        <f aca="false">IF(AND(Tasks[[#This Row],[_IsLeaf]]=1,Tasks[[#This Row],[_LeafWork]]&gt;0),NETWORKDAYS.INTL(ProjectStart,Tasks[[#This Row],[_LeafFcstStart]],WorkWeek,Holidays),0)</f>
        <v>0</v>
      </c>
      <c r="CP1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3" s="43" t="n">
        <f aca="false">IF(AND(Tasks[[#This Row],[_IsLeaf]]=1,Tasks[[#This Row],[_LeafWork]]&gt;0),Tasks[[#This Row],[_LeafWork]]/(Tasks[[#This Row],[_FinishWorkday]]-Tasks[[#This Row],[_StartWorkday]]+1),0)</f>
        <v>0</v>
      </c>
      <c r="CR183" s="43" t="n">
        <f aca="false">Tasks[[#This Row],[_WorkPerWorkday]]*(Tasks[[#This Row],[_StartWorkday]]-1)</f>
        <v>-0</v>
      </c>
      <c r="CS183" s="43" t="n">
        <f aca="false">IF(Tasks[[#This Row],[_IsLeaf]]=1,MAX(N(Tasks[[#This Row],[Duration]]),0.1),0)</f>
        <v>0</v>
      </c>
      <c r="CT183" s="43" t="n">
        <f aca="false">Tasks[[#This Row],[_WeightDur]]*Tasks[[#This Row],[_LeafProgress]]</f>
        <v>0</v>
      </c>
      <c r="CU1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3" s="43" t="str">
        <f aca="false">IF(AND(Tasks[[#This Row],[_IsLeaf]]=1,N(Tasks[[#This Row],[Duration]])=0,Tasks[[#This Row],[_LeafProgress]]&lt;1),Tasks[[#This Row],[_LeafFcstFinish]]+Tasks[[#This Row],[_Row]]/100000,"")</f>
        <v/>
      </c>
      <c r="DA1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3" s="43" t="n">
        <f aca="false">IF(NOT(Tasks[[#This Row],[_IsLeaf]]=1),0,IF(Tasks[[#This Row],[Baseline Cost]]="",Tasks[[#This Row],[_LeafCost]],N(Tasks[[#This Row],[Baseline Cost]])))</f>
        <v>0</v>
      </c>
      <c r="DC183" s="43" t="n">
        <f aca="false">Tasks[[#This Row],[_LeafBudget]]*Tasks[[#This Row],[_PlannedPct]]</f>
        <v>0</v>
      </c>
      <c r="DD183" s="43" t="n">
        <f aca="false">Tasks[[#This Row],[_LeafBudget]]*Tasks[[#This Row],[_LeafProgress]]</f>
        <v>0</v>
      </c>
      <c r="DE183" s="43" t="n">
        <f aca="false">IF(NOT(Tasks[[#This Row],[_IsLeaf]]=1),0,IF(Tasks[[#This Row],[Actual Cost]]="",Tasks[[#This Row],[_LeafCost]]*Tasks[[#This Row],[_LeafProgress]],N(Tasks[[#This Row],[Actual Cost]])))</f>
        <v>0</v>
      </c>
      <c r="DF183" s="43" t="str">
        <f aca="false">IF(Tasks[[#This Row],[Task Name]]="","",LEFT(Tasks[[#This Row],[WBS]],FIND(".",Tasks[[#This Row],[WBS]]&amp;".")-1))</f>
        <v/>
      </c>
      <c r="DG183" s="43" t="str">
        <f aca="false">IF(AND(Tasks[[#This Row],[Task Name]]&lt;&gt;"",Tasks[[#This Row],[_Level]]=1),Tasks[[#This Row],[_Row]],"")</f>
        <v/>
      </c>
      <c r="DH183" s="43" t="str">
        <f aca="false">IF(AND(Tasks[[#This Row],[_IsLeaf]]=1,N(Tasks[[#This Row],[Duration]])=0),Tasks[[#This Row],[Planned Finish]]+Tasks[[#This Row],[_Row]]/100000,"")</f>
        <v/>
      </c>
      <c r="DI1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3" s="43" t="str">
        <f aca="false">IF(Tasks[[#This Row],[_LeafCritical]],Tasks[[#This Row],[_LeafFcstStart]]+Tasks[[#This Row],[_Row]]/100000,"")</f>
        <v/>
      </c>
    </row>
    <row r="184" customFormat="false" ht="15" hidden="false" customHeight="false" outlineLevel="0" collapsed="false">
      <c r="A184" s="28" t="str">
        <f aca="false">IF(Tasks[[#This Row],[Task Name]]="","",COUNTA(Tasks[[#Headers],[Task Name]]:Tasks[[#This Row],[Task Name]])-1)</f>
        <v/>
      </c>
      <c r="B184" s="29" t="n">
        <v>179</v>
      </c>
      <c r="C1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29"/>
      <c r="E184" s="30"/>
      <c r="F184" s="29"/>
      <c r="G184" s="29"/>
      <c r="H184" s="29"/>
      <c r="I184" s="29"/>
      <c r="J184" s="29"/>
      <c r="K184" s="29"/>
      <c r="L184" s="29"/>
      <c r="M184" s="29"/>
      <c r="N184" s="53"/>
      <c r="O184" s="53"/>
      <c r="P184" s="25" t="str">
        <f aca="false">IF(Tasks[[#This Row],[Task Name]]="","",IF(N(Tasks[[#This Row],[Baseline Start]])&gt;0,Tasks[[#This Row],[Baseline Start]],Tasks[[#This Row],[_CalcStart]]))</f>
        <v/>
      </c>
      <c r="Q184" s="25" t="str">
        <f aca="false">IF(Tasks[[#This Row],[Task Name]]="","",IF(N(Tasks[[#This Row],[Baseline Finish]])&gt;0,Tasks[[#This Row],[Baseline Finish]],Tasks[[#This Row],[_CalcFinish]]))</f>
        <v/>
      </c>
      <c r="R184" s="53"/>
      <c r="S184" s="53"/>
      <c r="T1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55"/>
      <c r="AF18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30"/>
      <c r="AI184" s="55"/>
      <c r="AJ18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64"/>
      <c r="AM18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4" s="30"/>
      <c r="AP184" s="25" t="str">
        <f aca="false">IF(Tasks[[#This Row],[Task Name]]="","",Tasks[[#This Row],[Forecast Start]])</f>
        <v/>
      </c>
      <c r="AQ184" s="25" t="str">
        <f aca="false">IF(Tasks[[#This Row],[Task Name]]="","",Tasks[[#This Row],[Forecast Finish]])</f>
        <v/>
      </c>
      <c r="AR1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4" s="62" t="str">
        <f aca="false">IF(Tasks[[#This Row],[Task Name]]="","",Tasks[[#This Row],[Work]])</f>
        <v/>
      </c>
      <c r="AT184" s="63" t="str">
        <f aca="false">IF(Tasks[[#This Row],[Task Name]]="","",Tasks[[#This Row],[Cost]])</f>
        <v/>
      </c>
      <c r="AU184" s="53"/>
      <c r="AV184" s="53"/>
      <c r="AW184" s="29"/>
      <c r="AX184" s="65"/>
      <c r="AY184" s="64"/>
      <c r="AZ184" s="28" t="str">
        <f aca="false">IF(OR(Tasks[[#This Row],[Task Name]]="",Tasks[[#This Row],[Baseline Duration]]=""),"",Tasks[[#This Row],[BL Source Duration]]-N(Tasks[[#This Row],[Baseline Duration]]))</f>
        <v/>
      </c>
      <c r="BA184" s="62" t="str">
        <f aca="false">IF(OR(Tasks[[#This Row],[Task Name]]="",Tasks[[#This Row],[Baseline Work]]=""),"",Tasks[[#This Row],[Work]]-N(Tasks[[#This Row],[Baseline Work]]))</f>
        <v/>
      </c>
      <c r="BB184" s="63" t="str">
        <f aca="false">IF(OR(Tasks[[#This Row],[Task Name]]="",Tasks[[#This Row],[Baseline Cost]]=""),"",Tasks[[#This Row],[Cost]]-N(Tasks[[#This Row],[Baseline Cost]]))</f>
        <v/>
      </c>
      <c r="BC18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4" s="43" t="str">
        <f aca="false">IF(Tasks[[#This Row],[Task Name]]="","",MAX(1,N(Tasks[[#This Row],[Level]])))</f>
        <v/>
      </c>
      <c r="BH184" s="43" t="n">
        <f aca="false">ROW()-ROW(Tasks[[#Headers],[ID]])</f>
        <v>179</v>
      </c>
      <c r="BI1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4" s="43" t="n">
        <f aca="false">IFERROR(N(INDEX(Tasks[_Level],Tasks[[#This Row],[_Row]]+1)),0)</f>
        <v>0</v>
      </c>
      <c r="BK184" s="66" t="b">
        <f aca="false">AND(Tasks[[#This Row],[Task Name]]&lt;&gt;"",Tasks[[#This Row],[_NextLevel]]&gt;Tasks[[#This Row],[_Level]])</f>
        <v>0</v>
      </c>
      <c r="BL184" s="43" t="n">
        <f aca="false">IF(Tasks[[#This Row],[_IsSummary]],COUNTIF(Tasks[WBS],Tasks[[#This Row],[WBS]]&amp;".*"),0)</f>
        <v>0</v>
      </c>
      <c r="BM184" s="43" t="n">
        <f aca="false">IF(AND(Tasks[[#This Row],[Task Name]]&lt;&gt;"",NOT(Tasks[[#This Row],[_IsSummary]])),1,0)</f>
        <v>0</v>
      </c>
      <c r="BN184" s="43" t="n">
        <f aca="false">IF(N(Tasks[[#This Row],[Pred1 UID]])=0,0,IFERROR(MATCH(Tasks[[#This Row],[Pred1 UID]],Tasks[UID],0),-1))</f>
        <v>0</v>
      </c>
      <c r="BO184" s="43" t="n">
        <f aca="false">IF(N(Tasks[[#This Row],[Pred2 UID]])=0,0,IFERROR(MATCH(Tasks[[#This Row],[Pred2 UID]],Tasks[UID],0),-1))</f>
        <v>0</v>
      </c>
      <c r="BP18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4" s="43" t="n">
        <f aca="false">IF(NOT(Tasks[[#This Row],[_IsLeaf]]=1),0,IF(N(Tasks[[#This Row],[Actual Finish]])&gt;0,1,MIN(1,N(Tasks[[#This Row],[% Complete]]))))</f>
        <v>0</v>
      </c>
      <c r="BU1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4" s="43" t="n">
        <f aca="false">IF(Tasks[[#This Row],[_LeafWork]]=0,0,Tasks[[#This Row],[_LeafWork]]*IFERROR(INDEX(res_Rate,MATCH(Tasks[[#This Row],[Resource]],res_Name,0)),0))</f>
        <v>0</v>
      </c>
      <c r="BW1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4" s="43" t="n">
        <f aca="false">IF(NOT(Tasks[[#This Row],[_IsLeaf]]=1),0,MAX(_xlfn.MAXIFS(Tasks[_Row],Tasks[Pred1 UID],Tasks[[#This Row],[UID]]),_xlfn.MAXIFS(Tasks[_Row],Tasks[Pred2 UID],Tasks[[#This Row],[UID]])))</f>
        <v>0</v>
      </c>
      <c r="CB18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4" s="67" t="str">
        <f aca="false">IF(NOT(Tasks[[#This Row],[_IsLeaf]]=1),"",MIN(ProjectFinish,IF(N(Tasks[[#This Row],[Deadline]])&gt;0,Tasks[[#This Row],[Deadline]],2958465),Tasks[[#This Row],[_SuccessorFinishLimit]]))</f>
        <v/>
      </c>
      <c r="CD18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4" s="66" t="b">
        <f aca="false">AND(Tasks[[#This Row],[_IsLeaf]]=1,Tasks[[#This Row],[_LeafProgress]]&lt;1,N(Tasks[[#This Row],[_LeafTotalSlack]])&lt;=CriticalSlackDays)</f>
        <v>0</v>
      </c>
      <c r="CG18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4" s="43" t="n">
        <f aca="false">IF(AND(Tasks[[#This Row],[_IsLeaf]]=1,Tasks[[#This Row],[_LeafWork]]&gt;0),NETWORKDAYS.INTL(ProjectStart,Tasks[[#This Row],[_LeafFcstStart]],WorkWeek,Holidays),0)</f>
        <v>0</v>
      </c>
      <c r="CP1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4" s="43" t="n">
        <f aca="false">IF(AND(Tasks[[#This Row],[_IsLeaf]]=1,Tasks[[#This Row],[_LeafWork]]&gt;0),Tasks[[#This Row],[_LeafWork]]/(Tasks[[#This Row],[_FinishWorkday]]-Tasks[[#This Row],[_StartWorkday]]+1),0)</f>
        <v>0</v>
      </c>
      <c r="CR184" s="43" t="n">
        <f aca="false">Tasks[[#This Row],[_WorkPerWorkday]]*(Tasks[[#This Row],[_StartWorkday]]-1)</f>
        <v>-0</v>
      </c>
      <c r="CS184" s="43" t="n">
        <f aca="false">IF(Tasks[[#This Row],[_IsLeaf]]=1,MAX(N(Tasks[[#This Row],[Duration]]),0.1),0)</f>
        <v>0</v>
      </c>
      <c r="CT184" s="43" t="n">
        <f aca="false">Tasks[[#This Row],[_WeightDur]]*Tasks[[#This Row],[_LeafProgress]]</f>
        <v>0</v>
      </c>
      <c r="CU1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4" s="43" t="str">
        <f aca="false">IF(AND(Tasks[[#This Row],[_IsLeaf]]=1,N(Tasks[[#This Row],[Duration]])=0,Tasks[[#This Row],[_LeafProgress]]&lt;1),Tasks[[#This Row],[_LeafFcstFinish]]+Tasks[[#This Row],[_Row]]/100000,"")</f>
        <v/>
      </c>
      <c r="DA1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4" s="43" t="n">
        <f aca="false">IF(NOT(Tasks[[#This Row],[_IsLeaf]]=1),0,IF(Tasks[[#This Row],[Baseline Cost]]="",Tasks[[#This Row],[_LeafCost]],N(Tasks[[#This Row],[Baseline Cost]])))</f>
        <v>0</v>
      </c>
      <c r="DC184" s="43" t="n">
        <f aca="false">Tasks[[#This Row],[_LeafBudget]]*Tasks[[#This Row],[_PlannedPct]]</f>
        <v>0</v>
      </c>
      <c r="DD184" s="43" t="n">
        <f aca="false">Tasks[[#This Row],[_LeafBudget]]*Tasks[[#This Row],[_LeafProgress]]</f>
        <v>0</v>
      </c>
      <c r="DE184" s="43" t="n">
        <f aca="false">IF(NOT(Tasks[[#This Row],[_IsLeaf]]=1),0,IF(Tasks[[#This Row],[Actual Cost]]="",Tasks[[#This Row],[_LeafCost]]*Tasks[[#This Row],[_LeafProgress]],N(Tasks[[#This Row],[Actual Cost]])))</f>
        <v>0</v>
      </c>
      <c r="DF184" s="43" t="str">
        <f aca="false">IF(Tasks[[#This Row],[Task Name]]="","",LEFT(Tasks[[#This Row],[WBS]],FIND(".",Tasks[[#This Row],[WBS]]&amp;".")-1))</f>
        <v/>
      </c>
      <c r="DG184" s="43" t="str">
        <f aca="false">IF(AND(Tasks[[#This Row],[Task Name]]&lt;&gt;"",Tasks[[#This Row],[_Level]]=1),Tasks[[#This Row],[_Row]],"")</f>
        <v/>
      </c>
      <c r="DH184" s="43" t="str">
        <f aca="false">IF(AND(Tasks[[#This Row],[_IsLeaf]]=1,N(Tasks[[#This Row],[Duration]])=0),Tasks[[#This Row],[Planned Finish]]+Tasks[[#This Row],[_Row]]/100000,"")</f>
        <v/>
      </c>
      <c r="DI1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4" s="43" t="str">
        <f aca="false">IF(Tasks[[#This Row],[_LeafCritical]],Tasks[[#This Row],[_LeafFcstStart]]+Tasks[[#This Row],[_Row]]/100000,"")</f>
        <v/>
      </c>
    </row>
    <row r="185" customFormat="false" ht="15" hidden="false" customHeight="false" outlineLevel="0" collapsed="false">
      <c r="A185" s="28" t="str">
        <f aca="false">IF(Tasks[[#This Row],[Task Name]]="","",COUNTA(Tasks[[#Headers],[Task Name]]:Tasks[[#This Row],[Task Name]])-1)</f>
        <v/>
      </c>
      <c r="B185" s="29" t="n">
        <v>180</v>
      </c>
      <c r="C1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29"/>
      <c r="E185" s="30"/>
      <c r="F185" s="29"/>
      <c r="G185" s="29"/>
      <c r="H185" s="29"/>
      <c r="I185" s="29"/>
      <c r="J185" s="29"/>
      <c r="K185" s="29"/>
      <c r="L185" s="29"/>
      <c r="M185" s="29"/>
      <c r="N185" s="53"/>
      <c r="O185" s="53"/>
      <c r="P185" s="25" t="str">
        <f aca="false">IF(Tasks[[#This Row],[Task Name]]="","",IF(N(Tasks[[#This Row],[Baseline Start]])&gt;0,Tasks[[#This Row],[Baseline Start]],Tasks[[#This Row],[_CalcStart]]))</f>
        <v/>
      </c>
      <c r="Q185" s="25" t="str">
        <f aca="false">IF(Tasks[[#This Row],[Task Name]]="","",IF(N(Tasks[[#This Row],[Baseline Finish]])&gt;0,Tasks[[#This Row],[Baseline Finish]],Tasks[[#This Row],[_CalcFinish]]))</f>
        <v/>
      </c>
      <c r="R185" s="53"/>
      <c r="S185" s="53"/>
      <c r="T1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55"/>
      <c r="AF18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30"/>
      <c r="AI185" s="55"/>
      <c r="AJ18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64"/>
      <c r="AM18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5" s="30"/>
      <c r="AP185" s="25" t="str">
        <f aca="false">IF(Tasks[[#This Row],[Task Name]]="","",Tasks[[#This Row],[Forecast Start]])</f>
        <v/>
      </c>
      <c r="AQ185" s="25" t="str">
        <f aca="false">IF(Tasks[[#This Row],[Task Name]]="","",Tasks[[#This Row],[Forecast Finish]])</f>
        <v/>
      </c>
      <c r="AR1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5" s="62" t="str">
        <f aca="false">IF(Tasks[[#This Row],[Task Name]]="","",Tasks[[#This Row],[Work]])</f>
        <v/>
      </c>
      <c r="AT185" s="63" t="str">
        <f aca="false">IF(Tasks[[#This Row],[Task Name]]="","",Tasks[[#This Row],[Cost]])</f>
        <v/>
      </c>
      <c r="AU185" s="53"/>
      <c r="AV185" s="53"/>
      <c r="AW185" s="29"/>
      <c r="AX185" s="65"/>
      <c r="AY185" s="64"/>
      <c r="AZ185" s="28" t="str">
        <f aca="false">IF(OR(Tasks[[#This Row],[Task Name]]="",Tasks[[#This Row],[Baseline Duration]]=""),"",Tasks[[#This Row],[BL Source Duration]]-N(Tasks[[#This Row],[Baseline Duration]]))</f>
        <v/>
      </c>
      <c r="BA185" s="62" t="str">
        <f aca="false">IF(OR(Tasks[[#This Row],[Task Name]]="",Tasks[[#This Row],[Baseline Work]]=""),"",Tasks[[#This Row],[Work]]-N(Tasks[[#This Row],[Baseline Work]]))</f>
        <v/>
      </c>
      <c r="BB185" s="63" t="str">
        <f aca="false">IF(OR(Tasks[[#This Row],[Task Name]]="",Tasks[[#This Row],[Baseline Cost]]=""),"",Tasks[[#This Row],[Cost]]-N(Tasks[[#This Row],[Baseline Cost]]))</f>
        <v/>
      </c>
      <c r="BC18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5" s="43" t="str">
        <f aca="false">IF(Tasks[[#This Row],[Task Name]]="","",MAX(1,N(Tasks[[#This Row],[Level]])))</f>
        <v/>
      </c>
      <c r="BH185" s="43" t="n">
        <f aca="false">ROW()-ROW(Tasks[[#Headers],[ID]])</f>
        <v>180</v>
      </c>
      <c r="BI1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5" s="43" t="n">
        <f aca="false">IFERROR(N(INDEX(Tasks[_Level],Tasks[[#This Row],[_Row]]+1)),0)</f>
        <v>0</v>
      </c>
      <c r="BK185" s="66" t="b">
        <f aca="false">AND(Tasks[[#This Row],[Task Name]]&lt;&gt;"",Tasks[[#This Row],[_NextLevel]]&gt;Tasks[[#This Row],[_Level]])</f>
        <v>0</v>
      </c>
      <c r="BL185" s="43" t="n">
        <f aca="false">IF(Tasks[[#This Row],[_IsSummary]],COUNTIF(Tasks[WBS],Tasks[[#This Row],[WBS]]&amp;".*"),0)</f>
        <v>0</v>
      </c>
      <c r="BM185" s="43" t="n">
        <f aca="false">IF(AND(Tasks[[#This Row],[Task Name]]&lt;&gt;"",NOT(Tasks[[#This Row],[_IsSummary]])),1,0)</f>
        <v>0</v>
      </c>
      <c r="BN185" s="43" t="n">
        <f aca="false">IF(N(Tasks[[#This Row],[Pred1 UID]])=0,0,IFERROR(MATCH(Tasks[[#This Row],[Pred1 UID]],Tasks[UID],0),-1))</f>
        <v>0</v>
      </c>
      <c r="BO185" s="43" t="n">
        <f aca="false">IF(N(Tasks[[#This Row],[Pred2 UID]])=0,0,IFERROR(MATCH(Tasks[[#This Row],[Pred2 UID]],Tasks[UID],0),-1))</f>
        <v>0</v>
      </c>
      <c r="BP18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5" s="43" t="n">
        <f aca="false">IF(NOT(Tasks[[#This Row],[_IsLeaf]]=1),0,IF(N(Tasks[[#This Row],[Actual Finish]])&gt;0,1,MIN(1,N(Tasks[[#This Row],[% Complete]]))))</f>
        <v>0</v>
      </c>
      <c r="BU1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5" s="43" t="n">
        <f aca="false">IF(Tasks[[#This Row],[_LeafWork]]=0,0,Tasks[[#This Row],[_LeafWork]]*IFERROR(INDEX(res_Rate,MATCH(Tasks[[#This Row],[Resource]],res_Name,0)),0))</f>
        <v>0</v>
      </c>
      <c r="BW1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5" s="43" t="n">
        <f aca="false">IF(NOT(Tasks[[#This Row],[_IsLeaf]]=1),0,MAX(_xlfn.MAXIFS(Tasks[_Row],Tasks[Pred1 UID],Tasks[[#This Row],[UID]]),_xlfn.MAXIFS(Tasks[_Row],Tasks[Pred2 UID],Tasks[[#This Row],[UID]])))</f>
        <v>0</v>
      </c>
      <c r="CB18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5" s="67" t="str">
        <f aca="false">IF(NOT(Tasks[[#This Row],[_IsLeaf]]=1),"",MIN(ProjectFinish,IF(N(Tasks[[#This Row],[Deadline]])&gt;0,Tasks[[#This Row],[Deadline]],2958465),Tasks[[#This Row],[_SuccessorFinishLimit]]))</f>
        <v/>
      </c>
      <c r="CD18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5" s="66" t="b">
        <f aca="false">AND(Tasks[[#This Row],[_IsLeaf]]=1,Tasks[[#This Row],[_LeafProgress]]&lt;1,N(Tasks[[#This Row],[_LeafTotalSlack]])&lt;=CriticalSlackDays)</f>
        <v>0</v>
      </c>
      <c r="CG18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5" s="43" t="n">
        <f aca="false">IF(AND(Tasks[[#This Row],[_IsLeaf]]=1,Tasks[[#This Row],[_LeafWork]]&gt;0),NETWORKDAYS.INTL(ProjectStart,Tasks[[#This Row],[_LeafFcstStart]],WorkWeek,Holidays),0)</f>
        <v>0</v>
      </c>
      <c r="CP1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5" s="43" t="n">
        <f aca="false">IF(AND(Tasks[[#This Row],[_IsLeaf]]=1,Tasks[[#This Row],[_LeafWork]]&gt;0),Tasks[[#This Row],[_LeafWork]]/(Tasks[[#This Row],[_FinishWorkday]]-Tasks[[#This Row],[_StartWorkday]]+1),0)</f>
        <v>0</v>
      </c>
      <c r="CR185" s="43" t="n">
        <f aca="false">Tasks[[#This Row],[_WorkPerWorkday]]*(Tasks[[#This Row],[_StartWorkday]]-1)</f>
        <v>-0</v>
      </c>
      <c r="CS185" s="43" t="n">
        <f aca="false">IF(Tasks[[#This Row],[_IsLeaf]]=1,MAX(N(Tasks[[#This Row],[Duration]]),0.1),0)</f>
        <v>0</v>
      </c>
      <c r="CT185" s="43" t="n">
        <f aca="false">Tasks[[#This Row],[_WeightDur]]*Tasks[[#This Row],[_LeafProgress]]</f>
        <v>0</v>
      </c>
      <c r="CU1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5" s="43" t="str">
        <f aca="false">IF(AND(Tasks[[#This Row],[_IsLeaf]]=1,N(Tasks[[#This Row],[Duration]])=0,Tasks[[#This Row],[_LeafProgress]]&lt;1),Tasks[[#This Row],[_LeafFcstFinish]]+Tasks[[#This Row],[_Row]]/100000,"")</f>
        <v/>
      </c>
      <c r="DA1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5" s="43" t="n">
        <f aca="false">IF(NOT(Tasks[[#This Row],[_IsLeaf]]=1),0,IF(Tasks[[#This Row],[Baseline Cost]]="",Tasks[[#This Row],[_LeafCost]],N(Tasks[[#This Row],[Baseline Cost]])))</f>
        <v>0</v>
      </c>
      <c r="DC185" s="43" t="n">
        <f aca="false">Tasks[[#This Row],[_LeafBudget]]*Tasks[[#This Row],[_PlannedPct]]</f>
        <v>0</v>
      </c>
      <c r="DD185" s="43" t="n">
        <f aca="false">Tasks[[#This Row],[_LeafBudget]]*Tasks[[#This Row],[_LeafProgress]]</f>
        <v>0</v>
      </c>
      <c r="DE185" s="43" t="n">
        <f aca="false">IF(NOT(Tasks[[#This Row],[_IsLeaf]]=1),0,IF(Tasks[[#This Row],[Actual Cost]]="",Tasks[[#This Row],[_LeafCost]]*Tasks[[#This Row],[_LeafProgress]],N(Tasks[[#This Row],[Actual Cost]])))</f>
        <v>0</v>
      </c>
      <c r="DF185" s="43" t="str">
        <f aca="false">IF(Tasks[[#This Row],[Task Name]]="","",LEFT(Tasks[[#This Row],[WBS]],FIND(".",Tasks[[#This Row],[WBS]]&amp;".")-1))</f>
        <v/>
      </c>
      <c r="DG185" s="43" t="str">
        <f aca="false">IF(AND(Tasks[[#This Row],[Task Name]]&lt;&gt;"",Tasks[[#This Row],[_Level]]=1),Tasks[[#This Row],[_Row]],"")</f>
        <v/>
      </c>
      <c r="DH185" s="43" t="str">
        <f aca="false">IF(AND(Tasks[[#This Row],[_IsLeaf]]=1,N(Tasks[[#This Row],[Duration]])=0),Tasks[[#This Row],[Planned Finish]]+Tasks[[#This Row],[_Row]]/100000,"")</f>
        <v/>
      </c>
      <c r="DI1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5" s="43" t="str">
        <f aca="false">IF(Tasks[[#This Row],[_LeafCritical]],Tasks[[#This Row],[_LeafFcstStart]]+Tasks[[#This Row],[_Row]]/100000,"")</f>
        <v/>
      </c>
    </row>
    <row r="186" customFormat="false" ht="15" hidden="false" customHeight="false" outlineLevel="0" collapsed="false">
      <c r="A186" s="28" t="str">
        <f aca="false">IF(Tasks[[#This Row],[Task Name]]="","",COUNTA(Tasks[[#Headers],[Task Name]]:Tasks[[#This Row],[Task Name]])-1)</f>
        <v/>
      </c>
      <c r="B186" s="29" t="n">
        <v>181</v>
      </c>
      <c r="C1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29"/>
      <c r="E186" s="30"/>
      <c r="F186" s="29"/>
      <c r="G186" s="29"/>
      <c r="H186" s="29"/>
      <c r="I186" s="29"/>
      <c r="J186" s="29"/>
      <c r="K186" s="29"/>
      <c r="L186" s="29"/>
      <c r="M186" s="29"/>
      <c r="N186" s="53"/>
      <c r="O186" s="53"/>
      <c r="P186" s="25" t="str">
        <f aca="false">IF(Tasks[[#This Row],[Task Name]]="","",IF(N(Tasks[[#This Row],[Baseline Start]])&gt;0,Tasks[[#This Row],[Baseline Start]],Tasks[[#This Row],[_CalcStart]]))</f>
        <v/>
      </c>
      <c r="Q186" s="25" t="str">
        <f aca="false">IF(Tasks[[#This Row],[Task Name]]="","",IF(N(Tasks[[#This Row],[Baseline Finish]])&gt;0,Tasks[[#This Row],[Baseline Finish]],Tasks[[#This Row],[_CalcFinish]]))</f>
        <v/>
      </c>
      <c r="R186" s="53"/>
      <c r="S186" s="53"/>
      <c r="T1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55"/>
      <c r="AF18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30"/>
      <c r="AI186" s="55"/>
      <c r="AJ18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64"/>
      <c r="AM18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6" s="30"/>
      <c r="AP186" s="25" t="str">
        <f aca="false">IF(Tasks[[#This Row],[Task Name]]="","",Tasks[[#This Row],[Forecast Start]])</f>
        <v/>
      </c>
      <c r="AQ186" s="25" t="str">
        <f aca="false">IF(Tasks[[#This Row],[Task Name]]="","",Tasks[[#This Row],[Forecast Finish]])</f>
        <v/>
      </c>
      <c r="AR1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6" s="62" t="str">
        <f aca="false">IF(Tasks[[#This Row],[Task Name]]="","",Tasks[[#This Row],[Work]])</f>
        <v/>
      </c>
      <c r="AT186" s="63" t="str">
        <f aca="false">IF(Tasks[[#This Row],[Task Name]]="","",Tasks[[#This Row],[Cost]])</f>
        <v/>
      </c>
      <c r="AU186" s="53"/>
      <c r="AV186" s="53"/>
      <c r="AW186" s="29"/>
      <c r="AX186" s="65"/>
      <c r="AY186" s="64"/>
      <c r="AZ186" s="28" t="str">
        <f aca="false">IF(OR(Tasks[[#This Row],[Task Name]]="",Tasks[[#This Row],[Baseline Duration]]=""),"",Tasks[[#This Row],[BL Source Duration]]-N(Tasks[[#This Row],[Baseline Duration]]))</f>
        <v/>
      </c>
      <c r="BA186" s="62" t="str">
        <f aca="false">IF(OR(Tasks[[#This Row],[Task Name]]="",Tasks[[#This Row],[Baseline Work]]=""),"",Tasks[[#This Row],[Work]]-N(Tasks[[#This Row],[Baseline Work]]))</f>
        <v/>
      </c>
      <c r="BB186" s="63" t="str">
        <f aca="false">IF(OR(Tasks[[#This Row],[Task Name]]="",Tasks[[#This Row],[Baseline Cost]]=""),"",Tasks[[#This Row],[Cost]]-N(Tasks[[#This Row],[Baseline Cost]]))</f>
        <v/>
      </c>
      <c r="BC18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6" s="43" t="str">
        <f aca="false">IF(Tasks[[#This Row],[Task Name]]="","",MAX(1,N(Tasks[[#This Row],[Level]])))</f>
        <v/>
      </c>
      <c r="BH186" s="43" t="n">
        <f aca="false">ROW()-ROW(Tasks[[#Headers],[ID]])</f>
        <v>181</v>
      </c>
      <c r="BI1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6" s="43" t="n">
        <f aca="false">IFERROR(N(INDEX(Tasks[_Level],Tasks[[#This Row],[_Row]]+1)),0)</f>
        <v>0</v>
      </c>
      <c r="BK186" s="66" t="b">
        <f aca="false">AND(Tasks[[#This Row],[Task Name]]&lt;&gt;"",Tasks[[#This Row],[_NextLevel]]&gt;Tasks[[#This Row],[_Level]])</f>
        <v>0</v>
      </c>
      <c r="BL186" s="43" t="n">
        <f aca="false">IF(Tasks[[#This Row],[_IsSummary]],COUNTIF(Tasks[WBS],Tasks[[#This Row],[WBS]]&amp;".*"),0)</f>
        <v>0</v>
      </c>
      <c r="BM186" s="43" t="n">
        <f aca="false">IF(AND(Tasks[[#This Row],[Task Name]]&lt;&gt;"",NOT(Tasks[[#This Row],[_IsSummary]])),1,0)</f>
        <v>0</v>
      </c>
      <c r="BN186" s="43" t="n">
        <f aca="false">IF(N(Tasks[[#This Row],[Pred1 UID]])=0,0,IFERROR(MATCH(Tasks[[#This Row],[Pred1 UID]],Tasks[UID],0),-1))</f>
        <v>0</v>
      </c>
      <c r="BO186" s="43" t="n">
        <f aca="false">IF(N(Tasks[[#This Row],[Pred2 UID]])=0,0,IFERROR(MATCH(Tasks[[#This Row],[Pred2 UID]],Tasks[UID],0),-1))</f>
        <v>0</v>
      </c>
      <c r="BP18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6" s="43" t="n">
        <f aca="false">IF(NOT(Tasks[[#This Row],[_IsLeaf]]=1),0,IF(N(Tasks[[#This Row],[Actual Finish]])&gt;0,1,MIN(1,N(Tasks[[#This Row],[% Complete]]))))</f>
        <v>0</v>
      </c>
      <c r="BU1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6" s="43" t="n">
        <f aca="false">IF(Tasks[[#This Row],[_LeafWork]]=0,0,Tasks[[#This Row],[_LeafWork]]*IFERROR(INDEX(res_Rate,MATCH(Tasks[[#This Row],[Resource]],res_Name,0)),0))</f>
        <v>0</v>
      </c>
      <c r="BW1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6" s="43" t="n">
        <f aca="false">IF(NOT(Tasks[[#This Row],[_IsLeaf]]=1),0,MAX(_xlfn.MAXIFS(Tasks[_Row],Tasks[Pred1 UID],Tasks[[#This Row],[UID]]),_xlfn.MAXIFS(Tasks[_Row],Tasks[Pred2 UID],Tasks[[#This Row],[UID]])))</f>
        <v>0</v>
      </c>
      <c r="CB18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6" s="67" t="str">
        <f aca="false">IF(NOT(Tasks[[#This Row],[_IsLeaf]]=1),"",MIN(ProjectFinish,IF(N(Tasks[[#This Row],[Deadline]])&gt;0,Tasks[[#This Row],[Deadline]],2958465),Tasks[[#This Row],[_SuccessorFinishLimit]]))</f>
        <v/>
      </c>
      <c r="CD18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6" s="66" t="b">
        <f aca="false">AND(Tasks[[#This Row],[_IsLeaf]]=1,Tasks[[#This Row],[_LeafProgress]]&lt;1,N(Tasks[[#This Row],[_LeafTotalSlack]])&lt;=CriticalSlackDays)</f>
        <v>0</v>
      </c>
      <c r="CG18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6" s="43" t="n">
        <f aca="false">IF(AND(Tasks[[#This Row],[_IsLeaf]]=1,Tasks[[#This Row],[_LeafWork]]&gt;0),NETWORKDAYS.INTL(ProjectStart,Tasks[[#This Row],[_LeafFcstStart]],WorkWeek,Holidays),0)</f>
        <v>0</v>
      </c>
      <c r="CP1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6" s="43" t="n">
        <f aca="false">IF(AND(Tasks[[#This Row],[_IsLeaf]]=1,Tasks[[#This Row],[_LeafWork]]&gt;0),Tasks[[#This Row],[_LeafWork]]/(Tasks[[#This Row],[_FinishWorkday]]-Tasks[[#This Row],[_StartWorkday]]+1),0)</f>
        <v>0</v>
      </c>
      <c r="CR186" s="43" t="n">
        <f aca="false">Tasks[[#This Row],[_WorkPerWorkday]]*(Tasks[[#This Row],[_StartWorkday]]-1)</f>
        <v>-0</v>
      </c>
      <c r="CS186" s="43" t="n">
        <f aca="false">IF(Tasks[[#This Row],[_IsLeaf]]=1,MAX(N(Tasks[[#This Row],[Duration]]),0.1),0)</f>
        <v>0</v>
      </c>
      <c r="CT186" s="43" t="n">
        <f aca="false">Tasks[[#This Row],[_WeightDur]]*Tasks[[#This Row],[_LeafProgress]]</f>
        <v>0</v>
      </c>
      <c r="CU1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6" s="43" t="str">
        <f aca="false">IF(AND(Tasks[[#This Row],[_IsLeaf]]=1,N(Tasks[[#This Row],[Duration]])=0,Tasks[[#This Row],[_LeafProgress]]&lt;1),Tasks[[#This Row],[_LeafFcstFinish]]+Tasks[[#This Row],[_Row]]/100000,"")</f>
        <v/>
      </c>
      <c r="DA1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6" s="43" t="n">
        <f aca="false">IF(NOT(Tasks[[#This Row],[_IsLeaf]]=1),0,IF(Tasks[[#This Row],[Baseline Cost]]="",Tasks[[#This Row],[_LeafCost]],N(Tasks[[#This Row],[Baseline Cost]])))</f>
        <v>0</v>
      </c>
      <c r="DC186" s="43" t="n">
        <f aca="false">Tasks[[#This Row],[_LeafBudget]]*Tasks[[#This Row],[_PlannedPct]]</f>
        <v>0</v>
      </c>
      <c r="DD186" s="43" t="n">
        <f aca="false">Tasks[[#This Row],[_LeafBudget]]*Tasks[[#This Row],[_LeafProgress]]</f>
        <v>0</v>
      </c>
      <c r="DE186" s="43" t="n">
        <f aca="false">IF(NOT(Tasks[[#This Row],[_IsLeaf]]=1),0,IF(Tasks[[#This Row],[Actual Cost]]="",Tasks[[#This Row],[_LeafCost]]*Tasks[[#This Row],[_LeafProgress]],N(Tasks[[#This Row],[Actual Cost]])))</f>
        <v>0</v>
      </c>
      <c r="DF186" s="43" t="str">
        <f aca="false">IF(Tasks[[#This Row],[Task Name]]="","",LEFT(Tasks[[#This Row],[WBS]],FIND(".",Tasks[[#This Row],[WBS]]&amp;".")-1))</f>
        <v/>
      </c>
      <c r="DG186" s="43" t="str">
        <f aca="false">IF(AND(Tasks[[#This Row],[Task Name]]&lt;&gt;"",Tasks[[#This Row],[_Level]]=1),Tasks[[#This Row],[_Row]],"")</f>
        <v/>
      </c>
      <c r="DH186" s="43" t="str">
        <f aca="false">IF(AND(Tasks[[#This Row],[_IsLeaf]]=1,N(Tasks[[#This Row],[Duration]])=0),Tasks[[#This Row],[Planned Finish]]+Tasks[[#This Row],[_Row]]/100000,"")</f>
        <v/>
      </c>
      <c r="DI1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6" s="43" t="str">
        <f aca="false">IF(Tasks[[#This Row],[_LeafCritical]],Tasks[[#This Row],[_LeafFcstStart]]+Tasks[[#This Row],[_Row]]/100000,"")</f>
        <v/>
      </c>
    </row>
    <row r="187" customFormat="false" ht="15" hidden="false" customHeight="false" outlineLevel="0" collapsed="false">
      <c r="A187" s="28" t="str">
        <f aca="false">IF(Tasks[[#This Row],[Task Name]]="","",COUNTA(Tasks[[#Headers],[Task Name]]:Tasks[[#This Row],[Task Name]])-1)</f>
        <v/>
      </c>
      <c r="B187" s="29" t="n">
        <v>182</v>
      </c>
      <c r="C1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29"/>
      <c r="E187" s="30"/>
      <c r="F187" s="29"/>
      <c r="G187" s="29"/>
      <c r="H187" s="29"/>
      <c r="I187" s="29"/>
      <c r="J187" s="29"/>
      <c r="K187" s="29"/>
      <c r="L187" s="29"/>
      <c r="M187" s="29"/>
      <c r="N187" s="53"/>
      <c r="O187" s="53"/>
      <c r="P187" s="25" t="str">
        <f aca="false">IF(Tasks[[#This Row],[Task Name]]="","",IF(N(Tasks[[#This Row],[Baseline Start]])&gt;0,Tasks[[#This Row],[Baseline Start]],Tasks[[#This Row],[_CalcStart]]))</f>
        <v/>
      </c>
      <c r="Q187" s="25" t="str">
        <f aca="false">IF(Tasks[[#This Row],[Task Name]]="","",IF(N(Tasks[[#This Row],[Baseline Finish]])&gt;0,Tasks[[#This Row],[Baseline Finish]],Tasks[[#This Row],[_CalcFinish]]))</f>
        <v/>
      </c>
      <c r="R187" s="53"/>
      <c r="S187" s="53"/>
      <c r="T1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55"/>
      <c r="AF18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30"/>
      <c r="AI187" s="55"/>
      <c r="AJ18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64"/>
      <c r="AM18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7" s="30"/>
      <c r="AP187" s="25" t="str">
        <f aca="false">IF(Tasks[[#This Row],[Task Name]]="","",Tasks[[#This Row],[Forecast Start]])</f>
        <v/>
      </c>
      <c r="AQ187" s="25" t="str">
        <f aca="false">IF(Tasks[[#This Row],[Task Name]]="","",Tasks[[#This Row],[Forecast Finish]])</f>
        <v/>
      </c>
      <c r="AR1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7" s="62" t="str">
        <f aca="false">IF(Tasks[[#This Row],[Task Name]]="","",Tasks[[#This Row],[Work]])</f>
        <v/>
      </c>
      <c r="AT187" s="63" t="str">
        <f aca="false">IF(Tasks[[#This Row],[Task Name]]="","",Tasks[[#This Row],[Cost]])</f>
        <v/>
      </c>
      <c r="AU187" s="53"/>
      <c r="AV187" s="53"/>
      <c r="AW187" s="29"/>
      <c r="AX187" s="65"/>
      <c r="AY187" s="64"/>
      <c r="AZ187" s="28" t="str">
        <f aca="false">IF(OR(Tasks[[#This Row],[Task Name]]="",Tasks[[#This Row],[Baseline Duration]]=""),"",Tasks[[#This Row],[BL Source Duration]]-N(Tasks[[#This Row],[Baseline Duration]]))</f>
        <v/>
      </c>
      <c r="BA187" s="62" t="str">
        <f aca="false">IF(OR(Tasks[[#This Row],[Task Name]]="",Tasks[[#This Row],[Baseline Work]]=""),"",Tasks[[#This Row],[Work]]-N(Tasks[[#This Row],[Baseline Work]]))</f>
        <v/>
      </c>
      <c r="BB187" s="63" t="str">
        <f aca="false">IF(OR(Tasks[[#This Row],[Task Name]]="",Tasks[[#This Row],[Baseline Cost]]=""),"",Tasks[[#This Row],[Cost]]-N(Tasks[[#This Row],[Baseline Cost]]))</f>
        <v/>
      </c>
      <c r="BC18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7" s="43" t="str">
        <f aca="false">IF(Tasks[[#This Row],[Task Name]]="","",MAX(1,N(Tasks[[#This Row],[Level]])))</f>
        <v/>
      </c>
      <c r="BH187" s="43" t="n">
        <f aca="false">ROW()-ROW(Tasks[[#Headers],[ID]])</f>
        <v>182</v>
      </c>
      <c r="BI1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7" s="43" t="n">
        <f aca="false">IFERROR(N(INDEX(Tasks[_Level],Tasks[[#This Row],[_Row]]+1)),0)</f>
        <v>0</v>
      </c>
      <c r="BK187" s="66" t="b">
        <f aca="false">AND(Tasks[[#This Row],[Task Name]]&lt;&gt;"",Tasks[[#This Row],[_NextLevel]]&gt;Tasks[[#This Row],[_Level]])</f>
        <v>0</v>
      </c>
      <c r="BL187" s="43" t="n">
        <f aca="false">IF(Tasks[[#This Row],[_IsSummary]],COUNTIF(Tasks[WBS],Tasks[[#This Row],[WBS]]&amp;".*"),0)</f>
        <v>0</v>
      </c>
      <c r="BM187" s="43" t="n">
        <f aca="false">IF(AND(Tasks[[#This Row],[Task Name]]&lt;&gt;"",NOT(Tasks[[#This Row],[_IsSummary]])),1,0)</f>
        <v>0</v>
      </c>
      <c r="BN187" s="43" t="n">
        <f aca="false">IF(N(Tasks[[#This Row],[Pred1 UID]])=0,0,IFERROR(MATCH(Tasks[[#This Row],[Pred1 UID]],Tasks[UID],0),-1))</f>
        <v>0</v>
      </c>
      <c r="BO187" s="43" t="n">
        <f aca="false">IF(N(Tasks[[#This Row],[Pred2 UID]])=0,0,IFERROR(MATCH(Tasks[[#This Row],[Pred2 UID]],Tasks[UID],0),-1))</f>
        <v>0</v>
      </c>
      <c r="BP18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7" s="43" t="n">
        <f aca="false">IF(NOT(Tasks[[#This Row],[_IsLeaf]]=1),0,IF(N(Tasks[[#This Row],[Actual Finish]])&gt;0,1,MIN(1,N(Tasks[[#This Row],[% Complete]]))))</f>
        <v>0</v>
      </c>
      <c r="BU1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7" s="43" t="n">
        <f aca="false">IF(Tasks[[#This Row],[_LeafWork]]=0,0,Tasks[[#This Row],[_LeafWork]]*IFERROR(INDEX(res_Rate,MATCH(Tasks[[#This Row],[Resource]],res_Name,0)),0))</f>
        <v>0</v>
      </c>
      <c r="BW1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7" s="43" t="n">
        <f aca="false">IF(NOT(Tasks[[#This Row],[_IsLeaf]]=1),0,MAX(_xlfn.MAXIFS(Tasks[_Row],Tasks[Pred1 UID],Tasks[[#This Row],[UID]]),_xlfn.MAXIFS(Tasks[_Row],Tasks[Pred2 UID],Tasks[[#This Row],[UID]])))</f>
        <v>0</v>
      </c>
      <c r="CB18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7" s="67" t="str">
        <f aca="false">IF(NOT(Tasks[[#This Row],[_IsLeaf]]=1),"",MIN(ProjectFinish,IF(N(Tasks[[#This Row],[Deadline]])&gt;0,Tasks[[#This Row],[Deadline]],2958465),Tasks[[#This Row],[_SuccessorFinishLimit]]))</f>
        <v/>
      </c>
      <c r="CD18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7" s="66" t="b">
        <f aca="false">AND(Tasks[[#This Row],[_IsLeaf]]=1,Tasks[[#This Row],[_LeafProgress]]&lt;1,N(Tasks[[#This Row],[_LeafTotalSlack]])&lt;=CriticalSlackDays)</f>
        <v>0</v>
      </c>
      <c r="CG18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7" s="43" t="n">
        <f aca="false">IF(AND(Tasks[[#This Row],[_IsLeaf]]=1,Tasks[[#This Row],[_LeafWork]]&gt;0),NETWORKDAYS.INTL(ProjectStart,Tasks[[#This Row],[_LeafFcstStart]],WorkWeek,Holidays),0)</f>
        <v>0</v>
      </c>
      <c r="CP1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7" s="43" t="n">
        <f aca="false">IF(AND(Tasks[[#This Row],[_IsLeaf]]=1,Tasks[[#This Row],[_LeafWork]]&gt;0),Tasks[[#This Row],[_LeafWork]]/(Tasks[[#This Row],[_FinishWorkday]]-Tasks[[#This Row],[_StartWorkday]]+1),0)</f>
        <v>0</v>
      </c>
      <c r="CR187" s="43" t="n">
        <f aca="false">Tasks[[#This Row],[_WorkPerWorkday]]*(Tasks[[#This Row],[_StartWorkday]]-1)</f>
        <v>-0</v>
      </c>
      <c r="CS187" s="43" t="n">
        <f aca="false">IF(Tasks[[#This Row],[_IsLeaf]]=1,MAX(N(Tasks[[#This Row],[Duration]]),0.1),0)</f>
        <v>0</v>
      </c>
      <c r="CT187" s="43" t="n">
        <f aca="false">Tasks[[#This Row],[_WeightDur]]*Tasks[[#This Row],[_LeafProgress]]</f>
        <v>0</v>
      </c>
      <c r="CU1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7" s="43" t="str">
        <f aca="false">IF(AND(Tasks[[#This Row],[_IsLeaf]]=1,N(Tasks[[#This Row],[Duration]])=0,Tasks[[#This Row],[_LeafProgress]]&lt;1),Tasks[[#This Row],[_LeafFcstFinish]]+Tasks[[#This Row],[_Row]]/100000,"")</f>
        <v/>
      </c>
      <c r="DA1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7" s="43" t="n">
        <f aca="false">IF(NOT(Tasks[[#This Row],[_IsLeaf]]=1),0,IF(Tasks[[#This Row],[Baseline Cost]]="",Tasks[[#This Row],[_LeafCost]],N(Tasks[[#This Row],[Baseline Cost]])))</f>
        <v>0</v>
      </c>
      <c r="DC187" s="43" t="n">
        <f aca="false">Tasks[[#This Row],[_LeafBudget]]*Tasks[[#This Row],[_PlannedPct]]</f>
        <v>0</v>
      </c>
      <c r="DD187" s="43" t="n">
        <f aca="false">Tasks[[#This Row],[_LeafBudget]]*Tasks[[#This Row],[_LeafProgress]]</f>
        <v>0</v>
      </c>
      <c r="DE187" s="43" t="n">
        <f aca="false">IF(NOT(Tasks[[#This Row],[_IsLeaf]]=1),0,IF(Tasks[[#This Row],[Actual Cost]]="",Tasks[[#This Row],[_LeafCost]]*Tasks[[#This Row],[_LeafProgress]],N(Tasks[[#This Row],[Actual Cost]])))</f>
        <v>0</v>
      </c>
      <c r="DF187" s="43" t="str">
        <f aca="false">IF(Tasks[[#This Row],[Task Name]]="","",LEFT(Tasks[[#This Row],[WBS]],FIND(".",Tasks[[#This Row],[WBS]]&amp;".")-1))</f>
        <v/>
      </c>
      <c r="DG187" s="43" t="str">
        <f aca="false">IF(AND(Tasks[[#This Row],[Task Name]]&lt;&gt;"",Tasks[[#This Row],[_Level]]=1),Tasks[[#This Row],[_Row]],"")</f>
        <v/>
      </c>
      <c r="DH187" s="43" t="str">
        <f aca="false">IF(AND(Tasks[[#This Row],[_IsLeaf]]=1,N(Tasks[[#This Row],[Duration]])=0),Tasks[[#This Row],[Planned Finish]]+Tasks[[#This Row],[_Row]]/100000,"")</f>
        <v/>
      </c>
      <c r="DI1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7" s="43" t="str">
        <f aca="false">IF(Tasks[[#This Row],[_LeafCritical]],Tasks[[#This Row],[_LeafFcstStart]]+Tasks[[#This Row],[_Row]]/100000,"")</f>
        <v/>
      </c>
    </row>
    <row r="188" customFormat="false" ht="15" hidden="false" customHeight="false" outlineLevel="0" collapsed="false">
      <c r="A188" s="28" t="str">
        <f aca="false">IF(Tasks[[#This Row],[Task Name]]="","",COUNTA(Tasks[[#Headers],[Task Name]]:Tasks[[#This Row],[Task Name]])-1)</f>
        <v/>
      </c>
      <c r="B188" s="29" t="n">
        <v>183</v>
      </c>
      <c r="C1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29"/>
      <c r="E188" s="30"/>
      <c r="F188" s="29"/>
      <c r="G188" s="29"/>
      <c r="H188" s="29"/>
      <c r="I188" s="29"/>
      <c r="J188" s="29"/>
      <c r="K188" s="29"/>
      <c r="L188" s="29"/>
      <c r="M188" s="29"/>
      <c r="N188" s="53"/>
      <c r="O188" s="53"/>
      <c r="P188" s="25" t="str">
        <f aca="false">IF(Tasks[[#This Row],[Task Name]]="","",IF(N(Tasks[[#This Row],[Baseline Start]])&gt;0,Tasks[[#This Row],[Baseline Start]],Tasks[[#This Row],[_CalcStart]]))</f>
        <v/>
      </c>
      <c r="Q188" s="25" t="str">
        <f aca="false">IF(Tasks[[#This Row],[Task Name]]="","",IF(N(Tasks[[#This Row],[Baseline Finish]])&gt;0,Tasks[[#This Row],[Baseline Finish]],Tasks[[#This Row],[_CalcFinish]]))</f>
        <v/>
      </c>
      <c r="R188" s="53"/>
      <c r="S188" s="53"/>
      <c r="T1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55"/>
      <c r="AF18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30"/>
      <c r="AI188" s="55"/>
      <c r="AJ18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64"/>
      <c r="AM18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8" s="30"/>
      <c r="AP188" s="25" t="str">
        <f aca="false">IF(Tasks[[#This Row],[Task Name]]="","",Tasks[[#This Row],[Forecast Start]])</f>
        <v/>
      </c>
      <c r="AQ188" s="25" t="str">
        <f aca="false">IF(Tasks[[#This Row],[Task Name]]="","",Tasks[[#This Row],[Forecast Finish]])</f>
        <v/>
      </c>
      <c r="AR1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8" s="62" t="str">
        <f aca="false">IF(Tasks[[#This Row],[Task Name]]="","",Tasks[[#This Row],[Work]])</f>
        <v/>
      </c>
      <c r="AT188" s="63" t="str">
        <f aca="false">IF(Tasks[[#This Row],[Task Name]]="","",Tasks[[#This Row],[Cost]])</f>
        <v/>
      </c>
      <c r="AU188" s="53"/>
      <c r="AV188" s="53"/>
      <c r="AW188" s="29"/>
      <c r="AX188" s="65"/>
      <c r="AY188" s="64"/>
      <c r="AZ188" s="28" t="str">
        <f aca="false">IF(OR(Tasks[[#This Row],[Task Name]]="",Tasks[[#This Row],[Baseline Duration]]=""),"",Tasks[[#This Row],[BL Source Duration]]-N(Tasks[[#This Row],[Baseline Duration]]))</f>
        <v/>
      </c>
      <c r="BA188" s="62" t="str">
        <f aca="false">IF(OR(Tasks[[#This Row],[Task Name]]="",Tasks[[#This Row],[Baseline Work]]=""),"",Tasks[[#This Row],[Work]]-N(Tasks[[#This Row],[Baseline Work]]))</f>
        <v/>
      </c>
      <c r="BB188" s="63" t="str">
        <f aca="false">IF(OR(Tasks[[#This Row],[Task Name]]="",Tasks[[#This Row],[Baseline Cost]]=""),"",Tasks[[#This Row],[Cost]]-N(Tasks[[#This Row],[Baseline Cost]]))</f>
        <v/>
      </c>
      <c r="BC18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8" s="43" t="str">
        <f aca="false">IF(Tasks[[#This Row],[Task Name]]="","",MAX(1,N(Tasks[[#This Row],[Level]])))</f>
        <v/>
      </c>
      <c r="BH188" s="43" t="n">
        <f aca="false">ROW()-ROW(Tasks[[#Headers],[ID]])</f>
        <v>183</v>
      </c>
      <c r="BI1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8" s="43" t="n">
        <f aca="false">IFERROR(N(INDEX(Tasks[_Level],Tasks[[#This Row],[_Row]]+1)),0)</f>
        <v>0</v>
      </c>
      <c r="BK188" s="66" t="b">
        <f aca="false">AND(Tasks[[#This Row],[Task Name]]&lt;&gt;"",Tasks[[#This Row],[_NextLevel]]&gt;Tasks[[#This Row],[_Level]])</f>
        <v>0</v>
      </c>
      <c r="BL188" s="43" t="n">
        <f aca="false">IF(Tasks[[#This Row],[_IsSummary]],COUNTIF(Tasks[WBS],Tasks[[#This Row],[WBS]]&amp;".*"),0)</f>
        <v>0</v>
      </c>
      <c r="BM188" s="43" t="n">
        <f aca="false">IF(AND(Tasks[[#This Row],[Task Name]]&lt;&gt;"",NOT(Tasks[[#This Row],[_IsSummary]])),1,0)</f>
        <v>0</v>
      </c>
      <c r="BN188" s="43" t="n">
        <f aca="false">IF(N(Tasks[[#This Row],[Pred1 UID]])=0,0,IFERROR(MATCH(Tasks[[#This Row],[Pred1 UID]],Tasks[UID],0),-1))</f>
        <v>0</v>
      </c>
      <c r="BO188" s="43" t="n">
        <f aca="false">IF(N(Tasks[[#This Row],[Pred2 UID]])=0,0,IFERROR(MATCH(Tasks[[#This Row],[Pred2 UID]],Tasks[UID],0),-1))</f>
        <v>0</v>
      </c>
      <c r="BP18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8" s="43" t="n">
        <f aca="false">IF(NOT(Tasks[[#This Row],[_IsLeaf]]=1),0,IF(N(Tasks[[#This Row],[Actual Finish]])&gt;0,1,MIN(1,N(Tasks[[#This Row],[% Complete]]))))</f>
        <v>0</v>
      </c>
      <c r="BU1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8" s="43" t="n">
        <f aca="false">IF(Tasks[[#This Row],[_LeafWork]]=0,0,Tasks[[#This Row],[_LeafWork]]*IFERROR(INDEX(res_Rate,MATCH(Tasks[[#This Row],[Resource]],res_Name,0)),0))</f>
        <v>0</v>
      </c>
      <c r="BW1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8" s="43" t="n">
        <f aca="false">IF(NOT(Tasks[[#This Row],[_IsLeaf]]=1),0,MAX(_xlfn.MAXIFS(Tasks[_Row],Tasks[Pred1 UID],Tasks[[#This Row],[UID]]),_xlfn.MAXIFS(Tasks[_Row],Tasks[Pred2 UID],Tasks[[#This Row],[UID]])))</f>
        <v>0</v>
      </c>
      <c r="CB18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8" s="67" t="str">
        <f aca="false">IF(NOT(Tasks[[#This Row],[_IsLeaf]]=1),"",MIN(ProjectFinish,IF(N(Tasks[[#This Row],[Deadline]])&gt;0,Tasks[[#This Row],[Deadline]],2958465),Tasks[[#This Row],[_SuccessorFinishLimit]]))</f>
        <v/>
      </c>
      <c r="CD18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8" s="66" t="b">
        <f aca="false">AND(Tasks[[#This Row],[_IsLeaf]]=1,Tasks[[#This Row],[_LeafProgress]]&lt;1,N(Tasks[[#This Row],[_LeafTotalSlack]])&lt;=CriticalSlackDays)</f>
        <v>0</v>
      </c>
      <c r="CG18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8" s="43" t="n">
        <f aca="false">IF(AND(Tasks[[#This Row],[_IsLeaf]]=1,Tasks[[#This Row],[_LeafWork]]&gt;0),NETWORKDAYS.INTL(ProjectStart,Tasks[[#This Row],[_LeafFcstStart]],WorkWeek,Holidays),0)</f>
        <v>0</v>
      </c>
      <c r="CP1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8" s="43" t="n">
        <f aca="false">IF(AND(Tasks[[#This Row],[_IsLeaf]]=1,Tasks[[#This Row],[_LeafWork]]&gt;0),Tasks[[#This Row],[_LeafWork]]/(Tasks[[#This Row],[_FinishWorkday]]-Tasks[[#This Row],[_StartWorkday]]+1),0)</f>
        <v>0</v>
      </c>
      <c r="CR188" s="43" t="n">
        <f aca="false">Tasks[[#This Row],[_WorkPerWorkday]]*(Tasks[[#This Row],[_StartWorkday]]-1)</f>
        <v>-0</v>
      </c>
      <c r="CS188" s="43" t="n">
        <f aca="false">IF(Tasks[[#This Row],[_IsLeaf]]=1,MAX(N(Tasks[[#This Row],[Duration]]),0.1),0)</f>
        <v>0</v>
      </c>
      <c r="CT188" s="43" t="n">
        <f aca="false">Tasks[[#This Row],[_WeightDur]]*Tasks[[#This Row],[_LeafProgress]]</f>
        <v>0</v>
      </c>
      <c r="CU1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8" s="43" t="str">
        <f aca="false">IF(AND(Tasks[[#This Row],[_IsLeaf]]=1,N(Tasks[[#This Row],[Duration]])=0,Tasks[[#This Row],[_LeafProgress]]&lt;1),Tasks[[#This Row],[_LeafFcstFinish]]+Tasks[[#This Row],[_Row]]/100000,"")</f>
        <v/>
      </c>
      <c r="DA1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8" s="43" t="n">
        <f aca="false">IF(NOT(Tasks[[#This Row],[_IsLeaf]]=1),0,IF(Tasks[[#This Row],[Baseline Cost]]="",Tasks[[#This Row],[_LeafCost]],N(Tasks[[#This Row],[Baseline Cost]])))</f>
        <v>0</v>
      </c>
      <c r="DC188" s="43" t="n">
        <f aca="false">Tasks[[#This Row],[_LeafBudget]]*Tasks[[#This Row],[_PlannedPct]]</f>
        <v>0</v>
      </c>
      <c r="DD188" s="43" t="n">
        <f aca="false">Tasks[[#This Row],[_LeafBudget]]*Tasks[[#This Row],[_LeafProgress]]</f>
        <v>0</v>
      </c>
      <c r="DE188" s="43" t="n">
        <f aca="false">IF(NOT(Tasks[[#This Row],[_IsLeaf]]=1),0,IF(Tasks[[#This Row],[Actual Cost]]="",Tasks[[#This Row],[_LeafCost]]*Tasks[[#This Row],[_LeafProgress]],N(Tasks[[#This Row],[Actual Cost]])))</f>
        <v>0</v>
      </c>
      <c r="DF188" s="43" t="str">
        <f aca="false">IF(Tasks[[#This Row],[Task Name]]="","",LEFT(Tasks[[#This Row],[WBS]],FIND(".",Tasks[[#This Row],[WBS]]&amp;".")-1))</f>
        <v/>
      </c>
      <c r="DG188" s="43" t="str">
        <f aca="false">IF(AND(Tasks[[#This Row],[Task Name]]&lt;&gt;"",Tasks[[#This Row],[_Level]]=1),Tasks[[#This Row],[_Row]],"")</f>
        <v/>
      </c>
      <c r="DH188" s="43" t="str">
        <f aca="false">IF(AND(Tasks[[#This Row],[_IsLeaf]]=1,N(Tasks[[#This Row],[Duration]])=0),Tasks[[#This Row],[Planned Finish]]+Tasks[[#This Row],[_Row]]/100000,"")</f>
        <v/>
      </c>
      <c r="DI1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8" s="43" t="str">
        <f aca="false">IF(Tasks[[#This Row],[_LeafCritical]],Tasks[[#This Row],[_LeafFcstStart]]+Tasks[[#This Row],[_Row]]/100000,"")</f>
        <v/>
      </c>
    </row>
    <row r="189" customFormat="false" ht="15" hidden="false" customHeight="false" outlineLevel="0" collapsed="false">
      <c r="A189" s="28" t="str">
        <f aca="false">IF(Tasks[[#This Row],[Task Name]]="","",COUNTA(Tasks[[#Headers],[Task Name]]:Tasks[[#This Row],[Task Name]])-1)</f>
        <v/>
      </c>
      <c r="B189" s="29" t="n">
        <v>184</v>
      </c>
      <c r="C1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29"/>
      <c r="E189" s="30"/>
      <c r="F189" s="29"/>
      <c r="G189" s="29"/>
      <c r="H189" s="29"/>
      <c r="I189" s="29"/>
      <c r="J189" s="29"/>
      <c r="K189" s="29"/>
      <c r="L189" s="29"/>
      <c r="M189" s="29"/>
      <c r="N189" s="53"/>
      <c r="O189" s="53"/>
      <c r="P189" s="25" t="str">
        <f aca="false">IF(Tasks[[#This Row],[Task Name]]="","",IF(N(Tasks[[#This Row],[Baseline Start]])&gt;0,Tasks[[#This Row],[Baseline Start]],Tasks[[#This Row],[_CalcStart]]))</f>
        <v/>
      </c>
      <c r="Q189" s="25" t="str">
        <f aca="false">IF(Tasks[[#This Row],[Task Name]]="","",IF(N(Tasks[[#This Row],[Baseline Finish]])&gt;0,Tasks[[#This Row],[Baseline Finish]],Tasks[[#This Row],[_CalcFinish]]))</f>
        <v/>
      </c>
      <c r="R189" s="53"/>
      <c r="S189" s="53"/>
      <c r="T1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55"/>
      <c r="AF18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30"/>
      <c r="AI189" s="55"/>
      <c r="AJ18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64"/>
      <c r="AM18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89" s="30"/>
      <c r="AP189" s="25" t="str">
        <f aca="false">IF(Tasks[[#This Row],[Task Name]]="","",Tasks[[#This Row],[Forecast Start]])</f>
        <v/>
      </c>
      <c r="AQ189" s="25" t="str">
        <f aca="false">IF(Tasks[[#This Row],[Task Name]]="","",Tasks[[#This Row],[Forecast Finish]])</f>
        <v/>
      </c>
      <c r="AR1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89" s="62" t="str">
        <f aca="false">IF(Tasks[[#This Row],[Task Name]]="","",Tasks[[#This Row],[Work]])</f>
        <v/>
      </c>
      <c r="AT189" s="63" t="str">
        <f aca="false">IF(Tasks[[#This Row],[Task Name]]="","",Tasks[[#This Row],[Cost]])</f>
        <v/>
      </c>
      <c r="AU189" s="53"/>
      <c r="AV189" s="53"/>
      <c r="AW189" s="29"/>
      <c r="AX189" s="65"/>
      <c r="AY189" s="64"/>
      <c r="AZ189" s="28" t="str">
        <f aca="false">IF(OR(Tasks[[#This Row],[Task Name]]="",Tasks[[#This Row],[Baseline Duration]]=""),"",Tasks[[#This Row],[BL Source Duration]]-N(Tasks[[#This Row],[Baseline Duration]]))</f>
        <v/>
      </c>
      <c r="BA189" s="62" t="str">
        <f aca="false">IF(OR(Tasks[[#This Row],[Task Name]]="",Tasks[[#This Row],[Baseline Work]]=""),"",Tasks[[#This Row],[Work]]-N(Tasks[[#This Row],[Baseline Work]]))</f>
        <v/>
      </c>
      <c r="BB189" s="63" t="str">
        <f aca="false">IF(OR(Tasks[[#This Row],[Task Name]]="",Tasks[[#This Row],[Baseline Cost]]=""),"",Tasks[[#This Row],[Cost]]-N(Tasks[[#This Row],[Baseline Cost]]))</f>
        <v/>
      </c>
      <c r="BC18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8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8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8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89" s="43" t="str">
        <f aca="false">IF(Tasks[[#This Row],[Task Name]]="","",MAX(1,N(Tasks[[#This Row],[Level]])))</f>
        <v/>
      </c>
      <c r="BH189" s="43" t="n">
        <f aca="false">ROW()-ROW(Tasks[[#Headers],[ID]])</f>
        <v>184</v>
      </c>
      <c r="BI1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89" s="43" t="n">
        <f aca="false">IFERROR(N(INDEX(Tasks[_Level],Tasks[[#This Row],[_Row]]+1)),0)</f>
        <v>0</v>
      </c>
      <c r="BK189" s="66" t="b">
        <f aca="false">AND(Tasks[[#This Row],[Task Name]]&lt;&gt;"",Tasks[[#This Row],[_NextLevel]]&gt;Tasks[[#This Row],[_Level]])</f>
        <v>0</v>
      </c>
      <c r="BL189" s="43" t="n">
        <f aca="false">IF(Tasks[[#This Row],[_IsSummary]],COUNTIF(Tasks[WBS],Tasks[[#This Row],[WBS]]&amp;".*"),0)</f>
        <v>0</v>
      </c>
      <c r="BM189" s="43" t="n">
        <f aca="false">IF(AND(Tasks[[#This Row],[Task Name]]&lt;&gt;"",NOT(Tasks[[#This Row],[_IsSummary]])),1,0)</f>
        <v>0</v>
      </c>
      <c r="BN189" s="43" t="n">
        <f aca="false">IF(N(Tasks[[#This Row],[Pred1 UID]])=0,0,IFERROR(MATCH(Tasks[[#This Row],[Pred1 UID]],Tasks[UID],0),-1))</f>
        <v>0</v>
      </c>
      <c r="BO189" s="43" t="n">
        <f aca="false">IF(N(Tasks[[#This Row],[Pred2 UID]])=0,0,IFERROR(MATCH(Tasks[[#This Row],[Pred2 UID]],Tasks[UID],0),-1))</f>
        <v>0</v>
      </c>
      <c r="BP18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8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8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8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89" s="43" t="n">
        <f aca="false">IF(NOT(Tasks[[#This Row],[_IsLeaf]]=1),0,IF(N(Tasks[[#This Row],[Actual Finish]])&gt;0,1,MIN(1,N(Tasks[[#This Row],[% Complete]]))))</f>
        <v>0</v>
      </c>
      <c r="BU1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89" s="43" t="n">
        <f aca="false">IF(Tasks[[#This Row],[_LeafWork]]=0,0,Tasks[[#This Row],[_LeafWork]]*IFERROR(INDEX(res_Rate,MATCH(Tasks[[#This Row],[Resource]],res_Name,0)),0))</f>
        <v>0</v>
      </c>
      <c r="BW1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89" s="43" t="n">
        <f aca="false">IF(NOT(Tasks[[#This Row],[_IsLeaf]]=1),0,MAX(_xlfn.MAXIFS(Tasks[_Row],Tasks[Pred1 UID],Tasks[[#This Row],[UID]]),_xlfn.MAXIFS(Tasks[_Row],Tasks[Pred2 UID],Tasks[[#This Row],[UID]])))</f>
        <v>0</v>
      </c>
      <c r="CB18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89" s="67" t="str">
        <f aca="false">IF(NOT(Tasks[[#This Row],[_IsLeaf]]=1),"",MIN(ProjectFinish,IF(N(Tasks[[#This Row],[Deadline]])&gt;0,Tasks[[#This Row],[Deadline]],2958465),Tasks[[#This Row],[_SuccessorFinishLimit]]))</f>
        <v/>
      </c>
      <c r="CD18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89" s="66" t="b">
        <f aca="false">AND(Tasks[[#This Row],[_IsLeaf]]=1,Tasks[[#This Row],[_LeafProgress]]&lt;1,N(Tasks[[#This Row],[_LeafTotalSlack]])&lt;=CriticalSlackDays)</f>
        <v>0</v>
      </c>
      <c r="CG18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8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8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8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8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8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89" s="43" t="n">
        <f aca="false">IF(AND(Tasks[[#This Row],[_IsLeaf]]=1,Tasks[[#This Row],[_LeafWork]]&gt;0),NETWORKDAYS.INTL(ProjectStart,Tasks[[#This Row],[_LeafFcstStart]],WorkWeek,Holidays),0)</f>
        <v>0</v>
      </c>
      <c r="CP1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89" s="43" t="n">
        <f aca="false">IF(AND(Tasks[[#This Row],[_IsLeaf]]=1,Tasks[[#This Row],[_LeafWork]]&gt;0),Tasks[[#This Row],[_LeafWork]]/(Tasks[[#This Row],[_FinishWorkday]]-Tasks[[#This Row],[_StartWorkday]]+1),0)</f>
        <v>0</v>
      </c>
      <c r="CR189" s="43" t="n">
        <f aca="false">Tasks[[#This Row],[_WorkPerWorkday]]*(Tasks[[#This Row],[_StartWorkday]]-1)</f>
        <v>-0</v>
      </c>
      <c r="CS189" s="43" t="n">
        <f aca="false">IF(Tasks[[#This Row],[_IsLeaf]]=1,MAX(N(Tasks[[#This Row],[Duration]]),0.1),0)</f>
        <v>0</v>
      </c>
      <c r="CT189" s="43" t="n">
        <f aca="false">Tasks[[#This Row],[_WeightDur]]*Tasks[[#This Row],[_LeafProgress]]</f>
        <v>0</v>
      </c>
      <c r="CU1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89" s="43" t="str">
        <f aca="false">IF(AND(Tasks[[#This Row],[_IsLeaf]]=1,N(Tasks[[#This Row],[Duration]])=0,Tasks[[#This Row],[_LeafProgress]]&lt;1),Tasks[[#This Row],[_LeafFcstFinish]]+Tasks[[#This Row],[_Row]]/100000,"")</f>
        <v/>
      </c>
      <c r="DA1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89" s="43" t="n">
        <f aca="false">IF(NOT(Tasks[[#This Row],[_IsLeaf]]=1),0,IF(Tasks[[#This Row],[Baseline Cost]]="",Tasks[[#This Row],[_LeafCost]],N(Tasks[[#This Row],[Baseline Cost]])))</f>
        <v>0</v>
      </c>
      <c r="DC189" s="43" t="n">
        <f aca="false">Tasks[[#This Row],[_LeafBudget]]*Tasks[[#This Row],[_PlannedPct]]</f>
        <v>0</v>
      </c>
      <c r="DD189" s="43" t="n">
        <f aca="false">Tasks[[#This Row],[_LeafBudget]]*Tasks[[#This Row],[_LeafProgress]]</f>
        <v>0</v>
      </c>
      <c r="DE189" s="43" t="n">
        <f aca="false">IF(NOT(Tasks[[#This Row],[_IsLeaf]]=1),0,IF(Tasks[[#This Row],[Actual Cost]]="",Tasks[[#This Row],[_LeafCost]]*Tasks[[#This Row],[_LeafProgress]],N(Tasks[[#This Row],[Actual Cost]])))</f>
        <v>0</v>
      </c>
      <c r="DF189" s="43" t="str">
        <f aca="false">IF(Tasks[[#This Row],[Task Name]]="","",LEFT(Tasks[[#This Row],[WBS]],FIND(".",Tasks[[#This Row],[WBS]]&amp;".")-1))</f>
        <v/>
      </c>
      <c r="DG189" s="43" t="str">
        <f aca="false">IF(AND(Tasks[[#This Row],[Task Name]]&lt;&gt;"",Tasks[[#This Row],[_Level]]=1),Tasks[[#This Row],[_Row]],"")</f>
        <v/>
      </c>
      <c r="DH189" s="43" t="str">
        <f aca="false">IF(AND(Tasks[[#This Row],[_IsLeaf]]=1,N(Tasks[[#This Row],[Duration]])=0),Tasks[[#This Row],[Planned Finish]]+Tasks[[#This Row],[_Row]]/100000,"")</f>
        <v/>
      </c>
      <c r="DI1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89" s="43" t="str">
        <f aca="false">IF(Tasks[[#This Row],[_LeafCritical]],Tasks[[#This Row],[_LeafFcstStart]]+Tasks[[#This Row],[_Row]]/100000,"")</f>
        <v/>
      </c>
    </row>
    <row r="190" customFormat="false" ht="15" hidden="false" customHeight="false" outlineLevel="0" collapsed="false">
      <c r="A190" s="28" t="str">
        <f aca="false">IF(Tasks[[#This Row],[Task Name]]="","",COUNTA(Tasks[[#Headers],[Task Name]]:Tasks[[#This Row],[Task Name]])-1)</f>
        <v/>
      </c>
      <c r="B190" s="29" t="n">
        <v>185</v>
      </c>
      <c r="C1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29"/>
      <c r="E190" s="30"/>
      <c r="F190" s="29"/>
      <c r="G190" s="29"/>
      <c r="H190" s="29"/>
      <c r="I190" s="29"/>
      <c r="J190" s="29"/>
      <c r="K190" s="29"/>
      <c r="L190" s="29"/>
      <c r="M190" s="29"/>
      <c r="N190" s="53"/>
      <c r="O190" s="53"/>
      <c r="P190" s="25" t="str">
        <f aca="false">IF(Tasks[[#This Row],[Task Name]]="","",IF(N(Tasks[[#This Row],[Baseline Start]])&gt;0,Tasks[[#This Row],[Baseline Start]],Tasks[[#This Row],[_CalcStart]]))</f>
        <v/>
      </c>
      <c r="Q190" s="25" t="str">
        <f aca="false">IF(Tasks[[#This Row],[Task Name]]="","",IF(N(Tasks[[#This Row],[Baseline Finish]])&gt;0,Tasks[[#This Row],[Baseline Finish]],Tasks[[#This Row],[_CalcFinish]]))</f>
        <v/>
      </c>
      <c r="R190" s="53"/>
      <c r="S190" s="53"/>
      <c r="T1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55"/>
      <c r="AF19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30"/>
      <c r="AI190" s="55"/>
      <c r="AJ19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64"/>
      <c r="AM19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0" s="30"/>
      <c r="AP190" s="25" t="str">
        <f aca="false">IF(Tasks[[#This Row],[Task Name]]="","",Tasks[[#This Row],[Forecast Start]])</f>
        <v/>
      </c>
      <c r="AQ190" s="25" t="str">
        <f aca="false">IF(Tasks[[#This Row],[Task Name]]="","",Tasks[[#This Row],[Forecast Finish]])</f>
        <v/>
      </c>
      <c r="AR1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0" s="62" t="str">
        <f aca="false">IF(Tasks[[#This Row],[Task Name]]="","",Tasks[[#This Row],[Work]])</f>
        <v/>
      </c>
      <c r="AT190" s="63" t="str">
        <f aca="false">IF(Tasks[[#This Row],[Task Name]]="","",Tasks[[#This Row],[Cost]])</f>
        <v/>
      </c>
      <c r="AU190" s="53"/>
      <c r="AV190" s="53"/>
      <c r="AW190" s="29"/>
      <c r="AX190" s="65"/>
      <c r="AY190" s="64"/>
      <c r="AZ190" s="28" t="str">
        <f aca="false">IF(OR(Tasks[[#This Row],[Task Name]]="",Tasks[[#This Row],[Baseline Duration]]=""),"",Tasks[[#This Row],[BL Source Duration]]-N(Tasks[[#This Row],[Baseline Duration]]))</f>
        <v/>
      </c>
      <c r="BA190" s="62" t="str">
        <f aca="false">IF(OR(Tasks[[#This Row],[Task Name]]="",Tasks[[#This Row],[Baseline Work]]=""),"",Tasks[[#This Row],[Work]]-N(Tasks[[#This Row],[Baseline Work]]))</f>
        <v/>
      </c>
      <c r="BB190" s="63" t="str">
        <f aca="false">IF(OR(Tasks[[#This Row],[Task Name]]="",Tasks[[#This Row],[Baseline Cost]]=""),"",Tasks[[#This Row],[Cost]]-N(Tasks[[#This Row],[Baseline Cost]]))</f>
        <v/>
      </c>
      <c r="BC19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0" s="43" t="str">
        <f aca="false">IF(Tasks[[#This Row],[Task Name]]="","",MAX(1,N(Tasks[[#This Row],[Level]])))</f>
        <v/>
      </c>
      <c r="BH190" s="43" t="n">
        <f aca="false">ROW()-ROW(Tasks[[#Headers],[ID]])</f>
        <v>185</v>
      </c>
      <c r="BI1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0" s="43" t="n">
        <f aca="false">IFERROR(N(INDEX(Tasks[_Level],Tasks[[#This Row],[_Row]]+1)),0)</f>
        <v>0</v>
      </c>
      <c r="BK190" s="66" t="b">
        <f aca="false">AND(Tasks[[#This Row],[Task Name]]&lt;&gt;"",Tasks[[#This Row],[_NextLevel]]&gt;Tasks[[#This Row],[_Level]])</f>
        <v>0</v>
      </c>
      <c r="BL190" s="43" t="n">
        <f aca="false">IF(Tasks[[#This Row],[_IsSummary]],COUNTIF(Tasks[WBS],Tasks[[#This Row],[WBS]]&amp;".*"),0)</f>
        <v>0</v>
      </c>
      <c r="BM190" s="43" t="n">
        <f aca="false">IF(AND(Tasks[[#This Row],[Task Name]]&lt;&gt;"",NOT(Tasks[[#This Row],[_IsSummary]])),1,0)</f>
        <v>0</v>
      </c>
      <c r="BN190" s="43" t="n">
        <f aca="false">IF(N(Tasks[[#This Row],[Pred1 UID]])=0,0,IFERROR(MATCH(Tasks[[#This Row],[Pred1 UID]],Tasks[UID],0),-1))</f>
        <v>0</v>
      </c>
      <c r="BO190" s="43" t="n">
        <f aca="false">IF(N(Tasks[[#This Row],[Pred2 UID]])=0,0,IFERROR(MATCH(Tasks[[#This Row],[Pred2 UID]],Tasks[UID],0),-1))</f>
        <v>0</v>
      </c>
      <c r="BP19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0" s="43" t="n">
        <f aca="false">IF(NOT(Tasks[[#This Row],[_IsLeaf]]=1),0,IF(N(Tasks[[#This Row],[Actual Finish]])&gt;0,1,MIN(1,N(Tasks[[#This Row],[% Complete]]))))</f>
        <v>0</v>
      </c>
      <c r="BU1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0" s="43" t="n">
        <f aca="false">IF(Tasks[[#This Row],[_LeafWork]]=0,0,Tasks[[#This Row],[_LeafWork]]*IFERROR(INDEX(res_Rate,MATCH(Tasks[[#This Row],[Resource]],res_Name,0)),0))</f>
        <v>0</v>
      </c>
      <c r="BW1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0" s="43" t="n">
        <f aca="false">IF(NOT(Tasks[[#This Row],[_IsLeaf]]=1),0,MAX(_xlfn.MAXIFS(Tasks[_Row],Tasks[Pred1 UID],Tasks[[#This Row],[UID]]),_xlfn.MAXIFS(Tasks[_Row],Tasks[Pred2 UID],Tasks[[#This Row],[UID]])))</f>
        <v>0</v>
      </c>
      <c r="CB19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0" s="67" t="str">
        <f aca="false">IF(NOT(Tasks[[#This Row],[_IsLeaf]]=1),"",MIN(ProjectFinish,IF(N(Tasks[[#This Row],[Deadline]])&gt;0,Tasks[[#This Row],[Deadline]],2958465),Tasks[[#This Row],[_SuccessorFinishLimit]]))</f>
        <v/>
      </c>
      <c r="CD19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0" s="66" t="b">
        <f aca="false">AND(Tasks[[#This Row],[_IsLeaf]]=1,Tasks[[#This Row],[_LeafProgress]]&lt;1,N(Tasks[[#This Row],[_LeafTotalSlack]])&lt;=CriticalSlackDays)</f>
        <v>0</v>
      </c>
      <c r="CG19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0" s="43" t="n">
        <f aca="false">IF(AND(Tasks[[#This Row],[_IsLeaf]]=1,Tasks[[#This Row],[_LeafWork]]&gt;0),NETWORKDAYS.INTL(ProjectStart,Tasks[[#This Row],[_LeafFcstStart]],WorkWeek,Holidays),0)</f>
        <v>0</v>
      </c>
      <c r="CP1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0" s="43" t="n">
        <f aca="false">IF(AND(Tasks[[#This Row],[_IsLeaf]]=1,Tasks[[#This Row],[_LeafWork]]&gt;0),Tasks[[#This Row],[_LeafWork]]/(Tasks[[#This Row],[_FinishWorkday]]-Tasks[[#This Row],[_StartWorkday]]+1),0)</f>
        <v>0</v>
      </c>
      <c r="CR190" s="43" t="n">
        <f aca="false">Tasks[[#This Row],[_WorkPerWorkday]]*(Tasks[[#This Row],[_StartWorkday]]-1)</f>
        <v>-0</v>
      </c>
      <c r="CS190" s="43" t="n">
        <f aca="false">IF(Tasks[[#This Row],[_IsLeaf]]=1,MAX(N(Tasks[[#This Row],[Duration]]),0.1),0)</f>
        <v>0</v>
      </c>
      <c r="CT190" s="43" t="n">
        <f aca="false">Tasks[[#This Row],[_WeightDur]]*Tasks[[#This Row],[_LeafProgress]]</f>
        <v>0</v>
      </c>
      <c r="CU1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0" s="43" t="str">
        <f aca="false">IF(AND(Tasks[[#This Row],[_IsLeaf]]=1,N(Tasks[[#This Row],[Duration]])=0,Tasks[[#This Row],[_LeafProgress]]&lt;1),Tasks[[#This Row],[_LeafFcstFinish]]+Tasks[[#This Row],[_Row]]/100000,"")</f>
        <v/>
      </c>
      <c r="DA1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0" s="43" t="n">
        <f aca="false">IF(NOT(Tasks[[#This Row],[_IsLeaf]]=1),0,IF(Tasks[[#This Row],[Baseline Cost]]="",Tasks[[#This Row],[_LeafCost]],N(Tasks[[#This Row],[Baseline Cost]])))</f>
        <v>0</v>
      </c>
      <c r="DC190" s="43" t="n">
        <f aca="false">Tasks[[#This Row],[_LeafBudget]]*Tasks[[#This Row],[_PlannedPct]]</f>
        <v>0</v>
      </c>
      <c r="DD190" s="43" t="n">
        <f aca="false">Tasks[[#This Row],[_LeafBudget]]*Tasks[[#This Row],[_LeafProgress]]</f>
        <v>0</v>
      </c>
      <c r="DE190" s="43" t="n">
        <f aca="false">IF(NOT(Tasks[[#This Row],[_IsLeaf]]=1),0,IF(Tasks[[#This Row],[Actual Cost]]="",Tasks[[#This Row],[_LeafCost]]*Tasks[[#This Row],[_LeafProgress]],N(Tasks[[#This Row],[Actual Cost]])))</f>
        <v>0</v>
      </c>
      <c r="DF190" s="43" t="str">
        <f aca="false">IF(Tasks[[#This Row],[Task Name]]="","",LEFT(Tasks[[#This Row],[WBS]],FIND(".",Tasks[[#This Row],[WBS]]&amp;".")-1))</f>
        <v/>
      </c>
      <c r="DG190" s="43" t="str">
        <f aca="false">IF(AND(Tasks[[#This Row],[Task Name]]&lt;&gt;"",Tasks[[#This Row],[_Level]]=1),Tasks[[#This Row],[_Row]],"")</f>
        <v/>
      </c>
      <c r="DH190" s="43" t="str">
        <f aca="false">IF(AND(Tasks[[#This Row],[_IsLeaf]]=1,N(Tasks[[#This Row],[Duration]])=0),Tasks[[#This Row],[Planned Finish]]+Tasks[[#This Row],[_Row]]/100000,"")</f>
        <v/>
      </c>
      <c r="DI1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0" s="43" t="str">
        <f aca="false">IF(Tasks[[#This Row],[_LeafCritical]],Tasks[[#This Row],[_LeafFcstStart]]+Tasks[[#This Row],[_Row]]/100000,"")</f>
        <v/>
      </c>
    </row>
    <row r="191" customFormat="false" ht="15" hidden="false" customHeight="false" outlineLevel="0" collapsed="false">
      <c r="A191" s="28" t="str">
        <f aca="false">IF(Tasks[[#This Row],[Task Name]]="","",COUNTA(Tasks[[#Headers],[Task Name]]:Tasks[[#This Row],[Task Name]])-1)</f>
        <v/>
      </c>
      <c r="B191" s="29" t="n">
        <v>186</v>
      </c>
      <c r="C1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29"/>
      <c r="E191" s="30"/>
      <c r="F191" s="29"/>
      <c r="G191" s="29"/>
      <c r="H191" s="29"/>
      <c r="I191" s="29"/>
      <c r="J191" s="29"/>
      <c r="K191" s="29"/>
      <c r="L191" s="29"/>
      <c r="M191" s="29"/>
      <c r="N191" s="53"/>
      <c r="O191" s="53"/>
      <c r="P191" s="25" t="str">
        <f aca="false">IF(Tasks[[#This Row],[Task Name]]="","",IF(N(Tasks[[#This Row],[Baseline Start]])&gt;0,Tasks[[#This Row],[Baseline Start]],Tasks[[#This Row],[_CalcStart]]))</f>
        <v/>
      </c>
      <c r="Q191" s="25" t="str">
        <f aca="false">IF(Tasks[[#This Row],[Task Name]]="","",IF(N(Tasks[[#This Row],[Baseline Finish]])&gt;0,Tasks[[#This Row],[Baseline Finish]],Tasks[[#This Row],[_CalcFinish]]))</f>
        <v/>
      </c>
      <c r="R191" s="53"/>
      <c r="S191" s="53"/>
      <c r="T1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55"/>
      <c r="AF19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30"/>
      <c r="AI191" s="55"/>
      <c r="AJ19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64"/>
      <c r="AM19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1" s="30"/>
      <c r="AP191" s="25" t="str">
        <f aca="false">IF(Tasks[[#This Row],[Task Name]]="","",Tasks[[#This Row],[Forecast Start]])</f>
        <v/>
      </c>
      <c r="AQ191" s="25" t="str">
        <f aca="false">IF(Tasks[[#This Row],[Task Name]]="","",Tasks[[#This Row],[Forecast Finish]])</f>
        <v/>
      </c>
      <c r="AR1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1" s="62" t="str">
        <f aca="false">IF(Tasks[[#This Row],[Task Name]]="","",Tasks[[#This Row],[Work]])</f>
        <v/>
      </c>
      <c r="AT191" s="63" t="str">
        <f aca="false">IF(Tasks[[#This Row],[Task Name]]="","",Tasks[[#This Row],[Cost]])</f>
        <v/>
      </c>
      <c r="AU191" s="53"/>
      <c r="AV191" s="53"/>
      <c r="AW191" s="29"/>
      <c r="AX191" s="65"/>
      <c r="AY191" s="64"/>
      <c r="AZ191" s="28" t="str">
        <f aca="false">IF(OR(Tasks[[#This Row],[Task Name]]="",Tasks[[#This Row],[Baseline Duration]]=""),"",Tasks[[#This Row],[BL Source Duration]]-N(Tasks[[#This Row],[Baseline Duration]]))</f>
        <v/>
      </c>
      <c r="BA191" s="62" t="str">
        <f aca="false">IF(OR(Tasks[[#This Row],[Task Name]]="",Tasks[[#This Row],[Baseline Work]]=""),"",Tasks[[#This Row],[Work]]-N(Tasks[[#This Row],[Baseline Work]]))</f>
        <v/>
      </c>
      <c r="BB191" s="63" t="str">
        <f aca="false">IF(OR(Tasks[[#This Row],[Task Name]]="",Tasks[[#This Row],[Baseline Cost]]=""),"",Tasks[[#This Row],[Cost]]-N(Tasks[[#This Row],[Baseline Cost]]))</f>
        <v/>
      </c>
      <c r="BC19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1" s="43" t="str">
        <f aca="false">IF(Tasks[[#This Row],[Task Name]]="","",MAX(1,N(Tasks[[#This Row],[Level]])))</f>
        <v/>
      </c>
      <c r="BH191" s="43" t="n">
        <f aca="false">ROW()-ROW(Tasks[[#Headers],[ID]])</f>
        <v>186</v>
      </c>
      <c r="BI1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1" s="43" t="n">
        <f aca="false">IFERROR(N(INDEX(Tasks[_Level],Tasks[[#This Row],[_Row]]+1)),0)</f>
        <v>0</v>
      </c>
      <c r="BK191" s="66" t="b">
        <f aca="false">AND(Tasks[[#This Row],[Task Name]]&lt;&gt;"",Tasks[[#This Row],[_NextLevel]]&gt;Tasks[[#This Row],[_Level]])</f>
        <v>0</v>
      </c>
      <c r="BL191" s="43" t="n">
        <f aca="false">IF(Tasks[[#This Row],[_IsSummary]],COUNTIF(Tasks[WBS],Tasks[[#This Row],[WBS]]&amp;".*"),0)</f>
        <v>0</v>
      </c>
      <c r="BM191" s="43" t="n">
        <f aca="false">IF(AND(Tasks[[#This Row],[Task Name]]&lt;&gt;"",NOT(Tasks[[#This Row],[_IsSummary]])),1,0)</f>
        <v>0</v>
      </c>
      <c r="BN191" s="43" t="n">
        <f aca="false">IF(N(Tasks[[#This Row],[Pred1 UID]])=0,0,IFERROR(MATCH(Tasks[[#This Row],[Pred1 UID]],Tasks[UID],0),-1))</f>
        <v>0</v>
      </c>
      <c r="BO191" s="43" t="n">
        <f aca="false">IF(N(Tasks[[#This Row],[Pred2 UID]])=0,0,IFERROR(MATCH(Tasks[[#This Row],[Pred2 UID]],Tasks[UID],0),-1))</f>
        <v>0</v>
      </c>
      <c r="BP19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1" s="43" t="n">
        <f aca="false">IF(NOT(Tasks[[#This Row],[_IsLeaf]]=1),0,IF(N(Tasks[[#This Row],[Actual Finish]])&gt;0,1,MIN(1,N(Tasks[[#This Row],[% Complete]]))))</f>
        <v>0</v>
      </c>
      <c r="BU1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1" s="43" t="n">
        <f aca="false">IF(Tasks[[#This Row],[_LeafWork]]=0,0,Tasks[[#This Row],[_LeafWork]]*IFERROR(INDEX(res_Rate,MATCH(Tasks[[#This Row],[Resource]],res_Name,0)),0))</f>
        <v>0</v>
      </c>
      <c r="BW1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1" s="43" t="n">
        <f aca="false">IF(NOT(Tasks[[#This Row],[_IsLeaf]]=1),0,MAX(_xlfn.MAXIFS(Tasks[_Row],Tasks[Pred1 UID],Tasks[[#This Row],[UID]]),_xlfn.MAXIFS(Tasks[_Row],Tasks[Pred2 UID],Tasks[[#This Row],[UID]])))</f>
        <v>0</v>
      </c>
      <c r="CB19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1" s="67" t="str">
        <f aca="false">IF(NOT(Tasks[[#This Row],[_IsLeaf]]=1),"",MIN(ProjectFinish,IF(N(Tasks[[#This Row],[Deadline]])&gt;0,Tasks[[#This Row],[Deadline]],2958465),Tasks[[#This Row],[_SuccessorFinishLimit]]))</f>
        <v/>
      </c>
      <c r="CD19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1" s="66" t="b">
        <f aca="false">AND(Tasks[[#This Row],[_IsLeaf]]=1,Tasks[[#This Row],[_LeafProgress]]&lt;1,N(Tasks[[#This Row],[_LeafTotalSlack]])&lt;=CriticalSlackDays)</f>
        <v>0</v>
      </c>
      <c r="CG19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1" s="43" t="n">
        <f aca="false">IF(AND(Tasks[[#This Row],[_IsLeaf]]=1,Tasks[[#This Row],[_LeafWork]]&gt;0),NETWORKDAYS.INTL(ProjectStart,Tasks[[#This Row],[_LeafFcstStart]],WorkWeek,Holidays),0)</f>
        <v>0</v>
      </c>
      <c r="CP1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1" s="43" t="n">
        <f aca="false">IF(AND(Tasks[[#This Row],[_IsLeaf]]=1,Tasks[[#This Row],[_LeafWork]]&gt;0),Tasks[[#This Row],[_LeafWork]]/(Tasks[[#This Row],[_FinishWorkday]]-Tasks[[#This Row],[_StartWorkday]]+1),0)</f>
        <v>0</v>
      </c>
      <c r="CR191" s="43" t="n">
        <f aca="false">Tasks[[#This Row],[_WorkPerWorkday]]*(Tasks[[#This Row],[_StartWorkday]]-1)</f>
        <v>-0</v>
      </c>
      <c r="CS191" s="43" t="n">
        <f aca="false">IF(Tasks[[#This Row],[_IsLeaf]]=1,MAX(N(Tasks[[#This Row],[Duration]]),0.1),0)</f>
        <v>0</v>
      </c>
      <c r="CT191" s="43" t="n">
        <f aca="false">Tasks[[#This Row],[_WeightDur]]*Tasks[[#This Row],[_LeafProgress]]</f>
        <v>0</v>
      </c>
      <c r="CU1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1" s="43" t="str">
        <f aca="false">IF(AND(Tasks[[#This Row],[_IsLeaf]]=1,N(Tasks[[#This Row],[Duration]])=0,Tasks[[#This Row],[_LeafProgress]]&lt;1),Tasks[[#This Row],[_LeafFcstFinish]]+Tasks[[#This Row],[_Row]]/100000,"")</f>
        <v/>
      </c>
      <c r="DA1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1" s="43" t="n">
        <f aca="false">IF(NOT(Tasks[[#This Row],[_IsLeaf]]=1),0,IF(Tasks[[#This Row],[Baseline Cost]]="",Tasks[[#This Row],[_LeafCost]],N(Tasks[[#This Row],[Baseline Cost]])))</f>
        <v>0</v>
      </c>
      <c r="DC191" s="43" t="n">
        <f aca="false">Tasks[[#This Row],[_LeafBudget]]*Tasks[[#This Row],[_PlannedPct]]</f>
        <v>0</v>
      </c>
      <c r="DD191" s="43" t="n">
        <f aca="false">Tasks[[#This Row],[_LeafBudget]]*Tasks[[#This Row],[_LeafProgress]]</f>
        <v>0</v>
      </c>
      <c r="DE191" s="43" t="n">
        <f aca="false">IF(NOT(Tasks[[#This Row],[_IsLeaf]]=1),0,IF(Tasks[[#This Row],[Actual Cost]]="",Tasks[[#This Row],[_LeafCost]]*Tasks[[#This Row],[_LeafProgress]],N(Tasks[[#This Row],[Actual Cost]])))</f>
        <v>0</v>
      </c>
      <c r="DF191" s="43" t="str">
        <f aca="false">IF(Tasks[[#This Row],[Task Name]]="","",LEFT(Tasks[[#This Row],[WBS]],FIND(".",Tasks[[#This Row],[WBS]]&amp;".")-1))</f>
        <v/>
      </c>
      <c r="DG191" s="43" t="str">
        <f aca="false">IF(AND(Tasks[[#This Row],[Task Name]]&lt;&gt;"",Tasks[[#This Row],[_Level]]=1),Tasks[[#This Row],[_Row]],"")</f>
        <v/>
      </c>
      <c r="DH191" s="43" t="str">
        <f aca="false">IF(AND(Tasks[[#This Row],[_IsLeaf]]=1,N(Tasks[[#This Row],[Duration]])=0),Tasks[[#This Row],[Planned Finish]]+Tasks[[#This Row],[_Row]]/100000,"")</f>
        <v/>
      </c>
      <c r="DI1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1" s="43" t="str">
        <f aca="false">IF(Tasks[[#This Row],[_LeafCritical]],Tasks[[#This Row],[_LeafFcstStart]]+Tasks[[#This Row],[_Row]]/100000,"")</f>
        <v/>
      </c>
    </row>
    <row r="192" customFormat="false" ht="15" hidden="false" customHeight="false" outlineLevel="0" collapsed="false">
      <c r="A192" s="28" t="str">
        <f aca="false">IF(Tasks[[#This Row],[Task Name]]="","",COUNTA(Tasks[[#Headers],[Task Name]]:Tasks[[#This Row],[Task Name]])-1)</f>
        <v/>
      </c>
      <c r="B192" s="29" t="n">
        <v>187</v>
      </c>
      <c r="C1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29"/>
      <c r="E192" s="30"/>
      <c r="F192" s="29"/>
      <c r="G192" s="29"/>
      <c r="H192" s="29"/>
      <c r="I192" s="29"/>
      <c r="J192" s="29"/>
      <c r="K192" s="29"/>
      <c r="L192" s="29"/>
      <c r="M192" s="29"/>
      <c r="N192" s="53"/>
      <c r="O192" s="53"/>
      <c r="P192" s="25" t="str">
        <f aca="false">IF(Tasks[[#This Row],[Task Name]]="","",IF(N(Tasks[[#This Row],[Baseline Start]])&gt;0,Tasks[[#This Row],[Baseline Start]],Tasks[[#This Row],[_CalcStart]]))</f>
        <v/>
      </c>
      <c r="Q192" s="25" t="str">
        <f aca="false">IF(Tasks[[#This Row],[Task Name]]="","",IF(N(Tasks[[#This Row],[Baseline Finish]])&gt;0,Tasks[[#This Row],[Baseline Finish]],Tasks[[#This Row],[_CalcFinish]]))</f>
        <v/>
      </c>
      <c r="R192" s="53"/>
      <c r="S192" s="53"/>
      <c r="T1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55"/>
      <c r="AF19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30"/>
      <c r="AI192" s="55"/>
      <c r="AJ19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64"/>
      <c r="AM19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2" s="30"/>
      <c r="AP192" s="25" t="str">
        <f aca="false">IF(Tasks[[#This Row],[Task Name]]="","",Tasks[[#This Row],[Forecast Start]])</f>
        <v/>
      </c>
      <c r="AQ192" s="25" t="str">
        <f aca="false">IF(Tasks[[#This Row],[Task Name]]="","",Tasks[[#This Row],[Forecast Finish]])</f>
        <v/>
      </c>
      <c r="AR1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2" s="62" t="str">
        <f aca="false">IF(Tasks[[#This Row],[Task Name]]="","",Tasks[[#This Row],[Work]])</f>
        <v/>
      </c>
      <c r="AT192" s="63" t="str">
        <f aca="false">IF(Tasks[[#This Row],[Task Name]]="","",Tasks[[#This Row],[Cost]])</f>
        <v/>
      </c>
      <c r="AU192" s="53"/>
      <c r="AV192" s="53"/>
      <c r="AW192" s="29"/>
      <c r="AX192" s="65"/>
      <c r="AY192" s="64"/>
      <c r="AZ192" s="28" t="str">
        <f aca="false">IF(OR(Tasks[[#This Row],[Task Name]]="",Tasks[[#This Row],[Baseline Duration]]=""),"",Tasks[[#This Row],[BL Source Duration]]-N(Tasks[[#This Row],[Baseline Duration]]))</f>
        <v/>
      </c>
      <c r="BA192" s="62" t="str">
        <f aca="false">IF(OR(Tasks[[#This Row],[Task Name]]="",Tasks[[#This Row],[Baseline Work]]=""),"",Tasks[[#This Row],[Work]]-N(Tasks[[#This Row],[Baseline Work]]))</f>
        <v/>
      </c>
      <c r="BB192" s="63" t="str">
        <f aca="false">IF(OR(Tasks[[#This Row],[Task Name]]="",Tasks[[#This Row],[Baseline Cost]]=""),"",Tasks[[#This Row],[Cost]]-N(Tasks[[#This Row],[Baseline Cost]]))</f>
        <v/>
      </c>
      <c r="BC19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2" s="43" t="str">
        <f aca="false">IF(Tasks[[#This Row],[Task Name]]="","",MAX(1,N(Tasks[[#This Row],[Level]])))</f>
        <v/>
      </c>
      <c r="BH192" s="43" t="n">
        <f aca="false">ROW()-ROW(Tasks[[#Headers],[ID]])</f>
        <v>187</v>
      </c>
      <c r="BI1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2" s="43" t="n">
        <f aca="false">IFERROR(N(INDEX(Tasks[_Level],Tasks[[#This Row],[_Row]]+1)),0)</f>
        <v>0</v>
      </c>
      <c r="BK192" s="66" t="b">
        <f aca="false">AND(Tasks[[#This Row],[Task Name]]&lt;&gt;"",Tasks[[#This Row],[_NextLevel]]&gt;Tasks[[#This Row],[_Level]])</f>
        <v>0</v>
      </c>
      <c r="BL192" s="43" t="n">
        <f aca="false">IF(Tasks[[#This Row],[_IsSummary]],COUNTIF(Tasks[WBS],Tasks[[#This Row],[WBS]]&amp;".*"),0)</f>
        <v>0</v>
      </c>
      <c r="BM192" s="43" t="n">
        <f aca="false">IF(AND(Tasks[[#This Row],[Task Name]]&lt;&gt;"",NOT(Tasks[[#This Row],[_IsSummary]])),1,0)</f>
        <v>0</v>
      </c>
      <c r="BN192" s="43" t="n">
        <f aca="false">IF(N(Tasks[[#This Row],[Pred1 UID]])=0,0,IFERROR(MATCH(Tasks[[#This Row],[Pred1 UID]],Tasks[UID],0),-1))</f>
        <v>0</v>
      </c>
      <c r="BO192" s="43" t="n">
        <f aca="false">IF(N(Tasks[[#This Row],[Pred2 UID]])=0,0,IFERROR(MATCH(Tasks[[#This Row],[Pred2 UID]],Tasks[UID],0),-1))</f>
        <v>0</v>
      </c>
      <c r="BP19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2" s="43" t="n">
        <f aca="false">IF(NOT(Tasks[[#This Row],[_IsLeaf]]=1),0,IF(N(Tasks[[#This Row],[Actual Finish]])&gt;0,1,MIN(1,N(Tasks[[#This Row],[% Complete]]))))</f>
        <v>0</v>
      </c>
      <c r="BU1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2" s="43" t="n">
        <f aca="false">IF(Tasks[[#This Row],[_LeafWork]]=0,0,Tasks[[#This Row],[_LeafWork]]*IFERROR(INDEX(res_Rate,MATCH(Tasks[[#This Row],[Resource]],res_Name,0)),0))</f>
        <v>0</v>
      </c>
      <c r="BW1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2" s="43" t="n">
        <f aca="false">IF(NOT(Tasks[[#This Row],[_IsLeaf]]=1),0,MAX(_xlfn.MAXIFS(Tasks[_Row],Tasks[Pred1 UID],Tasks[[#This Row],[UID]]),_xlfn.MAXIFS(Tasks[_Row],Tasks[Pred2 UID],Tasks[[#This Row],[UID]])))</f>
        <v>0</v>
      </c>
      <c r="CB19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2" s="67" t="str">
        <f aca="false">IF(NOT(Tasks[[#This Row],[_IsLeaf]]=1),"",MIN(ProjectFinish,IF(N(Tasks[[#This Row],[Deadline]])&gt;0,Tasks[[#This Row],[Deadline]],2958465),Tasks[[#This Row],[_SuccessorFinishLimit]]))</f>
        <v/>
      </c>
      <c r="CD19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2" s="66" t="b">
        <f aca="false">AND(Tasks[[#This Row],[_IsLeaf]]=1,Tasks[[#This Row],[_LeafProgress]]&lt;1,N(Tasks[[#This Row],[_LeafTotalSlack]])&lt;=CriticalSlackDays)</f>
        <v>0</v>
      </c>
      <c r="CG19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2" s="43" t="n">
        <f aca="false">IF(AND(Tasks[[#This Row],[_IsLeaf]]=1,Tasks[[#This Row],[_LeafWork]]&gt;0),NETWORKDAYS.INTL(ProjectStart,Tasks[[#This Row],[_LeafFcstStart]],WorkWeek,Holidays),0)</f>
        <v>0</v>
      </c>
      <c r="CP1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2" s="43" t="n">
        <f aca="false">IF(AND(Tasks[[#This Row],[_IsLeaf]]=1,Tasks[[#This Row],[_LeafWork]]&gt;0),Tasks[[#This Row],[_LeafWork]]/(Tasks[[#This Row],[_FinishWorkday]]-Tasks[[#This Row],[_StartWorkday]]+1),0)</f>
        <v>0</v>
      </c>
      <c r="CR192" s="43" t="n">
        <f aca="false">Tasks[[#This Row],[_WorkPerWorkday]]*(Tasks[[#This Row],[_StartWorkday]]-1)</f>
        <v>-0</v>
      </c>
      <c r="CS192" s="43" t="n">
        <f aca="false">IF(Tasks[[#This Row],[_IsLeaf]]=1,MAX(N(Tasks[[#This Row],[Duration]]),0.1),0)</f>
        <v>0</v>
      </c>
      <c r="CT192" s="43" t="n">
        <f aca="false">Tasks[[#This Row],[_WeightDur]]*Tasks[[#This Row],[_LeafProgress]]</f>
        <v>0</v>
      </c>
      <c r="CU1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2" s="43" t="str">
        <f aca="false">IF(AND(Tasks[[#This Row],[_IsLeaf]]=1,N(Tasks[[#This Row],[Duration]])=0,Tasks[[#This Row],[_LeafProgress]]&lt;1),Tasks[[#This Row],[_LeafFcstFinish]]+Tasks[[#This Row],[_Row]]/100000,"")</f>
        <v/>
      </c>
      <c r="DA1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2" s="43" t="n">
        <f aca="false">IF(NOT(Tasks[[#This Row],[_IsLeaf]]=1),0,IF(Tasks[[#This Row],[Baseline Cost]]="",Tasks[[#This Row],[_LeafCost]],N(Tasks[[#This Row],[Baseline Cost]])))</f>
        <v>0</v>
      </c>
      <c r="DC192" s="43" t="n">
        <f aca="false">Tasks[[#This Row],[_LeafBudget]]*Tasks[[#This Row],[_PlannedPct]]</f>
        <v>0</v>
      </c>
      <c r="DD192" s="43" t="n">
        <f aca="false">Tasks[[#This Row],[_LeafBudget]]*Tasks[[#This Row],[_LeafProgress]]</f>
        <v>0</v>
      </c>
      <c r="DE192" s="43" t="n">
        <f aca="false">IF(NOT(Tasks[[#This Row],[_IsLeaf]]=1),0,IF(Tasks[[#This Row],[Actual Cost]]="",Tasks[[#This Row],[_LeafCost]]*Tasks[[#This Row],[_LeafProgress]],N(Tasks[[#This Row],[Actual Cost]])))</f>
        <v>0</v>
      </c>
      <c r="DF192" s="43" t="str">
        <f aca="false">IF(Tasks[[#This Row],[Task Name]]="","",LEFT(Tasks[[#This Row],[WBS]],FIND(".",Tasks[[#This Row],[WBS]]&amp;".")-1))</f>
        <v/>
      </c>
      <c r="DG192" s="43" t="str">
        <f aca="false">IF(AND(Tasks[[#This Row],[Task Name]]&lt;&gt;"",Tasks[[#This Row],[_Level]]=1),Tasks[[#This Row],[_Row]],"")</f>
        <v/>
      </c>
      <c r="DH192" s="43" t="str">
        <f aca="false">IF(AND(Tasks[[#This Row],[_IsLeaf]]=1,N(Tasks[[#This Row],[Duration]])=0),Tasks[[#This Row],[Planned Finish]]+Tasks[[#This Row],[_Row]]/100000,"")</f>
        <v/>
      </c>
      <c r="DI1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2" s="43" t="str">
        <f aca="false">IF(Tasks[[#This Row],[_LeafCritical]],Tasks[[#This Row],[_LeafFcstStart]]+Tasks[[#This Row],[_Row]]/100000,"")</f>
        <v/>
      </c>
    </row>
    <row r="193" customFormat="false" ht="15" hidden="false" customHeight="false" outlineLevel="0" collapsed="false">
      <c r="A193" s="28" t="str">
        <f aca="false">IF(Tasks[[#This Row],[Task Name]]="","",COUNTA(Tasks[[#Headers],[Task Name]]:Tasks[[#This Row],[Task Name]])-1)</f>
        <v/>
      </c>
      <c r="B193" s="29" t="n">
        <v>188</v>
      </c>
      <c r="C1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29"/>
      <c r="E193" s="30"/>
      <c r="F193" s="29"/>
      <c r="G193" s="29"/>
      <c r="H193" s="29"/>
      <c r="I193" s="29"/>
      <c r="J193" s="29"/>
      <c r="K193" s="29"/>
      <c r="L193" s="29"/>
      <c r="M193" s="29"/>
      <c r="N193" s="53"/>
      <c r="O193" s="53"/>
      <c r="P193" s="25" t="str">
        <f aca="false">IF(Tasks[[#This Row],[Task Name]]="","",IF(N(Tasks[[#This Row],[Baseline Start]])&gt;0,Tasks[[#This Row],[Baseline Start]],Tasks[[#This Row],[_CalcStart]]))</f>
        <v/>
      </c>
      <c r="Q193" s="25" t="str">
        <f aca="false">IF(Tasks[[#This Row],[Task Name]]="","",IF(N(Tasks[[#This Row],[Baseline Finish]])&gt;0,Tasks[[#This Row],[Baseline Finish]],Tasks[[#This Row],[_CalcFinish]]))</f>
        <v/>
      </c>
      <c r="R193" s="53"/>
      <c r="S193" s="53"/>
      <c r="T1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55"/>
      <c r="AF19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30"/>
      <c r="AI193" s="55"/>
      <c r="AJ19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64"/>
      <c r="AM19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3" s="30"/>
      <c r="AP193" s="25" t="str">
        <f aca="false">IF(Tasks[[#This Row],[Task Name]]="","",Tasks[[#This Row],[Forecast Start]])</f>
        <v/>
      </c>
      <c r="AQ193" s="25" t="str">
        <f aca="false">IF(Tasks[[#This Row],[Task Name]]="","",Tasks[[#This Row],[Forecast Finish]])</f>
        <v/>
      </c>
      <c r="AR1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3" s="62" t="str">
        <f aca="false">IF(Tasks[[#This Row],[Task Name]]="","",Tasks[[#This Row],[Work]])</f>
        <v/>
      </c>
      <c r="AT193" s="63" t="str">
        <f aca="false">IF(Tasks[[#This Row],[Task Name]]="","",Tasks[[#This Row],[Cost]])</f>
        <v/>
      </c>
      <c r="AU193" s="53"/>
      <c r="AV193" s="53"/>
      <c r="AW193" s="29"/>
      <c r="AX193" s="65"/>
      <c r="AY193" s="64"/>
      <c r="AZ193" s="28" t="str">
        <f aca="false">IF(OR(Tasks[[#This Row],[Task Name]]="",Tasks[[#This Row],[Baseline Duration]]=""),"",Tasks[[#This Row],[BL Source Duration]]-N(Tasks[[#This Row],[Baseline Duration]]))</f>
        <v/>
      </c>
      <c r="BA193" s="62" t="str">
        <f aca="false">IF(OR(Tasks[[#This Row],[Task Name]]="",Tasks[[#This Row],[Baseline Work]]=""),"",Tasks[[#This Row],[Work]]-N(Tasks[[#This Row],[Baseline Work]]))</f>
        <v/>
      </c>
      <c r="BB193" s="63" t="str">
        <f aca="false">IF(OR(Tasks[[#This Row],[Task Name]]="",Tasks[[#This Row],[Baseline Cost]]=""),"",Tasks[[#This Row],[Cost]]-N(Tasks[[#This Row],[Baseline Cost]]))</f>
        <v/>
      </c>
      <c r="BC19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3" s="43" t="str">
        <f aca="false">IF(Tasks[[#This Row],[Task Name]]="","",MAX(1,N(Tasks[[#This Row],[Level]])))</f>
        <v/>
      </c>
      <c r="BH193" s="43" t="n">
        <f aca="false">ROW()-ROW(Tasks[[#Headers],[ID]])</f>
        <v>188</v>
      </c>
      <c r="BI1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3" s="43" t="n">
        <f aca="false">IFERROR(N(INDEX(Tasks[_Level],Tasks[[#This Row],[_Row]]+1)),0)</f>
        <v>0</v>
      </c>
      <c r="BK193" s="66" t="b">
        <f aca="false">AND(Tasks[[#This Row],[Task Name]]&lt;&gt;"",Tasks[[#This Row],[_NextLevel]]&gt;Tasks[[#This Row],[_Level]])</f>
        <v>0</v>
      </c>
      <c r="BL193" s="43" t="n">
        <f aca="false">IF(Tasks[[#This Row],[_IsSummary]],COUNTIF(Tasks[WBS],Tasks[[#This Row],[WBS]]&amp;".*"),0)</f>
        <v>0</v>
      </c>
      <c r="BM193" s="43" t="n">
        <f aca="false">IF(AND(Tasks[[#This Row],[Task Name]]&lt;&gt;"",NOT(Tasks[[#This Row],[_IsSummary]])),1,0)</f>
        <v>0</v>
      </c>
      <c r="BN193" s="43" t="n">
        <f aca="false">IF(N(Tasks[[#This Row],[Pred1 UID]])=0,0,IFERROR(MATCH(Tasks[[#This Row],[Pred1 UID]],Tasks[UID],0),-1))</f>
        <v>0</v>
      </c>
      <c r="BO193" s="43" t="n">
        <f aca="false">IF(N(Tasks[[#This Row],[Pred2 UID]])=0,0,IFERROR(MATCH(Tasks[[#This Row],[Pred2 UID]],Tasks[UID],0),-1))</f>
        <v>0</v>
      </c>
      <c r="BP19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3" s="43" t="n">
        <f aca="false">IF(NOT(Tasks[[#This Row],[_IsLeaf]]=1),0,IF(N(Tasks[[#This Row],[Actual Finish]])&gt;0,1,MIN(1,N(Tasks[[#This Row],[% Complete]]))))</f>
        <v>0</v>
      </c>
      <c r="BU1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3" s="43" t="n">
        <f aca="false">IF(Tasks[[#This Row],[_LeafWork]]=0,0,Tasks[[#This Row],[_LeafWork]]*IFERROR(INDEX(res_Rate,MATCH(Tasks[[#This Row],[Resource]],res_Name,0)),0))</f>
        <v>0</v>
      </c>
      <c r="BW1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3" s="43" t="n">
        <f aca="false">IF(NOT(Tasks[[#This Row],[_IsLeaf]]=1),0,MAX(_xlfn.MAXIFS(Tasks[_Row],Tasks[Pred1 UID],Tasks[[#This Row],[UID]]),_xlfn.MAXIFS(Tasks[_Row],Tasks[Pred2 UID],Tasks[[#This Row],[UID]])))</f>
        <v>0</v>
      </c>
      <c r="CB19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3" s="67" t="str">
        <f aca="false">IF(NOT(Tasks[[#This Row],[_IsLeaf]]=1),"",MIN(ProjectFinish,IF(N(Tasks[[#This Row],[Deadline]])&gt;0,Tasks[[#This Row],[Deadline]],2958465),Tasks[[#This Row],[_SuccessorFinishLimit]]))</f>
        <v/>
      </c>
      <c r="CD19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3" s="66" t="b">
        <f aca="false">AND(Tasks[[#This Row],[_IsLeaf]]=1,Tasks[[#This Row],[_LeafProgress]]&lt;1,N(Tasks[[#This Row],[_LeafTotalSlack]])&lt;=CriticalSlackDays)</f>
        <v>0</v>
      </c>
      <c r="CG19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3" s="43" t="n">
        <f aca="false">IF(AND(Tasks[[#This Row],[_IsLeaf]]=1,Tasks[[#This Row],[_LeafWork]]&gt;0),NETWORKDAYS.INTL(ProjectStart,Tasks[[#This Row],[_LeafFcstStart]],WorkWeek,Holidays),0)</f>
        <v>0</v>
      </c>
      <c r="CP1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3" s="43" t="n">
        <f aca="false">IF(AND(Tasks[[#This Row],[_IsLeaf]]=1,Tasks[[#This Row],[_LeafWork]]&gt;0),Tasks[[#This Row],[_LeafWork]]/(Tasks[[#This Row],[_FinishWorkday]]-Tasks[[#This Row],[_StartWorkday]]+1),0)</f>
        <v>0</v>
      </c>
      <c r="CR193" s="43" t="n">
        <f aca="false">Tasks[[#This Row],[_WorkPerWorkday]]*(Tasks[[#This Row],[_StartWorkday]]-1)</f>
        <v>-0</v>
      </c>
      <c r="CS193" s="43" t="n">
        <f aca="false">IF(Tasks[[#This Row],[_IsLeaf]]=1,MAX(N(Tasks[[#This Row],[Duration]]),0.1),0)</f>
        <v>0</v>
      </c>
      <c r="CT193" s="43" t="n">
        <f aca="false">Tasks[[#This Row],[_WeightDur]]*Tasks[[#This Row],[_LeafProgress]]</f>
        <v>0</v>
      </c>
      <c r="CU1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3" s="43" t="str">
        <f aca="false">IF(AND(Tasks[[#This Row],[_IsLeaf]]=1,N(Tasks[[#This Row],[Duration]])=0,Tasks[[#This Row],[_LeafProgress]]&lt;1),Tasks[[#This Row],[_LeafFcstFinish]]+Tasks[[#This Row],[_Row]]/100000,"")</f>
        <v/>
      </c>
      <c r="DA1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3" s="43" t="n">
        <f aca="false">IF(NOT(Tasks[[#This Row],[_IsLeaf]]=1),0,IF(Tasks[[#This Row],[Baseline Cost]]="",Tasks[[#This Row],[_LeafCost]],N(Tasks[[#This Row],[Baseline Cost]])))</f>
        <v>0</v>
      </c>
      <c r="DC193" s="43" t="n">
        <f aca="false">Tasks[[#This Row],[_LeafBudget]]*Tasks[[#This Row],[_PlannedPct]]</f>
        <v>0</v>
      </c>
      <c r="DD193" s="43" t="n">
        <f aca="false">Tasks[[#This Row],[_LeafBudget]]*Tasks[[#This Row],[_LeafProgress]]</f>
        <v>0</v>
      </c>
      <c r="DE193" s="43" t="n">
        <f aca="false">IF(NOT(Tasks[[#This Row],[_IsLeaf]]=1),0,IF(Tasks[[#This Row],[Actual Cost]]="",Tasks[[#This Row],[_LeafCost]]*Tasks[[#This Row],[_LeafProgress]],N(Tasks[[#This Row],[Actual Cost]])))</f>
        <v>0</v>
      </c>
      <c r="DF193" s="43" t="str">
        <f aca="false">IF(Tasks[[#This Row],[Task Name]]="","",LEFT(Tasks[[#This Row],[WBS]],FIND(".",Tasks[[#This Row],[WBS]]&amp;".")-1))</f>
        <v/>
      </c>
      <c r="DG193" s="43" t="str">
        <f aca="false">IF(AND(Tasks[[#This Row],[Task Name]]&lt;&gt;"",Tasks[[#This Row],[_Level]]=1),Tasks[[#This Row],[_Row]],"")</f>
        <v/>
      </c>
      <c r="DH193" s="43" t="str">
        <f aca="false">IF(AND(Tasks[[#This Row],[_IsLeaf]]=1,N(Tasks[[#This Row],[Duration]])=0),Tasks[[#This Row],[Planned Finish]]+Tasks[[#This Row],[_Row]]/100000,"")</f>
        <v/>
      </c>
      <c r="DI1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3" s="43" t="str">
        <f aca="false">IF(Tasks[[#This Row],[_LeafCritical]],Tasks[[#This Row],[_LeafFcstStart]]+Tasks[[#This Row],[_Row]]/100000,"")</f>
        <v/>
      </c>
    </row>
    <row r="194" customFormat="false" ht="15" hidden="false" customHeight="false" outlineLevel="0" collapsed="false">
      <c r="A194" s="28" t="str">
        <f aca="false">IF(Tasks[[#This Row],[Task Name]]="","",COUNTA(Tasks[[#Headers],[Task Name]]:Tasks[[#This Row],[Task Name]])-1)</f>
        <v/>
      </c>
      <c r="B194" s="29" t="n">
        <v>189</v>
      </c>
      <c r="C1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29"/>
      <c r="E194" s="30"/>
      <c r="F194" s="29"/>
      <c r="G194" s="29"/>
      <c r="H194" s="29"/>
      <c r="I194" s="29"/>
      <c r="J194" s="29"/>
      <c r="K194" s="29"/>
      <c r="L194" s="29"/>
      <c r="M194" s="29"/>
      <c r="N194" s="53"/>
      <c r="O194" s="53"/>
      <c r="P194" s="25" t="str">
        <f aca="false">IF(Tasks[[#This Row],[Task Name]]="","",IF(N(Tasks[[#This Row],[Baseline Start]])&gt;0,Tasks[[#This Row],[Baseline Start]],Tasks[[#This Row],[_CalcStart]]))</f>
        <v/>
      </c>
      <c r="Q194" s="25" t="str">
        <f aca="false">IF(Tasks[[#This Row],[Task Name]]="","",IF(N(Tasks[[#This Row],[Baseline Finish]])&gt;0,Tasks[[#This Row],[Baseline Finish]],Tasks[[#This Row],[_CalcFinish]]))</f>
        <v/>
      </c>
      <c r="R194" s="53"/>
      <c r="S194" s="53"/>
      <c r="T1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55"/>
      <c r="AF19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30"/>
      <c r="AI194" s="55"/>
      <c r="AJ19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64"/>
      <c r="AM19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4" s="30"/>
      <c r="AP194" s="25" t="str">
        <f aca="false">IF(Tasks[[#This Row],[Task Name]]="","",Tasks[[#This Row],[Forecast Start]])</f>
        <v/>
      </c>
      <c r="AQ194" s="25" t="str">
        <f aca="false">IF(Tasks[[#This Row],[Task Name]]="","",Tasks[[#This Row],[Forecast Finish]])</f>
        <v/>
      </c>
      <c r="AR1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4" s="62" t="str">
        <f aca="false">IF(Tasks[[#This Row],[Task Name]]="","",Tasks[[#This Row],[Work]])</f>
        <v/>
      </c>
      <c r="AT194" s="63" t="str">
        <f aca="false">IF(Tasks[[#This Row],[Task Name]]="","",Tasks[[#This Row],[Cost]])</f>
        <v/>
      </c>
      <c r="AU194" s="53"/>
      <c r="AV194" s="53"/>
      <c r="AW194" s="29"/>
      <c r="AX194" s="65"/>
      <c r="AY194" s="64"/>
      <c r="AZ194" s="28" t="str">
        <f aca="false">IF(OR(Tasks[[#This Row],[Task Name]]="",Tasks[[#This Row],[Baseline Duration]]=""),"",Tasks[[#This Row],[BL Source Duration]]-N(Tasks[[#This Row],[Baseline Duration]]))</f>
        <v/>
      </c>
      <c r="BA194" s="62" t="str">
        <f aca="false">IF(OR(Tasks[[#This Row],[Task Name]]="",Tasks[[#This Row],[Baseline Work]]=""),"",Tasks[[#This Row],[Work]]-N(Tasks[[#This Row],[Baseline Work]]))</f>
        <v/>
      </c>
      <c r="BB194" s="63" t="str">
        <f aca="false">IF(OR(Tasks[[#This Row],[Task Name]]="",Tasks[[#This Row],[Baseline Cost]]=""),"",Tasks[[#This Row],[Cost]]-N(Tasks[[#This Row],[Baseline Cost]]))</f>
        <v/>
      </c>
      <c r="BC19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4" s="43" t="str">
        <f aca="false">IF(Tasks[[#This Row],[Task Name]]="","",MAX(1,N(Tasks[[#This Row],[Level]])))</f>
        <v/>
      </c>
      <c r="BH194" s="43" t="n">
        <f aca="false">ROW()-ROW(Tasks[[#Headers],[ID]])</f>
        <v>189</v>
      </c>
      <c r="BI1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4" s="43" t="n">
        <f aca="false">IFERROR(N(INDEX(Tasks[_Level],Tasks[[#This Row],[_Row]]+1)),0)</f>
        <v>0</v>
      </c>
      <c r="BK194" s="66" t="b">
        <f aca="false">AND(Tasks[[#This Row],[Task Name]]&lt;&gt;"",Tasks[[#This Row],[_NextLevel]]&gt;Tasks[[#This Row],[_Level]])</f>
        <v>0</v>
      </c>
      <c r="BL194" s="43" t="n">
        <f aca="false">IF(Tasks[[#This Row],[_IsSummary]],COUNTIF(Tasks[WBS],Tasks[[#This Row],[WBS]]&amp;".*"),0)</f>
        <v>0</v>
      </c>
      <c r="BM194" s="43" t="n">
        <f aca="false">IF(AND(Tasks[[#This Row],[Task Name]]&lt;&gt;"",NOT(Tasks[[#This Row],[_IsSummary]])),1,0)</f>
        <v>0</v>
      </c>
      <c r="BN194" s="43" t="n">
        <f aca="false">IF(N(Tasks[[#This Row],[Pred1 UID]])=0,0,IFERROR(MATCH(Tasks[[#This Row],[Pred1 UID]],Tasks[UID],0),-1))</f>
        <v>0</v>
      </c>
      <c r="BO194" s="43" t="n">
        <f aca="false">IF(N(Tasks[[#This Row],[Pred2 UID]])=0,0,IFERROR(MATCH(Tasks[[#This Row],[Pred2 UID]],Tasks[UID],0),-1))</f>
        <v>0</v>
      </c>
      <c r="BP19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4" s="43" t="n">
        <f aca="false">IF(NOT(Tasks[[#This Row],[_IsLeaf]]=1),0,IF(N(Tasks[[#This Row],[Actual Finish]])&gt;0,1,MIN(1,N(Tasks[[#This Row],[% Complete]]))))</f>
        <v>0</v>
      </c>
      <c r="BU1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4" s="43" t="n">
        <f aca="false">IF(Tasks[[#This Row],[_LeafWork]]=0,0,Tasks[[#This Row],[_LeafWork]]*IFERROR(INDEX(res_Rate,MATCH(Tasks[[#This Row],[Resource]],res_Name,0)),0))</f>
        <v>0</v>
      </c>
      <c r="BW1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4" s="43" t="n">
        <f aca="false">IF(NOT(Tasks[[#This Row],[_IsLeaf]]=1),0,MAX(_xlfn.MAXIFS(Tasks[_Row],Tasks[Pred1 UID],Tasks[[#This Row],[UID]]),_xlfn.MAXIFS(Tasks[_Row],Tasks[Pred2 UID],Tasks[[#This Row],[UID]])))</f>
        <v>0</v>
      </c>
      <c r="CB19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4" s="67" t="str">
        <f aca="false">IF(NOT(Tasks[[#This Row],[_IsLeaf]]=1),"",MIN(ProjectFinish,IF(N(Tasks[[#This Row],[Deadline]])&gt;0,Tasks[[#This Row],[Deadline]],2958465),Tasks[[#This Row],[_SuccessorFinishLimit]]))</f>
        <v/>
      </c>
      <c r="CD19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4" s="66" t="b">
        <f aca="false">AND(Tasks[[#This Row],[_IsLeaf]]=1,Tasks[[#This Row],[_LeafProgress]]&lt;1,N(Tasks[[#This Row],[_LeafTotalSlack]])&lt;=CriticalSlackDays)</f>
        <v>0</v>
      </c>
      <c r="CG19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4" s="43" t="n">
        <f aca="false">IF(AND(Tasks[[#This Row],[_IsLeaf]]=1,Tasks[[#This Row],[_LeafWork]]&gt;0),NETWORKDAYS.INTL(ProjectStart,Tasks[[#This Row],[_LeafFcstStart]],WorkWeek,Holidays),0)</f>
        <v>0</v>
      </c>
      <c r="CP1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4" s="43" t="n">
        <f aca="false">IF(AND(Tasks[[#This Row],[_IsLeaf]]=1,Tasks[[#This Row],[_LeafWork]]&gt;0),Tasks[[#This Row],[_LeafWork]]/(Tasks[[#This Row],[_FinishWorkday]]-Tasks[[#This Row],[_StartWorkday]]+1),0)</f>
        <v>0</v>
      </c>
      <c r="CR194" s="43" t="n">
        <f aca="false">Tasks[[#This Row],[_WorkPerWorkday]]*(Tasks[[#This Row],[_StartWorkday]]-1)</f>
        <v>-0</v>
      </c>
      <c r="CS194" s="43" t="n">
        <f aca="false">IF(Tasks[[#This Row],[_IsLeaf]]=1,MAX(N(Tasks[[#This Row],[Duration]]),0.1),0)</f>
        <v>0</v>
      </c>
      <c r="CT194" s="43" t="n">
        <f aca="false">Tasks[[#This Row],[_WeightDur]]*Tasks[[#This Row],[_LeafProgress]]</f>
        <v>0</v>
      </c>
      <c r="CU1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4" s="43" t="str">
        <f aca="false">IF(AND(Tasks[[#This Row],[_IsLeaf]]=1,N(Tasks[[#This Row],[Duration]])=0,Tasks[[#This Row],[_LeafProgress]]&lt;1),Tasks[[#This Row],[_LeafFcstFinish]]+Tasks[[#This Row],[_Row]]/100000,"")</f>
        <v/>
      </c>
      <c r="DA1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4" s="43" t="n">
        <f aca="false">IF(NOT(Tasks[[#This Row],[_IsLeaf]]=1),0,IF(Tasks[[#This Row],[Baseline Cost]]="",Tasks[[#This Row],[_LeafCost]],N(Tasks[[#This Row],[Baseline Cost]])))</f>
        <v>0</v>
      </c>
      <c r="DC194" s="43" t="n">
        <f aca="false">Tasks[[#This Row],[_LeafBudget]]*Tasks[[#This Row],[_PlannedPct]]</f>
        <v>0</v>
      </c>
      <c r="DD194" s="43" t="n">
        <f aca="false">Tasks[[#This Row],[_LeafBudget]]*Tasks[[#This Row],[_LeafProgress]]</f>
        <v>0</v>
      </c>
      <c r="DE194" s="43" t="n">
        <f aca="false">IF(NOT(Tasks[[#This Row],[_IsLeaf]]=1),0,IF(Tasks[[#This Row],[Actual Cost]]="",Tasks[[#This Row],[_LeafCost]]*Tasks[[#This Row],[_LeafProgress]],N(Tasks[[#This Row],[Actual Cost]])))</f>
        <v>0</v>
      </c>
      <c r="DF194" s="43" t="str">
        <f aca="false">IF(Tasks[[#This Row],[Task Name]]="","",LEFT(Tasks[[#This Row],[WBS]],FIND(".",Tasks[[#This Row],[WBS]]&amp;".")-1))</f>
        <v/>
      </c>
      <c r="DG194" s="43" t="str">
        <f aca="false">IF(AND(Tasks[[#This Row],[Task Name]]&lt;&gt;"",Tasks[[#This Row],[_Level]]=1),Tasks[[#This Row],[_Row]],"")</f>
        <v/>
      </c>
      <c r="DH194" s="43" t="str">
        <f aca="false">IF(AND(Tasks[[#This Row],[_IsLeaf]]=1,N(Tasks[[#This Row],[Duration]])=0),Tasks[[#This Row],[Planned Finish]]+Tasks[[#This Row],[_Row]]/100000,"")</f>
        <v/>
      </c>
      <c r="DI1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4" s="43" t="str">
        <f aca="false">IF(Tasks[[#This Row],[_LeafCritical]],Tasks[[#This Row],[_LeafFcstStart]]+Tasks[[#This Row],[_Row]]/100000,"")</f>
        <v/>
      </c>
    </row>
    <row r="195" customFormat="false" ht="15" hidden="false" customHeight="false" outlineLevel="0" collapsed="false">
      <c r="A195" s="28" t="str">
        <f aca="false">IF(Tasks[[#This Row],[Task Name]]="","",COUNTA(Tasks[[#Headers],[Task Name]]:Tasks[[#This Row],[Task Name]])-1)</f>
        <v/>
      </c>
      <c r="B195" s="29" t="n">
        <v>190</v>
      </c>
      <c r="C1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29"/>
      <c r="E195" s="30"/>
      <c r="F195" s="29"/>
      <c r="G195" s="29"/>
      <c r="H195" s="29"/>
      <c r="I195" s="29"/>
      <c r="J195" s="29"/>
      <c r="K195" s="29"/>
      <c r="L195" s="29"/>
      <c r="M195" s="29"/>
      <c r="N195" s="53"/>
      <c r="O195" s="53"/>
      <c r="P195" s="25" t="str">
        <f aca="false">IF(Tasks[[#This Row],[Task Name]]="","",IF(N(Tasks[[#This Row],[Baseline Start]])&gt;0,Tasks[[#This Row],[Baseline Start]],Tasks[[#This Row],[_CalcStart]]))</f>
        <v/>
      </c>
      <c r="Q195" s="25" t="str">
        <f aca="false">IF(Tasks[[#This Row],[Task Name]]="","",IF(N(Tasks[[#This Row],[Baseline Finish]])&gt;0,Tasks[[#This Row],[Baseline Finish]],Tasks[[#This Row],[_CalcFinish]]))</f>
        <v/>
      </c>
      <c r="R195" s="53"/>
      <c r="S195" s="53"/>
      <c r="T1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55"/>
      <c r="AF19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30"/>
      <c r="AI195" s="55"/>
      <c r="AJ19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64"/>
      <c r="AM19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5" s="30"/>
      <c r="AP195" s="25" t="str">
        <f aca="false">IF(Tasks[[#This Row],[Task Name]]="","",Tasks[[#This Row],[Forecast Start]])</f>
        <v/>
      </c>
      <c r="AQ195" s="25" t="str">
        <f aca="false">IF(Tasks[[#This Row],[Task Name]]="","",Tasks[[#This Row],[Forecast Finish]])</f>
        <v/>
      </c>
      <c r="AR1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5" s="62" t="str">
        <f aca="false">IF(Tasks[[#This Row],[Task Name]]="","",Tasks[[#This Row],[Work]])</f>
        <v/>
      </c>
      <c r="AT195" s="63" t="str">
        <f aca="false">IF(Tasks[[#This Row],[Task Name]]="","",Tasks[[#This Row],[Cost]])</f>
        <v/>
      </c>
      <c r="AU195" s="53"/>
      <c r="AV195" s="53"/>
      <c r="AW195" s="29"/>
      <c r="AX195" s="65"/>
      <c r="AY195" s="64"/>
      <c r="AZ195" s="28" t="str">
        <f aca="false">IF(OR(Tasks[[#This Row],[Task Name]]="",Tasks[[#This Row],[Baseline Duration]]=""),"",Tasks[[#This Row],[BL Source Duration]]-N(Tasks[[#This Row],[Baseline Duration]]))</f>
        <v/>
      </c>
      <c r="BA195" s="62" t="str">
        <f aca="false">IF(OR(Tasks[[#This Row],[Task Name]]="",Tasks[[#This Row],[Baseline Work]]=""),"",Tasks[[#This Row],[Work]]-N(Tasks[[#This Row],[Baseline Work]]))</f>
        <v/>
      </c>
      <c r="BB195" s="63" t="str">
        <f aca="false">IF(OR(Tasks[[#This Row],[Task Name]]="",Tasks[[#This Row],[Baseline Cost]]=""),"",Tasks[[#This Row],[Cost]]-N(Tasks[[#This Row],[Baseline Cost]]))</f>
        <v/>
      </c>
      <c r="BC19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5" s="43" t="str">
        <f aca="false">IF(Tasks[[#This Row],[Task Name]]="","",MAX(1,N(Tasks[[#This Row],[Level]])))</f>
        <v/>
      </c>
      <c r="BH195" s="43" t="n">
        <f aca="false">ROW()-ROW(Tasks[[#Headers],[ID]])</f>
        <v>190</v>
      </c>
      <c r="BI1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5" s="43" t="n">
        <f aca="false">IFERROR(N(INDEX(Tasks[_Level],Tasks[[#This Row],[_Row]]+1)),0)</f>
        <v>0</v>
      </c>
      <c r="BK195" s="66" t="b">
        <f aca="false">AND(Tasks[[#This Row],[Task Name]]&lt;&gt;"",Tasks[[#This Row],[_NextLevel]]&gt;Tasks[[#This Row],[_Level]])</f>
        <v>0</v>
      </c>
      <c r="BL195" s="43" t="n">
        <f aca="false">IF(Tasks[[#This Row],[_IsSummary]],COUNTIF(Tasks[WBS],Tasks[[#This Row],[WBS]]&amp;".*"),0)</f>
        <v>0</v>
      </c>
      <c r="BM195" s="43" t="n">
        <f aca="false">IF(AND(Tasks[[#This Row],[Task Name]]&lt;&gt;"",NOT(Tasks[[#This Row],[_IsSummary]])),1,0)</f>
        <v>0</v>
      </c>
      <c r="BN195" s="43" t="n">
        <f aca="false">IF(N(Tasks[[#This Row],[Pred1 UID]])=0,0,IFERROR(MATCH(Tasks[[#This Row],[Pred1 UID]],Tasks[UID],0),-1))</f>
        <v>0</v>
      </c>
      <c r="BO195" s="43" t="n">
        <f aca="false">IF(N(Tasks[[#This Row],[Pred2 UID]])=0,0,IFERROR(MATCH(Tasks[[#This Row],[Pred2 UID]],Tasks[UID],0),-1))</f>
        <v>0</v>
      </c>
      <c r="BP19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5" s="43" t="n">
        <f aca="false">IF(NOT(Tasks[[#This Row],[_IsLeaf]]=1),0,IF(N(Tasks[[#This Row],[Actual Finish]])&gt;0,1,MIN(1,N(Tasks[[#This Row],[% Complete]]))))</f>
        <v>0</v>
      </c>
      <c r="BU1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5" s="43" t="n">
        <f aca="false">IF(Tasks[[#This Row],[_LeafWork]]=0,0,Tasks[[#This Row],[_LeafWork]]*IFERROR(INDEX(res_Rate,MATCH(Tasks[[#This Row],[Resource]],res_Name,0)),0))</f>
        <v>0</v>
      </c>
      <c r="BW1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5" s="43" t="n">
        <f aca="false">IF(NOT(Tasks[[#This Row],[_IsLeaf]]=1),0,MAX(_xlfn.MAXIFS(Tasks[_Row],Tasks[Pred1 UID],Tasks[[#This Row],[UID]]),_xlfn.MAXIFS(Tasks[_Row],Tasks[Pred2 UID],Tasks[[#This Row],[UID]])))</f>
        <v>0</v>
      </c>
      <c r="CB19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5" s="67" t="str">
        <f aca="false">IF(NOT(Tasks[[#This Row],[_IsLeaf]]=1),"",MIN(ProjectFinish,IF(N(Tasks[[#This Row],[Deadline]])&gt;0,Tasks[[#This Row],[Deadline]],2958465),Tasks[[#This Row],[_SuccessorFinishLimit]]))</f>
        <v/>
      </c>
      <c r="CD19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5" s="66" t="b">
        <f aca="false">AND(Tasks[[#This Row],[_IsLeaf]]=1,Tasks[[#This Row],[_LeafProgress]]&lt;1,N(Tasks[[#This Row],[_LeafTotalSlack]])&lt;=CriticalSlackDays)</f>
        <v>0</v>
      </c>
      <c r="CG19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5" s="43" t="n">
        <f aca="false">IF(AND(Tasks[[#This Row],[_IsLeaf]]=1,Tasks[[#This Row],[_LeafWork]]&gt;0),NETWORKDAYS.INTL(ProjectStart,Tasks[[#This Row],[_LeafFcstStart]],WorkWeek,Holidays),0)</f>
        <v>0</v>
      </c>
      <c r="CP1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5" s="43" t="n">
        <f aca="false">IF(AND(Tasks[[#This Row],[_IsLeaf]]=1,Tasks[[#This Row],[_LeafWork]]&gt;0),Tasks[[#This Row],[_LeafWork]]/(Tasks[[#This Row],[_FinishWorkday]]-Tasks[[#This Row],[_StartWorkday]]+1),0)</f>
        <v>0</v>
      </c>
      <c r="CR195" s="43" t="n">
        <f aca="false">Tasks[[#This Row],[_WorkPerWorkday]]*(Tasks[[#This Row],[_StartWorkday]]-1)</f>
        <v>-0</v>
      </c>
      <c r="CS195" s="43" t="n">
        <f aca="false">IF(Tasks[[#This Row],[_IsLeaf]]=1,MAX(N(Tasks[[#This Row],[Duration]]),0.1),0)</f>
        <v>0</v>
      </c>
      <c r="CT195" s="43" t="n">
        <f aca="false">Tasks[[#This Row],[_WeightDur]]*Tasks[[#This Row],[_LeafProgress]]</f>
        <v>0</v>
      </c>
      <c r="CU1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5" s="43" t="str">
        <f aca="false">IF(AND(Tasks[[#This Row],[_IsLeaf]]=1,N(Tasks[[#This Row],[Duration]])=0,Tasks[[#This Row],[_LeafProgress]]&lt;1),Tasks[[#This Row],[_LeafFcstFinish]]+Tasks[[#This Row],[_Row]]/100000,"")</f>
        <v/>
      </c>
      <c r="DA1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5" s="43" t="n">
        <f aca="false">IF(NOT(Tasks[[#This Row],[_IsLeaf]]=1),0,IF(Tasks[[#This Row],[Baseline Cost]]="",Tasks[[#This Row],[_LeafCost]],N(Tasks[[#This Row],[Baseline Cost]])))</f>
        <v>0</v>
      </c>
      <c r="DC195" s="43" t="n">
        <f aca="false">Tasks[[#This Row],[_LeafBudget]]*Tasks[[#This Row],[_PlannedPct]]</f>
        <v>0</v>
      </c>
      <c r="DD195" s="43" t="n">
        <f aca="false">Tasks[[#This Row],[_LeafBudget]]*Tasks[[#This Row],[_LeafProgress]]</f>
        <v>0</v>
      </c>
      <c r="DE195" s="43" t="n">
        <f aca="false">IF(NOT(Tasks[[#This Row],[_IsLeaf]]=1),0,IF(Tasks[[#This Row],[Actual Cost]]="",Tasks[[#This Row],[_LeafCost]]*Tasks[[#This Row],[_LeafProgress]],N(Tasks[[#This Row],[Actual Cost]])))</f>
        <v>0</v>
      </c>
      <c r="DF195" s="43" t="str">
        <f aca="false">IF(Tasks[[#This Row],[Task Name]]="","",LEFT(Tasks[[#This Row],[WBS]],FIND(".",Tasks[[#This Row],[WBS]]&amp;".")-1))</f>
        <v/>
      </c>
      <c r="DG195" s="43" t="str">
        <f aca="false">IF(AND(Tasks[[#This Row],[Task Name]]&lt;&gt;"",Tasks[[#This Row],[_Level]]=1),Tasks[[#This Row],[_Row]],"")</f>
        <v/>
      </c>
      <c r="DH195" s="43" t="str">
        <f aca="false">IF(AND(Tasks[[#This Row],[_IsLeaf]]=1,N(Tasks[[#This Row],[Duration]])=0),Tasks[[#This Row],[Planned Finish]]+Tasks[[#This Row],[_Row]]/100000,"")</f>
        <v/>
      </c>
      <c r="DI1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5" s="43" t="str">
        <f aca="false">IF(Tasks[[#This Row],[_LeafCritical]],Tasks[[#This Row],[_LeafFcstStart]]+Tasks[[#This Row],[_Row]]/100000,"")</f>
        <v/>
      </c>
    </row>
    <row r="196" customFormat="false" ht="15" hidden="false" customHeight="false" outlineLevel="0" collapsed="false">
      <c r="A196" s="28" t="str">
        <f aca="false">IF(Tasks[[#This Row],[Task Name]]="","",COUNTA(Tasks[[#Headers],[Task Name]]:Tasks[[#This Row],[Task Name]])-1)</f>
        <v/>
      </c>
      <c r="B196" s="29" t="n">
        <v>191</v>
      </c>
      <c r="C1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29"/>
      <c r="E196" s="30"/>
      <c r="F196" s="29"/>
      <c r="G196" s="29"/>
      <c r="H196" s="29"/>
      <c r="I196" s="29"/>
      <c r="J196" s="29"/>
      <c r="K196" s="29"/>
      <c r="L196" s="29"/>
      <c r="M196" s="29"/>
      <c r="N196" s="53"/>
      <c r="O196" s="53"/>
      <c r="P196" s="25" t="str">
        <f aca="false">IF(Tasks[[#This Row],[Task Name]]="","",IF(N(Tasks[[#This Row],[Baseline Start]])&gt;0,Tasks[[#This Row],[Baseline Start]],Tasks[[#This Row],[_CalcStart]]))</f>
        <v/>
      </c>
      <c r="Q196" s="25" t="str">
        <f aca="false">IF(Tasks[[#This Row],[Task Name]]="","",IF(N(Tasks[[#This Row],[Baseline Finish]])&gt;0,Tasks[[#This Row],[Baseline Finish]],Tasks[[#This Row],[_CalcFinish]]))</f>
        <v/>
      </c>
      <c r="R196" s="53"/>
      <c r="S196" s="53"/>
      <c r="T1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55"/>
      <c r="AF196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30"/>
      <c r="AI196" s="55"/>
      <c r="AJ196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64"/>
      <c r="AM196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6" s="30"/>
      <c r="AP196" s="25" t="str">
        <f aca="false">IF(Tasks[[#This Row],[Task Name]]="","",Tasks[[#This Row],[Forecast Start]])</f>
        <v/>
      </c>
      <c r="AQ196" s="25" t="str">
        <f aca="false">IF(Tasks[[#This Row],[Task Name]]="","",Tasks[[#This Row],[Forecast Finish]])</f>
        <v/>
      </c>
      <c r="AR1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6" s="62" t="str">
        <f aca="false">IF(Tasks[[#This Row],[Task Name]]="","",Tasks[[#This Row],[Work]])</f>
        <v/>
      </c>
      <c r="AT196" s="63" t="str">
        <f aca="false">IF(Tasks[[#This Row],[Task Name]]="","",Tasks[[#This Row],[Cost]])</f>
        <v/>
      </c>
      <c r="AU196" s="53"/>
      <c r="AV196" s="53"/>
      <c r="AW196" s="29"/>
      <c r="AX196" s="65"/>
      <c r="AY196" s="64"/>
      <c r="AZ196" s="28" t="str">
        <f aca="false">IF(OR(Tasks[[#This Row],[Task Name]]="",Tasks[[#This Row],[Baseline Duration]]=""),"",Tasks[[#This Row],[BL Source Duration]]-N(Tasks[[#This Row],[Baseline Duration]]))</f>
        <v/>
      </c>
      <c r="BA196" s="62" t="str">
        <f aca="false">IF(OR(Tasks[[#This Row],[Task Name]]="",Tasks[[#This Row],[Baseline Work]]=""),"",Tasks[[#This Row],[Work]]-N(Tasks[[#This Row],[Baseline Work]]))</f>
        <v/>
      </c>
      <c r="BB196" s="63" t="str">
        <f aca="false">IF(OR(Tasks[[#This Row],[Task Name]]="",Tasks[[#This Row],[Baseline Cost]]=""),"",Tasks[[#This Row],[Cost]]-N(Tasks[[#This Row],[Baseline Cost]]))</f>
        <v/>
      </c>
      <c r="BC196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6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6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6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6" s="43" t="str">
        <f aca="false">IF(Tasks[[#This Row],[Task Name]]="","",MAX(1,N(Tasks[[#This Row],[Level]])))</f>
        <v/>
      </c>
      <c r="BH196" s="43" t="n">
        <f aca="false">ROW()-ROW(Tasks[[#Headers],[ID]])</f>
        <v>191</v>
      </c>
      <c r="BI1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6" s="43" t="n">
        <f aca="false">IFERROR(N(INDEX(Tasks[_Level],Tasks[[#This Row],[_Row]]+1)),0)</f>
        <v>0</v>
      </c>
      <c r="BK196" s="66" t="b">
        <f aca="false">AND(Tasks[[#This Row],[Task Name]]&lt;&gt;"",Tasks[[#This Row],[_NextLevel]]&gt;Tasks[[#This Row],[_Level]])</f>
        <v>0</v>
      </c>
      <c r="BL196" s="43" t="n">
        <f aca="false">IF(Tasks[[#This Row],[_IsSummary]],COUNTIF(Tasks[WBS],Tasks[[#This Row],[WBS]]&amp;".*"),0)</f>
        <v>0</v>
      </c>
      <c r="BM196" s="43" t="n">
        <f aca="false">IF(AND(Tasks[[#This Row],[Task Name]]&lt;&gt;"",NOT(Tasks[[#This Row],[_IsSummary]])),1,0)</f>
        <v>0</v>
      </c>
      <c r="BN196" s="43" t="n">
        <f aca="false">IF(N(Tasks[[#This Row],[Pred1 UID]])=0,0,IFERROR(MATCH(Tasks[[#This Row],[Pred1 UID]],Tasks[UID],0),-1))</f>
        <v>0</v>
      </c>
      <c r="BO196" s="43" t="n">
        <f aca="false">IF(N(Tasks[[#This Row],[Pred2 UID]])=0,0,IFERROR(MATCH(Tasks[[#This Row],[Pred2 UID]],Tasks[UID],0),-1))</f>
        <v>0</v>
      </c>
      <c r="BP196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6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6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6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6" s="43" t="n">
        <f aca="false">IF(NOT(Tasks[[#This Row],[_IsLeaf]]=1),0,IF(N(Tasks[[#This Row],[Actual Finish]])&gt;0,1,MIN(1,N(Tasks[[#This Row],[% Complete]]))))</f>
        <v>0</v>
      </c>
      <c r="BU1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6" s="43" t="n">
        <f aca="false">IF(Tasks[[#This Row],[_LeafWork]]=0,0,Tasks[[#This Row],[_LeafWork]]*IFERROR(INDEX(res_Rate,MATCH(Tasks[[#This Row],[Resource]],res_Name,0)),0))</f>
        <v>0</v>
      </c>
      <c r="BW1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6" s="43" t="n">
        <f aca="false">IF(NOT(Tasks[[#This Row],[_IsLeaf]]=1),0,MAX(_xlfn.MAXIFS(Tasks[_Row],Tasks[Pred1 UID],Tasks[[#This Row],[UID]]),_xlfn.MAXIFS(Tasks[_Row],Tasks[Pred2 UID],Tasks[[#This Row],[UID]])))</f>
        <v>0</v>
      </c>
      <c r="CB196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6" s="67" t="str">
        <f aca="false">IF(NOT(Tasks[[#This Row],[_IsLeaf]]=1),"",MIN(ProjectFinish,IF(N(Tasks[[#This Row],[Deadline]])&gt;0,Tasks[[#This Row],[Deadline]],2958465),Tasks[[#This Row],[_SuccessorFinishLimit]]))</f>
        <v/>
      </c>
      <c r="CD196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6" s="66" t="b">
        <f aca="false">AND(Tasks[[#This Row],[_IsLeaf]]=1,Tasks[[#This Row],[_LeafProgress]]&lt;1,N(Tasks[[#This Row],[_LeafTotalSlack]])&lt;=CriticalSlackDays)</f>
        <v>0</v>
      </c>
      <c r="CG196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6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6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6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6" s="43" t="n">
        <f aca="false">IF(AND(Tasks[[#This Row],[_IsLeaf]]=1,Tasks[[#This Row],[_LeafWork]]&gt;0),NETWORKDAYS.INTL(ProjectStart,Tasks[[#This Row],[_LeafFcstStart]],WorkWeek,Holidays),0)</f>
        <v>0</v>
      </c>
      <c r="CP1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6" s="43" t="n">
        <f aca="false">IF(AND(Tasks[[#This Row],[_IsLeaf]]=1,Tasks[[#This Row],[_LeafWork]]&gt;0),Tasks[[#This Row],[_LeafWork]]/(Tasks[[#This Row],[_FinishWorkday]]-Tasks[[#This Row],[_StartWorkday]]+1),0)</f>
        <v>0</v>
      </c>
      <c r="CR196" s="43" t="n">
        <f aca="false">Tasks[[#This Row],[_WorkPerWorkday]]*(Tasks[[#This Row],[_StartWorkday]]-1)</f>
        <v>-0</v>
      </c>
      <c r="CS196" s="43" t="n">
        <f aca="false">IF(Tasks[[#This Row],[_IsLeaf]]=1,MAX(N(Tasks[[#This Row],[Duration]]),0.1),0)</f>
        <v>0</v>
      </c>
      <c r="CT196" s="43" t="n">
        <f aca="false">Tasks[[#This Row],[_WeightDur]]*Tasks[[#This Row],[_LeafProgress]]</f>
        <v>0</v>
      </c>
      <c r="CU1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6" s="43" t="str">
        <f aca="false">IF(AND(Tasks[[#This Row],[_IsLeaf]]=1,N(Tasks[[#This Row],[Duration]])=0,Tasks[[#This Row],[_LeafProgress]]&lt;1),Tasks[[#This Row],[_LeafFcstFinish]]+Tasks[[#This Row],[_Row]]/100000,"")</f>
        <v/>
      </c>
      <c r="DA1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6" s="43" t="n">
        <f aca="false">IF(NOT(Tasks[[#This Row],[_IsLeaf]]=1),0,IF(Tasks[[#This Row],[Baseline Cost]]="",Tasks[[#This Row],[_LeafCost]],N(Tasks[[#This Row],[Baseline Cost]])))</f>
        <v>0</v>
      </c>
      <c r="DC196" s="43" t="n">
        <f aca="false">Tasks[[#This Row],[_LeafBudget]]*Tasks[[#This Row],[_PlannedPct]]</f>
        <v>0</v>
      </c>
      <c r="DD196" s="43" t="n">
        <f aca="false">Tasks[[#This Row],[_LeafBudget]]*Tasks[[#This Row],[_LeafProgress]]</f>
        <v>0</v>
      </c>
      <c r="DE196" s="43" t="n">
        <f aca="false">IF(NOT(Tasks[[#This Row],[_IsLeaf]]=1),0,IF(Tasks[[#This Row],[Actual Cost]]="",Tasks[[#This Row],[_LeafCost]]*Tasks[[#This Row],[_LeafProgress]],N(Tasks[[#This Row],[Actual Cost]])))</f>
        <v>0</v>
      </c>
      <c r="DF196" s="43" t="str">
        <f aca="false">IF(Tasks[[#This Row],[Task Name]]="","",LEFT(Tasks[[#This Row],[WBS]],FIND(".",Tasks[[#This Row],[WBS]]&amp;".")-1))</f>
        <v/>
      </c>
      <c r="DG196" s="43" t="str">
        <f aca="false">IF(AND(Tasks[[#This Row],[Task Name]]&lt;&gt;"",Tasks[[#This Row],[_Level]]=1),Tasks[[#This Row],[_Row]],"")</f>
        <v/>
      </c>
      <c r="DH196" s="43" t="str">
        <f aca="false">IF(AND(Tasks[[#This Row],[_IsLeaf]]=1,N(Tasks[[#This Row],[Duration]])=0),Tasks[[#This Row],[Planned Finish]]+Tasks[[#This Row],[_Row]]/100000,"")</f>
        <v/>
      </c>
      <c r="DI1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6" s="43" t="str">
        <f aca="false">IF(Tasks[[#This Row],[_LeafCritical]],Tasks[[#This Row],[_LeafFcstStart]]+Tasks[[#This Row],[_Row]]/100000,"")</f>
        <v/>
      </c>
    </row>
    <row r="197" customFormat="false" ht="15" hidden="false" customHeight="false" outlineLevel="0" collapsed="false">
      <c r="A197" s="28" t="str">
        <f aca="false">IF(Tasks[[#This Row],[Task Name]]="","",COUNTA(Tasks[[#Headers],[Task Name]]:Tasks[[#This Row],[Task Name]])-1)</f>
        <v/>
      </c>
      <c r="B197" s="29" t="n">
        <v>192</v>
      </c>
      <c r="C1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29"/>
      <c r="E197" s="30"/>
      <c r="F197" s="29"/>
      <c r="G197" s="29"/>
      <c r="H197" s="29"/>
      <c r="I197" s="29"/>
      <c r="J197" s="29"/>
      <c r="K197" s="29"/>
      <c r="L197" s="29"/>
      <c r="M197" s="29"/>
      <c r="N197" s="53"/>
      <c r="O197" s="53"/>
      <c r="P197" s="25" t="str">
        <f aca="false">IF(Tasks[[#This Row],[Task Name]]="","",IF(N(Tasks[[#This Row],[Baseline Start]])&gt;0,Tasks[[#This Row],[Baseline Start]],Tasks[[#This Row],[_CalcStart]]))</f>
        <v/>
      </c>
      <c r="Q197" s="25" t="str">
        <f aca="false">IF(Tasks[[#This Row],[Task Name]]="","",IF(N(Tasks[[#This Row],[Baseline Finish]])&gt;0,Tasks[[#This Row],[Baseline Finish]],Tasks[[#This Row],[_CalcFinish]]))</f>
        <v/>
      </c>
      <c r="R197" s="53"/>
      <c r="S197" s="53"/>
      <c r="T1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55"/>
      <c r="AF197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30"/>
      <c r="AI197" s="55"/>
      <c r="AJ197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64"/>
      <c r="AM197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7" s="30"/>
      <c r="AP197" s="25" t="str">
        <f aca="false">IF(Tasks[[#This Row],[Task Name]]="","",Tasks[[#This Row],[Forecast Start]])</f>
        <v/>
      </c>
      <c r="AQ197" s="25" t="str">
        <f aca="false">IF(Tasks[[#This Row],[Task Name]]="","",Tasks[[#This Row],[Forecast Finish]])</f>
        <v/>
      </c>
      <c r="AR1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7" s="62" t="str">
        <f aca="false">IF(Tasks[[#This Row],[Task Name]]="","",Tasks[[#This Row],[Work]])</f>
        <v/>
      </c>
      <c r="AT197" s="63" t="str">
        <f aca="false">IF(Tasks[[#This Row],[Task Name]]="","",Tasks[[#This Row],[Cost]])</f>
        <v/>
      </c>
      <c r="AU197" s="53"/>
      <c r="AV197" s="53"/>
      <c r="AW197" s="29"/>
      <c r="AX197" s="65"/>
      <c r="AY197" s="64"/>
      <c r="AZ197" s="28" t="str">
        <f aca="false">IF(OR(Tasks[[#This Row],[Task Name]]="",Tasks[[#This Row],[Baseline Duration]]=""),"",Tasks[[#This Row],[BL Source Duration]]-N(Tasks[[#This Row],[Baseline Duration]]))</f>
        <v/>
      </c>
      <c r="BA197" s="62" t="str">
        <f aca="false">IF(OR(Tasks[[#This Row],[Task Name]]="",Tasks[[#This Row],[Baseline Work]]=""),"",Tasks[[#This Row],[Work]]-N(Tasks[[#This Row],[Baseline Work]]))</f>
        <v/>
      </c>
      <c r="BB197" s="63" t="str">
        <f aca="false">IF(OR(Tasks[[#This Row],[Task Name]]="",Tasks[[#This Row],[Baseline Cost]]=""),"",Tasks[[#This Row],[Cost]]-N(Tasks[[#This Row],[Baseline Cost]]))</f>
        <v/>
      </c>
      <c r="BC197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7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7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7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7" s="43" t="str">
        <f aca="false">IF(Tasks[[#This Row],[Task Name]]="","",MAX(1,N(Tasks[[#This Row],[Level]])))</f>
        <v/>
      </c>
      <c r="BH197" s="43" t="n">
        <f aca="false">ROW()-ROW(Tasks[[#Headers],[ID]])</f>
        <v>192</v>
      </c>
      <c r="BI1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7" s="43" t="n">
        <f aca="false">IFERROR(N(INDEX(Tasks[_Level],Tasks[[#This Row],[_Row]]+1)),0)</f>
        <v>0</v>
      </c>
      <c r="BK197" s="66" t="b">
        <f aca="false">AND(Tasks[[#This Row],[Task Name]]&lt;&gt;"",Tasks[[#This Row],[_NextLevel]]&gt;Tasks[[#This Row],[_Level]])</f>
        <v>0</v>
      </c>
      <c r="BL197" s="43" t="n">
        <f aca="false">IF(Tasks[[#This Row],[_IsSummary]],COUNTIF(Tasks[WBS],Tasks[[#This Row],[WBS]]&amp;".*"),0)</f>
        <v>0</v>
      </c>
      <c r="BM197" s="43" t="n">
        <f aca="false">IF(AND(Tasks[[#This Row],[Task Name]]&lt;&gt;"",NOT(Tasks[[#This Row],[_IsSummary]])),1,0)</f>
        <v>0</v>
      </c>
      <c r="BN197" s="43" t="n">
        <f aca="false">IF(N(Tasks[[#This Row],[Pred1 UID]])=0,0,IFERROR(MATCH(Tasks[[#This Row],[Pred1 UID]],Tasks[UID],0),-1))</f>
        <v>0</v>
      </c>
      <c r="BO197" s="43" t="n">
        <f aca="false">IF(N(Tasks[[#This Row],[Pred2 UID]])=0,0,IFERROR(MATCH(Tasks[[#This Row],[Pred2 UID]],Tasks[UID],0),-1))</f>
        <v>0</v>
      </c>
      <c r="BP197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7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7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7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7" s="43" t="n">
        <f aca="false">IF(NOT(Tasks[[#This Row],[_IsLeaf]]=1),0,IF(N(Tasks[[#This Row],[Actual Finish]])&gt;0,1,MIN(1,N(Tasks[[#This Row],[% Complete]]))))</f>
        <v>0</v>
      </c>
      <c r="BU1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7" s="43" t="n">
        <f aca="false">IF(Tasks[[#This Row],[_LeafWork]]=0,0,Tasks[[#This Row],[_LeafWork]]*IFERROR(INDEX(res_Rate,MATCH(Tasks[[#This Row],[Resource]],res_Name,0)),0))</f>
        <v>0</v>
      </c>
      <c r="BW1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7" s="43" t="n">
        <f aca="false">IF(NOT(Tasks[[#This Row],[_IsLeaf]]=1),0,MAX(_xlfn.MAXIFS(Tasks[_Row],Tasks[Pred1 UID],Tasks[[#This Row],[UID]]),_xlfn.MAXIFS(Tasks[_Row],Tasks[Pred2 UID],Tasks[[#This Row],[UID]])))</f>
        <v>0</v>
      </c>
      <c r="CB197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7" s="67" t="str">
        <f aca="false">IF(NOT(Tasks[[#This Row],[_IsLeaf]]=1),"",MIN(ProjectFinish,IF(N(Tasks[[#This Row],[Deadline]])&gt;0,Tasks[[#This Row],[Deadline]],2958465),Tasks[[#This Row],[_SuccessorFinishLimit]]))</f>
        <v/>
      </c>
      <c r="CD197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7" s="66" t="b">
        <f aca="false">AND(Tasks[[#This Row],[_IsLeaf]]=1,Tasks[[#This Row],[_LeafProgress]]&lt;1,N(Tasks[[#This Row],[_LeafTotalSlack]])&lt;=CriticalSlackDays)</f>
        <v>0</v>
      </c>
      <c r="CG197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7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7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7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7" s="43" t="n">
        <f aca="false">IF(AND(Tasks[[#This Row],[_IsLeaf]]=1,Tasks[[#This Row],[_LeafWork]]&gt;0),NETWORKDAYS.INTL(ProjectStart,Tasks[[#This Row],[_LeafFcstStart]],WorkWeek,Holidays),0)</f>
        <v>0</v>
      </c>
      <c r="CP1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7" s="43" t="n">
        <f aca="false">IF(AND(Tasks[[#This Row],[_IsLeaf]]=1,Tasks[[#This Row],[_LeafWork]]&gt;0),Tasks[[#This Row],[_LeafWork]]/(Tasks[[#This Row],[_FinishWorkday]]-Tasks[[#This Row],[_StartWorkday]]+1),0)</f>
        <v>0</v>
      </c>
      <c r="CR197" s="43" t="n">
        <f aca="false">Tasks[[#This Row],[_WorkPerWorkday]]*(Tasks[[#This Row],[_StartWorkday]]-1)</f>
        <v>-0</v>
      </c>
      <c r="CS197" s="43" t="n">
        <f aca="false">IF(Tasks[[#This Row],[_IsLeaf]]=1,MAX(N(Tasks[[#This Row],[Duration]]),0.1),0)</f>
        <v>0</v>
      </c>
      <c r="CT197" s="43" t="n">
        <f aca="false">Tasks[[#This Row],[_WeightDur]]*Tasks[[#This Row],[_LeafProgress]]</f>
        <v>0</v>
      </c>
      <c r="CU1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7" s="43" t="str">
        <f aca="false">IF(AND(Tasks[[#This Row],[_IsLeaf]]=1,N(Tasks[[#This Row],[Duration]])=0,Tasks[[#This Row],[_LeafProgress]]&lt;1),Tasks[[#This Row],[_LeafFcstFinish]]+Tasks[[#This Row],[_Row]]/100000,"")</f>
        <v/>
      </c>
      <c r="DA1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7" s="43" t="n">
        <f aca="false">IF(NOT(Tasks[[#This Row],[_IsLeaf]]=1),0,IF(Tasks[[#This Row],[Baseline Cost]]="",Tasks[[#This Row],[_LeafCost]],N(Tasks[[#This Row],[Baseline Cost]])))</f>
        <v>0</v>
      </c>
      <c r="DC197" s="43" t="n">
        <f aca="false">Tasks[[#This Row],[_LeafBudget]]*Tasks[[#This Row],[_PlannedPct]]</f>
        <v>0</v>
      </c>
      <c r="DD197" s="43" t="n">
        <f aca="false">Tasks[[#This Row],[_LeafBudget]]*Tasks[[#This Row],[_LeafProgress]]</f>
        <v>0</v>
      </c>
      <c r="DE197" s="43" t="n">
        <f aca="false">IF(NOT(Tasks[[#This Row],[_IsLeaf]]=1),0,IF(Tasks[[#This Row],[Actual Cost]]="",Tasks[[#This Row],[_LeafCost]]*Tasks[[#This Row],[_LeafProgress]],N(Tasks[[#This Row],[Actual Cost]])))</f>
        <v>0</v>
      </c>
      <c r="DF197" s="43" t="str">
        <f aca="false">IF(Tasks[[#This Row],[Task Name]]="","",LEFT(Tasks[[#This Row],[WBS]],FIND(".",Tasks[[#This Row],[WBS]]&amp;".")-1))</f>
        <v/>
      </c>
      <c r="DG197" s="43" t="str">
        <f aca="false">IF(AND(Tasks[[#This Row],[Task Name]]&lt;&gt;"",Tasks[[#This Row],[_Level]]=1),Tasks[[#This Row],[_Row]],"")</f>
        <v/>
      </c>
      <c r="DH197" s="43" t="str">
        <f aca="false">IF(AND(Tasks[[#This Row],[_IsLeaf]]=1,N(Tasks[[#This Row],[Duration]])=0),Tasks[[#This Row],[Planned Finish]]+Tasks[[#This Row],[_Row]]/100000,"")</f>
        <v/>
      </c>
      <c r="DI1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7" s="43" t="str">
        <f aca="false">IF(Tasks[[#This Row],[_LeafCritical]],Tasks[[#This Row],[_LeafFcstStart]]+Tasks[[#This Row],[_Row]]/100000,"")</f>
        <v/>
      </c>
    </row>
    <row r="198" customFormat="false" ht="15" hidden="false" customHeight="false" outlineLevel="0" collapsed="false">
      <c r="A198" s="28" t="str">
        <f aca="false">IF(Tasks[[#This Row],[Task Name]]="","",COUNTA(Tasks[[#Headers],[Task Name]]:Tasks[[#This Row],[Task Name]])-1)</f>
        <v/>
      </c>
      <c r="B198" s="29" t="n">
        <v>193</v>
      </c>
      <c r="C1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29"/>
      <c r="E198" s="30"/>
      <c r="F198" s="29"/>
      <c r="G198" s="29"/>
      <c r="H198" s="29"/>
      <c r="I198" s="29"/>
      <c r="J198" s="29"/>
      <c r="K198" s="29"/>
      <c r="L198" s="29"/>
      <c r="M198" s="29"/>
      <c r="N198" s="53"/>
      <c r="O198" s="53"/>
      <c r="P198" s="25" t="str">
        <f aca="false">IF(Tasks[[#This Row],[Task Name]]="","",IF(N(Tasks[[#This Row],[Baseline Start]])&gt;0,Tasks[[#This Row],[Baseline Start]],Tasks[[#This Row],[_CalcStart]]))</f>
        <v/>
      </c>
      <c r="Q198" s="25" t="str">
        <f aca="false">IF(Tasks[[#This Row],[Task Name]]="","",IF(N(Tasks[[#This Row],[Baseline Finish]])&gt;0,Tasks[[#This Row],[Baseline Finish]],Tasks[[#This Row],[_CalcFinish]]))</f>
        <v/>
      </c>
      <c r="R198" s="53"/>
      <c r="S198" s="53"/>
      <c r="T1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55"/>
      <c r="AF198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30"/>
      <c r="AI198" s="55"/>
      <c r="AJ198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64"/>
      <c r="AM198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8" s="30"/>
      <c r="AP198" s="25" t="str">
        <f aca="false">IF(Tasks[[#This Row],[Task Name]]="","",Tasks[[#This Row],[Forecast Start]])</f>
        <v/>
      </c>
      <c r="AQ198" s="25" t="str">
        <f aca="false">IF(Tasks[[#This Row],[Task Name]]="","",Tasks[[#This Row],[Forecast Finish]])</f>
        <v/>
      </c>
      <c r="AR1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8" s="62" t="str">
        <f aca="false">IF(Tasks[[#This Row],[Task Name]]="","",Tasks[[#This Row],[Work]])</f>
        <v/>
      </c>
      <c r="AT198" s="63" t="str">
        <f aca="false">IF(Tasks[[#This Row],[Task Name]]="","",Tasks[[#This Row],[Cost]])</f>
        <v/>
      </c>
      <c r="AU198" s="53"/>
      <c r="AV198" s="53"/>
      <c r="AW198" s="29"/>
      <c r="AX198" s="65"/>
      <c r="AY198" s="64"/>
      <c r="AZ198" s="28" t="str">
        <f aca="false">IF(OR(Tasks[[#This Row],[Task Name]]="",Tasks[[#This Row],[Baseline Duration]]=""),"",Tasks[[#This Row],[BL Source Duration]]-N(Tasks[[#This Row],[Baseline Duration]]))</f>
        <v/>
      </c>
      <c r="BA198" s="62" t="str">
        <f aca="false">IF(OR(Tasks[[#This Row],[Task Name]]="",Tasks[[#This Row],[Baseline Work]]=""),"",Tasks[[#This Row],[Work]]-N(Tasks[[#This Row],[Baseline Work]]))</f>
        <v/>
      </c>
      <c r="BB198" s="63" t="str">
        <f aca="false">IF(OR(Tasks[[#This Row],[Task Name]]="",Tasks[[#This Row],[Baseline Cost]]=""),"",Tasks[[#This Row],[Cost]]-N(Tasks[[#This Row],[Baseline Cost]]))</f>
        <v/>
      </c>
      <c r="BC198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8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8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8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8" s="43" t="str">
        <f aca="false">IF(Tasks[[#This Row],[Task Name]]="","",MAX(1,N(Tasks[[#This Row],[Level]])))</f>
        <v/>
      </c>
      <c r="BH198" s="43" t="n">
        <f aca="false">ROW()-ROW(Tasks[[#Headers],[ID]])</f>
        <v>193</v>
      </c>
      <c r="BI1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8" s="43" t="n">
        <f aca="false">IFERROR(N(INDEX(Tasks[_Level],Tasks[[#This Row],[_Row]]+1)),0)</f>
        <v>0</v>
      </c>
      <c r="BK198" s="66" t="b">
        <f aca="false">AND(Tasks[[#This Row],[Task Name]]&lt;&gt;"",Tasks[[#This Row],[_NextLevel]]&gt;Tasks[[#This Row],[_Level]])</f>
        <v>0</v>
      </c>
      <c r="BL198" s="43" t="n">
        <f aca="false">IF(Tasks[[#This Row],[_IsSummary]],COUNTIF(Tasks[WBS],Tasks[[#This Row],[WBS]]&amp;".*"),0)</f>
        <v>0</v>
      </c>
      <c r="BM198" s="43" t="n">
        <f aca="false">IF(AND(Tasks[[#This Row],[Task Name]]&lt;&gt;"",NOT(Tasks[[#This Row],[_IsSummary]])),1,0)</f>
        <v>0</v>
      </c>
      <c r="BN198" s="43" t="n">
        <f aca="false">IF(N(Tasks[[#This Row],[Pred1 UID]])=0,0,IFERROR(MATCH(Tasks[[#This Row],[Pred1 UID]],Tasks[UID],0),-1))</f>
        <v>0</v>
      </c>
      <c r="BO198" s="43" t="n">
        <f aca="false">IF(N(Tasks[[#This Row],[Pred2 UID]])=0,0,IFERROR(MATCH(Tasks[[#This Row],[Pred2 UID]],Tasks[UID],0),-1))</f>
        <v>0</v>
      </c>
      <c r="BP198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8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8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8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8" s="43" t="n">
        <f aca="false">IF(NOT(Tasks[[#This Row],[_IsLeaf]]=1),0,IF(N(Tasks[[#This Row],[Actual Finish]])&gt;0,1,MIN(1,N(Tasks[[#This Row],[% Complete]]))))</f>
        <v>0</v>
      </c>
      <c r="BU1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8" s="43" t="n">
        <f aca="false">IF(Tasks[[#This Row],[_LeafWork]]=0,0,Tasks[[#This Row],[_LeafWork]]*IFERROR(INDEX(res_Rate,MATCH(Tasks[[#This Row],[Resource]],res_Name,0)),0))</f>
        <v>0</v>
      </c>
      <c r="BW1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8" s="43" t="n">
        <f aca="false">IF(NOT(Tasks[[#This Row],[_IsLeaf]]=1),0,MAX(_xlfn.MAXIFS(Tasks[_Row],Tasks[Pred1 UID],Tasks[[#This Row],[UID]]),_xlfn.MAXIFS(Tasks[_Row],Tasks[Pred2 UID],Tasks[[#This Row],[UID]])))</f>
        <v>0</v>
      </c>
      <c r="CB198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8" s="67" t="str">
        <f aca="false">IF(NOT(Tasks[[#This Row],[_IsLeaf]]=1),"",MIN(ProjectFinish,IF(N(Tasks[[#This Row],[Deadline]])&gt;0,Tasks[[#This Row],[Deadline]],2958465),Tasks[[#This Row],[_SuccessorFinishLimit]]))</f>
        <v/>
      </c>
      <c r="CD198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8" s="66" t="b">
        <f aca="false">AND(Tasks[[#This Row],[_IsLeaf]]=1,Tasks[[#This Row],[_LeafProgress]]&lt;1,N(Tasks[[#This Row],[_LeafTotalSlack]])&lt;=CriticalSlackDays)</f>
        <v>0</v>
      </c>
      <c r="CG198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8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8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8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8" s="43" t="n">
        <f aca="false">IF(AND(Tasks[[#This Row],[_IsLeaf]]=1,Tasks[[#This Row],[_LeafWork]]&gt;0),NETWORKDAYS.INTL(ProjectStart,Tasks[[#This Row],[_LeafFcstStart]],WorkWeek,Holidays),0)</f>
        <v>0</v>
      </c>
      <c r="CP1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8" s="43" t="n">
        <f aca="false">IF(AND(Tasks[[#This Row],[_IsLeaf]]=1,Tasks[[#This Row],[_LeafWork]]&gt;0),Tasks[[#This Row],[_LeafWork]]/(Tasks[[#This Row],[_FinishWorkday]]-Tasks[[#This Row],[_StartWorkday]]+1),0)</f>
        <v>0</v>
      </c>
      <c r="CR198" s="43" t="n">
        <f aca="false">Tasks[[#This Row],[_WorkPerWorkday]]*(Tasks[[#This Row],[_StartWorkday]]-1)</f>
        <v>-0</v>
      </c>
      <c r="CS198" s="43" t="n">
        <f aca="false">IF(Tasks[[#This Row],[_IsLeaf]]=1,MAX(N(Tasks[[#This Row],[Duration]]),0.1),0)</f>
        <v>0</v>
      </c>
      <c r="CT198" s="43" t="n">
        <f aca="false">Tasks[[#This Row],[_WeightDur]]*Tasks[[#This Row],[_LeafProgress]]</f>
        <v>0</v>
      </c>
      <c r="CU1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8" s="43" t="str">
        <f aca="false">IF(AND(Tasks[[#This Row],[_IsLeaf]]=1,N(Tasks[[#This Row],[Duration]])=0,Tasks[[#This Row],[_LeafProgress]]&lt;1),Tasks[[#This Row],[_LeafFcstFinish]]+Tasks[[#This Row],[_Row]]/100000,"")</f>
        <v/>
      </c>
      <c r="DA1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8" s="43" t="n">
        <f aca="false">IF(NOT(Tasks[[#This Row],[_IsLeaf]]=1),0,IF(Tasks[[#This Row],[Baseline Cost]]="",Tasks[[#This Row],[_LeafCost]],N(Tasks[[#This Row],[Baseline Cost]])))</f>
        <v>0</v>
      </c>
      <c r="DC198" s="43" t="n">
        <f aca="false">Tasks[[#This Row],[_LeafBudget]]*Tasks[[#This Row],[_PlannedPct]]</f>
        <v>0</v>
      </c>
      <c r="DD198" s="43" t="n">
        <f aca="false">Tasks[[#This Row],[_LeafBudget]]*Tasks[[#This Row],[_LeafProgress]]</f>
        <v>0</v>
      </c>
      <c r="DE198" s="43" t="n">
        <f aca="false">IF(NOT(Tasks[[#This Row],[_IsLeaf]]=1),0,IF(Tasks[[#This Row],[Actual Cost]]="",Tasks[[#This Row],[_LeafCost]]*Tasks[[#This Row],[_LeafProgress]],N(Tasks[[#This Row],[Actual Cost]])))</f>
        <v>0</v>
      </c>
      <c r="DF198" s="43" t="str">
        <f aca="false">IF(Tasks[[#This Row],[Task Name]]="","",LEFT(Tasks[[#This Row],[WBS]],FIND(".",Tasks[[#This Row],[WBS]]&amp;".")-1))</f>
        <v/>
      </c>
      <c r="DG198" s="43" t="str">
        <f aca="false">IF(AND(Tasks[[#This Row],[Task Name]]&lt;&gt;"",Tasks[[#This Row],[_Level]]=1),Tasks[[#This Row],[_Row]],"")</f>
        <v/>
      </c>
      <c r="DH198" s="43" t="str">
        <f aca="false">IF(AND(Tasks[[#This Row],[_IsLeaf]]=1,N(Tasks[[#This Row],[Duration]])=0),Tasks[[#This Row],[Planned Finish]]+Tasks[[#This Row],[_Row]]/100000,"")</f>
        <v/>
      </c>
      <c r="DI1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8" s="43" t="str">
        <f aca="false">IF(Tasks[[#This Row],[_LeafCritical]],Tasks[[#This Row],[_LeafFcstStart]]+Tasks[[#This Row],[_Row]]/100000,"")</f>
        <v/>
      </c>
    </row>
    <row r="199" customFormat="false" ht="15" hidden="false" customHeight="false" outlineLevel="0" collapsed="false">
      <c r="A199" s="28" t="str">
        <f aca="false">IF(Tasks[[#This Row],[Task Name]]="","",COUNTA(Tasks[[#Headers],[Task Name]]:Tasks[[#This Row],[Task Name]])-1)</f>
        <v/>
      </c>
      <c r="B199" s="29" t="n">
        <v>194</v>
      </c>
      <c r="C1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29"/>
      <c r="E199" s="30"/>
      <c r="F199" s="29"/>
      <c r="G199" s="29"/>
      <c r="H199" s="29"/>
      <c r="I199" s="29"/>
      <c r="J199" s="29"/>
      <c r="K199" s="29"/>
      <c r="L199" s="29"/>
      <c r="M199" s="29"/>
      <c r="N199" s="53"/>
      <c r="O199" s="53"/>
      <c r="P199" s="25" t="str">
        <f aca="false">IF(Tasks[[#This Row],[Task Name]]="","",IF(N(Tasks[[#This Row],[Baseline Start]])&gt;0,Tasks[[#This Row],[Baseline Start]],Tasks[[#This Row],[_CalcStart]]))</f>
        <v/>
      </c>
      <c r="Q199" s="25" t="str">
        <f aca="false">IF(Tasks[[#This Row],[Task Name]]="","",IF(N(Tasks[[#This Row],[Baseline Finish]])&gt;0,Tasks[[#This Row],[Baseline Finish]],Tasks[[#This Row],[_CalcFinish]]))</f>
        <v/>
      </c>
      <c r="R199" s="53"/>
      <c r="S199" s="53"/>
      <c r="T1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55"/>
      <c r="AF199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30"/>
      <c r="AI199" s="55"/>
      <c r="AJ199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64"/>
      <c r="AM199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1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199" s="30"/>
      <c r="AP199" s="25" t="str">
        <f aca="false">IF(Tasks[[#This Row],[Task Name]]="","",Tasks[[#This Row],[Forecast Start]])</f>
        <v/>
      </c>
      <c r="AQ199" s="25" t="str">
        <f aca="false">IF(Tasks[[#This Row],[Task Name]]="","",Tasks[[#This Row],[Forecast Finish]])</f>
        <v/>
      </c>
      <c r="AR1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199" s="62" t="str">
        <f aca="false">IF(Tasks[[#This Row],[Task Name]]="","",Tasks[[#This Row],[Work]])</f>
        <v/>
      </c>
      <c r="AT199" s="63" t="str">
        <f aca="false">IF(Tasks[[#This Row],[Task Name]]="","",Tasks[[#This Row],[Cost]])</f>
        <v/>
      </c>
      <c r="AU199" s="53"/>
      <c r="AV199" s="53"/>
      <c r="AW199" s="29"/>
      <c r="AX199" s="65"/>
      <c r="AY199" s="64"/>
      <c r="AZ199" s="28" t="str">
        <f aca="false">IF(OR(Tasks[[#This Row],[Task Name]]="",Tasks[[#This Row],[Baseline Duration]]=""),"",Tasks[[#This Row],[BL Source Duration]]-N(Tasks[[#This Row],[Baseline Duration]]))</f>
        <v/>
      </c>
      <c r="BA199" s="62" t="str">
        <f aca="false">IF(OR(Tasks[[#This Row],[Task Name]]="",Tasks[[#This Row],[Baseline Work]]=""),"",Tasks[[#This Row],[Work]]-N(Tasks[[#This Row],[Baseline Work]]))</f>
        <v/>
      </c>
      <c r="BB199" s="63" t="str">
        <f aca="false">IF(OR(Tasks[[#This Row],[Task Name]]="",Tasks[[#This Row],[Baseline Cost]]=""),"",Tasks[[#This Row],[Cost]]-N(Tasks[[#This Row],[Baseline Cost]]))</f>
        <v/>
      </c>
      <c r="BC199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199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199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199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199" s="43" t="str">
        <f aca="false">IF(Tasks[[#This Row],[Task Name]]="","",MAX(1,N(Tasks[[#This Row],[Level]])))</f>
        <v/>
      </c>
      <c r="BH199" s="43" t="n">
        <f aca="false">ROW()-ROW(Tasks[[#Headers],[ID]])</f>
        <v>194</v>
      </c>
      <c r="BI1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199" s="43" t="n">
        <f aca="false">IFERROR(N(INDEX(Tasks[_Level],Tasks[[#This Row],[_Row]]+1)),0)</f>
        <v>0</v>
      </c>
      <c r="BK199" s="66" t="b">
        <f aca="false">AND(Tasks[[#This Row],[Task Name]]&lt;&gt;"",Tasks[[#This Row],[_NextLevel]]&gt;Tasks[[#This Row],[_Level]])</f>
        <v>0</v>
      </c>
      <c r="BL199" s="43" t="n">
        <f aca="false">IF(Tasks[[#This Row],[_IsSummary]],COUNTIF(Tasks[WBS],Tasks[[#This Row],[WBS]]&amp;".*"),0)</f>
        <v>0</v>
      </c>
      <c r="BM199" s="43" t="n">
        <f aca="false">IF(AND(Tasks[[#This Row],[Task Name]]&lt;&gt;"",NOT(Tasks[[#This Row],[_IsSummary]])),1,0)</f>
        <v>0</v>
      </c>
      <c r="BN199" s="43" t="n">
        <f aca="false">IF(N(Tasks[[#This Row],[Pred1 UID]])=0,0,IFERROR(MATCH(Tasks[[#This Row],[Pred1 UID]],Tasks[UID],0),-1))</f>
        <v>0</v>
      </c>
      <c r="BO199" s="43" t="n">
        <f aca="false">IF(N(Tasks[[#This Row],[Pred2 UID]])=0,0,IFERROR(MATCH(Tasks[[#This Row],[Pred2 UID]],Tasks[UID],0),-1))</f>
        <v>0</v>
      </c>
      <c r="BP199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199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199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199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199" s="43" t="n">
        <f aca="false">IF(NOT(Tasks[[#This Row],[_IsLeaf]]=1),0,IF(N(Tasks[[#This Row],[Actual Finish]])&gt;0,1,MIN(1,N(Tasks[[#This Row],[% Complete]]))))</f>
        <v>0</v>
      </c>
      <c r="BU1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199" s="43" t="n">
        <f aca="false">IF(Tasks[[#This Row],[_LeafWork]]=0,0,Tasks[[#This Row],[_LeafWork]]*IFERROR(INDEX(res_Rate,MATCH(Tasks[[#This Row],[Resource]],res_Name,0)),0))</f>
        <v>0</v>
      </c>
      <c r="BW1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1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1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1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199" s="43" t="n">
        <f aca="false">IF(NOT(Tasks[[#This Row],[_IsLeaf]]=1),0,MAX(_xlfn.MAXIFS(Tasks[_Row],Tasks[Pred1 UID],Tasks[[#This Row],[UID]]),_xlfn.MAXIFS(Tasks[_Row],Tasks[Pred2 UID],Tasks[[#This Row],[UID]])))</f>
        <v>0</v>
      </c>
      <c r="CB199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199" s="67" t="str">
        <f aca="false">IF(NOT(Tasks[[#This Row],[_IsLeaf]]=1),"",MIN(ProjectFinish,IF(N(Tasks[[#This Row],[Deadline]])&gt;0,Tasks[[#This Row],[Deadline]],2958465),Tasks[[#This Row],[_SuccessorFinishLimit]]))</f>
        <v/>
      </c>
      <c r="CD199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1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199" s="66" t="b">
        <f aca="false">AND(Tasks[[#This Row],[_IsLeaf]]=1,Tasks[[#This Row],[_LeafProgress]]&lt;1,N(Tasks[[#This Row],[_LeafTotalSlack]])&lt;=CriticalSlackDays)</f>
        <v>0</v>
      </c>
      <c r="CG199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199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1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1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19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19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199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199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199" s="43" t="n">
        <f aca="false">IF(AND(Tasks[[#This Row],[_IsLeaf]]=1,Tasks[[#This Row],[_LeafWork]]&gt;0),NETWORKDAYS.INTL(ProjectStart,Tasks[[#This Row],[_LeafFcstStart]],WorkWeek,Holidays),0)</f>
        <v>0</v>
      </c>
      <c r="CP1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199" s="43" t="n">
        <f aca="false">IF(AND(Tasks[[#This Row],[_IsLeaf]]=1,Tasks[[#This Row],[_LeafWork]]&gt;0),Tasks[[#This Row],[_LeafWork]]/(Tasks[[#This Row],[_FinishWorkday]]-Tasks[[#This Row],[_StartWorkday]]+1),0)</f>
        <v>0</v>
      </c>
      <c r="CR199" s="43" t="n">
        <f aca="false">Tasks[[#This Row],[_WorkPerWorkday]]*(Tasks[[#This Row],[_StartWorkday]]-1)</f>
        <v>-0</v>
      </c>
      <c r="CS199" s="43" t="n">
        <f aca="false">IF(Tasks[[#This Row],[_IsLeaf]]=1,MAX(N(Tasks[[#This Row],[Duration]]),0.1),0)</f>
        <v>0</v>
      </c>
      <c r="CT199" s="43" t="n">
        <f aca="false">Tasks[[#This Row],[_WeightDur]]*Tasks[[#This Row],[_LeafProgress]]</f>
        <v>0</v>
      </c>
      <c r="CU1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1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1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199" s="43" t="str">
        <f aca="false">IF(AND(Tasks[[#This Row],[_IsLeaf]]=1,N(Tasks[[#This Row],[Duration]])=0,Tasks[[#This Row],[_LeafProgress]]&lt;1),Tasks[[#This Row],[_LeafFcstFinish]]+Tasks[[#This Row],[_Row]]/100000,"")</f>
        <v/>
      </c>
      <c r="DA1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199" s="43" t="n">
        <f aca="false">IF(NOT(Tasks[[#This Row],[_IsLeaf]]=1),0,IF(Tasks[[#This Row],[Baseline Cost]]="",Tasks[[#This Row],[_LeafCost]],N(Tasks[[#This Row],[Baseline Cost]])))</f>
        <v>0</v>
      </c>
      <c r="DC199" s="43" t="n">
        <f aca="false">Tasks[[#This Row],[_LeafBudget]]*Tasks[[#This Row],[_PlannedPct]]</f>
        <v>0</v>
      </c>
      <c r="DD199" s="43" t="n">
        <f aca="false">Tasks[[#This Row],[_LeafBudget]]*Tasks[[#This Row],[_LeafProgress]]</f>
        <v>0</v>
      </c>
      <c r="DE199" s="43" t="n">
        <f aca="false">IF(NOT(Tasks[[#This Row],[_IsLeaf]]=1),0,IF(Tasks[[#This Row],[Actual Cost]]="",Tasks[[#This Row],[_LeafCost]]*Tasks[[#This Row],[_LeafProgress]],N(Tasks[[#This Row],[Actual Cost]])))</f>
        <v>0</v>
      </c>
      <c r="DF199" s="43" t="str">
        <f aca="false">IF(Tasks[[#This Row],[Task Name]]="","",LEFT(Tasks[[#This Row],[WBS]],FIND(".",Tasks[[#This Row],[WBS]]&amp;".")-1))</f>
        <v/>
      </c>
      <c r="DG199" s="43" t="str">
        <f aca="false">IF(AND(Tasks[[#This Row],[Task Name]]&lt;&gt;"",Tasks[[#This Row],[_Level]]=1),Tasks[[#This Row],[_Row]],"")</f>
        <v/>
      </c>
      <c r="DH199" s="43" t="str">
        <f aca="false">IF(AND(Tasks[[#This Row],[_IsLeaf]]=1,N(Tasks[[#This Row],[Duration]])=0),Tasks[[#This Row],[Planned Finish]]+Tasks[[#This Row],[_Row]]/100000,"")</f>
        <v/>
      </c>
      <c r="DI1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1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1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199" s="43" t="str">
        <f aca="false">IF(Tasks[[#This Row],[_LeafCritical]],Tasks[[#This Row],[_LeafFcstStart]]+Tasks[[#This Row],[_Row]]/100000,"")</f>
        <v/>
      </c>
    </row>
    <row r="200" customFormat="false" ht="15" hidden="false" customHeight="false" outlineLevel="0" collapsed="false">
      <c r="A200" s="28" t="str">
        <f aca="false">IF(Tasks[[#This Row],[Task Name]]="","",COUNTA(Tasks[[#Headers],[Task Name]]:Tasks[[#This Row],[Task Name]])-1)</f>
        <v/>
      </c>
      <c r="B200" s="29" t="n">
        <v>195</v>
      </c>
      <c r="C2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29"/>
      <c r="E200" s="30"/>
      <c r="F200" s="29"/>
      <c r="G200" s="29"/>
      <c r="H200" s="29"/>
      <c r="I200" s="29"/>
      <c r="J200" s="29"/>
      <c r="K200" s="29"/>
      <c r="L200" s="29"/>
      <c r="M200" s="29"/>
      <c r="N200" s="53"/>
      <c r="O200" s="53"/>
      <c r="P200" s="25" t="str">
        <f aca="false">IF(Tasks[[#This Row],[Task Name]]="","",IF(N(Tasks[[#This Row],[Baseline Start]])&gt;0,Tasks[[#This Row],[Baseline Start]],Tasks[[#This Row],[_CalcStart]]))</f>
        <v/>
      </c>
      <c r="Q200" s="25" t="str">
        <f aca="false">IF(Tasks[[#This Row],[Task Name]]="","",IF(N(Tasks[[#This Row],[Baseline Finish]])&gt;0,Tasks[[#This Row],[Baseline Finish]],Tasks[[#This Row],[_CalcFinish]]))</f>
        <v/>
      </c>
      <c r="R200" s="53"/>
      <c r="S200" s="53"/>
      <c r="T2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55"/>
      <c r="AF200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30"/>
      <c r="AI200" s="55"/>
      <c r="AJ200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64"/>
      <c r="AM200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0" s="30"/>
      <c r="AP200" s="25" t="str">
        <f aca="false">IF(Tasks[[#This Row],[Task Name]]="","",Tasks[[#This Row],[Forecast Start]])</f>
        <v/>
      </c>
      <c r="AQ200" s="25" t="str">
        <f aca="false">IF(Tasks[[#This Row],[Task Name]]="","",Tasks[[#This Row],[Forecast Finish]])</f>
        <v/>
      </c>
      <c r="AR2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0" s="62" t="str">
        <f aca="false">IF(Tasks[[#This Row],[Task Name]]="","",Tasks[[#This Row],[Work]])</f>
        <v/>
      </c>
      <c r="AT200" s="63" t="str">
        <f aca="false">IF(Tasks[[#This Row],[Task Name]]="","",Tasks[[#This Row],[Cost]])</f>
        <v/>
      </c>
      <c r="AU200" s="53"/>
      <c r="AV200" s="53"/>
      <c r="AW200" s="29"/>
      <c r="AX200" s="65"/>
      <c r="AY200" s="64"/>
      <c r="AZ200" s="28" t="str">
        <f aca="false">IF(OR(Tasks[[#This Row],[Task Name]]="",Tasks[[#This Row],[Baseline Duration]]=""),"",Tasks[[#This Row],[BL Source Duration]]-N(Tasks[[#This Row],[Baseline Duration]]))</f>
        <v/>
      </c>
      <c r="BA200" s="62" t="str">
        <f aca="false">IF(OR(Tasks[[#This Row],[Task Name]]="",Tasks[[#This Row],[Baseline Work]]=""),"",Tasks[[#This Row],[Work]]-N(Tasks[[#This Row],[Baseline Work]]))</f>
        <v/>
      </c>
      <c r="BB200" s="63" t="str">
        <f aca="false">IF(OR(Tasks[[#This Row],[Task Name]]="",Tasks[[#This Row],[Baseline Cost]]=""),"",Tasks[[#This Row],[Cost]]-N(Tasks[[#This Row],[Baseline Cost]]))</f>
        <v/>
      </c>
      <c r="BC200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0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0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0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0" s="43" t="str">
        <f aca="false">IF(Tasks[[#This Row],[Task Name]]="","",MAX(1,N(Tasks[[#This Row],[Level]])))</f>
        <v/>
      </c>
      <c r="BH200" s="43" t="n">
        <f aca="false">ROW()-ROW(Tasks[[#Headers],[ID]])</f>
        <v>195</v>
      </c>
      <c r="BI2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0" s="43" t="n">
        <f aca="false">IFERROR(N(INDEX(Tasks[_Level],Tasks[[#This Row],[_Row]]+1)),0)</f>
        <v>0</v>
      </c>
      <c r="BK200" s="66" t="b">
        <f aca="false">AND(Tasks[[#This Row],[Task Name]]&lt;&gt;"",Tasks[[#This Row],[_NextLevel]]&gt;Tasks[[#This Row],[_Level]])</f>
        <v>0</v>
      </c>
      <c r="BL200" s="43" t="n">
        <f aca="false">IF(Tasks[[#This Row],[_IsSummary]],COUNTIF(Tasks[WBS],Tasks[[#This Row],[WBS]]&amp;".*"),0)</f>
        <v>0</v>
      </c>
      <c r="BM200" s="43" t="n">
        <f aca="false">IF(AND(Tasks[[#This Row],[Task Name]]&lt;&gt;"",NOT(Tasks[[#This Row],[_IsSummary]])),1,0)</f>
        <v>0</v>
      </c>
      <c r="BN200" s="43" t="n">
        <f aca="false">IF(N(Tasks[[#This Row],[Pred1 UID]])=0,0,IFERROR(MATCH(Tasks[[#This Row],[Pred1 UID]],Tasks[UID],0),-1))</f>
        <v>0</v>
      </c>
      <c r="BO200" s="43" t="n">
        <f aca="false">IF(N(Tasks[[#This Row],[Pred2 UID]])=0,0,IFERROR(MATCH(Tasks[[#This Row],[Pred2 UID]],Tasks[UID],0),-1))</f>
        <v>0</v>
      </c>
      <c r="BP200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0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0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0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0" s="43" t="n">
        <f aca="false">IF(NOT(Tasks[[#This Row],[_IsLeaf]]=1),0,IF(N(Tasks[[#This Row],[Actual Finish]])&gt;0,1,MIN(1,N(Tasks[[#This Row],[% Complete]]))))</f>
        <v>0</v>
      </c>
      <c r="BU2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0" s="43" t="n">
        <f aca="false">IF(Tasks[[#This Row],[_LeafWork]]=0,0,Tasks[[#This Row],[_LeafWork]]*IFERROR(INDEX(res_Rate,MATCH(Tasks[[#This Row],[Resource]],res_Name,0)),0))</f>
        <v>0</v>
      </c>
      <c r="BW2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0" s="43" t="n">
        <f aca="false">IF(NOT(Tasks[[#This Row],[_IsLeaf]]=1),0,MAX(_xlfn.MAXIFS(Tasks[_Row],Tasks[Pred1 UID],Tasks[[#This Row],[UID]]),_xlfn.MAXIFS(Tasks[_Row],Tasks[Pred2 UID],Tasks[[#This Row],[UID]])))</f>
        <v>0</v>
      </c>
      <c r="CB200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0" s="67" t="str">
        <f aca="false">IF(NOT(Tasks[[#This Row],[_IsLeaf]]=1),"",MIN(ProjectFinish,IF(N(Tasks[[#This Row],[Deadline]])&gt;0,Tasks[[#This Row],[Deadline]],2958465),Tasks[[#This Row],[_SuccessorFinishLimit]]))</f>
        <v/>
      </c>
      <c r="CD200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0" s="66" t="b">
        <f aca="false">AND(Tasks[[#This Row],[_IsLeaf]]=1,Tasks[[#This Row],[_LeafProgress]]&lt;1,N(Tasks[[#This Row],[_LeafTotalSlack]])&lt;=CriticalSlackDays)</f>
        <v>0</v>
      </c>
      <c r="CG200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0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0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0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0" s="43" t="n">
        <f aca="false">IF(AND(Tasks[[#This Row],[_IsLeaf]]=1,Tasks[[#This Row],[_LeafWork]]&gt;0),NETWORKDAYS.INTL(ProjectStart,Tasks[[#This Row],[_LeafFcstStart]],WorkWeek,Holidays),0)</f>
        <v>0</v>
      </c>
      <c r="CP2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0" s="43" t="n">
        <f aca="false">IF(AND(Tasks[[#This Row],[_IsLeaf]]=1,Tasks[[#This Row],[_LeafWork]]&gt;0),Tasks[[#This Row],[_LeafWork]]/(Tasks[[#This Row],[_FinishWorkday]]-Tasks[[#This Row],[_StartWorkday]]+1),0)</f>
        <v>0</v>
      </c>
      <c r="CR200" s="43" t="n">
        <f aca="false">Tasks[[#This Row],[_WorkPerWorkday]]*(Tasks[[#This Row],[_StartWorkday]]-1)</f>
        <v>-0</v>
      </c>
      <c r="CS200" s="43" t="n">
        <f aca="false">IF(Tasks[[#This Row],[_IsLeaf]]=1,MAX(N(Tasks[[#This Row],[Duration]]),0.1),0)</f>
        <v>0</v>
      </c>
      <c r="CT200" s="43" t="n">
        <f aca="false">Tasks[[#This Row],[_WeightDur]]*Tasks[[#This Row],[_LeafProgress]]</f>
        <v>0</v>
      </c>
      <c r="CU2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0" s="43" t="str">
        <f aca="false">IF(AND(Tasks[[#This Row],[_IsLeaf]]=1,N(Tasks[[#This Row],[Duration]])=0,Tasks[[#This Row],[_LeafProgress]]&lt;1),Tasks[[#This Row],[_LeafFcstFinish]]+Tasks[[#This Row],[_Row]]/100000,"")</f>
        <v/>
      </c>
      <c r="DA2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0" s="43" t="n">
        <f aca="false">IF(NOT(Tasks[[#This Row],[_IsLeaf]]=1),0,IF(Tasks[[#This Row],[Baseline Cost]]="",Tasks[[#This Row],[_LeafCost]],N(Tasks[[#This Row],[Baseline Cost]])))</f>
        <v>0</v>
      </c>
      <c r="DC200" s="43" t="n">
        <f aca="false">Tasks[[#This Row],[_LeafBudget]]*Tasks[[#This Row],[_PlannedPct]]</f>
        <v>0</v>
      </c>
      <c r="DD200" s="43" t="n">
        <f aca="false">Tasks[[#This Row],[_LeafBudget]]*Tasks[[#This Row],[_LeafProgress]]</f>
        <v>0</v>
      </c>
      <c r="DE200" s="43" t="n">
        <f aca="false">IF(NOT(Tasks[[#This Row],[_IsLeaf]]=1),0,IF(Tasks[[#This Row],[Actual Cost]]="",Tasks[[#This Row],[_LeafCost]]*Tasks[[#This Row],[_LeafProgress]],N(Tasks[[#This Row],[Actual Cost]])))</f>
        <v>0</v>
      </c>
      <c r="DF200" s="43" t="str">
        <f aca="false">IF(Tasks[[#This Row],[Task Name]]="","",LEFT(Tasks[[#This Row],[WBS]],FIND(".",Tasks[[#This Row],[WBS]]&amp;".")-1))</f>
        <v/>
      </c>
      <c r="DG200" s="43" t="str">
        <f aca="false">IF(AND(Tasks[[#This Row],[Task Name]]&lt;&gt;"",Tasks[[#This Row],[_Level]]=1),Tasks[[#This Row],[_Row]],"")</f>
        <v/>
      </c>
      <c r="DH200" s="43" t="str">
        <f aca="false">IF(AND(Tasks[[#This Row],[_IsLeaf]]=1,N(Tasks[[#This Row],[Duration]])=0),Tasks[[#This Row],[Planned Finish]]+Tasks[[#This Row],[_Row]]/100000,"")</f>
        <v/>
      </c>
      <c r="DI2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0" s="43" t="str">
        <f aca="false">IF(Tasks[[#This Row],[_LeafCritical]],Tasks[[#This Row],[_LeafFcstStart]]+Tasks[[#This Row],[_Row]]/100000,"")</f>
        <v/>
      </c>
    </row>
    <row r="201" customFormat="false" ht="15" hidden="false" customHeight="false" outlineLevel="0" collapsed="false">
      <c r="A201" s="28" t="str">
        <f aca="false">IF(Tasks[[#This Row],[Task Name]]="","",COUNTA(Tasks[[#Headers],[Task Name]]:Tasks[[#This Row],[Task Name]])-1)</f>
        <v/>
      </c>
      <c r="B201" s="29" t="n">
        <v>196</v>
      </c>
      <c r="C2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29"/>
      <c r="E201" s="30"/>
      <c r="F201" s="29"/>
      <c r="G201" s="29"/>
      <c r="H201" s="29"/>
      <c r="I201" s="29"/>
      <c r="J201" s="29"/>
      <c r="K201" s="29"/>
      <c r="L201" s="29"/>
      <c r="M201" s="29"/>
      <c r="N201" s="53"/>
      <c r="O201" s="53"/>
      <c r="P201" s="25" t="str">
        <f aca="false">IF(Tasks[[#This Row],[Task Name]]="","",IF(N(Tasks[[#This Row],[Baseline Start]])&gt;0,Tasks[[#This Row],[Baseline Start]],Tasks[[#This Row],[_CalcStart]]))</f>
        <v/>
      </c>
      <c r="Q201" s="25" t="str">
        <f aca="false">IF(Tasks[[#This Row],[Task Name]]="","",IF(N(Tasks[[#This Row],[Baseline Finish]])&gt;0,Tasks[[#This Row],[Baseline Finish]],Tasks[[#This Row],[_CalcFinish]]))</f>
        <v/>
      </c>
      <c r="R201" s="53"/>
      <c r="S201" s="53"/>
      <c r="T2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55"/>
      <c r="AF201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30"/>
      <c r="AI201" s="55"/>
      <c r="AJ201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64"/>
      <c r="AM201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1" s="30"/>
      <c r="AP201" s="25" t="str">
        <f aca="false">IF(Tasks[[#This Row],[Task Name]]="","",Tasks[[#This Row],[Forecast Start]])</f>
        <v/>
      </c>
      <c r="AQ201" s="25" t="str">
        <f aca="false">IF(Tasks[[#This Row],[Task Name]]="","",Tasks[[#This Row],[Forecast Finish]])</f>
        <v/>
      </c>
      <c r="AR2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1" s="62" t="str">
        <f aca="false">IF(Tasks[[#This Row],[Task Name]]="","",Tasks[[#This Row],[Work]])</f>
        <v/>
      </c>
      <c r="AT201" s="63" t="str">
        <f aca="false">IF(Tasks[[#This Row],[Task Name]]="","",Tasks[[#This Row],[Cost]])</f>
        <v/>
      </c>
      <c r="AU201" s="53"/>
      <c r="AV201" s="53"/>
      <c r="AW201" s="29"/>
      <c r="AX201" s="65"/>
      <c r="AY201" s="64"/>
      <c r="AZ201" s="28" t="str">
        <f aca="false">IF(OR(Tasks[[#This Row],[Task Name]]="",Tasks[[#This Row],[Baseline Duration]]=""),"",Tasks[[#This Row],[BL Source Duration]]-N(Tasks[[#This Row],[Baseline Duration]]))</f>
        <v/>
      </c>
      <c r="BA201" s="62" t="str">
        <f aca="false">IF(OR(Tasks[[#This Row],[Task Name]]="",Tasks[[#This Row],[Baseline Work]]=""),"",Tasks[[#This Row],[Work]]-N(Tasks[[#This Row],[Baseline Work]]))</f>
        <v/>
      </c>
      <c r="BB201" s="63" t="str">
        <f aca="false">IF(OR(Tasks[[#This Row],[Task Name]]="",Tasks[[#This Row],[Baseline Cost]]=""),"",Tasks[[#This Row],[Cost]]-N(Tasks[[#This Row],[Baseline Cost]]))</f>
        <v/>
      </c>
      <c r="BC201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1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1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1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1" s="43" t="str">
        <f aca="false">IF(Tasks[[#This Row],[Task Name]]="","",MAX(1,N(Tasks[[#This Row],[Level]])))</f>
        <v/>
      </c>
      <c r="BH201" s="43" t="n">
        <f aca="false">ROW()-ROW(Tasks[[#Headers],[ID]])</f>
        <v>196</v>
      </c>
      <c r="BI2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1" s="43" t="n">
        <f aca="false">IFERROR(N(INDEX(Tasks[_Level],Tasks[[#This Row],[_Row]]+1)),0)</f>
        <v>0</v>
      </c>
      <c r="BK201" s="66" t="b">
        <f aca="false">AND(Tasks[[#This Row],[Task Name]]&lt;&gt;"",Tasks[[#This Row],[_NextLevel]]&gt;Tasks[[#This Row],[_Level]])</f>
        <v>0</v>
      </c>
      <c r="BL201" s="43" t="n">
        <f aca="false">IF(Tasks[[#This Row],[_IsSummary]],COUNTIF(Tasks[WBS],Tasks[[#This Row],[WBS]]&amp;".*"),0)</f>
        <v>0</v>
      </c>
      <c r="BM201" s="43" t="n">
        <f aca="false">IF(AND(Tasks[[#This Row],[Task Name]]&lt;&gt;"",NOT(Tasks[[#This Row],[_IsSummary]])),1,0)</f>
        <v>0</v>
      </c>
      <c r="BN201" s="43" t="n">
        <f aca="false">IF(N(Tasks[[#This Row],[Pred1 UID]])=0,0,IFERROR(MATCH(Tasks[[#This Row],[Pred1 UID]],Tasks[UID],0),-1))</f>
        <v>0</v>
      </c>
      <c r="BO201" s="43" t="n">
        <f aca="false">IF(N(Tasks[[#This Row],[Pred2 UID]])=0,0,IFERROR(MATCH(Tasks[[#This Row],[Pred2 UID]],Tasks[UID],0),-1))</f>
        <v>0</v>
      </c>
      <c r="BP201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1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1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1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1" s="43" t="n">
        <f aca="false">IF(NOT(Tasks[[#This Row],[_IsLeaf]]=1),0,IF(N(Tasks[[#This Row],[Actual Finish]])&gt;0,1,MIN(1,N(Tasks[[#This Row],[% Complete]]))))</f>
        <v>0</v>
      </c>
      <c r="BU2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1" s="43" t="n">
        <f aca="false">IF(Tasks[[#This Row],[_LeafWork]]=0,0,Tasks[[#This Row],[_LeafWork]]*IFERROR(INDEX(res_Rate,MATCH(Tasks[[#This Row],[Resource]],res_Name,0)),0))</f>
        <v>0</v>
      </c>
      <c r="BW2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1" s="43" t="n">
        <f aca="false">IF(NOT(Tasks[[#This Row],[_IsLeaf]]=1),0,MAX(_xlfn.MAXIFS(Tasks[_Row],Tasks[Pred1 UID],Tasks[[#This Row],[UID]]),_xlfn.MAXIFS(Tasks[_Row],Tasks[Pred2 UID],Tasks[[#This Row],[UID]])))</f>
        <v>0</v>
      </c>
      <c r="CB201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1" s="67" t="str">
        <f aca="false">IF(NOT(Tasks[[#This Row],[_IsLeaf]]=1),"",MIN(ProjectFinish,IF(N(Tasks[[#This Row],[Deadline]])&gt;0,Tasks[[#This Row],[Deadline]],2958465),Tasks[[#This Row],[_SuccessorFinishLimit]]))</f>
        <v/>
      </c>
      <c r="CD201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1" s="66" t="b">
        <f aca="false">AND(Tasks[[#This Row],[_IsLeaf]]=1,Tasks[[#This Row],[_LeafProgress]]&lt;1,N(Tasks[[#This Row],[_LeafTotalSlack]])&lt;=CriticalSlackDays)</f>
        <v>0</v>
      </c>
      <c r="CG201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1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1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1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1" s="43" t="n">
        <f aca="false">IF(AND(Tasks[[#This Row],[_IsLeaf]]=1,Tasks[[#This Row],[_LeafWork]]&gt;0),NETWORKDAYS.INTL(ProjectStart,Tasks[[#This Row],[_LeafFcstStart]],WorkWeek,Holidays),0)</f>
        <v>0</v>
      </c>
      <c r="CP2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1" s="43" t="n">
        <f aca="false">IF(AND(Tasks[[#This Row],[_IsLeaf]]=1,Tasks[[#This Row],[_LeafWork]]&gt;0),Tasks[[#This Row],[_LeafWork]]/(Tasks[[#This Row],[_FinishWorkday]]-Tasks[[#This Row],[_StartWorkday]]+1),0)</f>
        <v>0</v>
      </c>
      <c r="CR201" s="43" t="n">
        <f aca="false">Tasks[[#This Row],[_WorkPerWorkday]]*(Tasks[[#This Row],[_StartWorkday]]-1)</f>
        <v>-0</v>
      </c>
      <c r="CS201" s="43" t="n">
        <f aca="false">IF(Tasks[[#This Row],[_IsLeaf]]=1,MAX(N(Tasks[[#This Row],[Duration]]),0.1),0)</f>
        <v>0</v>
      </c>
      <c r="CT201" s="43" t="n">
        <f aca="false">Tasks[[#This Row],[_WeightDur]]*Tasks[[#This Row],[_LeafProgress]]</f>
        <v>0</v>
      </c>
      <c r="CU2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1" s="43" t="str">
        <f aca="false">IF(AND(Tasks[[#This Row],[_IsLeaf]]=1,N(Tasks[[#This Row],[Duration]])=0,Tasks[[#This Row],[_LeafProgress]]&lt;1),Tasks[[#This Row],[_LeafFcstFinish]]+Tasks[[#This Row],[_Row]]/100000,"")</f>
        <v/>
      </c>
      <c r="DA2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1" s="43" t="n">
        <f aca="false">IF(NOT(Tasks[[#This Row],[_IsLeaf]]=1),0,IF(Tasks[[#This Row],[Baseline Cost]]="",Tasks[[#This Row],[_LeafCost]],N(Tasks[[#This Row],[Baseline Cost]])))</f>
        <v>0</v>
      </c>
      <c r="DC201" s="43" t="n">
        <f aca="false">Tasks[[#This Row],[_LeafBudget]]*Tasks[[#This Row],[_PlannedPct]]</f>
        <v>0</v>
      </c>
      <c r="DD201" s="43" t="n">
        <f aca="false">Tasks[[#This Row],[_LeafBudget]]*Tasks[[#This Row],[_LeafProgress]]</f>
        <v>0</v>
      </c>
      <c r="DE201" s="43" t="n">
        <f aca="false">IF(NOT(Tasks[[#This Row],[_IsLeaf]]=1),0,IF(Tasks[[#This Row],[Actual Cost]]="",Tasks[[#This Row],[_LeafCost]]*Tasks[[#This Row],[_LeafProgress]],N(Tasks[[#This Row],[Actual Cost]])))</f>
        <v>0</v>
      </c>
      <c r="DF201" s="43" t="str">
        <f aca="false">IF(Tasks[[#This Row],[Task Name]]="","",LEFT(Tasks[[#This Row],[WBS]],FIND(".",Tasks[[#This Row],[WBS]]&amp;".")-1))</f>
        <v/>
      </c>
      <c r="DG201" s="43" t="str">
        <f aca="false">IF(AND(Tasks[[#This Row],[Task Name]]&lt;&gt;"",Tasks[[#This Row],[_Level]]=1),Tasks[[#This Row],[_Row]],"")</f>
        <v/>
      </c>
      <c r="DH201" s="43" t="str">
        <f aca="false">IF(AND(Tasks[[#This Row],[_IsLeaf]]=1,N(Tasks[[#This Row],[Duration]])=0),Tasks[[#This Row],[Planned Finish]]+Tasks[[#This Row],[_Row]]/100000,"")</f>
        <v/>
      </c>
      <c r="DI2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1" s="43" t="str">
        <f aca="false">IF(Tasks[[#This Row],[_LeafCritical]],Tasks[[#This Row],[_LeafFcstStart]]+Tasks[[#This Row],[_Row]]/100000,"")</f>
        <v/>
      </c>
    </row>
    <row r="202" customFormat="false" ht="15" hidden="false" customHeight="false" outlineLevel="0" collapsed="false">
      <c r="A202" s="28" t="str">
        <f aca="false">IF(Tasks[[#This Row],[Task Name]]="","",COUNTA(Tasks[[#Headers],[Task Name]]:Tasks[[#This Row],[Task Name]])-1)</f>
        <v/>
      </c>
      <c r="B202" s="29" t="n">
        <v>197</v>
      </c>
      <c r="C2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29"/>
      <c r="E202" s="30"/>
      <c r="F202" s="29"/>
      <c r="G202" s="29"/>
      <c r="H202" s="29"/>
      <c r="I202" s="29"/>
      <c r="J202" s="29"/>
      <c r="K202" s="29"/>
      <c r="L202" s="29"/>
      <c r="M202" s="29"/>
      <c r="N202" s="53"/>
      <c r="O202" s="53"/>
      <c r="P202" s="25" t="str">
        <f aca="false">IF(Tasks[[#This Row],[Task Name]]="","",IF(N(Tasks[[#This Row],[Baseline Start]])&gt;0,Tasks[[#This Row],[Baseline Start]],Tasks[[#This Row],[_CalcStart]]))</f>
        <v/>
      </c>
      <c r="Q202" s="25" t="str">
        <f aca="false">IF(Tasks[[#This Row],[Task Name]]="","",IF(N(Tasks[[#This Row],[Baseline Finish]])&gt;0,Tasks[[#This Row],[Baseline Finish]],Tasks[[#This Row],[_CalcFinish]]))</f>
        <v/>
      </c>
      <c r="R202" s="53"/>
      <c r="S202" s="53"/>
      <c r="T2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55"/>
      <c r="AF202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30"/>
      <c r="AI202" s="55"/>
      <c r="AJ202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64"/>
      <c r="AM202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2" s="30"/>
      <c r="AP202" s="25" t="str">
        <f aca="false">IF(Tasks[[#This Row],[Task Name]]="","",Tasks[[#This Row],[Forecast Start]])</f>
        <v/>
      </c>
      <c r="AQ202" s="25" t="str">
        <f aca="false">IF(Tasks[[#This Row],[Task Name]]="","",Tasks[[#This Row],[Forecast Finish]])</f>
        <v/>
      </c>
      <c r="AR2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2" s="62" t="str">
        <f aca="false">IF(Tasks[[#This Row],[Task Name]]="","",Tasks[[#This Row],[Work]])</f>
        <v/>
      </c>
      <c r="AT202" s="63" t="str">
        <f aca="false">IF(Tasks[[#This Row],[Task Name]]="","",Tasks[[#This Row],[Cost]])</f>
        <v/>
      </c>
      <c r="AU202" s="53"/>
      <c r="AV202" s="53"/>
      <c r="AW202" s="29"/>
      <c r="AX202" s="65"/>
      <c r="AY202" s="64"/>
      <c r="AZ202" s="28" t="str">
        <f aca="false">IF(OR(Tasks[[#This Row],[Task Name]]="",Tasks[[#This Row],[Baseline Duration]]=""),"",Tasks[[#This Row],[BL Source Duration]]-N(Tasks[[#This Row],[Baseline Duration]]))</f>
        <v/>
      </c>
      <c r="BA202" s="62" t="str">
        <f aca="false">IF(OR(Tasks[[#This Row],[Task Name]]="",Tasks[[#This Row],[Baseline Work]]=""),"",Tasks[[#This Row],[Work]]-N(Tasks[[#This Row],[Baseline Work]]))</f>
        <v/>
      </c>
      <c r="BB202" s="63" t="str">
        <f aca="false">IF(OR(Tasks[[#This Row],[Task Name]]="",Tasks[[#This Row],[Baseline Cost]]=""),"",Tasks[[#This Row],[Cost]]-N(Tasks[[#This Row],[Baseline Cost]]))</f>
        <v/>
      </c>
      <c r="BC202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2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2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2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2" s="43" t="str">
        <f aca="false">IF(Tasks[[#This Row],[Task Name]]="","",MAX(1,N(Tasks[[#This Row],[Level]])))</f>
        <v/>
      </c>
      <c r="BH202" s="43" t="n">
        <f aca="false">ROW()-ROW(Tasks[[#Headers],[ID]])</f>
        <v>197</v>
      </c>
      <c r="BI2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2" s="43" t="n">
        <f aca="false">IFERROR(N(INDEX(Tasks[_Level],Tasks[[#This Row],[_Row]]+1)),0)</f>
        <v>0</v>
      </c>
      <c r="BK202" s="66" t="b">
        <f aca="false">AND(Tasks[[#This Row],[Task Name]]&lt;&gt;"",Tasks[[#This Row],[_NextLevel]]&gt;Tasks[[#This Row],[_Level]])</f>
        <v>0</v>
      </c>
      <c r="BL202" s="43" t="n">
        <f aca="false">IF(Tasks[[#This Row],[_IsSummary]],COUNTIF(Tasks[WBS],Tasks[[#This Row],[WBS]]&amp;".*"),0)</f>
        <v>0</v>
      </c>
      <c r="BM202" s="43" t="n">
        <f aca="false">IF(AND(Tasks[[#This Row],[Task Name]]&lt;&gt;"",NOT(Tasks[[#This Row],[_IsSummary]])),1,0)</f>
        <v>0</v>
      </c>
      <c r="BN202" s="43" t="n">
        <f aca="false">IF(N(Tasks[[#This Row],[Pred1 UID]])=0,0,IFERROR(MATCH(Tasks[[#This Row],[Pred1 UID]],Tasks[UID],0),-1))</f>
        <v>0</v>
      </c>
      <c r="BO202" s="43" t="n">
        <f aca="false">IF(N(Tasks[[#This Row],[Pred2 UID]])=0,0,IFERROR(MATCH(Tasks[[#This Row],[Pred2 UID]],Tasks[UID],0),-1))</f>
        <v>0</v>
      </c>
      <c r="BP202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2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2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2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2" s="43" t="n">
        <f aca="false">IF(NOT(Tasks[[#This Row],[_IsLeaf]]=1),0,IF(N(Tasks[[#This Row],[Actual Finish]])&gt;0,1,MIN(1,N(Tasks[[#This Row],[% Complete]]))))</f>
        <v>0</v>
      </c>
      <c r="BU2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2" s="43" t="n">
        <f aca="false">IF(Tasks[[#This Row],[_LeafWork]]=0,0,Tasks[[#This Row],[_LeafWork]]*IFERROR(INDEX(res_Rate,MATCH(Tasks[[#This Row],[Resource]],res_Name,0)),0))</f>
        <v>0</v>
      </c>
      <c r="BW2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2" s="43" t="n">
        <f aca="false">IF(NOT(Tasks[[#This Row],[_IsLeaf]]=1),0,MAX(_xlfn.MAXIFS(Tasks[_Row],Tasks[Pred1 UID],Tasks[[#This Row],[UID]]),_xlfn.MAXIFS(Tasks[_Row],Tasks[Pred2 UID],Tasks[[#This Row],[UID]])))</f>
        <v>0</v>
      </c>
      <c r="CB202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2" s="67" t="str">
        <f aca="false">IF(NOT(Tasks[[#This Row],[_IsLeaf]]=1),"",MIN(ProjectFinish,IF(N(Tasks[[#This Row],[Deadline]])&gt;0,Tasks[[#This Row],[Deadline]],2958465),Tasks[[#This Row],[_SuccessorFinishLimit]]))</f>
        <v/>
      </c>
      <c r="CD202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2" s="66" t="b">
        <f aca="false">AND(Tasks[[#This Row],[_IsLeaf]]=1,Tasks[[#This Row],[_LeafProgress]]&lt;1,N(Tasks[[#This Row],[_LeafTotalSlack]])&lt;=CriticalSlackDays)</f>
        <v>0</v>
      </c>
      <c r="CG202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2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2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2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2" s="43" t="n">
        <f aca="false">IF(AND(Tasks[[#This Row],[_IsLeaf]]=1,Tasks[[#This Row],[_LeafWork]]&gt;0),NETWORKDAYS.INTL(ProjectStart,Tasks[[#This Row],[_LeafFcstStart]],WorkWeek,Holidays),0)</f>
        <v>0</v>
      </c>
      <c r="CP2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2" s="43" t="n">
        <f aca="false">IF(AND(Tasks[[#This Row],[_IsLeaf]]=1,Tasks[[#This Row],[_LeafWork]]&gt;0),Tasks[[#This Row],[_LeafWork]]/(Tasks[[#This Row],[_FinishWorkday]]-Tasks[[#This Row],[_StartWorkday]]+1),0)</f>
        <v>0</v>
      </c>
      <c r="CR202" s="43" t="n">
        <f aca="false">Tasks[[#This Row],[_WorkPerWorkday]]*(Tasks[[#This Row],[_StartWorkday]]-1)</f>
        <v>-0</v>
      </c>
      <c r="CS202" s="43" t="n">
        <f aca="false">IF(Tasks[[#This Row],[_IsLeaf]]=1,MAX(N(Tasks[[#This Row],[Duration]]),0.1),0)</f>
        <v>0</v>
      </c>
      <c r="CT202" s="43" t="n">
        <f aca="false">Tasks[[#This Row],[_WeightDur]]*Tasks[[#This Row],[_LeafProgress]]</f>
        <v>0</v>
      </c>
      <c r="CU2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2" s="43" t="str">
        <f aca="false">IF(AND(Tasks[[#This Row],[_IsLeaf]]=1,N(Tasks[[#This Row],[Duration]])=0,Tasks[[#This Row],[_LeafProgress]]&lt;1),Tasks[[#This Row],[_LeafFcstFinish]]+Tasks[[#This Row],[_Row]]/100000,"")</f>
        <v/>
      </c>
      <c r="DA2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2" s="43" t="n">
        <f aca="false">IF(NOT(Tasks[[#This Row],[_IsLeaf]]=1),0,IF(Tasks[[#This Row],[Baseline Cost]]="",Tasks[[#This Row],[_LeafCost]],N(Tasks[[#This Row],[Baseline Cost]])))</f>
        <v>0</v>
      </c>
      <c r="DC202" s="43" t="n">
        <f aca="false">Tasks[[#This Row],[_LeafBudget]]*Tasks[[#This Row],[_PlannedPct]]</f>
        <v>0</v>
      </c>
      <c r="DD202" s="43" t="n">
        <f aca="false">Tasks[[#This Row],[_LeafBudget]]*Tasks[[#This Row],[_LeafProgress]]</f>
        <v>0</v>
      </c>
      <c r="DE202" s="43" t="n">
        <f aca="false">IF(NOT(Tasks[[#This Row],[_IsLeaf]]=1),0,IF(Tasks[[#This Row],[Actual Cost]]="",Tasks[[#This Row],[_LeafCost]]*Tasks[[#This Row],[_LeafProgress]],N(Tasks[[#This Row],[Actual Cost]])))</f>
        <v>0</v>
      </c>
      <c r="DF202" s="43" t="str">
        <f aca="false">IF(Tasks[[#This Row],[Task Name]]="","",LEFT(Tasks[[#This Row],[WBS]],FIND(".",Tasks[[#This Row],[WBS]]&amp;".")-1))</f>
        <v/>
      </c>
      <c r="DG202" s="43" t="str">
        <f aca="false">IF(AND(Tasks[[#This Row],[Task Name]]&lt;&gt;"",Tasks[[#This Row],[_Level]]=1),Tasks[[#This Row],[_Row]],"")</f>
        <v/>
      </c>
      <c r="DH202" s="43" t="str">
        <f aca="false">IF(AND(Tasks[[#This Row],[_IsLeaf]]=1,N(Tasks[[#This Row],[Duration]])=0),Tasks[[#This Row],[Planned Finish]]+Tasks[[#This Row],[_Row]]/100000,"")</f>
        <v/>
      </c>
      <c r="DI2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2" s="43" t="str">
        <f aca="false">IF(Tasks[[#This Row],[_LeafCritical]],Tasks[[#This Row],[_LeafFcstStart]]+Tasks[[#This Row],[_Row]]/100000,"")</f>
        <v/>
      </c>
    </row>
    <row r="203" customFormat="false" ht="15" hidden="false" customHeight="false" outlineLevel="0" collapsed="false">
      <c r="A203" s="28" t="str">
        <f aca="false">IF(Tasks[[#This Row],[Task Name]]="","",COUNTA(Tasks[[#Headers],[Task Name]]:Tasks[[#This Row],[Task Name]])-1)</f>
        <v/>
      </c>
      <c r="B203" s="29" t="n">
        <v>198</v>
      </c>
      <c r="C2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29"/>
      <c r="E203" s="30"/>
      <c r="F203" s="29"/>
      <c r="G203" s="29"/>
      <c r="H203" s="29"/>
      <c r="I203" s="29"/>
      <c r="J203" s="29"/>
      <c r="K203" s="29"/>
      <c r="L203" s="29"/>
      <c r="M203" s="29"/>
      <c r="N203" s="53"/>
      <c r="O203" s="53"/>
      <c r="P203" s="25" t="str">
        <f aca="false">IF(Tasks[[#This Row],[Task Name]]="","",IF(N(Tasks[[#This Row],[Baseline Start]])&gt;0,Tasks[[#This Row],[Baseline Start]],Tasks[[#This Row],[_CalcStart]]))</f>
        <v/>
      </c>
      <c r="Q203" s="25" t="str">
        <f aca="false">IF(Tasks[[#This Row],[Task Name]]="","",IF(N(Tasks[[#This Row],[Baseline Finish]])&gt;0,Tasks[[#This Row],[Baseline Finish]],Tasks[[#This Row],[_CalcFinish]]))</f>
        <v/>
      </c>
      <c r="R203" s="53"/>
      <c r="S203" s="53"/>
      <c r="T2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55"/>
      <c r="AF203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30"/>
      <c r="AI203" s="55"/>
      <c r="AJ203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64"/>
      <c r="AM203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3" s="30"/>
      <c r="AP203" s="25" t="str">
        <f aca="false">IF(Tasks[[#This Row],[Task Name]]="","",Tasks[[#This Row],[Forecast Start]])</f>
        <v/>
      </c>
      <c r="AQ203" s="25" t="str">
        <f aca="false">IF(Tasks[[#This Row],[Task Name]]="","",Tasks[[#This Row],[Forecast Finish]])</f>
        <v/>
      </c>
      <c r="AR2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3" s="62" t="str">
        <f aca="false">IF(Tasks[[#This Row],[Task Name]]="","",Tasks[[#This Row],[Work]])</f>
        <v/>
      </c>
      <c r="AT203" s="63" t="str">
        <f aca="false">IF(Tasks[[#This Row],[Task Name]]="","",Tasks[[#This Row],[Cost]])</f>
        <v/>
      </c>
      <c r="AU203" s="53"/>
      <c r="AV203" s="53"/>
      <c r="AW203" s="29"/>
      <c r="AX203" s="65"/>
      <c r="AY203" s="64"/>
      <c r="AZ203" s="28" t="str">
        <f aca="false">IF(OR(Tasks[[#This Row],[Task Name]]="",Tasks[[#This Row],[Baseline Duration]]=""),"",Tasks[[#This Row],[BL Source Duration]]-N(Tasks[[#This Row],[Baseline Duration]]))</f>
        <v/>
      </c>
      <c r="BA203" s="62" t="str">
        <f aca="false">IF(OR(Tasks[[#This Row],[Task Name]]="",Tasks[[#This Row],[Baseline Work]]=""),"",Tasks[[#This Row],[Work]]-N(Tasks[[#This Row],[Baseline Work]]))</f>
        <v/>
      </c>
      <c r="BB203" s="63" t="str">
        <f aca="false">IF(OR(Tasks[[#This Row],[Task Name]]="",Tasks[[#This Row],[Baseline Cost]]=""),"",Tasks[[#This Row],[Cost]]-N(Tasks[[#This Row],[Baseline Cost]]))</f>
        <v/>
      </c>
      <c r="BC203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3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3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3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3" s="43" t="str">
        <f aca="false">IF(Tasks[[#This Row],[Task Name]]="","",MAX(1,N(Tasks[[#This Row],[Level]])))</f>
        <v/>
      </c>
      <c r="BH203" s="43" t="n">
        <f aca="false">ROW()-ROW(Tasks[[#Headers],[ID]])</f>
        <v>198</v>
      </c>
      <c r="BI2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3" s="43" t="n">
        <f aca="false">IFERROR(N(INDEX(Tasks[_Level],Tasks[[#This Row],[_Row]]+1)),0)</f>
        <v>0</v>
      </c>
      <c r="BK203" s="66" t="b">
        <f aca="false">AND(Tasks[[#This Row],[Task Name]]&lt;&gt;"",Tasks[[#This Row],[_NextLevel]]&gt;Tasks[[#This Row],[_Level]])</f>
        <v>0</v>
      </c>
      <c r="BL203" s="43" t="n">
        <f aca="false">IF(Tasks[[#This Row],[_IsSummary]],COUNTIF(Tasks[WBS],Tasks[[#This Row],[WBS]]&amp;".*"),0)</f>
        <v>0</v>
      </c>
      <c r="BM203" s="43" t="n">
        <f aca="false">IF(AND(Tasks[[#This Row],[Task Name]]&lt;&gt;"",NOT(Tasks[[#This Row],[_IsSummary]])),1,0)</f>
        <v>0</v>
      </c>
      <c r="BN203" s="43" t="n">
        <f aca="false">IF(N(Tasks[[#This Row],[Pred1 UID]])=0,0,IFERROR(MATCH(Tasks[[#This Row],[Pred1 UID]],Tasks[UID],0),-1))</f>
        <v>0</v>
      </c>
      <c r="BO203" s="43" t="n">
        <f aca="false">IF(N(Tasks[[#This Row],[Pred2 UID]])=0,0,IFERROR(MATCH(Tasks[[#This Row],[Pred2 UID]],Tasks[UID],0),-1))</f>
        <v>0</v>
      </c>
      <c r="BP203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3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3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3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3" s="43" t="n">
        <f aca="false">IF(NOT(Tasks[[#This Row],[_IsLeaf]]=1),0,IF(N(Tasks[[#This Row],[Actual Finish]])&gt;0,1,MIN(1,N(Tasks[[#This Row],[% Complete]]))))</f>
        <v>0</v>
      </c>
      <c r="BU2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3" s="43" t="n">
        <f aca="false">IF(Tasks[[#This Row],[_LeafWork]]=0,0,Tasks[[#This Row],[_LeafWork]]*IFERROR(INDEX(res_Rate,MATCH(Tasks[[#This Row],[Resource]],res_Name,0)),0))</f>
        <v>0</v>
      </c>
      <c r="BW2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3" s="43" t="n">
        <f aca="false">IF(NOT(Tasks[[#This Row],[_IsLeaf]]=1),0,MAX(_xlfn.MAXIFS(Tasks[_Row],Tasks[Pred1 UID],Tasks[[#This Row],[UID]]),_xlfn.MAXIFS(Tasks[_Row],Tasks[Pred2 UID],Tasks[[#This Row],[UID]])))</f>
        <v>0</v>
      </c>
      <c r="CB203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3" s="67" t="str">
        <f aca="false">IF(NOT(Tasks[[#This Row],[_IsLeaf]]=1),"",MIN(ProjectFinish,IF(N(Tasks[[#This Row],[Deadline]])&gt;0,Tasks[[#This Row],[Deadline]],2958465),Tasks[[#This Row],[_SuccessorFinishLimit]]))</f>
        <v/>
      </c>
      <c r="CD203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3" s="66" t="b">
        <f aca="false">AND(Tasks[[#This Row],[_IsLeaf]]=1,Tasks[[#This Row],[_LeafProgress]]&lt;1,N(Tasks[[#This Row],[_LeafTotalSlack]])&lt;=CriticalSlackDays)</f>
        <v>0</v>
      </c>
      <c r="CG203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3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3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3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3" s="43" t="n">
        <f aca="false">IF(AND(Tasks[[#This Row],[_IsLeaf]]=1,Tasks[[#This Row],[_LeafWork]]&gt;0),NETWORKDAYS.INTL(ProjectStart,Tasks[[#This Row],[_LeafFcstStart]],WorkWeek,Holidays),0)</f>
        <v>0</v>
      </c>
      <c r="CP2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3" s="43" t="n">
        <f aca="false">IF(AND(Tasks[[#This Row],[_IsLeaf]]=1,Tasks[[#This Row],[_LeafWork]]&gt;0),Tasks[[#This Row],[_LeafWork]]/(Tasks[[#This Row],[_FinishWorkday]]-Tasks[[#This Row],[_StartWorkday]]+1),0)</f>
        <v>0</v>
      </c>
      <c r="CR203" s="43" t="n">
        <f aca="false">Tasks[[#This Row],[_WorkPerWorkday]]*(Tasks[[#This Row],[_StartWorkday]]-1)</f>
        <v>-0</v>
      </c>
      <c r="CS203" s="43" t="n">
        <f aca="false">IF(Tasks[[#This Row],[_IsLeaf]]=1,MAX(N(Tasks[[#This Row],[Duration]]),0.1),0)</f>
        <v>0</v>
      </c>
      <c r="CT203" s="43" t="n">
        <f aca="false">Tasks[[#This Row],[_WeightDur]]*Tasks[[#This Row],[_LeafProgress]]</f>
        <v>0</v>
      </c>
      <c r="CU2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3" s="43" t="str">
        <f aca="false">IF(AND(Tasks[[#This Row],[_IsLeaf]]=1,N(Tasks[[#This Row],[Duration]])=0,Tasks[[#This Row],[_LeafProgress]]&lt;1),Tasks[[#This Row],[_LeafFcstFinish]]+Tasks[[#This Row],[_Row]]/100000,"")</f>
        <v/>
      </c>
      <c r="DA2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3" s="43" t="n">
        <f aca="false">IF(NOT(Tasks[[#This Row],[_IsLeaf]]=1),0,IF(Tasks[[#This Row],[Baseline Cost]]="",Tasks[[#This Row],[_LeafCost]],N(Tasks[[#This Row],[Baseline Cost]])))</f>
        <v>0</v>
      </c>
      <c r="DC203" s="43" t="n">
        <f aca="false">Tasks[[#This Row],[_LeafBudget]]*Tasks[[#This Row],[_PlannedPct]]</f>
        <v>0</v>
      </c>
      <c r="DD203" s="43" t="n">
        <f aca="false">Tasks[[#This Row],[_LeafBudget]]*Tasks[[#This Row],[_LeafProgress]]</f>
        <v>0</v>
      </c>
      <c r="DE203" s="43" t="n">
        <f aca="false">IF(NOT(Tasks[[#This Row],[_IsLeaf]]=1),0,IF(Tasks[[#This Row],[Actual Cost]]="",Tasks[[#This Row],[_LeafCost]]*Tasks[[#This Row],[_LeafProgress]],N(Tasks[[#This Row],[Actual Cost]])))</f>
        <v>0</v>
      </c>
      <c r="DF203" s="43" t="str">
        <f aca="false">IF(Tasks[[#This Row],[Task Name]]="","",LEFT(Tasks[[#This Row],[WBS]],FIND(".",Tasks[[#This Row],[WBS]]&amp;".")-1))</f>
        <v/>
      </c>
      <c r="DG203" s="43" t="str">
        <f aca="false">IF(AND(Tasks[[#This Row],[Task Name]]&lt;&gt;"",Tasks[[#This Row],[_Level]]=1),Tasks[[#This Row],[_Row]],"")</f>
        <v/>
      </c>
      <c r="DH203" s="43" t="str">
        <f aca="false">IF(AND(Tasks[[#This Row],[_IsLeaf]]=1,N(Tasks[[#This Row],[Duration]])=0),Tasks[[#This Row],[Planned Finish]]+Tasks[[#This Row],[_Row]]/100000,"")</f>
        <v/>
      </c>
      <c r="DI2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3" s="43" t="str">
        <f aca="false">IF(Tasks[[#This Row],[_LeafCritical]],Tasks[[#This Row],[_LeafFcstStart]]+Tasks[[#This Row],[_Row]]/100000,"")</f>
        <v/>
      </c>
    </row>
    <row r="204" customFormat="false" ht="15" hidden="false" customHeight="false" outlineLevel="0" collapsed="false">
      <c r="A204" s="28" t="str">
        <f aca="false">IF(Tasks[[#This Row],[Task Name]]="","",COUNTA(Tasks[[#Headers],[Task Name]]:Tasks[[#This Row],[Task Name]])-1)</f>
        <v/>
      </c>
      <c r="B204" s="29" t="n">
        <v>199</v>
      </c>
      <c r="C2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29"/>
      <c r="E204" s="30"/>
      <c r="F204" s="29"/>
      <c r="G204" s="29"/>
      <c r="H204" s="29"/>
      <c r="I204" s="29"/>
      <c r="J204" s="29"/>
      <c r="K204" s="29"/>
      <c r="L204" s="29"/>
      <c r="M204" s="29"/>
      <c r="N204" s="53"/>
      <c r="O204" s="53"/>
      <c r="P204" s="25" t="str">
        <f aca="false">IF(Tasks[[#This Row],[Task Name]]="","",IF(N(Tasks[[#This Row],[Baseline Start]])&gt;0,Tasks[[#This Row],[Baseline Start]],Tasks[[#This Row],[_CalcStart]]))</f>
        <v/>
      </c>
      <c r="Q204" s="25" t="str">
        <f aca="false">IF(Tasks[[#This Row],[Task Name]]="","",IF(N(Tasks[[#This Row],[Baseline Finish]])&gt;0,Tasks[[#This Row],[Baseline Finish]],Tasks[[#This Row],[_CalcFinish]]))</f>
        <v/>
      </c>
      <c r="R204" s="53"/>
      <c r="S204" s="53"/>
      <c r="T2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55"/>
      <c r="AF204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30"/>
      <c r="AI204" s="55"/>
      <c r="AJ204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64"/>
      <c r="AM204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4" s="30"/>
      <c r="AP204" s="25" t="str">
        <f aca="false">IF(Tasks[[#This Row],[Task Name]]="","",Tasks[[#This Row],[Forecast Start]])</f>
        <v/>
      </c>
      <c r="AQ204" s="25" t="str">
        <f aca="false">IF(Tasks[[#This Row],[Task Name]]="","",Tasks[[#This Row],[Forecast Finish]])</f>
        <v/>
      </c>
      <c r="AR2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4" s="62" t="str">
        <f aca="false">IF(Tasks[[#This Row],[Task Name]]="","",Tasks[[#This Row],[Work]])</f>
        <v/>
      </c>
      <c r="AT204" s="63" t="str">
        <f aca="false">IF(Tasks[[#This Row],[Task Name]]="","",Tasks[[#This Row],[Cost]])</f>
        <v/>
      </c>
      <c r="AU204" s="53"/>
      <c r="AV204" s="53"/>
      <c r="AW204" s="29"/>
      <c r="AX204" s="65"/>
      <c r="AY204" s="64"/>
      <c r="AZ204" s="28" t="str">
        <f aca="false">IF(OR(Tasks[[#This Row],[Task Name]]="",Tasks[[#This Row],[Baseline Duration]]=""),"",Tasks[[#This Row],[BL Source Duration]]-N(Tasks[[#This Row],[Baseline Duration]]))</f>
        <v/>
      </c>
      <c r="BA204" s="62" t="str">
        <f aca="false">IF(OR(Tasks[[#This Row],[Task Name]]="",Tasks[[#This Row],[Baseline Work]]=""),"",Tasks[[#This Row],[Work]]-N(Tasks[[#This Row],[Baseline Work]]))</f>
        <v/>
      </c>
      <c r="BB204" s="63" t="str">
        <f aca="false">IF(OR(Tasks[[#This Row],[Task Name]]="",Tasks[[#This Row],[Baseline Cost]]=""),"",Tasks[[#This Row],[Cost]]-N(Tasks[[#This Row],[Baseline Cost]]))</f>
        <v/>
      </c>
      <c r="BC204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4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4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4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4" s="43" t="str">
        <f aca="false">IF(Tasks[[#This Row],[Task Name]]="","",MAX(1,N(Tasks[[#This Row],[Level]])))</f>
        <v/>
      </c>
      <c r="BH204" s="43" t="n">
        <f aca="false">ROW()-ROW(Tasks[[#Headers],[ID]])</f>
        <v>199</v>
      </c>
      <c r="BI2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4" s="43" t="n">
        <f aca="false">IFERROR(N(INDEX(Tasks[_Level],Tasks[[#This Row],[_Row]]+1)),0)</f>
        <v>0</v>
      </c>
      <c r="BK204" s="66" t="b">
        <f aca="false">AND(Tasks[[#This Row],[Task Name]]&lt;&gt;"",Tasks[[#This Row],[_NextLevel]]&gt;Tasks[[#This Row],[_Level]])</f>
        <v>0</v>
      </c>
      <c r="BL204" s="43" t="n">
        <f aca="false">IF(Tasks[[#This Row],[_IsSummary]],COUNTIF(Tasks[WBS],Tasks[[#This Row],[WBS]]&amp;".*"),0)</f>
        <v>0</v>
      </c>
      <c r="BM204" s="43" t="n">
        <f aca="false">IF(AND(Tasks[[#This Row],[Task Name]]&lt;&gt;"",NOT(Tasks[[#This Row],[_IsSummary]])),1,0)</f>
        <v>0</v>
      </c>
      <c r="BN204" s="43" t="n">
        <f aca="false">IF(N(Tasks[[#This Row],[Pred1 UID]])=0,0,IFERROR(MATCH(Tasks[[#This Row],[Pred1 UID]],Tasks[UID],0),-1))</f>
        <v>0</v>
      </c>
      <c r="BO204" s="43" t="n">
        <f aca="false">IF(N(Tasks[[#This Row],[Pred2 UID]])=0,0,IFERROR(MATCH(Tasks[[#This Row],[Pred2 UID]],Tasks[UID],0),-1))</f>
        <v>0</v>
      </c>
      <c r="BP204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4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4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4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4" s="43" t="n">
        <f aca="false">IF(NOT(Tasks[[#This Row],[_IsLeaf]]=1),0,IF(N(Tasks[[#This Row],[Actual Finish]])&gt;0,1,MIN(1,N(Tasks[[#This Row],[% Complete]]))))</f>
        <v>0</v>
      </c>
      <c r="BU2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4" s="43" t="n">
        <f aca="false">IF(Tasks[[#This Row],[_LeafWork]]=0,0,Tasks[[#This Row],[_LeafWork]]*IFERROR(INDEX(res_Rate,MATCH(Tasks[[#This Row],[Resource]],res_Name,0)),0))</f>
        <v>0</v>
      </c>
      <c r="BW2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4" s="43" t="n">
        <f aca="false">IF(NOT(Tasks[[#This Row],[_IsLeaf]]=1),0,MAX(_xlfn.MAXIFS(Tasks[_Row],Tasks[Pred1 UID],Tasks[[#This Row],[UID]]),_xlfn.MAXIFS(Tasks[_Row],Tasks[Pred2 UID],Tasks[[#This Row],[UID]])))</f>
        <v>0</v>
      </c>
      <c r="CB204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4" s="67" t="str">
        <f aca="false">IF(NOT(Tasks[[#This Row],[_IsLeaf]]=1),"",MIN(ProjectFinish,IF(N(Tasks[[#This Row],[Deadline]])&gt;0,Tasks[[#This Row],[Deadline]],2958465),Tasks[[#This Row],[_SuccessorFinishLimit]]))</f>
        <v/>
      </c>
      <c r="CD204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4" s="66" t="b">
        <f aca="false">AND(Tasks[[#This Row],[_IsLeaf]]=1,Tasks[[#This Row],[_LeafProgress]]&lt;1,N(Tasks[[#This Row],[_LeafTotalSlack]])&lt;=CriticalSlackDays)</f>
        <v>0</v>
      </c>
      <c r="CG204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4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4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4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4" s="43" t="n">
        <f aca="false">IF(AND(Tasks[[#This Row],[_IsLeaf]]=1,Tasks[[#This Row],[_LeafWork]]&gt;0),NETWORKDAYS.INTL(ProjectStart,Tasks[[#This Row],[_LeafFcstStart]],WorkWeek,Holidays),0)</f>
        <v>0</v>
      </c>
      <c r="CP2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4" s="43" t="n">
        <f aca="false">IF(AND(Tasks[[#This Row],[_IsLeaf]]=1,Tasks[[#This Row],[_LeafWork]]&gt;0),Tasks[[#This Row],[_LeafWork]]/(Tasks[[#This Row],[_FinishWorkday]]-Tasks[[#This Row],[_StartWorkday]]+1),0)</f>
        <v>0</v>
      </c>
      <c r="CR204" s="43" t="n">
        <f aca="false">Tasks[[#This Row],[_WorkPerWorkday]]*(Tasks[[#This Row],[_StartWorkday]]-1)</f>
        <v>-0</v>
      </c>
      <c r="CS204" s="43" t="n">
        <f aca="false">IF(Tasks[[#This Row],[_IsLeaf]]=1,MAX(N(Tasks[[#This Row],[Duration]]),0.1),0)</f>
        <v>0</v>
      </c>
      <c r="CT204" s="43" t="n">
        <f aca="false">Tasks[[#This Row],[_WeightDur]]*Tasks[[#This Row],[_LeafProgress]]</f>
        <v>0</v>
      </c>
      <c r="CU2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4" s="43" t="str">
        <f aca="false">IF(AND(Tasks[[#This Row],[_IsLeaf]]=1,N(Tasks[[#This Row],[Duration]])=0,Tasks[[#This Row],[_LeafProgress]]&lt;1),Tasks[[#This Row],[_LeafFcstFinish]]+Tasks[[#This Row],[_Row]]/100000,"")</f>
        <v/>
      </c>
      <c r="DA2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4" s="43" t="n">
        <f aca="false">IF(NOT(Tasks[[#This Row],[_IsLeaf]]=1),0,IF(Tasks[[#This Row],[Baseline Cost]]="",Tasks[[#This Row],[_LeafCost]],N(Tasks[[#This Row],[Baseline Cost]])))</f>
        <v>0</v>
      </c>
      <c r="DC204" s="43" t="n">
        <f aca="false">Tasks[[#This Row],[_LeafBudget]]*Tasks[[#This Row],[_PlannedPct]]</f>
        <v>0</v>
      </c>
      <c r="DD204" s="43" t="n">
        <f aca="false">Tasks[[#This Row],[_LeafBudget]]*Tasks[[#This Row],[_LeafProgress]]</f>
        <v>0</v>
      </c>
      <c r="DE204" s="43" t="n">
        <f aca="false">IF(NOT(Tasks[[#This Row],[_IsLeaf]]=1),0,IF(Tasks[[#This Row],[Actual Cost]]="",Tasks[[#This Row],[_LeafCost]]*Tasks[[#This Row],[_LeafProgress]],N(Tasks[[#This Row],[Actual Cost]])))</f>
        <v>0</v>
      </c>
      <c r="DF204" s="43" t="str">
        <f aca="false">IF(Tasks[[#This Row],[Task Name]]="","",LEFT(Tasks[[#This Row],[WBS]],FIND(".",Tasks[[#This Row],[WBS]]&amp;".")-1))</f>
        <v/>
      </c>
      <c r="DG204" s="43" t="str">
        <f aca="false">IF(AND(Tasks[[#This Row],[Task Name]]&lt;&gt;"",Tasks[[#This Row],[_Level]]=1),Tasks[[#This Row],[_Row]],"")</f>
        <v/>
      </c>
      <c r="DH204" s="43" t="str">
        <f aca="false">IF(AND(Tasks[[#This Row],[_IsLeaf]]=1,N(Tasks[[#This Row],[Duration]])=0),Tasks[[#This Row],[Planned Finish]]+Tasks[[#This Row],[_Row]]/100000,"")</f>
        <v/>
      </c>
      <c r="DI2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4" s="43" t="str">
        <f aca="false">IF(Tasks[[#This Row],[_LeafCritical]],Tasks[[#This Row],[_LeafFcstStart]]+Tasks[[#This Row],[_Row]]/100000,"")</f>
        <v/>
      </c>
    </row>
    <row r="205" customFormat="false" ht="15" hidden="false" customHeight="false" outlineLevel="0" collapsed="false">
      <c r="A205" s="28" t="str">
        <f aca="false">IF(Tasks[[#This Row],[Task Name]]="","",COUNTA(Tasks[[#Headers],[Task Name]]:Tasks[[#This Row],[Task Name]])-1)</f>
        <v/>
      </c>
      <c r="B205" s="29" t="n">
        <v>200</v>
      </c>
      <c r="C2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29"/>
      <c r="E205" s="30"/>
      <c r="F205" s="29"/>
      <c r="G205" s="29"/>
      <c r="H205" s="29"/>
      <c r="I205" s="29"/>
      <c r="J205" s="29"/>
      <c r="K205" s="29"/>
      <c r="L205" s="29"/>
      <c r="M205" s="29"/>
      <c r="N205" s="53"/>
      <c r="O205" s="53"/>
      <c r="P205" s="25" t="str">
        <f aca="false">IF(Tasks[[#This Row],[Task Name]]="","",IF(N(Tasks[[#This Row],[Baseline Start]])&gt;0,Tasks[[#This Row],[Baseline Start]],Tasks[[#This Row],[_CalcStart]]))</f>
        <v/>
      </c>
      <c r="Q205" s="25" t="str">
        <f aca="false">IF(Tasks[[#This Row],[Task Name]]="","",IF(N(Tasks[[#This Row],[Baseline Finish]])&gt;0,Tasks[[#This Row],[Baseline Finish]],Tasks[[#This Row],[_CalcFinish]]))</f>
        <v/>
      </c>
      <c r="R205" s="53"/>
      <c r="S205" s="53"/>
      <c r="T2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55"/>
      <c r="AF205" s="61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30"/>
      <c r="AI205" s="55"/>
      <c r="AJ205" s="62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63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64"/>
      <c r="AM205" s="2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N2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O205" s="30"/>
      <c r="AP205" s="25" t="str">
        <f aca="false">IF(Tasks[[#This Row],[Task Name]]="","",Tasks[[#This Row],[Forecast Start]])</f>
        <v/>
      </c>
      <c r="AQ205" s="25" t="str">
        <f aca="false">IF(Tasks[[#This Row],[Task Name]]="","",Tasks[[#This Row],[Forecast Finish]])</f>
        <v/>
      </c>
      <c r="AR2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S205" s="62" t="str">
        <f aca="false">IF(Tasks[[#This Row],[Task Name]]="","",Tasks[[#This Row],[Work]])</f>
        <v/>
      </c>
      <c r="AT205" s="63" t="str">
        <f aca="false">IF(Tasks[[#This Row],[Task Name]]="","",Tasks[[#This Row],[Cost]])</f>
        <v/>
      </c>
      <c r="AU205" s="53"/>
      <c r="AV205" s="53"/>
      <c r="AW205" s="29"/>
      <c r="AX205" s="65"/>
      <c r="AY205" s="64"/>
      <c r="AZ205" s="28" t="str">
        <f aca="false">IF(OR(Tasks[[#This Row],[Task Name]]="",Tasks[[#This Row],[Baseline Duration]]=""),"",Tasks[[#This Row],[BL Source Duration]]-N(Tasks[[#This Row],[Baseline Duration]]))</f>
        <v/>
      </c>
      <c r="BA205" s="62" t="str">
        <f aca="false">IF(OR(Tasks[[#This Row],[Task Name]]="",Tasks[[#This Row],[Baseline Work]]=""),"",Tasks[[#This Row],[Work]]-N(Tasks[[#This Row],[Baseline Work]]))</f>
        <v/>
      </c>
      <c r="BB205" s="63" t="str">
        <f aca="false">IF(OR(Tasks[[#This Row],[Task Name]]="",Tasks[[#This Row],[Baseline Cost]]=""),"",Tasks[[#This Row],[Cost]]-N(Tasks[[#This Row],[Baseline Cost]]))</f>
        <v/>
      </c>
      <c r="BC205" s="63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D205" s="63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E205" s="63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F205" s="63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G205" s="43" t="str">
        <f aca="false">IF(Tasks[[#This Row],[Task Name]]="","",MAX(1,N(Tasks[[#This Row],[Level]])))</f>
        <v/>
      </c>
      <c r="BH205" s="43" t="n">
        <f aca="false">ROW()-ROW(Tasks[[#Headers],[ID]])</f>
        <v>200</v>
      </c>
      <c r="BI2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J205" s="43" t="n">
        <f aca="false">IFERROR(N(INDEX(Tasks[_Level],Tasks[[#This Row],[_Row]]+1)),0)</f>
        <v>0</v>
      </c>
      <c r="BK205" s="66" t="b">
        <f aca="false">AND(Tasks[[#This Row],[Task Name]]&lt;&gt;"",Tasks[[#This Row],[_NextLevel]]&gt;Tasks[[#This Row],[_Level]])</f>
        <v>0</v>
      </c>
      <c r="BL205" s="43" t="n">
        <f aca="false">IF(Tasks[[#This Row],[_IsSummary]],COUNTIF(Tasks[WBS],Tasks[[#This Row],[WBS]]&amp;".*"),0)</f>
        <v>0</v>
      </c>
      <c r="BM205" s="43" t="n">
        <f aca="false">IF(AND(Tasks[[#This Row],[Task Name]]&lt;&gt;"",NOT(Tasks[[#This Row],[_IsSummary]])),1,0)</f>
        <v>0</v>
      </c>
      <c r="BN205" s="43" t="n">
        <f aca="false">IF(N(Tasks[[#This Row],[Pred1 UID]])=0,0,IFERROR(MATCH(Tasks[[#This Row],[Pred1 UID]],Tasks[UID],0),-1))</f>
        <v>0</v>
      </c>
      <c r="BO205" s="43" t="n">
        <f aca="false">IF(N(Tasks[[#This Row],[Pred2 UID]])=0,0,IFERROR(MATCH(Tasks[[#This Row],[Pred2 UID]],Tasks[UID],0),-1))</f>
        <v>0</v>
      </c>
      <c r="BP205" s="67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Q205" s="67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R205" s="67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S205" s="67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T205" s="43" t="n">
        <f aca="false">IF(NOT(Tasks[[#This Row],[_IsLeaf]]=1),0,IF(N(Tasks[[#This Row],[Actual Finish]])&gt;0,1,MIN(1,N(Tasks[[#This Row],[% Complete]]))))</f>
        <v>0</v>
      </c>
      <c r="BU2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V205" s="43" t="n">
        <f aca="false">IF(Tasks[[#This Row],[_LeafWork]]=0,0,Tasks[[#This Row],[_LeafWork]]*IFERROR(INDEX(res_Rate,MATCH(Tasks[[#This Row],[Resource]],res_Name,0)),0))</f>
        <v>0</v>
      </c>
      <c r="BW2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X2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Y2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Z2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A205" s="43" t="n">
        <f aca="false">IF(NOT(Tasks[[#This Row],[_IsLeaf]]=1),0,MAX(_xlfn.MAXIFS(Tasks[_Row],Tasks[Pred1 UID],Tasks[[#This Row],[UID]]),_xlfn.MAXIFS(Tasks[_Row],Tasks[Pred2 UID],Tasks[[#This Row],[UID]])))</f>
        <v>0</v>
      </c>
      <c r="CB205" s="67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C205" s="67" t="str">
        <f aca="false">IF(NOT(Tasks[[#This Row],[_IsLeaf]]=1),"",MIN(ProjectFinish,IF(N(Tasks[[#This Row],[Deadline]])&gt;0,Tasks[[#This Row],[Deadline]],2958465),Tasks[[#This Row],[_SuccessorFinishLimit]]))</f>
        <v/>
      </c>
      <c r="CD205" s="67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E2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F205" s="66" t="b">
        <f aca="false">AND(Tasks[[#This Row],[_IsLeaf]]=1,Tasks[[#This Row],[_LeafProgress]]&lt;1,N(Tasks[[#This Row],[_LeafTotalSlack]])&lt;=CriticalSlackDays)</f>
        <v>0</v>
      </c>
      <c r="CG205" s="67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H205" s="67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I2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J2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K20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L20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M205" s="67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N205" s="67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O205" s="43" t="n">
        <f aca="false">IF(AND(Tasks[[#This Row],[_IsLeaf]]=1,Tasks[[#This Row],[_LeafWork]]&gt;0),NETWORKDAYS.INTL(ProjectStart,Tasks[[#This Row],[_LeafFcstStart]],WorkWeek,Holidays),0)</f>
        <v>0</v>
      </c>
      <c r="CP2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Q205" s="43" t="n">
        <f aca="false">IF(AND(Tasks[[#This Row],[_IsLeaf]]=1,Tasks[[#This Row],[_LeafWork]]&gt;0),Tasks[[#This Row],[_LeafWork]]/(Tasks[[#This Row],[_FinishWorkday]]-Tasks[[#This Row],[_StartWorkday]]+1),0)</f>
        <v>0</v>
      </c>
      <c r="CR205" s="43" t="n">
        <f aca="false">Tasks[[#This Row],[_WorkPerWorkday]]*(Tasks[[#This Row],[_StartWorkday]]-1)</f>
        <v>-0</v>
      </c>
      <c r="CS205" s="43" t="n">
        <f aca="false">IF(Tasks[[#This Row],[_IsLeaf]]=1,MAX(N(Tasks[[#This Row],[Duration]]),0.1),0)</f>
        <v>0</v>
      </c>
      <c r="CT205" s="43" t="n">
        <f aca="false">Tasks[[#This Row],[_WeightDur]]*Tasks[[#This Row],[_LeafProgress]]</f>
        <v>0</v>
      </c>
      <c r="CU2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V2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W2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Z205" s="43" t="str">
        <f aca="false">IF(AND(Tasks[[#This Row],[_IsLeaf]]=1,N(Tasks[[#This Row],[Duration]])=0,Tasks[[#This Row],[_LeafProgress]]&lt;1),Tasks[[#This Row],[_LeafFcstFinish]]+Tasks[[#This Row],[_Row]]/100000,"")</f>
        <v/>
      </c>
      <c r="DA2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B205" s="43" t="n">
        <f aca="false">IF(NOT(Tasks[[#This Row],[_IsLeaf]]=1),0,IF(Tasks[[#This Row],[Baseline Cost]]="",Tasks[[#This Row],[_LeafCost]],N(Tasks[[#This Row],[Baseline Cost]])))</f>
        <v>0</v>
      </c>
      <c r="DC205" s="43" t="n">
        <f aca="false">Tasks[[#This Row],[_LeafBudget]]*Tasks[[#This Row],[_PlannedPct]]</f>
        <v>0</v>
      </c>
      <c r="DD205" s="43" t="n">
        <f aca="false">Tasks[[#This Row],[_LeafBudget]]*Tasks[[#This Row],[_LeafProgress]]</f>
        <v>0</v>
      </c>
      <c r="DE205" s="43" t="n">
        <f aca="false">IF(NOT(Tasks[[#This Row],[_IsLeaf]]=1),0,IF(Tasks[[#This Row],[Actual Cost]]="",Tasks[[#This Row],[_LeafCost]]*Tasks[[#This Row],[_LeafProgress]],N(Tasks[[#This Row],[Actual Cost]])))</f>
        <v>0</v>
      </c>
      <c r="DF205" s="43" t="str">
        <f aca="false">IF(Tasks[[#This Row],[Task Name]]="","",LEFT(Tasks[[#This Row],[WBS]],FIND(".",Tasks[[#This Row],[WBS]]&amp;".")-1))</f>
        <v/>
      </c>
      <c r="DG205" s="43" t="str">
        <f aca="false">IF(AND(Tasks[[#This Row],[Task Name]]&lt;&gt;"",Tasks[[#This Row],[_Level]]=1),Tasks[[#This Row],[_Row]],"")</f>
        <v/>
      </c>
      <c r="DH205" s="43" t="str">
        <f aca="false">IF(AND(Tasks[[#This Row],[_IsLeaf]]=1,N(Tasks[[#This Row],[Duration]])=0),Tasks[[#This Row],[Planned Finish]]+Tasks[[#This Row],[_Row]]/100000,"")</f>
        <v/>
      </c>
      <c r="DI2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J2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K2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L205" s="43" t="str">
        <f aca="false">IF(Tasks[[#This Row],[_LeafCritical]],Tasks[[#This Row],[_LeafFcstStart]]+Tasks[[#This Row],[_Row]]/100000,"")</f>
        <v/>
      </c>
    </row>
  </sheetData>
  <conditionalFormatting sqref="A6:BF205">
    <cfRule type="expression" priority="2" aboveAverage="0" equalAverage="0" bottom="0" percent="0" rank="0" text="" dxfId="23">
      <formula>$BK6=1</formula>
    </cfRule>
  </conditionalFormatting>
  <conditionalFormatting sqref="G6:G205">
    <cfRule type="expression" priority="3" aboveAverage="0" equalAverage="0" bottom="0" percent="0" rank="0" text="" dxfId="24">
      <formula>$BK6=1</formula>
    </cfRule>
  </conditionalFormatting>
  <conditionalFormatting sqref="H6:H205">
    <cfRule type="expression" priority="4" aboveAverage="0" equalAverage="0" bottom="0" percent="0" rank="0" text="" dxfId="24">
      <formula>$BK6=1</formula>
    </cfRule>
  </conditionalFormatting>
  <conditionalFormatting sqref="I6:I205">
    <cfRule type="expression" priority="5" aboveAverage="0" equalAverage="0" bottom="0" percent="0" rank="0" text="" dxfId="24">
      <formula>$BK6=1</formula>
    </cfRule>
  </conditionalFormatting>
  <conditionalFormatting sqref="J6:J205">
    <cfRule type="expression" priority="6" aboveAverage="0" equalAverage="0" bottom="0" percent="0" rank="0" text="" dxfId="24">
      <formula>$BK6=1</formula>
    </cfRule>
  </conditionalFormatting>
  <conditionalFormatting sqref="K6:K205">
    <cfRule type="expression" priority="7" aboveAverage="0" equalAverage="0" bottom="0" percent="0" rank="0" text="" dxfId="24">
      <formula>$BK6=1</formula>
    </cfRule>
  </conditionalFormatting>
  <conditionalFormatting sqref="L6:L205">
    <cfRule type="expression" priority="8" aboveAverage="0" equalAverage="0" bottom="0" percent="0" rank="0" text="" dxfId="24">
      <formula>$BK6=1</formula>
    </cfRule>
  </conditionalFormatting>
  <conditionalFormatting sqref="M6:M205">
    <cfRule type="expression" priority="9" aboveAverage="0" equalAverage="0" bottom="0" percent="0" rank="0" text="" dxfId="24">
      <formula>$BK6=1</formula>
    </cfRule>
  </conditionalFormatting>
  <conditionalFormatting sqref="N6:N205">
    <cfRule type="expression" priority="10" aboveAverage="0" equalAverage="0" bottom="0" percent="0" rank="0" text="" dxfId="24">
      <formula>$BK6=1</formula>
    </cfRule>
  </conditionalFormatting>
  <conditionalFormatting sqref="R6:R205">
    <cfRule type="expression" priority="11" aboveAverage="0" equalAverage="0" bottom="0" percent="0" rank="0" text="" dxfId="24">
      <formula>$BK6=1</formula>
    </cfRule>
  </conditionalFormatting>
  <conditionalFormatting sqref="S6:S205">
    <cfRule type="expression" priority="12" aboveAverage="0" equalAverage="0" bottom="0" percent="0" rank="0" text="" dxfId="24">
      <formula>$BK6=1</formula>
    </cfRule>
  </conditionalFormatting>
  <conditionalFormatting sqref="AE6:AE205">
    <cfRule type="expression" priority="13" aboveAverage="0" equalAverage="0" bottom="0" percent="0" rank="0" text="" dxfId="24">
      <formula>$BK6=1</formula>
    </cfRule>
  </conditionalFormatting>
  <conditionalFormatting sqref="AH6:AH205">
    <cfRule type="expression" priority="14" aboveAverage="0" equalAverage="0" bottom="0" percent="0" rank="0" text="" dxfId="24">
      <formula>$BK6=1</formula>
    </cfRule>
  </conditionalFormatting>
  <conditionalFormatting sqref="AI6:AI205">
    <cfRule type="expression" priority="15" aboveAverage="0" equalAverage="0" bottom="0" percent="0" rank="0" text="" dxfId="24">
      <formula>$BK6=1</formula>
    </cfRule>
  </conditionalFormatting>
  <conditionalFormatting sqref="AL6:AL205">
    <cfRule type="expression" priority="16" aboveAverage="0" equalAverage="0" bottom="0" percent="0" rank="0" text="" dxfId="24">
      <formula>$BK6=1</formula>
    </cfRule>
  </conditionalFormatting>
  <conditionalFormatting sqref="AG6:AG205">
    <cfRule type="expression" priority="17" aboveAverage="0" equalAverage="0" bottom="0" percent="0" rank="0" text="" dxfId="12">
      <formula>$AG6="Complete"</formula>
    </cfRule>
    <cfRule type="expression" priority="18" aboveAverage="0" equalAverage="0" bottom="0" percent="0" rank="0" text="" dxfId="25">
      <formula>$AG6="In Progress"</formula>
    </cfRule>
    <cfRule type="expression" priority="19" aboveAverage="0" equalAverage="0" bottom="0" percent="0" rank="0" text="" dxfId="20">
      <formula>$AG6="Behind"</formula>
    </cfRule>
    <cfRule type="expression" priority="20" aboveAverage="0" equalAverage="0" bottom="0" percent="0" rank="0" text="" dxfId="26">
      <formula>$AG6="Late Start"</formula>
    </cfRule>
    <cfRule type="expression" priority="21" aboveAverage="0" equalAverage="0" bottom="0" percent="0" rank="0" text="" dxfId="27">
      <formula>$AG6="Not Started"</formula>
    </cfRule>
  </conditionalFormatting>
  <conditionalFormatting sqref="V6:V205">
    <cfRule type="expression" priority="22" aboveAverage="0" equalAverage="0" bottom="0" percent="0" rank="0" text="" dxfId="20">
      <formula>AND(ISNUMBER($V6),$V6&gt;0)</formula>
    </cfRule>
    <cfRule type="expression" priority="23" aboveAverage="0" equalAverage="0" bottom="0" percent="0" rank="0" text="" dxfId="12">
      <formula>AND(ISNUMBER($V6),$V6&lt;0)</formula>
    </cfRule>
  </conditionalFormatting>
  <conditionalFormatting sqref="W6:W205">
    <cfRule type="expression" priority="24" aboveAverage="0" equalAverage="0" bottom="0" percent="0" rank="0" text="" dxfId="20">
      <formula>AND(ISNUMBER($W6),$W6&gt;0)</formula>
    </cfRule>
    <cfRule type="expression" priority="25" aboveAverage="0" equalAverage="0" bottom="0" percent="0" rank="0" text="" dxfId="12">
      <formula>AND(ISNUMBER($W6),$W6&lt;0)</formula>
    </cfRule>
  </conditionalFormatting>
  <conditionalFormatting sqref="AZ6:AZ205">
    <cfRule type="expression" priority="26" aboveAverage="0" equalAverage="0" bottom="0" percent="0" rank="0" text="" dxfId="20">
      <formula>AND(ISNUMBER($AZ6),$AZ6&gt;0)</formula>
    </cfRule>
    <cfRule type="expression" priority="27" aboveAverage="0" equalAverage="0" bottom="0" percent="0" rank="0" text="" dxfId="12">
      <formula>AND(ISNUMBER($AZ6),$AZ6&lt;0)</formula>
    </cfRule>
  </conditionalFormatting>
  <conditionalFormatting sqref="BA6:BA205">
    <cfRule type="expression" priority="28" aboveAverage="0" equalAverage="0" bottom="0" percent="0" rank="0" text="" dxfId="20">
      <formula>AND(ISNUMBER($BA6),$BA6&gt;0)</formula>
    </cfRule>
    <cfRule type="expression" priority="29" aboveAverage="0" equalAverage="0" bottom="0" percent="0" rank="0" text="" dxfId="12">
      <formula>AND(ISNUMBER($BA6),$BA6&lt;0)</formula>
    </cfRule>
  </conditionalFormatting>
  <conditionalFormatting sqref="BB6:BB205">
    <cfRule type="expression" priority="30" aboveAverage="0" equalAverage="0" bottom="0" percent="0" rank="0" text="" dxfId="20">
      <formula>AND(ISNUMBER($BB6),$BB6&gt;0)</formula>
    </cfRule>
    <cfRule type="expression" priority="31" aboveAverage="0" equalAverage="0" bottom="0" percent="0" rank="0" text="" dxfId="12">
      <formula>AND(ISNUMBER($BB6),$BB6&lt;0)</formula>
    </cfRule>
  </conditionalFormatting>
  <conditionalFormatting sqref="E6:E205">
    <cfRule type="expression" priority="32" aboveAverage="0" equalAverage="0" bottom="0" percent="0" rank="0" text="" dxfId="28">
      <formula>AND($BM6=1,N($G6)=0)</formula>
    </cfRule>
  </conditionalFormatting>
  <conditionalFormatting sqref="C6:C205">
    <cfRule type="expression" priority="33" aboveAverage="0" equalAverage="0" bottom="0" percent="0" rank="0" text="" dxfId="29">
      <formula>$C6="?"</formula>
    </cfRule>
  </conditionalFormatting>
  <conditionalFormatting sqref="B6:B205">
    <cfRule type="expression" priority="34" aboveAverage="0" equalAverage="0" bottom="0" percent="0" rank="0" text="" dxfId="15">
      <formula>OR(AND($E6&lt;&gt;"",$B6=""),AND($B6&lt;&gt;"",COUNTIF(tsk_UID,$B6)&gt;1))</formula>
    </cfRule>
  </conditionalFormatting>
  <conditionalFormatting sqref="AD6:AD205">
    <cfRule type="expression" priority="35" aboveAverage="0" equalAverage="0" bottom="0" percent="0" rank="0" text="" dxfId="30">
      <formula>$AD6&lt;&gt;""</formula>
    </cfRule>
  </conditionalFormatting>
  <conditionalFormatting sqref="AC6:AC205">
    <cfRule type="expression" priority="36" aboveAverage="0" equalAverage="0" bottom="0" percent="0" rank="0" text="" dxfId="20">
      <formula>LEFT($AC6,4)="Late"</formula>
    </cfRule>
    <cfRule type="expression" priority="37" aboveAverage="0" equalAverage="0" bottom="0" percent="0" rank="0" text="" dxfId="12">
      <formula>$AC6="OK"</formula>
    </cfRule>
  </conditionalFormatting>
  <conditionalFormatting sqref="AB6:AB205">
    <cfRule type="expression" priority="38" aboveAverage="0" equalAverage="0" bottom="0" percent="0" rank="0" text="" dxfId="21">
      <formula>$AB6="Yes"</formula>
    </cfRule>
  </conditionalFormatting>
  <conditionalFormatting sqref="Z6:Z205">
    <cfRule type="expression" priority="39" aboveAverage="0" equalAverage="0" bottom="0" percent="0" rank="0" text="" dxfId="20">
      <formula>AND(ISNUMBER($Z6),$Z6&lt;0)</formula>
    </cfRule>
  </conditionalFormatting>
  <conditionalFormatting sqref="AA6:AA205">
    <cfRule type="expression" priority="40" aboveAverage="0" equalAverage="0" bottom="0" percent="0" rank="0" text="" dxfId="20">
      <formula>AND(ISNUMBER($AA6),$AA6&lt;0)</formula>
    </cfRule>
  </conditionalFormatting>
  <dataValidations count="12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  <dataValidation allowBlank="false" errorStyle="stop" operator="greaterThanOrEqual" showDropDown="false" showErrorMessage="false" showInputMessage="false" sqref="AL6:AL2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6" t="str">
        <f aca="false">ProjectName&amp;"  -  Gantt Chart"</f>
        <v>New Project  -  Gantt Chart</v>
      </c>
      <c r="W1" s="68"/>
      <c r="X1" s="69" t="s">
        <v>400</v>
      </c>
      <c r="AI1" s="70"/>
      <c r="AJ1" s="69" t="s">
        <v>401</v>
      </c>
      <c r="AU1" s="71"/>
      <c r="AV1" s="69" t="s">
        <v>402</v>
      </c>
      <c r="BG1" s="72"/>
      <c r="BH1" s="69" t="s">
        <v>403</v>
      </c>
      <c r="BS1" s="73"/>
      <c r="BT1" s="69" t="s">
        <v>404</v>
      </c>
    </row>
    <row r="2" customFormat="false" ht="15" hidden="false" customHeight="false" outlineLevel="0" collapsed="false">
      <c r="A2" s="74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W2" s="75"/>
      <c r="X2" s="69" t="s">
        <v>405</v>
      </c>
      <c r="AI2" s="76"/>
      <c r="AJ2" s="69" t="s">
        <v>406</v>
      </c>
      <c r="AU2" s="77"/>
      <c r="AV2" s="69" t="s">
        <v>180</v>
      </c>
      <c r="BG2" s="78"/>
      <c r="BH2" s="69" t="s">
        <v>204</v>
      </c>
      <c r="BS2" s="79"/>
      <c r="BT2" s="69" t="s">
        <v>407</v>
      </c>
    </row>
    <row r="3" customFormat="false" ht="15" hidden="false" customHeight="false" outlineLevel="0" collapsed="false">
      <c r="A3" s="8" t="s">
        <v>408</v>
      </c>
      <c r="W3" s="80" t="str">
        <f aca="false">IF(GanttPeriod=1,LEFT(TEXT(GanttStart+(COLUMN()-COLUMN(gantt_Origin)-1)*GanttPeriod,"ddd"),1),"")</f>
        <v>M</v>
      </c>
      <c r="X3" s="80" t="str">
        <f aca="false">IF(GanttPeriod=1,LEFT(TEXT(GanttStart+(COLUMN()-COLUMN(gantt_Origin)-1)*GanttPeriod,"ddd"),1),"")</f>
        <v>T</v>
      </c>
      <c r="Y3" s="80" t="str">
        <f aca="false">IF(GanttPeriod=1,LEFT(TEXT(GanttStart+(COLUMN()-COLUMN(gantt_Origin)-1)*GanttPeriod,"ddd"),1),"")</f>
        <v>W</v>
      </c>
      <c r="Z3" s="80" t="str">
        <f aca="false">IF(GanttPeriod=1,LEFT(TEXT(GanttStart+(COLUMN()-COLUMN(gantt_Origin)-1)*GanttPeriod,"ddd"),1),"")</f>
        <v>T</v>
      </c>
      <c r="AA3" s="80" t="str">
        <f aca="false">IF(GanttPeriod=1,LEFT(TEXT(GanttStart+(COLUMN()-COLUMN(gantt_Origin)-1)*GanttPeriod,"ddd"),1),"")</f>
        <v>F</v>
      </c>
      <c r="AB3" s="80" t="str">
        <f aca="false">IF(GanttPeriod=1,LEFT(TEXT(GanttStart+(COLUMN()-COLUMN(gantt_Origin)-1)*GanttPeriod,"ddd"),1),"")</f>
        <v>S</v>
      </c>
      <c r="AC3" s="80" t="str">
        <f aca="false">IF(GanttPeriod=1,LEFT(TEXT(GanttStart+(COLUMN()-COLUMN(gantt_Origin)-1)*GanttPeriod,"ddd"),1),"")</f>
        <v>S</v>
      </c>
      <c r="AD3" s="80" t="str">
        <f aca="false">IF(GanttPeriod=1,LEFT(TEXT(GanttStart+(COLUMN()-COLUMN(gantt_Origin)-1)*GanttPeriod,"ddd"),1),"")</f>
        <v>M</v>
      </c>
      <c r="AE3" s="80" t="str">
        <f aca="false">IF(GanttPeriod=1,LEFT(TEXT(GanttStart+(COLUMN()-COLUMN(gantt_Origin)-1)*GanttPeriod,"ddd"),1),"")</f>
        <v>T</v>
      </c>
      <c r="AF3" s="80" t="str">
        <f aca="false">IF(GanttPeriod=1,LEFT(TEXT(GanttStart+(COLUMN()-COLUMN(gantt_Origin)-1)*GanttPeriod,"ddd"),1),"")</f>
        <v>W</v>
      </c>
      <c r="AG3" s="80" t="str">
        <f aca="false">IF(GanttPeriod=1,LEFT(TEXT(GanttStart+(COLUMN()-COLUMN(gantt_Origin)-1)*GanttPeriod,"ddd"),1),"")</f>
        <v>T</v>
      </c>
      <c r="AH3" s="80" t="str">
        <f aca="false">IF(GanttPeriod=1,LEFT(TEXT(GanttStart+(COLUMN()-COLUMN(gantt_Origin)-1)*GanttPeriod,"ddd"),1),"")</f>
        <v>F</v>
      </c>
      <c r="AI3" s="80" t="str">
        <f aca="false">IF(GanttPeriod=1,LEFT(TEXT(GanttStart+(COLUMN()-COLUMN(gantt_Origin)-1)*GanttPeriod,"ddd"),1),"")</f>
        <v>S</v>
      </c>
      <c r="AJ3" s="80" t="str">
        <f aca="false">IF(GanttPeriod=1,LEFT(TEXT(GanttStart+(COLUMN()-COLUMN(gantt_Origin)-1)*GanttPeriod,"ddd"),1),"")</f>
        <v>S</v>
      </c>
      <c r="AK3" s="80" t="str">
        <f aca="false">IF(GanttPeriod=1,LEFT(TEXT(GanttStart+(COLUMN()-COLUMN(gantt_Origin)-1)*GanttPeriod,"ddd"),1),"")</f>
        <v>M</v>
      </c>
      <c r="AL3" s="80" t="str">
        <f aca="false">IF(GanttPeriod=1,LEFT(TEXT(GanttStart+(COLUMN()-COLUMN(gantt_Origin)-1)*GanttPeriod,"ddd"),1),"")</f>
        <v>T</v>
      </c>
      <c r="AM3" s="80" t="str">
        <f aca="false">IF(GanttPeriod=1,LEFT(TEXT(GanttStart+(COLUMN()-COLUMN(gantt_Origin)-1)*GanttPeriod,"ddd"),1),"")</f>
        <v>W</v>
      </c>
      <c r="AN3" s="80" t="str">
        <f aca="false">IF(GanttPeriod=1,LEFT(TEXT(GanttStart+(COLUMN()-COLUMN(gantt_Origin)-1)*GanttPeriod,"ddd"),1),"")</f>
        <v>T</v>
      </c>
      <c r="AO3" s="80" t="str">
        <f aca="false">IF(GanttPeriod=1,LEFT(TEXT(GanttStart+(COLUMN()-COLUMN(gantt_Origin)-1)*GanttPeriod,"ddd"),1),"")</f>
        <v>F</v>
      </c>
      <c r="AP3" s="80" t="str">
        <f aca="false">IF(GanttPeriod=1,LEFT(TEXT(GanttStart+(COLUMN()-COLUMN(gantt_Origin)-1)*GanttPeriod,"ddd"),1),"")</f>
        <v>S</v>
      </c>
      <c r="AQ3" s="80" t="str">
        <f aca="false">IF(GanttPeriod=1,LEFT(TEXT(GanttStart+(COLUMN()-COLUMN(gantt_Origin)-1)*GanttPeriod,"ddd"),1),"")</f>
        <v>S</v>
      </c>
      <c r="AR3" s="80" t="str">
        <f aca="false">IF(GanttPeriod=1,LEFT(TEXT(GanttStart+(COLUMN()-COLUMN(gantt_Origin)-1)*GanttPeriod,"ddd"),1),"")</f>
        <v>M</v>
      </c>
      <c r="AS3" s="80" t="str">
        <f aca="false">IF(GanttPeriod=1,LEFT(TEXT(GanttStart+(COLUMN()-COLUMN(gantt_Origin)-1)*GanttPeriod,"ddd"),1),"")</f>
        <v>T</v>
      </c>
      <c r="AT3" s="80" t="str">
        <f aca="false">IF(GanttPeriod=1,LEFT(TEXT(GanttStart+(COLUMN()-COLUMN(gantt_Origin)-1)*GanttPeriod,"ddd"),1),"")</f>
        <v>W</v>
      </c>
      <c r="AU3" s="80" t="str">
        <f aca="false">IF(GanttPeriod=1,LEFT(TEXT(GanttStart+(COLUMN()-COLUMN(gantt_Origin)-1)*GanttPeriod,"ddd"),1),"")</f>
        <v>T</v>
      </c>
      <c r="AV3" s="80" t="str">
        <f aca="false">IF(GanttPeriod=1,LEFT(TEXT(GanttStart+(COLUMN()-COLUMN(gantt_Origin)-1)*GanttPeriod,"ddd"),1),"")</f>
        <v>F</v>
      </c>
      <c r="AW3" s="80" t="str">
        <f aca="false">IF(GanttPeriod=1,LEFT(TEXT(GanttStart+(COLUMN()-COLUMN(gantt_Origin)-1)*GanttPeriod,"ddd"),1),"")</f>
        <v>S</v>
      </c>
      <c r="AX3" s="80" t="str">
        <f aca="false">IF(GanttPeriod=1,LEFT(TEXT(GanttStart+(COLUMN()-COLUMN(gantt_Origin)-1)*GanttPeriod,"ddd"),1),"")</f>
        <v>S</v>
      </c>
      <c r="AY3" s="80" t="str">
        <f aca="false">IF(GanttPeriod=1,LEFT(TEXT(GanttStart+(COLUMN()-COLUMN(gantt_Origin)-1)*GanttPeriod,"ddd"),1),"")</f>
        <v>M</v>
      </c>
      <c r="AZ3" s="80" t="str">
        <f aca="false">IF(GanttPeriod=1,LEFT(TEXT(GanttStart+(COLUMN()-COLUMN(gantt_Origin)-1)*GanttPeriod,"ddd"),1),"")</f>
        <v>T</v>
      </c>
      <c r="BA3" s="80" t="str">
        <f aca="false">IF(GanttPeriod=1,LEFT(TEXT(GanttStart+(COLUMN()-COLUMN(gantt_Origin)-1)*GanttPeriod,"ddd"),1),"")</f>
        <v>W</v>
      </c>
      <c r="BB3" s="80" t="str">
        <f aca="false">IF(GanttPeriod=1,LEFT(TEXT(GanttStart+(COLUMN()-COLUMN(gantt_Origin)-1)*GanttPeriod,"ddd"),1),"")</f>
        <v>T</v>
      </c>
      <c r="BC3" s="80" t="str">
        <f aca="false">IF(GanttPeriod=1,LEFT(TEXT(GanttStart+(COLUMN()-COLUMN(gantt_Origin)-1)*GanttPeriod,"ddd"),1),"")</f>
        <v>F</v>
      </c>
      <c r="BD3" s="80" t="str">
        <f aca="false">IF(GanttPeriod=1,LEFT(TEXT(GanttStart+(COLUMN()-COLUMN(gantt_Origin)-1)*GanttPeriod,"ddd"),1),"")</f>
        <v>S</v>
      </c>
      <c r="BE3" s="80" t="str">
        <f aca="false">IF(GanttPeriod=1,LEFT(TEXT(GanttStart+(COLUMN()-COLUMN(gantt_Origin)-1)*GanttPeriod,"ddd"),1),"")</f>
        <v>S</v>
      </c>
      <c r="BF3" s="80" t="str">
        <f aca="false">IF(GanttPeriod=1,LEFT(TEXT(GanttStart+(COLUMN()-COLUMN(gantt_Origin)-1)*GanttPeriod,"ddd"),1),"")</f>
        <v>M</v>
      </c>
      <c r="BG3" s="80" t="str">
        <f aca="false">IF(GanttPeriod=1,LEFT(TEXT(GanttStart+(COLUMN()-COLUMN(gantt_Origin)-1)*GanttPeriod,"ddd"),1),"")</f>
        <v>T</v>
      </c>
      <c r="BH3" s="80" t="str">
        <f aca="false">IF(GanttPeriod=1,LEFT(TEXT(GanttStart+(COLUMN()-COLUMN(gantt_Origin)-1)*GanttPeriod,"ddd"),1),"")</f>
        <v>W</v>
      </c>
      <c r="BI3" s="80" t="str">
        <f aca="false">IF(GanttPeriod=1,LEFT(TEXT(GanttStart+(COLUMN()-COLUMN(gantt_Origin)-1)*GanttPeriod,"ddd"),1),"")</f>
        <v>T</v>
      </c>
      <c r="BJ3" s="80" t="str">
        <f aca="false">IF(GanttPeriod=1,LEFT(TEXT(GanttStart+(COLUMN()-COLUMN(gantt_Origin)-1)*GanttPeriod,"ddd"),1),"")</f>
        <v>F</v>
      </c>
      <c r="BK3" s="80" t="str">
        <f aca="false">IF(GanttPeriod=1,LEFT(TEXT(GanttStart+(COLUMN()-COLUMN(gantt_Origin)-1)*GanttPeriod,"ddd"),1),"")</f>
        <v>S</v>
      </c>
      <c r="BL3" s="80" t="str">
        <f aca="false">IF(GanttPeriod=1,LEFT(TEXT(GanttStart+(COLUMN()-COLUMN(gantt_Origin)-1)*GanttPeriod,"ddd"),1),"")</f>
        <v>S</v>
      </c>
      <c r="BM3" s="80" t="str">
        <f aca="false">IF(GanttPeriod=1,LEFT(TEXT(GanttStart+(COLUMN()-COLUMN(gantt_Origin)-1)*GanttPeriod,"ddd"),1),"")</f>
        <v>M</v>
      </c>
      <c r="BN3" s="80" t="str">
        <f aca="false">IF(GanttPeriod=1,LEFT(TEXT(GanttStart+(COLUMN()-COLUMN(gantt_Origin)-1)*GanttPeriod,"ddd"),1),"")</f>
        <v>T</v>
      </c>
      <c r="BO3" s="80" t="str">
        <f aca="false">IF(GanttPeriod=1,LEFT(TEXT(GanttStart+(COLUMN()-COLUMN(gantt_Origin)-1)*GanttPeriod,"ddd"),1),"")</f>
        <v>W</v>
      </c>
      <c r="BP3" s="80" t="str">
        <f aca="false">IF(GanttPeriod=1,LEFT(TEXT(GanttStart+(COLUMN()-COLUMN(gantt_Origin)-1)*GanttPeriod,"ddd"),1),"")</f>
        <v>T</v>
      </c>
      <c r="BQ3" s="80" t="str">
        <f aca="false">IF(GanttPeriod=1,LEFT(TEXT(GanttStart+(COLUMN()-COLUMN(gantt_Origin)-1)*GanttPeriod,"ddd"),1),"")</f>
        <v>F</v>
      </c>
      <c r="BR3" s="80" t="str">
        <f aca="false">IF(GanttPeriod=1,LEFT(TEXT(GanttStart+(COLUMN()-COLUMN(gantt_Origin)-1)*GanttPeriod,"ddd"),1),"")</f>
        <v>S</v>
      </c>
      <c r="BS3" s="80" t="str">
        <f aca="false">IF(GanttPeriod=1,LEFT(TEXT(GanttStart+(COLUMN()-COLUMN(gantt_Origin)-1)*GanttPeriod,"ddd"),1),"")</f>
        <v>S</v>
      </c>
      <c r="BT3" s="80" t="str">
        <f aca="false">IF(GanttPeriod=1,LEFT(TEXT(GanttStart+(COLUMN()-COLUMN(gantt_Origin)-1)*GanttPeriod,"ddd"),1),"")</f>
        <v>M</v>
      </c>
      <c r="BU3" s="80" t="str">
        <f aca="false">IF(GanttPeriod=1,LEFT(TEXT(GanttStart+(COLUMN()-COLUMN(gantt_Origin)-1)*GanttPeriod,"ddd"),1),"")</f>
        <v>T</v>
      </c>
      <c r="BV3" s="80" t="str">
        <f aca="false">IF(GanttPeriod=1,LEFT(TEXT(GanttStart+(COLUMN()-COLUMN(gantt_Origin)-1)*GanttPeriod,"ddd"),1),"")</f>
        <v>W</v>
      </c>
      <c r="BW3" s="80" t="str">
        <f aca="false">IF(GanttPeriod=1,LEFT(TEXT(GanttStart+(COLUMN()-COLUMN(gantt_Origin)-1)*GanttPeriod,"ddd"),1),"")</f>
        <v>T</v>
      </c>
      <c r="BX3" s="80" t="str">
        <f aca="false">IF(GanttPeriod=1,LEFT(TEXT(GanttStart+(COLUMN()-COLUMN(gantt_Origin)-1)*GanttPeriod,"ddd"),1),"")</f>
        <v>F</v>
      </c>
      <c r="BY3" s="80" t="str">
        <f aca="false">IF(GanttPeriod=1,LEFT(TEXT(GanttStart+(COLUMN()-COLUMN(gantt_Origin)-1)*GanttPeriod,"ddd"),1),"")</f>
        <v>S</v>
      </c>
      <c r="BZ3" s="80" t="str">
        <f aca="false">IF(GanttPeriod=1,LEFT(TEXT(GanttStart+(COLUMN()-COLUMN(gantt_Origin)-1)*GanttPeriod,"ddd"),1),"")</f>
        <v>S</v>
      </c>
      <c r="CA3" s="80" t="str">
        <f aca="false">IF(GanttPeriod=1,LEFT(TEXT(GanttStart+(COLUMN()-COLUMN(gantt_Origin)-1)*GanttPeriod,"ddd"),1),"")</f>
        <v>M</v>
      </c>
      <c r="CB3" s="80" t="str">
        <f aca="false">IF(GanttPeriod=1,LEFT(TEXT(GanttStart+(COLUMN()-COLUMN(gantt_Origin)-1)*GanttPeriod,"ddd"),1),"")</f>
        <v>T</v>
      </c>
      <c r="CC3" s="80" t="str">
        <f aca="false">IF(GanttPeriod=1,LEFT(TEXT(GanttStart+(COLUMN()-COLUMN(gantt_Origin)-1)*GanttPeriod,"ddd"),1),"")</f>
        <v>W</v>
      </c>
      <c r="CD3" s="80" t="str">
        <f aca="false">IF(GanttPeriod=1,LEFT(TEXT(GanttStart+(COLUMN()-COLUMN(gantt_Origin)-1)*GanttPeriod,"ddd"),1),"")</f>
        <v>T</v>
      </c>
      <c r="CE3" s="80" t="str">
        <f aca="false">IF(GanttPeriod=1,LEFT(TEXT(GanttStart+(COLUMN()-COLUMN(gantt_Origin)-1)*GanttPeriod,"ddd"),1),"")</f>
        <v>F</v>
      </c>
      <c r="CF3" s="80" t="str">
        <f aca="false">IF(GanttPeriod=1,LEFT(TEXT(GanttStart+(COLUMN()-COLUMN(gantt_Origin)-1)*GanttPeriod,"ddd"),1),"")</f>
        <v>S</v>
      </c>
      <c r="CG3" s="80" t="str">
        <f aca="false">IF(GanttPeriod=1,LEFT(TEXT(GanttStart+(COLUMN()-COLUMN(gantt_Origin)-1)*GanttPeriod,"ddd"),1),"")</f>
        <v>S</v>
      </c>
      <c r="CH3" s="80" t="str">
        <f aca="false">IF(GanttPeriod=1,LEFT(TEXT(GanttStart+(COLUMN()-COLUMN(gantt_Origin)-1)*GanttPeriod,"ddd"),1),"")</f>
        <v>M</v>
      </c>
      <c r="CI3" s="80" t="str">
        <f aca="false">IF(GanttPeriod=1,LEFT(TEXT(GanttStart+(COLUMN()-COLUMN(gantt_Origin)-1)*GanttPeriod,"ddd"),1),"")</f>
        <v>T</v>
      </c>
      <c r="CJ3" s="80" t="str">
        <f aca="false">IF(GanttPeriod=1,LEFT(TEXT(GanttStart+(COLUMN()-COLUMN(gantt_Origin)-1)*GanttPeriod,"ddd"),1),"")</f>
        <v>W</v>
      </c>
      <c r="CK3" s="80" t="str">
        <f aca="false">IF(GanttPeriod=1,LEFT(TEXT(GanttStart+(COLUMN()-COLUMN(gantt_Origin)-1)*GanttPeriod,"ddd"),1),"")</f>
        <v>T</v>
      </c>
      <c r="CL3" s="80" t="str">
        <f aca="false">IF(GanttPeriod=1,LEFT(TEXT(GanttStart+(COLUMN()-COLUMN(gantt_Origin)-1)*GanttPeriod,"ddd"),1),"")</f>
        <v>F</v>
      </c>
      <c r="CM3" s="80" t="str">
        <f aca="false">IF(GanttPeriod=1,LEFT(TEXT(GanttStart+(COLUMN()-COLUMN(gantt_Origin)-1)*GanttPeriod,"ddd"),1),"")</f>
        <v>S</v>
      </c>
      <c r="CN3" s="80" t="str">
        <f aca="false">IF(GanttPeriod=1,LEFT(TEXT(GanttStart+(COLUMN()-COLUMN(gantt_Origin)-1)*GanttPeriod,"ddd"),1),"")</f>
        <v>S</v>
      </c>
      <c r="CO3" s="80" t="str">
        <f aca="false">IF(GanttPeriod=1,LEFT(TEXT(GanttStart+(COLUMN()-COLUMN(gantt_Origin)-1)*GanttPeriod,"ddd"),1),"")</f>
        <v>M</v>
      </c>
      <c r="CP3" s="80" t="str">
        <f aca="false">IF(GanttPeriod=1,LEFT(TEXT(GanttStart+(COLUMN()-COLUMN(gantt_Origin)-1)*GanttPeriod,"ddd"),1),"")</f>
        <v>T</v>
      </c>
      <c r="CQ3" s="80" t="str">
        <f aca="false">IF(GanttPeriod=1,LEFT(TEXT(GanttStart+(COLUMN()-COLUMN(gantt_Origin)-1)*GanttPeriod,"ddd"),1),"")</f>
        <v>W</v>
      </c>
      <c r="CR3" s="80" t="str">
        <f aca="false">IF(GanttPeriod=1,LEFT(TEXT(GanttStart+(COLUMN()-COLUMN(gantt_Origin)-1)*GanttPeriod,"ddd"),1),"")</f>
        <v>T</v>
      </c>
      <c r="CS3" s="80" t="str">
        <f aca="false">IF(GanttPeriod=1,LEFT(TEXT(GanttStart+(COLUMN()-COLUMN(gantt_Origin)-1)*GanttPeriod,"ddd"),1),"")</f>
        <v>F</v>
      </c>
      <c r="CT3" s="80" t="str">
        <f aca="false">IF(GanttPeriod=1,LEFT(TEXT(GanttStart+(COLUMN()-COLUMN(gantt_Origin)-1)*GanttPeriod,"ddd"),1),"")</f>
        <v>S</v>
      </c>
      <c r="CU3" s="80" t="str">
        <f aca="false">IF(GanttPeriod=1,LEFT(TEXT(GanttStart+(COLUMN()-COLUMN(gantt_Origin)-1)*GanttPeriod,"ddd"),1),"")</f>
        <v>S</v>
      </c>
      <c r="CV3" s="80" t="str">
        <f aca="false">IF(GanttPeriod=1,LEFT(TEXT(GanttStart+(COLUMN()-COLUMN(gantt_Origin)-1)*GanttPeriod,"ddd"),1),"")</f>
        <v>M</v>
      </c>
      <c r="CW3" s="80" t="str">
        <f aca="false">IF(GanttPeriod=1,LEFT(TEXT(GanttStart+(COLUMN()-COLUMN(gantt_Origin)-1)*GanttPeriod,"ddd"),1),"")</f>
        <v>T</v>
      </c>
      <c r="CX3" s="80" t="str">
        <f aca="false">IF(GanttPeriod=1,LEFT(TEXT(GanttStart+(COLUMN()-COLUMN(gantt_Origin)-1)*GanttPeriod,"ddd"),1),"")</f>
        <v>W</v>
      </c>
      <c r="CY3" s="80" t="str">
        <f aca="false">IF(GanttPeriod=1,LEFT(TEXT(GanttStart+(COLUMN()-COLUMN(gantt_Origin)-1)*GanttPeriod,"ddd"),1),"")</f>
        <v>T</v>
      </c>
      <c r="CZ3" s="80" t="str">
        <f aca="false">IF(GanttPeriod=1,LEFT(TEXT(GanttStart+(COLUMN()-COLUMN(gantt_Origin)-1)*GanttPeriod,"ddd"),1),"")</f>
        <v>F</v>
      </c>
      <c r="DA3" s="80" t="str">
        <f aca="false">IF(GanttPeriod=1,LEFT(TEXT(GanttStart+(COLUMN()-COLUMN(gantt_Origin)-1)*GanttPeriod,"ddd"),1),"")</f>
        <v>S</v>
      </c>
      <c r="DB3" s="80" t="str">
        <f aca="false">IF(GanttPeriod=1,LEFT(TEXT(GanttStart+(COLUMN()-COLUMN(gantt_Origin)-1)*GanttPeriod,"ddd"),1),"")</f>
        <v>S</v>
      </c>
      <c r="DC3" s="80" t="str">
        <f aca="false">IF(GanttPeriod=1,LEFT(TEXT(GanttStart+(COLUMN()-COLUMN(gantt_Origin)-1)*GanttPeriod,"ddd"),1),"")</f>
        <v>M</v>
      </c>
      <c r="DD3" s="80" t="str">
        <f aca="false">IF(GanttPeriod=1,LEFT(TEXT(GanttStart+(COLUMN()-COLUMN(gantt_Origin)-1)*GanttPeriod,"ddd"),1),"")</f>
        <v>T</v>
      </c>
      <c r="DE3" s="80" t="str">
        <f aca="false">IF(GanttPeriod=1,LEFT(TEXT(GanttStart+(COLUMN()-COLUMN(gantt_Origin)-1)*GanttPeriod,"ddd"),1),"")</f>
        <v>W</v>
      </c>
      <c r="DF3" s="80" t="str">
        <f aca="false">IF(GanttPeriod=1,LEFT(TEXT(GanttStart+(COLUMN()-COLUMN(gantt_Origin)-1)*GanttPeriod,"ddd"),1),"")</f>
        <v>T</v>
      </c>
      <c r="DG3" s="80" t="str">
        <f aca="false">IF(GanttPeriod=1,LEFT(TEXT(GanttStart+(COLUMN()-COLUMN(gantt_Origin)-1)*GanttPeriod,"ddd"),1),"")</f>
        <v>F</v>
      </c>
      <c r="DH3" s="80" t="str">
        <f aca="false">IF(GanttPeriod=1,LEFT(TEXT(GanttStart+(COLUMN()-COLUMN(gantt_Origin)-1)*GanttPeriod,"ddd"),1),"")</f>
        <v>S</v>
      </c>
      <c r="DI3" s="80" t="str">
        <f aca="false">IF(GanttPeriod=1,LEFT(TEXT(GanttStart+(COLUMN()-COLUMN(gantt_Origin)-1)*GanttPeriod,"ddd"),1),"")</f>
        <v>S</v>
      </c>
      <c r="DJ3" s="80" t="str">
        <f aca="false">IF(GanttPeriod=1,LEFT(TEXT(GanttStart+(COLUMN()-COLUMN(gantt_Origin)-1)*GanttPeriod,"ddd"),1),"")</f>
        <v>M</v>
      </c>
      <c r="DK3" s="80" t="str">
        <f aca="false">IF(GanttPeriod=1,LEFT(TEXT(GanttStart+(COLUMN()-COLUMN(gantt_Origin)-1)*GanttPeriod,"ddd"),1),"")</f>
        <v>T</v>
      </c>
      <c r="DL3" s="80" t="str">
        <f aca="false">IF(GanttPeriod=1,LEFT(TEXT(GanttStart+(COLUMN()-COLUMN(gantt_Origin)-1)*GanttPeriod,"ddd"),1),"")</f>
        <v>W</v>
      </c>
      <c r="DM3" s="80" t="str">
        <f aca="false">IF(GanttPeriod=1,LEFT(TEXT(GanttStart+(COLUMN()-COLUMN(gantt_Origin)-1)*GanttPeriod,"ddd"),1),"")</f>
        <v>T</v>
      </c>
      <c r="DN3" s="80" t="str">
        <f aca="false">IF(GanttPeriod=1,LEFT(TEXT(GanttStart+(COLUMN()-COLUMN(gantt_Origin)-1)*GanttPeriod,"ddd"),1),"")</f>
        <v>F</v>
      </c>
      <c r="DO3" s="80" t="str">
        <f aca="false">IF(GanttPeriod=1,LEFT(TEXT(GanttStart+(COLUMN()-COLUMN(gantt_Origin)-1)*GanttPeriod,"ddd"),1),"")</f>
        <v>S</v>
      </c>
      <c r="DP3" s="80" t="str">
        <f aca="false">IF(GanttPeriod=1,LEFT(TEXT(GanttStart+(COLUMN()-COLUMN(gantt_Origin)-1)*GanttPeriod,"ddd"),1),"")</f>
        <v>S</v>
      </c>
      <c r="DQ3" s="80" t="str">
        <f aca="false">IF(GanttPeriod=1,LEFT(TEXT(GanttStart+(COLUMN()-COLUMN(gantt_Origin)-1)*GanttPeriod,"ddd"),1),"")</f>
        <v>M</v>
      </c>
      <c r="DR3" s="80" t="str">
        <f aca="false">IF(GanttPeriod=1,LEFT(TEXT(GanttStart+(COLUMN()-COLUMN(gantt_Origin)-1)*GanttPeriod,"ddd"),1),"")</f>
        <v>T</v>
      </c>
      <c r="DS3" s="80" t="str">
        <f aca="false">IF(GanttPeriod=1,LEFT(TEXT(GanttStart+(COLUMN()-COLUMN(gantt_Origin)-1)*GanttPeriod,"ddd"),1),"")</f>
        <v>W</v>
      </c>
      <c r="DT3" s="80" t="str">
        <f aca="false">IF(GanttPeriod=1,LEFT(TEXT(GanttStart+(COLUMN()-COLUMN(gantt_Origin)-1)*GanttPeriod,"ddd"),1),"")</f>
        <v>T</v>
      </c>
      <c r="DU3" s="80" t="str">
        <f aca="false">IF(GanttPeriod=1,LEFT(TEXT(GanttStart+(COLUMN()-COLUMN(gantt_Origin)-1)*GanttPeriod,"ddd"),1),"")</f>
        <v>F</v>
      </c>
      <c r="DV3" s="80" t="str">
        <f aca="false">IF(GanttPeriod=1,LEFT(TEXT(GanttStart+(COLUMN()-COLUMN(gantt_Origin)-1)*GanttPeriod,"ddd"),1),"")</f>
        <v>S</v>
      </c>
      <c r="DW3" s="80" t="str">
        <f aca="false">IF(GanttPeriod=1,LEFT(TEXT(GanttStart+(COLUMN()-COLUMN(gantt_Origin)-1)*GanttPeriod,"ddd"),1),"")</f>
        <v>S</v>
      </c>
      <c r="DX3" s="80" t="str">
        <f aca="false">IF(GanttPeriod=1,LEFT(TEXT(GanttStart+(COLUMN()-COLUMN(gantt_Origin)-1)*GanttPeriod,"ddd"),1),"")</f>
        <v>M</v>
      </c>
      <c r="DY3" s="80" t="str">
        <f aca="false">IF(GanttPeriod=1,LEFT(TEXT(GanttStart+(COLUMN()-COLUMN(gantt_Origin)-1)*GanttPeriod,"ddd"),1),"")</f>
        <v>T</v>
      </c>
      <c r="DZ3" s="80" t="str">
        <f aca="false">IF(GanttPeriod=1,LEFT(TEXT(GanttStart+(COLUMN()-COLUMN(gantt_Origin)-1)*GanttPeriod,"ddd"),1),"")</f>
        <v>W</v>
      </c>
      <c r="EA3" s="80" t="str">
        <f aca="false">IF(GanttPeriod=1,LEFT(TEXT(GanttStart+(COLUMN()-COLUMN(gantt_Origin)-1)*GanttPeriod,"ddd"),1),"")</f>
        <v>T</v>
      </c>
      <c r="EB3" s="80" t="str">
        <f aca="false">IF(GanttPeriod=1,LEFT(TEXT(GanttStart+(COLUMN()-COLUMN(gantt_Origin)-1)*GanttPeriod,"ddd"),1),"")</f>
        <v>F</v>
      </c>
      <c r="EC3" s="80" t="str">
        <f aca="false">IF(GanttPeriod=1,LEFT(TEXT(GanttStart+(COLUMN()-COLUMN(gantt_Origin)-1)*GanttPeriod,"ddd"),1),"")</f>
        <v>S</v>
      </c>
      <c r="ED3" s="80" t="str">
        <f aca="false">IF(GanttPeriod=1,LEFT(TEXT(GanttStart+(COLUMN()-COLUMN(gantt_Origin)-1)*GanttPeriod,"ddd"),1),"")</f>
        <v>S</v>
      </c>
      <c r="EE3" s="80" t="str">
        <f aca="false">IF(GanttPeriod=1,LEFT(TEXT(GanttStart+(COLUMN()-COLUMN(gantt_Origin)-1)*GanttPeriod,"ddd"),1),"")</f>
        <v>M</v>
      </c>
      <c r="EF3" s="80" t="str">
        <f aca="false">IF(GanttPeriod=1,LEFT(TEXT(GanttStart+(COLUMN()-COLUMN(gantt_Origin)-1)*GanttPeriod,"ddd"),1),"")</f>
        <v>T</v>
      </c>
      <c r="EG3" s="80" t="str">
        <f aca="false">IF(GanttPeriod=1,LEFT(TEXT(GanttStart+(COLUMN()-COLUMN(gantt_Origin)-1)*GanttPeriod,"ddd"),1),"")</f>
        <v>W</v>
      </c>
      <c r="EH3" s="80" t="str">
        <f aca="false">IF(GanttPeriod=1,LEFT(TEXT(GanttStart+(COLUMN()-COLUMN(gantt_Origin)-1)*GanttPeriod,"ddd"),1),"")</f>
        <v>T</v>
      </c>
      <c r="EI3" s="80" t="str">
        <f aca="false">IF(GanttPeriod=1,LEFT(TEXT(GanttStart+(COLUMN()-COLUMN(gantt_Origin)-1)*GanttPeriod,"ddd"),1),"")</f>
        <v>F</v>
      </c>
      <c r="EJ3" s="80" t="str">
        <f aca="false">IF(GanttPeriod=1,LEFT(TEXT(GanttStart+(COLUMN()-COLUMN(gantt_Origin)-1)*GanttPeriod,"ddd"),1),"")</f>
        <v>S</v>
      </c>
      <c r="EK3" s="80" t="str">
        <f aca="false">IF(GanttPeriod=1,LEFT(TEXT(GanttStart+(COLUMN()-COLUMN(gantt_Origin)-1)*GanttPeriod,"ddd"),1),"")</f>
        <v>S</v>
      </c>
      <c r="EL3" s="80" t="str">
        <f aca="false">IF(GanttPeriod=1,LEFT(TEXT(GanttStart+(COLUMN()-COLUMN(gantt_Origin)-1)*GanttPeriod,"ddd"),1),"")</f>
        <v>M</v>
      </c>
      <c r="EM3" s="80" t="str">
        <f aca="false">IF(GanttPeriod=1,LEFT(TEXT(GanttStart+(COLUMN()-COLUMN(gantt_Origin)-1)*GanttPeriod,"ddd"),1),"")</f>
        <v>T</v>
      </c>
      <c r="EN3" s="80" t="str">
        <f aca="false">IF(GanttPeriod=1,LEFT(TEXT(GanttStart+(COLUMN()-COLUMN(gantt_Origin)-1)*GanttPeriod,"ddd"),1),"")</f>
        <v>W</v>
      </c>
      <c r="EO3" s="80" t="str">
        <f aca="false">IF(GanttPeriod=1,LEFT(TEXT(GanttStart+(COLUMN()-COLUMN(gantt_Origin)-1)*GanttPeriod,"ddd"),1),"")</f>
        <v>T</v>
      </c>
      <c r="EP3" s="80" t="str">
        <f aca="false">IF(GanttPeriod=1,LEFT(TEXT(GanttStart+(COLUMN()-COLUMN(gantt_Origin)-1)*GanttPeriod,"ddd"),1),"")</f>
        <v>F</v>
      </c>
      <c r="EQ3" s="80" t="str">
        <f aca="false">IF(GanttPeriod=1,LEFT(TEXT(GanttStart+(COLUMN()-COLUMN(gantt_Origin)-1)*GanttPeriod,"ddd"),1),"")</f>
        <v>S</v>
      </c>
      <c r="ER3" s="80" t="str">
        <f aca="false">IF(GanttPeriod=1,LEFT(TEXT(GanttStart+(COLUMN()-COLUMN(gantt_Origin)-1)*GanttPeriod,"ddd"),1),"")</f>
        <v>S</v>
      </c>
      <c r="ES3" s="80" t="str">
        <f aca="false">IF(GanttPeriod=1,LEFT(TEXT(GanttStart+(COLUMN()-COLUMN(gantt_Origin)-1)*GanttPeriod,"ddd"),1),"")</f>
        <v>M</v>
      </c>
      <c r="ET3" s="80" t="str">
        <f aca="false">IF(GanttPeriod=1,LEFT(TEXT(GanttStart+(COLUMN()-COLUMN(gantt_Origin)-1)*GanttPeriod,"ddd"),1),"")</f>
        <v>T</v>
      </c>
      <c r="EU3" s="80" t="str">
        <f aca="false">IF(GanttPeriod=1,LEFT(TEXT(GanttStart+(COLUMN()-COLUMN(gantt_Origin)-1)*GanttPeriod,"ddd"),1),"")</f>
        <v>W</v>
      </c>
      <c r="EV3" s="80" t="str">
        <f aca="false">IF(GanttPeriod=1,LEFT(TEXT(GanttStart+(COLUMN()-COLUMN(gantt_Origin)-1)*GanttPeriod,"ddd"),1),"")</f>
        <v>T</v>
      </c>
      <c r="EW3" s="80" t="str">
        <f aca="false">IF(GanttPeriod=1,LEFT(TEXT(GanttStart+(COLUMN()-COLUMN(gantt_Origin)-1)*GanttPeriod,"ddd"),1),"")</f>
        <v>F</v>
      </c>
      <c r="EX3" s="80" t="str">
        <f aca="false">IF(GanttPeriod=1,LEFT(TEXT(GanttStart+(COLUMN()-COLUMN(gantt_Origin)-1)*GanttPeriod,"ddd"),1),"")</f>
        <v>S</v>
      </c>
      <c r="EY3" s="80" t="str">
        <f aca="false">IF(GanttPeriod=1,LEFT(TEXT(GanttStart+(COLUMN()-COLUMN(gantt_Origin)-1)*GanttPeriod,"ddd"),1),"")</f>
        <v>S</v>
      </c>
      <c r="EZ3" s="80" t="str">
        <f aca="false">IF(GanttPeriod=1,LEFT(TEXT(GanttStart+(COLUMN()-COLUMN(gantt_Origin)-1)*GanttPeriod,"ddd"),1),"")</f>
        <v>M</v>
      </c>
      <c r="FA3" s="80" t="str">
        <f aca="false">IF(GanttPeriod=1,LEFT(TEXT(GanttStart+(COLUMN()-COLUMN(gantt_Origin)-1)*GanttPeriod,"ddd"),1),"")</f>
        <v>T</v>
      </c>
      <c r="FB3" s="80" t="str">
        <f aca="false">IF(GanttPeriod=1,LEFT(TEXT(GanttStart+(COLUMN()-COLUMN(gantt_Origin)-1)*GanttPeriod,"ddd"),1),"")</f>
        <v>W</v>
      </c>
      <c r="FC3" s="80" t="str">
        <f aca="false">IF(GanttPeriod=1,LEFT(TEXT(GanttStart+(COLUMN()-COLUMN(gantt_Origin)-1)*GanttPeriod,"ddd"),1),"")</f>
        <v>T</v>
      </c>
      <c r="FD3" s="80" t="str">
        <f aca="false">IF(GanttPeriod=1,LEFT(TEXT(GanttStart+(COLUMN()-COLUMN(gantt_Origin)-1)*GanttPeriod,"ddd"),1),"")</f>
        <v>F</v>
      </c>
      <c r="FE3" s="80" t="str">
        <f aca="false">IF(GanttPeriod=1,LEFT(TEXT(GanttStart+(COLUMN()-COLUMN(gantt_Origin)-1)*GanttPeriod,"ddd"),1),"")</f>
        <v>S</v>
      </c>
      <c r="FF3" s="80" t="str">
        <f aca="false">IF(GanttPeriod=1,LEFT(TEXT(GanttStart+(COLUMN()-COLUMN(gantt_Origin)-1)*GanttPeriod,"ddd"),1),"")</f>
        <v>S</v>
      </c>
      <c r="FG3" s="80" t="str">
        <f aca="false">IF(GanttPeriod=1,LEFT(TEXT(GanttStart+(COLUMN()-COLUMN(gantt_Origin)-1)*GanttPeriod,"ddd"),1),"")</f>
        <v>M</v>
      </c>
      <c r="FH3" s="80" t="str">
        <f aca="false">IF(GanttPeriod=1,LEFT(TEXT(GanttStart+(COLUMN()-COLUMN(gantt_Origin)-1)*GanttPeriod,"ddd"),1),"")</f>
        <v>T</v>
      </c>
      <c r="FI3" s="80" t="str">
        <f aca="false">IF(GanttPeriod=1,LEFT(TEXT(GanttStart+(COLUMN()-COLUMN(gantt_Origin)-1)*GanttPeriod,"ddd"),1),"")</f>
        <v>W</v>
      </c>
      <c r="FJ3" s="80" t="str">
        <f aca="false">IF(GanttPeriod=1,LEFT(TEXT(GanttStart+(COLUMN()-COLUMN(gantt_Origin)-1)*GanttPeriod,"ddd"),1),"")</f>
        <v>T</v>
      </c>
      <c r="FK3" s="80" t="str">
        <f aca="false">IF(GanttPeriod=1,LEFT(TEXT(GanttStart+(COLUMN()-COLUMN(gantt_Origin)-1)*GanttPeriod,"ddd"),1),"")</f>
        <v>F</v>
      </c>
      <c r="FL3" s="80" t="str">
        <f aca="false">IF(GanttPeriod=1,LEFT(TEXT(GanttStart+(COLUMN()-COLUMN(gantt_Origin)-1)*GanttPeriod,"ddd"),1),"")</f>
        <v>S</v>
      </c>
      <c r="FM3" s="80" t="str">
        <f aca="false">IF(GanttPeriod=1,LEFT(TEXT(GanttStart+(COLUMN()-COLUMN(gantt_Origin)-1)*GanttPeriod,"ddd"),1),"")</f>
        <v>S</v>
      </c>
      <c r="FN3" s="80" t="str">
        <f aca="false">IF(GanttPeriod=1,LEFT(TEXT(GanttStart+(COLUMN()-COLUMN(gantt_Origin)-1)*GanttPeriod,"ddd"),1),"")</f>
        <v>M</v>
      </c>
      <c r="FO3" s="80" t="str">
        <f aca="false">IF(GanttPeriod=1,LEFT(TEXT(GanttStart+(COLUMN()-COLUMN(gantt_Origin)-1)*GanttPeriod,"ddd"),1),"")</f>
        <v>T</v>
      </c>
      <c r="FP3" s="80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81" t="str">
        <f aca="false">IF(OR(COLUMN()-COLUMN(gantt_Origin)=1,DAY(GanttStart+(COLUMN()-COLUMN(gantt_Origin)-1)*GanttPeriod)&lt;=GanttPeriod),TEXT(GanttStart+(COLUMN()-COLUMN(gantt_Origin)-1)*GanttPeriod,"mmm yy"),"")</f>
        <v>Dec 99</v>
      </c>
      <c r="X4" s="81" t="str">
        <f aca="false">IF(OR(COLUMN()-COLUMN(gantt_Origin)=1,DAY(GanttStart+(COLUMN()-COLUMN(gantt_Origin)-1)*GanttPeriod)&lt;=GanttPeriod),TEXT(GanttStart+(COLUMN()-COLUMN(gantt_Origin)-1)*GanttPeriod,"mmm yy"),"")</f>
        <v/>
      </c>
      <c r="Y4" s="81" t="str">
        <f aca="false">IF(OR(COLUMN()-COLUMN(gantt_Origin)=1,DAY(GanttStart+(COLUMN()-COLUMN(gantt_Origin)-1)*GanttPeriod)&lt;=GanttPeriod),TEXT(GanttStart+(COLUMN()-COLUMN(gantt_Origin)-1)*GanttPeriod,"mmm yy"),"")</f>
        <v/>
      </c>
      <c r="Z4" s="81" t="str">
        <f aca="false">IF(OR(COLUMN()-COLUMN(gantt_Origin)=1,DAY(GanttStart+(COLUMN()-COLUMN(gantt_Origin)-1)*GanttPeriod)&lt;=GanttPeriod),TEXT(GanttStart+(COLUMN()-COLUMN(gantt_Origin)-1)*GanttPeriod,"mmm yy"),"")</f>
        <v/>
      </c>
      <c r="AA4" s="81" t="str">
        <f aca="false">IF(OR(COLUMN()-COLUMN(gantt_Origin)=1,DAY(GanttStart+(COLUMN()-COLUMN(gantt_Origin)-1)*GanttPeriod)&lt;=GanttPeriod),TEXT(GanttStart+(COLUMN()-COLUMN(gantt_Origin)-1)*GanttPeriod,"mmm yy"),"")</f>
        <v/>
      </c>
      <c r="AB4" s="81" t="str">
        <f aca="false">IF(OR(COLUMN()-COLUMN(gantt_Origin)=1,DAY(GanttStart+(COLUMN()-COLUMN(gantt_Origin)-1)*GanttPeriod)&lt;=GanttPeriod),TEXT(GanttStart+(COLUMN()-COLUMN(gantt_Origin)-1)*GanttPeriod,"mmm yy"),"")</f>
        <v/>
      </c>
      <c r="AC4" s="81" t="str">
        <f aca="false">IF(OR(COLUMN()-COLUMN(gantt_Origin)=1,DAY(GanttStart+(COLUMN()-COLUMN(gantt_Origin)-1)*GanttPeriod)&lt;=GanttPeriod),TEXT(GanttStart+(COLUMN()-COLUMN(gantt_Origin)-1)*GanttPeriod,"mmm yy"),"")</f>
        <v/>
      </c>
      <c r="AD4" s="81" t="str">
        <f aca="false">IF(OR(COLUMN()-COLUMN(gantt_Origin)=1,DAY(GanttStart+(COLUMN()-COLUMN(gantt_Origin)-1)*GanttPeriod)&lt;=GanttPeriod),TEXT(GanttStart+(COLUMN()-COLUMN(gantt_Origin)-1)*GanttPeriod,"mmm yy"),"")</f>
        <v>Jan 00</v>
      </c>
      <c r="AE4" s="81" t="str">
        <f aca="false">IF(OR(COLUMN()-COLUMN(gantt_Origin)=1,DAY(GanttStart+(COLUMN()-COLUMN(gantt_Origin)-1)*GanttPeriod)&lt;=GanttPeriod),TEXT(GanttStart+(COLUMN()-COLUMN(gantt_Origin)-1)*GanttPeriod,"mmm yy"),"")</f>
        <v/>
      </c>
      <c r="AF4" s="81" t="str">
        <f aca="false">IF(OR(COLUMN()-COLUMN(gantt_Origin)=1,DAY(GanttStart+(COLUMN()-COLUMN(gantt_Origin)-1)*GanttPeriod)&lt;=GanttPeriod),TEXT(GanttStart+(COLUMN()-COLUMN(gantt_Origin)-1)*GanttPeriod,"mmm yy"),"")</f>
        <v/>
      </c>
      <c r="AG4" s="81" t="str">
        <f aca="false">IF(OR(COLUMN()-COLUMN(gantt_Origin)=1,DAY(GanttStart+(COLUMN()-COLUMN(gantt_Origin)-1)*GanttPeriod)&lt;=GanttPeriod),TEXT(GanttStart+(COLUMN()-COLUMN(gantt_Origin)-1)*GanttPeriod,"mmm yy"),"")</f>
        <v/>
      </c>
      <c r="AH4" s="81" t="str">
        <f aca="false">IF(OR(COLUMN()-COLUMN(gantt_Origin)=1,DAY(GanttStart+(COLUMN()-COLUMN(gantt_Origin)-1)*GanttPeriod)&lt;=GanttPeriod),TEXT(GanttStart+(COLUMN()-COLUMN(gantt_Origin)-1)*GanttPeriod,"mmm yy"),"")</f>
        <v/>
      </c>
      <c r="AI4" s="81" t="str">
        <f aca="false">IF(OR(COLUMN()-COLUMN(gantt_Origin)=1,DAY(GanttStart+(COLUMN()-COLUMN(gantt_Origin)-1)*GanttPeriod)&lt;=GanttPeriod),TEXT(GanttStart+(COLUMN()-COLUMN(gantt_Origin)-1)*GanttPeriod,"mmm yy"),"")</f>
        <v/>
      </c>
      <c r="AJ4" s="81" t="str">
        <f aca="false">IF(OR(COLUMN()-COLUMN(gantt_Origin)=1,DAY(GanttStart+(COLUMN()-COLUMN(gantt_Origin)-1)*GanttPeriod)&lt;=GanttPeriod),TEXT(GanttStart+(COLUMN()-COLUMN(gantt_Origin)-1)*GanttPeriod,"mmm yy"),"")</f>
        <v/>
      </c>
      <c r="AK4" s="81" t="str">
        <f aca="false">IF(OR(COLUMN()-COLUMN(gantt_Origin)=1,DAY(GanttStart+(COLUMN()-COLUMN(gantt_Origin)-1)*GanttPeriod)&lt;=GanttPeriod),TEXT(GanttStart+(COLUMN()-COLUMN(gantt_Origin)-1)*GanttPeriod,"mmm yy"),"")</f>
        <v/>
      </c>
      <c r="AL4" s="81" t="str">
        <f aca="false">IF(OR(COLUMN()-COLUMN(gantt_Origin)=1,DAY(GanttStart+(COLUMN()-COLUMN(gantt_Origin)-1)*GanttPeriod)&lt;=GanttPeriod),TEXT(GanttStart+(COLUMN()-COLUMN(gantt_Origin)-1)*GanttPeriod,"mmm yy"),"")</f>
        <v/>
      </c>
      <c r="AM4" s="81" t="str">
        <f aca="false">IF(OR(COLUMN()-COLUMN(gantt_Origin)=1,DAY(GanttStart+(COLUMN()-COLUMN(gantt_Origin)-1)*GanttPeriod)&lt;=GanttPeriod),TEXT(GanttStart+(COLUMN()-COLUMN(gantt_Origin)-1)*GanttPeriod,"mmm yy"),"")</f>
        <v/>
      </c>
      <c r="AN4" s="81" t="str">
        <f aca="false">IF(OR(COLUMN()-COLUMN(gantt_Origin)=1,DAY(GanttStart+(COLUMN()-COLUMN(gantt_Origin)-1)*GanttPeriod)&lt;=GanttPeriod),TEXT(GanttStart+(COLUMN()-COLUMN(gantt_Origin)-1)*GanttPeriod,"mmm yy"),"")</f>
        <v/>
      </c>
      <c r="AO4" s="81" t="str">
        <f aca="false">IF(OR(COLUMN()-COLUMN(gantt_Origin)=1,DAY(GanttStart+(COLUMN()-COLUMN(gantt_Origin)-1)*GanttPeriod)&lt;=GanttPeriod),TEXT(GanttStart+(COLUMN()-COLUMN(gantt_Origin)-1)*GanttPeriod,"mmm yy"),"")</f>
        <v/>
      </c>
      <c r="AP4" s="81" t="str">
        <f aca="false">IF(OR(COLUMN()-COLUMN(gantt_Origin)=1,DAY(GanttStart+(COLUMN()-COLUMN(gantt_Origin)-1)*GanttPeriod)&lt;=GanttPeriod),TEXT(GanttStart+(COLUMN()-COLUMN(gantt_Origin)-1)*GanttPeriod,"mmm yy"),"")</f>
        <v/>
      </c>
      <c r="AQ4" s="81" t="str">
        <f aca="false">IF(OR(COLUMN()-COLUMN(gantt_Origin)=1,DAY(GanttStart+(COLUMN()-COLUMN(gantt_Origin)-1)*GanttPeriod)&lt;=GanttPeriod),TEXT(GanttStart+(COLUMN()-COLUMN(gantt_Origin)-1)*GanttPeriod,"mmm yy"),"")</f>
        <v/>
      </c>
      <c r="AR4" s="81" t="str">
        <f aca="false">IF(OR(COLUMN()-COLUMN(gantt_Origin)=1,DAY(GanttStart+(COLUMN()-COLUMN(gantt_Origin)-1)*GanttPeriod)&lt;=GanttPeriod),TEXT(GanttStart+(COLUMN()-COLUMN(gantt_Origin)-1)*GanttPeriod,"mmm yy"),"")</f>
        <v/>
      </c>
      <c r="AS4" s="81" t="str">
        <f aca="false">IF(OR(COLUMN()-COLUMN(gantt_Origin)=1,DAY(GanttStart+(COLUMN()-COLUMN(gantt_Origin)-1)*GanttPeriod)&lt;=GanttPeriod),TEXT(GanttStart+(COLUMN()-COLUMN(gantt_Origin)-1)*GanttPeriod,"mmm yy"),"")</f>
        <v/>
      </c>
      <c r="AT4" s="81" t="str">
        <f aca="false">IF(OR(COLUMN()-COLUMN(gantt_Origin)=1,DAY(GanttStart+(COLUMN()-COLUMN(gantt_Origin)-1)*GanttPeriod)&lt;=GanttPeriod),TEXT(GanttStart+(COLUMN()-COLUMN(gantt_Origin)-1)*GanttPeriod,"mmm yy"),"")</f>
        <v/>
      </c>
      <c r="AU4" s="81" t="str">
        <f aca="false">IF(OR(COLUMN()-COLUMN(gantt_Origin)=1,DAY(GanttStart+(COLUMN()-COLUMN(gantt_Origin)-1)*GanttPeriod)&lt;=GanttPeriod),TEXT(GanttStart+(COLUMN()-COLUMN(gantt_Origin)-1)*GanttPeriod,"mmm yy"),"")</f>
        <v/>
      </c>
      <c r="AV4" s="81" t="str">
        <f aca="false">IF(OR(COLUMN()-COLUMN(gantt_Origin)=1,DAY(GanttStart+(COLUMN()-COLUMN(gantt_Origin)-1)*GanttPeriod)&lt;=GanttPeriod),TEXT(GanttStart+(COLUMN()-COLUMN(gantt_Origin)-1)*GanttPeriod,"mmm yy"),"")</f>
        <v/>
      </c>
      <c r="AW4" s="81" t="str">
        <f aca="false">IF(OR(COLUMN()-COLUMN(gantt_Origin)=1,DAY(GanttStart+(COLUMN()-COLUMN(gantt_Origin)-1)*GanttPeriod)&lt;=GanttPeriod),TEXT(GanttStart+(COLUMN()-COLUMN(gantt_Origin)-1)*GanttPeriod,"mmm yy"),"")</f>
        <v/>
      </c>
      <c r="AX4" s="81" t="str">
        <f aca="false">IF(OR(COLUMN()-COLUMN(gantt_Origin)=1,DAY(GanttStart+(COLUMN()-COLUMN(gantt_Origin)-1)*GanttPeriod)&lt;=GanttPeriod),TEXT(GanttStart+(COLUMN()-COLUMN(gantt_Origin)-1)*GanttPeriod,"mmm yy"),"")</f>
        <v/>
      </c>
      <c r="AY4" s="81" t="str">
        <f aca="false">IF(OR(COLUMN()-COLUMN(gantt_Origin)=1,DAY(GanttStart+(COLUMN()-COLUMN(gantt_Origin)-1)*GanttPeriod)&lt;=GanttPeriod),TEXT(GanttStart+(COLUMN()-COLUMN(gantt_Origin)-1)*GanttPeriod,"mmm yy"),"")</f>
        <v/>
      </c>
      <c r="AZ4" s="81" t="str">
        <f aca="false">IF(OR(COLUMN()-COLUMN(gantt_Origin)=1,DAY(GanttStart+(COLUMN()-COLUMN(gantt_Origin)-1)*GanttPeriod)&lt;=GanttPeriod),TEXT(GanttStart+(COLUMN()-COLUMN(gantt_Origin)-1)*GanttPeriod,"mmm yy"),"")</f>
        <v/>
      </c>
      <c r="BA4" s="81" t="str">
        <f aca="false">IF(OR(COLUMN()-COLUMN(gantt_Origin)=1,DAY(GanttStart+(COLUMN()-COLUMN(gantt_Origin)-1)*GanttPeriod)&lt;=GanttPeriod),TEXT(GanttStart+(COLUMN()-COLUMN(gantt_Origin)-1)*GanttPeriod,"mmm yy"),"")</f>
        <v/>
      </c>
      <c r="BB4" s="81" t="str">
        <f aca="false">IF(OR(COLUMN()-COLUMN(gantt_Origin)=1,DAY(GanttStart+(COLUMN()-COLUMN(gantt_Origin)-1)*GanttPeriod)&lt;=GanttPeriod),TEXT(GanttStart+(COLUMN()-COLUMN(gantt_Origin)-1)*GanttPeriod,"mmm yy"),"")</f>
        <v/>
      </c>
      <c r="BC4" s="81" t="str">
        <f aca="false">IF(OR(COLUMN()-COLUMN(gantt_Origin)=1,DAY(GanttStart+(COLUMN()-COLUMN(gantt_Origin)-1)*GanttPeriod)&lt;=GanttPeriod),TEXT(GanttStart+(COLUMN()-COLUMN(gantt_Origin)-1)*GanttPeriod,"mmm yy"),"")</f>
        <v/>
      </c>
      <c r="BD4" s="81" t="str">
        <f aca="false">IF(OR(COLUMN()-COLUMN(gantt_Origin)=1,DAY(GanttStart+(COLUMN()-COLUMN(gantt_Origin)-1)*GanttPeriod)&lt;=GanttPeriod),TEXT(GanttStart+(COLUMN()-COLUMN(gantt_Origin)-1)*GanttPeriod,"mmm yy"),"")</f>
        <v/>
      </c>
      <c r="BE4" s="81" t="str">
        <f aca="false">IF(OR(COLUMN()-COLUMN(gantt_Origin)=1,DAY(GanttStart+(COLUMN()-COLUMN(gantt_Origin)-1)*GanttPeriod)&lt;=GanttPeriod),TEXT(GanttStart+(COLUMN()-COLUMN(gantt_Origin)-1)*GanttPeriod,"mmm yy"),"")</f>
        <v/>
      </c>
      <c r="BF4" s="81" t="str">
        <f aca="false">IF(OR(COLUMN()-COLUMN(gantt_Origin)=1,DAY(GanttStart+(COLUMN()-COLUMN(gantt_Origin)-1)*GanttPeriod)&lt;=GanttPeriod),TEXT(GanttStart+(COLUMN()-COLUMN(gantt_Origin)-1)*GanttPeriod,"mmm yy"),"")</f>
        <v/>
      </c>
      <c r="BG4" s="81" t="str">
        <f aca="false">IF(OR(COLUMN()-COLUMN(gantt_Origin)=1,DAY(GanttStart+(COLUMN()-COLUMN(gantt_Origin)-1)*GanttPeriod)&lt;=GanttPeriod),TEXT(GanttStart+(COLUMN()-COLUMN(gantt_Origin)-1)*GanttPeriod,"mmm yy"),"")</f>
        <v/>
      </c>
      <c r="BH4" s="81" t="str">
        <f aca="false">IF(OR(COLUMN()-COLUMN(gantt_Origin)=1,DAY(GanttStart+(COLUMN()-COLUMN(gantt_Origin)-1)*GanttPeriod)&lt;=GanttPeriod),TEXT(GanttStart+(COLUMN()-COLUMN(gantt_Origin)-1)*GanttPeriod,"mmm yy"),"")</f>
        <v/>
      </c>
      <c r="BI4" s="81" t="str">
        <f aca="false">IF(OR(COLUMN()-COLUMN(gantt_Origin)=1,DAY(GanttStart+(COLUMN()-COLUMN(gantt_Origin)-1)*GanttPeriod)&lt;=GanttPeriod),TEXT(GanttStart+(COLUMN()-COLUMN(gantt_Origin)-1)*GanttPeriod,"mmm yy"),"")</f>
        <v>Feb 00</v>
      </c>
      <c r="BJ4" s="81" t="str">
        <f aca="false">IF(OR(COLUMN()-COLUMN(gantt_Origin)=1,DAY(GanttStart+(COLUMN()-COLUMN(gantt_Origin)-1)*GanttPeriod)&lt;=GanttPeriod),TEXT(GanttStart+(COLUMN()-COLUMN(gantt_Origin)-1)*GanttPeriod,"mmm yy"),"")</f>
        <v/>
      </c>
      <c r="BK4" s="81" t="str">
        <f aca="false">IF(OR(COLUMN()-COLUMN(gantt_Origin)=1,DAY(GanttStart+(COLUMN()-COLUMN(gantt_Origin)-1)*GanttPeriod)&lt;=GanttPeriod),TEXT(GanttStart+(COLUMN()-COLUMN(gantt_Origin)-1)*GanttPeriod,"mmm yy"),"")</f>
        <v/>
      </c>
      <c r="BL4" s="81" t="str">
        <f aca="false">IF(OR(COLUMN()-COLUMN(gantt_Origin)=1,DAY(GanttStart+(COLUMN()-COLUMN(gantt_Origin)-1)*GanttPeriod)&lt;=GanttPeriod),TEXT(GanttStart+(COLUMN()-COLUMN(gantt_Origin)-1)*GanttPeriod,"mmm yy"),"")</f>
        <v/>
      </c>
      <c r="BM4" s="81" t="str">
        <f aca="false">IF(OR(COLUMN()-COLUMN(gantt_Origin)=1,DAY(GanttStart+(COLUMN()-COLUMN(gantt_Origin)-1)*GanttPeriod)&lt;=GanttPeriod),TEXT(GanttStart+(COLUMN()-COLUMN(gantt_Origin)-1)*GanttPeriod,"mmm yy"),"")</f>
        <v/>
      </c>
      <c r="BN4" s="81" t="str">
        <f aca="false">IF(OR(COLUMN()-COLUMN(gantt_Origin)=1,DAY(GanttStart+(COLUMN()-COLUMN(gantt_Origin)-1)*GanttPeriod)&lt;=GanttPeriod),TEXT(GanttStart+(COLUMN()-COLUMN(gantt_Origin)-1)*GanttPeriod,"mmm yy"),"")</f>
        <v/>
      </c>
      <c r="BO4" s="81" t="str">
        <f aca="false">IF(OR(COLUMN()-COLUMN(gantt_Origin)=1,DAY(GanttStart+(COLUMN()-COLUMN(gantt_Origin)-1)*GanttPeriod)&lt;=GanttPeriod),TEXT(GanttStart+(COLUMN()-COLUMN(gantt_Origin)-1)*GanttPeriod,"mmm yy"),"")</f>
        <v/>
      </c>
      <c r="BP4" s="81" t="str">
        <f aca="false">IF(OR(COLUMN()-COLUMN(gantt_Origin)=1,DAY(GanttStart+(COLUMN()-COLUMN(gantt_Origin)-1)*GanttPeriod)&lt;=GanttPeriod),TEXT(GanttStart+(COLUMN()-COLUMN(gantt_Origin)-1)*GanttPeriod,"mmm yy"),"")</f>
        <v/>
      </c>
      <c r="BQ4" s="81" t="str">
        <f aca="false">IF(OR(COLUMN()-COLUMN(gantt_Origin)=1,DAY(GanttStart+(COLUMN()-COLUMN(gantt_Origin)-1)*GanttPeriod)&lt;=GanttPeriod),TEXT(GanttStart+(COLUMN()-COLUMN(gantt_Origin)-1)*GanttPeriod,"mmm yy"),"")</f>
        <v/>
      </c>
      <c r="BR4" s="81" t="str">
        <f aca="false">IF(OR(COLUMN()-COLUMN(gantt_Origin)=1,DAY(GanttStart+(COLUMN()-COLUMN(gantt_Origin)-1)*GanttPeriod)&lt;=GanttPeriod),TEXT(GanttStart+(COLUMN()-COLUMN(gantt_Origin)-1)*GanttPeriod,"mmm yy"),"")</f>
        <v/>
      </c>
      <c r="BS4" s="81" t="str">
        <f aca="false">IF(OR(COLUMN()-COLUMN(gantt_Origin)=1,DAY(GanttStart+(COLUMN()-COLUMN(gantt_Origin)-1)*GanttPeriod)&lt;=GanttPeriod),TEXT(GanttStart+(COLUMN()-COLUMN(gantt_Origin)-1)*GanttPeriod,"mmm yy"),"")</f>
        <v/>
      </c>
      <c r="BT4" s="81" t="str">
        <f aca="false">IF(OR(COLUMN()-COLUMN(gantt_Origin)=1,DAY(GanttStart+(COLUMN()-COLUMN(gantt_Origin)-1)*GanttPeriod)&lt;=GanttPeriod),TEXT(GanttStart+(COLUMN()-COLUMN(gantt_Origin)-1)*GanttPeriod,"mmm yy"),"")</f>
        <v/>
      </c>
      <c r="BU4" s="81" t="str">
        <f aca="false">IF(OR(COLUMN()-COLUMN(gantt_Origin)=1,DAY(GanttStart+(COLUMN()-COLUMN(gantt_Origin)-1)*GanttPeriod)&lt;=GanttPeriod),TEXT(GanttStart+(COLUMN()-COLUMN(gantt_Origin)-1)*GanttPeriod,"mmm yy"),"")</f>
        <v/>
      </c>
      <c r="BV4" s="81" t="str">
        <f aca="false">IF(OR(COLUMN()-COLUMN(gantt_Origin)=1,DAY(GanttStart+(COLUMN()-COLUMN(gantt_Origin)-1)*GanttPeriod)&lt;=GanttPeriod),TEXT(GanttStart+(COLUMN()-COLUMN(gantt_Origin)-1)*GanttPeriod,"mmm yy"),"")</f>
        <v/>
      </c>
      <c r="BW4" s="81" t="str">
        <f aca="false">IF(OR(COLUMN()-COLUMN(gantt_Origin)=1,DAY(GanttStart+(COLUMN()-COLUMN(gantt_Origin)-1)*GanttPeriod)&lt;=GanttPeriod),TEXT(GanttStart+(COLUMN()-COLUMN(gantt_Origin)-1)*GanttPeriod,"mmm yy"),"")</f>
        <v/>
      </c>
      <c r="BX4" s="81" t="str">
        <f aca="false">IF(OR(COLUMN()-COLUMN(gantt_Origin)=1,DAY(GanttStart+(COLUMN()-COLUMN(gantt_Origin)-1)*GanttPeriod)&lt;=GanttPeriod),TEXT(GanttStart+(COLUMN()-COLUMN(gantt_Origin)-1)*GanttPeriod,"mmm yy"),"")</f>
        <v/>
      </c>
      <c r="BY4" s="81" t="str">
        <f aca="false">IF(OR(COLUMN()-COLUMN(gantt_Origin)=1,DAY(GanttStart+(COLUMN()-COLUMN(gantt_Origin)-1)*GanttPeriod)&lt;=GanttPeriod),TEXT(GanttStart+(COLUMN()-COLUMN(gantt_Origin)-1)*GanttPeriod,"mmm yy"),"")</f>
        <v/>
      </c>
      <c r="BZ4" s="81" t="str">
        <f aca="false">IF(OR(COLUMN()-COLUMN(gantt_Origin)=1,DAY(GanttStart+(COLUMN()-COLUMN(gantt_Origin)-1)*GanttPeriod)&lt;=GanttPeriod),TEXT(GanttStart+(COLUMN()-COLUMN(gantt_Origin)-1)*GanttPeriod,"mmm yy"),"")</f>
        <v/>
      </c>
      <c r="CA4" s="81" t="str">
        <f aca="false">IF(OR(COLUMN()-COLUMN(gantt_Origin)=1,DAY(GanttStart+(COLUMN()-COLUMN(gantt_Origin)-1)*GanttPeriod)&lt;=GanttPeriod),TEXT(GanttStart+(COLUMN()-COLUMN(gantt_Origin)-1)*GanttPeriod,"mmm yy"),"")</f>
        <v/>
      </c>
      <c r="CB4" s="81" t="str">
        <f aca="false">IF(OR(COLUMN()-COLUMN(gantt_Origin)=1,DAY(GanttStart+(COLUMN()-COLUMN(gantt_Origin)-1)*GanttPeriod)&lt;=GanttPeriod),TEXT(GanttStart+(COLUMN()-COLUMN(gantt_Origin)-1)*GanttPeriod,"mmm yy"),"")</f>
        <v/>
      </c>
      <c r="CC4" s="81" t="str">
        <f aca="false">IF(OR(COLUMN()-COLUMN(gantt_Origin)=1,DAY(GanttStart+(COLUMN()-COLUMN(gantt_Origin)-1)*GanttPeriod)&lt;=GanttPeriod),TEXT(GanttStart+(COLUMN()-COLUMN(gantt_Origin)-1)*GanttPeriod,"mmm yy"),"")</f>
        <v/>
      </c>
      <c r="CD4" s="81" t="str">
        <f aca="false">IF(OR(COLUMN()-COLUMN(gantt_Origin)=1,DAY(GanttStart+(COLUMN()-COLUMN(gantt_Origin)-1)*GanttPeriod)&lt;=GanttPeriod),TEXT(GanttStart+(COLUMN()-COLUMN(gantt_Origin)-1)*GanttPeriod,"mmm yy"),"")</f>
        <v/>
      </c>
      <c r="CE4" s="81" t="str">
        <f aca="false">IF(OR(COLUMN()-COLUMN(gantt_Origin)=1,DAY(GanttStart+(COLUMN()-COLUMN(gantt_Origin)-1)*GanttPeriod)&lt;=GanttPeriod),TEXT(GanttStart+(COLUMN()-COLUMN(gantt_Origin)-1)*GanttPeriod,"mmm yy"),"")</f>
        <v/>
      </c>
      <c r="CF4" s="81" t="str">
        <f aca="false">IF(OR(COLUMN()-COLUMN(gantt_Origin)=1,DAY(GanttStart+(COLUMN()-COLUMN(gantt_Origin)-1)*GanttPeriod)&lt;=GanttPeriod),TEXT(GanttStart+(COLUMN()-COLUMN(gantt_Origin)-1)*GanttPeriod,"mmm yy"),"")</f>
        <v/>
      </c>
      <c r="CG4" s="81" t="str">
        <f aca="false">IF(OR(COLUMN()-COLUMN(gantt_Origin)=1,DAY(GanttStart+(COLUMN()-COLUMN(gantt_Origin)-1)*GanttPeriod)&lt;=GanttPeriod),TEXT(GanttStart+(COLUMN()-COLUMN(gantt_Origin)-1)*GanttPeriod,"mmm yy"),"")</f>
        <v/>
      </c>
      <c r="CH4" s="81" t="str">
        <f aca="false">IF(OR(COLUMN()-COLUMN(gantt_Origin)=1,DAY(GanttStart+(COLUMN()-COLUMN(gantt_Origin)-1)*GanttPeriod)&lt;=GanttPeriod),TEXT(GanttStart+(COLUMN()-COLUMN(gantt_Origin)-1)*GanttPeriod,"mmm yy"),"")</f>
        <v/>
      </c>
      <c r="CI4" s="81" t="str">
        <f aca="false">IF(OR(COLUMN()-COLUMN(gantt_Origin)=1,DAY(GanttStart+(COLUMN()-COLUMN(gantt_Origin)-1)*GanttPeriod)&lt;=GanttPeriod),TEXT(GanttStart+(COLUMN()-COLUMN(gantt_Origin)-1)*GanttPeriod,"mmm yy"),"")</f>
        <v/>
      </c>
      <c r="CJ4" s="81" t="str">
        <f aca="false">IF(OR(COLUMN()-COLUMN(gantt_Origin)=1,DAY(GanttStart+(COLUMN()-COLUMN(gantt_Origin)-1)*GanttPeriod)&lt;=GanttPeriod),TEXT(GanttStart+(COLUMN()-COLUMN(gantt_Origin)-1)*GanttPeriod,"mmm yy"),"")</f>
        <v/>
      </c>
      <c r="CK4" s="81" t="str">
        <f aca="false">IF(OR(COLUMN()-COLUMN(gantt_Origin)=1,DAY(GanttStart+(COLUMN()-COLUMN(gantt_Origin)-1)*GanttPeriod)&lt;=GanttPeriod),TEXT(GanttStart+(COLUMN()-COLUMN(gantt_Origin)-1)*GanttPeriod,"mmm yy"),"")</f>
        <v>Mar 00</v>
      </c>
      <c r="CL4" s="81" t="str">
        <f aca="false">IF(OR(COLUMN()-COLUMN(gantt_Origin)=1,DAY(GanttStart+(COLUMN()-COLUMN(gantt_Origin)-1)*GanttPeriod)&lt;=GanttPeriod),TEXT(GanttStart+(COLUMN()-COLUMN(gantt_Origin)-1)*GanttPeriod,"mmm yy"),"")</f>
        <v/>
      </c>
      <c r="CM4" s="81" t="str">
        <f aca="false">IF(OR(COLUMN()-COLUMN(gantt_Origin)=1,DAY(GanttStart+(COLUMN()-COLUMN(gantt_Origin)-1)*GanttPeriod)&lt;=GanttPeriod),TEXT(GanttStart+(COLUMN()-COLUMN(gantt_Origin)-1)*GanttPeriod,"mmm yy"),"")</f>
        <v/>
      </c>
      <c r="CN4" s="81" t="str">
        <f aca="false">IF(OR(COLUMN()-COLUMN(gantt_Origin)=1,DAY(GanttStart+(COLUMN()-COLUMN(gantt_Origin)-1)*GanttPeriod)&lt;=GanttPeriod),TEXT(GanttStart+(COLUMN()-COLUMN(gantt_Origin)-1)*GanttPeriod,"mmm yy"),"")</f>
        <v/>
      </c>
      <c r="CO4" s="81" t="str">
        <f aca="false">IF(OR(COLUMN()-COLUMN(gantt_Origin)=1,DAY(GanttStart+(COLUMN()-COLUMN(gantt_Origin)-1)*GanttPeriod)&lt;=GanttPeriod),TEXT(GanttStart+(COLUMN()-COLUMN(gantt_Origin)-1)*GanttPeriod,"mmm yy"),"")</f>
        <v/>
      </c>
      <c r="CP4" s="81" t="str">
        <f aca="false">IF(OR(COLUMN()-COLUMN(gantt_Origin)=1,DAY(GanttStart+(COLUMN()-COLUMN(gantt_Origin)-1)*GanttPeriod)&lt;=GanttPeriod),TEXT(GanttStart+(COLUMN()-COLUMN(gantt_Origin)-1)*GanttPeriod,"mmm yy"),"")</f>
        <v/>
      </c>
      <c r="CQ4" s="81" t="str">
        <f aca="false">IF(OR(COLUMN()-COLUMN(gantt_Origin)=1,DAY(GanttStart+(COLUMN()-COLUMN(gantt_Origin)-1)*GanttPeriod)&lt;=GanttPeriod),TEXT(GanttStart+(COLUMN()-COLUMN(gantt_Origin)-1)*GanttPeriod,"mmm yy"),"")</f>
        <v/>
      </c>
      <c r="CR4" s="81" t="str">
        <f aca="false">IF(OR(COLUMN()-COLUMN(gantt_Origin)=1,DAY(GanttStart+(COLUMN()-COLUMN(gantt_Origin)-1)*GanttPeriod)&lt;=GanttPeriod),TEXT(GanttStart+(COLUMN()-COLUMN(gantt_Origin)-1)*GanttPeriod,"mmm yy"),"")</f>
        <v/>
      </c>
      <c r="CS4" s="81" t="str">
        <f aca="false">IF(OR(COLUMN()-COLUMN(gantt_Origin)=1,DAY(GanttStart+(COLUMN()-COLUMN(gantt_Origin)-1)*GanttPeriod)&lt;=GanttPeriod),TEXT(GanttStart+(COLUMN()-COLUMN(gantt_Origin)-1)*GanttPeriod,"mmm yy"),"")</f>
        <v/>
      </c>
      <c r="CT4" s="81" t="str">
        <f aca="false">IF(OR(COLUMN()-COLUMN(gantt_Origin)=1,DAY(GanttStart+(COLUMN()-COLUMN(gantt_Origin)-1)*GanttPeriod)&lt;=GanttPeriod),TEXT(GanttStart+(COLUMN()-COLUMN(gantt_Origin)-1)*GanttPeriod,"mmm yy"),"")</f>
        <v/>
      </c>
      <c r="CU4" s="81" t="str">
        <f aca="false">IF(OR(COLUMN()-COLUMN(gantt_Origin)=1,DAY(GanttStart+(COLUMN()-COLUMN(gantt_Origin)-1)*GanttPeriod)&lt;=GanttPeriod),TEXT(GanttStart+(COLUMN()-COLUMN(gantt_Origin)-1)*GanttPeriod,"mmm yy"),"")</f>
        <v/>
      </c>
      <c r="CV4" s="81" t="str">
        <f aca="false">IF(OR(COLUMN()-COLUMN(gantt_Origin)=1,DAY(GanttStart+(COLUMN()-COLUMN(gantt_Origin)-1)*GanttPeriod)&lt;=GanttPeriod),TEXT(GanttStart+(COLUMN()-COLUMN(gantt_Origin)-1)*GanttPeriod,"mmm yy"),"")</f>
        <v/>
      </c>
      <c r="CW4" s="81" t="str">
        <f aca="false">IF(OR(COLUMN()-COLUMN(gantt_Origin)=1,DAY(GanttStart+(COLUMN()-COLUMN(gantt_Origin)-1)*GanttPeriod)&lt;=GanttPeriod),TEXT(GanttStart+(COLUMN()-COLUMN(gantt_Origin)-1)*GanttPeriod,"mmm yy"),"")</f>
        <v/>
      </c>
      <c r="CX4" s="81" t="str">
        <f aca="false">IF(OR(COLUMN()-COLUMN(gantt_Origin)=1,DAY(GanttStart+(COLUMN()-COLUMN(gantt_Origin)-1)*GanttPeriod)&lt;=GanttPeriod),TEXT(GanttStart+(COLUMN()-COLUMN(gantt_Origin)-1)*GanttPeriod,"mmm yy"),"")</f>
        <v/>
      </c>
      <c r="CY4" s="81" t="str">
        <f aca="false">IF(OR(COLUMN()-COLUMN(gantt_Origin)=1,DAY(GanttStart+(COLUMN()-COLUMN(gantt_Origin)-1)*GanttPeriod)&lt;=GanttPeriod),TEXT(GanttStart+(COLUMN()-COLUMN(gantt_Origin)-1)*GanttPeriod,"mmm yy"),"")</f>
        <v/>
      </c>
      <c r="CZ4" s="81" t="str">
        <f aca="false">IF(OR(COLUMN()-COLUMN(gantt_Origin)=1,DAY(GanttStart+(COLUMN()-COLUMN(gantt_Origin)-1)*GanttPeriod)&lt;=GanttPeriod),TEXT(GanttStart+(COLUMN()-COLUMN(gantt_Origin)-1)*GanttPeriod,"mmm yy"),"")</f>
        <v/>
      </c>
      <c r="DA4" s="81" t="str">
        <f aca="false">IF(OR(COLUMN()-COLUMN(gantt_Origin)=1,DAY(GanttStart+(COLUMN()-COLUMN(gantt_Origin)-1)*GanttPeriod)&lt;=GanttPeriod),TEXT(GanttStart+(COLUMN()-COLUMN(gantt_Origin)-1)*GanttPeriod,"mmm yy"),"")</f>
        <v/>
      </c>
      <c r="DB4" s="81" t="str">
        <f aca="false">IF(OR(COLUMN()-COLUMN(gantt_Origin)=1,DAY(GanttStart+(COLUMN()-COLUMN(gantt_Origin)-1)*GanttPeriod)&lt;=GanttPeriod),TEXT(GanttStart+(COLUMN()-COLUMN(gantt_Origin)-1)*GanttPeriod,"mmm yy"),"")</f>
        <v/>
      </c>
      <c r="DC4" s="81" t="str">
        <f aca="false">IF(OR(COLUMN()-COLUMN(gantt_Origin)=1,DAY(GanttStart+(COLUMN()-COLUMN(gantt_Origin)-1)*GanttPeriod)&lt;=GanttPeriod),TEXT(GanttStart+(COLUMN()-COLUMN(gantt_Origin)-1)*GanttPeriod,"mmm yy"),"")</f>
        <v/>
      </c>
      <c r="DD4" s="81" t="str">
        <f aca="false">IF(OR(COLUMN()-COLUMN(gantt_Origin)=1,DAY(GanttStart+(COLUMN()-COLUMN(gantt_Origin)-1)*GanttPeriod)&lt;=GanttPeriod),TEXT(GanttStart+(COLUMN()-COLUMN(gantt_Origin)-1)*GanttPeriod,"mmm yy"),"")</f>
        <v/>
      </c>
      <c r="DE4" s="81" t="str">
        <f aca="false">IF(OR(COLUMN()-COLUMN(gantt_Origin)=1,DAY(GanttStart+(COLUMN()-COLUMN(gantt_Origin)-1)*GanttPeriod)&lt;=GanttPeriod),TEXT(GanttStart+(COLUMN()-COLUMN(gantt_Origin)-1)*GanttPeriod,"mmm yy"),"")</f>
        <v/>
      </c>
      <c r="DF4" s="81" t="str">
        <f aca="false">IF(OR(COLUMN()-COLUMN(gantt_Origin)=1,DAY(GanttStart+(COLUMN()-COLUMN(gantt_Origin)-1)*GanttPeriod)&lt;=GanttPeriod),TEXT(GanttStart+(COLUMN()-COLUMN(gantt_Origin)-1)*GanttPeriod,"mmm yy"),"")</f>
        <v/>
      </c>
      <c r="DG4" s="81" t="str">
        <f aca="false">IF(OR(COLUMN()-COLUMN(gantt_Origin)=1,DAY(GanttStart+(COLUMN()-COLUMN(gantt_Origin)-1)*GanttPeriod)&lt;=GanttPeriod),TEXT(GanttStart+(COLUMN()-COLUMN(gantt_Origin)-1)*GanttPeriod,"mmm yy"),"")</f>
        <v/>
      </c>
      <c r="DH4" s="81" t="str">
        <f aca="false">IF(OR(COLUMN()-COLUMN(gantt_Origin)=1,DAY(GanttStart+(COLUMN()-COLUMN(gantt_Origin)-1)*GanttPeriod)&lt;=GanttPeriod),TEXT(GanttStart+(COLUMN()-COLUMN(gantt_Origin)-1)*GanttPeriod,"mmm yy"),"")</f>
        <v/>
      </c>
      <c r="DI4" s="81" t="str">
        <f aca="false">IF(OR(COLUMN()-COLUMN(gantt_Origin)=1,DAY(GanttStart+(COLUMN()-COLUMN(gantt_Origin)-1)*GanttPeriod)&lt;=GanttPeriod),TEXT(GanttStart+(COLUMN()-COLUMN(gantt_Origin)-1)*GanttPeriod,"mmm yy"),"")</f>
        <v/>
      </c>
      <c r="DJ4" s="81" t="str">
        <f aca="false">IF(OR(COLUMN()-COLUMN(gantt_Origin)=1,DAY(GanttStart+(COLUMN()-COLUMN(gantt_Origin)-1)*GanttPeriod)&lt;=GanttPeriod),TEXT(GanttStart+(COLUMN()-COLUMN(gantt_Origin)-1)*GanttPeriod,"mmm yy"),"")</f>
        <v/>
      </c>
      <c r="DK4" s="81" t="str">
        <f aca="false">IF(OR(COLUMN()-COLUMN(gantt_Origin)=1,DAY(GanttStart+(COLUMN()-COLUMN(gantt_Origin)-1)*GanttPeriod)&lt;=GanttPeriod),TEXT(GanttStart+(COLUMN()-COLUMN(gantt_Origin)-1)*GanttPeriod,"mmm yy"),"")</f>
        <v/>
      </c>
      <c r="DL4" s="81" t="str">
        <f aca="false">IF(OR(COLUMN()-COLUMN(gantt_Origin)=1,DAY(GanttStart+(COLUMN()-COLUMN(gantt_Origin)-1)*GanttPeriod)&lt;=GanttPeriod),TEXT(GanttStart+(COLUMN()-COLUMN(gantt_Origin)-1)*GanttPeriod,"mmm yy"),"")</f>
        <v/>
      </c>
      <c r="DM4" s="81" t="str">
        <f aca="false">IF(OR(COLUMN()-COLUMN(gantt_Origin)=1,DAY(GanttStart+(COLUMN()-COLUMN(gantt_Origin)-1)*GanttPeriod)&lt;=GanttPeriod),TEXT(GanttStart+(COLUMN()-COLUMN(gantt_Origin)-1)*GanttPeriod,"mmm yy"),"")</f>
        <v/>
      </c>
      <c r="DN4" s="81" t="str">
        <f aca="false">IF(OR(COLUMN()-COLUMN(gantt_Origin)=1,DAY(GanttStart+(COLUMN()-COLUMN(gantt_Origin)-1)*GanttPeriod)&lt;=GanttPeriod),TEXT(GanttStart+(COLUMN()-COLUMN(gantt_Origin)-1)*GanttPeriod,"mmm yy"),"")</f>
        <v/>
      </c>
      <c r="DO4" s="81" t="str">
        <f aca="false">IF(OR(COLUMN()-COLUMN(gantt_Origin)=1,DAY(GanttStart+(COLUMN()-COLUMN(gantt_Origin)-1)*GanttPeriod)&lt;=GanttPeriod),TEXT(GanttStart+(COLUMN()-COLUMN(gantt_Origin)-1)*GanttPeriod,"mmm yy"),"")</f>
        <v/>
      </c>
      <c r="DP4" s="81" t="str">
        <f aca="false">IF(OR(COLUMN()-COLUMN(gantt_Origin)=1,DAY(GanttStart+(COLUMN()-COLUMN(gantt_Origin)-1)*GanttPeriod)&lt;=GanttPeriod),TEXT(GanttStart+(COLUMN()-COLUMN(gantt_Origin)-1)*GanttPeriod,"mmm yy"),"")</f>
        <v>Apr 00</v>
      </c>
      <c r="DQ4" s="81" t="str">
        <f aca="false">IF(OR(COLUMN()-COLUMN(gantt_Origin)=1,DAY(GanttStart+(COLUMN()-COLUMN(gantt_Origin)-1)*GanttPeriod)&lt;=GanttPeriod),TEXT(GanttStart+(COLUMN()-COLUMN(gantt_Origin)-1)*GanttPeriod,"mmm yy"),"")</f>
        <v/>
      </c>
      <c r="DR4" s="81" t="str">
        <f aca="false">IF(OR(COLUMN()-COLUMN(gantt_Origin)=1,DAY(GanttStart+(COLUMN()-COLUMN(gantt_Origin)-1)*GanttPeriod)&lt;=GanttPeriod),TEXT(GanttStart+(COLUMN()-COLUMN(gantt_Origin)-1)*GanttPeriod,"mmm yy"),"")</f>
        <v/>
      </c>
      <c r="DS4" s="81" t="str">
        <f aca="false">IF(OR(COLUMN()-COLUMN(gantt_Origin)=1,DAY(GanttStart+(COLUMN()-COLUMN(gantt_Origin)-1)*GanttPeriod)&lt;=GanttPeriod),TEXT(GanttStart+(COLUMN()-COLUMN(gantt_Origin)-1)*GanttPeriod,"mmm yy"),"")</f>
        <v/>
      </c>
      <c r="DT4" s="81" t="str">
        <f aca="false">IF(OR(COLUMN()-COLUMN(gantt_Origin)=1,DAY(GanttStart+(COLUMN()-COLUMN(gantt_Origin)-1)*GanttPeriod)&lt;=GanttPeriod),TEXT(GanttStart+(COLUMN()-COLUMN(gantt_Origin)-1)*GanttPeriod,"mmm yy"),"")</f>
        <v/>
      </c>
      <c r="DU4" s="81" t="str">
        <f aca="false">IF(OR(COLUMN()-COLUMN(gantt_Origin)=1,DAY(GanttStart+(COLUMN()-COLUMN(gantt_Origin)-1)*GanttPeriod)&lt;=GanttPeriod),TEXT(GanttStart+(COLUMN()-COLUMN(gantt_Origin)-1)*GanttPeriod,"mmm yy"),"")</f>
        <v/>
      </c>
      <c r="DV4" s="81" t="str">
        <f aca="false">IF(OR(COLUMN()-COLUMN(gantt_Origin)=1,DAY(GanttStart+(COLUMN()-COLUMN(gantt_Origin)-1)*GanttPeriod)&lt;=GanttPeriod),TEXT(GanttStart+(COLUMN()-COLUMN(gantt_Origin)-1)*GanttPeriod,"mmm yy"),"")</f>
        <v/>
      </c>
      <c r="DW4" s="81" t="str">
        <f aca="false">IF(OR(COLUMN()-COLUMN(gantt_Origin)=1,DAY(GanttStart+(COLUMN()-COLUMN(gantt_Origin)-1)*GanttPeriod)&lt;=GanttPeriod),TEXT(GanttStart+(COLUMN()-COLUMN(gantt_Origin)-1)*GanttPeriod,"mmm yy"),"")</f>
        <v/>
      </c>
      <c r="DX4" s="81" t="str">
        <f aca="false">IF(OR(COLUMN()-COLUMN(gantt_Origin)=1,DAY(GanttStart+(COLUMN()-COLUMN(gantt_Origin)-1)*GanttPeriod)&lt;=GanttPeriod),TEXT(GanttStart+(COLUMN()-COLUMN(gantt_Origin)-1)*GanttPeriod,"mmm yy"),"")</f>
        <v/>
      </c>
      <c r="DY4" s="81" t="str">
        <f aca="false">IF(OR(COLUMN()-COLUMN(gantt_Origin)=1,DAY(GanttStart+(COLUMN()-COLUMN(gantt_Origin)-1)*GanttPeriod)&lt;=GanttPeriod),TEXT(GanttStart+(COLUMN()-COLUMN(gantt_Origin)-1)*GanttPeriod,"mmm yy"),"")</f>
        <v/>
      </c>
      <c r="DZ4" s="81" t="str">
        <f aca="false">IF(OR(COLUMN()-COLUMN(gantt_Origin)=1,DAY(GanttStart+(COLUMN()-COLUMN(gantt_Origin)-1)*GanttPeriod)&lt;=GanttPeriod),TEXT(GanttStart+(COLUMN()-COLUMN(gantt_Origin)-1)*GanttPeriod,"mmm yy"),"")</f>
        <v/>
      </c>
      <c r="EA4" s="81" t="str">
        <f aca="false">IF(OR(COLUMN()-COLUMN(gantt_Origin)=1,DAY(GanttStart+(COLUMN()-COLUMN(gantt_Origin)-1)*GanttPeriod)&lt;=GanttPeriod),TEXT(GanttStart+(COLUMN()-COLUMN(gantt_Origin)-1)*GanttPeriod,"mmm yy"),"")</f>
        <v/>
      </c>
      <c r="EB4" s="81" t="str">
        <f aca="false">IF(OR(COLUMN()-COLUMN(gantt_Origin)=1,DAY(GanttStart+(COLUMN()-COLUMN(gantt_Origin)-1)*GanttPeriod)&lt;=GanttPeriod),TEXT(GanttStart+(COLUMN()-COLUMN(gantt_Origin)-1)*GanttPeriod,"mmm yy"),"")</f>
        <v/>
      </c>
      <c r="EC4" s="81" t="str">
        <f aca="false">IF(OR(COLUMN()-COLUMN(gantt_Origin)=1,DAY(GanttStart+(COLUMN()-COLUMN(gantt_Origin)-1)*GanttPeriod)&lt;=GanttPeriod),TEXT(GanttStart+(COLUMN()-COLUMN(gantt_Origin)-1)*GanttPeriod,"mmm yy"),"")</f>
        <v/>
      </c>
      <c r="ED4" s="81" t="str">
        <f aca="false">IF(OR(COLUMN()-COLUMN(gantt_Origin)=1,DAY(GanttStart+(COLUMN()-COLUMN(gantt_Origin)-1)*GanttPeriod)&lt;=GanttPeriod),TEXT(GanttStart+(COLUMN()-COLUMN(gantt_Origin)-1)*GanttPeriod,"mmm yy"),"")</f>
        <v/>
      </c>
      <c r="EE4" s="81" t="str">
        <f aca="false">IF(OR(COLUMN()-COLUMN(gantt_Origin)=1,DAY(GanttStart+(COLUMN()-COLUMN(gantt_Origin)-1)*GanttPeriod)&lt;=GanttPeriod),TEXT(GanttStart+(COLUMN()-COLUMN(gantt_Origin)-1)*GanttPeriod,"mmm yy"),"")</f>
        <v/>
      </c>
      <c r="EF4" s="81" t="str">
        <f aca="false">IF(OR(COLUMN()-COLUMN(gantt_Origin)=1,DAY(GanttStart+(COLUMN()-COLUMN(gantt_Origin)-1)*GanttPeriod)&lt;=GanttPeriod),TEXT(GanttStart+(COLUMN()-COLUMN(gantt_Origin)-1)*GanttPeriod,"mmm yy"),"")</f>
        <v/>
      </c>
      <c r="EG4" s="81" t="str">
        <f aca="false">IF(OR(COLUMN()-COLUMN(gantt_Origin)=1,DAY(GanttStart+(COLUMN()-COLUMN(gantt_Origin)-1)*GanttPeriod)&lt;=GanttPeriod),TEXT(GanttStart+(COLUMN()-COLUMN(gantt_Origin)-1)*GanttPeriod,"mmm yy"),"")</f>
        <v/>
      </c>
      <c r="EH4" s="81" t="str">
        <f aca="false">IF(OR(COLUMN()-COLUMN(gantt_Origin)=1,DAY(GanttStart+(COLUMN()-COLUMN(gantt_Origin)-1)*GanttPeriod)&lt;=GanttPeriod),TEXT(GanttStart+(COLUMN()-COLUMN(gantt_Origin)-1)*GanttPeriod,"mmm yy"),"")</f>
        <v/>
      </c>
      <c r="EI4" s="81" t="str">
        <f aca="false">IF(OR(COLUMN()-COLUMN(gantt_Origin)=1,DAY(GanttStart+(COLUMN()-COLUMN(gantt_Origin)-1)*GanttPeriod)&lt;=GanttPeriod),TEXT(GanttStart+(COLUMN()-COLUMN(gantt_Origin)-1)*GanttPeriod,"mmm yy"),"")</f>
        <v/>
      </c>
      <c r="EJ4" s="81" t="str">
        <f aca="false">IF(OR(COLUMN()-COLUMN(gantt_Origin)=1,DAY(GanttStart+(COLUMN()-COLUMN(gantt_Origin)-1)*GanttPeriod)&lt;=GanttPeriod),TEXT(GanttStart+(COLUMN()-COLUMN(gantt_Origin)-1)*GanttPeriod,"mmm yy"),"")</f>
        <v/>
      </c>
      <c r="EK4" s="81" t="str">
        <f aca="false">IF(OR(COLUMN()-COLUMN(gantt_Origin)=1,DAY(GanttStart+(COLUMN()-COLUMN(gantt_Origin)-1)*GanttPeriod)&lt;=GanttPeriod),TEXT(GanttStart+(COLUMN()-COLUMN(gantt_Origin)-1)*GanttPeriod,"mmm yy"),"")</f>
        <v/>
      </c>
      <c r="EL4" s="81" t="str">
        <f aca="false">IF(OR(COLUMN()-COLUMN(gantt_Origin)=1,DAY(GanttStart+(COLUMN()-COLUMN(gantt_Origin)-1)*GanttPeriod)&lt;=GanttPeriod),TEXT(GanttStart+(COLUMN()-COLUMN(gantt_Origin)-1)*GanttPeriod,"mmm yy"),"")</f>
        <v/>
      </c>
      <c r="EM4" s="81" t="str">
        <f aca="false">IF(OR(COLUMN()-COLUMN(gantt_Origin)=1,DAY(GanttStart+(COLUMN()-COLUMN(gantt_Origin)-1)*GanttPeriod)&lt;=GanttPeriod),TEXT(GanttStart+(COLUMN()-COLUMN(gantt_Origin)-1)*GanttPeriod,"mmm yy"),"")</f>
        <v/>
      </c>
      <c r="EN4" s="81" t="str">
        <f aca="false">IF(OR(COLUMN()-COLUMN(gantt_Origin)=1,DAY(GanttStart+(COLUMN()-COLUMN(gantt_Origin)-1)*GanttPeriod)&lt;=GanttPeriod),TEXT(GanttStart+(COLUMN()-COLUMN(gantt_Origin)-1)*GanttPeriod,"mmm yy"),"")</f>
        <v/>
      </c>
      <c r="EO4" s="81" t="str">
        <f aca="false">IF(OR(COLUMN()-COLUMN(gantt_Origin)=1,DAY(GanttStart+(COLUMN()-COLUMN(gantt_Origin)-1)*GanttPeriod)&lt;=GanttPeriod),TEXT(GanttStart+(COLUMN()-COLUMN(gantt_Origin)-1)*GanttPeriod,"mmm yy"),"")</f>
        <v/>
      </c>
      <c r="EP4" s="81" t="str">
        <f aca="false">IF(OR(COLUMN()-COLUMN(gantt_Origin)=1,DAY(GanttStart+(COLUMN()-COLUMN(gantt_Origin)-1)*GanttPeriod)&lt;=GanttPeriod),TEXT(GanttStart+(COLUMN()-COLUMN(gantt_Origin)-1)*GanttPeriod,"mmm yy"),"")</f>
        <v/>
      </c>
      <c r="EQ4" s="81" t="str">
        <f aca="false">IF(OR(COLUMN()-COLUMN(gantt_Origin)=1,DAY(GanttStart+(COLUMN()-COLUMN(gantt_Origin)-1)*GanttPeriod)&lt;=GanttPeriod),TEXT(GanttStart+(COLUMN()-COLUMN(gantt_Origin)-1)*GanttPeriod,"mmm yy"),"")</f>
        <v/>
      </c>
      <c r="ER4" s="81" t="str">
        <f aca="false">IF(OR(COLUMN()-COLUMN(gantt_Origin)=1,DAY(GanttStart+(COLUMN()-COLUMN(gantt_Origin)-1)*GanttPeriod)&lt;=GanttPeriod),TEXT(GanttStart+(COLUMN()-COLUMN(gantt_Origin)-1)*GanttPeriod,"mmm yy"),"")</f>
        <v/>
      </c>
      <c r="ES4" s="81" t="str">
        <f aca="false">IF(OR(COLUMN()-COLUMN(gantt_Origin)=1,DAY(GanttStart+(COLUMN()-COLUMN(gantt_Origin)-1)*GanttPeriod)&lt;=GanttPeriod),TEXT(GanttStart+(COLUMN()-COLUMN(gantt_Origin)-1)*GanttPeriod,"mmm yy"),"")</f>
        <v/>
      </c>
      <c r="ET4" s="81" t="str">
        <f aca="false">IF(OR(COLUMN()-COLUMN(gantt_Origin)=1,DAY(GanttStart+(COLUMN()-COLUMN(gantt_Origin)-1)*GanttPeriod)&lt;=GanttPeriod),TEXT(GanttStart+(COLUMN()-COLUMN(gantt_Origin)-1)*GanttPeriod,"mmm yy"),"")</f>
        <v>May 00</v>
      </c>
      <c r="EU4" s="81" t="str">
        <f aca="false">IF(OR(COLUMN()-COLUMN(gantt_Origin)=1,DAY(GanttStart+(COLUMN()-COLUMN(gantt_Origin)-1)*GanttPeriod)&lt;=GanttPeriod),TEXT(GanttStart+(COLUMN()-COLUMN(gantt_Origin)-1)*GanttPeriod,"mmm yy"),"")</f>
        <v/>
      </c>
      <c r="EV4" s="81" t="str">
        <f aca="false">IF(OR(COLUMN()-COLUMN(gantt_Origin)=1,DAY(GanttStart+(COLUMN()-COLUMN(gantt_Origin)-1)*GanttPeriod)&lt;=GanttPeriod),TEXT(GanttStart+(COLUMN()-COLUMN(gantt_Origin)-1)*GanttPeriod,"mmm yy"),"")</f>
        <v/>
      </c>
      <c r="EW4" s="81" t="str">
        <f aca="false">IF(OR(COLUMN()-COLUMN(gantt_Origin)=1,DAY(GanttStart+(COLUMN()-COLUMN(gantt_Origin)-1)*GanttPeriod)&lt;=GanttPeriod),TEXT(GanttStart+(COLUMN()-COLUMN(gantt_Origin)-1)*GanttPeriod,"mmm yy"),"")</f>
        <v/>
      </c>
      <c r="EX4" s="81" t="str">
        <f aca="false">IF(OR(COLUMN()-COLUMN(gantt_Origin)=1,DAY(GanttStart+(COLUMN()-COLUMN(gantt_Origin)-1)*GanttPeriod)&lt;=GanttPeriod),TEXT(GanttStart+(COLUMN()-COLUMN(gantt_Origin)-1)*GanttPeriod,"mmm yy"),"")</f>
        <v/>
      </c>
      <c r="EY4" s="81" t="str">
        <f aca="false">IF(OR(COLUMN()-COLUMN(gantt_Origin)=1,DAY(GanttStart+(COLUMN()-COLUMN(gantt_Origin)-1)*GanttPeriod)&lt;=GanttPeriod),TEXT(GanttStart+(COLUMN()-COLUMN(gantt_Origin)-1)*GanttPeriod,"mmm yy"),"")</f>
        <v/>
      </c>
      <c r="EZ4" s="81" t="str">
        <f aca="false">IF(OR(COLUMN()-COLUMN(gantt_Origin)=1,DAY(GanttStart+(COLUMN()-COLUMN(gantt_Origin)-1)*GanttPeriod)&lt;=GanttPeriod),TEXT(GanttStart+(COLUMN()-COLUMN(gantt_Origin)-1)*GanttPeriod,"mmm yy"),"")</f>
        <v/>
      </c>
      <c r="FA4" s="81" t="str">
        <f aca="false">IF(OR(COLUMN()-COLUMN(gantt_Origin)=1,DAY(GanttStart+(COLUMN()-COLUMN(gantt_Origin)-1)*GanttPeriod)&lt;=GanttPeriod),TEXT(GanttStart+(COLUMN()-COLUMN(gantt_Origin)-1)*GanttPeriod,"mmm yy"),"")</f>
        <v/>
      </c>
      <c r="FB4" s="81" t="str">
        <f aca="false">IF(OR(COLUMN()-COLUMN(gantt_Origin)=1,DAY(GanttStart+(COLUMN()-COLUMN(gantt_Origin)-1)*GanttPeriod)&lt;=GanttPeriod),TEXT(GanttStart+(COLUMN()-COLUMN(gantt_Origin)-1)*GanttPeriod,"mmm yy"),"")</f>
        <v/>
      </c>
      <c r="FC4" s="81" t="str">
        <f aca="false">IF(OR(COLUMN()-COLUMN(gantt_Origin)=1,DAY(GanttStart+(COLUMN()-COLUMN(gantt_Origin)-1)*GanttPeriod)&lt;=GanttPeriod),TEXT(GanttStart+(COLUMN()-COLUMN(gantt_Origin)-1)*GanttPeriod,"mmm yy"),"")</f>
        <v/>
      </c>
      <c r="FD4" s="81" t="str">
        <f aca="false">IF(OR(COLUMN()-COLUMN(gantt_Origin)=1,DAY(GanttStart+(COLUMN()-COLUMN(gantt_Origin)-1)*GanttPeriod)&lt;=GanttPeriod),TEXT(GanttStart+(COLUMN()-COLUMN(gantt_Origin)-1)*GanttPeriod,"mmm yy"),"")</f>
        <v/>
      </c>
      <c r="FE4" s="81" t="str">
        <f aca="false">IF(OR(COLUMN()-COLUMN(gantt_Origin)=1,DAY(GanttStart+(COLUMN()-COLUMN(gantt_Origin)-1)*GanttPeriod)&lt;=GanttPeriod),TEXT(GanttStart+(COLUMN()-COLUMN(gantt_Origin)-1)*GanttPeriod,"mmm yy"),"")</f>
        <v/>
      </c>
      <c r="FF4" s="81" t="str">
        <f aca="false">IF(OR(COLUMN()-COLUMN(gantt_Origin)=1,DAY(GanttStart+(COLUMN()-COLUMN(gantt_Origin)-1)*GanttPeriod)&lt;=GanttPeriod),TEXT(GanttStart+(COLUMN()-COLUMN(gantt_Origin)-1)*GanttPeriod,"mmm yy"),"")</f>
        <v/>
      </c>
      <c r="FG4" s="81" t="str">
        <f aca="false">IF(OR(COLUMN()-COLUMN(gantt_Origin)=1,DAY(GanttStart+(COLUMN()-COLUMN(gantt_Origin)-1)*GanttPeriod)&lt;=GanttPeriod),TEXT(GanttStart+(COLUMN()-COLUMN(gantt_Origin)-1)*GanttPeriod,"mmm yy"),"")</f>
        <v/>
      </c>
      <c r="FH4" s="81" t="str">
        <f aca="false">IF(OR(COLUMN()-COLUMN(gantt_Origin)=1,DAY(GanttStart+(COLUMN()-COLUMN(gantt_Origin)-1)*GanttPeriod)&lt;=GanttPeriod),TEXT(GanttStart+(COLUMN()-COLUMN(gantt_Origin)-1)*GanttPeriod,"mmm yy"),"")</f>
        <v/>
      </c>
      <c r="FI4" s="81" t="str">
        <f aca="false">IF(OR(COLUMN()-COLUMN(gantt_Origin)=1,DAY(GanttStart+(COLUMN()-COLUMN(gantt_Origin)-1)*GanttPeriod)&lt;=GanttPeriod),TEXT(GanttStart+(COLUMN()-COLUMN(gantt_Origin)-1)*GanttPeriod,"mmm yy"),"")</f>
        <v/>
      </c>
      <c r="FJ4" s="81" t="str">
        <f aca="false">IF(OR(COLUMN()-COLUMN(gantt_Origin)=1,DAY(GanttStart+(COLUMN()-COLUMN(gantt_Origin)-1)*GanttPeriod)&lt;=GanttPeriod),TEXT(GanttStart+(COLUMN()-COLUMN(gantt_Origin)-1)*GanttPeriod,"mmm yy"),"")</f>
        <v/>
      </c>
      <c r="FK4" s="81" t="str">
        <f aca="false">IF(OR(COLUMN()-COLUMN(gantt_Origin)=1,DAY(GanttStart+(COLUMN()-COLUMN(gantt_Origin)-1)*GanttPeriod)&lt;=GanttPeriod),TEXT(GanttStart+(COLUMN()-COLUMN(gantt_Origin)-1)*GanttPeriod,"mmm yy"),"")</f>
        <v/>
      </c>
      <c r="FL4" s="81" t="str">
        <f aca="false">IF(OR(COLUMN()-COLUMN(gantt_Origin)=1,DAY(GanttStart+(COLUMN()-COLUMN(gantt_Origin)-1)*GanttPeriod)&lt;=GanttPeriod),TEXT(GanttStart+(COLUMN()-COLUMN(gantt_Origin)-1)*GanttPeriod,"mmm yy"),"")</f>
        <v/>
      </c>
      <c r="FM4" s="81" t="str">
        <f aca="false">IF(OR(COLUMN()-COLUMN(gantt_Origin)=1,DAY(GanttStart+(COLUMN()-COLUMN(gantt_Origin)-1)*GanttPeriod)&lt;=GanttPeriod),TEXT(GanttStart+(COLUMN()-COLUMN(gantt_Origin)-1)*GanttPeriod,"mmm yy"),"")</f>
        <v/>
      </c>
      <c r="FN4" s="81" t="str">
        <f aca="false">IF(OR(COLUMN()-COLUMN(gantt_Origin)=1,DAY(GanttStart+(COLUMN()-COLUMN(gantt_Origin)-1)*GanttPeriod)&lt;=GanttPeriod),TEXT(GanttStart+(COLUMN()-COLUMN(gantt_Origin)-1)*GanttPeriod,"mmm yy"),"")</f>
        <v/>
      </c>
      <c r="FO4" s="81" t="str">
        <f aca="false">IF(OR(COLUMN()-COLUMN(gantt_Origin)=1,DAY(GanttStart+(COLUMN()-COLUMN(gantt_Origin)-1)*GanttPeriod)&lt;=GanttPeriod),TEXT(GanttStart+(COLUMN()-COLUMN(gantt_Origin)-1)*GanttPeriod,"mmm yy"),"")</f>
        <v/>
      </c>
      <c r="FP4" s="81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305</v>
      </c>
      <c r="B5" s="9" t="s">
        <v>164</v>
      </c>
      <c r="C5" s="9" t="s">
        <v>182</v>
      </c>
      <c r="D5" s="9" t="s">
        <v>409</v>
      </c>
      <c r="E5" s="9" t="s">
        <v>316</v>
      </c>
      <c r="F5" s="9" t="s">
        <v>166</v>
      </c>
      <c r="G5" s="9" t="s">
        <v>185</v>
      </c>
      <c r="H5" s="9" t="s">
        <v>167</v>
      </c>
      <c r="I5" s="9" t="s">
        <v>410</v>
      </c>
      <c r="J5" s="9" t="s">
        <v>183</v>
      </c>
      <c r="K5" s="9" t="s">
        <v>77</v>
      </c>
      <c r="L5" s="42" t="s">
        <v>343</v>
      </c>
      <c r="M5" s="42" t="s">
        <v>346</v>
      </c>
      <c r="N5" s="42" t="s">
        <v>411</v>
      </c>
      <c r="O5" s="42" t="s">
        <v>412</v>
      </c>
      <c r="P5" s="42" t="s">
        <v>413</v>
      </c>
      <c r="Q5" s="42" t="s">
        <v>414</v>
      </c>
      <c r="R5" s="42" t="s">
        <v>415</v>
      </c>
      <c r="S5" s="42" t="s">
        <v>416</v>
      </c>
      <c r="T5" s="42" t="s">
        <v>417</v>
      </c>
      <c r="U5" s="42" t="s">
        <v>418</v>
      </c>
      <c r="W5" s="82" t="n">
        <f aca="false">GanttStart+(COLUMN()-COLUMN(gantt_Origin)-1)*GanttPeriod</f>
        <v>-5</v>
      </c>
      <c r="X5" s="82" t="n">
        <f aca="false">GanttStart+(COLUMN()-COLUMN(gantt_Origin)-1)*GanttPeriod</f>
        <v>-4</v>
      </c>
      <c r="Y5" s="82" t="n">
        <f aca="false">GanttStart+(COLUMN()-COLUMN(gantt_Origin)-1)*GanttPeriod</f>
        <v>-3</v>
      </c>
      <c r="Z5" s="82" t="n">
        <f aca="false">GanttStart+(COLUMN()-COLUMN(gantt_Origin)-1)*GanttPeriod</f>
        <v>-2</v>
      </c>
      <c r="AA5" s="82" t="n">
        <f aca="false">GanttStart+(COLUMN()-COLUMN(gantt_Origin)-1)*GanttPeriod</f>
        <v>-1</v>
      </c>
      <c r="AB5" s="82" t="n">
        <f aca="false">GanttStart+(COLUMN()-COLUMN(gantt_Origin)-1)*GanttPeriod</f>
        <v>0</v>
      </c>
      <c r="AC5" s="82" t="n">
        <f aca="false">GanttStart+(COLUMN()-COLUMN(gantt_Origin)-1)*GanttPeriod</f>
        <v>1</v>
      </c>
      <c r="AD5" s="82" t="n">
        <f aca="false">GanttStart+(COLUMN()-COLUMN(gantt_Origin)-1)*GanttPeriod</f>
        <v>2</v>
      </c>
      <c r="AE5" s="82" t="n">
        <f aca="false">GanttStart+(COLUMN()-COLUMN(gantt_Origin)-1)*GanttPeriod</f>
        <v>3</v>
      </c>
      <c r="AF5" s="82" t="n">
        <f aca="false">GanttStart+(COLUMN()-COLUMN(gantt_Origin)-1)*GanttPeriod</f>
        <v>4</v>
      </c>
      <c r="AG5" s="82" t="n">
        <f aca="false">GanttStart+(COLUMN()-COLUMN(gantt_Origin)-1)*GanttPeriod</f>
        <v>5</v>
      </c>
      <c r="AH5" s="82" t="n">
        <f aca="false">GanttStart+(COLUMN()-COLUMN(gantt_Origin)-1)*GanttPeriod</f>
        <v>6</v>
      </c>
      <c r="AI5" s="82" t="n">
        <f aca="false">GanttStart+(COLUMN()-COLUMN(gantt_Origin)-1)*GanttPeriod</f>
        <v>7</v>
      </c>
      <c r="AJ5" s="82" t="n">
        <f aca="false">GanttStart+(COLUMN()-COLUMN(gantt_Origin)-1)*GanttPeriod</f>
        <v>8</v>
      </c>
      <c r="AK5" s="82" t="n">
        <f aca="false">GanttStart+(COLUMN()-COLUMN(gantt_Origin)-1)*GanttPeriod</f>
        <v>9</v>
      </c>
      <c r="AL5" s="82" t="n">
        <f aca="false">GanttStart+(COLUMN()-COLUMN(gantt_Origin)-1)*GanttPeriod</f>
        <v>10</v>
      </c>
      <c r="AM5" s="82" t="n">
        <f aca="false">GanttStart+(COLUMN()-COLUMN(gantt_Origin)-1)*GanttPeriod</f>
        <v>11</v>
      </c>
      <c r="AN5" s="82" t="n">
        <f aca="false">GanttStart+(COLUMN()-COLUMN(gantt_Origin)-1)*GanttPeriod</f>
        <v>12</v>
      </c>
      <c r="AO5" s="82" t="n">
        <f aca="false">GanttStart+(COLUMN()-COLUMN(gantt_Origin)-1)*GanttPeriod</f>
        <v>13</v>
      </c>
      <c r="AP5" s="82" t="n">
        <f aca="false">GanttStart+(COLUMN()-COLUMN(gantt_Origin)-1)*GanttPeriod</f>
        <v>14</v>
      </c>
      <c r="AQ5" s="82" t="n">
        <f aca="false">GanttStart+(COLUMN()-COLUMN(gantt_Origin)-1)*GanttPeriod</f>
        <v>15</v>
      </c>
      <c r="AR5" s="82" t="n">
        <f aca="false">GanttStart+(COLUMN()-COLUMN(gantt_Origin)-1)*GanttPeriod</f>
        <v>16</v>
      </c>
      <c r="AS5" s="82" t="n">
        <f aca="false">GanttStart+(COLUMN()-COLUMN(gantt_Origin)-1)*GanttPeriod</f>
        <v>17</v>
      </c>
      <c r="AT5" s="82" t="n">
        <f aca="false">GanttStart+(COLUMN()-COLUMN(gantt_Origin)-1)*GanttPeriod</f>
        <v>18</v>
      </c>
      <c r="AU5" s="82" t="n">
        <f aca="false">GanttStart+(COLUMN()-COLUMN(gantt_Origin)-1)*GanttPeriod</f>
        <v>19</v>
      </c>
      <c r="AV5" s="82" t="n">
        <f aca="false">GanttStart+(COLUMN()-COLUMN(gantt_Origin)-1)*GanttPeriod</f>
        <v>20</v>
      </c>
      <c r="AW5" s="82" t="n">
        <f aca="false">GanttStart+(COLUMN()-COLUMN(gantt_Origin)-1)*GanttPeriod</f>
        <v>21</v>
      </c>
      <c r="AX5" s="82" t="n">
        <f aca="false">GanttStart+(COLUMN()-COLUMN(gantt_Origin)-1)*GanttPeriod</f>
        <v>22</v>
      </c>
      <c r="AY5" s="82" t="n">
        <f aca="false">GanttStart+(COLUMN()-COLUMN(gantt_Origin)-1)*GanttPeriod</f>
        <v>23</v>
      </c>
      <c r="AZ5" s="82" t="n">
        <f aca="false">GanttStart+(COLUMN()-COLUMN(gantt_Origin)-1)*GanttPeriod</f>
        <v>24</v>
      </c>
      <c r="BA5" s="82" t="n">
        <f aca="false">GanttStart+(COLUMN()-COLUMN(gantt_Origin)-1)*GanttPeriod</f>
        <v>25</v>
      </c>
      <c r="BB5" s="82" t="n">
        <f aca="false">GanttStart+(COLUMN()-COLUMN(gantt_Origin)-1)*GanttPeriod</f>
        <v>26</v>
      </c>
      <c r="BC5" s="82" t="n">
        <f aca="false">GanttStart+(COLUMN()-COLUMN(gantt_Origin)-1)*GanttPeriod</f>
        <v>27</v>
      </c>
      <c r="BD5" s="82" t="n">
        <f aca="false">GanttStart+(COLUMN()-COLUMN(gantt_Origin)-1)*GanttPeriod</f>
        <v>28</v>
      </c>
      <c r="BE5" s="82" t="n">
        <f aca="false">GanttStart+(COLUMN()-COLUMN(gantt_Origin)-1)*GanttPeriod</f>
        <v>29</v>
      </c>
      <c r="BF5" s="82" t="n">
        <f aca="false">GanttStart+(COLUMN()-COLUMN(gantt_Origin)-1)*GanttPeriod</f>
        <v>30</v>
      </c>
      <c r="BG5" s="82" t="n">
        <f aca="false">GanttStart+(COLUMN()-COLUMN(gantt_Origin)-1)*GanttPeriod</f>
        <v>31</v>
      </c>
      <c r="BH5" s="82" t="n">
        <f aca="false">GanttStart+(COLUMN()-COLUMN(gantt_Origin)-1)*GanttPeriod</f>
        <v>32</v>
      </c>
      <c r="BI5" s="82" t="n">
        <f aca="false">GanttStart+(COLUMN()-COLUMN(gantt_Origin)-1)*GanttPeriod</f>
        <v>33</v>
      </c>
      <c r="BJ5" s="82" t="n">
        <f aca="false">GanttStart+(COLUMN()-COLUMN(gantt_Origin)-1)*GanttPeriod</f>
        <v>34</v>
      </c>
      <c r="BK5" s="82" t="n">
        <f aca="false">GanttStart+(COLUMN()-COLUMN(gantt_Origin)-1)*GanttPeriod</f>
        <v>35</v>
      </c>
      <c r="BL5" s="82" t="n">
        <f aca="false">GanttStart+(COLUMN()-COLUMN(gantt_Origin)-1)*GanttPeriod</f>
        <v>36</v>
      </c>
      <c r="BM5" s="82" t="n">
        <f aca="false">GanttStart+(COLUMN()-COLUMN(gantt_Origin)-1)*GanttPeriod</f>
        <v>37</v>
      </c>
      <c r="BN5" s="82" t="n">
        <f aca="false">GanttStart+(COLUMN()-COLUMN(gantt_Origin)-1)*GanttPeriod</f>
        <v>38</v>
      </c>
      <c r="BO5" s="82" t="n">
        <f aca="false">GanttStart+(COLUMN()-COLUMN(gantt_Origin)-1)*GanttPeriod</f>
        <v>39</v>
      </c>
      <c r="BP5" s="82" t="n">
        <f aca="false">GanttStart+(COLUMN()-COLUMN(gantt_Origin)-1)*GanttPeriod</f>
        <v>40</v>
      </c>
      <c r="BQ5" s="82" t="n">
        <f aca="false">GanttStart+(COLUMN()-COLUMN(gantt_Origin)-1)*GanttPeriod</f>
        <v>41</v>
      </c>
      <c r="BR5" s="82" t="n">
        <f aca="false">GanttStart+(COLUMN()-COLUMN(gantt_Origin)-1)*GanttPeriod</f>
        <v>42</v>
      </c>
      <c r="BS5" s="82" t="n">
        <f aca="false">GanttStart+(COLUMN()-COLUMN(gantt_Origin)-1)*GanttPeriod</f>
        <v>43</v>
      </c>
      <c r="BT5" s="82" t="n">
        <f aca="false">GanttStart+(COLUMN()-COLUMN(gantt_Origin)-1)*GanttPeriod</f>
        <v>44</v>
      </c>
      <c r="BU5" s="82" t="n">
        <f aca="false">GanttStart+(COLUMN()-COLUMN(gantt_Origin)-1)*GanttPeriod</f>
        <v>45</v>
      </c>
      <c r="BV5" s="82" t="n">
        <f aca="false">GanttStart+(COLUMN()-COLUMN(gantt_Origin)-1)*GanttPeriod</f>
        <v>46</v>
      </c>
      <c r="BW5" s="82" t="n">
        <f aca="false">GanttStart+(COLUMN()-COLUMN(gantt_Origin)-1)*GanttPeriod</f>
        <v>47</v>
      </c>
      <c r="BX5" s="82" t="n">
        <f aca="false">GanttStart+(COLUMN()-COLUMN(gantt_Origin)-1)*GanttPeriod</f>
        <v>48</v>
      </c>
      <c r="BY5" s="82" t="n">
        <f aca="false">GanttStart+(COLUMN()-COLUMN(gantt_Origin)-1)*GanttPeriod</f>
        <v>49</v>
      </c>
      <c r="BZ5" s="82" t="n">
        <f aca="false">GanttStart+(COLUMN()-COLUMN(gantt_Origin)-1)*GanttPeriod</f>
        <v>50</v>
      </c>
      <c r="CA5" s="82" t="n">
        <f aca="false">GanttStart+(COLUMN()-COLUMN(gantt_Origin)-1)*GanttPeriod</f>
        <v>51</v>
      </c>
      <c r="CB5" s="82" t="n">
        <f aca="false">GanttStart+(COLUMN()-COLUMN(gantt_Origin)-1)*GanttPeriod</f>
        <v>52</v>
      </c>
      <c r="CC5" s="82" t="n">
        <f aca="false">GanttStart+(COLUMN()-COLUMN(gantt_Origin)-1)*GanttPeriod</f>
        <v>53</v>
      </c>
      <c r="CD5" s="82" t="n">
        <f aca="false">GanttStart+(COLUMN()-COLUMN(gantt_Origin)-1)*GanttPeriod</f>
        <v>54</v>
      </c>
      <c r="CE5" s="82" t="n">
        <f aca="false">GanttStart+(COLUMN()-COLUMN(gantt_Origin)-1)*GanttPeriod</f>
        <v>55</v>
      </c>
      <c r="CF5" s="82" t="n">
        <f aca="false">GanttStart+(COLUMN()-COLUMN(gantt_Origin)-1)*GanttPeriod</f>
        <v>56</v>
      </c>
      <c r="CG5" s="82" t="n">
        <f aca="false">GanttStart+(COLUMN()-COLUMN(gantt_Origin)-1)*GanttPeriod</f>
        <v>57</v>
      </c>
      <c r="CH5" s="82" t="n">
        <f aca="false">GanttStart+(COLUMN()-COLUMN(gantt_Origin)-1)*GanttPeriod</f>
        <v>58</v>
      </c>
      <c r="CI5" s="82" t="n">
        <f aca="false">GanttStart+(COLUMN()-COLUMN(gantt_Origin)-1)*GanttPeriod</f>
        <v>59</v>
      </c>
      <c r="CJ5" s="82" t="n">
        <f aca="false">GanttStart+(COLUMN()-COLUMN(gantt_Origin)-1)*GanttPeriod</f>
        <v>60</v>
      </c>
      <c r="CK5" s="82" t="n">
        <f aca="false">GanttStart+(COLUMN()-COLUMN(gantt_Origin)-1)*GanttPeriod</f>
        <v>61</v>
      </c>
      <c r="CL5" s="82" t="n">
        <f aca="false">GanttStart+(COLUMN()-COLUMN(gantt_Origin)-1)*GanttPeriod</f>
        <v>62</v>
      </c>
      <c r="CM5" s="82" t="n">
        <f aca="false">GanttStart+(COLUMN()-COLUMN(gantt_Origin)-1)*GanttPeriod</f>
        <v>63</v>
      </c>
      <c r="CN5" s="82" t="n">
        <f aca="false">GanttStart+(COLUMN()-COLUMN(gantt_Origin)-1)*GanttPeriod</f>
        <v>64</v>
      </c>
      <c r="CO5" s="82" t="n">
        <f aca="false">GanttStart+(COLUMN()-COLUMN(gantt_Origin)-1)*GanttPeriod</f>
        <v>65</v>
      </c>
      <c r="CP5" s="82" t="n">
        <f aca="false">GanttStart+(COLUMN()-COLUMN(gantt_Origin)-1)*GanttPeriod</f>
        <v>66</v>
      </c>
      <c r="CQ5" s="82" t="n">
        <f aca="false">GanttStart+(COLUMN()-COLUMN(gantt_Origin)-1)*GanttPeriod</f>
        <v>67</v>
      </c>
      <c r="CR5" s="82" t="n">
        <f aca="false">GanttStart+(COLUMN()-COLUMN(gantt_Origin)-1)*GanttPeriod</f>
        <v>68</v>
      </c>
      <c r="CS5" s="82" t="n">
        <f aca="false">GanttStart+(COLUMN()-COLUMN(gantt_Origin)-1)*GanttPeriod</f>
        <v>69</v>
      </c>
      <c r="CT5" s="82" t="n">
        <f aca="false">GanttStart+(COLUMN()-COLUMN(gantt_Origin)-1)*GanttPeriod</f>
        <v>70</v>
      </c>
      <c r="CU5" s="82" t="n">
        <f aca="false">GanttStart+(COLUMN()-COLUMN(gantt_Origin)-1)*GanttPeriod</f>
        <v>71</v>
      </c>
      <c r="CV5" s="82" t="n">
        <f aca="false">GanttStart+(COLUMN()-COLUMN(gantt_Origin)-1)*GanttPeriod</f>
        <v>72</v>
      </c>
      <c r="CW5" s="82" t="n">
        <f aca="false">GanttStart+(COLUMN()-COLUMN(gantt_Origin)-1)*GanttPeriod</f>
        <v>73</v>
      </c>
      <c r="CX5" s="82" t="n">
        <f aca="false">GanttStart+(COLUMN()-COLUMN(gantt_Origin)-1)*GanttPeriod</f>
        <v>74</v>
      </c>
      <c r="CY5" s="82" t="n">
        <f aca="false">GanttStart+(COLUMN()-COLUMN(gantt_Origin)-1)*GanttPeriod</f>
        <v>75</v>
      </c>
      <c r="CZ5" s="82" t="n">
        <f aca="false">GanttStart+(COLUMN()-COLUMN(gantt_Origin)-1)*GanttPeriod</f>
        <v>76</v>
      </c>
      <c r="DA5" s="82" t="n">
        <f aca="false">GanttStart+(COLUMN()-COLUMN(gantt_Origin)-1)*GanttPeriod</f>
        <v>77</v>
      </c>
      <c r="DB5" s="82" t="n">
        <f aca="false">GanttStart+(COLUMN()-COLUMN(gantt_Origin)-1)*GanttPeriod</f>
        <v>78</v>
      </c>
      <c r="DC5" s="82" t="n">
        <f aca="false">GanttStart+(COLUMN()-COLUMN(gantt_Origin)-1)*GanttPeriod</f>
        <v>79</v>
      </c>
      <c r="DD5" s="82" t="n">
        <f aca="false">GanttStart+(COLUMN()-COLUMN(gantt_Origin)-1)*GanttPeriod</f>
        <v>80</v>
      </c>
      <c r="DE5" s="82" t="n">
        <f aca="false">GanttStart+(COLUMN()-COLUMN(gantt_Origin)-1)*GanttPeriod</f>
        <v>81</v>
      </c>
      <c r="DF5" s="82" t="n">
        <f aca="false">GanttStart+(COLUMN()-COLUMN(gantt_Origin)-1)*GanttPeriod</f>
        <v>82</v>
      </c>
      <c r="DG5" s="82" t="n">
        <f aca="false">GanttStart+(COLUMN()-COLUMN(gantt_Origin)-1)*GanttPeriod</f>
        <v>83</v>
      </c>
      <c r="DH5" s="82" t="n">
        <f aca="false">GanttStart+(COLUMN()-COLUMN(gantt_Origin)-1)*GanttPeriod</f>
        <v>84</v>
      </c>
      <c r="DI5" s="82" t="n">
        <f aca="false">GanttStart+(COLUMN()-COLUMN(gantt_Origin)-1)*GanttPeriod</f>
        <v>85</v>
      </c>
      <c r="DJ5" s="82" t="n">
        <f aca="false">GanttStart+(COLUMN()-COLUMN(gantt_Origin)-1)*GanttPeriod</f>
        <v>86</v>
      </c>
      <c r="DK5" s="82" t="n">
        <f aca="false">GanttStart+(COLUMN()-COLUMN(gantt_Origin)-1)*GanttPeriod</f>
        <v>87</v>
      </c>
      <c r="DL5" s="82" t="n">
        <f aca="false">GanttStart+(COLUMN()-COLUMN(gantt_Origin)-1)*GanttPeriod</f>
        <v>88</v>
      </c>
      <c r="DM5" s="82" t="n">
        <f aca="false">GanttStart+(COLUMN()-COLUMN(gantt_Origin)-1)*GanttPeriod</f>
        <v>89</v>
      </c>
      <c r="DN5" s="82" t="n">
        <f aca="false">GanttStart+(COLUMN()-COLUMN(gantt_Origin)-1)*GanttPeriod</f>
        <v>90</v>
      </c>
      <c r="DO5" s="82" t="n">
        <f aca="false">GanttStart+(COLUMN()-COLUMN(gantt_Origin)-1)*GanttPeriod</f>
        <v>91</v>
      </c>
      <c r="DP5" s="82" t="n">
        <f aca="false">GanttStart+(COLUMN()-COLUMN(gantt_Origin)-1)*GanttPeriod</f>
        <v>92</v>
      </c>
      <c r="DQ5" s="82" t="n">
        <f aca="false">GanttStart+(COLUMN()-COLUMN(gantt_Origin)-1)*GanttPeriod</f>
        <v>93</v>
      </c>
      <c r="DR5" s="82" t="n">
        <f aca="false">GanttStart+(COLUMN()-COLUMN(gantt_Origin)-1)*GanttPeriod</f>
        <v>94</v>
      </c>
      <c r="DS5" s="82" t="n">
        <f aca="false">GanttStart+(COLUMN()-COLUMN(gantt_Origin)-1)*GanttPeriod</f>
        <v>95</v>
      </c>
      <c r="DT5" s="82" t="n">
        <f aca="false">GanttStart+(COLUMN()-COLUMN(gantt_Origin)-1)*GanttPeriod</f>
        <v>96</v>
      </c>
      <c r="DU5" s="82" t="n">
        <f aca="false">GanttStart+(COLUMN()-COLUMN(gantt_Origin)-1)*GanttPeriod</f>
        <v>97</v>
      </c>
      <c r="DV5" s="82" t="n">
        <f aca="false">GanttStart+(COLUMN()-COLUMN(gantt_Origin)-1)*GanttPeriod</f>
        <v>98</v>
      </c>
      <c r="DW5" s="82" t="n">
        <f aca="false">GanttStart+(COLUMN()-COLUMN(gantt_Origin)-1)*GanttPeriod</f>
        <v>99</v>
      </c>
      <c r="DX5" s="82" t="n">
        <f aca="false">GanttStart+(COLUMN()-COLUMN(gantt_Origin)-1)*GanttPeriod</f>
        <v>100</v>
      </c>
      <c r="DY5" s="82" t="n">
        <f aca="false">GanttStart+(COLUMN()-COLUMN(gantt_Origin)-1)*GanttPeriod</f>
        <v>101</v>
      </c>
      <c r="DZ5" s="82" t="n">
        <f aca="false">GanttStart+(COLUMN()-COLUMN(gantt_Origin)-1)*GanttPeriod</f>
        <v>102</v>
      </c>
      <c r="EA5" s="82" t="n">
        <f aca="false">GanttStart+(COLUMN()-COLUMN(gantt_Origin)-1)*GanttPeriod</f>
        <v>103</v>
      </c>
      <c r="EB5" s="82" t="n">
        <f aca="false">GanttStart+(COLUMN()-COLUMN(gantt_Origin)-1)*GanttPeriod</f>
        <v>104</v>
      </c>
      <c r="EC5" s="82" t="n">
        <f aca="false">GanttStart+(COLUMN()-COLUMN(gantt_Origin)-1)*GanttPeriod</f>
        <v>105</v>
      </c>
      <c r="ED5" s="82" t="n">
        <f aca="false">GanttStart+(COLUMN()-COLUMN(gantt_Origin)-1)*GanttPeriod</f>
        <v>106</v>
      </c>
      <c r="EE5" s="82" t="n">
        <f aca="false">GanttStart+(COLUMN()-COLUMN(gantt_Origin)-1)*GanttPeriod</f>
        <v>107</v>
      </c>
      <c r="EF5" s="82" t="n">
        <f aca="false">GanttStart+(COLUMN()-COLUMN(gantt_Origin)-1)*GanttPeriod</f>
        <v>108</v>
      </c>
      <c r="EG5" s="82" t="n">
        <f aca="false">GanttStart+(COLUMN()-COLUMN(gantt_Origin)-1)*GanttPeriod</f>
        <v>109</v>
      </c>
      <c r="EH5" s="82" t="n">
        <f aca="false">GanttStart+(COLUMN()-COLUMN(gantt_Origin)-1)*GanttPeriod</f>
        <v>110</v>
      </c>
      <c r="EI5" s="82" t="n">
        <f aca="false">GanttStart+(COLUMN()-COLUMN(gantt_Origin)-1)*GanttPeriod</f>
        <v>111</v>
      </c>
      <c r="EJ5" s="82" t="n">
        <f aca="false">GanttStart+(COLUMN()-COLUMN(gantt_Origin)-1)*GanttPeriod</f>
        <v>112</v>
      </c>
      <c r="EK5" s="82" t="n">
        <f aca="false">GanttStart+(COLUMN()-COLUMN(gantt_Origin)-1)*GanttPeriod</f>
        <v>113</v>
      </c>
      <c r="EL5" s="82" t="n">
        <f aca="false">GanttStart+(COLUMN()-COLUMN(gantt_Origin)-1)*GanttPeriod</f>
        <v>114</v>
      </c>
      <c r="EM5" s="82" t="n">
        <f aca="false">GanttStart+(COLUMN()-COLUMN(gantt_Origin)-1)*GanttPeriod</f>
        <v>115</v>
      </c>
      <c r="EN5" s="82" t="n">
        <f aca="false">GanttStart+(COLUMN()-COLUMN(gantt_Origin)-1)*GanttPeriod</f>
        <v>116</v>
      </c>
      <c r="EO5" s="82" t="n">
        <f aca="false">GanttStart+(COLUMN()-COLUMN(gantt_Origin)-1)*GanttPeriod</f>
        <v>117</v>
      </c>
      <c r="EP5" s="82" t="n">
        <f aca="false">GanttStart+(COLUMN()-COLUMN(gantt_Origin)-1)*GanttPeriod</f>
        <v>118</v>
      </c>
      <c r="EQ5" s="82" t="n">
        <f aca="false">GanttStart+(COLUMN()-COLUMN(gantt_Origin)-1)*GanttPeriod</f>
        <v>119</v>
      </c>
      <c r="ER5" s="82" t="n">
        <f aca="false">GanttStart+(COLUMN()-COLUMN(gantt_Origin)-1)*GanttPeriod</f>
        <v>120</v>
      </c>
      <c r="ES5" s="82" t="n">
        <f aca="false">GanttStart+(COLUMN()-COLUMN(gantt_Origin)-1)*GanttPeriod</f>
        <v>121</v>
      </c>
      <c r="ET5" s="82" t="n">
        <f aca="false">GanttStart+(COLUMN()-COLUMN(gantt_Origin)-1)*GanttPeriod</f>
        <v>122</v>
      </c>
      <c r="EU5" s="82" t="n">
        <f aca="false">GanttStart+(COLUMN()-COLUMN(gantt_Origin)-1)*GanttPeriod</f>
        <v>123</v>
      </c>
      <c r="EV5" s="82" t="n">
        <f aca="false">GanttStart+(COLUMN()-COLUMN(gantt_Origin)-1)*GanttPeriod</f>
        <v>124</v>
      </c>
      <c r="EW5" s="82" t="n">
        <f aca="false">GanttStart+(COLUMN()-COLUMN(gantt_Origin)-1)*GanttPeriod</f>
        <v>125</v>
      </c>
      <c r="EX5" s="82" t="n">
        <f aca="false">GanttStart+(COLUMN()-COLUMN(gantt_Origin)-1)*GanttPeriod</f>
        <v>126</v>
      </c>
      <c r="EY5" s="82" t="n">
        <f aca="false">GanttStart+(COLUMN()-COLUMN(gantt_Origin)-1)*GanttPeriod</f>
        <v>127</v>
      </c>
      <c r="EZ5" s="82" t="n">
        <f aca="false">GanttStart+(COLUMN()-COLUMN(gantt_Origin)-1)*GanttPeriod</f>
        <v>128</v>
      </c>
      <c r="FA5" s="82" t="n">
        <f aca="false">GanttStart+(COLUMN()-COLUMN(gantt_Origin)-1)*GanttPeriod</f>
        <v>129</v>
      </c>
      <c r="FB5" s="82" t="n">
        <f aca="false">GanttStart+(COLUMN()-COLUMN(gantt_Origin)-1)*GanttPeriod</f>
        <v>130</v>
      </c>
      <c r="FC5" s="82" t="n">
        <f aca="false">GanttStart+(COLUMN()-COLUMN(gantt_Origin)-1)*GanttPeriod</f>
        <v>131</v>
      </c>
      <c r="FD5" s="82" t="n">
        <f aca="false">GanttStart+(COLUMN()-COLUMN(gantt_Origin)-1)*GanttPeriod</f>
        <v>132</v>
      </c>
      <c r="FE5" s="82" t="n">
        <f aca="false">GanttStart+(COLUMN()-COLUMN(gantt_Origin)-1)*GanttPeriod</f>
        <v>133</v>
      </c>
      <c r="FF5" s="82" t="n">
        <f aca="false">GanttStart+(COLUMN()-COLUMN(gantt_Origin)-1)*GanttPeriod</f>
        <v>134</v>
      </c>
      <c r="FG5" s="82" t="n">
        <f aca="false">GanttStart+(COLUMN()-COLUMN(gantt_Origin)-1)*GanttPeriod</f>
        <v>135</v>
      </c>
      <c r="FH5" s="82" t="n">
        <f aca="false">GanttStart+(COLUMN()-COLUMN(gantt_Origin)-1)*GanttPeriod</f>
        <v>136</v>
      </c>
      <c r="FI5" s="82" t="n">
        <f aca="false">GanttStart+(COLUMN()-COLUMN(gantt_Origin)-1)*GanttPeriod</f>
        <v>137</v>
      </c>
      <c r="FJ5" s="82" t="n">
        <f aca="false">GanttStart+(COLUMN()-COLUMN(gantt_Origin)-1)*GanttPeriod</f>
        <v>138</v>
      </c>
      <c r="FK5" s="82" t="n">
        <f aca="false">GanttStart+(COLUMN()-COLUMN(gantt_Origin)-1)*GanttPeriod</f>
        <v>139</v>
      </c>
      <c r="FL5" s="82" t="n">
        <f aca="false">GanttStart+(COLUMN()-COLUMN(gantt_Origin)-1)*GanttPeriod</f>
        <v>140</v>
      </c>
      <c r="FM5" s="82" t="n">
        <f aca="false">GanttStart+(COLUMN()-COLUMN(gantt_Origin)-1)*GanttPeriod</f>
        <v>141</v>
      </c>
      <c r="FN5" s="82" t="n">
        <f aca="false">GanttStart+(COLUMN()-COLUMN(gantt_Origin)-1)*GanttPeriod</f>
        <v>142</v>
      </c>
      <c r="FO5" s="82" t="n">
        <f aca="false">GanttStart+(COLUMN()-COLUMN(gantt_Origin)-1)*GanttPeriod</f>
        <v>143</v>
      </c>
      <c r="FP5" s="82" t="n">
        <f aca="false">GanttStart+(COLUMN()-COLUMN(gantt_Origin)-1)*GanttPeriod</f>
        <v>144</v>
      </c>
    </row>
    <row r="6" customFormat="false" ht="15" hidden="false" customHeight="false" outlineLevel="0" collapsed="false">
      <c r="A6" s="83" t="str">
        <f aca="false">IF(IFERROR(INDEX(tsk_Name,GanttView[[#This Row],[_Row]])="",TRUE()),"",INDEX(tsk_ID,GanttView[[#This Row],[_Row]]))</f>
        <v/>
      </c>
      <c r="B6" s="83" t="str">
        <f aca="false">IF(IFERROR(INDEX(tsk_Name,GanttView[[#This Row],[_Row]])="",TRUE()),"",INDEX(tsk_WBS,GanttView[[#This Row],[_Row]]))</f>
        <v/>
      </c>
      <c r="C6" s="84" t="str">
        <f aca="false">IF(IFERROR(INDEX(tsk_Name,GanttView[[#This Row],[_Row]])="",TRUE()),"",REPT("    ",INDEX(tsk_Level,GanttView[[#This Row],[_Row]])-1)&amp;INDEX(tsk_Name,GanttView[[#This Row],[_Row]]))</f>
        <v/>
      </c>
      <c r="D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85" t="str">
        <f aca="false">IF(IFERROR(INDEX(tsk_Name,GanttView[[#This Row],[_Row]])="",TRUE()),"",INDEX(tsk_PlanStart,GanttView[[#This Row],[_Row]]))</f>
        <v/>
      </c>
      <c r="F6" s="85" t="str">
        <f aca="false">IF(IFERROR(INDEX(tsk_Name,GanttView[[#This Row],[_Row]])="",TRUE()),"",INDEX(tsk_PlanFinish,GanttView[[#This Row],[_Row]]))</f>
        <v/>
      </c>
      <c r="G6" s="85" t="str">
        <f aca="false">IF(IFERROR(INDEX(tsk_Name,GanttView[[#This Row],[_Row]])="",TRUE()),"",INDEX(tsk_FcStart,GanttView[[#This Row],[_Row]]))</f>
        <v/>
      </c>
      <c r="H6" s="85" t="str">
        <f aca="false">IF(IFERROR(INDEX(tsk_Name,GanttView[[#This Row],[_Row]])="",TRUE()),"",INDEX(tsk_FcFinish,GanttView[[#This Row],[_Row]]))</f>
        <v/>
      </c>
      <c r="I6" s="86" t="str">
        <f aca="false">IF(IFERROR(INDEX(tsk_Name,GanttView[[#This Row],[_Row]])="",TRUE()),"",INDEX(tsk_Progress,GanttView[[#This Row],[_Row]]))</f>
        <v/>
      </c>
      <c r="J6" s="84" t="str">
        <f aca="false">IF(IFERROR(INDEX(tsk_Name,GanttView[[#This Row],[_Row]])="",TRUE()),"",INDEX(tsk_Resource,GanttView[[#This Row],[_Row]])&amp;"")</f>
        <v/>
      </c>
      <c r="K6" s="83" t="str">
        <f aca="false">IF(IFERROR(INDEX(tsk_Name,GanttView[[#This Row],[_Row]])="",TRUE()),"",INDEX(tsk_Status,GanttView[[#This Row],[_Row]]))</f>
        <v/>
      </c>
      <c r="L6" s="87" t="n">
        <f aca="false">ROW()-ROW(GanttView[[#Headers],[ID]])</f>
        <v>1</v>
      </c>
      <c r="M6" s="88" t="b">
        <f aca="false">IF(IFERROR(INDEX(tsk_Name,GanttView[[#This Row],[_Row]])="",TRUE()),FALSE(),INDEX(tsk_IsSummary,GanttView[[#This Row],[_Row]]))</f>
        <v>0</v>
      </c>
      <c r="N6" s="88" t="b">
        <f aca="false">IF(IFERROR(INDEX(tsk_Name,GanttView[[#This Row],[_Row]])="",TRUE()),FALSE(),AND(INDEX(tsk_IsLeaf,GanttView[[#This Row],[_Row]])=1,N(INDEX(tsk_Duration,GanttView[[#This Row],[_Row]]))=0))</f>
        <v>0</v>
      </c>
      <c r="O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89" t="n">
        <f aca="false">IF(GanttView[[#This Row],[_RemFrom]]=0,0,GanttView[[#This Row],[Forecast Finish]])</f>
        <v>0</v>
      </c>
      <c r="S6" s="88" t="b">
        <f aca="false">IF(IFERROR(INDEX(tsk_Name,GanttView[[#This Row],[_Row]])="",TRUE()),FALSE(),N(INDEX(tsk_Variance,GanttView[[#This Row],[_Row]]))&gt;0)</f>
        <v>0</v>
      </c>
      <c r="T6" s="89" t="n">
        <f aca="false">IF(IFERROR(INDEX(tsk_Name,GanttView[[#This Row],[_Row]])="",TRUE()),0,N(INDEX(tsk_Deadline,GanttView[[#This Row],[_Row]])))</f>
        <v>0</v>
      </c>
      <c r="U6" s="88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83" t="str">
        <f aca="false">IF(IFERROR(INDEX(tsk_Name,GanttView[[#This Row],[_Row]])="",TRUE()),"",INDEX(tsk_ID,GanttView[[#This Row],[_Row]]))</f>
        <v/>
      </c>
      <c r="B7" s="83" t="str">
        <f aca="false">IF(IFERROR(INDEX(tsk_Name,GanttView[[#This Row],[_Row]])="",TRUE()),"",INDEX(tsk_WBS,GanttView[[#This Row],[_Row]]))</f>
        <v/>
      </c>
      <c r="C7" s="84" t="str">
        <f aca="false">IF(IFERROR(INDEX(tsk_Name,GanttView[[#This Row],[_Row]])="",TRUE()),"",REPT("    ",INDEX(tsk_Level,GanttView[[#This Row],[_Row]])-1)&amp;INDEX(tsk_Name,GanttView[[#This Row],[_Row]]))</f>
        <v/>
      </c>
      <c r="D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85" t="str">
        <f aca="false">IF(IFERROR(INDEX(tsk_Name,GanttView[[#This Row],[_Row]])="",TRUE()),"",INDEX(tsk_PlanStart,GanttView[[#This Row],[_Row]]))</f>
        <v/>
      </c>
      <c r="F7" s="85" t="str">
        <f aca="false">IF(IFERROR(INDEX(tsk_Name,GanttView[[#This Row],[_Row]])="",TRUE()),"",INDEX(tsk_PlanFinish,GanttView[[#This Row],[_Row]]))</f>
        <v/>
      </c>
      <c r="G7" s="85" t="str">
        <f aca="false">IF(IFERROR(INDEX(tsk_Name,GanttView[[#This Row],[_Row]])="",TRUE()),"",INDEX(tsk_FcStart,GanttView[[#This Row],[_Row]]))</f>
        <v/>
      </c>
      <c r="H7" s="85" t="str">
        <f aca="false">IF(IFERROR(INDEX(tsk_Name,GanttView[[#This Row],[_Row]])="",TRUE()),"",INDEX(tsk_FcFinish,GanttView[[#This Row],[_Row]]))</f>
        <v/>
      </c>
      <c r="I7" s="86" t="str">
        <f aca="false">IF(IFERROR(INDEX(tsk_Name,GanttView[[#This Row],[_Row]])="",TRUE()),"",INDEX(tsk_Progress,GanttView[[#This Row],[_Row]]))</f>
        <v/>
      </c>
      <c r="J7" s="84" t="str">
        <f aca="false">IF(IFERROR(INDEX(tsk_Name,GanttView[[#This Row],[_Row]])="",TRUE()),"",INDEX(tsk_Resource,GanttView[[#This Row],[_Row]])&amp;"")</f>
        <v/>
      </c>
      <c r="K7" s="83" t="str">
        <f aca="false">IF(IFERROR(INDEX(tsk_Name,GanttView[[#This Row],[_Row]])="",TRUE()),"",INDEX(tsk_Status,GanttView[[#This Row],[_Row]]))</f>
        <v/>
      </c>
      <c r="L7" s="87" t="n">
        <f aca="false">ROW()-ROW(GanttView[[#Headers],[ID]])</f>
        <v>2</v>
      </c>
      <c r="M7" s="88" t="b">
        <f aca="false">IF(IFERROR(INDEX(tsk_Name,GanttView[[#This Row],[_Row]])="",TRUE()),FALSE(),INDEX(tsk_IsSummary,GanttView[[#This Row],[_Row]]))</f>
        <v>0</v>
      </c>
      <c r="N7" s="88" t="b">
        <f aca="false">IF(IFERROR(INDEX(tsk_Name,GanttView[[#This Row],[_Row]])="",TRUE()),FALSE(),AND(INDEX(tsk_IsLeaf,GanttView[[#This Row],[_Row]])=1,N(INDEX(tsk_Duration,GanttView[[#This Row],[_Row]]))=0))</f>
        <v>0</v>
      </c>
      <c r="O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89" t="n">
        <f aca="false">IF(GanttView[[#This Row],[_RemFrom]]=0,0,GanttView[[#This Row],[Forecast Finish]])</f>
        <v>0</v>
      </c>
      <c r="S7" s="88" t="b">
        <f aca="false">IF(IFERROR(INDEX(tsk_Name,GanttView[[#This Row],[_Row]])="",TRUE()),FALSE(),N(INDEX(tsk_Variance,GanttView[[#This Row],[_Row]]))&gt;0)</f>
        <v>0</v>
      </c>
      <c r="T7" s="89" t="n">
        <f aca="false">IF(IFERROR(INDEX(tsk_Name,GanttView[[#This Row],[_Row]])="",TRUE()),0,N(INDEX(tsk_Deadline,GanttView[[#This Row],[_Row]])))</f>
        <v>0</v>
      </c>
      <c r="U7" s="88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83" t="str">
        <f aca="false">IF(IFERROR(INDEX(tsk_Name,GanttView[[#This Row],[_Row]])="",TRUE()),"",INDEX(tsk_ID,GanttView[[#This Row],[_Row]]))</f>
        <v/>
      </c>
      <c r="B8" s="83" t="str">
        <f aca="false">IF(IFERROR(INDEX(tsk_Name,GanttView[[#This Row],[_Row]])="",TRUE()),"",INDEX(tsk_WBS,GanttView[[#This Row],[_Row]]))</f>
        <v/>
      </c>
      <c r="C8" s="84" t="str">
        <f aca="false">IF(IFERROR(INDEX(tsk_Name,GanttView[[#This Row],[_Row]])="",TRUE()),"",REPT("    ",INDEX(tsk_Level,GanttView[[#This Row],[_Row]])-1)&amp;INDEX(tsk_Name,GanttView[[#This Row],[_Row]]))</f>
        <v/>
      </c>
      <c r="D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85" t="str">
        <f aca="false">IF(IFERROR(INDEX(tsk_Name,GanttView[[#This Row],[_Row]])="",TRUE()),"",INDEX(tsk_PlanStart,GanttView[[#This Row],[_Row]]))</f>
        <v/>
      </c>
      <c r="F8" s="85" t="str">
        <f aca="false">IF(IFERROR(INDEX(tsk_Name,GanttView[[#This Row],[_Row]])="",TRUE()),"",INDEX(tsk_PlanFinish,GanttView[[#This Row],[_Row]]))</f>
        <v/>
      </c>
      <c r="G8" s="85" t="str">
        <f aca="false">IF(IFERROR(INDEX(tsk_Name,GanttView[[#This Row],[_Row]])="",TRUE()),"",INDEX(tsk_FcStart,GanttView[[#This Row],[_Row]]))</f>
        <v/>
      </c>
      <c r="H8" s="85" t="str">
        <f aca="false">IF(IFERROR(INDEX(tsk_Name,GanttView[[#This Row],[_Row]])="",TRUE()),"",INDEX(tsk_FcFinish,GanttView[[#This Row],[_Row]]))</f>
        <v/>
      </c>
      <c r="I8" s="86" t="str">
        <f aca="false">IF(IFERROR(INDEX(tsk_Name,GanttView[[#This Row],[_Row]])="",TRUE()),"",INDEX(tsk_Progress,GanttView[[#This Row],[_Row]]))</f>
        <v/>
      </c>
      <c r="J8" s="84" t="str">
        <f aca="false">IF(IFERROR(INDEX(tsk_Name,GanttView[[#This Row],[_Row]])="",TRUE()),"",INDEX(tsk_Resource,GanttView[[#This Row],[_Row]])&amp;"")</f>
        <v/>
      </c>
      <c r="K8" s="83" t="str">
        <f aca="false">IF(IFERROR(INDEX(tsk_Name,GanttView[[#This Row],[_Row]])="",TRUE()),"",INDEX(tsk_Status,GanttView[[#This Row],[_Row]]))</f>
        <v/>
      </c>
      <c r="L8" s="87" t="n">
        <f aca="false">ROW()-ROW(GanttView[[#Headers],[ID]])</f>
        <v>3</v>
      </c>
      <c r="M8" s="88" t="b">
        <f aca="false">IF(IFERROR(INDEX(tsk_Name,GanttView[[#This Row],[_Row]])="",TRUE()),FALSE(),INDEX(tsk_IsSummary,GanttView[[#This Row],[_Row]]))</f>
        <v>0</v>
      </c>
      <c r="N8" s="88" t="b">
        <f aca="false">IF(IFERROR(INDEX(tsk_Name,GanttView[[#This Row],[_Row]])="",TRUE()),FALSE(),AND(INDEX(tsk_IsLeaf,GanttView[[#This Row],[_Row]])=1,N(INDEX(tsk_Duration,GanttView[[#This Row],[_Row]]))=0))</f>
        <v>0</v>
      </c>
      <c r="O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89" t="n">
        <f aca="false">IF(GanttView[[#This Row],[_RemFrom]]=0,0,GanttView[[#This Row],[Forecast Finish]])</f>
        <v>0</v>
      </c>
      <c r="S8" s="88" t="b">
        <f aca="false">IF(IFERROR(INDEX(tsk_Name,GanttView[[#This Row],[_Row]])="",TRUE()),FALSE(),N(INDEX(tsk_Variance,GanttView[[#This Row],[_Row]]))&gt;0)</f>
        <v>0</v>
      </c>
      <c r="T8" s="89" t="n">
        <f aca="false">IF(IFERROR(INDEX(tsk_Name,GanttView[[#This Row],[_Row]])="",TRUE()),0,N(INDEX(tsk_Deadline,GanttView[[#This Row],[_Row]])))</f>
        <v>0</v>
      </c>
      <c r="U8" s="88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83" t="str">
        <f aca="false">IF(IFERROR(INDEX(tsk_Name,GanttView[[#This Row],[_Row]])="",TRUE()),"",INDEX(tsk_ID,GanttView[[#This Row],[_Row]]))</f>
        <v/>
      </c>
      <c r="B9" s="83" t="str">
        <f aca="false">IF(IFERROR(INDEX(tsk_Name,GanttView[[#This Row],[_Row]])="",TRUE()),"",INDEX(tsk_WBS,GanttView[[#This Row],[_Row]]))</f>
        <v/>
      </c>
      <c r="C9" s="84" t="str">
        <f aca="false">IF(IFERROR(INDEX(tsk_Name,GanttView[[#This Row],[_Row]])="",TRUE()),"",REPT("    ",INDEX(tsk_Level,GanttView[[#This Row],[_Row]])-1)&amp;INDEX(tsk_Name,GanttView[[#This Row],[_Row]]))</f>
        <v/>
      </c>
      <c r="D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85" t="str">
        <f aca="false">IF(IFERROR(INDEX(tsk_Name,GanttView[[#This Row],[_Row]])="",TRUE()),"",INDEX(tsk_PlanStart,GanttView[[#This Row],[_Row]]))</f>
        <v/>
      </c>
      <c r="F9" s="85" t="str">
        <f aca="false">IF(IFERROR(INDEX(tsk_Name,GanttView[[#This Row],[_Row]])="",TRUE()),"",INDEX(tsk_PlanFinish,GanttView[[#This Row],[_Row]]))</f>
        <v/>
      </c>
      <c r="G9" s="85" t="str">
        <f aca="false">IF(IFERROR(INDEX(tsk_Name,GanttView[[#This Row],[_Row]])="",TRUE()),"",INDEX(tsk_FcStart,GanttView[[#This Row],[_Row]]))</f>
        <v/>
      </c>
      <c r="H9" s="85" t="str">
        <f aca="false">IF(IFERROR(INDEX(tsk_Name,GanttView[[#This Row],[_Row]])="",TRUE()),"",INDEX(tsk_FcFinish,GanttView[[#This Row],[_Row]]))</f>
        <v/>
      </c>
      <c r="I9" s="86" t="str">
        <f aca="false">IF(IFERROR(INDEX(tsk_Name,GanttView[[#This Row],[_Row]])="",TRUE()),"",INDEX(tsk_Progress,GanttView[[#This Row],[_Row]]))</f>
        <v/>
      </c>
      <c r="J9" s="84" t="str">
        <f aca="false">IF(IFERROR(INDEX(tsk_Name,GanttView[[#This Row],[_Row]])="",TRUE()),"",INDEX(tsk_Resource,GanttView[[#This Row],[_Row]])&amp;"")</f>
        <v/>
      </c>
      <c r="K9" s="83" t="str">
        <f aca="false">IF(IFERROR(INDEX(tsk_Name,GanttView[[#This Row],[_Row]])="",TRUE()),"",INDEX(tsk_Status,GanttView[[#This Row],[_Row]]))</f>
        <v/>
      </c>
      <c r="L9" s="87" t="n">
        <f aca="false">ROW()-ROW(GanttView[[#Headers],[ID]])</f>
        <v>4</v>
      </c>
      <c r="M9" s="88" t="b">
        <f aca="false">IF(IFERROR(INDEX(tsk_Name,GanttView[[#This Row],[_Row]])="",TRUE()),FALSE(),INDEX(tsk_IsSummary,GanttView[[#This Row],[_Row]]))</f>
        <v>0</v>
      </c>
      <c r="N9" s="88" t="b">
        <f aca="false">IF(IFERROR(INDEX(tsk_Name,GanttView[[#This Row],[_Row]])="",TRUE()),FALSE(),AND(INDEX(tsk_IsLeaf,GanttView[[#This Row],[_Row]])=1,N(INDEX(tsk_Duration,GanttView[[#This Row],[_Row]]))=0))</f>
        <v>0</v>
      </c>
      <c r="O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89" t="n">
        <f aca="false">IF(GanttView[[#This Row],[_RemFrom]]=0,0,GanttView[[#This Row],[Forecast Finish]])</f>
        <v>0</v>
      </c>
      <c r="S9" s="88" t="b">
        <f aca="false">IF(IFERROR(INDEX(tsk_Name,GanttView[[#This Row],[_Row]])="",TRUE()),FALSE(),N(INDEX(tsk_Variance,GanttView[[#This Row],[_Row]]))&gt;0)</f>
        <v>0</v>
      </c>
      <c r="T9" s="89" t="n">
        <f aca="false">IF(IFERROR(INDEX(tsk_Name,GanttView[[#This Row],[_Row]])="",TRUE()),0,N(INDEX(tsk_Deadline,GanttView[[#This Row],[_Row]])))</f>
        <v>0</v>
      </c>
      <c r="U9" s="88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83" t="str">
        <f aca="false">IF(IFERROR(INDEX(tsk_Name,GanttView[[#This Row],[_Row]])="",TRUE()),"",INDEX(tsk_ID,GanttView[[#This Row],[_Row]]))</f>
        <v/>
      </c>
      <c r="B10" s="83" t="str">
        <f aca="false">IF(IFERROR(INDEX(tsk_Name,GanttView[[#This Row],[_Row]])="",TRUE()),"",INDEX(tsk_WBS,GanttView[[#This Row],[_Row]]))</f>
        <v/>
      </c>
      <c r="C10" s="84" t="str">
        <f aca="false">IF(IFERROR(INDEX(tsk_Name,GanttView[[#This Row],[_Row]])="",TRUE()),"",REPT("    ",INDEX(tsk_Level,GanttView[[#This Row],[_Row]])-1)&amp;INDEX(tsk_Name,GanttView[[#This Row],[_Row]]))</f>
        <v/>
      </c>
      <c r="D1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85" t="str">
        <f aca="false">IF(IFERROR(INDEX(tsk_Name,GanttView[[#This Row],[_Row]])="",TRUE()),"",INDEX(tsk_PlanStart,GanttView[[#This Row],[_Row]]))</f>
        <v/>
      </c>
      <c r="F10" s="85" t="str">
        <f aca="false">IF(IFERROR(INDEX(tsk_Name,GanttView[[#This Row],[_Row]])="",TRUE()),"",INDEX(tsk_PlanFinish,GanttView[[#This Row],[_Row]]))</f>
        <v/>
      </c>
      <c r="G10" s="85" t="str">
        <f aca="false">IF(IFERROR(INDEX(tsk_Name,GanttView[[#This Row],[_Row]])="",TRUE()),"",INDEX(tsk_FcStart,GanttView[[#This Row],[_Row]]))</f>
        <v/>
      </c>
      <c r="H10" s="85" t="str">
        <f aca="false">IF(IFERROR(INDEX(tsk_Name,GanttView[[#This Row],[_Row]])="",TRUE()),"",INDEX(tsk_FcFinish,GanttView[[#This Row],[_Row]]))</f>
        <v/>
      </c>
      <c r="I10" s="86" t="str">
        <f aca="false">IF(IFERROR(INDEX(tsk_Name,GanttView[[#This Row],[_Row]])="",TRUE()),"",INDEX(tsk_Progress,GanttView[[#This Row],[_Row]]))</f>
        <v/>
      </c>
      <c r="J10" s="84" t="str">
        <f aca="false">IF(IFERROR(INDEX(tsk_Name,GanttView[[#This Row],[_Row]])="",TRUE()),"",INDEX(tsk_Resource,GanttView[[#This Row],[_Row]])&amp;"")</f>
        <v/>
      </c>
      <c r="K10" s="83" t="str">
        <f aca="false">IF(IFERROR(INDEX(tsk_Name,GanttView[[#This Row],[_Row]])="",TRUE()),"",INDEX(tsk_Status,GanttView[[#This Row],[_Row]]))</f>
        <v/>
      </c>
      <c r="L10" s="87" t="n">
        <f aca="false">ROW()-ROW(GanttView[[#Headers],[ID]])</f>
        <v>5</v>
      </c>
      <c r="M10" s="88" t="b">
        <f aca="false">IF(IFERROR(INDEX(tsk_Name,GanttView[[#This Row],[_Row]])="",TRUE()),FALSE(),INDEX(tsk_IsSummary,GanttView[[#This Row],[_Row]]))</f>
        <v>0</v>
      </c>
      <c r="N10" s="88" t="b">
        <f aca="false">IF(IFERROR(INDEX(tsk_Name,GanttView[[#This Row],[_Row]])="",TRUE()),FALSE(),AND(INDEX(tsk_IsLeaf,GanttView[[#This Row],[_Row]])=1,N(INDEX(tsk_Duration,GanttView[[#This Row],[_Row]]))=0))</f>
        <v>0</v>
      </c>
      <c r="O1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89" t="n">
        <f aca="false">IF(GanttView[[#This Row],[_RemFrom]]=0,0,GanttView[[#This Row],[Forecast Finish]])</f>
        <v>0</v>
      </c>
      <c r="S10" s="88" t="b">
        <f aca="false">IF(IFERROR(INDEX(tsk_Name,GanttView[[#This Row],[_Row]])="",TRUE()),FALSE(),N(INDEX(tsk_Variance,GanttView[[#This Row],[_Row]]))&gt;0)</f>
        <v>0</v>
      </c>
      <c r="T10" s="89" t="n">
        <f aca="false">IF(IFERROR(INDEX(tsk_Name,GanttView[[#This Row],[_Row]])="",TRUE()),0,N(INDEX(tsk_Deadline,GanttView[[#This Row],[_Row]])))</f>
        <v>0</v>
      </c>
      <c r="U10" s="88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83" t="str">
        <f aca="false">IF(IFERROR(INDEX(tsk_Name,GanttView[[#This Row],[_Row]])="",TRUE()),"",INDEX(tsk_ID,GanttView[[#This Row],[_Row]]))</f>
        <v/>
      </c>
      <c r="B11" s="83" t="str">
        <f aca="false">IF(IFERROR(INDEX(tsk_Name,GanttView[[#This Row],[_Row]])="",TRUE()),"",INDEX(tsk_WBS,GanttView[[#This Row],[_Row]]))</f>
        <v/>
      </c>
      <c r="C11" s="84" t="str">
        <f aca="false">IF(IFERROR(INDEX(tsk_Name,GanttView[[#This Row],[_Row]])="",TRUE()),"",REPT("    ",INDEX(tsk_Level,GanttView[[#This Row],[_Row]])-1)&amp;INDEX(tsk_Name,GanttView[[#This Row],[_Row]]))</f>
        <v/>
      </c>
      <c r="D1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85" t="str">
        <f aca="false">IF(IFERROR(INDEX(tsk_Name,GanttView[[#This Row],[_Row]])="",TRUE()),"",INDEX(tsk_PlanStart,GanttView[[#This Row],[_Row]]))</f>
        <v/>
      </c>
      <c r="F11" s="85" t="str">
        <f aca="false">IF(IFERROR(INDEX(tsk_Name,GanttView[[#This Row],[_Row]])="",TRUE()),"",INDEX(tsk_PlanFinish,GanttView[[#This Row],[_Row]]))</f>
        <v/>
      </c>
      <c r="G11" s="85" t="str">
        <f aca="false">IF(IFERROR(INDEX(tsk_Name,GanttView[[#This Row],[_Row]])="",TRUE()),"",INDEX(tsk_FcStart,GanttView[[#This Row],[_Row]]))</f>
        <v/>
      </c>
      <c r="H11" s="85" t="str">
        <f aca="false">IF(IFERROR(INDEX(tsk_Name,GanttView[[#This Row],[_Row]])="",TRUE()),"",INDEX(tsk_FcFinish,GanttView[[#This Row],[_Row]]))</f>
        <v/>
      </c>
      <c r="I11" s="86" t="str">
        <f aca="false">IF(IFERROR(INDEX(tsk_Name,GanttView[[#This Row],[_Row]])="",TRUE()),"",INDEX(tsk_Progress,GanttView[[#This Row],[_Row]]))</f>
        <v/>
      </c>
      <c r="J11" s="84" t="str">
        <f aca="false">IF(IFERROR(INDEX(tsk_Name,GanttView[[#This Row],[_Row]])="",TRUE()),"",INDEX(tsk_Resource,GanttView[[#This Row],[_Row]])&amp;"")</f>
        <v/>
      </c>
      <c r="K11" s="83" t="str">
        <f aca="false">IF(IFERROR(INDEX(tsk_Name,GanttView[[#This Row],[_Row]])="",TRUE()),"",INDEX(tsk_Status,GanttView[[#This Row],[_Row]]))</f>
        <v/>
      </c>
      <c r="L11" s="87" t="n">
        <f aca="false">ROW()-ROW(GanttView[[#Headers],[ID]])</f>
        <v>6</v>
      </c>
      <c r="M11" s="88" t="b">
        <f aca="false">IF(IFERROR(INDEX(tsk_Name,GanttView[[#This Row],[_Row]])="",TRUE()),FALSE(),INDEX(tsk_IsSummary,GanttView[[#This Row],[_Row]]))</f>
        <v>0</v>
      </c>
      <c r="N11" s="88" t="b">
        <f aca="false">IF(IFERROR(INDEX(tsk_Name,GanttView[[#This Row],[_Row]])="",TRUE()),FALSE(),AND(INDEX(tsk_IsLeaf,GanttView[[#This Row],[_Row]])=1,N(INDEX(tsk_Duration,GanttView[[#This Row],[_Row]]))=0))</f>
        <v>0</v>
      </c>
      <c r="O1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89" t="n">
        <f aca="false">IF(GanttView[[#This Row],[_RemFrom]]=0,0,GanttView[[#This Row],[Forecast Finish]])</f>
        <v>0</v>
      </c>
      <c r="S11" s="88" t="b">
        <f aca="false">IF(IFERROR(INDEX(tsk_Name,GanttView[[#This Row],[_Row]])="",TRUE()),FALSE(),N(INDEX(tsk_Variance,GanttView[[#This Row],[_Row]]))&gt;0)</f>
        <v>0</v>
      </c>
      <c r="T11" s="89" t="n">
        <f aca="false">IF(IFERROR(INDEX(tsk_Name,GanttView[[#This Row],[_Row]])="",TRUE()),0,N(INDEX(tsk_Deadline,GanttView[[#This Row],[_Row]])))</f>
        <v>0</v>
      </c>
      <c r="U11" s="88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83" t="str">
        <f aca="false">IF(IFERROR(INDEX(tsk_Name,GanttView[[#This Row],[_Row]])="",TRUE()),"",INDEX(tsk_ID,GanttView[[#This Row],[_Row]]))</f>
        <v/>
      </c>
      <c r="B12" s="83" t="str">
        <f aca="false">IF(IFERROR(INDEX(tsk_Name,GanttView[[#This Row],[_Row]])="",TRUE()),"",INDEX(tsk_WBS,GanttView[[#This Row],[_Row]]))</f>
        <v/>
      </c>
      <c r="C12" s="84" t="str">
        <f aca="false">IF(IFERROR(INDEX(tsk_Name,GanttView[[#This Row],[_Row]])="",TRUE()),"",REPT("    ",INDEX(tsk_Level,GanttView[[#This Row],[_Row]])-1)&amp;INDEX(tsk_Name,GanttView[[#This Row],[_Row]]))</f>
        <v/>
      </c>
      <c r="D1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85" t="str">
        <f aca="false">IF(IFERROR(INDEX(tsk_Name,GanttView[[#This Row],[_Row]])="",TRUE()),"",INDEX(tsk_PlanStart,GanttView[[#This Row],[_Row]]))</f>
        <v/>
      </c>
      <c r="F12" s="85" t="str">
        <f aca="false">IF(IFERROR(INDEX(tsk_Name,GanttView[[#This Row],[_Row]])="",TRUE()),"",INDEX(tsk_PlanFinish,GanttView[[#This Row],[_Row]]))</f>
        <v/>
      </c>
      <c r="G12" s="85" t="str">
        <f aca="false">IF(IFERROR(INDEX(tsk_Name,GanttView[[#This Row],[_Row]])="",TRUE()),"",INDEX(tsk_FcStart,GanttView[[#This Row],[_Row]]))</f>
        <v/>
      </c>
      <c r="H12" s="85" t="str">
        <f aca="false">IF(IFERROR(INDEX(tsk_Name,GanttView[[#This Row],[_Row]])="",TRUE()),"",INDEX(tsk_FcFinish,GanttView[[#This Row],[_Row]]))</f>
        <v/>
      </c>
      <c r="I12" s="86" t="str">
        <f aca="false">IF(IFERROR(INDEX(tsk_Name,GanttView[[#This Row],[_Row]])="",TRUE()),"",INDEX(tsk_Progress,GanttView[[#This Row],[_Row]]))</f>
        <v/>
      </c>
      <c r="J12" s="84" t="str">
        <f aca="false">IF(IFERROR(INDEX(tsk_Name,GanttView[[#This Row],[_Row]])="",TRUE()),"",INDEX(tsk_Resource,GanttView[[#This Row],[_Row]])&amp;"")</f>
        <v/>
      </c>
      <c r="K12" s="83" t="str">
        <f aca="false">IF(IFERROR(INDEX(tsk_Name,GanttView[[#This Row],[_Row]])="",TRUE()),"",INDEX(tsk_Status,GanttView[[#This Row],[_Row]]))</f>
        <v/>
      </c>
      <c r="L12" s="87" t="n">
        <f aca="false">ROW()-ROW(GanttView[[#Headers],[ID]])</f>
        <v>7</v>
      </c>
      <c r="M12" s="88" t="b">
        <f aca="false">IF(IFERROR(INDEX(tsk_Name,GanttView[[#This Row],[_Row]])="",TRUE()),FALSE(),INDEX(tsk_IsSummary,GanttView[[#This Row],[_Row]]))</f>
        <v>0</v>
      </c>
      <c r="N12" s="88" t="b">
        <f aca="false">IF(IFERROR(INDEX(tsk_Name,GanttView[[#This Row],[_Row]])="",TRUE()),FALSE(),AND(INDEX(tsk_IsLeaf,GanttView[[#This Row],[_Row]])=1,N(INDEX(tsk_Duration,GanttView[[#This Row],[_Row]]))=0))</f>
        <v>0</v>
      </c>
      <c r="O1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89" t="n">
        <f aca="false">IF(GanttView[[#This Row],[_RemFrom]]=0,0,GanttView[[#This Row],[Forecast Finish]])</f>
        <v>0</v>
      </c>
      <c r="S12" s="88" t="b">
        <f aca="false">IF(IFERROR(INDEX(tsk_Name,GanttView[[#This Row],[_Row]])="",TRUE()),FALSE(),N(INDEX(tsk_Variance,GanttView[[#This Row],[_Row]]))&gt;0)</f>
        <v>0</v>
      </c>
      <c r="T12" s="89" t="n">
        <f aca="false">IF(IFERROR(INDEX(tsk_Name,GanttView[[#This Row],[_Row]])="",TRUE()),0,N(INDEX(tsk_Deadline,GanttView[[#This Row],[_Row]])))</f>
        <v>0</v>
      </c>
      <c r="U12" s="88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83" t="str">
        <f aca="false">IF(IFERROR(INDEX(tsk_Name,GanttView[[#This Row],[_Row]])="",TRUE()),"",INDEX(tsk_ID,GanttView[[#This Row],[_Row]]))</f>
        <v/>
      </c>
      <c r="B13" s="83" t="str">
        <f aca="false">IF(IFERROR(INDEX(tsk_Name,GanttView[[#This Row],[_Row]])="",TRUE()),"",INDEX(tsk_WBS,GanttView[[#This Row],[_Row]]))</f>
        <v/>
      </c>
      <c r="C13" s="84" t="str">
        <f aca="false">IF(IFERROR(INDEX(tsk_Name,GanttView[[#This Row],[_Row]])="",TRUE()),"",REPT("    ",INDEX(tsk_Level,GanttView[[#This Row],[_Row]])-1)&amp;INDEX(tsk_Name,GanttView[[#This Row],[_Row]]))</f>
        <v/>
      </c>
      <c r="D1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85" t="str">
        <f aca="false">IF(IFERROR(INDEX(tsk_Name,GanttView[[#This Row],[_Row]])="",TRUE()),"",INDEX(tsk_PlanStart,GanttView[[#This Row],[_Row]]))</f>
        <v/>
      </c>
      <c r="F13" s="85" t="str">
        <f aca="false">IF(IFERROR(INDEX(tsk_Name,GanttView[[#This Row],[_Row]])="",TRUE()),"",INDEX(tsk_PlanFinish,GanttView[[#This Row],[_Row]]))</f>
        <v/>
      </c>
      <c r="G13" s="85" t="str">
        <f aca="false">IF(IFERROR(INDEX(tsk_Name,GanttView[[#This Row],[_Row]])="",TRUE()),"",INDEX(tsk_FcStart,GanttView[[#This Row],[_Row]]))</f>
        <v/>
      </c>
      <c r="H13" s="85" t="str">
        <f aca="false">IF(IFERROR(INDEX(tsk_Name,GanttView[[#This Row],[_Row]])="",TRUE()),"",INDEX(tsk_FcFinish,GanttView[[#This Row],[_Row]]))</f>
        <v/>
      </c>
      <c r="I13" s="86" t="str">
        <f aca="false">IF(IFERROR(INDEX(tsk_Name,GanttView[[#This Row],[_Row]])="",TRUE()),"",INDEX(tsk_Progress,GanttView[[#This Row],[_Row]]))</f>
        <v/>
      </c>
      <c r="J13" s="84" t="str">
        <f aca="false">IF(IFERROR(INDEX(tsk_Name,GanttView[[#This Row],[_Row]])="",TRUE()),"",INDEX(tsk_Resource,GanttView[[#This Row],[_Row]])&amp;"")</f>
        <v/>
      </c>
      <c r="K13" s="83" t="str">
        <f aca="false">IF(IFERROR(INDEX(tsk_Name,GanttView[[#This Row],[_Row]])="",TRUE()),"",INDEX(tsk_Status,GanttView[[#This Row],[_Row]]))</f>
        <v/>
      </c>
      <c r="L13" s="87" t="n">
        <f aca="false">ROW()-ROW(GanttView[[#Headers],[ID]])</f>
        <v>8</v>
      </c>
      <c r="M13" s="88" t="b">
        <f aca="false">IF(IFERROR(INDEX(tsk_Name,GanttView[[#This Row],[_Row]])="",TRUE()),FALSE(),INDEX(tsk_IsSummary,GanttView[[#This Row],[_Row]]))</f>
        <v>0</v>
      </c>
      <c r="N13" s="88" t="b">
        <f aca="false">IF(IFERROR(INDEX(tsk_Name,GanttView[[#This Row],[_Row]])="",TRUE()),FALSE(),AND(INDEX(tsk_IsLeaf,GanttView[[#This Row],[_Row]])=1,N(INDEX(tsk_Duration,GanttView[[#This Row],[_Row]]))=0))</f>
        <v>0</v>
      </c>
      <c r="O1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89" t="n">
        <f aca="false">IF(GanttView[[#This Row],[_RemFrom]]=0,0,GanttView[[#This Row],[Forecast Finish]])</f>
        <v>0</v>
      </c>
      <c r="S13" s="88" t="b">
        <f aca="false">IF(IFERROR(INDEX(tsk_Name,GanttView[[#This Row],[_Row]])="",TRUE()),FALSE(),N(INDEX(tsk_Variance,GanttView[[#This Row],[_Row]]))&gt;0)</f>
        <v>0</v>
      </c>
      <c r="T13" s="89" t="n">
        <f aca="false">IF(IFERROR(INDEX(tsk_Name,GanttView[[#This Row],[_Row]])="",TRUE()),0,N(INDEX(tsk_Deadline,GanttView[[#This Row],[_Row]])))</f>
        <v>0</v>
      </c>
      <c r="U13" s="88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83" t="str">
        <f aca="false">IF(IFERROR(INDEX(tsk_Name,GanttView[[#This Row],[_Row]])="",TRUE()),"",INDEX(tsk_ID,GanttView[[#This Row],[_Row]]))</f>
        <v/>
      </c>
      <c r="B14" s="83" t="str">
        <f aca="false">IF(IFERROR(INDEX(tsk_Name,GanttView[[#This Row],[_Row]])="",TRUE()),"",INDEX(tsk_WBS,GanttView[[#This Row],[_Row]]))</f>
        <v/>
      </c>
      <c r="C14" s="84" t="str">
        <f aca="false">IF(IFERROR(INDEX(tsk_Name,GanttView[[#This Row],[_Row]])="",TRUE()),"",REPT("    ",INDEX(tsk_Level,GanttView[[#This Row],[_Row]])-1)&amp;INDEX(tsk_Name,GanttView[[#This Row],[_Row]]))</f>
        <v/>
      </c>
      <c r="D1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85" t="str">
        <f aca="false">IF(IFERROR(INDEX(tsk_Name,GanttView[[#This Row],[_Row]])="",TRUE()),"",INDEX(tsk_PlanStart,GanttView[[#This Row],[_Row]]))</f>
        <v/>
      </c>
      <c r="F14" s="85" t="str">
        <f aca="false">IF(IFERROR(INDEX(tsk_Name,GanttView[[#This Row],[_Row]])="",TRUE()),"",INDEX(tsk_PlanFinish,GanttView[[#This Row],[_Row]]))</f>
        <v/>
      </c>
      <c r="G14" s="85" t="str">
        <f aca="false">IF(IFERROR(INDEX(tsk_Name,GanttView[[#This Row],[_Row]])="",TRUE()),"",INDEX(tsk_FcStart,GanttView[[#This Row],[_Row]]))</f>
        <v/>
      </c>
      <c r="H14" s="85" t="str">
        <f aca="false">IF(IFERROR(INDEX(tsk_Name,GanttView[[#This Row],[_Row]])="",TRUE()),"",INDEX(tsk_FcFinish,GanttView[[#This Row],[_Row]]))</f>
        <v/>
      </c>
      <c r="I14" s="86" t="str">
        <f aca="false">IF(IFERROR(INDEX(tsk_Name,GanttView[[#This Row],[_Row]])="",TRUE()),"",INDEX(tsk_Progress,GanttView[[#This Row],[_Row]]))</f>
        <v/>
      </c>
      <c r="J14" s="84" t="str">
        <f aca="false">IF(IFERROR(INDEX(tsk_Name,GanttView[[#This Row],[_Row]])="",TRUE()),"",INDEX(tsk_Resource,GanttView[[#This Row],[_Row]])&amp;"")</f>
        <v/>
      </c>
      <c r="K14" s="83" t="str">
        <f aca="false">IF(IFERROR(INDEX(tsk_Name,GanttView[[#This Row],[_Row]])="",TRUE()),"",INDEX(tsk_Status,GanttView[[#This Row],[_Row]]))</f>
        <v/>
      </c>
      <c r="L14" s="87" t="n">
        <f aca="false">ROW()-ROW(GanttView[[#Headers],[ID]])</f>
        <v>9</v>
      </c>
      <c r="M14" s="88" t="b">
        <f aca="false">IF(IFERROR(INDEX(tsk_Name,GanttView[[#This Row],[_Row]])="",TRUE()),FALSE(),INDEX(tsk_IsSummary,GanttView[[#This Row],[_Row]]))</f>
        <v>0</v>
      </c>
      <c r="N14" s="88" t="b">
        <f aca="false">IF(IFERROR(INDEX(tsk_Name,GanttView[[#This Row],[_Row]])="",TRUE()),FALSE(),AND(INDEX(tsk_IsLeaf,GanttView[[#This Row],[_Row]])=1,N(INDEX(tsk_Duration,GanttView[[#This Row],[_Row]]))=0))</f>
        <v>0</v>
      </c>
      <c r="O1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89" t="n">
        <f aca="false">IF(GanttView[[#This Row],[_RemFrom]]=0,0,GanttView[[#This Row],[Forecast Finish]])</f>
        <v>0</v>
      </c>
      <c r="S14" s="88" t="b">
        <f aca="false">IF(IFERROR(INDEX(tsk_Name,GanttView[[#This Row],[_Row]])="",TRUE()),FALSE(),N(INDEX(tsk_Variance,GanttView[[#This Row],[_Row]]))&gt;0)</f>
        <v>0</v>
      </c>
      <c r="T14" s="89" t="n">
        <f aca="false">IF(IFERROR(INDEX(tsk_Name,GanttView[[#This Row],[_Row]])="",TRUE()),0,N(INDEX(tsk_Deadline,GanttView[[#This Row],[_Row]])))</f>
        <v>0</v>
      </c>
      <c r="U14" s="88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83" t="str">
        <f aca="false">IF(IFERROR(INDEX(tsk_Name,GanttView[[#This Row],[_Row]])="",TRUE()),"",INDEX(tsk_ID,GanttView[[#This Row],[_Row]]))</f>
        <v/>
      </c>
      <c r="B15" s="83" t="str">
        <f aca="false">IF(IFERROR(INDEX(tsk_Name,GanttView[[#This Row],[_Row]])="",TRUE()),"",INDEX(tsk_WBS,GanttView[[#This Row],[_Row]]))</f>
        <v/>
      </c>
      <c r="C15" s="84" t="str">
        <f aca="false">IF(IFERROR(INDEX(tsk_Name,GanttView[[#This Row],[_Row]])="",TRUE()),"",REPT("    ",INDEX(tsk_Level,GanttView[[#This Row],[_Row]])-1)&amp;INDEX(tsk_Name,GanttView[[#This Row],[_Row]]))</f>
        <v/>
      </c>
      <c r="D1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85" t="str">
        <f aca="false">IF(IFERROR(INDEX(tsk_Name,GanttView[[#This Row],[_Row]])="",TRUE()),"",INDEX(tsk_PlanStart,GanttView[[#This Row],[_Row]]))</f>
        <v/>
      </c>
      <c r="F15" s="85" t="str">
        <f aca="false">IF(IFERROR(INDEX(tsk_Name,GanttView[[#This Row],[_Row]])="",TRUE()),"",INDEX(tsk_PlanFinish,GanttView[[#This Row],[_Row]]))</f>
        <v/>
      </c>
      <c r="G15" s="85" t="str">
        <f aca="false">IF(IFERROR(INDEX(tsk_Name,GanttView[[#This Row],[_Row]])="",TRUE()),"",INDEX(tsk_FcStart,GanttView[[#This Row],[_Row]]))</f>
        <v/>
      </c>
      <c r="H15" s="85" t="str">
        <f aca="false">IF(IFERROR(INDEX(tsk_Name,GanttView[[#This Row],[_Row]])="",TRUE()),"",INDEX(tsk_FcFinish,GanttView[[#This Row],[_Row]]))</f>
        <v/>
      </c>
      <c r="I15" s="86" t="str">
        <f aca="false">IF(IFERROR(INDEX(tsk_Name,GanttView[[#This Row],[_Row]])="",TRUE()),"",INDEX(tsk_Progress,GanttView[[#This Row],[_Row]]))</f>
        <v/>
      </c>
      <c r="J15" s="84" t="str">
        <f aca="false">IF(IFERROR(INDEX(tsk_Name,GanttView[[#This Row],[_Row]])="",TRUE()),"",INDEX(tsk_Resource,GanttView[[#This Row],[_Row]])&amp;"")</f>
        <v/>
      </c>
      <c r="K15" s="83" t="str">
        <f aca="false">IF(IFERROR(INDEX(tsk_Name,GanttView[[#This Row],[_Row]])="",TRUE()),"",INDEX(tsk_Status,GanttView[[#This Row],[_Row]]))</f>
        <v/>
      </c>
      <c r="L15" s="87" t="n">
        <f aca="false">ROW()-ROW(GanttView[[#Headers],[ID]])</f>
        <v>10</v>
      </c>
      <c r="M15" s="88" t="b">
        <f aca="false">IF(IFERROR(INDEX(tsk_Name,GanttView[[#This Row],[_Row]])="",TRUE()),FALSE(),INDEX(tsk_IsSummary,GanttView[[#This Row],[_Row]]))</f>
        <v>0</v>
      </c>
      <c r="N15" s="88" t="b">
        <f aca="false">IF(IFERROR(INDEX(tsk_Name,GanttView[[#This Row],[_Row]])="",TRUE()),FALSE(),AND(INDEX(tsk_IsLeaf,GanttView[[#This Row],[_Row]])=1,N(INDEX(tsk_Duration,GanttView[[#This Row],[_Row]]))=0))</f>
        <v>0</v>
      </c>
      <c r="O1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89" t="n">
        <f aca="false">IF(GanttView[[#This Row],[_RemFrom]]=0,0,GanttView[[#This Row],[Forecast Finish]])</f>
        <v>0</v>
      </c>
      <c r="S15" s="88" t="b">
        <f aca="false">IF(IFERROR(INDEX(tsk_Name,GanttView[[#This Row],[_Row]])="",TRUE()),FALSE(),N(INDEX(tsk_Variance,GanttView[[#This Row],[_Row]]))&gt;0)</f>
        <v>0</v>
      </c>
      <c r="T15" s="89" t="n">
        <f aca="false">IF(IFERROR(INDEX(tsk_Name,GanttView[[#This Row],[_Row]])="",TRUE()),0,N(INDEX(tsk_Deadline,GanttView[[#This Row],[_Row]])))</f>
        <v>0</v>
      </c>
      <c r="U15" s="88" t="b">
        <f aca="false">IF(IFERROR(INDEX(tsk_Name,GanttView[[#This Row],[_Row]])="",TRUE()),FALSE(),INDEX(tsk_Critical,GanttView[[#This Row],[_Row]])="Yes")</f>
        <v>0</v>
      </c>
    </row>
    <row r="16" customFormat="false" ht="15" hidden="false" customHeight="false" outlineLevel="0" collapsed="false">
      <c r="A16" s="83" t="str">
        <f aca="false">IF(IFERROR(INDEX(tsk_Name,GanttView[[#This Row],[_Row]])="",TRUE()),"",INDEX(tsk_ID,GanttView[[#This Row],[_Row]]))</f>
        <v/>
      </c>
      <c r="B16" s="83" t="str">
        <f aca="false">IF(IFERROR(INDEX(tsk_Name,GanttView[[#This Row],[_Row]])="",TRUE()),"",INDEX(tsk_WBS,GanttView[[#This Row],[_Row]]))</f>
        <v/>
      </c>
      <c r="C16" s="84" t="str">
        <f aca="false">IF(IFERROR(INDEX(tsk_Name,GanttView[[#This Row],[_Row]])="",TRUE()),"",REPT("    ",INDEX(tsk_Level,GanttView[[#This Row],[_Row]])-1)&amp;INDEX(tsk_Name,GanttView[[#This Row],[_Row]]))</f>
        <v/>
      </c>
      <c r="D1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85" t="str">
        <f aca="false">IF(IFERROR(INDEX(tsk_Name,GanttView[[#This Row],[_Row]])="",TRUE()),"",INDEX(tsk_PlanStart,GanttView[[#This Row],[_Row]]))</f>
        <v/>
      </c>
      <c r="F16" s="85" t="str">
        <f aca="false">IF(IFERROR(INDEX(tsk_Name,GanttView[[#This Row],[_Row]])="",TRUE()),"",INDEX(tsk_PlanFinish,GanttView[[#This Row],[_Row]]))</f>
        <v/>
      </c>
      <c r="G16" s="85" t="str">
        <f aca="false">IF(IFERROR(INDEX(tsk_Name,GanttView[[#This Row],[_Row]])="",TRUE()),"",INDEX(tsk_FcStart,GanttView[[#This Row],[_Row]]))</f>
        <v/>
      </c>
      <c r="H16" s="85" t="str">
        <f aca="false">IF(IFERROR(INDEX(tsk_Name,GanttView[[#This Row],[_Row]])="",TRUE()),"",INDEX(tsk_FcFinish,GanttView[[#This Row],[_Row]]))</f>
        <v/>
      </c>
      <c r="I16" s="86" t="str">
        <f aca="false">IF(IFERROR(INDEX(tsk_Name,GanttView[[#This Row],[_Row]])="",TRUE()),"",INDEX(tsk_Progress,GanttView[[#This Row],[_Row]]))</f>
        <v/>
      </c>
      <c r="J16" s="84" t="str">
        <f aca="false">IF(IFERROR(INDEX(tsk_Name,GanttView[[#This Row],[_Row]])="",TRUE()),"",INDEX(tsk_Resource,GanttView[[#This Row],[_Row]])&amp;"")</f>
        <v/>
      </c>
      <c r="K16" s="83" t="str">
        <f aca="false">IF(IFERROR(INDEX(tsk_Name,GanttView[[#This Row],[_Row]])="",TRUE()),"",INDEX(tsk_Status,GanttView[[#This Row],[_Row]]))</f>
        <v/>
      </c>
      <c r="L16" s="87" t="n">
        <f aca="false">ROW()-ROW(GanttView[[#Headers],[ID]])</f>
        <v>11</v>
      </c>
      <c r="M16" s="88" t="b">
        <f aca="false">IF(IFERROR(INDEX(tsk_Name,GanttView[[#This Row],[_Row]])="",TRUE()),FALSE(),INDEX(tsk_IsSummary,GanttView[[#This Row],[_Row]]))</f>
        <v>0</v>
      </c>
      <c r="N16" s="88" t="b">
        <f aca="false">IF(IFERROR(INDEX(tsk_Name,GanttView[[#This Row],[_Row]])="",TRUE()),FALSE(),AND(INDEX(tsk_IsLeaf,GanttView[[#This Row],[_Row]])=1,N(INDEX(tsk_Duration,GanttView[[#This Row],[_Row]]))=0))</f>
        <v>0</v>
      </c>
      <c r="O1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89" t="n">
        <f aca="false">IF(GanttView[[#This Row],[_RemFrom]]=0,0,GanttView[[#This Row],[Forecast Finish]])</f>
        <v>0</v>
      </c>
      <c r="S16" s="88" t="b">
        <f aca="false">IF(IFERROR(INDEX(tsk_Name,GanttView[[#This Row],[_Row]])="",TRUE()),FALSE(),N(INDEX(tsk_Variance,GanttView[[#This Row],[_Row]]))&gt;0)</f>
        <v>0</v>
      </c>
      <c r="T16" s="89" t="n">
        <f aca="false">IF(IFERROR(INDEX(tsk_Name,GanttView[[#This Row],[_Row]])="",TRUE()),0,N(INDEX(tsk_Deadline,GanttView[[#This Row],[_Row]])))</f>
        <v>0</v>
      </c>
      <c r="U16" s="88" t="b">
        <f aca="false">IF(IFERROR(INDEX(tsk_Name,GanttView[[#This Row],[_Row]])="",TRUE()),FALSE(),INDEX(tsk_Critical,GanttView[[#This Row],[_Row]])="Yes")</f>
        <v>0</v>
      </c>
    </row>
    <row r="17" customFormat="false" ht="15" hidden="false" customHeight="false" outlineLevel="0" collapsed="false">
      <c r="A17" s="83" t="str">
        <f aca="false">IF(IFERROR(INDEX(tsk_Name,GanttView[[#This Row],[_Row]])="",TRUE()),"",INDEX(tsk_ID,GanttView[[#This Row],[_Row]]))</f>
        <v/>
      </c>
      <c r="B17" s="83" t="str">
        <f aca="false">IF(IFERROR(INDEX(tsk_Name,GanttView[[#This Row],[_Row]])="",TRUE()),"",INDEX(tsk_WBS,GanttView[[#This Row],[_Row]]))</f>
        <v/>
      </c>
      <c r="C17" s="84" t="str">
        <f aca="false">IF(IFERROR(INDEX(tsk_Name,GanttView[[#This Row],[_Row]])="",TRUE()),"",REPT("    ",INDEX(tsk_Level,GanttView[[#This Row],[_Row]])-1)&amp;INDEX(tsk_Name,GanttView[[#This Row],[_Row]]))</f>
        <v/>
      </c>
      <c r="D1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85" t="str">
        <f aca="false">IF(IFERROR(INDEX(tsk_Name,GanttView[[#This Row],[_Row]])="",TRUE()),"",INDEX(tsk_PlanStart,GanttView[[#This Row],[_Row]]))</f>
        <v/>
      </c>
      <c r="F17" s="85" t="str">
        <f aca="false">IF(IFERROR(INDEX(tsk_Name,GanttView[[#This Row],[_Row]])="",TRUE()),"",INDEX(tsk_PlanFinish,GanttView[[#This Row],[_Row]]))</f>
        <v/>
      </c>
      <c r="G17" s="85" t="str">
        <f aca="false">IF(IFERROR(INDEX(tsk_Name,GanttView[[#This Row],[_Row]])="",TRUE()),"",INDEX(tsk_FcStart,GanttView[[#This Row],[_Row]]))</f>
        <v/>
      </c>
      <c r="H17" s="85" t="str">
        <f aca="false">IF(IFERROR(INDEX(tsk_Name,GanttView[[#This Row],[_Row]])="",TRUE()),"",INDEX(tsk_FcFinish,GanttView[[#This Row],[_Row]]))</f>
        <v/>
      </c>
      <c r="I17" s="86" t="str">
        <f aca="false">IF(IFERROR(INDEX(tsk_Name,GanttView[[#This Row],[_Row]])="",TRUE()),"",INDEX(tsk_Progress,GanttView[[#This Row],[_Row]]))</f>
        <v/>
      </c>
      <c r="J17" s="84" t="str">
        <f aca="false">IF(IFERROR(INDEX(tsk_Name,GanttView[[#This Row],[_Row]])="",TRUE()),"",INDEX(tsk_Resource,GanttView[[#This Row],[_Row]])&amp;"")</f>
        <v/>
      </c>
      <c r="K17" s="83" t="str">
        <f aca="false">IF(IFERROR(INDEX(tsk_Name,GanttView[[#This Row],[_Row]])="",TRUE()),"",INDEX(tsk_Status,GanttView[[#This Row],[_Row]]))</f>
        <v/>
      </c>
      <c r="L17" s="87" t="n">
        <f aca="false">ROW()-ROW(GanttView[[#Headers],[ID]])</f>
        <v>12</v>
      </c>
      <c r="M17" s="88" t="b">
        <f aca="false">IF(IFERROR(INDEX(tsk_Name,GanttView[[#This Row],[_Row]])="",TRUE()),FALSE(),INDEX(tsk_IsSummary,GanttView[[#This Row],[_Row]]))</f>
        <v>0</v>
      </c>
      <c r="N17" s="88" t="b">
        <f aca="false">IF(IFERROR(INDEX(tsk_Name,GanttView[[#This Row],[_Row]])="",TRUE()),FALSE(),AND(INDEX(tsk_IsLeaf,GanttView[[#This Row],[_Row]])=1,N(INDEX(tsk_Duration,GanttView[[#This Row],[_Row]]))=0))</f>
        <v>0</v>
      </c>
      <c r="O1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89" t="n">
        <f aca="false">IF(GanttView[[#This Row],[_RemFrom]]=0,0,GanttView[[#This Row],[Forecast Finish]])</f>
        <v>0</v>
      </c>
      <c r="S17" s="88" t="b">
        <f aca="false">IF(IFERROR(INDEX(tsk_Name,GanttView[[#This Row],[_Row]])="",TRUE()),FALSE(),N(INDEX(tsk_Variance,GanttView[[#This Row],[_Row]]))&gt;0)</f>
        <v>0</v>
      </c>
      <c r="T17" s="89" t="n">
        <f aca="false">IF(IFERROR(INDEX(tsk_Name,GanttView[[#This Row],[_Row]])="",TRUE()),0,N(INDEX(tsk_Deadline,GanttView[[#This Row],[_Row]])))</f>
        <v>0</v>
      </c>
      <c r="U17" s="88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83" t="str">
        <f aca="false">IF(IFERROR(INDEX(tsk_Name,GanttView[[#This Row],[_Row]])="",TRUE()),"",INDEX(tsk_ID,GanttView[[#This Row],[_Row]]))</f>
        <v/>
      </c>
      <c r="B18" s="83" t="str">
        <f aca="false">IF(IFERROR(INDEX(tsk_Name,GanttView[[#This Row],[_Row]])="",TRUE()),"",INDEX(tsk_WBS,GanttView[[#This Row],[_Row]]))</f>
        <v/>
      </c>
      <c r="C18" s="84" t="str">
        <f aca="false">IF(IFERROR(INDEX(tsk_Name,GanttView[[#This Row],[_Row]])="",TRUE()),"",REPT("    ",INDEX(tsk_Level,GanttView[[#This Row],[_Row]])-1)&amp;INDEX(tsk_Name,GanttView[[#This Row],[_Row]]))</f>
        <v/>
      </c>
      <c r="D1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85" t="str">
        <f aca="false">IF(IFERROR(INDEX(tsk_Name,GanttView[[#This Row],[_Row]])="",TRUE()),"",INDEX(tsk_PlanStart,GanttView[[#This Row],[_Row]]))</f>
        <v/>
      </c>
      <c r="F18" s="85" t="str">
        <f aca="false">IF(IFERROR(INDEX(tsk_Name,GanttView[[#This Row],[_Row]])="",TRUE()),"",INDEX(tsk_PlanFinish,GanttView[[#This Row],[_Row]]))</f>
        <v/>
      </c>
      <c r="G18" s="85" t="str">
        <f aca="false">IF(IFERROR(INDEX(tsk_Name,GanttView[[#This Row],[_Row]])="",TRUE()),"",INDEX(tsk_FcStart,GanttView[[#This Row],[_Row]]))</f>
        <v/>
      </c>
      <c r="H18" s="85" t="str">
        <f aca="false">IF(IFERROR(INDEX(tsk_Name,GanttView[[#This Row],[_Row]])="",TRUE()),"",INDEX(tsk_FcFinish,GanttView[[#This Row],[_Row]]))</f>
        <v/>
      </c>
      <c r="I18" s="86" t="str">
        <f aca="false">IF(IFERROR(INDEX(tsk_Name,GanttView[[#This Row],[_Row]])="",TRUE()),"",INDEX(tsk_Progress,GanttView[[#This Row],[_Row]]))</f>
        <v/>
      </c>
      <c r="J18" s="84" t="str">
        <f aca="false">IF(IFERROR(INDEX(tsk_Name,GanttView[[#This Row],[_Row]])="",TRUE()),"",INDEX(tsk_Resource,GanttView[[#This Row],[_Row]])&amp;"")</f>
        <v/>
      </c>
      <c r="K18" s="83" t="str">
        <f aca="false">IF(IFERROR(INDEX(tsk_Name,GanttView[[#This Row],[_Row]])="",TRUE()),"",INDEX(tsk_Status,GanttView[[#This Row],[_Row]]))</f>
        <v/>
      </c>
      <c r="L18" s="87" t="n">
        <f aca="false">ROW()-ROW(GanttView[[#Headers],[ID]])</f>
        <v>13</v>
      </c>
      <c r="M18" s="88" t="b">
        <f aca="false">IF(IFERROR(INDEX(tsk_Name,GanttView[[#This Row],[_Row]])="",TRUE()),FALSE(),INDEX(tsk_IsSummary,GanttView[[#This Row],[_Row]]))</f>
        <v>0</v>
      </c>
      <c r="N18" s="88" t="b">
        <f aca="false">IF(IFERROR(INDEX(tsk_Name,GanttView[[#This Row],[_Row]])="",TRUE()),FALSE(),AND(INDEX(tsk_IsLeaf,GanttView[[#This Row],[_Row]])=1,N(INDEX(tsk_Duration,GanttView[[#This Row],[_Row]]))=0))</f>
        <v>0</v>
      </c>
      <c r="O1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89" t="n">
        <f aca="false">IF(GanttView[[#This Row],[_RemFrom]]=0,0,GanttView[[#This Row],[Forecast Finish]])</f>
        <v>0</v>
      </c>
      <c r="S18" s="88" t="b">
        <f aca="false">IF(IFERROR(INDEX(tsk_Name,GanttView[[#This Row],[_Row]])="",TRUE()),FALSE(),N(INDEX(tsk_Variance,GanttView[[#This Row],[_Row]]))&gt;0)</f>
        <v>0</v>
      </c>
      <c r="T18" s="89" t="n">
        <f aca="false">IF(IFERROR(INDEX(tsk_Name,GanttView[[#This Row],[_Row]])="",TRUE()),0,N(INDEX(tsk_Deadline,GanttView[[#This Row],[_Row]])))</f>
        <v>0</v>
      </c>
      <c r="U18" s="88" t="b">
        <f aca="false">IF(IFERROR(INDEX(tsk_Name,GanttView[[#This Row],[_Row]])="",TRUE()),FALSE(),INDEX(tsk_Critical,GanttView[[#This Row],[_Row]])="Yes")</f>
        <v>0</v>
      </c>
    </row>
    <row r="19" customFormat="false" ht="15" hidden="false" customHeight="false" outlineLevel="0" collapsed="false">
      <c r="A19" s="83" t="str">
        <f aca="false">IF(IFERROR(INDEX(tsk_Name,GanttView[[#This Row],[_Row]])="",TRUE()),"",INDEX(tsk_ID,GanttView[[#This Row],[_Row]]))</f>
        <v/>
      </c>
      <c r="B19" s="83" t="str">
        <f aca="false">IF(IFERROR(INDEX(tsk_Name,GanttView[[#This Row],[_Row]])="",TRUE()),"",INDEX(tsk_WBS,GanttView[[#This Row],[_Row]]))</f>
        <v/>
      </c>
      <c r="C19" s="84" t="str">
        <f aca="false">IF(IFERROR(INDEX(tsk_Name,GanttView[[#This Row],[_Row]])="",TRUE()),"",REPT("    ",INDEX(tsk_Level,GanttView[[#This Row],[_Row]])-1)&amp;INDEX(tsk_Name,GanttView[[#This Row],[_Row]]))</f>
        <v/>
      </c>
      <c r="D1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85" t="str">
        <f aca="false">IF(IFERROR(INDEX(tsk_Name,GanttView[[#This Row],[_Row]])="",TRUE()),"",INDEX(tsk_PlanStart,GanttView[[#This Row],[_Row]]))</f>
        <v/>
      </c>
      <c r="F19" s="85" t="str">
        <f aca="false">IF(IFERROR(INDEX(tsk_Name,GanttView[[#This Row],[_Row]])="",TRUE()),"",INDEX(tsk_PlanFinish,GanttView[[#This Row],[_Row]]))</f>
        <v/>
      </c>
      <c r="G19" s="85" t="str">
        <f aca="false">IF(IFERROR(INDEX(tsk_Name,GanttView[[#This Row],[_Row]])="",TRUE()),"",INDEX(tsk_FcStart,GanttView[[#This Row],[_Row]]))</f>
        <v/>
      </c>
      <c r="H19" s="85" t="str">
        <f aca="false">IF(IFERROR(INDEX(tsk_Name,GanttView[[#This Row],[_Row]])="",TRUE()),"",INDEX(tsk_FcFinish,GanttView[[#This Row],[_Row]]))</f>
        <v/>
      </c>
      <c r="I19" s="86" t="str">
        <f aca="false">IF(IFERROR(INDEX(tsk_Name,GanttView[[#This Row],[_Row]])="",TRUE()),"",INDEX(tsk_Progress,GanttView[[#This Row],[_Row]]))</f>
        <v/>
      </c>
      <c r="J19" s="84" t="str">
        <f aca="false">IF(IFERROR(INDEX(tsk_Name,GanttView[[#This Row],[_Row]])="",TRUE()),"",INDEX(tsk_Resource,GanttView[[#This Row],[_Row]])&amp;"")</f>
        <v/>
      </c>
      <c r="K19" s="83" t="str">
        <f aca="false">IF(IFERROR(INDEX(tsk_Name,GanttView[[#This Row],[_Row]])="",TRUE()),"",INDEX(tsk_Status,GanttView[[#This Row],[_Row]]))</f>
        <v/>
      </c>
      <c r="L19" s="87" t="n">
        <f aca="false">ROW()-ROW(GanttView[[#Headers],[ID]])</f>
        <v>14</v>
      </c>
      <c r="M19" s="88" t="b">
        <f aca="false">IF(IFERROR(INDEX(tsk_Name,GanttView[[#This Row],[_Row]])="",TRUE()),FALSE(),INDEX(tsk_IsSummary,GanttView[[#This Row],[_Row]]))</f>
        <v>0</v>
      </c>
      <c r="N19" s="88" t="b">
        <f aca="false">IF(IFERROR(INDEX(tsk_Name,GanttView[[#This Row],[_Row]])="",TRUE()),FALSE(),AND(INDEX(tsk_IsLeaf,GanttView[[#This Row],[_Row]])=1,N(INDEX(tsk_Duration,GanttView[[#This Row],[_Row]]))=0))</f>
        <v>0</v>
      </c>
      <c r="O1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89" t="n">
        <f aca="false">IF(GanttView[[#This Row],[_RemFrom]]=0,0,GanttView[[#This Row],[Forecast Finish]])</f>
        <v>0</v>
      </c>
      <c r="S19" s="88" t="b">
        <f aca="false">IF(IFERROR(INDEX(tsk_Name,GanttView[[#This Row],[_Row]])="",TRUE()),FALSE(),N(INDEX(tsk_Variance,GanttView[[#This Row],[_Row]]))&gt;0)</f>
        <v>0</v>
      </c>
      <c r="T19" s="89" t="n">
        <f aca="false">IF(IFERROR(INDEX(tsk_Name,GanttView[[#This Row],[_Row]])="",TRUE()),0,N(INDEX(tsk_Deadline,GanttView[[#This Row],[_Row]])))</f>
        <v>0</v>
      </c>
      <c r="U19" s="88" t="b">
        <f aca="false">IF(IFERROR(INDEX(tsk_Name,GanttView[[#This Row],[_Row]])="",TRUE()),FALSE(),INDEX(tsk_Critical,GanttView[[#This Row],[_Row]])="Yes")</f>
        <v>0</v>
      </c>
    </row>
    <row r="20" customFormat="false" ht="15" hidden="false" customHeight="false" outlineLevel="0" collapsed="false">
      <c r="A20" s="83" t="str">
        <f aca="false">IF(IFERROR(INDEX(tsk_Name,GanttView[[#This Row],[_Row]])="",TRUE()),"",INDEX(tsk_ID,GanttView[[#This Row],[_Row]]))</f>
        <v/>
      </c>
      <c r="B20" s="83" t="str">
        <f aca="false">IF(IFERROR(INDEX(tsk_Name,GanttView[[#This Row],[_Row]])="",TRUE()),"",INDEX(tsk_WBS,GanttView[[#This Row],[_Row]]))</f>
        <v/>
      </c>
      <c r="C20" s="84" t="str">
        <f aca="false">IF(IFERROR(INDEX(tsk_Name,GanttView[[#This Row],[_Row]])="",TRUE()),"",REPT("    ",INDEX(tsk_Level,GanttView[[#This Row],[_Row]])-1)&amp;INDEX(tsk_Name,GanttView[[#This Row],[_Row]]))</f>
        <v/>
      </c>
      <c r="D2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85" t="str">
        <f aca="false">IF(IFERROR(INDEX(tsk_Name,GanttView[[#This Row],[_Row]])="",TRUE()),"",INDEX(tsk_PlanStart,GanttView[[#This Row],[_Row]]))</f>
        <v/>
      </c>
      <c r="F20" s="85" t="str">
        <f aca="false">IF(IFERROR(INDEX(tsk_Name,GanttView[[#This Row],[_Row]])="",TRUE()),"",INDEX(tsk_PlanFinish,GanttView[[#This Row],[_Row]]))</f>
        <v/>
      </c>
      <c r="G20" s="85" t="str">
        <f aca="false">IF(IFERROR(INDEX(tsk_Name,GanttView[[#This Row],[_Row]])="",TRUE()),"",INDEX(tsk_FcStart,GanttView[[#This Row],[_Row]]))</f>
        <v/>
      </c>
      <c r="H20" s="85" t="str">
        <f aca="false">IF(IFERROR(INDEX(tsk_Name,GanttView[[#This Row],[_Row]])="",TRUE()),"",INDEX(tsk_FcFinish,GanttView[[#This Row],[_Row]]))</f>
        <v/>
      </c>
      <c r="I20" s="86" t="str">
        <f aca="false">IF(IFERROR(INDEX(tsk_Name,GanttView[[#This Row],[_Row]])="",TRUE()),"",INDEX(tsk_Progress,GanttView[[#This Row],[_Row]]))</f>
        <v/>
      </c>
      <c r="J20" s="84" t="str">
        <f aca="false">IF(IFERROR(INDEX(tsk_Name,GanttView[[#This Row],[_Row]])="",TRUE()),"",INDEX(tsk_Resource,GanttView[[#This Row],[_Row]])&amp;"")</f>
        <v/>
      </c>
      <c r="K20" s="83" t="str">
        <f aca="false">IF(IFERROR(INDEX(tsk_Name,GanttView[[#This Row],[_Row]])="",TRUE()),"",INDEX(tsk_Status,GanttView[[#This Row],[_Row]]))</f>
        <v/>
      </c>
      <c r="L20" s="87" t="n">
        <f aca="false">ROW()-ROW(GanttView[[#Headers],[ID]])</f>
        <v>15</v>
      </c>
      <c r="M20" s="88" t="b">
        <f aca="false">IF(IFERROR(INDEX(tsk_Name,GanttView[[#This Row],[_Row]])="",TRUE()),FALSE(),INDEX(tsk_IsSummary,GanttView[[#This Row],[_Row]]))</f>
        <v>0</v>
      </c>
      <c r="N20" s="88" t="b">
        <f aca="false">IF(IFERROR(INDEX(tsk_Name,GanttView[[#This Row],[_Row]])="",TRUE()),FALSE(),AND(INDEX(tsk_IsLeaf,GanttView[[#This Row],[_Row]])=1,N(INDEX(tsk_Duration,GanttView[[#This Row],[_Row]]))=0))</f>
        <v>0</v>
      </c>
      <c r="O2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89" t="n">
        <f aca="false">IF(GanttView[[#This Row],[_RemFrom]]=0,0,GanttView[[#This Row],[Forecast Finish]])</f>
        <v>0</v>
      </c>
      <c r="S20" s="88" t="b">
        <f aca="false">IF(IFERROR(INDEX(tsk_Name,GanttView[[#This Row],[_Row]])="",TRUE()),FALSE(),N(INDEX(tsk_Variance,GanttView[[#This Row],[_Row]]))&gt;0)</f>
        <v>0</v>
      </c>
      <c r="T20" s="89" t="n">
        <f aca="false">IF(IFERROR(INDEX(tsk_Name,GanttView[[#This Row],[_Row]])="",TRUE()),0,N(INDEX(tsk_Deadline,GanttView[[#This Row],[_Row]])))</f>
        <v>0</v>
      </c>
      <c r="U20" s="88" t="b">
        <f aca="false">IF(IFERROR(INDEX(tsk_Name,GanttView[[#This Row],[_Row]])="",TRUE()),FALSE(),INDEX(tsk_Critical,GanttView[[#This Row],[_Row]])="Yes")</f>
        <v>0</v>
      </c>
    </row>
    <row r="21" customFormat="false" ht="15" hidden="false" customHeight="false" outlineLevel="0" collapsed="false">
      <c r="A21" s="83" t="str">
        <f aca="false">IF(IFERROR(INDEX(tsk_Name,GanttView[[#This Row],[_Row]])="",TRUE()),"",INDEX(tsk_ID,GanttView[[#This Row],[_Row]]))</f>
        <v/>
      </c>
      <c r="B21" s="83" t="str">
        <f aca="false">IF(IFERROR(INDEX(tsk_Name,GanttView[[#This Row],[_Row]])="",TRUE()),"",INDEX(tsk_WBS,GanttView[[#This Row],[_Row]]))</f>
        <v/>
      </c>
      <c r="C21" s="84" t="str">
        <f aca="false">IF(IFERROR(INDEX(tsk_Name,GanttView[[#This Row],[_Row]])="",TRUE()),"",REPT("    ",INDEX(tsk_Level,GanttView[[#This Row],[_Row]])-1)&amp;INDEX(tsk_Name,GanttView[[#This Row],[_Row]]))</f>
        <v/>
      </c>
      <c r="D2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85" t="str">
        <f aca="false">IF(IFERROR(INDEX(tsk_Name,GanttView[[#This Row],[_Row]])="",TRUE()),"",INDEX(tsk_PlanStart,GanttView[[#This Row],[_Row]]))</f>
        <v/>
      </c>
      <c r="F21" s="85" t="str">
        <f aca="false">IF(IFERROR(INDEX(tsk_Name,GanttView[[#This Row],[_Row]])="",TRUE()),"",INDEX(tsk_PlanFinish,GanttView[[#This Row],[_Row]]))</f>
        <v/>
      </c>
      <c r="G21" s="85" t="str">
        <f aca="false">IF(IFERROR(INDEX(tsk_Name,GanttView[[#This Row],[_Row]])="",TRUE()),"",INDEX(tsk_FcStart,GanttView[[#This Row],[_Row]]))</f>
        <v/>
      </c>
      <c r="H21" s="85" t="str">
        <f aca="false">IF(IFERROR(INDEX(tsk_Name,GanttView[[#This Row],[_Row]])="",TRUE()),"",INDEX(tsk_FcFinish,GanttView[[#This Row],[_Row]]))</f>
        <v/>
      </c>
      <c r="I21" s="86" t="str">
        <f aca="false">IF(IFERROR(INDEX(tsk_Name,GanttView[[#This Row],[_Row]])="",TRUE()),"",INDEX(tsk_Progress,GanttView[[#This Row],[_Row]]))</f>
        <v/>
      </c>
      <c r="J21" s="84" t="str">
        <f aca="false">IF(IFERROR(INDEX(tsk_Name,GanttView[[#This Row],[_Row]])="",TRUE()),"",INDEX(tsk_Resource,GanttView[[#This Row],[_Row]])&amp;"")</f>
        <v/>
      </c>
      <c r="K21" s="83" t="str">
        <f aca="false">IF(IFERROR(INDEX(tsk_Name,GanttView[[#This Row],[_Row]])="",TRUE()),"",INDEX(tsk_Status,GanttView[[#This Row],[_Row]]))</f>
        <v/>
      </c>
      <c r="L21" s="87" t="n">
        <f aca="false">ROW()-ROW(GanttView[[#Headers],[ID]])</f>
        <v>16</v>
      </c>
      <c r="M21" s="88" t="b">
        <f aca="false">IF(IFERROR(INDEX(tsk_Name,GanttView[[#This Row],[_Row]])="",TRUE()),FALSE(),INDEX(tsk_IsSummary,GanttView[[#This Row],[_Row]]))</f>
        <v>0</v>
      </c>
      <c r="N21" s="88" t="b">
        <f aca="false">IF(IFERROR(INDEX(tsk_Name,GanttView[[#This Row],[_Row]])="",TRUE()),FALSE(),AND(INDEX(tsk_IsLeaf,GanttView[[#This Row],[_Row]])=1,N(INDEX(tsk_Duration,GanttView[[#This Row],[_Row]]))=0))</f>
        <v>0</v>
      </c>
      <c r="O2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89" t="n">
        <f aca="false">IF(GanttView[[#This Row],[_RemFrom]]=0,0,GanttView[[#This Row],[Forecast Finish]])</f>
        <v>0</v>
      </c>
      <c r="S21" s="88" t="b">
        <f aca="false">IF(IFERROR(INDEX(tsk_Name,GanttView[[#This Row],[_Row]])="",TRUE()),FALSE(),N(INDEX(tsk_Variance,GanttView[[#This Row],[_Row]]))&gt;0)</f>
        <v>0</v>
      </c>
      <c r="T21" s="89" t="n">
        <f aca="false">IF(IFERROR(INDEX(tsk_Name,GanttView[[#This Row],[_Row]])="",TRUE()),0,N(INDEX(tsk_Deadline,GanttView[[#This Row],[_Row]])))</f>
        <v>0</v>
      </c>
      <c r="U21" s="88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83" t="str">
        <f aca="false">IF(IFERROR(INDEX(tsk_Name,GanttView[[#This Row],[_Row]])="",TRUE()),"",INDEX(tsk_ID,GanttView[[#This Row],[_Row]]))</f>
        <v/>
      </c>
      <c r="B22" s="83" t="str">
        <f aca="false">IF(IFERROR(INDEX(tsk_Name,GanttView[[#This Row],[_Row]])="",TRUE()),"",INDEX(tsk_WBS,GanttView[[#This Row],[_Row]]))</f>
        <v/>
      </c>
      <c r="C22" s="84" t="str">
        <f aca="false">IF(IFERROR(INDEX(tsk_Name,GanttView[[#This Row],[_Row]])="",TRUE()),"",REPT("    ",INDEX(tsk_Level,GanttView[[#This Row],[_Row]])-1)&amp;INDEX(tsk_Name,GanttView[[#This Row],[_Row]]))</f>
        <v/>
      </c>
      <c r="D2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85" t="str">
        <f aca="false">IF(IFERROR(INDEX(tsk_Name,GanttView[[#This Row],[_Row]])="",TRUE()),"",INDEX(tsk_PlanStart,GanttView[[#This Row],[_Row]]))</f>
        <v/>
      </c>
      <c r="F22" s="85" t="str">
        <f aca="false">IF(IFERROR(INDEX(tsk_Name,GanttView[[#This Row],[_Row]])="",TRUE()),"",INDEX(tsk_PlanFinish,GanttView[[#This Row],[_Row]]))</f>
        <v/>
      </c>
      <c r="G22" s="85" t="str">
        <f aca="false">IF(IFERROR(INDEX(tsk_Name,GanttView[[#This Row],[_Row]])="",TRUE()),"",INDEX(tsk_FcStart,GanttView[[#This Row],[_Row]]))</f>
        <v/>
      </c>
      <c r="H22" s="85" t="str">
        <f aca="false">IF(IFERROR(INDEX(tsk_Name,GanttView[[#This Row],[_Row]])="",TRUE()),"",INDEX(tsk_FcFinish,GanttView[[#This Row],[_Row]]))</f>
        <v/>
      </c>
      <c r="I22" s="86" t="str">
        <f aca="false">IF(IFERROR(INDEX(tsk_Name,GanttView[[#This Row],[_Row]])="",TRUE()),"",INDEX(tsk_Progress,GanttView[[#This Row],[_Row]]))</f>
        <v/>
      </c>
      <c r="J22" s="84" t="str">
        <f aca="false">IF(IFERROR(INDEX(tsk_Name,GanttView[[#This Row],[_Row]])="",TRUE()),"",INDEX(tsk_Resource,GanttView[[#This Row],[_Row]])&amp;"")</f>
        <v/>
      </c>
      <c r="K22" s="83" t="str">
        <f aca="false">IF(IFERROR(INDEX(tsk_Name,GanttView[[#This Row],[_Row]])="",TRUE()),"",INDEX(tsk_Status,GanttView[[#This Row],[_Row]]))</f>
        <v/>
      </c>
      <c r="L22" s="87" t="n">
        <f aca="false">ROW()-ROW(GanttView[[#Headers],[ID]])</f>
        <v>17</v>
      </c>
      <c r="M22" s="88" t="b">
        <f aca="false">IF(IFERROR(INDEX(tsk_Name,GanttView[[#This Row],[_Row]])="",TRUE()),FALSE(),INDEX(tsk_IsSummary,GanttView[[#This Row],[_Row]]))</f>
        <v>0</v>
      </c>
      <c r="N22" s="88" t="b">
        <f aca="false">IF(IFERROR(INDEX(tsk_Name,GanttView[[#This Row],[_Row]])="",TRUE()),FALSE(),AND(INDEX(tsk_IsLeaf,GanttView[[#This Row],[_Row]])=1,N(INDEX(tsk_Duration,GanttView[[#This Row],[_Row]]))=0))</f>
        <v>0</v>
      </c>
      <c r="O2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89" t="n">
        <f aca="false">IF(GanttView[[#This Row],[_RemFrom]]=0,0,GanttView[[#This Row],[Forecast Finish]])</f>
        <v>0</v>
      </c>
      <c r="S22" s="88" t="b">
        <f aca="false">IF(IFERROR(INDEX(tsk_Name,GanttView[[#This Row],[_Row]])="",TRUE()),FALSE(),N(INDEX(tsk_Variance,GanttView[[#This Row],[_Row]]))&gt;0)</f>
        <v>0</v>
      </c>
      <c r="T22" s="89" t="n">
        <f aca="false">IF(IFERROR(INDEX(tsk_Name,GanttView[[#This Row],[_Row]])="",TRUE()),0,N(INDEX(tsk_Deadline,GanttView[[#This Row],[_Row]])))</f>
        <v>0</v>
      </c>
      <c r="U22" s="88" t="b">
        <f aca="false">IF(IFERROR(INDEX(tsk_Name,GanttView[[#This Row],[_Row]])="",TRUE()),FALSE(),INDEX(tsk_Critical,GanttView[[#This Row],[_Row]])="Yes")</f>
        <v>0</v>
      </c>
    </row>
    <row r="23" customFormat="false" ht="15" hidden="false" customHeight="false" outlineLevel="0" collapsed="false">
      <c r="A23" s="83" t="str">
        <f aca="false">IF(IFERROR(INDEX(tsk_Name,GanttView[[#This Row],[_Row]])="",TRUE()),"",INDEX(tsk_ID,GanttView[[#This Row],[_Row]]))</f>
        <v/>
      </c>
      <c r="B23" s="83" t="str">
        <f aca="false">IF(IFERROR(INDEX(tsk_Name,GanttView[[#This Row],[_Row]])="",TRUE()),"",INDEX(tsk_WBS,GanttView[[#This Row],[_Row]]))</f>
        <v/>
      </c>
      <c r="C23" s="84" t="str">
        <f aca="false">IF(IFERROR(INDEX(tsk_Name,GanttView[[#This Row],[_Row]])="",TRUE()),"",REPT("    ",INDEX(tsk_Level,GanttView[[#This Row],[_Row]])-1)&amp;INDEX(tsk_Name,GanttView[[#This Row],[_Row]]))</f>
        <v/>
      </c>
      <c r="D2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85" t="str">
        <f aca="false">IF(IFERROR(INDEX(tsk_Name,GanttView[[#This Row],[_Row]])="",TRUE()),"",INDEX(tsk_PlanStart,GanttView[[#This Row],[_Row]]))</f>
        <v/>
      </c>
      <c r="F23" s="85" t="str">
        <f aca="false">IF(IFERROR(INDEX(tsk_Name,GanttView[[#This Row],[_Row]])="",TRUE()),"",INDEX(tsk_PlanFinish,GanttView[[#This Row],[_Row]]))</f>
        <v/>
      </c>
      <c r="G23" s="85" t="str">
        <f aca="false">IF(IFERROR(INDEX(tsk_Name,GanttView[[#This Row],[_Row]])="",TRUE()),"",INDEX(tsk_FcStart,GanttView[[#This Row],[_Row]]))</f>
        <v/>
      </c>
      <c r="H23" s="85" t="str">
        <f aca="false">IF(IFERROR(INDEX(tsk_Name,GanttView[[#This Row],[_Row]])="",TRUE()),"",INDEX(tsk_FcFinish,GanttView[[#This Row],[_Row]]))</f>
        <v/>
      </c>
      <c r="I23" s="86" t="str">
        <f aca="false">IF(IFERROR(INDEX(tsk_Name,GanttView[[#This Row],[_Row]])="",TRUE()),"",INDEX(tsk_Progress,GanttView[[#This Row],[_Row]]))</f>
        <v/>
      </c>
      <c r="J23" s="84" t="str">
        <f aca="false">IF(IFERROR(INDEX(tsk_Name,GanttView[[#This Row],[_Row]])="",TRUE()),"",INDEX(tsk_Resource,GanttView[[#This Row],[_Row]])&amp;"")</f>
        <v/>
      </c>
      <c r="K23" s="83" t="str">
        <f aca="false">IF(IFERROR(INDEX(tsk_Name,GanttView[[#This Row],[_Row]])="",TRUE()),"",INDEX(tsk_Status,GanttView[[#This Row],[_Row]]))</f>
        <v/>
      </c>
      <c r="L23" s="87" t="n">
        <f aca="false">ROW()-ROW(GanttView[[#Headers],[ID]])</f>
        <v>18</v>
      </c>
      <c r="M23" s="88" t="b">
        <f aca="false">IF(IFERROR(INDEX(tsk_Name,GanttView[[#This Row],[_Row]])="",TRUE()),FALSE(),INDEX(tsk_IsSummary,GanttView[[#This Row],[_Row]]))</f>
        <v>0</v>
      </c>
      <c r="N23" s="88" t="b">
        <f aca="false">IF(IFERROR(INDEX(tsk_Name,GanttView[[#This Row],[_Row]])="",TRUE()),FALSE(),AND(INDEX(tsk_IsLeaf,GanttView[[#This Row],[_Row]])=1,N(INDEX(tsk_Duration,GanttView[[#This Row],[_Row]]))=0))</f>
        <v>0</v>
      </c>
      <c r="O2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89" t="n">
        <f aca="false">IF(GanttView[[#This Row],[_RemFrom]]=0,0,GanttView[[#This Row],[Forecast Finish]])</f>
        <v>0</v>
      </c>
      <c r="S23" s="88" t="b">
        <f aca="false">IF(IFERROR(INDEX(tsk_Name,GanttView[[#This Row],[_Row]])="",TRUE()),FALSE(),N(INDEX(tsk_Variance,GanttView[[#This Row],[_Row]]))&gt;0)</f>
        <v>0</v>
      </c>
      <c r="T23" s="89" t="n">
        <f aca="false">IF(IFERROR(INDEX(tsk_Name,GanttView[[#This Row],[_Row]])="",TRUE()),0,N(INDEX(tsk_Deadline,GanttView[[#This Row],[_Row]])))</f>
        <v>0</v>
      </c>
      <c r="U23" s="88" t="b">
        <f aca="false">IF(IFERROR(INDEX(tsk_Name,GanttView[[#This Row],[_Row]])="",TRUE()),FALSE(),INDEX(tsk_Critical,GanttView[[#This Row],[_Row]])="Yes")</f>
        <v>0</v>
      </c>
    </row>
    <row r="24" customFormat="false" ht="15" hidden="false" customHeight="false" outlineLevel="0" collapsed="false">
      <c r="A24" s="83" t="str">
        <f aca="false">IF(IFERROR(INDEX(tsk_Name,GanttView[[#This Row],[_Row]])="",TRUE()),"",INDEX(tsk_ID,GanttView[[#This Row],[_Row]]))</f>
        <v/>
      </c>
      <c r="B24" s="83" t="str">
        <f aca="false">IF(IFERROR(INDEX(tsk_Name,GanttView[[#This Row],[_Row]])="",TRUE()),"",INDEX(tsk_WBS,GanttView[[#This Row],[_Row]]))</f>
        <v/>
      </c>
      <c r="C24" s="84" t="str">
        <f aca="false">IF(IFERROR(INDEX(tsk_Name,GanttView[[#This Row],[_Row]])="",TRUE()),"",REPT("    ",INDEX(tsk_Level,GanttView[[#This Row],[_Row]])-1)&amp;INDEX(tsk_Name,GanttView[[#This Row],[_Row]]))</f>
        <v/>
      </c>
      <c r="D2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85" t="str">
        <f aca="false">IF(IFERROR(INDEX(tsk_Name,GanttView[[#This Row],[_Row]])="",TRUE()),"",INDEX(tsk_PlanStart,GanttView[[#This Row],[_Row]]))</f>
        <v/>
      </c>
      <c r="F24" s="85" t="str">
        <f aca="false">IF(IFERROR(INDEX(tsk_Name,GanttView[[#This Row],[_Row]])="",TRUE()),"",INDEX(tsk_PlanFinish,GanttView[[#This Row],[_Row]]))</f>
        <v/>
      </c>
      <c r="G24" s="85" t="str">
        <f aca="false">IF(IFERROR(INDEX(tsk_Name,GanttView[[#This Row],[_Row]])="",TRUE()),"",INDEX(tsk_FcStart,GanttView[[#This Row],[_Row]]))</f>
        <v/>
      </c>
      <c r="H24" s="85" t="str">
        <f aca="false">IF(IFERROR(INDEX(tsk_Name,GanttView[[#This Row],[_Row]])="",TRUE()),"",INDEX(tsk_FcFinish,GanttView[[#This Row],[_Row]]))</f>
        <v/>
      </c>
      <c r="I24" s="86" t="str">
        <f aca="false">IF(IFERROR(INDEX(tsk_Name,GanttView[[#This Row],[_Row]])="",TRUE()),"",INDEX(tsk_Progress,GanttView[[#This Row],[_Row]]))</f>
        <v/>
      </c>
      <c r="J24" s="84" t="str">
        <f aca="false">IF(IFERROR(INDEX(tsk_Name,GanttView[[#This Row],[_Row]])="",TRUE()),"",INDEX(tsk_Resource,GanttView[[#This Row],[_Row]])&amp;"")</f>
        <v/>
      </c>
      <c r="K24" s="83" t="str">
        <f aca="false">IF(IFERROR(INDEX(tsk_Name,GanttView[[#This Row],[_Row]])="",TRUE()),"",INDEX(tsk_Status,GanttView[[#This Row],[_Row]]))</f>
        <v/>
      </c>
      <c r="L24" s="87" t="n">
        <f aca="false">ROW()-ROW(GanttView[[#Headers],[ID]])</f>
        <v>19</v>
      </c>
      <c r="M24" s="88" t="b">
        <f aca="false">IF(IFERROR(INDEX(tsk_Name,GanttView[[#This Row],[_Row]])="",TRUE()),FALSE(),INDEX(tsk_IsSummary,GanttView[[#This Row],[_Row]]))</f>
        <v>0</v>
      </c>
      <c r="N24" s="88" t="b">
        <f aca="false">IF(IFERROR(INDEX(tsk_Name,GanttView[[#This Row],[_Row]])="",TRUE()),FALSE(),AND(INDEX(tsk_IsLeaf,GanttView[[#This Row],[_Row]])=1,N(INDEX(tsk_Duration,GanttView[[#This Row],[_Row]]))=0))</f>
        <v>0</v>
      </c>
      <c r="O2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89" t="n">
        <f aca="false">IF(GanttView[[#This Row],[_RemFrom]]=0,0,GanttView[[#This Row],[Forecast Finish]])</f>
        <v>0</v>
      </c>
      <c r="S24" s="88" t="b">
        <f aca="false">IF(IFERROR(INDEX(tsk_Name,GanttView[[#This Row],[_Row]])="",TRUE()),FALSE(),N(INDEX(tsk_Variance,GanttView[[#This Row],[_Row]]))&gt;0)</f>
        <v>0</v>
      </c>
      <c r="T24" s="89" t="n">
        <f aca="false">IF(IFERROR(INDEX(tsk_Name,GanttView[[#This Row],[_Row]])="",TRUE()),0,N(INDEX(tsk_Deadline,GanttView[[#This Row],[_Row]])))</f>
        <v>0</v>
      </c>
      <c r="U24" s="88" t="b">
        <f aca="false">IF(IFERROR(INDEX(tsk_Name,GanttView[[#This Row],[_Row]])="",TRUE()),FALSE(),INDEX(tsk_Critical,GanttView[[#This Row],[_Row]])="Yes")</f>
        <v>0</v>
      </c>
    </row>
    <row r="25" customFormat="false" ht="15" hidden="false" customHeight="false" outlineLevel="0" collapsed="false">
      <c r="A25" s="83" t="str">
        <f aca="false">IF(IFERROR(INDEX(tsk_Name,GanttView[[#This Row],[_Row]])="",TRUE()),"",INDEX(tsk_ID,GanttView[[#This Row],[_Row]]))</f>
        <v/>
      </c>
      <c r="B25" s="83" t="str">
        <f aca="false">IF(IFERROR(INDEX(tsk_Name,GanttView[[#This Row],[_Row]])="",TRUE()),"",INDEX(tsk_WBS,GanttView[[#This Row],[_Row]]))</f>
        <v/>
      </c>
      <c r="C25" s="84" t="str">
        <f aca="false">IF(IFERROR(INDEX(tsk_Name,GanttView[[#This Row],[_Row]])="",TRUE()),"",REPT("    ",INDEX(tsk_Level,GanttView[[#This Row],[_Row]])-1)&amp;INDEX(tsk_Name,GanttView[[#This Row],[_Row]]))</f>
        <v/>
      </c>
      <c r="D2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85" t="str">
        <f aca="false">IF(IFERROR(INDEX(tsk_Name,GanttView[[#This Row],[_Row]])="",TRUE()),"",INDEX(tsk_PlanStart,GanttView[[#This Row],[_Row]]))</f>
        <v/>
      </c>
      <c r="F25" s="85" t="str">
        <f aca="false">IF(IFERROR(INDEX(tsk_Name,GanttView[[#This Row],[_Row]])="",TRUE()),"",INDEX(tsk_PlanFinish,GanttView[[#This Row],[_Row]]))</f>
        <v/>
      </c>
      <c r="G25" s="85" t="str">
        <f aca="false">IF(IFERROR(INDEX(tsk_Name,GanttView[[#This Row],[_Row]])="",TRUE()),"",INDEX(tsk_FcStart,GanttView[[#This Row],[_Row]]))</f>
        <v/>
      </c>
      <c r="H25" s="85" t="str">
        <f aca="false">IF(IFERROR(INDEX(tsk_Name,GanttView[[#This Row],[_Row]])="",TRUE()),"",INDEX(tsk_FcFinish,GanttView[[#This Row],[_Row]]))</f>
        <v/>
      </c>
      <c r="I25" s="86" t="str">
        <f aca="false">IF(IFERROR(INDEX(tsk_Name,GanttView[[#This Row],[_Row]])="",TRUE()),"",INDEX(tsk_Progress,GanttView[[#This Row],[_Row]]))</f>
        <v/>
      </c>
      <c r="J25" s="84" t="str">
        <f aca="false">IF(IFERROR(INDEX(tsk_Name,GanttView[[#This Row],[_Row]])="",TRUE()),"",INDEX(tsk_Resource,GanttView[[#This Row],[_Row]])&amp;"")</f>
        <v/>
      </c>
      <c r="K25" s="83" t="str">
        <f aca="false">IF(IFERROR(INDEX(tsk_Name,GanttView[[#This Row],[_Row]])="",TRUE()),"",INDEX(tsk_Status,GanttView[[#This Row],[_Row]]))</f>
        <v/>
      </c>
      <c r="L25" s="87" t="n">
        <f aca="false">ROW()-ROW(GanttView[[#Headers],[ID]])</f>
        <v>20</v>
      </c>
      <c r="M25" s="88" t="b">
        <f aca="false">IF(IFERROR(INDEX(tsk_Name,GanttView[[#This Row],[_Row]])="",TRUE()),FALSE(),INDEX(tsk_IsSummary,GanttView[[#This Row],[_Row]]))</f>
        <v>0</v>
      </c>
      <c r="N25" s="88" t="b">
        <f aca="false">IF(IFERROR(INDEX(tsk_Name,GanttView[[#This Row],[_Row]])="",TRUE()),FALSE(),AND(INDEX(tsk_IsLeaf,GanttView[[#This Row],[_Row]])=1,N(INDEX(tsk_Duration,GanttView[[#This Row],[_Row]]))=0))</f>
        <v>0</v>
      </c>
      <c r="O2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89" t="n">
        <f aca="false">IF(GanttView[[#This Row],[_RemFrom]]=0,0,GanttView[[#This Row],[Forecast Finish]])</f>
        <v>0</v>
      </c>
      <c r="S25" s="88" t="b">
        <f aca="false">IF(IFERROR(INDEX(tsk_Name,GanttView[[#This Row],[_Row]])="",TRUE()),FALSE(),N(INDEX(tsk_Variance,GanttView[[#This Row],[_Row]]))&gt;0)</f>
        <v>0</v>
      </c>
      <c r="T25" s="89" t="n">
        <f aca="false">IF(IFERROR(INDEX(tsk_Name,GanttView[[#This Row],[_Row]])="",TRUE()),0,N(INDEX(tsk_Deadline,GanttView[[#This Row],[_Row]])))</f>
        <v>0</v>
      </c>
      <c r="U25" s="88" t="b">
        <f aca="false">IF(IFERROR(INDEX(tsk_Name,GanttView[[#This Row],[_Row]])="",TRUE()),FALSE(),INDEX(tsk_Critical,GanttView[[#This Row],[_Row]])="Yes")</f>
        <v>0</v>
      </c>
    </row>
    <row r="26" customFormat="false" ht="15" hidden="false" customHeight="false" outlineLevel="0" collapsed="false">
      <c r="A26" s="83" t="str">
        <f aca="false">IF(IFERROR(INDEX(tsk_Name,GanttView[[#This Row],[_Row]])="",TRUE()),"",INDEX(tsk_ID,GanttView[[#This Row],[_Row]]))</f>
        <v/>
      </c>
      <c r="B26" s="83" t="str">
        <f aca="false">IF(IFERROR(INDEX(tsk_Name,GanttView[[#This Row],[_Row]])="",TRUE()),"",INDEX(tsk_WBS,GanttView[[#This Row],[_Row]]))</f>
        <v/>
      </c>
      <c r="C26" s="84" t="str">
        <f aca="false">IF(IFERROR(INDEX(tsk_Name,GanttView[[#This Row],[_Row]])="",TRUE()),"",REPT("    ",INDEX(tsk_Level,GanttView[[#This Row],[_Row]])-1)&amp;INDEX(tsk_Name,GanttView[[#This Row],[_Row]]))</f>
        <v/>
      </c>
      <c r="D2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85" t="str">
        <f aca="false">IF(IFERROR(INDEX(tsk_Name,GanttView[[#This Row],[_Row]])="",TRUE()),"",INDEX(tsk_PlanStart,GanttView[[#This Row],[_Row]]))</f>
        <v/>
      </c>
      <c r="F26" s="85" t="str">
        <f aca="false">IF(IFERROR(INDEX(tsk_Name,GanttView[[#This Row],[_Row]])="",TRUE()),"",INDEX(tsk_PlanFinish,GanttView[[#This Row],[_Row]]))</f>
        <v/>
      </c>
      <c r="G26" s="85" t="str">
        <f aca="false">IF(IFERROR(INDEX(tsk_Name,GanttView[[#This Row],[_Row]])="",TRUE()),"",INDEX(tsk_FcStart,GanttView[[#This Row],[_Row]]))</f>
        <v/>
      </c>
      <c r="H26" s="85" t="str">
        <f aca="false">IF(IFERROR(INDEX(tsk_Name,GanttView[[#This Row],[_Row]])="",TRUE()),"",INDEX(tsk_FcFinish,GanttView[[#This Row],[_Row]]))</f>
        <v/>
      </c>
      <c r="I26" s="86" t="str">
        <f aca="false">IF(IFERROR(INDEX(tsk_Name,GanttView[[#This Row],[_Row]])="",TRUE()),"",INDEX(tsk_Progress,GanttView[[#This Row],[_Row]]))</f>
        <v/>
      </c>
      <c r="J26" s="84" t="str">
        <f aca="false">IF(IFERROR(INDEX(tsk_Name,GanttView[[#This Row],[_Row]])="",TRUE()),"",INDEX(tsk_Resource,GanttView[[#This Row],[_Row]])&amp;"")</f>
        <v/>
      </c>
      <c r="K26" s="83" t="str">
        <f aca="false">IF(IFERROR(INDEX(tsk_Name,GanttView[[#This Row],[_Row]])="",TRUE()),"",INDEX(tsk_Status,GanttView[[#This Row],[_Row]]))</f>
        <v/>
      </c>
      <c r="L26" s="87" t="n">
        <f aca="false">ROW()-ROW(GanttView[[#Headers],[ID]])</f>
        <v>21</v>
      </c>
      <c r="M26" s="88" t="b">
        <f aca="false">IF(IFERROR(INDEX(tsk_Name,GanttView[[#This Row],[_Row]])="",TRUE()),FALSE(),INDEX(tsk_IsSummary,GanttView[[#This Row],[_Row]]))</f>
        <v>0</v>
      </c>
      <c r="N26" s="88" t="b">
        <f aca="false">IF(IFERROR(INDEX(tsk_Name,GanttView[[#This Row],[_Row]])="",TRUE()),FALSE(),AND(INDEX(tsk_IsLeaf,GanttView[[#This Row],[_Row]])=1,N(INDEX(tsk_Duration,GanttView[[#This Row],[_Row]]))=0))</f>
        <v>0</v>
      </c>
      <c r="O2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89" t="n">
        <f aca="false">IF(GanttView[[#This Row],[_RemFrom]]=0,0,GanttView[[#This Row],[Forecast Finish]])</f>
        <v>0</v>
      </c>
      <c r="S26" s="88" t="b">
        <f aca="false">IF(IFERROR(INDEX(tsk_Name,GanttView[[#This Row],[_Row]])="",TRUE()),FALSE(),N(INDEX(tsk_Variance,GanttView[[#This Row],[_Row]]))&gt;0)</f>
        <v>0</v>
      </c>
      <c r="T26" s="89" t="n">
        <f aca="false">IF(IFERROR(INDEX(tsk_Name,GanttView[[#This Row],[_Row]])="",TRUE()),0,N(INDEX(tsk_Deadline,GanttView[[#This Row],[_Row]])))</f>
        <v>0</v>
      </c>
      <c r="U26" s="88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83" t="str">
        <f aca="false">IF(IFERROR(INDEX(tsk_Name,GanttView[[#This Row],[_Row]])="",TRUE()),"",INDEX(tsk_ID,GanttView[[#This Row],[_Row]]))</f>
        <v/>
      </c>
      <c r="B27" s="83" t="str">
        <f aca="false">IF(IFERROR(INDEX(tsk_Name,GanttView[[#This Row],[_Row]])="",TRUE()),"",INDEX(tsk_WBS,GanttView[[#This Row],[_Row]]))</f>
        <v/>
      </c>
      <c r="C27" s="84" t="str">
        <f aca="false">IF(IFERROR(INDEX(tsk_Name,GanttView[[#This Row],[_Row]])="",TRUE()),"",REPT("    ",INDEX(tsk_Level,GanttView[[#This Row],[_Row]])-1)&amp;INDEX(tsk_Name,GanttView[[#This Row],[_Row]]))</f>
        <v/>
      </c>
      <c r="D2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85" t="str">
        <f aca="false">IF(IFERROR(INDEX(tsk_Name,GanttView[[#This Row],[_Row]])="",TRUE()),"",INDEX(tsk_PlanStart,GanttView[[#This Row],[_Row]]))</f>
        <v/>
      </c>
      <c r="F27" s="85" t="str">
        <f aca="false">IF(IFERROR(INDEX(tsk_Name,GanttView[[#This Row],[_Row]])="",TRUE()),"",INDEX(tsk_PlanFinish,GanttView[[#This Row],[_Row]]))</f>
        <v/>
      </c>
      <c r="G27" s="85" t="str">
        <f aca="false">IF(IFERROR(INDEX(tsk_Name,GanttView[[#This Row],[_Row]])="",TRUE()),"",INDEX(tsk_FcStart,GanttView[[#This Row],[_Row]]))</f>
        <v/>
      </c>
      <c r="H27" s="85" t="str">
        <f aca="false">IF(IFERROR(INDEX(tsk_Name,GanttView[[#This Row],[_Row]])="",TRUE()),"",INDEX(tsk_FcFinish,GanttView[[#This Row],[_Row]]))</f>
        <v/>
      </c>
      <c r="I27" s="86" t="str">
        <f aca="false">IF(IFERROR(INDEX(tsk_Name,GanttView[[#This Row],[_Row]])="",TRUE()),"",INDEX(tsk_Progress,GanttView[[#This Row],[_Row]]))</f>
        <v/>
      </c>
      <c r="J27" s="84" t="str">
        <f aca="false">IF(IFERROR(INDEX(tsk_Name,GanttView[[#This Row],[_Row]])="",TRUE()),"",INDEX(tsk_Resource,GanttView[[#This Row],[_Row]])&amp;"")</f>
        <v/>
      </c>
      <c r="K27" s="83" t="str">
        <f aca="false">IF(IFERROR(INDEX(tsk_Name,GanttView[[#This Row],[_Row]])="",TRUE()),"",INDEX(tsk_Status,GanttView[[#This Row],[_Row]]))</f>
        <v/>
      </c>
      <c r="L27" s="87" t="n">
        <f aca="false">ROW()-ROW(GanttView[[#Headers],[ID]])</f>
        <v>22</v>
      </c>
      <c r="M27" s="88" t="b">
        <f aca="false">IF(IFERROR(INDEX(tsk_Name,GanttView[[#This Row],[_Row]])="",TRUE()),FALSE(),INDEX(tsk_IsSummary,GanttView[[#This Row],[_Row]]))</f>
        <v>0</v>
      </c>
      <c r="N27" s="88" t="b">
        <f aca="false">IF(IFERROR(INDEX(tsk_Name,GanttView[[#This Row],[_Row]])="",TRUE()),FALSE(),AND(INDEX(tsk_IsLeaf,GanttView[[#This Row],[_Row]])=1,N(INDEX(tsk_Duration,GanttView[[#This Row],[_Row]]))=0))</f>
        <v>0</v>
      </c>
      <c r="O2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89" t="n">
        <f aca="false">IF(GanttView[[#This Row],[_RemFrom]]=0,0,GanttView[[#This Row],[Forecast Finish]])</f>
        <v>0</v>
      </c>
      <c r="S27" s="88" t="b">
        <f aca="false">IF(IFERROR(INDEX(tsk_Name,GanttView[[#This Row],[_Row]])="",TRUE()),FALSE(),N(INDEX(tsk_Variance,GanttView[[#This Row],[_Row]]))&gt;0)</f>
        <v>0</v>
      </c>
      <c r="T27" s="89" t="n">
        <f aca="false">IF(IFERROR(INDEX(tsk_Name,GanttView[[#This Row],[_Row]])="",TRUE()),0,N(INDEX(tsk_Deadline,GanttView[[#This Row],[_Row]])))</f>
        <v>0</v>
      </c>
      <c r="U27" s="88" t="b">
        <f aca="false">IF(IFERROR(INDEX(tsk_Name,GanttView[[#This Row],[_Row]])="",TRUE()),FALSE(),INDEX(tsk_Critical,GanttView[[#This Row],[_Row]])="Yes")</f>
        <v>0</v>
      </c>
    </row>
    <row r="28" customFormat="false" ht="15" hidden="false" customHeight="false" outlineLevel="0" collapsed="false">
      <c r="A28" s="83" t="str">
        <f aca="false">IF(IFERROR(INDEX(tsk_Name,GanttView[[#This Row],[_Row]])="",TRUE()),"",INDEX(tsk_ID,GanttView[[#This Row],[_Row]]))</f>
        <v/>
      </c>
      <c r="B28" s="83" t="str">
        <f aca="false">IF(IFERROR(INDEX(tsk_Name,GanttView[[#This Row],[_Row]])="",TRUE()),"",INDEX(tsk_WBS,GanttView[[#This Row],[_Row]]))</f>
        <v/>
      </c>
      <c r="C28" s="84" t="str">
        <f aca="false">IF(IFERROR(INDEX(tsk_Name,GanttView[[#This Row],[_Row]])="",TRUE()),"",REPT("    ",INDEX(tsk_Level,GanttView[[#This Row],[_Row]])-1)&amp;INDEX(tsk_Name,GanttView[[#This Row],[_Row]]))</f>
        <v/>
      </c>
      <c r="D2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85" t="str">
        <f aca="false">IF(IFERROR(INDEX(tsk_Name,GanttView[[#This Row],[_Row]])="",TRUE()),"",INDEX(tsk_PlanStart,GanttView[[#This Row],[_Row]]))</f>
        <v/>
      </c>
      <c r="F28" s="85" t="str">
        <f aca="false">IF(IFERROR(INDEX(tsk_Name,GanttView[[#This Row],[_Row]])="",TRUE()),"",INDEX(tsk_PlanFinish,GanttView[[#This Row],[_Row]]))</f>
        <v/>
      </c>
      <c r="G28" s="85" t="str">
        <f aca="false">IF(IFERROR(INDEX(tsk_Name,GanttView[[#This Row],[_Row]])="",TRUE()),"",INDEX(tsk_FcStart,GanttView[[#This Row],[_Row]]))</f>
        <v/>
      </c>
      <c r="H28" s="85" t="str">
        <f aca="false">IF(IFERROR(INDEX(tsk_Name,GanttView[[#This Row],[_Row]])="",TRUE()),"",INDEX(tsk_FcFinish,GanttView[[#This Row],[_Row]]))</f>
        <v/>
      </c>
      <c r="I28" s="86" t="str">
        <f aca="false">IF(IFERROR(INDEX(tsk_Name,GanttView[[#This Row],[_Row]])="",TRUE()),"",INDEX(tsk_Progress,GanttView[[#This Row],[_Row]]))</f>
        <v/>
      </c>
      <c r="J28" s="84" t="str">
        <f aca="false">IF(IFERROR(INDEX(tsk_Name,GanttView[[#This Row],[_Row]])="",TRUE()),"",INDEX(tsk_Resource,GanttView[[#This Row],[_Row]])&amp;"")</f>
        <v/>
      </c>
      <c r="K28" s="83" t="str">
        <f aca="false">IF(IFERROR(INDEX(tsk_Name,GanttView[[#This Row],[_Row]])="",TRUE()),"",INDEX(tsk_Status,GanttView[[#This Row],[_Row]]))</f>
        <v/>
      </c>
      <c r="L28" s="87" t="n">
        <f aca="false">ROW()-ROW(GanttView[[#Headers],[ID]])</f>
        <v>23</v>
      </c>
      <c r="M28" s="88" t="b">
        <f aca="false">IF(IFERROR(INDEX(tsk_Name,GanttView[[#This Row],[_Row]])="",TRUE()),FALSE(),INDEX(tsk_IsSummary,GanttView[[#This Row],[_Row]]))</f>
        <v>0</v>
      </c>
      <c r="N28" s="88" t="b">
        <f aca="false">IF(IFERROR(INDEX(tsk_Name,GanttView[[#This Row],[_Row]])="",TRUE()),FALSE(),AND(INDEX(tsk_IsLeaf,GanttView[[#This Row],[_Row]])=1,N(INDEX(tsk_Duration,GanttView[[#This Row],[_Row]]))=0))</f>
        <v>0</v>
      </c>
      <c r="O2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89" t="n">
        <f aca="false">IF(GanttView[[#This Row],[_RemFrom]]=0,0,GanttView[[#This Row],[Forecast Finish]])</f>
        <v>0</v>
      </c>
      <c r="S28" s="88" t="b">
        <f aca="false">IF(IFERROR(INDEX(tsk_Name,GanttView[[#This Row],[_Row]])="",TRUE()),FALSE(),N(INDEX(tsk_Variance,GanttView[[#This Row],[_Row]]))&gt;0)</f>
        <v>0</v>
      </c>
      <c r="T28" s="89" t="n">
        <f aca="false">IF(IFERROR(INDEX(tsk_Name,GanttView[[#This Row],[_Row]])="",TRUE()),0,N(INDEX(tsk_Deadline,GanttView[[#This Row],[_Row]])))</f>
        <v>0</v>
      </c>
      <c r="U28" s="88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83" t="str">
        <f aca="false">IF(IFERROR(INDEX(tsk_Name,GanttView[[#This Row],[_Row]])="",TRUE()),"",INDEX(tsk_ID,GanttView[[#This Row],[_Row]]))</f>
        <v/>
      </c>
      <c r="B29" s="83" t="str">
        <f aca="false">IF(IFERROR(INDEX(tsk_Name,GanttView[[#This Row],[_Row]])="",TRUE()),"",INDEX(tsk_WBS,GanttView[[#This Row],[_Row]]))</f>
        <v/>
      </c>
      <c r="C29" s="84" t="str">
        <f aca="false">IF(IFERROR(INDEX(tsk_Name,GanttView[[#This Row],[_Row]])="",TRUE()),"",REPT("    ",INDEX(tsk_Level,GanttView[[#This Row],[_Row]])-1)&amp;INDEX(tsk_Name,GanttView[[#This Row],[_Row]]))</f>
        <v/>
      </c>
      <c r="D2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85" t="str">
        <f aca="false">IF(IFERROR(INDEX(tsk_Name,GanttView[[#This Row],[_Row]])="",TRUE()),"",INDEX(tsk_PlanStart,GanttView[[#This Row],[_Row]]))</f>
        <v/>
      </c>
      <c r="F29" s="85" t="str">
        <f aca="false">IF(IFERROR(INDEX(tsk_Name,GanttView[[#This Row],[_Row]])="",TRUE()),"",INDEX(tsk_PlanFinish,GanttView[[#This Row],[_Row]]))</f>
        <v/>
      </c>
      <c r="G29" s="85" t="str">
        <f aca="false">IF(IFERROR(INDEX(tsk_Name,GanttView[[#This Row],[_Row]])="",TRUE()),"",INDEX(tsk_FcStart,GanttView[[#This Row],[_Row]]))</f>
        <v/>
      </c>
      <c r="H29" s="85" t="str">
        <f aca="false">IF(IFERROR(INDEX(tsk_Name,GanttView[[#This Row],[_Row]])="",TRUE()),"",INDEX(tsk_FcFinish,GanttView[[#This Row],[_Row]]))</f>
        <v/>
      </c>
      <c r="I29" s="86" t="str">
        <f aca="false">IF(IFERROR(INDEX(tsk_Name,GanttView[[#This Row],[_Row]])="",TRUE()),"",INDEX(tsk_Progress,GanttView[[#This Row],[_Row]]))</f>
        <v/>
      </c>
      <c r="J29" s="84" t="str">
        <f aca="false">IF(IFERROR(INDEX(tsk_Name,GanttView[[#This Row],[_Row]])="",TRUE()),"",INDEX(tsk_Resource,GanttView[[#This Row],[_Row]])&amp;"")</f>
        <v/>
      </c>
      <c r="K29" s="83" t="str">
        <f aca="false">IF(IFERROR(INDEX(tsk_Name,GanttView[[#This Row],[_Row]])="",TRUE()),"",INDEX(tsk_Status,GanttView[[#This Row],[_Row]]))</f>
        <v/>
      </c>
      <c r="L29" s="87" t="n">
        <f aca="false">ROW()-ROW(GanttView[[#Headers],[ID]])</f>
        <v>24</v>
      </c>
      <c r="M29" s="88" t="b">
        <f aca="false">IF(IFERROR(INDEX(tsk_Name,GanttView[[#This Row],[_Row]])="",TRUE()),FALSE(),INDEX(tsk_IsSummary,GanttView[[#This Row],[_Row]]))</f>
        <v>0</v>
      </c>
      <c r="N29" s="88" t="b">
        <f aca="false">IF(IFERROR(INDEX(tsk_Name,GanttView[[#This Row],[_Row]])="",TRUE()),FALSE(),AND(INDEX(tsk_IsLeaf,GanttView[[#This Row],[_Row]])=1,N(INDEX(tsk_Duration,GanttView[[#This Row],[_Row]]))=0))</f>
        <v>0</v>
      </c>
      <c r="O2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89" t="n">
        <f aca="false">IF(GanttView[[#This Row],[_RemFrom]]=0,0,GanttView[[#This Row],[Forecast Finish]])</f>
        <v>0</v>
      </c>
      <c r="S29" s="88" t="b">
        <f aca="false">IF(IFERROR(INDEX(tsk_Name,GanttView[[#This Row],[_Row]])="",TRUE()),FALSE(),N(INDEX(tsk_Variance,GanttView[[#This Row],[_Row]]))&gt;0)</f>
        <v>0</v>
      </c>
      <c r="T29" s="89" t="n">
        <f aca="false">IF(IFERROR(INDEX(tsk_Name,GanttView[[#This Row],[_Row]])="",TRUE()),0,N(INDEX(tsk_Deadline,GanttView[[#This Row],[_Row]])))</f>
        <v>0</v>
      </c>
      <c r="U29" s="88" t="b">
        <f aca="false">IF(IFERROR(INDEX(tsk_Name,GanttView[[#This Row],[_Row]])="",TRUE()),FALSE(),INDEX(tsk_Critical,GanttView[[#This Row],[_Row]])="Yes")</f>
        <v>0</v>
      </c>
    </row>
    <row r="30" customFormat="false" ht="15" hidden="false" customHeight="false" outlineLevel="0" collapsed="false">
      <c r="A30" s="83" t="str">
        <f aca="false">IF(IFERROR(INDEX(tsk_Name,GanttView[[#This Row],[_Row]])="",TRUE()),"",INDEX(tsk_ID,GanttView[[#This Row],[_Row]]))</f>
        <v/>
      </c>
      <c r="B30" s="83" t="str">
        <f aca="false">IF(IFERROR(INDEX(tsk_Name,GanttView[[#This Row],[_Row]])="",TRUE()),"",INDEX(tsk_WBS,GanttView[[#This Row],[_Row]]))</f>
        <v/>
      </c>
      <c r="C30" s="84" t="str">
        <f aca="false">IF(IFERROR(INDEX(tsk_Name,GanttView[[#This Row],[_Row]])="",TRUE()),"",REPT("    ",INDEX(tsk_Level,GanttView[[#This Row],[_Row]])-1)&amp;INDEX(tsk_Name,GanttView[[#This Row],[_Row]]))</f>
        <v/>
      </c>
      <c r="D3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85" t="str">
        <f aca="false">IF(IFERROR(INDEX(tsk_Name,GanttView[[#This Row],[_Row]])="",TRUE()),"",INDEX(tsk_PlanStart,GanttView[[#This Row],[_Row]]))</f>
        <v/>
      </c>
      <c r="F30" s="85" t="str">
        <f aca="false">IF(IFERROR(INDEX(tsk_Name,GanttView[[#This Row],[_Row]])="",TRUE()),"",INDEX(tsk_PlanFinish,GanttView[[#This Row],[_Row]]))</f>
        <v/>
      </c>
      <c r="G30" s="85" t="str">
        <f aca="false">IF(IFERROR(INDEX(tsk_Name,GanttView[[#This Row],[_Row]])="",TRUE()),"",INDEX(tsk_FcStart,GanttView[[#This Row],[_Row]]))</f>
        <v/>
      </c>
      <c r="H30" s="85" t="str">
        <f aca="false">IF(IFERROR(INDEX(tsk_Name,GanttView[[#This Row],[_Row]])="",TRUE()),"",INDEX(tsk_FcFinish,GanttView[[#This Row],[_Row]]))</f>
        <v/>
      </c>
      <c r="I30" s="86" t="str">
        <f aca="false">IF(IFERROR(INDEX(tsk_Name,GanttView[[#This Row],[_Row]])="",TRUE()),"",INDEX(tsk_Progress,GanttView[[#This Row],[_Row]]))</f>
        <v/>
      </c>
      <c r="J30" s="84" t="str">
        <f aca="false">IF(IFERROR(INDEX(tsk_Name,GanttView[[#This Row],[_Row]])="",TRUE()),"",INDEX(tsk_Resource,GanttView[[#This Row],[_Row]])&amp;"")</f>
        <v/>
      </c>
      <c r="K30" s="83" t="str">
        <f aca="false">IF(IFERROR(INDEX(tsk_Name,GanttView[[#This Row],[_Row]])="",TRUE()),"",INDEX(tsk_Status,GanttView[[#This Row],[_Row]]))</f>
        <v/>
      </c>
      <c r="L30" s="87" t="n">
        <f aca="false">ROW()-ROW(GanttView[[#Headers],[ID]])</f>
        <v>25</v>
      </c>
      <c r="M30" s="88" t="b">
        <f aca="false">IF(IFERROR(INDEX(tsk_Name,GanttView[[#This Row],[_Row]])="",TRUE()),FALSE(),INDEX(tsk_IsSummary,GanttView[[#This Row],[_Row]]))</f>
        <v>0</v>
      </c>
      <c r="N30" s="88" t="b">
        <f aca="false">IF(IFERROR(INDEX(tsk_Name,GanttView[[#This Row],[_Row]])="",TRUE()),FALSE(),AND(INDEX(tsk_IsLeaf,GanttView[[#This Row],[_Row]])=1,N(INDEX(tsk_Duration,GanttView[[#This Row],[_Row]]))=0))</f>
        <v>0</v>
      </c>
      <c r="O3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89" t="n">
        <f aca="false">IF(GanttView[[#This Row],[_RemFrom]]=0,0,GanttView[[#This Row],[Forecast Finish]])</f>
        <v>0</v>
      </c>
      <c r="S30" s="88" t="b">
        <f aca="false">IF(IFERROR(INDEX(tsk_Name,GanttView[[#This Row],[_Row]])="",TRUE()),FALSE(),N(INDEX(tsk_Variance,GanttView[[#This Row],[_Row]]))&gt;0)</f>
        <v>0</v>
      </c>
      <c r="T30" s="89" t="n">
        <f aca="false">IF(IFERROR(INDEX(tsk_Name,GanttView[[#This Row],[_Row]])="",TRUE()),0,N(INDEX(tsk_Deadline,GanttView[[#This Row],[_Row]])))</f>
        <v>0</v>
      </c>
      <c r="U30" s="88" t="b">
        <f aca="false">IF(IFERROR(INDEX(tsk_Name,GanttView[[#This Row],[_Row]])="",TRUE()),FALSE(),INDEX(tsk_Critical,GanttView[[#This Row],[_Row]])="Yes")</f>
        <v>0</v>
      </c>
    </row>
    <row r="31" customFormat="false" ht="15" hidden="false" customHeight="false" outlineLevel="0" collapsed="false">
      <c r="A31" s="83" t="str">
        <f aca="false">IF(IFERROR(INDEX(tsk_Name,GanttView[[#This Row],[_Row]])="",TRUE()),"",INDEX(tsk_ID,GanttView[[#This Row],[_Row]]))</f>
        <v/>
      </c>
      <c r="B31" s="83" t="str">
        <f aca="false">IF(IFERROR(INDEX(tsk_Name,GanttView[[#This Row],[_Row]])="",TRUE()),"",INDEX(tsk_WBS,GanttView[[#This Row],[_Row]]))</f>
        <v/>
      </c>
      <c r="C31" s="84" t="str">
        <f aca="false">IF(IFERROR(INDEX(tsk_Name,GanttView[[#This Row],[_Row]])="",TRUE()),"",REPT("    ",INDEX(tsk_Level,GanttView[[#This Row],[_Row]])-1)&amp;INDEX(tsk_Name,GanttView[[#This Row],[_Row]]))</f>
        <v/>
      </c>
      <c r="D3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85" t="str">
        <f aca="false">IF(IFERROR(INDEX(tsk_Name,GanttView[[#This Row],[_Row]])="",TRUE()),"",INDEX(tsk_PlanStart,GanttView[[#This Row],[_Row]]))</f>
        <v/>
      </c>
      <c r="F31" s="85" t="str">
        <f aca="false">IF(IFERROR(INDEX(tsk_Name,GanttView[[#This Row],[_Row]])="",TRUE()),"",INDEX(tsk_PlanFinish,GanttView[[#This Row],[_Row]]))</f>
        <v/>
      </c>
      <c r="G31" s="85" t="str">
        <f aca="false">IF(IFERROR(INDEX(tsk_Name,GanttView[[#This Row],[_Row]])="",TRUE()),"",INDEX(tsk_FcStart,GanttView[[#This Row],[_Row]]))</f>
        <v/>
      </c>
      <c r="H31" s="85" t="str">
        <f aca="false">IF(IFERROR(INDEX(tsk_Name,GanttView[[#This Row],[_Row]])="",TRUE()),"",INDEX(tsk_FcFinish,GanttView[[#This Row],[_Row]]))</f>
        <v/>
      </c>
      <c r="I31" s="86" t="str">
        <f aca="false">IF(IFERROR(INDEX(tsk_Name,GanttView[[#This Row],[_Row]])="",TRUE()),"",INDEX(tsk_Progress,GanttView[[#This Row],[_Row]]))</f>
        <v/>
      </c>
      <c r="J31" s="84" t="str">
        <f aca="false">IF(IFERROR(INDEX(tsk_Name,GanttView[[#This Row],[_Row]])="",TRUE()),"",INDEX(tsk_Resource,GanttView[[#This Row],[_Row]])&amp;"")</f>
        <v/>
      </c>
      <c r="K31" s="83" t="str">
        <f aca="false">IF(IFERROR(INDEX(tsk_Name,GanttView[[#This Row],[_Row]])="",TRUE()),"",INDEX(tsk_Status,GanttView[[#This Row],[_Row]]))</f>
        <v/>
      </c>
      <c r="L31" s="87" t="n">
        <f aca="false">ROW()-ROW(GanttView[[#Headers],[ID]])</f>
        <v>26</v>
      </c>
      <c r="M31" s="88" t="b">
        <f aca="false">IF(IFERROR(INDEX(tsk_Name,GanttView[[#This Row],[_Row]])="",TRUE()),FALSE(),INDEX(tsk_IsSummary,GanttView[[#This Row],[_Row]]))</f>
        <v>0</v>
      </c>
      <c r="N31" s="88" t="b">
        <f aca="false">IF(IFERROR(INDEX(tsk_Name,GanttView[[#This Row],[_Row]])="",TRUE()),FALSE(),AND(INDEX(tsk_IsLeaf,GanttView[[#This Row],[_Row]])=1,N(INDEX(tsk_Duration,GanttView[[#This Row],[_Row]]))=0))</f>
        <v>0</v>
      </c>
      <c r="O3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89" t="n">
        <f aca="false">IF(GanttView[[#This Row],[_RemFrom]]=0,0,GanttView[[#This Row],[Forecast Finish]])</f>
        <v>0</v>
      </c>
      <c r="S31" s="88" t="b">
        <f aca="false">IF(IFERROR(INDEX(tsk_Name,GanttView[[#This Row],[_Row]])="",TRUE()),FALSE(),N(INDEX(tsk_Variance,GanttView[[#This Row],[_Row]]))&gt;0)</f>
        <v>0</v>
      </c>
      <c r="T31" s="89" t="n">
        <f aca="false">IF(IFERROR(INDEX(tsk_Name,GanttView[[#This Row],[_Row]])="",TRUE()),0,N(INDEX(tsk_Deadline,GanttView[[#This Row],[_Row]])))</f>
        <v>0</v>
      </c>
      <c r="U31" s="88" t="b">
        <f aca="false">IF(IFERROR(INDEX(tsk_Name,GanttView[[#This Row],[_Row]])="",TRUE()),FALSE(),INDEX(tsk_Critical,GanttView[[#This Row],[_Row]])="Yes")</f>
        <v>0</v>
      </c>
    </row>
    <row r="32" customFormat="false" ht="15" hidden="false" customHeight="false" outlineLevel="0" collapsed="false">
      <c r="A32" s="83" t="str">
        <f aca="false">IF(IFERROR(INDEX(tsk_Name,GanttView[[#This Row],[_Row]])="",TRUE()),"",INDEX(tsk_ID,GanttView[[#This Row],[_Row]]))</f>
        <v/>
      </c>
      <c r="B32" s="83" t="str">
        <f aca="false">IF(IFERROR(INDEX(tsk_Name,GanttView[[#This Row],[_Row]])="",TRUE()),"",INDEX(tsk_WBS,GanttView[[#This Row],[_Row]]))</f>
        <v/>
      </c>
      <c r="C32" s="84" t="str">
        <f aca="false">IF(IFERROR(INDEX(tsk_Name,GanttView[[#This Row],[_Row]])="",TRUE()),"",REPT("    ",INDEX(tsk_Level,GanttView[[#This Row],[_Row]])-1)&amp;INDEX(tsk_Name,GanttView[[#This Row],[_Row]]))</f>
        <v/>
      </c>
      <c r="D3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85" t="str">
        <f aca="false">IF(IFERROR(INDEX(tsk_Name,GanttView[[#This Row],[_Row]])="",TRUE()),"",INDEX(tsk_PlanStart,GanttView[[#This Row],[_Row]]))</f>
        <v/>
      </c>
      <c r="F32" s="85" t="str">
        <f aca="false">IF(IFERROR(INDEX(tsk_Name,GanttView[[#This Row],[_Row]])="",TRUE()),"",INDEX(tsk_PlanFinish,GanttView[[#This Row],[_Row]]))</f>
        <v/>
      </c>
      <c r="G32" s="85" t="str">
        <f aca="false">IF(IFERROR(INDEX(tsk_Name,GanttView[[#This Row],[_Row]])="",TRUE()),"",INDEX(tsk_FcStart,GanttView[[#This Row],[_Row]]))</f>
        <v/>
      </c>
      <c r="H32" s="85" t="str">
        <f aca="false">IF(IFERROR(INDEX(tsk_Name,GanttView[[#This Row],[_Row]])="",TRUE()),"",INDEX(tsk_FcFinish,GanttView[[#This Row],[_Row]]))</f>
        <v/>
      </c>
      <c r="I32" s="86" t="str">
        <f aca="false">IF(IFERROR(INDEX(tsk_Name,GanttView[[#This Row],[_Row]])="",TRUE()),"",INDEX(tsk_Progress,GanttView[[#This Row],[_Row]]))</f>
        <v/>
      </c>
      <c r="J32" s="84" t="str">
        <f aca="false">IF(IFERROR(INDEX(tsk_Name,GanttView[[#This Row],[_Row]])="",TRUE()),"",INDEX(tsk_Resource,GanttView[[#This Row],[_Row]])&amp;"")</f>
        <v/>
      </c>
      <c r="K32" s="83" t="str">
        <f aca="false">IF(IFERROR(INDEX(tsk_Name,GanttView[[#This Row],[_Row]])="",TRUE()),"",INDEX(tsk_Status,GanttView[[#This Row],[_Row]]))</f>
        <v/>
      </c>
      <c r="L32" s="87" t="n">
        <f aca="false">ROW()-ROW(GanttView[[#Headers],[ID]])</f>
        <v>27</v>
      </c>
      <c r="M32" s="88" t="b">
        <f aca="false">IF(IFERROR(INDEX(tsk_Name,GanttView[[#This Row],[_Row]])="",TRUE()),FALSE(),INDEX(tsk_IsSummary,GanttView[[#This Row],[_Row]]))</f>
        <v>0</v>
      </c>
      <c r="N32" s="88" t="b">
        <f aca="false">IF(IFERROR(INDEX(tsk_Name,GanttView[[#This Row],[_Row]])="",TRUE()),FALSE(),AND(INDEX(tsk_IsLeaf,GanttView[[#This Row],[_Row]])=1,N(INDEX(tsk_Duration,GanttView[[#This Row],[_Row]]))=0))</f>
        <v>0</v>
      </c>
      <c r="O3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89" t="n">
        <f aca="false">IF(GanttView[[#This Row],[_RemFrom]]=0,0,GanttView[[#This Row],[Forecast Finish]])</f>
        <v>0</v>
      </c>
      <c r="S32" s="88" t="b">
        <f aca="false">IF(IFERROR(INDEX(tsk_Name,GanttView[[#This Row],[_Row]])="",TRUE()),FALSE(),N(INDEX(tsk_Variance,GanttView[[#This Row],[_Row]]))&gt;0)</f>
        <v>0</v>
      </c>
      <c r="T32" s="89" t="n">
        <f aca="false">IF(IFERROR(INDEX(tsk_Name,GanttView[[#This Row],[_Row]])="",TRUE()),0,N(INDEX(tsk_Deadline,GanttView[[#This Row],[_Row]])))</f>
        <v>0</v>
      </c>
      <c r="U32" s="88" t="b">
        <f aca="false">IF(IFERROR(INDEX(tsk_Name,GanttView[[#This Row],[_Row]])="",TRUE()),FALSE(),INDEX(tsk_Critical,GanttView[[#This Row],[_Row]])="Yes")</f>
        <v>0</v>
      </c>
    </row>
    <row r="33" customFormat="false" ht="15" hidden="false" customHeight="false" outlineLevel="0" collapsed="false">
      <c r="A33" s="83" t="str">
        <f aca="false">IF(IFERROR(INDEX(tsk_Name,GanttView[[#This Row],[_Row]])="",TRUE()),"",INDEX(tsk_ID,GanttView[[#This Row],[_Row]]))</f>
        <v/>
      </c>
      <c r="B33" s="83" t="str">
        <f aca="false">IF(IFERROR(INDEX(tsk_Name,GanttView[[#This Row],[_Row]])="",TRUE()),"",INDEX(tsk_WBS,GanttView[[#This Row],[_Row]]))</f>
        <v/>
      </c>
      <c r="C33" s="84" t="str">
        <f aca="false">IF(IFERROR(INDEX(tsk_Name,GanttView[[#This Row],[_Row]])="",TRUE()),"",REPT("    ",INDEX(tsk_Level,GanttView[[#This Row],[_Row]])-1)&amp;INDEX(tsk_Name,GanttView[[#This Row],[_Row]]))</f>
        <v/>
      </c>
      <c r="D3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85" t="str">
        <f aca="false">IF(IFERROR(INDEX(tsk_Name,GanttView[[#This Row],[_Row]])="",TRUE()),"",INDEX(tsk_PlanStart,GanttView[[#This Row],[_Row]]))</f>
        <v/>
      </c>
      <c r="F33" s="85" t="str">
        <f aca="false">IF(IFERROR(INDEX(tsk_Name,GanttView[[#This Row],[_Row]])="",TRUE()),"",INDEX(tsk_PlanFinish,GanttView[[#This Row],[_Row]]))</f>
        <v/>
      </c>
      <c r="G33" s="85" t="str">
        <f aca="false">IF(IFERROR(INDEX(tsk_Name,GanttView[[#This Row],[_Row]])="",TRUE()),"",INDEX(tsk_FcStart,GanttView[[#This Row],[_Row]]))</f>
        <v/>
      </c>
      <c r="H33" s="85" t="str">
        <f aca="false">IF(IFERROR(INDEX(tsk_Name,GanttView[[#This Row],[_Row]])="",TRUE()),"",INDEX(tsk_FcFinish,GanttView[[#This Row],[_Row]]))</f>
        <v/>
      </c>
      <c r="I33" s="86" t="str">
        <f aca="false">IF(IFERROR(INDEX(tsk_Name,GanttView[[#This Row],[_Row]])="",TRUE()),"",INDEX(tsk_Progress,GanttView[[#This Row],[_Row]]))</f>
        <v/>
      </c>
      <c r="J33" s="84" t="str">
        <f aca="false">IF(IFERROR(INDEX(tsk_Name,GanttView[[#This Row],[_Row]])="",TRUE()),"",INDEX(tsk_Resource,GanttView[[#This Row],[_Row]])&amp;"")</f>
        <v/>
      </c>
      <c r="K33" s="83" t="str">
        <f aca="false">IF(IFERROR(INDEX(tsk_Name,GanttView[[#This Row],[_Row]])="",TRUE()),"",INDEX(tsk_Status,GanttView[[#This Row],[_Row]]))</f>
        <v/>
      </c>
      <c r="L33" s="87" t="n">
        <f aca="false">ROW()-ROW(GanttView[[#Headers],[ID]])</f>
        <v>28</v>
      </c>
      <c r="M33" s="88" t="b">
        <f aca="false">IF(IFERROR(INDEX(tsk_Name,GanttView[[#This Row],[_Row]])="",TRUE()),FALSE(),INDEX(tsk_IsSummary,GanttView[[#This Row],[_Row]]))</f>
        <v>0</v>
      </c>
      <c r="N33" s="88" t="b">
        <f aca="false">IF(IFERROR(INDEX(tsk_Name,GanttView[[#This Row],[_Row]])="",TRUE()),FALSE(),AND(INDEX(tsk_IsLeaf,GanttView[[#This Row],[_Row]])=1,N(INDEX(tsk_Duration,GanttView[[#This Row],[_Row]]))=0))</f>
        <v>0</v>
      </c>
      <c r="O3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89" t="n">
        <f aca="false">IF(GanttView[[#This Row],[_RemFrom]]=0,0,GanttView[[#This Row],[Forecast Finish]])</f>
        <v>0</v>
      </c>
      <c r="S33" s="88" t="b">
        <f aca="false">IF(IFERROR(INDEX(tsk_Name,GanttView[[#This Row],[_Row]])="",TRUE()),FALSE(),N(INDEX(tsk_Variance,GanttView[[#This Row],[_Row]]))&gt;0)</f>
        <v>0</v>
      </c>
      <c r="T33" s="89" t="n">
        <f aca="false">IF(IFERROR(INDEX(tsk_Name,GanttView[[#This Row],[_Row]])="",TRUE()),0,N(INDEX(tsk_Deadline,GanttView[[#This Row],[_Row]])))</f>
        <v>0</v>
      </c>
      <c r="U33" s="88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83" t="str">
        <f aca="false">IF(IFERROR(INDEX(tsk_Name,GanttView[[#This Row],[_Row]])="",TRUE()),"",INDEX(tsk_ID,GanttView[[#This Row],[_Row]]))</f>
        <v/>
      </c>
      <c r="B34" s="83" t="str">
        <f aca="false">IF(IFERROR(INDEX(tsk_Name,GanttView[[#This Row],[_Row]])="",TRUE()),"",INDEX(tsk_WBS,GanttView[[#This Row],[_Row]]))</f>
        <v/>
      </c>
      <c r="C34" s="84" t="str">
        <f aca="false">IF(IFERROR(INDEX(tsk_Name,GanttView[[#This Row],[_Row]])="",TRUE()),"",REPT("    ",INDEX(tsk_Level,GanttView[[#This Row],[_Row]])-1)&amp;INDEX(tsk_Name,GanttView[[#This Row],[_Row]]))</f>
        <v/>
      </c>
      <c r="D3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85" t="str">
        <f aca="false">IF(IFERROR(INDEX(tsk_Name,GanttView[[#This Row],[_Row]])="",TRUE()),"",INDEX(tsk_PlanStart,GanttView[[#This Row],[_Row]]))</f>
        <v/>
      </c>
      <c r="F34" s="85" t="str">
        <f aca="false">IF(IFERROR(INDEX(tsk_Name,GanttView[[#This Row],[_Row]])="",TRUE()),"",INDEX(tsk_PlanFinish,GanttView[[#This Row],[_Row]]))</f>
        <v/>
      </c>
      <c r="G34" s="85" t="str">
        <f aca="false">IF(IFERROR(INDEX(tsk_Name,GanttView[[#This Row],[_Row]])="",TRUE()),"",INDEX(tsk_FcStart,GanttView[[#This Row],[_Row]]))</f>
        <v/>
      </c>
      <c r="H34" s="85" t="str">
        <f aca="false">IF(IFERROR(INDEX(tsk_Name,GanttView[[#This Row],[_Row]])="",TRUE()),"",INDEX(tsk_FcFinish,GanttView[[#This Row],[_Row]]))</f>
        <v/>
      </c>
      <c r="I34" s="86" t="str">
        <f aca="false">IF(IFERROR(INDEX(tsk_Name,GanttView[[#This Row],[_Row]])="",TRUE()),"",INDEX(tsk_Progress,GanttView[[#This Row],[_Row]]))</f>
        <v/>
      </c>
      <c r="J34" s="84" t="str">
        <f aca="false">IF(IFERROR(INDEX(tsk_Name,GanttView[[#This Row],[_Row]])="",TRUE()),"",INDEX(tsk_Resource,GanttView[[#This Row],[_Row]])&amp;"")</f>
        <v/>
      </c>
      <c r="K34" s="83" t="str">
        <f aca="false">IF(IFERROR(INDEX(tsk_Name,GanttView[[#This Row],[_Row]])="",TRUE()),"",INDEX(tsk_Status,GanttView[[#This Row],[_Row]]))</f>
        <v/>
      </c>
      <c r="L34" s="87" t="n">
        <f aca="false">ROW()-ROW(GanttView[[#Headers],[ID]])</f>
        <v>29</v>
      </c>
      <c r="M34" s="88" t="b">
        <f aca="false">IF(IFERROR(INDEX(tsk_Name,GanttView[[#This Row],[_Row]])="",TRUE()),FALSE(),INDEX(tsk_IsSummary,GanttView[[#This Row],[_Row]]))</f>
        <v>0</v>
      </c>
      <c r="N34" s="88" t="b">
        <f aca="false">IF(IFERROR(INDEX(tsk_Name,GanttView[[#This Row],[_Row]])="",TRUE()),FALSE(),AND(INDEX(tsk_IsLeaf,GanttView[[#This Row],[_Row]])=1,N(INDEX(tsk_Duration,GanttView[[#This Row],[_Row]]))=0))</f>
        <v>0</v>
      </c>
      <c r="O3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89" t="n">
        <f aca="false">IF(GanttView[[#This Row],[_RemFrom]]=0,0,GanttView[[#This Row],[Forecast Finish]])</f>
        <v>0</v>
      </c>
      <c r="S34" s="88" t="b">
        <f aca="false">IF(IFERROR(INDEX(tsk_Name,GanttView[[#This Row],[_Row]])="",TRUE()),FALSE(),N(INDEX(tsk_Variance,GanttView[[#This Row],[_Row]]))&gt;0)</f>
        <v>0</v>
      </c>
      <c r="T34" s="89" t="n">
        <f aca="false">IF(IFERROR(INDEX(tsk_Name,GanttView[[#This Row],[_Row]])="",TRUE()),0,N(INDEX(tsk_Deadline,GanttView[[#This Row],[_Row]])))</f>
        <v>0</v>
      </c>
      <c r="U34" s="88" t="b">
        <f aca="false">IF(IFERROR(INDEX(tsk_Name,GanttView[[#This Row],[_Row]])="",TRUE()),FALSE(),INDEX(tsk_Critical,GanttView[[#This Row],[_Row]])="Yes")</f>
        <v>0</v>
      </c>
    </row>
    <row r="35" customFormat="false" ht="15" hidden="false" customHeight="false" outlineLevel="0" collapsed="false">
      <c r="A35" s="83" t="str">
        <f aca="false">IF(IFERROR(INDEX(tsk_Name,GanttView[[#This Row],[_Row]])="",TRUE()),"",INDEX(tsk_ID,GanttView[[#This Row],[_Row]]))</f>
        <v/>
      </c>
      <c r="B35" s="83" t="str">
        <f aca="false">IF(IFERROR(INDEX(tsk_Name,GanttView[[#This Row],[_Row]])="",TRUE()),"",INDEX(tsk_WBS,GanttView[[#This Row],[_Row]]))</f>
        <v/>
      </c>
      <c r="C35" s="84" t="str">
        <f aca="false">IF(IFERROR(INDEX(tsk_Name,GanttView[[#This Row],[_Row]])="",TRUE()),"",REPT("    ",INDEX(tsk_Level,GanttView[[#This Row],[_Row]])-1)&amp;INDEX(tsk_Name,GanttView[[#This Row],[_Row]]))</f>
        <v/>
      </c>
      <c r="D3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85" t="str">
        <f aca="false">IF(IFERROR(INDEX(tsk_Name,GanttView[[#This Row],[_Row]])="",TRUE()),"",INDEX(tsk_PlanStart,GanttView[[#This Row],[_Row]]))</f>
        <v/>
      </c>
      <c r="F35" s="85" t="str">
        <f aca="false">IF(IFERROR(INDEX(tsk_Name,GanttView[[#This Row],[_Row]])="",TRUE()),"",INDEX(tsk_PlanFinish,GanttView[[#This Row],[_Row]]))</f>
        <v/>
      </c>
      <c r="G35" s="85" t="str">
        <f aca="false">IF(IFERROR(INDEX(tsk_Name,GanttView[[#This Row],[_Row]])="",TRUE()),"",INDEX(tsk_FcStart,GanttView[[#This Row],[_Row]]))</f>
        <v/>
      </c>
      <c r="H35" s="85" t="str">
        <f aca="false">IF(IFERROR(INDEX(tsk_Name,GanttView[[#This Row],[_Row]])="",TRUE()),"",INDEX(tsk_FcFinish,GanttView[[#This Row],[_Row]]))</f>
        <v/>
      </c>
      <c r="I35" s="86" t="str">
        <f aca="false">IF(IFERROR(INDEX(tsk_Name,GanttView[[#This Row],[_Row]])="",TRUE()),"",INDEX(tsk_Progress,GanttView[[#This Row],[_Row]]))</f>
        <v/>
      </c>
      <c r="J35" s="84" t="str">
        <f aca="false">IF(IFERROR(INDEX(tsk_Name,GanttView[[#This Row],[_Row]])="",TRUE()),"",INDEX(tsk_Resource,GanttView[[#This Row],[_Row]])&amp;"")</f>
        <v/>
      </c>
      <c r="K35" s="83" t="str">
        <f aca="false">IF(IFERROR(INDEX(tsk_Name,GanttView[[#This Row],[_Row]])="",TRUE()),"",INDEX(tsk_Status,GanttView[[#This Row],[_Row]]))</f>
        <v/>
      </c>
      <c r="L35" s="87" t="n">
        <f aca="false">ROW()-ROW(GanttView[[#Headers],[ID]])</f>
        <v>30</v>
      </c>
      <c r="M35" s="88" t="b">
        <f aca="false">IF(IFERROR(INDEX(tsk_Name,GanttView[[#This Row],[_Row]])="",TRUE()),FALSE(),INDEX(tsk_IsSummary,GanttView[[#This Row],[_Row]]))</f>
        <v>0</v>
      </c>
      <c r="N35" s="88" t="b">
        <f aca="false">IF(IFERROR(INDEX(tsk_Name,GanttView[[#This Row],[_Row]])="",TRUE()),FALSE(),AND(INDEX(tsk_IsLeaf,GanttView[[#This Row],[_Row]])=1,N(INDEX(tsk_Duration,GanttView[[#This Row],[_Row]]))=0))</f>
        <v>0</v>
      </c>
      <c r="O3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89" t="n">
        <f aca="false">IF(GanttView[[#This Row],[_RemFrom]]=0,0,GanttView[[#This Row],[Forecast Finish]])</f>
        <v>0</v>
      </c>
      <c r="S35" s="88" t="b">
        <f aca="false">IF(IFERROR(INDEX(tsk_Name,GanttView[[#This Row],[_Row]])="",TRUE()),FALSE(),N(INDEX(tsk_Variance,GanttView[[#This Row],[_Row]]))&gt;0)</f>
        <v>0</v>
      </c>
      <c r="T35" s="89" t="n">
        <f aca="false">IF(IFERROR(INDEX(tsk_Name,GanttView[[#This Row],[_Row]])="",TRUE()),0,N(INDEX(tsk_Deadline,GanttView[[#This Row],[_Row]])))</f>
        <v>0</v>
      </c>
      <c r="U35" s="88" t="b">
        <f aca="false">IF(IFERROR(INDEX(tsk_Name,GanttView[[#This Row],[_Row]])="",TRUE()),FALSE(),INDEX(tsk_Critical,GanttView[[#This Row],[_Row]])="Yes")</f>
        <v>0</v>
      </c>
    </row>
    <row r="36" customFormat="false" ht="15" hidden="false" customHeight="false" outlineLevel="0" collapsed="false">
      <c r="A36" s="83" t="str">
        <f aca="false">IF(IFERROR(INDEX(tsk_Name,GanttView[[#This Row],[_Row]])="",TRUE()),"",INDEX(tsk_ID,GanttView[[#This Row],[_Row]]))</f>
        <v/>
      </c>
      <c r="B36" s="83" t="str">
        <f aca="false">IF(IFERROR(INDEX(tsk_Name,GanttView[[#This Row],[_Row]])="",TRUE()),"",INDEX(tsk_WBS,GanttView[[#This Row],[_Row]]))</f>
        <v/>
      </c>
      <c r="C36" s="84" t="str">
        <f aca="false">IF(IFERROR(INDEX(tsk_Name,GanttView[[#This Row],[_Row]])="",TRUE()),"",REPT("    ",INDEX(tsk_Level,GanttView[[#This Row],[_Row]])-1)&amp;INDEX(tsk_Name,GanttView[[#This Row],[_Row]]))</f>
        <v/>
      </c>
      <c r="D3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85" t="str">
        <f aca="false">IF(IFERROR(INDEX(tsk_Name,GanttView[[#This Row],[_Row]])="",TRUE()),"",INDEX(tsk_PlanStart,GanttView[[#This Row],[_Row]]))</f>
        <v/>
      </c>
      <c r="F36" s="85" t="str">
        <f aca="false">IF(IFERROR(INDEX(tsk_Name,GanttView[[#This Row],[_Row]])="",TRUE()),"",INDEX(tsk_PlanFinish,GanttView[[#This Row],[_Row]]))</f>
        <v/>
      </c>
      <c r="G36" s="85" t="str">
        <f aca="false">IF(IFERROR(INDEX(tsk_Name,GanttView[[#This Row],[_Row]])="",TRUE()),"",INDEX(tsk_FcStart,GanttView[[#This Row],[_Row]]))</f>
        <v/>
      </c>
      <c r="H36" s="85" t="str">
        <f aca="false">IF(IFERROR(INDEX(tsk_Name,GanttView[[#This Row],[_Row]])="",TRUE()),"",INDEX(tsk_FcFinish,GanttView[[#This Row],[_Row]]))</f>
        <v/>
      </c>
      <c r="I36" s="86" t="str">
        <f aca="false">IF(IFERROR(INDEX(tsk_Name,GanttView[[#This Row],[_Row]])="",TRUE()),"",INDEX(tsk_Progress,GanttView[[#This Row],[_Row]]))</f>
        <v/>
      </c>
      <c r="J36" s="84" t="str">
        <f aca="false">IF(IFERROR(INDEX(tsk_Name,GanttView[[#This Row],[_Row]])="",TRUE()),"",INDEX(tsk_Resource,GanttView[[#This Row],[_Row]])&amp;"")</f>
        <v/>
      </c>
      <c r="K36" s="83" t="str">
        <f aca="false">IF(IFERROR(INDEX(tsk_Name,GanttView[[#This Row],[_Row]])="",TRUE()),"",INDEX(tsk_Status,GanttView[[#This Row],[_Row]]))</f>
        <v/>
      </c>
      <c r="L36" s="87" t="n">
        <f aca="false">ROW()-ROW(GanttView[[#Headers],[ID]])</f>
        <v>31</v>
      </c>
      <c r="M36" s="88" t="b">
        <f aca="false">IF(IFERROR(INDEX(tsk_Name,GanttView[[#This Row],[_Row]])="",TRUE()),FALSE(),INDEX(tsk_IsSummary,GanttView[[#This Row],[_Row]]))</f>
        <v>0</v>
      </c>
      <c r="N36" s="88" t="b">
        <f aca="false">IF(IFERROR(INDEX(tsk_Name,GanttView[[#This Row],[_Row]])="",TRUE()),FALSE(),AND(INDEX(tsk_IsLeaf,GanttView[[#This Row],[_Row]])=1,N(INDEX(tsk_Duration,GanttView[[#This Row],[_Row]]))=0))</f>
        <v>0</v>
      </c>
      <c r="O3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89" t="n">
        <f aca="false">IF(GanttView[[#This Row],[_RemFrom]]=0,0,GanttView[[#This Row],[Forecast Finish]])</f>
        <v>0</v>
      </c>
      <c r="S36" s="88" t="b">
        <f aca="false">IF(IFERROR(INDEX(tsk_Name,GanttView[[#This Row],[_Row]])="",TRUE()),FALSE(),N(INDEX(tsk_Variance,GanttView[[#This Row],[_Row]]))&gt;0)</f>
        <v>0</v>
      </c>
      <c r="T36" s="89" t="n">
        <f aca="false">IF(IFERROR(INDEX(tsk_Name,GanttView[[#This Row],[_Row]])="",TRUE()),0,N(INDEX(tsk_Deadline,GanttView[[#This Row],[_Row]])))</f>
        <v>0</v>
      </c>
      <c r="U36" s="88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83" t="str">
        <f aca="false">IF(IFERROR(INDEX(tsk_Name,GanttView[[#This Row],[_Row]])="",TRUE()),"",INDEX(tsk_ID,GanttView[[#This Row],[_Row]]))</f>
        <v/>
      </c>
      <c r="B37" s="83" t="str">
        <f aca="false">IF(IFERROR(INDEX(tsk_Name,GanttView[[#This Row],[_Row]])="",TRUE()),"",INDEX(tsk_WBS,GanttView[[#This Row],[_Row]]))</f>
        <v/>
      </c>
      <c r="C37" s="84" t="str">
        <f aca="false">IF(IFERROR(INDEX(tsk_Name,GanttView[[#This Row],[_Row]])="",TRUE()),"",REPT("    ",INDEX(tsk_Level,GanttView[[#This Row],[_Row]])-1)&amp;INDEX(tsk_Name,GanttView[[#This Row],[_Row]]))</f>
        <v/>
      </c>
      <c r="D3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85" t="str">
        <f aca="false">IF(IFERROR(INDEX(tsk_Name,GanttView[[#This Row],[_Row]])="",TRUE()),"",INDEX(tsk_PlanStart,GanttView[[#This Row],[_Row]]))</f>
        <v/>
      </c>
      <c r="F37" s="85" t="str">
        <f aca="false">IF(IFERROR(INDEX(tsk_Name,GanttView[[#This Row],[_Row]])="",TRUE()),"",INDEX(tsk_PlanFinish,GanttView[[#This Row],[_Row]]))</f>
        <v/>
      </c>
      <c r="G37" s="85" t="str">
        <f aca="false">IF(IFERROR(INDEX(tsk_Name,GanttView[[#This Row],[_Row]])="",TRUE()),"",INDEX(tsk_FcStart,GanttView[[#This Row],[_Row]]))</f>
        <v/>
      </c>
      <c r="H37" s="85" t="str">
        <f aca="false">IF(IFERROR(INDEX(tsk_Name,GanttView[[#This Row],[_Row]])="",TRUE()),"",INDEX(tsk_FcFinish,GanttView[[#This Row],[_Row]]))</f>
        <v/>
      </c>
      <c r="I37" s="86" t="str">
        <f aca="false">IF(IFERROR(INDEX(tsk_Name,GanttView[[#This Row],[_Row]])="",TRUE()),"",INDEX(tsk_Progress,GanttView[[#This Row],[_Row]]))</f>
        <v/>
      </c>
      <c r="J37" s="84" t="str">
        <f aca="false">IF(IFERROR(INDEX(tsk_Name,GanttView[[#This Row],[_Row]])="",TRUE()),"",INDEX(tsk_Resource,GanttView[[#This Row],[_Row]])&amp;"")</f>
        <v/>
      </c>
      <c r="K37" s="83" t="str">
        <f aca="false">IF(IFERROR(INDEX(tsk_Name,GanttView[[#This Row],[_Row]])="",TRUE()),"",INDEX(tsk_Status,GanttView[[#This Row],[_Row]]))</f>
        <v/>
      </c>
      <c r="L37" s="87" t="n">
        <f aca="false">ROW()-ROW(GanttView[[#Headers],[ID]])</f>
        <v>32</v>
      </c>
      <c r="M37" s="88" t="b">
        <f aca="false">IF(IFERROR(INDEX(tsk_Name,GanttView[[#This Row],[_Row]])="",TRUE()),FALSE(),INDEX(tsk_IsSummary,GanttView[[#This Row],[_Row]]))</f>
        <v>0</v>
      </c>
      <c r="N37" s="88" t="b">
        <f aca="false">IF(IFERROR(INDEX(tsk_Name,GanttView[[#This Row],[_Row]])="",TRUE()),FALSE(),AND(INDEX(tsk_IsLeaf,GanttView[[#This Row],[_Row]])=1,N(INDEX(tsk_Duration,GanttView[[#This Row],[_Row]]))=0))</f>
        <v>0</v>
      </c>
      <c r="O3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89" t="n">
        <f aca="false">IF(GanttView[[#This Row],[_RemFrom]]=0,0,GanttView[[#This Row],[Forecast Finish]])</f>
        <v>0</v>
      </c>
      <c r="S37" s="88" t="b">
        <f aca="false">IF(IFERROR(INDEX(tsk_Name,GanttView[[#This Row],[_Row]])="",TRUE()),FALSE(),N(INDEX(tsk_Variance,GanttView[[#This Row],[_Row]]))&gt;0)</f>
        <v>0</v>
      </c>
      <c r="T37" s="89" t="n">
        <f aca="false">IF(IFERROR(INDEX(tsk_Name,GanttView[[#This Row],[_Row]])="",TRUE()),0,N(INDEX(tsk_Deadline,GanttView[[#This Row],[_Row]])))</f>
        <v>0</v>
      </c>
      <c r="U37" s="88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83" t="str">
        <f aca="false">IF(IFERROR(INDEX(tsk_Name,GanttView[[#This Row],[_Row]])="",TRUE()),"",INDEX(tsk_ID,GanttView[[#This Row],[_Row]]))</f>
        <v/>
      </c>
      <c r="B38" s="83" t="str">
        <f aca="false">IF(IFERROR(INDEX(tsk_Name,GanttView[[#This Row],[_Row]])="",TRUE()),"",INDEX(tsk_WBS,GanttView[[#This Row],[_Row]]))</f>
        <v/>
      </c>
      <c r="C38" s="84" t="str">
        <f aca="false">IF(IFERROR(INDEX(tsk_Name,GanttView[[#This Row],[_Row]])="",TRUE()),"",REPT("    ",INDEX(tsk_Level,GanttView[[#This Row],[_Row]])-1)&amp;INDEX(tsk_Name,GanttView[[#This Row],[_Row]]))</f>
        <v/>
      </c>
      <c r="D3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85" t="str">
        <f aca="false">IF(IFERROR(INDEX(tsk_Name,GanttView[[#This Row],[_Row]])="",TRUE()),"",INDEX(tsk_PlanStart,GanttView[[#This Row],[_Row]]))</f>
        <v/>
      </c>
      <c r="F38" s="85" t="str">
        <f aca="false">IF(IFERROR(INDEX(tsk_Name,GanttView[[#This Row],[_Row]])="",TRUE()),"",INDEX(tsk_PlanFinish,GanttView[[#This Row],[_Row]]))</f>
        <v/>
      </c>
      <c r="G38" s="85" t="str">
        <f aca="false">IF(IFERROR(INDEX(tsk_Name,GanttView[[#This Row],[_Row]])="",TRUE()),"",INDEX(tsk_FcStart,GanttView[[#This Row],[_Row]]))</f>
        <v/>
      </c>
      <c r="H38" s="85" t="str">
        <f aca="false">IF(IFERROR(INDEX(tsk_Name,GanttView[[#This Row],[_Row]])="",TRUE()),"",INDEX(tsk_FcFinish,GanttView[[#This Row],[_Row]]))</f>
        <v/>
      </c>
      <c r="I38" s="86" t="str">
        <f aca="false">IF(IFERROR(INDEX(tsk_Name,GanttView[[#This Row],[_Row]])="",TRUE()),"",INDEX(tsk_Progress,GanttView[[#This Row],[_Row]]))</f>
        <v/>
      </c>
      <c r="J38" s="84" t="str">
        <f aca="false">IF(IFERROR(INDEX(tsk_Name,GanttView[[#This Row],[_Row]])="",TRUE()),"",INDEX(tsk_Resource,GanttView[[#This Row],[_Row]])&amp;"")</f>
        <v/>
      </c>
      <c r="K38" s="83" t="str">
        <f aca="false">IF(IFERROR(INDEX(tsk_Name,GanttView[[#This Row],[_Row]])="",TRUE()),"",INDEX(tsk_Status,GanttView[[#This Row],[_Row]]))</f>
        <v/>
      </c>
      <c r="L38" s="87" t="n">
        <f aca="false">ROW()-ROW(GanttView[[#Headers],[ID]])</f>
        <v>33</v>
      </c>
      <c r="M38" s="88" t="b">
        <f aca="false">IF(IFERROR(INDEX(tsk_Name,GanttView[[#This Row],[_Row]])="",TRUE()),FALSE(),INDEX(tsk_IsSummary,GanttView[[#This Row],[_Row]]))</f>
        <v>0</v>
      </c>
      <c r="N38" s="88" t="b">
        <f aca="false">IF(IFERROR(INDEX(tsk_Name,GanttView[[#This Row],[_Row]])="",TRUE()),FALSE(),AND(INDEX(tsk_IsLeaf,GanttView[[#This Row],[_Row]])=1,N(INDEX(tsk_Duration,GanttView[[#This Row],[_Row]]))=0))</f>
        <v>0</v>
      </c>
      <c r="O3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89" t="n">
        <f aca="false">IF(GanttView[[#This Row],[_RemFrom]]=0,0,GanttView[[#This Row],[Forecast Finish]])</f>
        <v>0</v>
      </c>
      <c r="S38" s="88" t="b">
        <f aca="false">IF(IFERROR(INDEX(tsk_Name,GanttView[[#This Row],[_Row]])="",TRUE()),FALSE(),N(INDEX(tsk_Variance,GanttView[[#This Row],[_Row]]))&gt;0)</f>
        <v>0</v>
      </c>
      <c r="T38" s="89" t="n">
        <f aca="false">IF(IFERROR(INDEX(tsk_Name,GanttView[[#This Row],[_Row]])="",TRUE()),0,N(INDEX(tsk_Deadline,GanttView[[#This Row],[_Row]])))</f>
        <v>0</v>
      </c>
      <c r="U38" s="88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83" t="str">
        <f aca="false">IF(IFERROR(INDEX(tsk_Name,GanttView[[#This Row],[_Row]])="",TRUE()),"",INDEX(tsk_ID,GanttView[[#This Row],[_Row]]))</f>
        <v/>
      </c>
      <c r="B39" s="83" t="str">
        <f aca="false">IF(IFERROR(INDEX(tsk_Name,GanttView[[#This Row],[_Row]])="",TRUE()),"",INDEX(tsk_WBS,GanttView[[#This Row],[_Row]]))</f>
        <v/>
      </c>
      <c r="C39" s="84" t="str">
        <f aca="false">IF(IFERROR(INDEX(tsk_Name,GanttView[[#This Row],[_Row]])="",TRUE()),"",REPT("    ",INDEX(tsk_Level,GanttView[[#This Row],[_Row]])-1)&amp;INDEX(tsk_Name,GanttView[[#This Row],[_Row]]))</f>
        <v/>
      </c>
      <c r="D3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85" t="str">
        <f aca="false">IF(IFERROR(INDEX(tsk_Name,GanttView[[#This Row],[_Row]])="",TRUE()),"",INDEX(tsk_PlanStart,GanttView[[#This Row],[_Row]]))</f>
        <v/>
      </c>
      <c r="F39" s="85" t="str">
        <f aca="false">IF(IFERROR(INDEX(tsk_Name,GanttView[[#This Row],[_Row]])="",TRUE()),"",INDEX(tsk_PlanFinish,GanttView[[#This Row],[_Row]]))</f>
        <v/>
      </c>
      <c r="G39" s="85" t="str">
        <f aca="false">IF(IFERROR(INDEX(tsk_Name,GanttView[[#This Row],[_Row]])="",TRUE()),"",INDEX(tsk_FcStart,GanttView[[#This Row],[_Row]]))</f>
        <v/>
      </c>
      <c r="H39" s="85" t="str">
        <f aca="false">IF(IFERROR(INDEX(tsk_Name,GanttView[[#This Row],[_Row]])="",TRUE()),"",INDEX(tsk_FcFinish,GanttView[[#This Row],[_Row]]))</f>
        <v/>
      </c>
      <c r="I39" s="86" t="str">
        <f aca="false">IF(IFERROR(INDEX(tsk_Name,GanttView[[#This Row],[_Row]])="",TRUE()),"",INDEX(tsk_Progress,GanttView[[#This Row],[_Row]]))</f>
        <v/>
      </c>
      <c r="J39" s="84" t="str">
        <f aca="false">IF(IFERROR(INDEX(tsk_Name,GanttView[[#This Row],[_Row]])="",TRUE()),"",INDEX(tsk_Resource,GanttView[[#This Row],[_Row]])&amp;"")</f>
        <v/>
      </c>
      <c r="K39" s="83" t="str">
        <f aca="false">IF(IFERROR(INDEX(tsk_Name,GanttView[[#This Row],[_Row]])="",TRUE()),"",INDEX(tsk_Status,GanttView[[#This Row],[_Row]]))</f>
        <v/>
      </c>
      <c r="L39" s="87" t="n">
        <f aca="false">ROW()-ROW(GanttView[[#Headers],[ID]])</f>
        <v>34</v>
      </c>
      <c r="M39" s="88" t="b">
        <f aca="false">IF(IFERROR(INDEX(tsk_Name,GanttView[[#This Row],[_Row]])="",TRUE()),FALSE(),INDEX(tsk_IsSummary,GanttView[[#This Row],[_Row]]))</f>
        <v>0</v>
      </c>
      <c r="N39" s="88" t="b">
        <f aca="false">IF(IFERROR(INDEX(tsk_Name,GanttView[[#This Row],[_Row]])="",TRUE()),FALSE(),AND(INDEX(tsk_IsLeaf,GanttView[[#This Row],[_Row]])=1,N(INDEX(tsk_Duration,GanttView[[#This Row],[_Row]]))=0))</f>
        <v>0</v>
      </c>
      <c r="O3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89" t="n">
        <f aca="false">IF(GanttView[[#This Row],[_RemFrom]]=0,0,GanttView[[#This Row],[Forecast Finish]])</f>
        <v>0</v>
      </c>
      <c r="S39" s="88" t="b">
        <f aca="false">IF(IFERROR(INDEX(tsk_Name,GanttView[[#This Row],[_Row]])="",TRUE()),FALSE(),N(INDEX(tsk_Variance,GanttView[[#This Row],[_Row]]))&gt;0)</f>
        <v>0</v>
      </c>
      <c r="T39" s="89" t="n">
        <f aca="false">IF(IFERROR(INDEX(tsk_Name,GanttView[[#This Row],[_Row]])="",TRUE()),0,N(INDEX(tsk_Deadline,GanttView[[#This Row],[_Row]])))</f>
        <v>0</v>
      </c>
      <c r="U39" s="88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83" t="str">
        <f aca="false">IF(IFERROR(INDEX(tsk_Name,GanttView[[#This Row],[_Row]])="",TRUE()),"",INDEX(tsk_ID,GanttView[[#This Row],[_Row]]))</f>
        <v/>
      </c>
      <c r="B40" s="83" t="str">
        <f aca="false">IF(IFERROR(INDEX(tsk_Name,GanttView[[#This Row],[_Row]])="",TRUE()),"",INDEX(tsk_WBS,GanttView[[#This Row],[_Row]]))</f>
        <v/>
      </c>
      <c r="C40" s="84" t="str">
        <f aca="false">IF(IFERROR(INDEX(tsk_Name,GanttView[[#This Row],[_Row]])="",TRUE()),"",REPT("    ",INDEX(tsk_Level,GanttView[[#This Row],[_Row]])-1)&amp;INDEX(tsk_Name,GanttView[[#This Row],[_Row]]))</f>
        <v/>
      </c>
      <c r="D4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85" t="str">
        <f aca="false">IF(IFERROR(INDEX(tsk_Name,GanttView[[#This Row],[_Row]])="",TRUE()),"",INDEX(tsk_PlanStart,GanttView[[#This Row],[_Row]]))</f>
        <v/>
      </c>
      <c r="F40" s="85" t="str">
        <f aca="false">IF(IFERROR(INDEX(tsk_Name,GanttView[[#This Row],[_Row]])="",TRUE()),"",INDEX(tsk_PlanFinish,GanttView[[#This Row],[_Row]]))</f>
        <v/>
      </c>
      <c r="G40" s="85" t="str">
        <f aca="false">IF(IFERROR(INDEX(tsk_Name,GanttView[[#This Row],[_Row]])="",TRUE()),"",INDEX(tsk_FcStart,GanttView[[#This Row],[_Row]]))</f>
        <v/>
      </c>
      <c r="H40" s="85" t="str">
        <f aca="false">IF(IFERROR(INDEX(tsk_Name,GanttView[[#This Row],[_Row]])="",TRUE()),"",INDEX(tsk_FcFinish,GanttView[[#This Row],[_Row]]))</f>
        <v/>
      </c>
      <c r="I40" s="86" t="str">
        <f aca="false">IF(IFERROR(INDEX(tsk_Name,GanttView[[#This Row],[_Row]])="",TRUE()),"",INDEX(tsk_Progress,GanttView[[#This Row],[_Row]]))</f>
        <v/>
      </c>
      <c r="J40" s="84" t="str">
        <f aca="false">IF(IFERROR(INDEX(tsk_Name,GanttView[[#This Row],[_Row]])="",TRUE()),"",INDEX(tsk_Resource,GanttView[[#This Row],[_Row]])&amp;"")</f>
        <v/>
      </c>
      <c r="K40" s="83" t="str">
        <f aca="false">IF(IFERROR(INDEX(tsk_Name,GanttView[[#This Row],[_Row]])="",TRUE()),"",INDEX(tsk_Status,GanttView[[#This Row],[_Row]]))</f>
        <v/>
      </c>
      <c r="L40" s="87" t="n">
        <f aca="false">ROW()-ROW(GanttView[[#Headers],[ID]])</f>
        <v>35</v>
      </c>
      <c r="M40" s="88" t="b">
        <f aca="false">IF(IFERROR(INDEX(tsk_Name,GanttView[[#This Row],[_Row]])="",TRUE()),FALSE(),INDEX(tsk_IsSummary,GanttView[[#This Row],[_Row]]))</f>
        <v>0</v>
      </c>
      <c r="N40" s="88" t="b">
        <f aca="false">IF(IFERROR(INDEX(tsk_Name,GanttView[[#This Row],[_Row]])="",TRUE()),FALSE(),AND(INDEX(tsk_IsLeaf,GanttView[[#This Row],[_Row]])=1,N(INDEX(tsk_Duration,GanttView[[#This Row],[_Row]]))=0))</f>
        <v>0</v>
      </c>
      <c r="O4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89" t="n">
        <f aca="false">IF(GanttView[[#This Row],[_RemFrom]]=0,0,GanttView[[#This Row],[Forecast Finish]])</f>
        <v>0</v>
      </c>
      <c r="S40" s="88" t="b">
        <f aca="false">IF(IFERROR(INDEX(tsk_Name,GanttView[[#This Row],[_Row]])="",TRUE()),FALSE(),N(INDEX(tsk_Variance,GanttView[[#This Row],[_Row]]))&gt;0)</f>
        <v>0</v>
      </c>
      <c r="T40" s="89" t="n">
        <f aca="false">IF(IFERROR(INDEX(tsk_Name,GanttView[[#This Row],[_Row]])="",TRUE()),0,N(INDEX(tsk_Deadline,GanttView[[#This Row],[_Row]])))</f>
        <v>0</v>
      </c>
      <c r="U40" s="88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83" t="str">
        <f aca="false">IF(IFERROR(INDEX(tsk_Name,GanttView[[#This Row],[_Row]])="",TRUE()),"",INDEX(tsk_ID,GanttView[[#This Row],[_Row]]))</f>
        <v/>
      </c>
      <c r="B41" s="83" t="str">
        <f aca="false">IF(IFERROR(INDEX(tsk_Name,GanttView[[#This Row],[_Row]])="",TRUE()),"",INDEX(tsk_WBS,GanttView[[#This Row],[_Row]]))</f>
        <v/>
      </c>
      <c r="C41" s="84" t="str">
        <f aca="false">IF(IFERROR(INDEX(tsk_Name,GanttView[[#This Row],[_Row]])="",TRUE()),"",REPT("    ",INDEX(tsk_Level,GanttView[[#This Row],[_Row]])-1)&amp;INDEX(tsk_Name,GanttView[[#This Row],[_Row]]))</f>
        <v/>
      </c>
      <c r="D4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85" t="str">
        <f aca="false">IF(IFERROR(INDEX(tsk_Name,GanttView[[#This Row],[_Row]])="",TRUE()),"",INDEX(tsk_PlanStart,GanttView[[#This Row],[_Row]]))</f>
        <v/>
      </c>
      <c r="F41" s="85" t="str">
        <f aca="false">IF(IFERROR(INDEX(tsk_Name,GanttView[[#This Row],[_Row]])="",TRUE()),"",INDEX(tsk_PlanFinish,GanttView[[#This Row],[_Row]]))</f>
        <v/>
      </c>
      <c r="G41" s="85" t="str">
        <f aca="false">IF(IFERROR(INDEX(tsk_Name,GanttView[[#This Row],[_Row]])="",TRUE()),"",INDEX(tsk_FcStart,GanttView[[#This Row],[_Row]]))</f>
        <v/>
      </c>
      <c r="H41" s="85" t="str">
        <f aca="false">IF(IFERROR(INDEX(tsk_Name,GanttView[[#This Row],[_Row]])="",TRUE()),"",INDEX(tsk_FcFinish,GanttView[[#This Row],[_Row]]))</f>
        <v/>
      </c>
      <c r="I41" s="86" t="str">
        <f aca="false">IF(IFERROR(INDEX(tsk_Name,GanttView[[#This Row],[_Row]])="",TRUE()),"",INDEX(tsk_Progress,GanttView[[#This Row],[_Row]]))</f>
        <v/>
      </c>
      <c r="J41" s="84" t="str">
        <f aca="false">IF(IFERROR(INDEX(tsk_Name,GanttView[[#This Row],[_Row]])="",TRUE()),"",INDEX(tsk_Resource,GanttView[[#This Row],[_Row]])&amp;"")</f>
        <v/>
      </c>
      <c r="K41" s="83" t="str">
        <f aca="false">IF(IFERROR(INDEX(tsk_Name,GanttView[[#This Row],[_Row]])="",TRUE()),"",INDEX(tsk_Status,GanttView[[#This Row],[_Row]]))</f>
        <v/>
      </c>
      <c r="L41" s="87" t="n">
        <f aca="false">ROW()-ROW(GanttView[[#Headers],[ID]])</f>
        <v>36</v>
      </c>
      <c r="M41" s="88" t="b">
        <f aca="false">IF(IFERROR(INDEX(tsk_Name,GanttView[[#This Row],[_Row]])="",TRUE()),FALSE(),INDEX(tsk_IsSummary,GanttView[[#This Row],[_Row]]))</f>
        <v>0</v>
      </c>
      <c r="N41" s="88" t="b">
        <f aca="false">IF(IFERROR(INDEX(tsk_Name,GanttView[[#This Row],[_Row]])="",TRUE()),FALSE(),AND(INDEX(tsk_IsLeaf,GanttView[[#This Row],[_Row]])=1,N(INDEX(tsk_Duration,GanttView[[#This Row],[_Row]]))=0))</f>
        <v>0</v>
      </c>
      <c r="O4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89" t="n">
        <f aca="false">IF(GanttView[[#This Row],[_RemFrom]]=0,0,GanttView[[#This Row],[Forecast Finish]])</f>
        <v>0</v>
      </c>
      <c r="S41" s="88" t="b">
        <f aca="false">IF(IFERROR(INDEX(tsk_Name,GanttView[[#This Row],[_Row]])="",TRUE()),FALSE(),N(INDEX(tsk_Variance,GanttView[[#This Row],[_Row]]))&gt;0)</f>
        <v>0</v>
      </c>
      <c r="T41" s="89" t="n">
        <f aca="false">IF(IFERROR(INDEX(tsk_Name,GanttView[[#This Row],[_Row]])="",TRUE()),0,N(INDEX(tsk_Deadline,GanttView[[#This Row],[_Row]])))</f>
        <v>0</v>
      </c>
      <c r="U41" s="88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83" t="str">
        <f aca="false">IF(IFERROR(INDEX(tsk_Name,GanttView[[#This Row],[_Row]])="",TRUE()),"",INDEX(tsk_ID,GanttView[[#This Row],[_Row]]))</f>
        <v/>
      </c>
      <c r="B42" s="83" t="str">
        <f aca="false">IF(IFERROR(INDEX(tsk_Name,GanttView[[#This Row],[_Row]])="",TRUE()),"",INDEX(tsk_WBS,GanttView[[#This Row],[_Row]]))</f>
        <v/>
      </c>
      <c r="C42" s="84" t="str">
        <f aca="false">IF(IFERROR(INDEX(tsk_Name,GanttView[[#This Row],[_Row]])="",TRUE()),"",REPT("    ",INDEX(tsk_Level,GanttView[[#This Row],[_Row]])-1)&amp;INDEX(tsk_Name,GanttView[[#This Row],[_Row]]))</f>
        <v/>
      </c>
      <c r="D4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85" t="str">
        <f aca="false">IF(IFERROR(INDEX(tsk_Name,GanttView[[#This Row],[_Row]])="",TRUE()),"",INDEX(tsk_PlanStart,GanttView[[#This Row],[_Row]]))</f>
        <v/>
      </c>
      <c r="F42" s="85" t="str">
        <f aca="false">IF(IFERROR(INDEX(tsk_Name,GanttView[[#This Row],[_Row]])="",TRUE()),"",INDEX(tsk_PlanFinish,GanttView[[#This Row],[_Row]]))</f>
        <v/>
      </c>
      <c r="G42" s="85" t="str">
        <f aca="false">IF(IFERROR(INDEX(tsk_Name,GanttView[[#This Row],[_Row]])="",TRUE()),"",INDEX(tsk_FcStart,GanttView[[#This Row],[_Row]]))</f>
        <v/>
      </c>
      <c r="H42" s="85" t="str">
        <f aca="false">IF(IFERROR(INDEX(tsk_Name,GanttView[[#This Row],[_Row]])="",TRUE()),"",INDEX(tsk_FcFinish,GanttView[[#This Row],[_Row]]))</f>
        <v/>
      </c>
      <c r="I42" s="86" t="str">
        <f aca="false">IF(IFERROR(INDEX(tsk_Name,GanttView[[#This Row],[_Row]])="",TRUE()),"",INDEX(tsk_Progress,GanttView[[#This Row],[_Row]]))</f>
        <v/>
      </c>
      <c r="J42" s="84" t="str">
        <f aca="false">IF(IFERROR(INDEX(tsk_Name,GanttView[[#This Row],[_Row]])="",TRUE()),"",INDEX(tsk_Resource,GanttView[[#This Row],[_Row]])&amp;"")</f>
        <v/>
      </c>
      <c r="K42" s="83" t="str">
        <f aca="false">IF(IFERROR(INDEX(tsk_Name,GanttView[[#This Row],[_Row]])="",TRUE()),"",INDEX(tsk_Status,GanttView[[#This Row],[_Row]]))</f>
        <v/>
      </c>
      <c r="L42" s="87" t="n">
        <f aca="false">ROW()-ROW(GanttView[[#Headers],[ID]])</f>
        <v>37</v>
      </c>
      <c r="M42" s="88" t="b">
        <f aca="false">IF(IFERROR(INDEX(tsk_Name,GanttView[[#This Row],[_Row]])="",TRUE()),FALSE(),INDEX(tsk_IsSummary,GanttView[[#This Row],[_Row]]))</f>
        <v>0</v>
      </c>
      <c r="N42" s="88" t="b">
        <f aca="false">IF(IFERROR(INDEX(tsk_Name,GanttView[[#This Row],[_Row]])="",TRUE()),FALSE(),AND(INDEX(tsk_IsLeaf,GanttView[[#This Row],[_Row]])=1,N(INDEX(tsk_Duration,GanttView[[#This Row],[_Row]]))=0))</f>
        <v>0</v>
      </c>
      <c r="O4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89" t="n">
        <f aca="false">IF(GanttView[[#This Row],[_RemFrom]]=0,0,GanttView[[#This Row],[Forecast Finish]])</f>
        <v>0</v>
      </c>
      <c r="S42" s="88" t="b">
        <f aca="false">IF(IFERROR(INDEX(tsk_Name,GanttView[[#This Row],[_Row]])="",TRUE()),FALSE(),N(INDEX(tsk_Variance,GanttView[[#This Row],[_Row]]))&gt;0)</f>
        <v>0</v>
      </c>
      <c r="T42" s="89" t="n">
        <f aca="false">IF(IFERROR(INDEX(tsk_Name,GanttView[[#This Row],[_Row]])="",TRUE()),0,N(INDEX(tsk_Deadline,GanttView[[#This Row],[_Row]])))</f>
        <v>0</v>
      </c>
      <c r="U42" s="88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83" t="str">
        <f aca="false">IF(IFERROR(INDEX(tsk_Name,GanttView[[#This Row],[_Row]])="",TRUE()),"",INDEX(tsk_ID,GanttView[[#This Row],[_Row]]))</f>
        <v/>
      </c>
      <c r="B43" s="83" t="str">
        <f aca="false">IF(IFERROR(INDEX(tsk_Name,GanttView[[#This Row],[_Row]])="",TRUE()),"",INDEX(tsk_WBS,GanttView[[#This Row],[_Row]]))</f>
        <v/>
      </c>
      <c r="C43" s="84" t="str">
        <f aca="false">IF(IFERROR(INDEX(tsk_Name,GanttView[[#This Row],[_Row]])="",TRUE()),"",REPT("    ",INDEX(tsk_Level,GanttView[[#This Row],[_Row]])-1)&amp;INDEX(tsk_Name,GanttView[[#This Row],[_Row]]))</f>
        <v/>
      </c>
      <c r="D4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85" t="str">
        <f aca="false">IF(IFERROR(INDEX(tsk_Name,GanttView[[#This Row],[_Row]])="",TRUE()),"",INDEX(tsk_PlanStart,GanttView[[#This Row],[_Row]]))</f>
        <v/>
      </c>
      <c r="F43" s="85" t="str">
        <f aca="false">IF(IFERROR(INDEX(tsk_Name,GanttView[[#This Row],[_Row]])="",TRUE()),"",INDEX(tsk_PlanFinish,GanttView[[#This Row],[_Row]]))</f>
        <v/>
      </c>
      <c r="G43" s="85" t="str">
        <f aca="false">IF(IFERROR(INDEX(tsk_Name,GanttView[[#This Row],[_Row]])="",TRUE()),"",INDEX(tsk_FcStart,GanttView[[#This Row],[_Row]]))</f>
        <v/>
      </c>
      <c r="H43" s="85" t="str">
        <f aca="false">IF(IFERROR(INDEX(tsk_Name,GanttView[[#This Row],[_Row]])="",TRUE()),"",INDEX(tsk_FcFinish,GanttView[[#This Row],[_Row]]))</f>
        <v/>
      </c>
      <c r="I43" s="86" t="str">
        <f aca="false">IF(IFERROR(INDEX(tsk_Name,GanttView[[#This Row],[_Row]])="",TRUE()),"",INDEX(tsk_Progress,GanttView[[#This Row],[_Row]]))</f>
        <v/>
      </c>
      <c r="J43" s="84" t="str">
        <f aca="false">IF(IFERROR(INDEX(tsk_Name,GanttView[[#This Row],[_Row]])="",TRUE()),"",INDEX(tsk_Resource,GanttView[[#This Row],[_Row]])&amp;"")</f>
        <v/>
      </c>
      <c r="K43" s="83" t="str">
        <f aca="false">IF(IFERROR(INDEX(tsk_Name,GanttView[[#This Row],[_Row]])="",TRUE()),"",INDEX(tsk_Status,GanttView[[#This Row],[_Row]]))</f>
        <v/>
      </c>
      <c r="L43" s="87" t="n">
        <f aca="false">ROW()-ROW(GanttView[[#Headers],[ID]])</f>
        <v>38</v>
      </c>
      <c r="M43" s="88" t="b">
        <f aca="false">IF(IFERROR(INDEX(tsk_Name,GanttView[[#This Row],[_Row]])="",TRUE()),FALSE(),INDEX(tsk_IsSummary,GanttView[[#This Row],[_Row]]))</f>
        <v>0</v>
      </c>
      <c r="N43" s="88" t="b">
        <f aca="false">IF(IFERROR(INDEX(tsk_Name,GanttView[[#This Row],[_Row]])="",TRUE()),FALSE(),AND(INDEX(tsk_IsLeaf,GanttView[[#This Row],[_Row]])=1,N(INDEX(tsk_Duration,GanttView[[#This Row],[_Row]]))=0))</f>
        <v>0</v>
      </c>
      <c r="O4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89" t="n">
        <f aca="false">IF(GanttView[[#This Row],[_RemFrom]]=0,0,GanttView[[#This Row],[Forecast Finish]])</f>
        <v>0</v>
      </c>
      <c r="S43" s="88" t="b">
        <f aca="false">IF(IFERROR(INDEX(tsk_Name,GanttView[[#This Row],[_Row]])="",TRUE()),FALSE(),N(INDEX(tsk_Variance,GanttView[[#This Row],[_Row]]))&gt;0)</f>
        <v>0</v>
      </c>
      <c r="T43" s="89" t="n">
        <f aca="false">IF(IFERROR(INDEX(tsk_Name,GanttView[[#This Row],[_Row]])="",TRUE()),0,N(INDEX(tsk_Deadline,GanttView[[#This Row],[_Row]])))</f>
        <v>0</v>
      </c>
      <c r="U43" s="88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83" t="str">
        <f aca="false">IF(IFERROR(INDEX(tsk_Name,GanttView[[#This Row],[_Row]])="",TRUE()),"",INDEX(tsk_ID,GanttView[[#This Row],[_Row]]))</f>
        <v/>
      </c>
      <c r="B44" s="83" t="str">
        <f aca="false">IF(IFERROR(INDEX(tsk_Name,GanttView[[#This Row],[_Row]])="",TRUE()),"",INDEX(tsk_WBS,GanttView[[#This Row],[_Row]]))</f>
        <v/>
      </c>
      <c r="C44" s="84" t="str">
        <f aca="false">IF(IFERROR(INDEX(tsk_Name,GanttView[[#This Row],[_Row]])="",TRUE()),"",REPT("    ",INDEX(tsk_Level,GanttView[[#This Row],[_Row]])-1)&amp;INDEX(tsk_Name,GanttView[[#This Row],[_Row]]))</f>
        <v/>
      </c>
      <c r="D4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85" t="str">
        <f aca="false">IF(IFERROR(INDEX(tsk_Name,GanttView[[#This Row],[_Row]])="",TRUE()),"",INDEX(tsk_PlanStart,GanttView[[#This Row],[_Row]]))</f>
        <v/>
      </c>
      <c r="F44" s="85" t="str">
        <f aca="false">IF(IFERROR(INDEX(tsk_Name,GanttView[[#This Row],[_Row]])="",TRUE()),"",INDEX(tsk_PlanFinish,GanttView[[#This Row],[_Row]]))</f>
        <v/>
      </c>
      <c r="G44" s="85" t="str">
        <f aca="false">IF(IFERROR(INDEX(tsk_Name,GanttView[[#This Row],[_Row]])="",TRUE()),"",INDEX(tsk_FcStart,GanttView[[#This Row],[_Row]]))</f>
        <v/>
      </c>
      <c r="H44" s="85" t="str">
        <f aca="false">IF(IFERROR(INDEX(tsk_Name,GanttView[[#This Row],[_Row]])="",TRUE()),"",INDEX(tsk_FcFinish,GanttView[[#This Row],[_Row]]))</f>
        <v/>
      </c>
      <c r="I44" s="86" t="str">
        <f aca="false">IF(IFERROR(INDEX(tsk_Name,GanttView[[#This Row],[_Row]])="",TRUE()),"",INDEX(tsk_Progress,GanttView[[#This Row],[_Row]]))</f>
        <v/>
      </c>
      <c r="J44" s="84" t="str">
        <f aca="false">IF(IFERROR(INDEX(tsk_Name,GanttView[[#This Row],[_Row]])="",TRUE()),"",INDEX(tsk_Resource,GanttView[[#This Row],[_Row]])&amp;"")</f>
        <v/>
      </c>
      <c r="K44" s="83" t="str">
        <f aca="false">IF(IFERROR(INDEX(tsk_Name,GanttView[[#This Row],[_Row]])="",TRUE()),"",INDEX(tsk_Status,GanttView[[#This Row],[_Row]]))</f>
        <v/>
      </c>
      <c r="L44" s="87" t="n">
        <f aca="false">ROW()-ROW(GanttView[[#Headers],[ID]])</f>
        <v>39</v>
      </c>
      <c r="M44" s="88" t="b">
        <f aca="false">IF(IFERROR(INDEX(tsk_Name,GanttView[[#This Row],[_Row]])="",TRUE()),FALSE(),INDEX(tsk_IsSummary,GanttView[[#This Row],[_Row]]))</f>
        <v>0</v>
      </c>
      <c r="N44" s="88" t="b">
        <f aca="false">IF(IFERROR(INDEX(tsk_Name,GanttView[[#This Row],[_Row]])="",TRUE()),FALSE(),AND(INDEX(tsk_IsLeaf,GanttView[[#This Row],[_Row]])=1,N(INDEX(tsk_Duration,GanttView[[#This Row],[_Row]]))=0))</f>
        <v>0</v>
      </c>
      <c r="O4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89" t="n">
        <f aca="false">IF(GanttView[[#This Row],[_RemFrom]]=0,0,GanttView[[#This Row],[Forecast Finish]])</f>
        <v>0</v>
      </c>
      <c r="S44" s="88" t="b">
        <f aca="false">IF(IFERROR(INDEX(tsk_Name,GanttView[[#This Row],[_Row]])="",TRUE()),FALSE(),N(INDEX(tsk_Variance,GanttView[[#This Row],[_Row]]))&gt;0)</f>
        <v>0</v>
      </c>
      <c r="T44" s="89" t="n">
        <f aca="false">IF(IFERROR(INDEX(tsk_Name,GanttView[[#This Row],[_Row]])="",TRUE()),0,N(INDEX(tsk_Deadline,GanttView[[#This Row],[_Row]])))</f>
        <v>0</v>
      </c>
      <c r="U44" s="88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83" t="str">
        <f aca="false">IF(IFERROR(INDEX(tsk_Name,GanttView[[#This Row],[_Row]])="",TRUE()),"",INDEX(tsk_ID,GanttView[[#This Row],[_Row]]))</f>
        <v/>
      </c>
      <c r="B45" s="83" t="str">
        <f aca="false">IF(IFERROR(INDEX(tsk_Name,GanttView[[#This Row],[_Row]])="",TRUE()),"",INDEX(tsk_WBS,GanttView[[#This Row],[_Row]]))</f>
        <v/>
      </c>
      <c r="C45" s="84" t="str">
        <f aca="false">IF(IFERROR(INDEX(tsk_Name,GanttView[[#This Row],[_Row]])="",TRUE()),"",REPT("    ",INDEX(tsk_Level,GanttView[[#This Row],[_Row]])-1)&amp;INDEX(tsk_Name,GanttView[[#This Row],[_Row]]))</f>
        <v/>
      </c>
      <c r="D4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85" t="str">
        <f aca="false">IF(IFERROR(INDEX(tsk_Name,GanttView[[#This Row],[_Row]])="",TRUE()),"",INDEX(tsk_PlanStart,GanttView[[#This Row],[_Row]]))</f>
        <v/>
      </c>
      <c r="F45" s="85" t="str">
        <f aca="false">IF(IFERROR(INDEX(tsk_Name,GanttView[[#This Row],[_Row]])="",TRUE()),"",INDEX(tsk_PlanFinish,GanttView[[#This Row],[_Row]]))</f>
        <v/>
      </c>
      <c r="G45" s="85" t="str">
        <f aca="false">IF(IFERROR(INDEX(tsk_Name,GanttView[[#This Row],[_Row]])="",TRUE()),"",INDEX(tsk_FcStart,GanttView[[#This Row],[_Row]]))</f>
        <v/>
      </c>
      <c r="H45" s="85" t="str">
        <f aca="false">IF(IFERROR(INDEX(tsk_Name,GanttView[[#This Row],[_Row]])="",TRUE()),"",INDEX(tsk_FcFinish,GanttView[[#This Row],[_Row]]))</f>
        <v/>
      </c>
      <c r="I45" s="86" t="str">
        <f aca="false">IF(IFERROR(INDEX(tsk_Name,GanttView[[#This Row],[_Row]])="",TRUE()),"",INDEX(tsk_Progress,GanttView[[#This Row],[_Row]]))</f>
        <v/>
      </c>
      <c r="J45" s="84" t="str">
        <f aca="false">IF(IFERROR(INDEX(tsk_Name,GanttView[[#This Row],[_Row]])="",TRUE()),"",INDEX(tsk_Resource,GanttView[[#This Row],[_Row]])&amp;"")</f>
        <v/>
      </c>
      <c r="K45" s="83" t="str">
        <f aca="false">IF(IFERROR(INDEX(tsk_Name,GanttView[[#This Row],[_Row]])="",TRUE()),"",INDEX(tsk_Status,GanttView[[#This Row],[_Row]]))</f>
        <v/>
      </c>
      <c r="L45" s="87" t="n">
        <f aca="false">ROW()-ROW(GanttView[[#Headers],[ID]])</f>
        <v>40</v>
      </c>
      <c r="M45" s="88" t="b">
        <f aca="false">IF(IFERROR(INDEX(tsk_Name,GanttView[[#This Row],[_Row]])="",TRUE()),FALSE(),INDEX(tsk_IsSummary,GanttView[[#This Row],[_Row]]))</f>
        <v>0</v>
      </c>
      <c r="N45" s="88" t="b">
        <f aca="false">IF(IFERROR(INDEX(tsk_Name,GanttView[[#This Row],[_Row]])="",TRUE()),FALSE(),AND(INDEX(tsk_IsLeaf,GanttView[[#This Row],[_Row]])=1,N(INDEX(tsk_Duration,GanttView[[#This Row],[_Row]]))=0))</f>
        <v>0</v>
      </c>
      <c r="O4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89" t="n">
        <f aca="false">IF(GanttView[[#This Row],[_RemFrom]]=0,0,GanttView[[#This Row],[Forecast Finish]])</f>
        <v>0</v>
      </c>
      <c r="S45" s="88" t="b">
        <f aca="false">IF(IFERROR(INDEX(tsk_Name,GanttView[[#This Row],[_Row]])="",TRUE()),FALSE(),N(INDEX(tsk_Variance,GanttView[[#This Row],[_Row]]))&gt;0)</f>
        <v>0</v>
      </c>
      <c r="T45" s="89" t="n">
        <f aca="false">IF(IFERROR(INDEX(tsk_Name,GanttView[[#This Row],[_Row]])="",TRUE()),0,N(INDEX(tsk_Deadline,GanttView[[#This Row],[_Row]])))</f>
        <v>0</v>
      </c>
      <c r="U45" s="88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83" t="str">
        <f aca="false">IF(IFERROR(INDEX(tsk_Name,GanttView[[#This Row],[_Row]])="",TRUE()),"",INDEX(tsk_ID,GanttView[[#This Row],[_Row]]))</f>
        <v/>
      </c>
      <c r="B46" s="83" t="str">
        <f aca="false">IF(IFERROR(INDEX(tsk_Name,GanttView[[#This Row],[_Row]])="",TRUE()),"",INDEX(tsk_WBS,GanttView[[#This Row],[_Row]]))</f>
        <v/>
      </c>
      <c r="C46" s="84" t="str">
        <f aca="false">IF(IFERROR(INDEX(tsk_Name,GanttView[[#This Row],[_Row]])="",TRUE()),"",REPT("    ",INDEX(tsk_Level,GanttView[[#This Row],[_Row]])-1)&amp;INDEX(tsk_Name,GanttView[[#This Row],[_Row]]))</f>
        <v/>
      </c>
      <c r="D4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85" t="str">
        <f aca="false">IF(IFERROR(INDEX(tsk_Name,GanttView[[#This Row],[_Row]])="",TRUE()),"",INDEX(tsk_PlanStart,GanttView[[#This Row],[_Row]]))</f>
        <v/>
      </c>
      <c r="F46" s="85" t="str">
        <f aca="false">IF(IFERROR(INDEX(tsk_Name,GanttView[[#This Row],[_Row]])="",TRUE()),"",INDEX(tsk_PlanFinish,GanttView[[#This Row],[_Row]]))</f>
        <v/>
      </c>
      <c r="G46" s="85" t="str">
        <f aca="false">IF(IFERROR(INDEX(tsk_Name,GanttView[[#This Row],[_Row]])="",TRUE()),"",INDEX(tsk_FcStart,GanttView[[#This Row],[_Row]]))</f>
        <v/>
      </c>
      <c r="H46" s="85" t="str">
        <f aca="false">IF(IFERROR(INDEX(tsk_Name,GanttView[[#This Row],[_Row]])="",TRUE()),"",INDEX(tsk_FcFinish,GanttView[[#This Row],[_Row]]))</f>
        <v/>
      </c>
      <c r="I46" s="86" t="str">
        <f aca="false">IF(IFERROR(INDEX(tsk_Name,GanttView[[#This Row],[_Row]])="",TRUE()),"",INDEX(tsk_Progress,GanttView[[#This Row],[_Row]]))</f>
        <v/>
      </c>
      <c r="J46" s="84" t="str">
        <f aca="false">IF(IFERROR(INDEX(tsk_Name,GanttView[[#This Row],[_Row]])="",TRUE()),"",INDEX(tsk_Resource,GanttView[[#This Row],[_Row]])&amp;"")</f>
        <v/>
      </c>
      <c r="K46" s="83" t="str">
        <f aca="false">IF(IFERROR(INDEX(tsk_Name,GanttView[[#This Row],[_Row]])="",TRUE()),"",INDEX(tsk_Status,GanttView[[#This Row],[_Row]]))</f>
        <v/>
      </c>
      <c r="L46" s="87" t="n">
        <f aca="false">ROW()-ROW(GanttView[[#Headers],[ID]])</f>
        <v>41</v>
      </c>
      <c r="M46" s="88" t="b">
        <f aca="false">IF(IFERROR(INDEX(tsk_Name,GanttView[[#This Row],[_Row]])="",TRUE()),FALSE(),INDEX(tsk_IsSummary,GanttView[[#This Row],[_Row]]))</f>
        <v>0</v>
      </c>
      <c r="N46" s="88" t="b">
        <f aca="false">IF(IFERROR(INDEX(tsk_Name,GanttView[[#This Row],[_Row]])="",TRUE()),FALSE(),AND(INDEX(tsk_IsLeaf,GanttView[[#This Row],[_Row]])=1,N(INDEX(tsk_Duration,GanttView[[#This Row],[_Row]]))=0))</f>
        <v>0</v>
      </c>
      <c r="O4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89" t="n">
        <f aca="false">IF(GanttView[[#This Row],[_RemFrom]]=0,0,GanttView[[#This Row],[Forecast Finish]])</f>
        <v>0</v>
      </c>
      <c r="S46" s="88" t="b">
        <f aca="false">IF(IFERROR(INDEX(tsk_Name,GanttView[[#This Row],[_Row]])="",TRUE()),FALSE(),N(INDEX(tsk_Variance,GanttView[[#This Row],[_Row]]))&gt;0)</f>
        <v>0</v>
      </c>
      <c r="T46" s="89" t="n">
        <f aca="false">IF(IFERROR(INDEX(tsk_Name,GanttView[[#This Row],[_Row]])="",TRUE()),0,N(INDEX(tsk_Deadline,GanttView[[#This Row],[_Row]])))</f>
        <v>0</v>
      </c>
      <c r="U46" s="88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83" t="str">
        <f aca="false">IF(IFERROR(INDEX(tsk_Name,GanttView[[#This Row],[_Row]])="",TRUE()),"",INDEX(tsk_ID,GanttView[[#This Row],[_Row]]))</f>
        <v/>
      </c>
      <c r="B47" s="83" t="str">
        <f aca="false">IF(IFERROR(INDEX(tsk_Name,GanttView[[#This Row],[_Row]])="",TRUE()),"",INDEX(tsk_WBS,GanttView[[#This Row],[_Row]]))</f>
        <v/>
      </c>
      <c r="C47" s="84" t="str">
        <f aca="false">IF(IFERROR(INDEX(tsk_Name,GanttView[[#This Row],[_Row]])="",TRUE()),"",REPT("    ",INDEX(tsk_Level,GanttView[[#This Row],[_Row]])-1)&amp;INDEX(tsk_Name,GanttView[[#This Row],[_Row]]))</f>
        <v/>
      </c>
      <c r="D4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85" t="str">
        <f aca="false">IF(IFERROR(INDEX(tsk_Name,GanttView[[#This Row],[_Row]])="",TRUE()),"",INDEX(tsk_PlanStart,GanttView[[#This Row],[_Row]]))</f>
        <v/>
      </c>
      <c r="F47" s="85" t="str">
        <f aca="false">IF(IFERROR(INDEX(tsk_Name,GanttView[[#This Row],[_Row]])="",TRUE()),"",INDEX(tsk_PlanFinish,GanttView[[#This Row],[_Row]]))</f>
        <v/>
      </c>
      <c r="G47" s="85" t="str">
        <f aca="false">IF(IFERROR(INDEX(tsk_Name,GanttView[[#This Row],[_Row]])="",TRUE()),"",INDEX(tsk_FcStart,GanttView[[#This Row],[_Row]]))</f>
        <v/>
      </c>
      <c r="H47" s="85" t="str">
        <f aca="false">IF(IFERROR(INDEX(tsk_Name,GanttView[[#This Row],[_Row]])="",TRUE()),"",INDEX(tsk_FcFinish,GanttView[[#This Row],[_Row]]))</f>
        <v/>
      </c>
      <c r="I47" s="86" t="str">
        <f aca="false">IF(IFERROR(INDEX(tsk_Name,GanttView[[#This Row],[_Row]])="",TRUE()),"",INDEX(tsk_Progress,GanttView[[#This Row],[_Row]]))</f>
        <v/>
      </c>
      <c r="J47" s="84" t="str">
        <f aca="false">IF(IFERROR(INDEX(tsk_Name,GanttView[[#This Row],[_Row]])="",TRUE()),"",INDEX(tsk_Resource,GanttView[[#This Row],[_Row]])&amp;"")</f>
        <v/>
      </c>
      <c r="K47" s="83" t="str">
        <f aca="false">IF(IFERROR(INDEX(tsk_Name,GanttView[[#This Row],[_Row]])="",TRUE()),"",INDEX(tsk_Status,GanttView[[#This Row],[_Row]]))</f>
        <v/>
      </c>
      <c r="L47" s="87" t="n">
        <f aca="false">ROW()-ROW(GanttView[[#Headers],[ID]])</f>
        <v>42</v>
      </c>
      <c r="M47" s="88" t="b">
        <f aca="false">IF(IFERROR(INDEX(tsk_Name,GanttView[[#This Row],[_Row]])="",TRUE()),FALSE(),INDEX(tsk_IsSummary,GanttView[[#This Row],[_Row]]))</f>
        <v>0</v>
      </c>
      <c r="N47" s="88" t="b">
        <f aca="false">IF(IFERROR(INDEX(tsk_Name,GanttView[[#This Row],[_Row]])="",TRUE()),FALSE(),AND(INDEX(tsk_IsLeaf,GanttView[[#This Row],[_Row]])=1,N(INDEX(tsk_Duration,GanttView[[#This Row],[_Row]]))=0))</f>
        <v>0</v>
      </c>
      <c r="O4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89" t="n">
        <f aca="false">IF(GanttView[[#This Row],[_RemFrom]]=0,0,GanttView[[#This Row],[Forecast Finish]])</f>
        <v>0</v>
      </c>
      <c r="S47" s="88" t="b">
        <f aca="false">IF(IFERROR(INDEX(tsk_Name,GanttView[[#This Row],[_Row]])="",TRUE()),FALSE(),N(INDEX(tsk_Variance,GanttView[[#This Row],[_Row]]))&gt;0)</f>
        <v>0</v>
      </c>
      <c r="T47" s="89" t="n">
        <f aca="false">IF(IFERROR(INDEX(tsk_Name,GanttView[[#This Row],[_Row]])="",TRUE()),0,N(INDEX(tsk_Deadline,GanttView[[#This Row],[_Row]])))</f>
        <v>0</v>
      </c>
      <c r="U47" s="88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83" t="str">
        <f aca="false">IF(IFERROR(INDEX(tsk_Name,GanttView[[#This Row],[_Row]])="",TRUE()),"",INDEX(tsk_ID,GanttView[[#This Row],[_Row]]))</f>
        <v/>
      </c>
      <c r="B48" s="83" t="str">
        <f aca="false">IF(IFERROR(INDEX(tsk_Name,GanttView[[#This Row],[_Row]])="",TRUE()),"",INDEX(tsk_WBS,GanttView[[#This Row],[_Row]]))</f>
        <v/>
      </c>
      <c r="C48" s="84" t="str">
        <f aca="false">IF(IFERROR(INDEX(tsk_Name,GanttView[[#This Row],[_Row]])="",TRUE()),"",REPT("    ",INDEX(tsk_Level,GanttView[[#This Row],[_Row]])-1)&amp;INDEX(tsk_Name,GanttView[[#This Row],[_Row]]))</f>
        <v/>
      </c>
      <c r="D4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85" t="str">
        <f aca="false">IF(IFERROR(INDEX(tsk_Name,GanttView[[#This Row],[_Row]])="",TRUE()),"",INDEX(tsk_PlanStart,GanttView[[#This Row],[_Row]]))</f>
        <v/>
      </c>
      <c r="F48" s="85" t="str">
        <f aca="false">IF(IFERROR(INDEX(tsk_Name,GanttView[[#This Row],[_Row]])="",TRUE()),"",INDEX(tsk_PlanFinish,GanttView[[#This Row],[_Row]]))</f>
        <v/>
      </c>
      <c r="G48" s="85" t="str">
        <f aca="false">IF(IFERROR(INDEX(tsk_Name,GanttView[[#This Row],[_Row]])="",TRUE()),"",INDEX(tsk_FcStart,GanttView[[#This Row],[_Row]]))</f>
        <v/>
      </c>
      <c r="H48" s="85" t="str">
        <f aca="false">IF(IFERROR(INDEX(tsk_Name,GanttView[[#This Row],[_Row]])="",TRUE()),"",INDEX(tsk_FcFinish,GanttView[[#This Row],[_Row]]))</f>
        <v/>
      </c>
      <c r="I48" s="86" t="str">
        <f aca="false">IF(IFERROR(INDEX(tsk_Name,GanttView[[#This Row],[_Row]])="",TRUE()),"",INDEX(tsk_Progress,GanttView[[#This Row],[_Row]]))</f>
        <v/>
      </c>
      <c r="J48" s="84" t="str">
        <f aca="false">IF(IFERROR(INDEX(tsk_Name,GanttView[[#This Row],[_Row]])="",TRUE()),"",INDEX(tsk_Resource,GanttView[[#This Row],[_Row]])&amp;"")</f>
        <v/>
      </c>
      <c r="K48" s="83" t="str">
        <f aca="false">IF(IFERROR(INDEX(tsk_Name,GanttView[[#This Row],[_Row]])="",TRUE()),"",INDEX(tsk_Status,GanttView[[#This Row],[_Row]]))</f>
        <v/>
      </c>
      <c r="L48" s="87" t="n">
        <f aca="false">ROW()-ROW(GanttView[[#Headers],[ID]])</f>
        <v>43</v>
      </c>
      <c r="M48" s="88" t="b">
        <f aca="false">IF(IFERROR(INDEX(tsk_Name,GanttView[[#This Row],[_Row]])="",TRUE()),FALSE(),INDEX(tsk_IsSummary,GanttView[[#This Row],[_Row]]))</f>
        <v>0</v>
      </c>
      <c r="N48" s="88" t="b">
        <f aca="false">IF(IFERROR(INDEX(tsk_Name,GanttView[[#This Row],[_Row]])="",TRUE()),FALSE(),AND(INDEX(tsk_IsLeaf,GanttView[[#This Row],[_Row]])=1,N(INDEX(tsk_Duration,GanttView[[#This Row],[_Row]]))=0))</f>
        <v>0</v>
      </c>
      <c r="O4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89" t="n">
        <f aca="false">IF(GanttView[[#This Row],[_RemFrom]]=0,0,GanttView[[#This Row],[Forecast Finish]])</f>
        <v>0</v>
      </c>
      <c r="S48" s="88" t="b">
        <f aca="false">IF(IFERROR(INDEX(tsk_Name,GanttView[[#This Row],[_Row]])="",TRUE()),FALSE(),N(INDEX(tsk_Variance,GanttView[[#This Row],[_Row]]))&gt;0)</f>
        <v>0</v>
      </c>
      <c r="T48" s="89" t="n">
        <f aca="false">IF(IFERROR(INDEX(tsk_Name,GanttView[[#This Row],[_Row]])="",TRUE()),0,N(INDEX(tsk_Deadline,GanttView[[#This Row],[_Row]])))</f>
        <v>0</v>
      </c>
      <c r="U48" s="88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83" t="str">
        <f aca="false">IF(IFERROR(INDEX(tsk_Name,GanttView[[#This Row],[_Row]])="",TRUE()),"",INDEX(tsk_ID,GanttView[[#This Row],[_Row]]))</f>
        <v/>
      </c>
      <c r="B49" s="83" t="str">
        <f aca="false">IF(IFERROR(INDEX(tsk_Name,GanttView[[#This Row],[_Row]])="",TRUE()),"",INDEX(tsk_WBS,GanttView[[#This Row],[_Row]]))</f>
        <v/>
      </c>
      <c r="C49" s="84" t="str">
        <f aca="false">IF(IFERROR(INDEX(tsk_Name,GanttView[[#This Row],[_Row]])="",TRUE()),"",REPT("    ",INDEX(tsk_Level,GanttView[[#This Row],[_Row]])-1)&amp;INDEX(tsk_Name,GanttView[[#This Row],[_Row]]))</f>
        <v/>
      </c>
      <c r="D4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85" t="str">
        <f aca="false">IF(IFERROR(INDEX(tsk_Name,GanttView[[#This Row],[_Row]])="",TRUE()),"",INDEX(tsk_PlanStart,GanttView[[#This Row],[_Row]]))</f>
        <v/>
      </c>
      <c r="F49" s="85" t="str">
        <f aca="false">IF(IFERROR(INDEX(tsk_Name,GanttView[[#This Row],[_Row]])="",TRUE()),"",INDEX(tsk_PlanFinish,GanttView[[#This Row],[_Row]]))</f>
        <v/>
      </c>
      <c r="G49" s="85" t="str">
        <f aca="false">IF(IFERROR(INDEX(tsk_Name,GanttView[[#This Row],[_Row]])="",TRUE()),"",INDEX(tsk_FcStart,GanttView[[#This Row],[_Row]]))</f>
        <v/>
      </c>
      <c r="H49" s="85" t="str">
        <f aca="false">IF(IFERROR(INDEX(tsk_Name,GanttView[[#This Row],[_Row]])="",TRUE()),"",INDEX(tsk_FcFinish,GanttView[[#This Row],[_Row]]))</f>
        <v/>
      </c>
      <c r="I49" s="86" t="str">
        <f aca="false">IF(IFERROR(INDEX(tsk_Name,GanttView[[#This Row],[_Row]])="",TRUE()),"",INDEX(tsk_Progress,GanttView[[#This Row],[_Row]]))</f>
        <v/>
      </c>
      <c r="J49" s="84" t="str">
        <f aca="false">IF(IFERROR(INDEX(tsk_Name,GanttView[[#This Row],[_Row]])="",TRUE()),"",INDEX(tsk_Resource,GanttView[[#This Row],[_Row]])&amp;"")</f>
        <v/>
      </c>
      <c r="K49" s="83" t="str">
        <f aca="false">IF(IFERROR(INDEX(tsk_Name,GanttView[[#This Row],[_Row]])="",TRUE()),"",INDEX(tsk_Status,GanttView[[#This Row],[_Row]]))</f>
        <v/>
      </c>
      <c r="L49" s="87" t="n">
        <f aca="false">ROW()-ROW(GanttView[[#Headers],[ID]])</f>
        <v>44</v>
      </c>
      <c r="M49" s="88" t="b">
        <f aca="false">IF(IFERROR(INDEX(tsk_Name,GanttView[[#This Row],[_Row]])="",TRUE()),FALSE(),INDEX(tsk_IsSummary,GanttView[[#This Row],[_Row]]))</f>
        <v>0</v>
      </c>
      <c r="N49" s="88" t="b">
        <f aca="false">IF(IFERROR(INDEX(tsk_Name,GanttView[[#This Row],[_Row]])="",TRUE()),FALSE(),AND(INDEX(tsk_IsLeaf,GanttView[[#This Row],[_Row]])=1,N(INDEX(tsk_Duration,GanttView[[#This Row],[_Row]]))=0))</f>
        <v>0</v>
      </c>
      <c r="O4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89" t="n">
        <f aca="false">IF(GanttView[[#This Row],[_RemFrom]]=0,0,GanttView[[#This Row],[Forecast Finish]])</f>
        <v>0</v>
      </c>
      <c r="S49" s="88" t="b">
        <f aca="false">IF(IFERROR(INDEX(tsk_Name,GanttView[[#This Row],[_Row]])="",TRUE()),FALSE(),N(INDEX(tsk_Variance,GanttView[[#This Row],[_Row]]))&gt;0)</f>
        <v>0</v>
      </c>
      <c r="T49" s="89" t="n">
        <f aca="false">IF(IFERROR(INDEX(tsk_Name,GanttView[[#This Row],[_Row]])="",TRUE()),0,N(INDEX(tsk_Deadline,GanttView[[#This Row],[_Row]])))</f>
        <v>0</v>
      </c>
      <c r="U49" s="88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83" t="str">
        <f aca="false">IF(IFERROR(INDEX(tsk_Name,GanttView[[#This Row],[_Row]])="",TRUE()),"",INDEX(tsk_ID,GanttView[[#This Row],[_Row]]))</f>
        <v/>
      </c>
      <c r="B50" s="83" t="str">
        <f aca="false">IF(IFERROR(INDEX(tsk_Name,GanttView[[#This Row],[_Row]])="",TRUE()),"",INDEX(tsk_WBS,GanttView[[#This Row],[_Row]]))</f>
        <v/>
      </c>
      <c r="C50" s="84" t="str">
        <f aca="false">IF(IFERROR(INDEX(tsk_Name,GanttView[[#This Row],[_Row]])="",TRUE()),"",REPT("    ",INDEX(tsk_Level,GanttView[[#This Row],[_Row]])-1)&amp;INDEX(tsk_Name,GanttView[[#This Row],[_Row]]))</f>
        <v/>
      </c>
      <c r="D5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85" t="str">
        <f aca="false">IF(IFERROR(INDEX(tsk_Name,GanttView[[#This Row],[_Row]])="",TRUE()),"",INDEX(tsk_PlanStart,GanttView[[#This Row],[_Row]]))</f>
        <v/>
      </c>
      <c r="F50" s="85" t="str">
        <f aca="false">IF(IFERROR(INDEX(tsk_Name,GanttView[[#This Row],[_Row]])="",TRUE()),"",INDEX(tsk_PlanFinish,GanttView[[#This Row],[_Row]]))</f>
        <v/>
      </c>
      <c r="G50" s="85" t="str">
        <f aca="false">IF(IFERROR(INDEX(tsk_Name,GanttView[[#This Row],[_Row]])="",TRUE()),"",INDEX(tsk_FcStart,GanttView[[#This Row],[_Row]]))</f>
        <v/>
      </c>
      <c r="H50" s="85" t="str">
        <f aca="false">IF(IFERROR(INDEX(tsk_Name,GanttView[[#This Row],[_Row]])="",TRUE()),"",INDEX(tsk_FcFinish,GanttView[[#This Row],[_Row]]))</f>
        <v/>
      </c>
      <c r="I50" s="86" t="str">
        <f aca="false">IF(IFERROR(INDEX(tsk_Name,GanttView[[#This Row],[_Row]])="",TRUE()),"",INDEX(tsk_Progress,GanttView[[#This Row],[_Row]]))</f>
        <v/>
      </c>
      <c r="J50" s="84" t="str">
        <f aca="false">IF(IFERROR(INDEX(tsk_Name,GanttView[[#This Row],[_Row]])="",TRUE()),"",INDEX(tsk_Resource,GanttView[[#This Row],[_Row]])&amp;"")</f>
        <v/>
      </c>
      <c r="K50" s="83" t="str">
        <f aca="false">IF(IFERROR(INDEX(tsk_Name,GanttView[[#This Row],[_Row]])="",TRUE()),"",INDEX(tsk_Status,GanttView[[#This Row],[_Row]]))</f>
        <v/>
      </c>
      <c r="L50" s="87" t="n">
        <f aca="false">ROW()-ROW(GanttView[[#Headers],[ID]])</f>
        <v>45</v>
      </c>
      <c r="M50" s="88" t="b">
        <f aca="false">IF(IFERROR(INDEX(tsk_Name,GanttView[[#This Row],[_Row]])="",TRUE()),FALSE(),INDEX(tsk_IsSummary,GanttView[[#This Row],[_Row]]))</f>
        <v>0</v>
      </c>
      <c r="N50" s="88" t="b">
        <f aca="false">IF(IFERROR(INDEX(tsk_Name,GanttView[[#This Row],[_Row]])="",TRUE()),FALSE(),AND(INDEX(tsk_IsLeaf,GanttView[[#This Row],[_Row]])=1,N(INDEX(tsk_Duration,GanttView[[#This Row],[_Row]]))=0))</f>
        <v>0</v>
      </c>
      <c r="O5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89" t="n">
        <f aca="false">IF(GanttView[[#This Row],[_RemFrom]]=0,0,GanttView[[#This Row],[Forecast Finish]])</f>
        <v>0</v>
      </c>
      <c r="S50" s="88" t="b">
        <f aca="false">IF(IFERROR(INDEX(tsk_Name,GanttView[[#This Row],[_Row]])="",TRUE()),FALSE(),N(INDEX(tsk_Variance,GanttView[[#This Row],[_Row]]))&gt;0)</f>
        <v>0</v>
      </c>
      <c r="T50" s="89" t="n">
        <f aca="false">IF(IFERROR(INDEX(tsk_Name,GanttView[[#This Row],[_Row]])="",TRUE()),0,N(INDEX(tsk_Deadline,GanttView[[#This Row],[_Row]])))</f>
        <v>0</v>
      </c>
      <c r="U50" s="88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83" t="str">
        <f aca="false">IF(IFERROR(INDEX(tsk_Name,GanttView[[#This Row],[_Row]])="",TRUE()),"",INDEX(tsk_ID,GanttView[[#This Row],[_Row]]))</f>
        <v/>
      </c>
      <c r="B51" s="83" t="str">
        <f aca="false">IF(IFERROR(INDEX(tsk_Name,GanttView[[#This Row],[_Row]])="",TRUE()),"",INDEX(tsk_WBS,GanttView[[#This Row],[_Row]]))</f>
        <v/>
      </c>
      <c r="C51" s="84" t="str">
        <f aca="false">IF(IFERROR(INDEX(tsk_Name,GanttView[[#This Row],[_Row]])="",TRUE()),"",REPT("    ",INDEX(tsk_Level,GanttView[[#This Row],[_Row]])-1)&amp;INDEX(tsk_Name,GanttView[[#This Row],[_Row]]))</f>
        <v/>
      </c>
      <c r="D5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85" t="str">
        <f aca="false">IF(IFERROR(INDEX(tsk_Name,GanttView[[#This Row],[_Row]])="",TRUE()),"",INDEX(tsk_PlanStart,GanttView[[#This Row],[_Row]]))</f>
        <v/>
      </c>
      <c r="F51" s="85" t="str">
        <f aca="false">IF(IFERROR(INDEX(tsk_Name,GanttView[[#This Row],[_Row]])="",TRUE()),"",INDEX(tsk_PlanFinish,GanttView[[#This Row],[_Row]]))</f>
        <v/>
      </c>
      <c r="G51" s="85" t="str">
        <f aca="false">IF(IFERROR(INDEX(tsk_Name,GanttView[[#This Row],[_Row]])="",TRUE()),"",INDEX(tsk_FcStart,GanttView[[#This Row],[_Row]]))</f>
        <v/>
      </c>
      <c r="H51" s="85" t="str">
        <f aca="false">IF(IFERROR(INDEX(tsk_Name,GanttView[[#This Row],[_Row]])="",TRUE()),"",INDEX(tsk_FcFinish,GanttView[[#This Row],[_Row]]))</f>
        <v/>
      </c>
      <c r="I51" s="86" t="str">
        <f aca="false">IF(IFERROR(INDEX(tsk_Name,GanttView[[#This Row],[_Row]])="",TRUE()),"",INDEX(tsk_Progress,GanttView[[#This Row],[_Row]]))</f>
        <v/>
      </c>
      <c r="J51" s="84" t="str">
        <f aca="false">IF(IFERROR(INDEX(tsk_Name,GanttView[[#This Row],[_Row]])="",TRUE()),"",INDEX(tsk_Resource,GanttView[[#This Row],[_Row]])&amp;"")</f>
        <v/>
      </c>
      <c r="K51" s="83" t="str">
        <f aca="false">IF(IFERROR(INDEX(tsk_Name,GanttView[[#This Row],[_Row]])="",TRUE()),"",INDEX(tsk_Status,GanttView[[#This Row],[_Row]]))</f>
        <v/>
      </c>
      <c r="L51" s="87" t="n">
        <f aca="false">ROW()-ROW(GanttView[[#Headers],[ID]])</f>
        <v>46</v>
      </c>
      <c r="M51" s="88" t="b">
        <f aca="false">IF(IFERROR(INDEX(tsk_Name,GanttView[[#This Row],[_Row]])="",TRUE()),FALSE(),INDEX(tsk_IsSummary,GanttView[[#This Row],[_Row]]))</f>
        <v>0</v>
      </c>
      <c r="N51" s="88" t="b">
        <f aca="false">IF(IFERROR(INDEX(tsk_Name,GanttView[[#This Row],[_Row]])="",TRUE()),FALSE(),AND(INDEX(tsk_IsLeaf,GanttView[[#This Row],[_Row]])=1,N(INDEX(tsk_Duration,GanttView[[#This Row],[_Row]]))=0))</f>
        <v>0</v>
      </c>
      <c r="O5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89" t="n">
        <f aca="false">IF(GanttView[[#This Row],[_RemFrom]]=0,0,GanttView[[#This Row],[Forecast Finish]])</f>
        <v>0</v>
      </c>
      <c r="S51" s="88" t="b">
        <f aca="false">IF(IFERROR(INDEX(tsk_Name,GanttView[[#This Row],[_Row]])="",TRUE()),FALSE(),N(INDEX(tsk_Variance,GanttView[[#This Row],[_Row]]))&gt;0)</f>
        <v>0</v>
      </c>
      <c r="T51" s="89" t="n">
        <f aca="false">IF(IFERROR(INDEX(tsk_Name,GanttView[[#This Row],[_Row]])="",TRUE()),0,N(INDEX(tsk_Deadline,GanttView[[#This Row],[_Row]])))</f>
        <v>0</v>
      </c>
      <c r="U51" s="88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83" t="str">
        <f aca="false">IF(IFERROR(INDEX(tsk_Name,GanttView[[#This Row],[_Row]])="",TRUE()),"",INDEX(tsk_ID,GanttView[[#This Row],[_Row]]))</f>
        <v/>
      </c>
      <c r="B52" s="83" t="str">
        <f aca="false">IF(IFERROR(INDEX(tsk_Name,GanttView[[#This Row],[_Row]])="",TRUE()),"",INDEX(tsk_WBS,GanttView[[#This Row],[_Row]]))</f>
        <v/>
      </c>
      <c r="C52" s="84" t="str">
        <f aca="false">IF(IFERROR(INDEX(tsk_Name,GanttView[[#This Row],[_Row]])="",TRUE()),"",REPT("    ",INDEX(tsk_Level,GanttView[[#This Row],[_Row]])-1)&amp;INDEX(tsk_Name,GanttView[[#This Row],[_Row]]))</f>
        <v/>
      </c>
      <c r="D5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85" t="str">
        <f aca="false">IF(IFERROR(INDEX(tsk_Name,GanttView[[#This Row],[_Row]])="",TRUE()),"",INDEX(tsk_PlanStart,GanttView[[#This Row],[_Row]]))</f>
        <v/>
      </c>
      <c r="F52" s="85" t="str">
        <f aca="false">IF(IFERROR(INDEX(tsk_Name,GanttView[[#This Row],[_Row]])="",TRUE()),"",INDEX(tsk_PlanFinish,GanttView[[#This Row],[_Row]]))</f>
        <v/>
      </c>
      <c r="G52" s="85" t="str">
        <f aca="false">IF(IFERROR(INDEX(tsk_Name,GanttView[[#This Row],[_Row]])="",TRUE()),"",INDEX(tsk_FcStart,GanttView[[#This Row],[_Row]]))</f>
        <v/>
      </c>
      <c r="H52" s="85" t="str">
        <f aca="false">IF(IFERROR(INDEX(tsk_Name,GanttView[[#This Row],[_Row]])="",TRUE()),"",INDEX(tsk_FcFinish,GanttView[[#This Row],[_Row]]))</f>
        <v/>
      </c>
      <c r="I52" s="86" t="str">
        <f aca="false">IF(IFERROR(INDEX(tsk_Name,GanttView[[#This Row],[_Row]])="",TRUE()),"",INDEX(tsk_Progress,GanttView[[#This Row],[_Row]]))</f>
        <v/>
      </c>
      <c r="J52" s="84" t="str">
        <f aca="false">IF(IFERROR(INDEX(tsk_Name,GanttView[[#This Row],[_Row]])="",TRUE()),"",INDEX(tsk_Resource,GanttView[[#This Row],[_Row]])&amp;"")</f>
        <v/>
      </c>
      <c r="K52" s="83" t="str">
        <f aca="false">IF(IFERROR(INDEX(tsk_Name,GanttView[[#This Row],[_Row]])="",TRUE()),"",INDEX(tsk_Status,GanttView[[#This Row],[_Row]]))</f>
        <v/>
      </c>
      <c r="L52" s="87" t="n">
        <f aca="false">ROW()-ROW(GanttView[[#Headers],[ID]])</f>
        <v>47</v>
      </c>
      <c r="M52" s="88" t="b">
        <f aca="false">IF(IFERROR(INDEX(tsk_Name,GanttView[[#This Row],[_Row]])="",TRUE()),FALSE(),INDEX(tsk_IsSummary,GanttView[[#This Row],[_Row]]))</f>
        <v>0</v>
      </c>
      <c r="N52" s="88" t="b">
        <f aca="false">IF(IFERROR(INDEX(tsk_Name,GanttView[[#This Row],[_Row]])="",TRUE()),FALSE(),AND(INDEX(tsk_IsLeaf,GanttView[[#This Row],[_Row]])=1,N(INDEX(tsk_Duration,GanttView[[#This Row],[_Row]]))=0))</f>
        <v>0</v>
      </c>
      <c r="O5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89" t="n">
        <f aca="false">IF(GanttView[[#This Row],[_RemFrom]]=0,0,GanttView[[#This Row],[Forecast Finish]])</f>
        <v>0</v>
      </c>
      <c r="S52" s="88" t="b">
        <f aca="false">IF(IFERROR(INDEX(tsk_Name,GanttView[[#This Row],[_Row]])="",TRUE()),FALSE(),N(INDEX(tsk_Variance,GanttView[[#This Row],[_Row]]))&gt;0)</f>
        <v>0</v>
      </c>
      <c r="T52" s="89" t="n">
        <f aca="false">IF(IFERROR(INDEX(tsk_Name,GanttView[[#This Row],[_Row]])="",TRUE()),0,N(INDEX(tsk_Deadline,GanttView[[#This Row],[_Row]])))</f>
        <v>0</v>
      </c>
      <c r="U52" s="88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83" t="str">
        <f aca="false">IF(IFERROR(INDEX(tsk_Name,GanttView[[#This Row],[_Row]])="",TRUE()),"",INDEX(tsk_ID,GanttView[[#This Row],[_Row]]))</f>
        <v/>
      </c>
      <c r="B53" s="83" t="str">
        <f aca="false">IF(IFERROR(INDEX(tsk_Name,GanttView[[#This Row],[_Row]])="",TRUE()),"",INDEX(tsk_WBS,GanttView[[#This Row],[_Row]]))</f>
        <v/>
      </c>
      <c r="C53" s="84" t="str">
        <f aca="false">IF(IFERROR(INDEX(tsk_Name,GanttView[[#This Row],[_Row]])="",TRUE()),"",REPT("    ",INDEX(tsk_Level,GanttView[[#This Row],[_Row]])-1)&amp;INDEX(tsk_Name,GanttView[[#This Row],[_Row]]))</f>
        <v/>
      </c>
      <c r="D5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85" t="str">
        <f aca="false">IF(IFERROR(INDEX(tsk_Name,GanttView[[#This Row],[_Row]])="",TRUE()),"",INDEX(tsk_PlanStart,GanttView[[#This Row],[_Row]]))</f>
        <v/>
      </c>
      <c r="F53" s="85" t="str">
        <f aca="false">IF(IFERROR(INDEX(tsk_Name,GanttView[[#This Row],[_Row]])="",TRUE()),"",INDEX(tsk_PlanFinish,GanttView[[#This Row],[_Row]]))</f>
        <v/>
      </c>
      <c r="G53" s="85" t="str">
        <f aca="false">IF(IFERROR(INDEX(tsk_Name,GanttView[[#This Row],[_Row]])="",TRUE()),"",INDEX(tsk_FcStart,GanttView[[#This Row],[_Row]]))</f>
        <v/>
      </c>
      <c r="H53" s="85" t="str">
        <f aca="false">IF(IFERROR(INDEX(tsk_Name,GanttView[[#This Row],[_Row]])="",TRUE()),"",INDEX(tsk_FcFinish,GanttView[[#This Row],[_Row]]))</f>
        <v/>
      </c>
      <c r="I53" s="86" t="str">
        <f aca="false">IF(IFERROR(INDEX(tsk_Name,GanttView[[#This Row],[_Row]])="",TRUE()),"",INDEX(tsk_Progress,GanttView[[#This Row],[_Row]]))</f>
        <v/>
      </c>
      <c r="J53" s="84" t="str">
        <f aca="false">IF(IFERROR(INDEX(tsk_Name,GanttView[[#This Row],[_Row]])="",TRUE()),"",INDEX(tsk_Resource,GanttView[[#This Row],[_Row]])&amp;"")</f>
        <v/>
      </c>
      <c r="K53" s="83" t="str">
        <f aca="false">IF(IFERROR(INDEX(tsk_Name,GanttView[[#This Row],[_Row]])="",TRUE()),"",INDEX(tsk_Status,GanttView[[#This Row],[_Row]]))</f>
        <v/>
      </c>
      <c r="L53" s="87" t="n">
        <f aca="false">ROW()-ROW(GanttView[[#Headers],[ID]])</f>
        <v>48</v>
      </c>
      <c r="M53" s="88" t="b">
        <f aca="false">IF(IFERROR(INDEX(tsk_Name,GanttView[[#This Row],[_Row]])="",TRUE()),FALSE(),INDEX(tsk_IsSummary,GanttView[[#This Row],[_Row]]))</f>
        <v>0</v>
      </c>
      <c r="N53" s="88" t="b">
        <f aca="false">IF(IFERROR(INDEX(tsk_Name,GanttView[[#This Row],[_Row]])="",TRUE()),FALSE(),AND(INDEX(tsk_IsLeaf,GanttView[[#This Row],[_Row]])=1,N(INDEX(tsk_Duration,GanttView[[#This Row],[_Row]]))=0))</f>
        <v>0</v>
      </c>
      <c r="O5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89" t="n">
        <f aca="false">IF(GanttView[[#This Row],[_RemFrom]]=0,0,GanttView[[#This Row],[Forecast Finish]])</f>
        <v>0</v>
      </c>
      <c r="S53" s="88" t="b">
        <f aca="false">IF(IFERROR(INDEX(tsk_Name,GanttView[[#This Row],[_Row]])="",TRUE()),FALSE(),N(INDEX(tsk_Variance,GanttView[[#This Row],[_Row]]))&gt;0)</f>
        <v>0</v>
      </c>
      <c r="T53" s="89" t="n">
        <f aca="false">IF(IFERROR(INDEX(tsk_Name,GanttView[[#This Row],[_Row]])="",TRUE()),0,N(INDEX(tsk_Deadline,GanttView[[#This Row],[_Row]])))</f>
        <v>0</v>
      </c>
      <c r="U53" s="88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83" t="str">
        <f aca="false">IF(IFERROR(INDEX(tsk_Name,GanttView[[#This Row],[_Row]])="",TRUE()),"",INDEX(tsk_ID,GanttView[[#This Row],[_Row]]))</f>
        <v/>
      </c>
      <c r="B54" s="83" t="str">
        <f aca="false">IF(IFERROR(INDEX(tsk_Name,GanttView[[#This Row],[_Row]])="",TRUE()),"",INDEX(tsk_WBS,GanttView[[#This Row],[_Row]]))</f>
        <v/>
      </c>
      <c r="C54" s="84" t="str">
        <f aca="false">IF(IFERROR(INDEX(tsk_Name,GanttView[[#This Row],[_Row]])="",TRUE()),"",REPT("    ",INDEX(tsk_Level,GanttView[[#This Row],[_Row]])-1)&amp;INDEX(tsk_Name,GanttView[[#This Row],[_Row]]))</f>
        <v/>
      </c>
      <c r="D5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85" t="str">
        <f aca="false">IF(IFERROR(INDEX(tsk_Name,GanttView[[#This Row],[_Row]])="",TRUE()),"",INDEX(tsk_PlanStart,GanttView[[#This Row],[_Row]]))</f>
        <v/>
      </c>
      <c r="F54" s="85" t="str">
        <f aca="false">IF(IFERROR(INDEX(tsk_Name,GanttView[[#This Row],[_Row]])="",TRUE()),"",INDEX(tsk_PlanFinish,GanttView[[#This Row],[_Row]]))</f>
        <v/>
      </c>
      <c r="G54" s="85" t="str">
        <f aca="false">IF(IFERROR(INDEX(tsk_Name,GanttView[[#This Row],[_Row]])="",TRUE()),"",INDEX(tsk_FcStart,GanttView[[#This Row],[_Row]]))</f>
        <v/>
      </c>
      <c r="H54" s="85" t="str">
        <f aca="false">IF(IFERROR(INDEX(tsk_Name,GanttView[[#This Row],[_Row]])="",TRUE()),"",INDEX(tsk_FcFinish,GanttView[[#This Row],[_Row]]))</f>
        <v/>
      </c>
      <c r="I54" s="86" t="str">
        <f aca="false">IF(IFERROR(INDEX(tsk_Name,GanttView[[#This Row],[_Row]])="",TRUE()),"",INDEX(tsk_Progress,GanttView[[#This Row],[_Row]]))</f>
        <v/>
      </c>
      <c r="J54" s="84" t="str">
        <f aca="false">IF(IFERROR(INDEX(tsk_Name,GanttView[[#This Row],[_Row]])="",TRUE()),"",INDEX(tsk_Resource,GanttView[[#This Row],[_Row]])&amp;"")</f>
        <v/>
      </c>
      <c r="K54" s="83" t="str">
        <f aca="false">IF(IFERROR(INDEX(tsk_Name,GanttView[[#This Row],[_Row]])="",TRUE()),"",INDEX(tsk_Status,GanttView[[#This Row],[_Row]]))</f>
        <v/>
      </c>
      <c r="L54" s="87" t="n">
        <f aca="false">ROW()-ROW(GanttView[[#Headers],[ID]])</f>
        <v>49</v>
      </c>
      <c r="M54" s="88" t="b">
        <f aca="false">IF(IFERROR(INDEX(tsk_Name,GanttView[[#This Row],[_Row]])="",TRUE()),FALSE(),INDEX(tsk_IsSummary,GanttView[[#This Row],[_Row]]))</f>
        <v>0</v>
      </c>
      <c r="N54" s="88" t="b">
        <f aca="false">IF(IFERROR(INDEX(tsk_Name,GanttView[[#This Row],[_Row]])="",TRUE()),FALSE(),AND(INDEX(tsk_IsLeaf,GanttView[[#This Row],[_Row]])=1,N(INDEX(tsk_Duration,GanttView[[#This Row],[_Row]]))=0))</f>
        <v>0</v>
      </c>
      <c r="O5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89" t="n">
        <f aca="false">IF(GanttView[[#This Row],[_RemFrom]]=0,0,GanttView[[#This Row],[Forecast Finish]])</f>
        <v>0</v>
      </c>
      <c r="S54" s="88" t="b">
        <f aca="false">IF(IFERROR(INDEX(tsk_Name,GanttView[[#This Row],[_Row]])="",TRUE()),FALSE(),N(INDEX(tsk_Variance,GanttView[[#This Row],[_Row]]))&gt;0)</f>
        <v>0</v>
      </c>
      <c r="T54" s="89" t="n">
        <f aca="false">IF(IFERROR(INDEX(tsk_Name,GanttView[[#This Row],[_Row]])="",TRUE()),0,N(INDEX(tsk_Deadline,GanttView[[#This Row],[_Row]])))</f>
        <v>0</v>
      </c>
      <c r="U54" s="88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83" t="str">
        <f aca="false">IF(IFERROR(INDEX(tsk_Name,GanttView[[#This Row],[_Row]])="",TRUE()),"",INDEX(tsk_ID,GanttView[[#This Row],[_Row]]))</f>
        <v/>
      </c>
      <c r="B55" s="83" t="str">
        <f aca="false">IF(IFERROR(INDEX(tsk_Name,GanttView[[#This Row],[_Row]])="",TRUE()),"",INDEX(tsk_WBS,GanttView[[#This Row],[_Row]]))</f>
        <v/>
      </c>
      <c r="C55" s="84" t="str">
        <f aca="false">IF(IFERROR(INDEX(tsk_Name,GanttView[[#This Row],[_Row]])="",TRUE()),"",REPT("    ",INDEX(tsk_Level,GanttView[[#This Row],[_Row]])-1)&amp;INDEX(tsk_Name,GanttView[[#This Row],[_Row]]))</f>
        <v/>
      </c>
      <c r="D5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85" t="str">
        <f aca="false">IF(IFERROR(INDEX(tsk_Name,GanttView[[#This Row],[_Row]])="",TRUE()),"",INDEX(tsk_PlanStart,GanttView[[#This Row],[_Row]]))</f>
        <v/>
      </c>
      <c r="F55" s="85" t="str">
        <f aca="false">IF(IFERROR(INDEX(tsk_Name,GanttView[[#This Row],[_Row]])="",TRUE()),"",INDEX(tsk_PlanFinish,GanttView[[#This Row],[_Row]]))</f>
        <v/>
      </c>
      <c r="G55" s="85" t="str">
        <f aca="false">IF(IFERROR(INDEX(tsk_Name,GanttView[[#This Row],[_Row]])="",TRUE()),"",INDEX(tsk_FcStart,GanttView[[#This Row],[_Row]]))</f>
        <v/>
      </c>
      <c r="H55" s="85" t="str">
        <f aca="false">IF(IFERROR(INDEX(tsk_Name,GanttView[[#This Row],[_Row]])="",TRUE()),"",INDEX(tsk_FcFinish,GanttView[[#This Row],[_Row]]))</f>
        <v/>
      </c>
      <c r="I55" s="86" t="str">
        <f aca="false">IF(IFERROR(INDEX(tsk_Name,GanttView[[#This Row],[_Row]])="",TRUE()),"",INDEX(tsk_Progress,GanttView[[#This Row],[_Row]]))</f>
        <v/>
      </c>
      <c r="J55" s="84" t="str">
        <f aca="false">IF(IFERROR(INDEX(tsk_Name,GanttView[[#This Row],[_Row]])="",TRUE()),"",INDEX(tsk_Resource,GanttView[[#This Row],[_Row]])&amp;"")</f>
        <v/>
      </c>
      <c r="K55" s="83" t="str">
        <f aca="false">IF(IFERROR(INDEX(tsk_Name,GanttView[[#This Row],[_Row]])="",TRUE()),"",INDEX(tsk_Status,GanttView[[#This Row],[_Row]]))</f>
        <v/>
      </c>
      <c r="L55" s="87" t="n">
        <f aca="false">ROW()-ROW(GanttView[[#Headers],[ID]])</f>
        <v>50</v>
      </c>
      <c r="M55" s="88" t="b">
        <f aca="false">IF(IFERROR(INDEX(tsk_Name,GanttView[[#This Row],[_Row]])="",TRUE()),FALSE(),INDEX(tsk_IsSummary,GanttView[[#This Row],[_Row]]))</f>
        <v>0</v>
      </c>
      <c r="N55" s="88" t="b">
        <f aca="false">IF(IFERROR(INDEX(tsk_Name,GanttView[[#This Row],[_Row]])="",TRUE()),FALSE(),AND(INDEX(tsk_IsLeaf,GanttView[[#This Row],[_Row]])=1,N(INDEX(tsk_Duration,GanttView[[#This Row],[_Row]]))=0))</f>
        <v>0</v>
      </c>
      <c r="O5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89" t="n">
        <f aca="false">IF(GanttView[[#This Row],[_RemFrom]]=0,0,GanttView[[#This Row],[Forecast Finish]])</f>
        <v>0</v>
      </c>
      <c r="S55" s="88" t="b">
        <f aca="false">IF(IFERROR(INDEX(tsk_Name,GanttView[[#This Row],[_Row]])="",TRUE()),FALSE(),N(INDEX(tsk_Variance,GanttView[[#This Row],[_Row]]))&gt;0)</f>
        <v>0</v>
      </c>
      <c r="T55" s="89" t="n">
        <f aca="false">IF(IFERROR(INDEX(tsk_Name,GanttView[[#This Row],[_Row]])="",TRUE()),0,N(INDEX(tsk_Deadline,GanttView[[#This Row],[_Row]])))</f>
        <v>0</v>
      </c>
      <c r="U55" s="88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83" t="str">
        <f aca="false">IF(IFERROR(INDEX(tsk_Name,GanttView[[#This Row],[_Row]])="",TRUE()),"",INDEX(tsk_ID,GanttView[[#This Row],[_Row]]))</f>
        <v/>
      </c>
      <c r="B56" s="83" t="str">
        <f aca="false">IF(IFERROR(INDEX(tsk_Name,GanttView[[#This Row],[_Row]])="",TRUE()),"",INDEX(tsk_WBS,GanttView[[#This Row],[_Row]]))</f>
        <v/>
      </c>
      <c r="C56" s="84" t="str">
        <f aca="false">IF(IFERROR(INDEX(tsk_Name,GanttView[[#This Row],[_Row]])="",TRUE()),"",REPT("    ",INDEX(tsk_Level,GanttView[[#This Row],[_Row]])-1)&amp;INDEX(tsk_Name,GanttView[[#This Row],[_Row]]))</f>
        <v/>
      </c>
      <c r="D5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85" t="str">
        <f aca="false">IF(IFERROR(INDEX(tsk_Name,GanttView[[#This Row],[_Row]])="",TRUE()),"",INDEX(tsk_PlanStart,GanttView[[#This Row],[_Row]]))</f>
        <v/>
      </c>
      <c r="F56" s="85" t="str">
        <f aca="false">IF(IFERROR(INDEX(tsk_Name,GanttView[[#This Row],[_Row]])="",TRUE()),"",INDEX(tsk_PlanFinish,GanttView[[#This Row],[_Row]]))</f>
        <v/>
      </c>
      <c r="G56" s="85" t="str">
        <f aca="false">IF(IFERROR(INDEX(tsk_Name,GanttView[[#This Row],[_Row]])="",TRUE()),"",INDEX(tsk_FcStart,GanttView[[#This Row],[_Row]]))</f>
        <v/>
      </c>
      <c r="H56" s="85" t="str">
        <f aca="false">IF(IFERROR(INDEX(tsk_Name,GanttView[[#This Row],[_Row]])="",TRUE()),"",INDEX(tsk_FcFinish,GanttView[[#This Row],[_Row]]))</f>
        <v/>
      </c>
      <c r="I56" s="86" t="str">
        <f aca="false">IF(IFERROR(INDEX(tsk_Name,GanttView[[#This Row],[_Row]])="",TRUE()),"",INDEX(tsk_Progress,GanttView[[#This Row],[_Row]]))</f>
        <v/>
      </c>
      <c r="J56" s="84" t="str">
        <f aca="false">IF(IFERROR(INDEX(tsk_Name,GanttView[[#This Row],[_Row]])="",TRUE()),"",INDEX(tsk_Resource,GanttView[[#This Row],[_Row]])&amp;"")</f>
        <v/>
      </c>
      <c r="K56" s="83" t="str">
        <f aca="false">IF(IFERROR(INDEX(tsk_Name,GanttView[[#This Row],[_Row]])="",TRUE()),"",INDEX(tsk_Status,GanttView[[#This Row],[_Row]]))</f>
        <v/>
      </c>
      <c r="L56" s="87" t="n">
        <f aca="false">ROW()-ROW(GanttView[[#Headers],[ID]])</f>
        <v>51</v>
      </c>
      <c r="M56" s="88" t="b">
        <f aca="false">IF(IFERROR(INDEX(tsk_Name,GanttView[[#This Row],[_Row]])="",TRUE()),FALSE(),INDEX(tsk_IsSummary,GanttView[[#This Row],[_Row]]))</f>
        <v>0</v>
      </c>
      <c r="N56" s="88" t="b">
        <f aca="false">IF(IFERROR(INDEX(tsk_Name,GanttView[[#This Row],[_Row]])="",TRUE()),FALSE(),AND(INDEX(tsk_IsLeaf,GanttView[[#This Row],[_Row]])=1,N(INDEX(tsk_Duration,GanttView[[#This Row],[_Row]]))=0))</f>
        <v>0</v>
      </c>
      <c r="O5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89" t="n">
        <f aca="false">IF(GanttView[[#This Row],[_RemFrom]]=0,0,GanttView[[#This Row],[Forecast Finish]])</f>
        <v>0</v>
      </c>
      <c r="S56" s="88" t="b">
        <f aca="false">IF(IFERROR(INDEX(tsk_Name,GanttView[[#This Row],[_Row]])="",TRUE()),FALSE(),N(INDEX(tsk_Variance,GanttView[[#This Row],[_Row]]))&gt;0)</f>
        <v>0</v>
      </c>
      <c r="T56" s="89" t="n">
        <f aca="false">IF(IFERROR(INDEX(tsk_Name,GanttView[[#This Row],[_Row]])="",TRUE()),0,N(INDEX(tsk_Deadline,GanttView[[#This Row],[_Row]])))</f>
        <v>0</v>
      </c>
      <c r="U56" s="88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83" t="str">
        <f aca="false">IF(IFERROR(INDEX(tsk_Name,GanttView[[#This Row],[_Row]])="",TRUE()),"",INDEX(tsk_ID,GanttView[[#This Row],[_Row]]))</f>
        <v/>
      </c>
      <c r="B57" s="83" t="str">
        <f aca="false">IF(IFERROR(INDEX(tsk_Name,GanttView[[#This Row],[_Row]])="",TRUE()),"",INDEX(tsk_WBS,GanttView[[#This Row],[_Row]]))</f>
        <v/>
      </c>
      <c r="C57" s="84" t="str">
        <f aca="false">IF(IFERROR(INDEX(tsk_Name,GanttView[[#This Row],[_Row]])="",TRUE()),"",REPT("    ",INDEX(tsk_Level,GanttView[[#This Row],[_Row]])-1)&amp;INDEX(tsk_Name,GanttView[[#This Row],[_Row]]))</f>
        <v/>
      </c>
      <c r="D5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85" t="str">
        <f aca="false">IF(IFERROR(INDEX(tsk_Name,GanttView[[#This Row],[_Row]])="",TRUE()),"",INDEX(tsk_PlanStart,GanttView[[#This Row],[_Row]]))</f>
        <v/>
      </c>
      <c r="F57" s="85" t="str">
        <f aca="false">IF(IFERROR(INDEX(tsk_Name,GanttView[[#This Row],[_Row]])="",TRUE()),"",INDEX(tsk_PlanFinish,GanttView[[#This Row],[_Row]]))</f>
        <v/>
      </c>
      <c r="G57" s="85" t="str">
        <f aca="false">IF(IFERROR(INDEX(tsk_Name,GanttView[[#This Row],[_Row]])="",TRUE()),"",INDEX(tsk_FcStart,GanttView[[#This Row],[_Row]]))</f>
        <v/>
      </c>
      <c r="H57" s="85" t="str">
        <f aca="false">IF(IFERROR(INDEX(tsk_Name,GanttView[[#This Row],[_Row]])="",TRUE()),"",INDEX(tsk_FcFinish,GanttView[[#This Row],[_Row]]))</f>
        <v/>
      </c>
      <c r="I57" s="86" t="str">
        <f aca="false">IF(IFERROR(INDEX(tsk_Name,GanttView[[#This Row],[_Row]])="",TRUE()),"",INDEX(tsk_Progress,GanttView[[#This Row],[_Row]]))</f>
        <v/>
      </c>
      <c r="J57" s="84" t="str">
        <f aca="false">IF(IFERROR(INDEX(tsk_Name,GanttView[[#This Row],[_Row]])="",TRUE()),"",INDEX(tsk_Resource,GanttView[[#This Row],[_Row]])&amp;"")</f>
        <v/>
      </c>
      <c r="K57" s="83" t="str">
        <f aca="false">IF(IFERROR(INDEX(tsk_Name,GanttView[[#This Row],[_Row]])="",TRUE()),"",INDEX(tsk_Status,GanttView[[#This Row],[_Row]]))</f>
        <v/>
      </c>
      <c r="L57" s="87" t="n">
        <f aca="false">ROW()-ROW(GanttView[[#Headers],[ID]])</f>
        <v>52</v>
      </c>
      <c r="M57" s="88" t="b">
        <f aca="false">IF(IFERROR(INDEX(tsk_Name,GanttView[[#This Row],[_Row]])="",TRUE()),FALSE(),INDEX(tsk_IsSummary,GanttView[[#This Row],[_Row]]))</f>
        <v>0</v>
      </c>
      <c r="N57" s="88" t="b">
        <f aca="false">IF(IFERROR(INDEX(tsk_Name,GanttView[[#This Row],[_Row]])="",TRUE()),FALSE(),AND(INDEX(tsk_IsLeaf,GanttView[[#This Row],[_Row]])=1,N(INDEX(tsk_Duration,GanttView[[#This Row],[_Row]]))=0))</f>
        <v>0</v>
      </c>
      <c r="O5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89" t="n">
        <f aca="false">IF(GanttView[[#This Row],[_RemFrom]]=0,0,GanttView[[#This Row],[Forecast Finish]])</f>
        <v>0</v>
      </c>
      <c r="S57" s="88" t="b">
        <f aca="false">IF(IFERROR(INDEX(tsk_Name,GanttView[[#This Row],[_Row]])="",TRUE()),FALSE(),N(INDEX(tsk_Variance,GanttView[[#This Row],[_Row]]))&gt;0)</f>
        <v>0</v>
      </c>
      <c r="T57" s="89" t="n">
        <f aca="false">IF(IFERROR(INDEX(tsk_Name,GanttView[[#This Row],[_Row]])="",TRUE()),0,N(INDEX(tsk_Deadline,GanttView[[#This Row],[_Row]])))</f>
        <v>0</v>
      </c>
      <c r="U57" s="88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83" t="str">
        <f aca="false">IF(IFERROR(INDEX(tsk_Name,GanttView[[#This Row],[_Row]])="",TRUE()),"",INDEX(tsk_ID,GanttView[[#This Row],[_Row]]))</f>
        <v/>
      </c>
      <c r="B58" s="83" t="str">
        <f aca="false">IF(IFERROR(INDEX(tsk_Name,GanttView[[#This Row],[_Row]])="",TRUE()),"",INDEX(tsk_WBS,GanttView[[#This Row],[_Row]]))</f>
        <v/>
      </c>
      <c r="C58" s="84" t="str">
        <f aca="false">IF(IFERROR(INDEX(tsk_Name,GanttView[[#This Row],[_Row]])="",TRUE()),"",REPT("    ",INDEX(tsk_Level,GanttView[[#This Row],[_Row]])-1)&amp;INDEX(tsk_Name,GanttView[[#This Row],[_Row]]))</f>
        <v/>
      </c>
      <c r="D5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85" t="str">
        <f aca="false">IF(IFERROR(INDEX(tsk_Name,GanttView[[#This Row],[_Row]])="",TRUE()),"",INDEX(tsk_PlanStart,GanttView[[#This Row],[_Row]]))</f>
        <v/>
      </c>
      <c r="F58" s="85" t="str">
        <f aca="false">IF(IFERROR(INDEX(tsk_Name,GanttView[[#This Row],[_Row]])="",TRUE()),"",INDEX(tsk_PlanFinish,GanttView[[#This Row],[_Row]]))</f>
        <v/>
      </c>
      <c r="G58" s="85" t="str">
        <f aca="false">IF(IFERROR(INDEX(tsk_Name,GanttView[[#This Row],[_Row]])="",TRUE()),"",INDEX(tsk_FcStart,GanttView[[#This Row],[_Row]]))</f>
        <v/>
      </c>
      <c r="H58" s="85" t="str">
        <f aca="false">IF(IFERROR(INDEX(tsk_Name,GanttView[[#This Row],[_Row]])="",TRUE()),"",INDEX(tsk_FcFinish,GanttView[[#This Row],[_Row]]))</f>
        <v/>
      </c>
      <c r="I58" s="86" t="str">
        <f aca="false">IF(IFERROR(INDEX(tsk_Name,GanttView[[#This Row],[_Row]])="",TRUE()),"",INDEX(tsk_Progress,GanttView[[#This Row],[_Row]]))</f>
        <v/>
      </c>
      <c r="J58" s="84" t="str">
        <f aca="false">IF(IFERROR(INDEX(tsk_Name,GanttView[[#This Row],[_Row]])="",TRUE()),"",INDEX(tsk_Resource,GanttView[[#This Row],[_Row]])&amp;"")</f>
        <v/>
      </c>
      <c r="K58" s="83" t="str">
        <f aca="false">IF(IFERROR(INDEX(tsk_Name,GanttView[[#This Row],[_Row]])="",TRUE()),"",INDEX(tsk_Status,GanttView[[#This Row],[_Row]]))</f>
        <v/>
      </c>
      <c r="L58" s="87" t="n">
        <f aca="false">ROW()-ROW(GanttView[[#Headers],[ID]])</f>
        <v>53</v>
      </c>
      <c r="M58" s="88" t="b">
        <f aca="false">IF(IFERROR(INDEX(tsk_Name,GanttView[[#This Row],[_Row]])="",TRUE()),FALSE(),INDEX(tsk_IsSummary,GanttView[[#This Row],[_Row]]))</f>
        <v>0</v>
      </c>
      <c r="N58" s="88" t="b">
        <f aca="false">IF(IFERROR(INDEX(tsk_Name,GanttView[[#This Row],[_Row]])="",TRUE()),FALSE(),AND(INDEX(tsk_IsLeaf,GanttView[[#This Row],[_Row]])=1,N(INDEX(tsk_Duration,GanttView[[#This Row],[_Row]]))=0))</f>
        <v>0</v>
      </c>
      <c r="O5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89" t="n">
        <f aca="false">IF(GanttView[[#This Row],[_RemFrom]]=0,0,GanttView[[#This Row],[Forecast Finish]])</f>
        <v>0</v>
      </c>
      <c r="S58" s="88" t="b">
        <f aca="false">IF(IFERROR(INDEX(tsk_Name,GanttView[[#This Row],[_Row]])="",TRUE()),FALSE(),N(INDEX(tsk_Variance,GanttView[[#This Row],[_Row]]))&gt;0)</f>
        <v>0</v>
      </c>
      <c r="T58" s="89" t="n">
        <f aca="false">IF(IFERROR(INDEX(tsk_Name,GanttView[[#This Row],[_Row]])="",TRUE()),0,N(INDEX(tsk_Deadline,GanttView[[#This Row],[_Row]])))</f>
        <v>0</v>
      </c>
      <c r="U58" s="88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83" t="str">
        <f aca="false">IF(IFERROR(INDEX(tsk_Name,GanttView[[#This Row],[_Row]])="",TRUE()),"",INDEX(tsk_ID,GanttView[[#This Row],[_Row]]))</f>
        <v/>
      </c>
      <c r="B59" s="83" t="str">
        <f aca="false">IF(IFERROR(INDEX(tsk_Name,GanttView[[#This Row],[_Row]])="",TRUE()),"",INDEX(tsk_WBS,GanttView[[#This Row],[_Row]]))</f>
        <v/>
      </c>
      <c r="C59" s="84" t="str">
        <f aca="false">IF(IFERROR(INDEX(tsk_Name,GanttView[[#This Row],[_Row]])="",TRUE()),"",REPT("    ",INDEX(tsk_Level,GanttView[[#This Row],[_Row]])-1)&amp;INDEX(tsk_Name,GanttView[[#This Row],[_Row]]))</f>
        <v/>
      </c>
      <c r="D5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85" t="str">
        <f aca="false">IF(IFERROR(INDEX(tsk_Name,GanttView[[#This Row],[_Row]])="",TRUE()),"",INDEX(tsk_PlanStart,GanttView[[#This Row],[_Row]]))</f>
        <v/>
      </c>
      <c r="F59" s="85" t="str">
        <f aca="false">IF(IFERROR(INDEX(tsk_Name,GanttView[[#This Row],[_Row]])="",TRUE()),"",INDEX(tsk_PlanFinish,GanttView[[#This Row],[_Row]]))</f>
        <v/>
      </c>
      <c r="G59" s="85" t="str">
        <f aca="false">IF(IFERROR(INDEX(tsk_Name,GanttView[[#This Row],[_Row]])="",TRUE()),"",INDEX(tsk_FcStart,GanttView[[#This Row],[_Row]]))</f>
        <v/>
      </c>
      <c r="H59" s="85" t="str">
        <f aca="false">IF(IFERROR(INDEX(tsk_Name,GanttView[[#This Row],[_Row]])="",TRUE()),"",INDEX(tsk_FcFinish,GanttView[[#This Row],[_Row]]))</f>
        <v/>
      </c>
      <c r="I59" s="86" t="str">
        <f aca="false">IF(IFERROR(INDEX(tsk_Name,GanttView[[#This Row],[_Row]])="",TRUE()),"",INDEX(tsk_Progress,GanttView[[#This Row],[_Row]]))</f>
        <v/>
      </c>
      <c r="J59" s="84" t="str">
        <f aca="false">IF(IFERROR(INDEX(tsk_Name,GanttView[[#This Row],[_Row]])="",TRUE()),"",INDEX(tsk_Resource,GanttView[[#This Row],[_Row]])&amp;"")</f>
        <v/>
      </c>
      <c r="K59" s="83" t="str">
        <f aca="false">IF(IFERROR(INDEX(tsk_Name,GanttView[[#This Row],[_Row]])="",TRUE()),"",INDEX(tsk_Status,GanttView[[#This Row],[_Row]]))</f>
        <v/>
      </c>
      <c r="L59" s="87" t="n">
        <f aca="false">ROW()-ROW(GanttView[[#Headers],[ID]])</f>
        <v>54</v>
      </c>
      <c r="M59" s="88" t="b">
        <f aca="false">IF(IFERROR(INDEX(tsk_Name,GanttView[[#This Row],[_Row]])="",TRUE()),FALSE(),INDEX(tsk_IsSummary,GanttView[[#This Row],[_Row]]))</f>
        <v>0</v>
      </c>
      <c r="N59" s="88" t="b">
        <f aca="false">IF(IFERROR(INDEX(tsk_Name,GanttView[[#This Row],[_Row]])="",TRUE()),FALSE(),AND(INDEX(tsk_IsLeaf,GanttView[[#This Row],[_Row]])=1,N(INDEX(tsk_Duration,GanttView[[#This Row],[_Row]]))=0))</f>
        <v>0</v>
      </c>
      <c r="O5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89" t="n">
        <f aca="false">IF(GanttView[[#This Row],[_RemFrom]]=0,0,GanttView[[#This Row],[Forecast Finish]])</f>
        <v>0</v>
      </c>
      <c r="S59" s="88" t="b">
        <f aca="false">IF(IFERROR(INDEX(tsk_Name,GanttView[[#This Row],[_Row]])="",TRUE()),FALSE(),N(INDEX(tsk_Variance,GanttView[[#This Row],[_Row]]))&gt;0)</f>
        <v>0</v>
      </c>
      <c r="T59" s="89" t="n">
        <f aca="false">IF(IFERROR(INDEX(tsk_Name,GanttView[[#This Row],[_Row]])="",TRUE()),0,N(INDEX(tsk_Deadline,GanttView[[#This Row],[_Row]])))</f>
        <v>0</v>
      </c>
      <c r="U59" s="88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83" t="str">
        <f aca="false">IF(IFERROR(INDEX(tsk_Name,GanttView[[#This Row],[_Row]])="",TRUE()),"",INDEX(tsk_ID,GanttView[[#This Row],[_Row]]))</f>
        <v/>
      </c>
      <c r="B60" s="83" t="str">
        <f aca="false">IF(IFERROR(INDEX(tsk_Name,GanttView[[#This Row],[_Row]])="",TRUE()),"",INDEX(tsk_WBS,GanttView[[#This Row],[_Row]]))</f>
        <v/>
      </c>
      <c r="C60" s="84" t="str">
        <f aca="false">IF(IFERROR(INDEX(tsk_Name,GanttView[[#This Row],[_Row]])="",TRUE()),"",REPT("    ",INDEX(tsk_Level,GanttView[[#This Row],[_Row]])-1)&amp;INDEX(tsk_Name,GanttView[[#This Row],[_Row]]))</f>
        <v/>
      </c>
      <c r="D6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85" t="str">
        <f aca="false">IF(IFERROR(INDEX(tsk_Name,GanttView[[#This Row],[_Row]])="",TRUE()),"",INDEX(tsk_PlanStart,GanttView[[#This Row],[_Row]]))</f>
        <v/>
      </c>
      <c r="F60" s="85" t="str">
        <f aca="false">IF(IFERROR(INDEX(tsk_Name,GanttView[[#This Row],[_Row]])="",TRUE()),"",INDEX(tsk_PlanFinish,GanttView[[#This Row],[_Row]]))</f>
        <v/>
      </c>
      <c r="G60" s="85" t="str">
        <f aca="false">IF(IFERROR(INDEX(tsk_Name,GanttView[[#This Row],[_Row]])="",TRUE()),"",INDEX(tsk_FcStart,GanttView[[#This Row],[_Row]]))</f>
        <v/>
      </c>
      <c r="H60" s="85" t="str">
        <f aca="false">IF(IFERROR(INDEX(tsk_Name,GanttView[[#This Row],[_Row]])="",TRUE()),"",INDEX(tsk_FcFinish,GanttView[[#This Row],[_Row]]))</f>
        <v/>
      </c>
      <c r="I60" s="86" t="str">
        <f aca="false">IF(IFERROR(INDEX(tsk_Name,GanttView[[#This Row],[_Row]])="",TRUE()),"",INDEX(tsk_Progress,GanttView[[#This Row],[_Row]]))</f>
        <v/>
      </c>
      <c r="J60" s="84" t="str">
        <f aca="false">IF(IFERROR(INDEX(tsk_Name,GanttView[[#This Row],[_Row]])="",TRUE()),"",INDEX(tsk_Resource,GanttView[[#This Row],[_Row]])&amp;"")</f>
        <v/>
      </c>
      <c r="K60" s="83" t="str">
        <f aca="false">IF(IFERROR(INDEX(tsk_Name,GanttView[[#This Row],[_Row]])="",TRUE()),"",INDEX(tsk_Status,GanttView[[#This Row],[_Row]]))</f>
        <v/>
      </c>
      <c r="L60" s="87" t="n">
        <f aca="false">ROW()-ROW(GanttView[[#Headers],[ID]])</f>
        <v>55</v>
      </c>
      <c r="M60" s="88" t="b">
        <f aca="false">IF(IFERROR(INDEX(tsk_Name,GanttView[[#This Row],[_Row]])="",TRUE()),FALSE(),INDEX(tsk_IsSummary,GanttView[[#This Row],[_Row]]))</f>
        <v>0</v>
      </c>
      <c r="N60" s="88" t="b">
        <f aca="false">IF(IFERROR(INDEX(tsk_Name,GanttView[[#This Row],[_Row]])="",TRUE()),FALSE(),AND(INDEX(tsk_IsLeaf,GanttView[[#This Row],[_Row]])=1,N(INDEX(tsk_Duration,GanttView[[#This Row],[_Row]]))=0))</f>
        <v>0</v>
      </c>
      <c r="O6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89" t="n">
        <f aca="false">IF(GanttView[[#This Row],[_RemFrom]]=0,0,GanttView[[#This Row],[Forecast Finish]])</f>
        <v>0</v>
      </c>
      <c r="S60" s="88" t="b">
        <f aca="false">IF(IFERROR(INDEX(tsk_Name,GanttView[[#This Row],[_Row]])="",TRUE()),FALSE(),N(INDEX(tsk_Variance,GanttView[[#This Row],[_Row]]))&gt;0)</f>
        <v>0</v>
      </c>
      <c r="T60" s="89" t="n">
        <f aca="false">IF(IFERROR(INDEX(tsk_Name,GanttView[[#This Row],[_Row]])="",TRUE()),0,N(INDEX(tsk_Deadline,GanttView[[#This Row],[_Row]])))</f>
        <v>0</v>
      </c>
      <c r="U60" s="88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83" t="str">
        <f aca="false">IF(IFERROR(INDEX(tsk_Name,GanttView[[#This Row],[_Row]])="",TRUE()),"",INDEX(tsk_ID,GanttView[[#This Row],[_Row]]))</f>
        <v/>
      </c>
      <c r="B61" s="83" t="str">
        <f aca="false">IF(IFERROR(INDEX(tsk_Name,GanttView[[#This Row],[_Row]])="",TRUE()),"",INDEX(tsk_WBS,GanttView[[#This Row],[_Row]]))</f>
        <v/>
      </c>
      <c r="C61" s="84" t="str">
        <f aca="false">IF(IFERROR(INDEX(tsk_Name,GanttView[[#This Row],[_Row]])="",TRUE()),"",REPT("    ",INDEX(tsk_Level,GanttView[[#This Row],[_Row]])-1)&amp;INDEX(tsk_Name,GanttView[[#This Row],[_Row]]))</f>
        <v/>
      </c>
      <c r="D6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85" t="str">
        <f aca="false">IF(IFERROR(INDEX(tsk_Name,GanttView[[#This Row],[_Row]])="",TRUE()),"",INDEX(tsk_PlanStart,GanttView[[#This Row],[_Row]]))</f>
        <v/>
      </c>
      <c r="F61" s="85" t="str">
        <f aca="false">IF(IFERROR(INDEX(tsk_Name,GanttView[[#This Row],[_Row]])="",TRUE()),"",INDEX(tsk_PlanFinish,GanttView[[#This Row],[_Row]]))</f>
        <v/>
      </c>
      <c r="G61" s="85" t="str">
        <f aca="false">IF(IFERROR(INDEX(tsk_Name,GanttView[[#This Row],[_Row]])="",TRUE()),"",INDEX(tsk_FcStart,GanttView[[#This Row],[_Row]]))</f>
        <v/>
      </c>
      <c r="H61" s="85" t="str">
        <f aca="false">IF(IFERROR(INDEX(tsk_Name,GanttView[[#This Row],[_Row]])="",TRUE()),"",INDEX(tsk_FcFinish,GanttView[[#This Row],[_Row]]))</f>
        <v/>
      </c>
      <c r="I61" s="86" t="str">
        <f aca="false">IF(IFERROR(INDEX(tsk_Name,GanttView[[#This Row],[_Row]])="",TRUE()),"",INDEX(tsk_Progress,GanttView[[#This Row],[_Row]]))</f>
        <v/>
      </c>
      <c r="J61" s="84" t="str">
        <f aca="false">IF(IFERROR(INDEX(tsk_Name,GanttView[[#This Row],[_Row]])="",TRUE()),"",INDEX(tsk_Resource,GanttView[[#This Row],[_Row]])&amp;"")</f>
        <v/>
      </c>
      <c r="K61" s="83" t="str">
        <f aca="false">IF(IFERROR(INDEX(tsk_Name,GanttView[[#This Row],[_Row]])="",TRUE()),"",INDEX(tsk_Status,GanttView[[#This Row],[_Row]]))</f>
        <v/>
      </c>
      <c r="L61" s="87" t="n">
        <f aca="false">ROW()-ROW(GanttView[[#Headers],[ID]])</f>
        <v>56</v>
      </c>
      <c r="M61" s="88" t="b">
        <f aca="false">IF(IFERROR(INDEX(tsk_Name,GanttView[[#This Row],[_Row]])="",TRUE()),FALSE(),INDEX(tsk_IsSummary,GanttView[[#This Row],[_Row]]))</f>
        <v>0</v>
      </c>
      <c r="N61" s="88" t="b">
        <f aca="false">IF(IFERROR(INDEX(tsk_Name,GanttView[[#This Row],[_Row]])="",TRUE()),FALSE(),AND(INDEX(tsk_IsLeaf,GanttView[[#This Row],[_Row]])=1,N(INDEX(tsk_Duration,GanttView[[#This Row],[_Row]]))=0))</f>
        <v>0</v>
      </c>
      <c r="O6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89" t="n">
        <f aca="false">IF(GanttView[[#This Row],[_RemFrom]]=0,0,GanttView[[#This Row],[Forecast Finish]])</f>
        <v>0</v>
      </c>
      <c r="S61" s="88" t="b">
        <f aca="false">IF(IFERROR(INDEX(tsk_Name,GanttView[[#This Row],[_Row]])="",TRUE()),FALSE(),N(INDEX(tsk_Variance,GanttView[[#This Row],[_Row]]))&gt;0)</f>
        <v>0</v>
      </c>
      <c r="T61" s="89" t="n">
        <f aca="false">IF(IFERROR(INDEX(tsk_Name,GanttView[[#This Row],[_Row]])="",TRUE()),0,N(INDEX(tsk_Deadline,GanttView[[#This Row],[_Row]])))</f>
        <v>0</v>
      </c>
      <c r="U61" s="88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83" t="str">
        <f aca="false">IF(IFERROR(INDEX(tsk_Name,GanttView[[#This Row],[_Row]])="",TRUE()),"",INDEX(tsk_ID,GanttView[[#This Row],[_Row]]))</f>
        <v/>
      </c>
      <c r="B62" s="83" t="str">
        <f aca="false">IF(IFERROR(INDEX(tsk_Name,GanttView[[#This Row],[_Row]])="",TRUE()),"",INDEX(tsk_WBS,GanttView[[#This Row],[_Row]]))</f>
        <v/>
      </c>
      <c r="C62" s="84" t="str">
        <f aca="false">IF(IFERROR(INDEX(tsk_Name,GanttView[[#This Row],[_Row]])="",TRUE()),"",REPT("    ",INDEX(tsk_Level,GanttView[[#This Row],[_Row]])-1)&amp;INDEX(tsk_Name,GanttView[[#This Row],[_Row]]))</f>
        <v/>
      </c>
      <c r="D6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85" t="str">
        <f aca="false">IF(IFERROR(INDEX(tsk_Name,GanttView[[#This Row],[_Row]])="",TRUE()),"",INDEX(tsk_PlanStart,GanttView[[#This Row],[_Row]]))</f>
        <v/>
      </c>
      <c r="F62" s="85" t="str">
        <f aca="false">IF(IFERROR(INDEX(tsk_Name,GanttView[[#This Row],[_Row]])="",TRUE()),"",INDEX(tsk_PlanFinish,GanttView[[#This Row],[_Row]]))</f>
        <v/>
      </c>
      <c r="G62" s="85" t="str">
        <f aca="false">IF(IFERROR(INDEX(tsk_Name,GanttView[[#This Row],[_Row]])="",TRUE()),"",INDEX(tsk_FcStart,GanttView[[#This Row],[_Row]]))</f>
        <v/>
      </c>
      <c r="H62" s="85" t="str">
        <f aca="false">IF(IFERROR(INDEX(tsk_Name,GanttView[[#This Row],[_Row]])="",TRUE()),"",INDEX(tsk_FcFinish,GanttView[[#This Row],[_Row]]))</f>
        <v/>
      </c>
      <c r="I62" s="86" t="str">
        <f aca="false">IF(IFERROR(INDEX(tsk_Name,GanttView[[#This Row],[_Row]])="",TRUE()),"",INDEX(tsk_Progress,GanttView[[#This Row],[_Row]]))</f>
        <v/>
      </c>
      <c r="J62" s="84" t="str">
        <f aca="false">IF(IFERROR(INDEX(tsk_Name,GanttView[[#This Row],[_Row]])="",TRUE()),"",INDEX(tsk_Resource,GanttView[[#This Row],[_Row]])&amp;"")</f>
        <v/>
      </c>
      <c r="K62" s="83" t="str">
        <f aca="false">IF(IFERROR(INDEX(tsk_Name,GanttView[[#This Row],[_Row]])="",TRUE()),"",INDEX(tsk_Status,GanttView[[#This Row],[_Row]]))</f>
        <v/>
      </c>
      <c r="L62" s="87" t="n">
        <f aca="false">ROW()-ROW(GanttView[[#Headers],[ID]])</f>
        <v>57</v>
      </c>
      <c r="M62" s="88" t="b">
        <f aca="false">IF(IFERROR(INDEX(tsk_Name,GanttView[[#This Row],[_Row]])="",TRUE()),FALSE(),INDEX(tsk_IsSummary,GanttView[[#This Row],[_Row]]))</f>
        <v>0</v>
      </c>
      <c r="N62" s="88" t="b">
        <f aca="false">IF(IFERROR(INDEX(tsk_Name,GanttView[[#This Row],[_Row]])="",TRUE()),FALSE(),AND(INDEX(tsk_IsLeaf,GanttView[[#This Row],[_Row]])=1,N(INDEX(tsk_Duration,GanttView[[#This Row],[_Row]]))=0))</f>
        <v>0</v>
      </c>
      <c r="O6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89" t="n">
        <f aca="false">IF(GanttView[[#This Row],[_RemFrom]]=0,0,GanttView[[#This Row],[Forecast Finish]])</f>
        <v>0</v>
      </c>
      <c r="S62" s="88" t="b">
        <f aca="false">IF(IFERROR(INDEX(tsk_Name,GanttView[[#This Row],[_Row]])="",TRUE()),FALSE(),N(INDEX(tsk_Variance,GanttView[[#This Row],[_Row]]))&gt;0)</f>
        <v>0</v>
      </c>
      <c r="T62" s="89" t="n">
        <f aca="false">IF(IFERROR(INDEX(tsk_Name,GanttView[[#This Row],[_Row]])="",TRUE()),0,N(INDEX(tsk_Deadline,GanttView[[#This Row],[_Row]])))</f>
        <v>0</v>
      </c>
      <c r="U62" s="88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83" t="str">
        <f aca="false">IF(IFERROR(INDEX(tsk_Name,GanttView[[#This Row],[_Row]])="",TRUE()),"",INDEX(tsk_ID,GanttView[[#This Row],[_Row]]))</f>
        <v/>
      </c>
      <c r="B63" s="83" t="str">
        <f aca="false">IF(IFERROR(INDEX(tsk_Name,GanttView[[#This Row],[_Row]])="",TRUE()),"",INDEX(tsk_WBS,GanttView[[#This Row],[_Row]]))</f>
        <v/>
      </c>
      <c r="C63" s="84" t="str">
        <f aca="false">IF(IFERROR(INDEX(tsk_Name,GanttView[[#This Row],[_Row]])="",TRUE()),"",REPT("    ",INDEX(tsk_Level,GanttView[[#This Row],[_Row]])-1)&amp;INDEX(tsk_Name,GanttView[[#This Row],[_Row]]))</f>
        <v/>
      </c>
      <c r="D6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85" t="str">
        <f aca="false">IF(IFERROR(INDEX(tsk_Name,GanttView[[#This Row],[_Row]])="",TRUE()),"",INDEX(tsk_PlanStart,GanttView[[#This Row],[_Row]]))</f>
        <v/>
      </c>
      <c r="F63" s="85" t="str">
        <f aca="false">IF(IFERROR(INDEX(tsk_Name,GanttView[[#This Row],[_Row]])="",TRUE()),"",INDEX(tsk_PlanFinish,GanttView[[#This Row],[_Row]]))</f>
        <v/>
      </c>
      <c r="G63" s="85" t="str">
        <f aca="false">IF(IFERROR(INDEX(tsk_Name,GanttView[[#This Row],[_Row]])="",TRUE()),"",INDEX(tsk_FcStart,GanttView[[#This Row],[_Row]]))</f>
        <v/>
      </c>
      <c r="H63" s="85" t="str">
        <f aca="false">IF(IFERROR(INDEX(tsk_Name,GanttView[[#This Row],[_Row]])="",TRUE()),"",INDEX(tsk_FcFinish,GanttView[[#This Row],[_Row]]))</f>
        <v/>
      </c>
      <c r="I63" s="86" t="str">
        <f aca="false">IF(IFERROR(INDEX(tsk_Name,GanttView[[#This Row],[_Row]])="",TRUE()),"",INDEX(tsk_Progress,GanttView[[#This Row],[_Row]]))</f>
        <v/>
      </c>
      <c r="J63" s="84" t="str">
        <f aca="false">IF(IFERROR(INDEX(tsk_Name,GanttView[[#This Row],[_Row]])="",TRUE()),"",INDEX(tsk_Resource,GanttView[[#This Row],[_Row]])&amp;"")</f>
        <v/>
      </c>
      <c r="K63" s="83" t="str">
        <f aca="false">IF(IFERROR(INDEX(tsk_Name,GanttView[[#This Row],[_Row]])="",TRUE()),"",INDEX(tsk_Status,GanttView[[#This Row],[_Row]]))</f>
        <v/>
      </c>
      <c r="L63" s="87" t="n">
        <f aca="false">ROW()-ROW(GanttView[[#Headers],[ID]])</f>
        <v>58</v>
      </c>
      <c r="M63" s="88" t="b">
        <f aca="false">IF(IFERROR(INDEX(tsk_Name,GanttView[[#This Row],[_Row]])="",TRUE()),FALSE(),INDEX(tsk_IsSummary,GanttView[[#This Row],[_Row]]))</f>
        <v>0</v>
      </c>
      <c r="N63" s="88" t="b">
        <f aca="false">IF(IFERROR(INDEX(tsk_Name,GanttView[[#This Row],[_Row]])="",TRUE()),FALSE(),AND(INDEX(tsk_IsLeaf,GanttView[[#This Row],[_Row]])=1,N(INDEX(tsk_Duration,GanttView[[#This Row],[_Row]]))=0))</f>
        <v>0</v>
      </c>
      <c r="O6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89" t="n">
        <f aca="false">IF(GanttView[[#This Row],[_RemFrom]]=0,0,GanttView[[#This Row],[Forecast Finish]])</f>
        <v>0</v>
      </c>
      <c r="S63" s="88" t="b">
        <f aca="false">IF(IFERROR(INDEX(tsk_Name,GanttView[[#This Row],[_Row]])="",TRUE()),FALSE(),N(INDEX(tsk_Variance,GanttView[[#This Row],[_Row]]))&gt;0)</f>
        <v>0</v>
      </c>
      <c r="T63" s="89" t="n">
        <f aca="false">IF(IFERROR(INDEX(tsk_Name,GanttView[[#This Row],[_Row]])="",TRUE()),0,N(INDEX(tsk_Deadline,GanttView[[#This Row],[_Row]])))</f>
        <v>0</v>
      </c>
      <c r="U63" s="88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83" t="str">
        <f aca="false">IF(IFERROR(INDEX(tsk_Name,GanttView[[#This Row],[_Row]])="",TRUE()),"",INDEX(tsk_ID,GanttView[[#This Row],[_Row]]))</f>
        <v/>
      </c>
      <c r="B64" s="83" t="str">
        <f aca="false">IF(IFERROR(INDEX(tsk_Name,GanttView[[#This Row],[_Row]])="",TRUE()),"",INDEX(tsk_WBS,GanttView[[#This Row],[_Row]]))</f>
        <v/>
      </c>
      <c r="C64" s="84" t="str">
        <f aca="false">IF(IFERROR(INDEX(tsk_Name,GanttView[[#This Row],[_Row]])="",TRUE()),"",REPT("    ",INDEX(tsk_Level,GanttView[[#This Row],[_Row]])-1)&amp;INDEX(tsk_Name,GanttView[[#This Row],[_Row]]))</f>
        <v/>
      </c>
      <c r="D6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85" t="str">
        <f aca="false">IF(IFERROR(INDEX(tsk_Name,GanttView[[#This Row],[_Row]])="",TRUE()),"",INDEX(tsk_PlanStart,GanttView[[#This Row],[_Row]]))</f>
        <v/>
      </c>
      <c r="F64" s="85" t="str">
        <f aca="false">IF(IFERROR(INDEX(tsk_Name,GanttView[[#This Row],[_Row]])="",TRUE()),"",INDEX(tsk_PlanFinish,GanttView[[#This Row],[_Row]]))</f>
        <v/>
      </c>
      <c r="G64" s="85" t="str">
        <f aca="false">IF(IFERROR(INDEX(tsk_Name,GanttView[[#This Row],[_Row]])="",TRUE()),"",INDEX(tsk_FcStart,GanttView[[#This Row],[_Row]]))</f>
        <v/>
      </c>
      <c r="H64" s="85" t="str">
        <f aca="false">IF(IFERROR(INDEX(tsk_Name,GanttView[[#This Row],[_Row]])="",TRUE()),"",INDEX(tsk_FcFinish,GanttView[[#This Row],[_Row]]))</f>
        <v/>
      </c>
      <c r="I64" s="86" t="str">
        <f aca="false">IF(IFERROR(INDEX(tsk_Name,GanttView[[#This Row],[_Row]])="",TRUE()),"",INDEX(tsk_Progress,GanttView[[#This Row],[_Row]]))</f>
        <v/>
      </c>
      <c r="J64" s="84" t="str">
        <f aca="false">IF(IFERROR(INDEX(tsk_Name,GanttView[[#This Row],[_Row]])="",TRUE()),"",INDEX(tsk_Resource,GanttView[[#This Row],[_Row]])&amp;"")</f>
        <v/>
      </c>
      <c r="K64" s="83" t="str">
        <f aca="false">IF(IFERROR(INDEX(tsk_Name,GanttView[[#This Row],[_Row]])="",TRUE()),"",INDEX(tsk_Status,GanttView[[#This Row],[_Row]]))</f>
        <v/>
      </c>
      <c r="L64" s="87" t="n">
        <f aca="false">ROW()-ROW(GanttView[[#Headers],[ID]])</f>
        <v>59</v>
      </c>
      <c r="M64" s="88" t="b">
        <f aca="false">IF(IFERROR(INDEX(tsk_Name,GanttView[[#This Row],[_Row]])="",TRUE()),FALSE(),INDEX(tsk_IsSummary,GanttView[[#This Row],[_Row]]))</f>
        <v>0</v>
      </c>
      <c r="N64" s="88" t="b">
        <f aca="false">IF(IFERROR(INDEX(tsk_Name,GanttView[[#This Row],[_Row]])="",TRUE()),FALSE(),AND(INDEX(tsk_IsLeaf,GanttView[[#This Row],[_Row]])=1,N(INDEX(tsk_Duration,GanttView[[#This Row],[_Row]]))=0))</f>
        <v>0</v>
      </c>
      <c r="O6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89" t="n">
        <f aca="false">IF(GanttView[[#This Row],[_RemFrom]]=0,0,GanttView[[#This Row],[Forecast Finish]])</f>
        <v>0</v>
      </c>
      <c r="S64" s="88" t="b">
        <f aca="false">IF(IFERROR(INDEX(tsk_Name,GanttView[[#This Row],[_Row]])="",TRUE()),FALSE(),N(INDEX(tsk_Variance,GanttView[[#This Row],[_Row]]))&gt;0)</f>
        <v>0</v>
      </c>
      <c r="T64" s="89" t="n">
        <f aca="false">IF(IFERROR(INDEX(tsk_Name,GanttView[[#This Row],[_Row]])="",TRUE()),0,N(INDEX(tsk_Deadline,GanttView[[#This Row],[_Row]])))</f>
        <v>0</v>
      </c>
      <c r="U64" s="88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83" t="str">
        <f aca="false">IF(IFERROR(INDEX(tsk_Name,GanttView[[#This Row],[_Row]])="",TRUE()),"",INDEX(tsk_ID,GanttView[[#This Row],[_Row]]))</f>
        <v/>
      </c>
      <c r="B65" s="83" t="str">
        <f aca="false">IF(IFERROR(INDEX(tsk_Name,GanttView[[#This Row],[_Row]])="",TRUE()),"",INDEX(tsk_WBS,GanttView[[#This Row],[_Row]]))</f>
        <v/>
      </c>
      <c r="C65" s="84" t="str">
        <f aca="false">IF(IFERROR(INDEX(tsk_Name,GanttView[[#This Row],[_Row]])="",TRUE()),"",REPT("    ",INDEX(tsk_Level,GanttView[[#This Row],[_Row]])-1)&amp;INDEX(tsk_Name,GanttView[[#This Row],[_Row]]))</f>
        <v/>
      </c>
      <c r="D6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85" t="str">
        <f aca="false">IF(IFERROR(INDEX(tsk_Name,GanttView[[#This Row],[_Row]])="",TRUE()),"",INDEX(tsk_PlanStart,GanttView[[#This Row],[_Row]]))</f>
        <v/>
      </c>
      <c r="F65" s="85" t="str">
        <f aca="false">IF(IFERROR(INDEX(tsk_Name,GanttView[[#This Row],[_Row]])="",TRUE()),"",INDEX(tsk_PlanFinish,GanttView[[#This Row],[_Row]]))</f>
        <v/>
      </c>
      <c r="G65" s="85" t="str">
        <f aca="false">IF(IFERROR(INDEX(tsk_Name,GanttView[[#This Row],[_Row]])="",TRUE()),"",INDEX(tsk_FcStart,GanttView[[#This Row],[_Row]]))</f>
        <v/>
      </c>
      <c r="H65" s="85" t="str">
        <f aca="false">IF(IFERROR(INDEX(tsk_Name,GanttView[[#This Row],[_Row]])="",TRUE()),"",INDEX(tsk_FcFinish,GanttView[[#This Row],[_Row]]))</f>
        <v/>
      </c>
      <c r="I65" s="86" t="str">
        <f aca="false">IF(IFERROR(INDEX(tsk_Name,GanttView[[#This Row],[_Row]])="",TRUE()),"",INDEX(tsk_Progress,GanttView[[#This Row],[_Row]]))</f>
        <v/>
      </c>
      <c r="J65" s="84" t="str">
        <f aca="false">IF(IFERROR(INDEX(tsk_Name,GanttView[[#This Row],[_Row]])="",TRUE()),"",INDEX(tsk_Resource,GanttView[[#This Row],[_Row]])&amp;"")</f>
        <v/>
      </c>
      <c r="K65" s="83" t="str">
        <f aca="false">IF(IFERROR(INDEX(tsk_Name,GanttView[[#This Row],[_Row]])="",TRUE()),"",INDEX(tsk_Status,GanttView[[#This Row],[_Row]]))</f>
        <v/>
      </c>
      <c r="L65" s="87" t="n">
        <f aca="false">ROW()-ROW(GanttView[[#Headers],[ID]])</f>
        <v>60</v>
      </c>
      <c r="M65" s="88" t="b">
        <f aca="false">IF(IFERROR(INDEX(tsk_Name,GanttView[[#This Row],[_Row]])="",TRUE()),FALSE(),INDEX(tsk_IsSummary,GanttView[[#This Row],[_Row]]))</f>
        <v>0</v>
      </c>
      <c r="N65" s="88" t="b">
        <f aca="false">IF(IFERROR(INDEX(tsk_Name,GanttView[[#This Row],[_Row]])="",TRUE()),FALSE(),AND(INDEX(tsk_IsLeaf,GanttView[[#This Row],[_Row]])=1,N(INDEX(tsk_Duration,GanttView[[#This Row],[_Row]]))=0))</f>
        <v>0</v>
      </c>
      <c r="O6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89" t="n">
        <f aca="false">IF(GanttView[[#This Row],[_RemFrom]]=0,0,GanttView[[#This Row],[Forecast Finish]])</f>
        <v>0</v>
      </c>
      <c r="S65" s="88" t="b">
        <f aca="false">IF(IFERROR(INDEX(tsk_Name,GanttView[[#This Row],[_Row]])="",TRUE()),FALSE(),N(INDEX(tsk_Variance,GanttView[[#This Row],[_Row]]))&gt;0)</f>
        <v>0</v>
      </c>
      <c r="T65" s="89" t="n">
        <f aca="false">IF(IFERROR(INDEX(tsk_Name,GanttView[[#This Row],[_Row]])="",TRUE()),0,N(INDEX(tsk_Deadline,GanttView[[#This Row],[_Row]])))</f>
        <v>0</v>
      </c>
      <c r="U65" s="88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83" t="str">
        <f aca="false">IF(IFERROR(INDEX(tsk_Name,GanttView[[#This Row],[_Row]])="",TRUE()),"",INDEX(tsk_ID,GanttView[[#This Row],[_Row]]))</f>
        <v/>
      </c>
      <c r="B66" s="83" t="str">
        <f aca="false">IF(IFERROR(INDEX(tsk_Name,GanttView[[#This Row],[_Row]])="",TRUE()),"",INDEX(tsk_WBS,GanttView[[#This Row],[_Row]]))</f>
        <v/>
      </c>
      <c r="C66" s="84" t="str">
        <f aca="false">IF(IFERROR(INDEX(tsk_Name,GanttView[[#This Row],[_Row]])="",TRUE()),"",REPT("    ",INDEX(tsk_Level,GanttView[[#This Row],[_Row]])-1)&amp;INDEX(tsk_Name,GanttView[[#This Row],[_Row]]))</f>
        <v/>
      </c>
      <c r="D6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85" t="str">
        <f aca="false">IF(IFERROR(INDEX(tsk_Name,GanttView[[#This Row],[_Row]])="",TRUE()),"",INDEX(tsk_PlanStart,GanttView[[#This Row],[_Row]]))</f>
        <v/>
      </c>
      <c r="F66" s="85" t="str">
        <f aca="false">IF(IFERROR(INDEX(tsk_Name,GanttView[[#This Row],[_Row]])="",TRUE()),"",INDEX(tsk_PlanFinish,GanttView[[#This Row],[_Row]]))</f>
        <v/>
      </c>
      <c r="G66" s="85" t="str">
        <f aca="false">IF(IFERROR(INDEX(tsk_Name,GanttView[[#This Row],[_Row]])="",TRUE()),"",INDEX(tsk_FcStart,GanttView[[#This Row],[_Row]]))</f>
        <v/>
      </c>
      <c r="H66" s="85" t="str">
        <f aca="false">IF(IFERROR(INDEX(tsk_Name,GanttView[[#This Row],[_Row]])="",TRUE()),"",INDEX(tsk_FcFinish,GanttView[[#This Row],[_Row]]))</f>
        <v/>
      </c>
      <c r="I66" s="86" t="str">
        <f aca="false">IF(IFERROR(INDEX(tsk_Name,GanttView[[#This Row],[_Row]])="",TRUE()),"",INDEX(tsk_Progress,GanttView[[#This Row],[_Row]]))</f>
        <v/>
      </c>
      <c r="J66" s="84" t="str">
        <f aca="false">IF(IFERROR(INDEX(tsk_Name,GanttView[[#This Row],[_Row]])="",TRUE()),"",INDEX(tsk_Resource,GanttView[[#This Row],[_Row]])&amp;"")</f>
        <v/>
      </c>
      <c r="K66" s="83" t="str">
        <f aca="false">IF(IFERROR(INDEX(tsk_Name,GanttView[[#This Row],[_Row]])="",TRUE()),"",INDEX(tsk_Status,GanttView[[#This Row],[_Row]]))</f>
        <v/>
      </c>
      <c r="L66" s="87" t="n">
        <f aca="false">ROW()-ROW(GanttView[[#Headers],[ID]])</f>
        <v>61</v>
      </c>
      <c r="M66" s="88" t="b">
        <f aca="false">IF(IFERROR(INDEX(tsk_Name,GanttView[[#This Row],[_Row]])="",TRUE()),FALSE(),INDEX(tsk_IsSummary,GanttView[[#This Row],[_Row]]))</f>
        <v>0</v>
      </c>
      <c r="N66" s="88" t="b">
        <f aca="false">IF(IFERROR(INDEX(tsk_Name,GanttView[[#This Row],[_Row]])="",TRUE()),FALSE(),AND(INDEX(tsk_IsLeaf,GanttView[[#This Row],[_Row]])=1,N(INDEX(tsk_Duration,GanttView[[#This Row],[_Row]]))=0))</f>
        <v>0</v>
      </c>
      <c r="O6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89" t="n">
        <f aca="false">IF(GanttView[[#This Row],[_RemFrom]]=0,0,GanttView[[#This Row],[Forecast Finish]])</f>
        <v>0</v>
      </c>
      <c r="S66" s="88" t="b">
        <f aca="false">IF(IFERROR(INDEX(tsk_Name,GanttView[[#This Row],[_Row]])="",TRUE()),FALSE(),N(INDEX(tsk_Variance,GanttView[[#This Row],[_Row]]))&gt;0)</f>
        <v>0</v>
      </c>
      <c r="T66" s="89" t="n">
        <f aca="false">IF(IFERROR(INDEX(tsk_Name,GanttView[[#This Row],[_Row]])="",TRUE()),0,N(INDEX(tsk_Deadline,GanttView[[#This Row],[_Row]])))</f>
        <v>0</v>
      </c>
      <c r="U66" s="88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83" t="str">
        <f aca="false">IF(IFERROR(INDEX(tsk_Name,GanttView[[#This Row],[_Row]])="",TRUE()),"",INDEX(tsk_ID,GanttView[[#This Row],[_Row]]))</f>
        <v/>
      </c>
      <c r="B67" s="83" t="str">
        <f aca="false">IF(IFERROR(INDEX(tsk_Name,GanttView[[#This Row],[_Row]])="",TRUE()),"",INDEX(tsk_WBS,GanttView[[#This Row],[_Row]]))</f>
        <v/>
      </c>
      <c r="C67" s="84" t="str">
        <f aca="false">IF(IFERROR(INDEX(tsk_Name,GanttView[[#This Row],[_Row]])="",TRUE()),"",REPT("    ",INDEX(tsk_Level,GanttView[[#This Row],[_Row]])-1)&amp;INDEX(tsk_Name,GanttView[[#This Row],[_Row]]))</f>
        <v/>
      </c>
      <c r="D6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85" t="str">
        <f aca="false">IF(IFERROR(INDEX(tsk_Name,GanttView[[#This Row],[_Row]])="",TRUE()),"",INDEX(tsk_PlanStart,GanttView[[#This Row],[_Row]]))</f>
        <v/>
      </c>
      <c r="F67" s="85" t="str">
        <f aca="false">IF(IFERROR(INDEX(tsk_Name,GanttView[[#This Row],[_Row]])="",TRUE()),"",INDEX(tsk_PlanFinish,GanttView[[#This Row],[_Row]]))</f>
        <v/>
      </c>
      <c r="G67" s="85" t="str">
        <f aca="false">IF(IFERROR(INDEX(tsk_Name,GanttView[[#This Row],[_Row]])="",TRUE()),"",INDEX(tsk_FcStart,GanttView[[#This Row],[_Row]]))</f>
        <v/>
      </c>
      <c r="H67" s="85" t="str">
        <f aca="false">IF(IFERROR(INDEX(tsk_Name,GanttView[[#This Row],[_Row]])="",TRUE()),"",INDEX(tsk_FcFinish,GanttView[[#This Row],[_Row]]))</f>
        <v/>
      </c>
      <c r="I67" s="86" t="str">
        <f aca="false">IF(IFERROR(INDEX(tsk_Name,GanttView[[#This Row],[_Row]])="",TRUE()),"",INDEX(tsk_Progress,GanttView[[#This Row],[_Row]]))</f>
        <v/>
      </c>
      <c r="J67" s="84" t="str">
        <f aca="false">IF(IFERROR(INDEX(tsk_Name,GanttView[[#This Row],[_Row]])="",TRUE()),"",INDEX(tsk_Resource,GanttView[[#This Row],[_Row]])&amp;"")</f>
        <v/>
      </c>
      <c r="K67" s="83" t="str">
        <f aca="false">IF(IFERROR(INDEX(tsk_Name,GanttView[[#This Row],[_Row]])="",TRUE()),"",INDEX(tsk_Status,GanttView[[#This Row],[_Row]]))</f>
        <v/>
      </c>
      <c r="L67" s="87" t="n">
        <f aca="false">ROW()-ROW(GanttView[[#Headers],[ID]])</f>
        <v>62</v>
      </c>
      <c r="M67" s="88" t="b">
        <f aca="false">IF(IFERROR(INDEX(tsk_Name,GanttView[[#This Row],[_Row]])="",TRUE()),FALSE(),INDEX(tsk_IsSummary,GanttView[[#This Row],[_Row]]))</f>
        <v>0</v>
      </c>
      <c r="N67" s="88" t="b">
        <f aca="false">IF(IFERROR(INDEX(tsk_Name,GanttView[[#This Row],[_Row]])="",TRUE()),FALSE(),AND(INDEX(tsk_IsLeaf,GanttView[[#This Row],[_Row]])=1,N(INDEX(tsk_Duration,GanttView[[#This Row],[_Row]]))=0))</f>
        <v>0</v>
      </c>
      <c r="O6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89" t="n">
        <f aca="false">IF(GanttView[[#This Row],[_RemFrom]]=0,0,GanttView[[#This Row],[Forecast Finish]])</f>
        <v>0</v>
      </c>
      <c r="S67" s="88" t="b">
        <f aca="false">IF(IFERROR(INDEX(tsk_Name,GanttView[[#This Row],[_Row]])="",TRUE()),FALSE(),N(INDEX(tsk_Variance,GanttView[[#This Row],[_Row]]))&gt;0)</f>
        <v>0</v>
      </c>
      <c r="T67" s="89" t="n">
        <f aca="false">IF(IFERROR(INDEX(tsk_Name,GanttView[[#This Row],[_Row]])="",TRUE()),0,N(INDEX(tsk_Deadline,GanttView[[#This Row],[_Row]])))</f>
        <v>0</v>
      </c>
      <c r="U67" s="88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83" t="str">
        <f aca="false">IF(IFERROR(INDEX(tsk_Name,GanttView[[#This Row],[_Row]])="",TRUE()),"",INDEX(tsk_ID,GanttView[[#This Row],[_Row]]))</f>
        <v/>
      </c>
      <c r="B68" s="83" t="str">
        <f aca="false">IF(IFERROR(INDEX(tsk_Name,GanttView[[#This Row],[_Row]])="",TRUE()),"",INDEX(tsk_WBS,GanttView[[#This Row],[_Row]]))</f>
        <v/>
      </c>
      <c r="C68" s="84" t="str">
        <f aca="false">IF(IFERROR(INDEX(tsk_Name,GanttView[[#This Row],[_Row]])="",TRUE()),"",REPT("    ",INDEX(tsk_Level,GanttView[[#This Row],[_Row]])-1)&amp;INDEX(tsk_Name,GanttView[[#This Row],[_Row]]))</f>
        <v/>
      </c>
      <c r="D6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85" t="str">
        <f aca="false">IF(IFERROR(INDEX(tsk_Name,GanttView[[#This Row],[_Row]])="",TRUE()),"",INDEX(tsk_PlanStart,GanttView[[#This Row],[_Row]]))</f>
        <v/>
      </c>
      <c r="F68" s="85" t="str">
        <f aca="false">IF(IFERROR(INDEX(tsk_Name,GanttView[[#This Row],[_Row]])="",TRUE()),"",INDEX(tsk_PlanFinish,GanttView[[#This Row],[_Row]]))</f>
        <v/>
      </c>
      <c r="G68" s="85" t="str">
        <f aca="false">IF(IFERROR(INDEX(tsk_Name,GanttView[[#This Row],[_Row]])="",TRUE()),"",INDEX(tsk_FcStart,GanttView[[#This Row],[_Row]]))</f>
        <v/>
      </c>
      <c r="H68" s="85" t="str">
        <f aca="false">IF(IFERROR(INDEX(tsk_Name,GanttView[[#This Row],[_Row]])="",TRUE()),"",INDEX(tsk_FcFinish,GanttView[[#This Row],[_Row]]))</f>
        <v/>
      </c>
      <c r="I68" s="86" t="str">
        <f aca="false">IF(IFERROR(INDEX(tsk_Name,GanttView[[#This Row],[_Row]])="",TRUE()),"",INDEX(tsk_Progress,GanttView[[#This Row],[_Row]]))</f>
        <v/>
      </c>
      <c r="J68" s="84" t="str">
        <f aca="false">IF(IFERROR(INDEX(tsk_Name,GanttView[[#This Row],[_Row]])="",TRUE()),"",INDEX(tsk_Resource,GanttView[[#This Row],[_Row]])&amp;"")</f>
        <v/>
      </c>
      <c r="K68" s="83" t="str">
        <f aca="false">IF(IFERROR(INDEX(tsk_Name,GanttView[[#This Row],[_Row]])="",TRUE()),"",INDEX(tsk_Status,GanttView[[#This Row],[_Row]]))</f>
        <v/>
      </c>
      <c r="L68" s="87" t="n">
        <f aca="false">ROW()-ROW(GanttView[[#Headers],[ID]])</f>
        <v>63</v>
      </c>
      <c r="M68" s="88" t="b">
        <f aca="false">IF(IFERROR(INDEX(tsk_Name,GanttView[[#This Row],[_Row]])="",TRUE()),FALSE(),INDEX(tsk_IsSummary,GanttView[[#This Row],[_Row]]))</f>
        <v>0</v>
      </c>
      <c r="N68" s="88" t="b">
        <f aca="false">IF(IFERROR(INDEX(tsk_Name,GanttView[[#This Row],[_Row]])="",TRUE()),FALSE(),AND(INDEX(tsk_IsLeaf,GanttView[[#This Row],[_Row]])=1,N(INDEX(tsk_Duration,GanttView[[#This Row],[_Row]]))=0))</f>
        <v>0</v>
      </c>
      <c r="O6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89" t="n">
        <f aca="false">IF(GanttView[[#This Row],[_RemFrom]]=0,0,GanttView[[#This Row],[Forecast Finish]])</f>
        <v>0</v>
      </c>
      <c r="S68" s="88" t="b">
        <f aca="false">IF(IFERROR(INDEX(tsk_Name,GanttView[[#This Row],[_Row]])="",TRUE()),FALSE(),N(INDEX(tsk_Variance,GanttView[[#This Row],[_Row]]))&gt;0)</f>
        <v>0</v>
      </c>
      <c r="T68" s="89" t="n">
        <f aca="false">IF(IFERROR(INDEX(tsk_Name,GanttView[[#This Row],[_Row]])="",TRUE()),0,N(INDEX(tsk_Deadline,GanttView[[#This Row],[_Row]])))</f>
        <v>0</v>
      </c>
      <c r="U68" s="88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83" t="str">
        <f aca="false">IF(IFERROR(INDEX(tsk_Name,GanttView[[#This Row],[_Row]])="",TRUE()),"",INDEX(tsk_ID,GanttView[[#This Row],[_Row]]))</f>
        <v/>
      </c>
      <c r="B69" s="83" t="str">
        <f aca="false">IF(IFERROR(INDEX(tsk_Name,GanttView[[#This Row],[_Row]])="",TRUE()),"",INDEX(tsk_WBS,GanttView[[#This Row],[_Row]]))</f>
        <v/>
      </c>
      <c r="C69" s="84" t="str">
        <f aca="false">IF(IFERROR(INDEX(tsk_Name,GanttView[[#This Row],[_Row]])="",TRUE()),"",REPT("    ",INDEX(tsk_Level,GanttView[[#This Row],[_Row]])-1)&amp;INDEX(tsk_Name,GanttView[[#This Row],[_Row]]))</f>
        <v/>
      </c>
      <c r="D6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85" t="str">
        <f aca="false">IF(IFERROR(INDEX(tsk_Name,GanttView[[#This Row],[_Row]])="",TRUE()),"",INDEX(tsk_PlanStart,GanttView[[#This Row],[_Row]]))</f>
        <v/>
      </c>
      <c r="F69" s="85" t="str">
        <f aca="false">IF(IFERROR(INDEX(tsk_Name,GanttView[[#This Row],[_Row]])="",TRUE()),"",INDEX(tsk_PlanFinish,GanttView[[#This Row],[_Row]]))</f>
        <v/>
      </c>
      <c r="G69" s="85" t="str">
        <f aca="false">IF(IFERROR(INDEX(tsk_Name,GanttView[[#This Row],[_Row]])="",TRUE()),"",INDEX(tsk_FcStart,GanttView[[#This Row],[_Row]]))</f>
        <v/>
      </c>
      <c r="H69" s="85" t="str">
        <f aca="false">IF(IFERROR(INDEX(tsk_Name,GanttView[[#This Row],[_Row]])="",TRUE()),"",INDEX(tsk_FcFinish,GanttView[[#This Row],[_Row]]))</f>
        <v/>
      </c>
      <c r="I69" s="86" t="str">
        <f aca="false">IF(IFERROR(INDEX(tsk_Name,GanttView[[#This Row],[_Row]])="",TRUE()),"",INDEX(tsk_Progress,GanttView[[#This Row],[_Row]]))</f>
        <v/>
      </c>
      <c r="J69" s="84" t="str">
        <f aca="false">IF(IFERROR(INDEX(tsk_Name,GanttView[[#This Row],[_Row]])="",TRUE()),"",INDEX(tsk_Resource,GanttView[[#This Row],[_Row]])&amp;"")</f>
        <v/>
      </c>
      <c r="K69" s="83" t="str">
        <f aca="false">IF(IFERROR(INDEX(tsk_Name,GanttView[[#This Row],[_Row]])="",TRUE()),"",INDEX(tsk_Status,GanttView[[#This Row],[_Row]]))</f>
        <v/>
      </c>
      <c r="L69" s="87" t="n">
        <f aca="false">ROW()-ROW(GanttView[[#Headers],[ID]])</f>
        <v>64</v>
      </c>
      <c r="M69" s="88" t="b">
        <f aca="false">IF(IFERROR(INDEX(tsk_Name,GanttView[[#This Row],[_Row]])="",TRUE()),FALSE(),INDEX(tsk_IsSummary,GanttView[[#This Row],[_Row]]))</f>
        <v>0</v>
      </c>
      <c r="N69" s="88" t="b">
        <f aca="false">IF(IFERROR(INDEX(tsk_Name,GanttView[[#This Row],[_Row]])="",TRUE()),FALSE(),AND(INDEX(tsk_IsLeaf,GanttView[[#This Row],[_Row]])=1,N(INDEX(tsk_Duration,GanttView[[#This Row],[_Row]]))=0))</f>
        <v>0</v>
      </c>
      <c r="O6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89" t="n">
        <f aca="false">IF(GanttView[[#This Row],[_RemFrom]]=0,0,GanttView[[#This Row],[Forecast Finish]])</f>
        <v>0</v>
      </c>
      <c r="S69" s="88" t="b">
        <f aca="false">IF(IFERROR(INDEX(tsk_Name,GanttView[[#This Row],[_Row]])="",TRUE()),FALSE(),N(INDEX(tsk_Variance,GanttView[[#This Row],[_Row]]))&gt;0)</f>
        <v>0</v>
      </c>
      <c r="T69" s="89" t="n">
        <f aca="false">IF(IFERROR(INDEX(tsk_Name,GanttView[[#This Row],[_Row]])="",TRUE()),0,N(INDEX(tsk_Deadline,GanttView[[#This Row],[_Row]])))</f>
        <v>0</v>
      </c>
      <c r="U69" s="88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83" t="str">
        <f aca="false">IF(IFERROR(INDEX(tsk_Name,GanttView[[#This Row],[_Row]])="",TRUE()),"",INDEX(tsk_ID,GanttView[[#This Row],[_Row]]))</f>
        <v/>
      </c>
      <c r="B70" s="83" t="str">
        <f aca="false">IF(IFERROR(INDEX(tsk_Name,GanttView[[#This Row],[_Row]])="",TRUE()),"",INDEX(tsk_WBS,GanttView[[#This Row],[_Row]]))</f>
        <v/>
      </c>
      <c r="C70" s="84" t="str">
        <f aca="false">IF(IFERROR(INDEX(tsk_Name,GanttView[[#This Row],[_Row]])="",TRUE()),"",REPT("    ",INDEX(tsk_Level,GanttView[[#This Row],[_Row]])-1)&amp;INDEX(tsk_Name,GanttView[[#This Row],[_Row]]))</f>
        <v/>
      </c>
      <c r="D7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85" t="str">
        <f aca="false">IF(IFERROR(INDEX(tsk_Name,GanttView[[#This Row],[_Row]])="",TRUE()),"",INDEX(tsk_PlanStart,GanttView[[#This Row],[_Row]]))</f>
        <v/>
      </c>
      <c r="F70" s="85" t="str">
        <f aca="false">IF(IFERROR(INDEX(tsk_Name,GanttView[[#This Row],[_Row]])="",TRUE()),"",INDEX(tsk_PlanFinish,GanttView[[#This Row],[_Row]]))</f>
        <v/>
      </c>
      <c r="G70" s="85" t="str">
        <f aca="false">IF(IFERROR(INDEX(tsk_Name,GanttView[[#This Row],[_Row]])="",TRUE()),"",INDEX(tsk_FcStart,GanttView[[#This Row],[_Row]]))</f>
        <v/>
      </c>
      <c r="H70" s="85" t="str">
        <f aca="false">IF(IFERROR(INDEX(tsk_Name,GanttView[[#This Row],[_Row]])="",TRUE()),"",INDEX(tsk_FcFinish,GanttView[[#This Row],[_Row]]))</f>
        <v/>
      </c>
      <c r="I70" s="86" t="str">
        <f aca="false">IF(IFERROR(INDEX(tsk_Name,GanttView[[#This Row],[_Row]])="",TRUE()),"",INDEX(tsk_Progress,GanttView[[#This Row],[_Row]]))</f>
        <v/>
      </c>
      <c r="J70" s="84" t="str">
        <f aca="false">IF(IFERROR(INDEX(tsk_Name,GanttView[[#This Row],[_Row]])="",TRUE()),"",INDEX(tsk_Resource,GanttView[[#This Row],[_Row]])&amp;"")</f>
        <v/>
      </c>
      <c r="K70" s="83" t="str">
        <f aca="false">IF(IFERROR(INDEX(tsk_Name,GanttView[[#This Row],[_Row]])="",TRUE()),"",INDEX(tsk_Status,GanttView[[#This Row],[_Row]]))</f>
        <v/>
      </c>
      <c r="L70" s="87" t="n">
        <f aca="false">ROW()-ROW(GanttView[[#Headers],[ID]])</f>
        <v>65</v>
      </c>
      <c r="M70" s="88" t="b">
        <f aca="false">IF(IFERROR(INDEX(tsk_Name,GanttView[[#This Row],[_Row]])="",TRUE()),FALSE(),INDEX(tsk_IsSummary,GanttView[[#This Row],[_Row]]))</f>
        <v>0</v>
      </c>
      <c r="N70" s="88" t="b">
        <f aca="false">IF(IFERROR(INDEX(tsk_Name,GanttView[[#This Row],[_Row]])="",TRUE()),FALSE(),AND(INDEX(tsk_IsLeaf,GanttView[[#This Row],[_Row]])=1,N(INDEX(tsk_Duration,GanttView[[#This Row],[_Row]]))=0))</f>
        <v>0</v>
      </c>
      <c r="O7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89" t="n">
        <f aca="false">IF(GanttView[[#This Row],[_RemFrom]]=0,0,GanttView[[#This Row],[Forecast Finish]])</f>
        <v>0</v>
      </c>
      <c r="S70" s="88" t="b">
        <f aca="false">IF(IFERROR(INDEX(tsk_Name,GanttView[[#This Row],[_Row]])="",TRUE()),FALSE(),N(INDEX(tsk_Variance,GanttView[[#This Row],[_Row]]))&gt;0)</f>
        <v>0</v>
      </c>
      <c r="T70" s="89" t="n">
        <f aca="false">IF(IFERROR(INDEX(tsk_Name,GanttView[[#This Row],[_Row]])="",TRUE()),0,N(INDEX(tsk_Deadline,GanttView[[#This Row],[_Row]])))</f>
        <v>0</v>
      </c>
      <c r="U70" s="88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83" t="str">
        <f aca="false">IF(IFERROR(INDEX(tsk_Name,GanttView[[#This Row],[_Row]])="",TRUE()),"",INDEX(tsk_ID,GanttView[[#This Row],[_Row]]))</f>
        <v/>
      </c>
      <c r="B71" s="83" t="str">
        <f aca="false">IF(IFERROR(INDEX(tsk_Name,GanttView[[#This Row],[_Row]])="",TRUE()),"",INDEX(tsk_WBS,GanttView[[#This Row],[_Row]]))</f>
        <v/>
      </c>
      <c r="C71" s="84" t="str">
        <f aca="false">IF(IFERROR(INDEX(tsk_Name,GanttView[[#This Row],[_Row]])="",TRUE()),"",REPT("    ",INDEX(tsk_Level,GanttView[[#This Row],[_Row]])-1)&amp;INDEX(tsk_Name,GanttView[[#This Row],[_Row]]))</f>
        <v/>
      </c>
      <c r="D7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85" t="str">
        <f aca="false">IF(IFERROR(INDEX(tsk_Name,GanttView[[#This Row],[_Row]])="",TRUE()),"",INDEX(tsk_PlanStart,GanttView[[#This Row],[_Row]]))</f>
        <v/>
      </c>
      <c r="F71" s="85" t="str">
        <f aca="false">IF(IFERROR(INDEX(tsk_Name,GanttView[[#This Row],[_Row]])="",TRUE()),"",INDEX(tsk_PlanFinish,GanttView[[#This Row],[_Row]]))</f>
        <v/>
      </c>
      <c r="G71" s="85" t="str">
        <f aca="false">IF(IFERROR(INDEX(tsk_Name,GanttView[[#This Row],[_Row]])="",TRUE()),"",INDEX(tsk_FcStart,GanttView[[#This Row],[_Row]]))</f>
        <v/>
      </c>
      <c r="H71" s="85" t="str">
        <f aca="false">IF(IFERROR(INDEX(tsk_Name,GanttView[[#This Row],[_Row]])="",TRUE()),"",INDEX(tsk_FcFinish,GanttView[[#This Row],[_Row]]))</f>
        <v/>
      </c>
      <c r="I71" s="86" t="str">
        <f aca="false">IF(IFERROR(INDEX(tsk_Name,GanttView[[#This Row],[_Row]])="",TRUE()),"",INDEX(tsk_Progress,GanttView[[#This Row],[_Row]]))</f>
        <v/>
      </c>
      <c r="J71" s="84" t="str">
        <f aca="false">IF(IFERROR(INDEX(tsk_Name,GanttView[[#This Row],[_Row]])="",TRUE()),"",INDEX(tsk_Resource,GanttView[[#This Row],[_Row]])&amp;"")</f>
        <v/>
      </c>
      <c r="K71" s="83" t="str">
        <f aca="false">IF(IFERROR(INDEX(tsk_Name,GanttView[[#This Row],[_Row]])="",TRUE()),"",INDEX(tsk_Status,GanttView[[#This Row],[_Row]]))</f>
        <v/>
      </c>
      <c r="L71" s="87" t="n">
        <f aca="false">ROW()-ROW(GanttView[[#Headers],[ID]])</f>
        <v>66</v>
      </c>
      <c r="M71" s="88" t="b">
        <f aca="false">IF(IFERROR(INDEX(tsk_Name,GanttView[[#This Row],[_Row]])="",TRUE()),FALSE(),INDEX(tsk_IsSummary,GanttView[[#This Row],[_Row]]))</f>
        <v>0</v>
      </c>
      <c r="N71" s="88" t="b">
        <f aca="false">IF(IFERROR(INDEX(tsk_Name,GanttView[[#This Row],[_Row]])="",TRUE()),FALSE(),AND(INDEX(tsk_IsLeaf,GanttView[[#This Row],[_Row]])=1,N(INDEX(tsk_Duration,GanttView[[#This Row],[_Row]]))=0))</f>
        <v>0</v>
      </c>
      <c r="O7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89" t="n">
        <f aca="false">IF(GanttView[[#This Row],[_RemFrom]]=0,0,GanttView[[#This Row],[Forecast Finish]])</f>
        <v>0</v>
      </c>
      <c r="S71" s="88" t="b">
        <f aca="false">IF(IFERROR(INDEX(tsk_Name,GanttView[[#This Row],[_Row]])="",TRUE()),FALSE(),N(INDEX(tsk_Variance,GanttView[[#This Row],[_Row]]))&gt;0)</f>
        <v>0</v>
      </c>
      <c r="T71" s="89" t="n">
        <f aca="false">IF(IFERROR(INDEX(tsk_Name,GanttView[[#This Row],[_Row]])="",TRUE()),0,N(INDEX(tsk_Deadline,GanttView[[#This Row],[_Row]])))</f>
        <v>0</v>
      </c>
      <c r="U71" s="88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83" t="str">
        <f aca="false">IF(IFERROR(INDEX(tsk_Name,GanttView[[#This Row],[_Row]])="",TRUE()),"",INDEX(tsk_ID,GanttView[[#This Row],[_Row]]))</f>
        <v/>
      </c>
      <c r="B72" s="83" t="str">
        <f aca="false">IF(IFERROR(INDEX(tsk_Name,GanttView[[#This Row],[_Row]])="",TRUE()),"",INDEX(tsk_WBS,GanttView[[#This Row],[_Row]]))</f>
        <v/>
      </c>
      <c r="C72" s="84" t="str">
        <f aca="false">IF(IFERROR(INDEX(tsk_Name,GanttView[[#This Row],[_Row]])="",TRUE()),"",REPT("    ",INDEX(tsk_Level,GanttView[[#This Row],[_Row]])-1)&amp;INDEX(tsk_Name,GanttView[[#This Row],[_Row]]))</f>
        <v/>
      </c>
      <c r="D7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85" t="str">
        <f aca="false">IF(IFERROR(INDEX(tsk_Name,GanttView[[#This Row],[_Row]])="",TRUE()),"",INDEX(tsk_PlanStart,GanttView[[#This Row],[_Row]]))</f>
        <v/>
      </c>
      <c r="F72" s="85" t="str">
        <f aca="false">IF(IFERROR(INDEX(tsk_Name,GanttView[[#This Row],[_Row]])="",TRUE()),"",INDEX(tsk_PlanFinish,GanttView[[#This Row],[_Row]]))</f>
        <v/>
      </c>
      <c r="G72" s="85" t="str">
        <f aca="false">IF(IFERROR(INDEX(tsk_Name,GanttView[[#This Row],[_Row]])="",TRUE()),"",INDEX(tsk_FcStart,GanttView[[#This Row],[_Row]]))</f>
        <v/>
      </c>
      <c r="H72" s="85" t="str">
        <f aca="false">IF(IFERROR(INDEX(tsk_Name,GanttView[[#This Row],[_Row]])="",TRUE()),"",INDEX(tsk_FcFinish,GanttView[[#This Row],[_Row]]))</f>
        <v/>
      </c>
      <c r="I72" s="86" t="str">
        <f aca="false">IF(IFERROR(INDEX(tsk_Name,GanttView[[#This Row],[_Row]])="",TRUE()),"",INDEX(tsk_Progress,GanttView[[#This Row],[_Row]]))</f>
        <v/>
      </c>
      <c r="J72" s="84" t="str">
        <f aca="false">IF(IFERROR(INDEX(tsk_Name,GanttView[[#This Row],[_Row]])="",TRUE()),"",INDEX(tsk_Resource,GanttView[[#This Row],[_Row]])&amp;"")</f>
        <v/>
      </c>
      <c r="K72" s="83" t="str">
        <f aca="false">IF(IFERROR(INDEX(tsk_Name,GanttView[[#This Row],[_Row]])="",TRUE()),"",INDEX(tsk_Status,GanttView[[#This Row],[_Row]]))</f>
        <v/>
      </c>
      <c r="L72" s="87" t="n">
        <f aca="false">ROW()-ROW(GanttView[[#Headers],[ID]])</f>
        <v>67</v>
      </c>
      <c r="M72" s="88" t="b">
        <f aca="false">IF(IFERROR(INDEX(tsk_Name,GanttView[[#This Row],[_Row]])="",TRUE()),FALSE(),INDEX(tsk_IsSummary,GanttView[[#This Row],[_Row]]))</f>
        <v>0</v>
      </c>
      <c r="N72" s="88" t="b">
        <f aca="false">IF(IFERROR(INDEX(tsk_Name,GanttView[[#This Row],[_Row]])="",TRUE()),FALSE(),AND(INDEX(tsk_IsLeaf,GanttView[[#This Row],[_Row]])=1,N(INDEX(tsk_Duration,GanttView[[#This Row],[_Row]]))=0))</f>
        <v>0</v>
      </c>
      <c r="O7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89" t="n">
        <f aca="false">IF(GanttView[[#This Row],[_RemFrom]]=0,0,GanttView[[#This Row],[Forecast Finish]])</f>
        <v>0</v>
      </c>
      <c r="S72" s="88" t="b">
        <f aca="false">IF(IFERROR(INDEX(tsk_Name,GanttView[[#This Row],[_Row]])="",TRUE()),FALSE(),N(INDEX(tsk_Variance,GanttView[[#This Row],[_Row]]))&gt;0)</f>
        <v>0</v>
      </c>
      <c r="T72" s="89" t="n">
        <f aca="false">IF(IFERROR(INDEX(tsk_Name,GanttView[[#This Row],[_Row]])="",TRUE()),0,N(INDEX(tsk_Deadline,GanttView[[#This Row],[_Row]])))</f>
        <v>0</v>
      </c>
      <c r="U72" s="88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83" t="str">
        <f aca="false">IF(IFERROR(INDEX(tsk_Name,GanttView[[#This Row],[_Row]])="",TRUE()),"",INDEX(tsk_ID,GanttView[[#This Row],[_Row]]))</f>
        <v/>
      </c>
      <c r="B73" s="83" t="str">
        <f aca="false">IF(IFERROR(INDEX(tsk_Name,GanttView[[#This Row],[_Row]])="",TRUE()),"",INDEX(tsk_WBS,GanttView[[#This Row],[_Row]]))</f>
        <v/>
      </c>
      <c r="C73" s="84" t="str">
        <f aca="false">IF(IFERROR(INDEX(tsk_Name,GanttView[[#This Row],[_Row]])="",TRUE()),"",REPT("    ",INDEX(tsk_Level,GanttView[[#This Row],[_Row]])-1)&amp;INDEX(tsk_Name,GanttView[[#This Row],[_Row]]))</f>
        <v/>
      </c>
      <c r="D7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85" t="str">
        <f aca="false">IF(IFERROR(INDEX(tsk_Name,GanttView[[#This Row],[_Row]])="",TRUE()),"",INDEX(tsk_PlanStart,GanttView[[#This Row],[_Row]]))</f>
        <v/>
      </c>
      <c r="F73" s="85" t="str">
        <f aca="false">IF(IFERROR(INDEX(tsk_Name,GanttView[[#This Row],[_Row]])="",TRUE()),"",INDEX(tsk_PlanFinish,GanttView[[#This Row],[_Row]]))</f>
        <v/>
      </c>
      <c r="G73" s="85" t="str">
        <f aca="false">IF(IFERROR(INDEX(tsk_Name,GanttView[[#This Row],[_Row]])="",TRUE()),"",INDEX(tsk_FcStart,GanttView[[#This Row],[_Row]]))</f>
        <v/>
      </c>
      <c r="H73" s="85" t="str">
        <f aca="false">IF(IFERROR(INDEX(tsk_Name,GanttView[[#This Row],[_Row]])="",TRUE()),"",INDEX(tsk_FcFinish,GanttView[[#This Row],[_Row]]))</f>
        <v/>
      </c>
      <c r="I73" s="86" t="str">
        <f aca="false">IF(IFERROR(INDEX(tsk_Name,GanttView[[#This Row],[_Row]])="",TRUE()),"",INDEX(tsk_Progress,GanttView[[#This Row],[_Row]]))</f>
        <v/>
      </c>
      <c r="J73" s="84" t="str">
        <f aca="false">IF(IFERROR(INDEX(tsk_Name,GanttView[[#This Row],[_Row]])="",TRUE()),"",INDEX(tsk_Resource,GanttView[[#This Row],[_Row]])&amp;"")</f>
        <v/>
      </c>
      <c r="K73" s="83" t="str">
        <f aca="false">IF(IFERROR(INDEX(tsk_Name,GanttView[[#This Row],[_Row]])="",TRUE()),"",INDEX(tsk_Status,GanttView[[#This Row],[_Row]]))</f>
        <v/>
      </c>
      <c r="L73" s="87" t="n">
        <f aca="false">ROW()-ROW(GanttView[[#Headers],[ID]])</f>
        <v>68</v>
      </c>
      <c r="M73" s="88" t="b">
        <f aca="false">IF(IFERROR(INDEX(tsk_Name,GanttView[[#This Row],[_Row]])="",TRUE()),FALSE(),INDEX(tsk_IsSummary,GanttView[[#This Row],[_Row]]))</f>
        <v>0</v>
      </c>
      <c r="N73" s="88" t="b">
        <f aca="false">IF(IFERROR(INDEX(tsk_Name,GanttView[[#This Row],[_Row]])="",TRUE()),FALSE(),AND(INDEX(tsk_IsLeaf,GanttView[[#This Row],[_Row]])=1,N(INDEX(tsk_Duration,GanttView[[#This Row],[_Row]]))=0))</f>
        <v>0</v>
      </c>
      <c r="O7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89" t="n">
        <f aca="false">IF(GanttView[[#This Row],[_RemFrom]]=0,0,GanttView[[#This Row],[Forecast Finish]])</f>
        <v>0</v>
      </c>
      <c r="S73" s="88" t="b">
        <f aca="false">IF(IFERROR(INDEX(tsk_Name,GanttView[[#This Row],[_Row]])="",TRUE()),FALSE(),N(INDEX(tsk_Variance,GanttView[[#This Row],[_Row]]))&gt;0)</f>
        <v>0</v>
      </c>
      <c r="T73" s="89" t="n">
        <f aca="false">IF(IFERROR(INDEX(tsk_Name,GanttView[[#This Row],[_Row]])="",TRUE()),0,N(INDEX(tsk_Deadline,GanttView[[#This Row],[_Row]])))</f>
        <v>0</v>
      </c>
      <c r="U73" s="88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83" t="str">
        <f aca="false">IF(IFERROR(INDEX(tsk_Name,GanttView[[#This Row],[_Row]])="",TRUE()),"",INDEX(tsk_ID,GanttView[[#This Row],[_Row]]))</f>
        <v/>
      </c>
      <c r="B74" s="83" t="str">
        <f aca="false">IF(IFERROR(INDEX(tsk_Name,GanttView[[#This Row],[_Row]])="",TRUE()),"",INDEX(tsk_WBS,GanttView[[#This Row],[_Row]]))</f>
        <v/>
      </c>
      <c r="C74" s="84" t="str">
        <f aca="false">IF(IFERROR(INDEX(tsk_Name,GanttView[[#This Row],[_Row]])="",TRUE()),"",REPT("    ",INDEX(tsk_Level,GanttView[[#This Row],[_Row]])-1)&amp;INDEX(tsk_Name,GanttView[[#This Row],[_Row]]))</f>
        <v/>
      </c>
      <c r="D7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85" t="str">
        <f aca="false">IF(IFERROR(INDEX(tsk_Name,GanttView[[#This Row],[_Row]])="",TRUE()),"",INDEX(tsk_PlanStart,GanttView[[#This Row],[_Row]]))</f>
        <v/>
      </c>
      <c r="F74" s="85" t="str">
        <f aca="false">IF(IFERROR(INDEX(tsk_Name,GanttView[[#This Row],[_Row]])="",TRUE()),"",INDEX(tsk_PlanFinish,GanttView[[#This Row],[_Row]]))</f>
        <v/>
      </c>
      <c r="G74" s="85" t="str">
        <f aca="false">IF(IFERROR(INDEX(tsk_Name,GanttView[[#This Row],[_Row]])="",TRUE()),"",INDEX(tsk_FcStart,GanttView[[#This Row],[_Row]]))</f>
        <v/>
      </c>
      <c r="H74" s="85" t="str">
        <f aca="false">IF(IFERROR(INDEX(tsk_Name,GanttView[[#This Row],[_Row]])="",TRUE()),"",INDEX(tsk_FcFinish,GanttView[[#This Row],[_Row]]))</f>
        <v/>
      </c>
      <c r="I74" s="86" t="str">
        <f aca="false">IF(IFERROR(INDEX(tsk_Name,GanttView[[#This Row],[_Row]])="",TRUE()),"",INDEX(tsk_Progress,GanttView[[#This Row],[_Row]]))</f>
        <v/>
      </c>
      <c r="J74" s="84" t="str">
        <f aca="false">IF(IFERROR(INDEX(tsk_Name,GanttView[[#This Row],[_Row]])="",TRUE()),"",INDEX(tsk_Resource,GanttView[[#This Row],[_Row]])&amp;"")</f>
        <v/>
      </c>
      <c r="K74" s="83" t="str">
        <f aca="false">IF(IFERROR(INDEX(tsk_Name,GanttView[[#This Row],[_Row]])="",TRUE()),"",INDEX(tsk_Status,GanttView[[#This Row],[_Row]]))</f>
        <v/>
      </c>
      <c r="L74" s="87" t="n">
        <f aca="false">ROW()-ROW(GanttView[[#Headers],[ID]])</f>
        <v>69</v>
      </c>
      <c r="M74" s="88" t="b">
        <f aca="false">IF(IFERROR(INDEX(tsk_Name,GanttView[[#This Row],[_Row]])="",TRUE()),FALSE(),INDEX(tsk_IsSummary,GanttView[[#This Row],[_Row]]))</f>
        <v>0</v>
      </c>
      <c r="N74" s="88" t="b">
        <f aca="false">IF(IFERROR(INDEX(tsk_Name,GanttView[[#This Row],[_Row]])="",TRUE()),FALSE(),AND(INDEX(tsk_IsLeaf,GanttView[[#This Row],[_Row]])=1,N(INDEX(tsk_Duration,GanttView[[#This Row],[_Row]]))=0))</f>
        <v>0</v>
      </c>
      <c r="O7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89" t="n">
        <f aca="false">IF(GanttView[[#This Row],[_RemFrom]]=0,0,GanttView[[#This Row],[Forecast Finish]])</f>
        <v>0</v>
      </c>
      <c r="S74" s="88" t="b">
        <f aca="false">IF(IFERROR(INDEX(tsk_Name,GanttView[[#This Row],[_Row]])="",TRUE()),FALSE(),N(INDEX(tsk_Variance,GanttView[[#This Row],[_Row]]))&gt;0)</f>
        <v>0</v>
      </c>
      <c r="T74" s="89" t="n">
        <f aca="false">IF(IFERROR(INDEX(tsk_Name,GanttView[[#This Row],[_Row]])="",TRUE()),0,N(INDEX(tsk_Deadline,GanttView[[#This Row],[_Row]])))</f>
        <v>0</v>
      </c>
      <c r="U74" s="88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83" t="str">
        <f aca="false">IF(IFERROR(INDEX(tsk_Name,GanttView[[#This Row],[_Row]])="",TRUE()),"",INDEX(tsk_ID,GanttView[[#This Row],[_Row]]))</f>
        <v/>
      </c>
      <c r="B75" s="83" t="str">
        <f aca="false">IF(IFERROR(INDEX(tsk_Name,GanttView[[#This Row],[_Row]])="",TRUE()),"",INDEX(tsk_WBS,GanttView[[#This Row],[_Row]]))</f>
        <v/>
      </c>
      <c r="C75" s="84" t="str">
        <f aca="false">IF(IFERROR(INDEX(tsk_Name,GanttView[[#This Row],[_Row]])="",TRUE()),"",REPT("    ",INDEX(tsk_Level,GanttView[[#This Row],[_Row]])-1)&amp;INDEX(tsk_Name,GanttView[[#This Row],[_Row]]))</f>
        <v/>
      </c>
      <c r="D7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85" t="str">
        <f aca="false">IF(IFERROR(INDEX(tsk_Name,GanttView[[#This Row],[_Row]])="",TRUE()),"",INDEX(tsk_PlanStart,GanttView[[#This Row],[_Row]]))</f>
        <v/>
      </c>
      <c r="F75" s="85" t="str">
        <f aca="false">IF(IFERROR(INDEX(tsk_Name,GanttView[[#This Row],[_Row]])="",TRUE()),"",INDEX(tsk_PlanFinish,GanttView[[#This Row],[_Row]]))</f>
        <v/>
      </c>
      <c r="G75" s="85" t="str">
        <f aca="false">IF(IFERROR(INDEX(tsk_Name,GanttView[[#This Row],[_Row]])="",TRUE()),"",INDEX(tsk_FcStart,GanttView[[#This Row],[_Row]]))</f>
        <v/>
      </c>
      <c r="H75" s="85" t="str">
        <f aca="false">IF(IFERROR(INDEX(tsk_Name,GanttView[[#This Row],[_Row]])="",TRUE()),"",INDEX(tsk_FcFinish,GanttView[[#This Row],[_Row]]))</f>
        <v/>
      </c>
      <c r="I75" s="86" t="str">
        <f aca="false">IF(IFERROR(INDEX(tsk_Name,GanttView[[#This Row],[_Row]])="",TRUE()),"",INDEX(tsk_Progress,GanttView[[#This Row],[_Row]]))</f>
        <v/>
      </c>
      <c r="J75" s="84" t="str">
        <f aca="false">IF(IFERROR(INDEX(tsk_Name,GanttView[[#This Row],[_Row]])="",TRUE()),"",INDEX(tsk_Resource,GanttView[[#This Row],[_Row]])&amp;"")</f>
        <v/>
      </c>
      <c r="K75" s="83" t="str">
        <f aca="false">IF(IFERROR(INDEX(tsk_Name,GanttView[[#This Row],[_Row]])="",TRUE()),"",INDEX(tsk_Status,GanttView[[#This Row],[_Row]]))</f>
        <v/>
      </c>
      <c r="L75" s="87" t="n">
        <f aca="false">ROW()-ROW(GanttView[[#Headers],[ID]])</f>
        <v>70</v>
      </c>
      <c r="M75" s="88" t="b">
        <f aca="false">IF(IFERROR(INDEX(tsk_Name,GanttView[[#This Row],[_Row]])="",TRUE()),FALSE(),INDEX(tsk_IsSummary,GanttView[[#This Row],[_Row]]))</f>
        <v>0</v>
      </c>
      <c r="N75" s="88" t="b">
        <f aca="false">IF(IFERROR(INDEX(tsk_Name,GanttView[[#This Row],[_Row]])="",TRUE()),FALSE(),AND(INDEX(tsk_IsLeaf,GanttView[[#This Row],[_Row]])=1,N(INDEX(tsk_Duration,GanttView[[#This Row],[_Row]]))=0))</f>
        <v>0</v>
      </c>
      <c r="O7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89" t="n">
        <f aca="false">IF(GanttView[[#This Row],[_RemFrom]]=0,0,GanttView[[#This Row],[Forecast Finish]])</f>
        <v>0</v>
      </c>
      <c r="S75" s="88" t="b">
        <f aca="false">IF(IFERROR(INDEX(tsk_Name,GanttView[[#This Row],[_Row]])="",TRUE()),FALSE(),N(INDEX(tsk_Variance,GanttView[[#This Row],[_Row]]))&gt;0)</f>
        <v>0</v>
      </c>
      <c r="T75" s="89" t="n">
        <f aca="false">IF(IFERROR(INDEX(tsk_Name,GanttView[[#This Row],[_Row]])="",TRUE()),0,N(INDEX(tsk_Deadline,GanttView[[#This Row],[_Row]])))</f>
        <v>0</v>
      </c>
      <c r="U75" s="88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83" t="str">
        <f aca="false">IF(IFERROR(INDEX(tsk_Name,GanttView[[#This Row],[_Row]])="",TRUE()),"",INDEX(tsk_ID,GanttView[[#This Row],[_Row]]))</f>
        <v/>
      </c>
      <c r="B76" s="83" t="str">
        <f aca="false">IF(IFERROR(INDEX(tsk_Name,GanttView[[#This Row],[_Row]])="",TRUE()),"",INDEX(tsk_WBS,GanttView[[#This Row],[_Row]]))</f>
        <v/>
      </c>
      <c r="C76" s="84" t="str">
        <f aca="false">IF(IFERROR(INDEX(tsk_Name,GanttView[[#This Row],[_Row]])="",TRUE()),"",REPT("    ",INDEX(tsk_Level,GanttView[[#This Row],[_Row]])-1)&amp;INDEX(tsk_Name,GanttView[[#This Row],[_Row]]))</f>
        <v/>
      </c>
      <c r="D7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85" t="str">
        <f aca="false">IF(IFERROR(INDEX(tsk_Name,GanttView[[#This Row],[_Row]])="",TRUE()),"",INDEX(tsk_PlanStart,GanttView[[#This Row],[_Row]]))</f>
        <v/>
      </c>
      <c r="F76" s="85" t="str">
        <f aca="false">IF(IFERROR(INDEX(tsk_Name,GanttView[[#This Row],[_Row]])="",TRUE()),"",INDEX(tsk_PlanFinish,GanttView[[#This Row],[_Row]]))</f>
        <v/>
      </c>
      <c r="G76" s="85" t="str">
        <f aca="false">IF(IFERROR(INDEX(tsk_Name,GanttView[[#This Row],[_Row]])="",TRUE()),"",INDEX(tsk_FcStart,GanttView[[#This Row],[_Row]]))</f>
        <v/>
      </c>
      <c r="H76" s="85" t="str">
        <f aca="false">IF(IFERROR(INDEX(tsk_Name,GanttView[[#This Row],[_Row]])="",TRUE()),"",INDEX(tsk_FcFinish,GanttView[[#This Row],[_Row]]))</f>
        <v/>
      </c>
      <c r="I76" s="86" t="str">
        <f aca="false">IF(IFERROR(INDEX(tsk_Name,GanttView[[#This Row],[_Row]])="",TRUE()),"",INDEX(tsk_Progress,GanttView[[#This Row],[_Row]]))</f>
        <v/>
      </c>
      <c r="J76" s="84" t="str">
        <f aca="false">IF(IFERROR(INDEX(tsk_Name,GanttView[[#This Row],[_Row]])="",TRUE()),"",INDEX(tsk_Resource,GanttView[[#This Row],[_Row]])&amp;"")</f>
        <v/>
      </c>
      <c r="K76" s="83" t="str">
        <f aca="false">IF(IFERROR(INDEX(tsk_Name,GanttView[[#This Row],[_Row]])="",TRUE()),"",INDEX(tsk_Status,GanttView[[#This Row],[_Row]]))</f>
        <v/>
      </c>
      <c r="L76" s="87" t="n">
        <f aca="false">ROW()-ROW(GanttView[[#Headers],[ID]])</f>
        <v>71</v>
      </c>
      <c r="M76" s="88" t="b">
        <f aca="false">IF(IFERROR(INDEX(tsk_Name,GanttView[[#This Row],[_Row]])="",TRUE()),FALSE(),INDEX(tsk_IsSummary,GanttView[[#This Row],[_Row]]))</f>
        <v>0</v>
      </c>
      <c r="N76" s="88" t="b">
        <f aca="false">IF(IFERROR(INDEX(tsk_Name,GanttView[[#This Row],[_Row]])="",TRUE()),FALSE(),AND(INDEX(tsk_IsLeaf,GanttView[[#This Row],[_Row]])=1,N(INDEX(tsk_Duration,GanttView[[#This Row],[_Row]]))=0))</f>
        <v>0</v>
      </c>
      <c r="O7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89" t="n">
        <f aca="false">IF(GanttView[[#This Row],[_RemFrom]]=0,0,GanttView[[#This Row],[Forecast Finish]])</f>
        <v>0</v>
      </c>
      <c r="S76" s="88" t="b">
        <f aca="false">IF(IFERROR(INDEX(tsk_Name,GanttView[[#This Row],[_Row]])="",TRUE()),FALSE(),N(INDEX(tsk_Variance,GanttView[[#This Row],[_Row]]))&gt;0)</f>
        <v>0</v>
      </c>
      <c r="T76" s="89" t="n">
        <f aca="false">IF(IFERROR(INDEX(tsk_Name,GanttView[[#This Row],[_Row]])="",TRUE()),0,N(INDEX(tsk_Deadline,GanttView[[#This Row],[_Row]])))</f>
        <v>0</v>
      </c>
      <c r="U76" s="88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83" t="str">
        <f aca="false">IF(IFERROR(INDEX(tsk_Name,GanttView[[#This Row],[_Row]])="",TRUE()),"",INDEX(tsk_ID,GanttView[[#This Row],[_Row]]))</f>
        <v/>
      </c>
      <c r="B77" s="83" t="str">
        <f aca="false">IF(IFERROR(INDEX(tsk_Name,GanttView[[#This Row],[_Row]])="",TRUE()),"",INDEX(tsk_WBS,GanttView[[#This Row],[_Row]]))</f>
        <v/>
      </c>
      <c r="C77" s="84" t="str">
        <f aca="false">IF(IFERROR(INDEX(tsk_Name,GanttView[[#This Row],[_Row]])="",TRUE()),"",REPT("    ",INDEX(tsk_Level,GanttView[[#This Row],[_Row]])-1)&amp;INDEX(tsk_Name,GanttView[[#This Row],[_Row]]))</f>
        <v/>
      </c>
      <c r="D7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85" t="str">
        <f aca="false">IF(IFERROR(INDEX(tsk_Name,GanttView[[#This Row],[_Row]])="",TRUE()),"",INDEX(tsk_PlanStart,GanttView[[#This Row],[_Row]]))</f>
        <v/>
      </c>
      <c r="F77" s="85" t="str">
        <f aca="false">IF(IFERROR(INDEX(tsk_Name,GanttView[[#This Row],[_Row]])="",TRUE()),"",INDEX(tsk_PlanFinish,GanttView[[#This Row],[_Row]]))</f>
        <v/>
      </c>
      <c r="G77" s="85" t="str">
        <f aca="false">IF(IFERROR(INDEX(tsk_Name,GanttView[[#This Row],[_Row]])="",TRUE()),"",INDEX(tsk_FcStart,GanttView[[#This Row],[_Row]]))</f>
        <v/>
      </c>
      <c r="H77" s="85" t="str">
        <f aca="false">IF(IFERROR(INDEX(tsk_Name,GanttView[[#This Row],[_Row]])="",TRUE()),"",INDEX(tsk_FcFinish,GanttView[[#This Row],[_Row]]))</f>
        <v/>
      </c>
      <c r="I77" s="86" t="str">
        <f aca="false">IF(IFERROR(INDEX(tsk_Name,GanttView[[#This Row],[_Row]])="",TRUE()),"",INDEX(tsk_Progress,GanttView[[#This Row],[_Row]]))</f>
        <v/>
      </c>
      <c r="J77" s="84" t="str">
        <f aca="false">IF(IFERROR(INDEX(tsk_Name,GanttView[[#This Row],[_Row]])="",TRUE()),"",INDEX(tsk_Resource,GanttView[[#This Row],[_Row]])&amp;"")</f>
        <v/>
      </c>
      <c r="K77" s="83" t="str">
        <f aca="false">IF(IFERROR(INDEX(tsk_Name,GanttView[[#This Row],[_Row]])="",TRUE()),"",INDEX(tsk_Status,GanttView[[#This Row],[_Row]]))</f>
        <v/>
      </c>
      <c r="L77" s="87" t="n">
        <f aca="false">ROW()-ROW(GanttView[[#Headers],[ID]])</f>
        <v>72</v>
      </c>
      <c r="M77" s="88" t="b">
        <f aca="false">IF(IFERROR(INDEX(tsk_Name,GanttView[[#This Row],[_Row]])="",TRUE()),FALSE(),INDEX(tsk_IsSummary,GanttView[[#This Row],[_Row]]))</f>
        <v>0</v>
      </c>
      <c r="N77" s="88" t="b">
        <f aca="false">IF(IFERROR(INDEX(tsk_Name,GanttView[[#This Row],[_Row]])="",TRUE()),FALSE(),AND(INDEX(tsk_IsLeaf,GanttView[[#This Row],[_Row]])=1,N(INDEX(tsk_Duration,GanttView[[#This Row],[_Row]]))=0))</f>
        <v>0</v>
      </c>
      <c r="O7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89" t="n">
        <f aca="false">IF(GanttView[[#This Row],[_RemFrom]]=0,0,GanttView[[#This Row],[Forecast Finish]])</f>
        <v>0</v>
      </c>
      <c r="S77" s="88" t="b">
        <f aca="false">IF(IFERROR(INDEX(tsk_Name,GanttView[[#This Row],[_Row]])="",TRUE()),FALSE(),N(INDEX(tsk_Variance,GanttView[[#This Row],[_Row]]))&gt;0)</f>
        <v>0</v>
      </c>
      <c r="T77" s="89" t="n">
        <f aca="false">IF(IFERROR(INDEX(tsk_Name,GanttView[[#This Row],[_Row]])="",TRUE()),0,N(INDEX(tsk_Deadline,GanttView[[#This Row],[_Row]])))</f>
        <v>0</v>
      </c>
      <c r="U77" s="88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83" t="str">
        <f aca="false">IF(IFERROR(INDEX(tsk_Name,GanttView[[#This Row],[_Row]])="",TRUE()),"",INDEX(tsk_ID,GanttView[[#This Row],[_Row]]))</f>
        <v/>
      </c>
      <c r="B78" s="83" t="str">
        <f aca="false">IF(IFERROR(INDEX(tsk_Name,GanttView[[#This Row],[_Row]])="",TRUE()),"",INDEX(tsk_WBS,GanttView[[#This Row],[_Row]]))</f>
        <v/>
      </c>
      <c r="C78" s="84" t="str">
        <f aca="false">IF(IFERROR(INDEX(tsk_Name,GanttView[[#This Row],[_Row]])="",TRUE()),"",REPT("    ",INDEX(tsk_Level,GanttView[[#This Row],[_Row]])-1)&amp;INDEX(tsk_Name,GanttView[[#This Row],[_Row]]))</f>
        <v/>
      </c>
      <c r="D7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85" t="str">
        <f aca="false">IF(IFERROR(INDEX(tsk_Name,GanttView[[#This Row],[_Row]])="",TRUE()),"",INDEX(tsk_PlanStart,GanttView[[#This Row],[_Row]]))</f>
        <v/>
      </c>
      <c r="F78" s="85" t="str">
        <f aca="false">IF(IFERROR(INDEX(tsk_Name,GanttView[[#This Row],[_Row]])="",TRUE()),"",INDEX(tsk_PlanFinish,GanttView[[#This Row],[_Row]]))</f>
        <v/>
      </c>
      <c r="G78" s="85" t="str">
        <f aca="false">IF(IFERROR(INDEX(tsk_Name,GanttView[[#This Row],[_Row]])="",TRUE()),"",INDEX(tsk_FcStart,GanttView[[#This Row],[_Row]]))</f>
        <v/>
      </c>
      <c r="H78" s="85" t="str">
        <f aca="false">IF(IFERROR(INDEX(tsk_Name,GanttView[[#This Row],[_Row]])="",TRUE()),"",INDEX(tsk_FcFinish,GanttView[[#This Row],[_Row]]))</f>
        <v/>
      </c>
      <c r="I78" s="86" t="str">
        <f aca="false">IF(IFERROR(INDEX(tsk_Name,GanttView[[#This Row],[_Row]])="",TRUE()),"",INDEX(tsk_Progress,GanttView[[#This Row],[_Row]]))</f>
        <v/>
      </c>
      <c r="J78" s="84" t="str">
        <f aca="false">IF(IFERROR(INDEX(tsk_Name,GanttView[[#This Row],[_Row]])="",TRUE()),"",INDEX(tsk_Resource,GanttView[[#This Row],[_Row]])&amp;"")</f>
        <v/>
      </c>
      <c r="K78" s="83" t="str">
        <f aca="false">IF(IFERROR(INDEX(tsk_Name,GanttView[[#This Row],[_Row]])="",TRUE()),"",INDEX(tsk_Status,GanttView[[#This Row],[_Row]]))</f>
        <v/>
      </c>
      <c r="L78" s="87" t="n">
        <f aca="false">ROW()-ROW(GanttView[[#Headers],[ID]])</f>
        <v>73</v>
      </c>
      <c r="M78" s="88" t="b">
        <f aca="false">IF(IFERROR(INDEX(tsk_Name,GanttView[[#This Row],[_Row]])="",TRUE()),FALSE(),INDEX(tsk_IsSummary,GanttView[[#This Row],[_Row]]))</f>
        <v>0</v>
      </c>
      <c r="N78" s="88" t="b">
        <f aca="false">IF(IFERROR(INDEX(tsk_Name,GanttView[[#This Row],[_Row]])="",TRUE()),FALSE(),AND(INDEX(tsk_IsLeaf,GanttView[[#This Row],[_Row]])=1,N(INDEX(tsk_Duration,GanttView[[#This Row],[_Row]]))=0))</f>
        <v>0</v>
      </c>
      <c r="O7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89" t="n">
        <f aca="false">IF(GanttView[[#This Row],[_RemFrom]]=0,0,GanttView[[#This Row],[Forecast Finish]])</f>
        <v>0</v>
      </c>
      <c r="S78" s="88" t="b">
        <f aca="false">IF(IFERROR(INDEX(tsk_Name,GanttView[[#This Row],[_Row]])="",TRUE()),FALSE(),N(INDEX(tsk_Variance,GanttView[[#This Row],[_Row]]))&gt;0)</f>
        <v>0</v>
      </c>
      <c r="T78" s="89" t="n">
        <f aca="false">IF(IFERROR(INDEX(tsk_Name,GanttView[[#This Row],[_Row]])="",TRUE()),0,N(INDEX(tsk_Deadline,GanttView[[#This Row],[_Row]])))</f>
        <v>0</v>
      </c>
      <c r="U78" s="88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83" t="str">
        <f aca="false">IF(IFERROR(INDEX(tsk_Name,GanttView[[#This Row],[_Row]])="",TRUE()),"",INDEX(tsk_ID,GanttView[[#This Row],[_Row]]))</f>
        <v/>
      </c>
      <c r="B79" s="83" t="str">
        <f aca="false">IF(IFERROR(INDEX(tsk_Name,GanttView[[#This Row],[_Row]])="",TRUE()),"",INDEX(tsk_WBS,GanttView[[#This Row],[_Row]]))</f>
        <v/>
      </c>
      <c r="C79" s="84" t="str">
        <f aca="false">IF(IFERROR(INDEX(tsk_Name,GanttView[[#This Row],[_Row]])="",TRUE()),"",REPT("    ",INDEX(tsk_Level,GanttView[[#This Row],[_Row]])-1)&amp;INDEX(tsk_Name,GanttView[[#This Row],[_Row]]))</f>
        <v/>
      </c>
      <c r="D7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85" t="str">
        <f aca="false">IF(IFERROR(INDEX(tsk_Name,GanttView[[#This Row],[_Row]])="",TRUE()),"",INDEX(tsk_PlanStart,GanttView[[#This Row],[_Row]]))</f>
        <v/>
      </c>
      <c r="F79" s="85" t="str">
        <f aca="false">IF(IFERROR(INDEX(tsk_Name,GanttView[[#This Row],[_Row]])="",TRUE()),"",INDEX(tsk_PlanFinish,GanttView[[#This Row],[_Row]]))</f>
        <v/>
      </c>
      <c r="G79" s="85" t="str">
        <f aca="false">IF(IFERROR(INDEX(tsk_Name,GanttView[[#This Row],[_Row]])="",TRUE()),"",INDEX(tsk_FcStart,GanttView[[#This Row],[_Row]]))</f>
        <v/>
      </c>
      <c r="H79" s="85" t="str">
        <f aca="false">IF(IFERROR(INDEX(tsk_Name,GanttView[[#This Row],[_Row]])="",TRUE()),"",INDEX(tsk_FcFinish,GanttView[[#This Row],[_Row]]))</f>
        <v/>
      </c>
      <c r="I79" s="86" t="str">
        <f aca="false">IF(IFERROR(INDEX(tsk_Name,GanttView[[#This Row],[_Row]])="",TRUE()),"",INDEX(tsk_Progress,GanttView[[#This Row],[_Row]]))</f>
        <v/>
      </c>
      <c r="J79" s="84" t="str">
        <f aca="false">IF(IFERROR(INDEX(tsk_Name,GanttView[[#This Row],[_Row]])="",TRUE()),"",INDEX(tsk_Resource,GanttView[[#This Row],[_Row]])&amp;"")</f>
        <v/>
      </c>
      <c r="K79" s="83" t="str">
        <f aca="false">IF(IFERROR(INDEX(tsk_Name,GanttView[[#This Row],[_Row]])="",TRUE()),"",INDEX(tsk_Status,GanttView[[#This Row],[_Row]]))</f>
        <v/>
      </c>
      <c r="L79" s="87" t="n">
        <f aca="false">ROW()-ROW(GanttView[[#Headers],[ID]])</f>
        <v>74</v>
      </c>
      <c r="M79" s="88" t="b">
        <f aca="false">IF(IFERROR(INDEX(tsk_Name,GanttView[[#This Row],[_Row]])="",TRUE()),FALSE(),INDEX(tsk_IsSummary,GanttView[[#This Row],[_Row]]))</f>
        <v>0</v>
      </c>
      <c r="N79" s="88" t="b">
        <f aca="false">IF(IFERROR(INDEX(tsk_Name,GanttView[[#This Row],[_Row]])="",TRUE()),FALSE(),AND(INDEX(tsk_IsLeaf,GanttView[[#This Row],[_Row]])=1,N(INDEX(tsk_Duration,GanttView[[#This Row],[_Row]]))=0))</f>
        <v>0</v>
      </c>
      <c r="O7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89" t="n">
        <f aca="false">IF(GanttView[[#This Row],[_RemFrom]]=0,0,GanttView[[#This Row],[Forecast Finish]])</f>
        <v>0</v>
      </c>
      <c r="S79" s="88" t="b">
        <f aca="false">IF(IFERROR(INDEX(tsk_Name,GanttView[[#This Row],[_Row]])="",TRUE()),FALSE(),N(INDEX(tsk_Variance,GanttView[[#This Row],[_Row]]))&gt;0)</f>
        <v>0</v>
      </c>
      <c r="T79" s="89" t="n">
        <f aca="false">IF(IFERROR(INDEX(tsk_Name,GanttView[[#This Row],[_Row]])="",TRUE()),0,N(INDEX(tsk_Deadline,GanttView[[#This Row],[_Row]])))</f>
        <v>0</v>
      </c>
      <c r="U79" s="88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83" t="str">
        <f aca="false">IF(IFERROR(INDEX(tsk_Name,GanttView[[#This Row],[_Row]])="",TRUE()),"",INDEX(tsk_ID,GanttView[[#This Row],[_Row]]))</f>
        <v/>
      </c>
      <c r="B80" s="83" t="str">
        <f aca="false">IF(IFERROR(INDEX(tsk_Name,GanttView[[#This Row],[_Row]])="",TRUE()),"",INDEX(tsk_WBS,GanttView[[#This Row],[_Row]]))</f>
        <v/>
      </c>
      <c r="C80" s="84" t="str">
        <f aca="false">IF(IFERROR(INDEX(tsk_Name,GanttView[[#This Row],[_Row]])="",TRUE()),"",REPT("    ",INDEX(tsk_Level,GanttView[[#This Row],[_Row]])-1)&amp;INDEX(tsk_Name,GanttView[[#This Row],[_Row]]))</f>
        <v/>
      </c>
      <c r="D8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85" t="str">
        <f aca="false">IF(IFERROR(INDEX(tsk_Name,GanttView[[#This Row],[_Row]])="",TRUE()),"",INDEX(tsk_PlanStart,GanttView[[#This Row],[_Row]]))</f>
        <v/>
      </c>
      <c r="F80" s="85" t="str">
        <f aca="false">IF(IFERROR(INDEX(tsk_Name,GanttView[[#This Row],[_Row]])="",TRUE()),"",INDEX(tsk_PlanFinish,GanttView[[#This Row],[_Row]]))</f>
        <v/>
      </c>
      <c r="G80" s="85" t="str">
        <f aca="false">IF(IFERROR(INDEX(tsk_Name,GanttView[[#This Row],[_Row]])="",TRUE()),"",INDEX(tsk_FcStart,GanttView[[#This Row],[_Row]]))</f>
        <v/>
      </c>
      <c r="H80" s="85" t="str">
        <f aca="false">IF(IFERROR(INDEX(tsk_Name,GanttView[[#This Row],[_Row]])="",TRUE()),"",INDEX(tsk_FcFinish,GanttView[[#This Row],[_Row]]))</f>
        <v/>
      </c>
      <c r="I80" s="86" t="str">
        <f aca="false">IF(IFERROR(INDEX(tsk_Name,GanttView[[#This Row],[_Row]])="",TRUE()),"",INDEX(tsk_Progress,GanttView[[#This Row],[_Row]]))</f>
        <v/>
      </c>
      <c r="J80" s="84" t="str">
        <f aca="false">IF(IFERROR(INDEX(tsk_Name,GanttView[[#This Row],[_Row]])="",TRUE()),"",INDEX(tsk_Resource,GanttView[[#This Row],[_Row]])&amp;"")</f>
        <v/>
      </c>
      <c r="K80" s="83" t="str">
        <f aca="false">IF(IFERROR(INDEX(tsk_Name,GanttView[[#This Row],[_Row]])="",TRUE()),"",INDEX(tsk_Status,GanttView[[#This Row],[_Row]]))</f>
        <v/>
      </c>
      <c r="L80" s="87" t="n">
        <f aca="false">ROW()-ROW(GanttView[[#Headers],[ID]])</f>
        <v>75</v>
      </c>
      <c r="M80" s="88" t="b">
        <f aca="false">IF(IFERROR(INDEX(tsk_Name,GanttView[[#This Row],[_Row]])="",TRUE()),FALSE(),INDEX(tsk_IsSummary,GanttView[[#This Row],[_Row]]))</f>
        <v>0</v>
      </c>
      <c r="N80" s="88" t="b">
        <f aca="false">IF(IFERROR(INDEX(tsk_Name,GanttView[[#This Row],[_Row]])="",TRUE()),FALSE(),AND(INDEX(tsk_IsLeaf,GanttView[[#This Row],[_Row]])=1,N(INDEX(tsk_Duration,GanttView[[#This Row],[_Row]]))=0))</f>
        <v>0</v>
      </c>
      <c r="O8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89" t="n">
        <f aca="false">IF(GanttView[[#This Row],[_RemFrom]]=0,0,GanttView[[#This Row],[Forecast Finish]])</f>
        <v>0</v>
      </c>
      <c r="S80" s="88" t="b">
        <f aca="false">IF(IFERROR(INDEX(tsk_Name,GanttView[[#This Row],[_Row]])="",TRUE()),FALSE(),N(INDEX(tsk_Variance,GanttView[[#This Row],[_Row]]))&gt;0)</f>
        <v>0</v>
      </c>
      <c r="T80" s="89" t="n">
        <f aca="false">IF(IFERROR(INDEX(tsk_Name,GanttView[[#This Row],[_Row]])="",TRUE()),0,N(INDEX(tsk_Deadline,GanttView[[#This Row],[_Row]])))</f>
        <v>0</v>
      </c>
      <c r="U80" s="88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83" t="str">
        <f aca="false">IF(IFERROR(INDEX(tsk_Name,GanttView[[#This Row],[_Row]])="",TRUE()),"",INDEX(tsk_ID,GanttView[[#This Row],[_Row]]))</f>
        <v/>
      </c>
      <c r="B81" s="83" t="str">
        <f aca="false">IF(IFERROR(INDEX(tsk_Name,GanttView[[#This Row],[_Row]])="",TRUE()),"",INDEX(tsk_WBS,GanttView[[#This Row],[_Row]]))</f>
        <v/>
      </c>
      <c r="C81" s="84" t="str">
        <f aca="false">IF(IFERROR(INDEX(tsk_Name,GanttView[[#This Row],[_Row]])="",TRUE()),"",REPT("    ",INDEX(tsk_Level,GanttView[[#This Row],[_Row]])-1)&amp;INDEX(tsk_Name,GanttView[[#This Row],[_Row]]))</f>
        <v/>
      </c>
      <c r="D8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85" t="str">
        <f aca="false">IF(IFERROR(INDEX(tsk_Name,GanttView[[#This Row],[_Row]])="",TRUE()),"",INDEX(tsk_PlanStart,GanttView[[#This Row],[_Row]]))</f>
        <v/>
      </c>
      <c r="F81" s="85" t="str">
        <f aca="false">IF(IFERROR(INDEX(tsk_Name,GanttView[[#This Row],[_Row]])="",TRUE()),"",INDEX(tsk_PlanFinish,GanttView[[#This Row],[_Row]]))</f>
        <v/>
      </c>
      <c r="G81" s="85" t="str">
        <f aca="false">IF(IFERROR(INDEX(tsk_Name,GanttView[[#This Row],[_Row]])="",TRUE()),"",INDEX(tsk_FcStart,GanttView[[#This Row],[_Row]]))</f>
        <v/>
      </c>
      <c r="H81" s="85" t="str">
        <f aca="false">IF(IFERROR(INDEX(tsk_Name,GanttView[[#This Row],[_Row]])="",TRUE()),"",INDEX(tsk_FcFinish,GanttView[[#This Row],[_Row]]))</f>
        <v/>
      </c>
      <c r="I81" s="86" t="str">
        <f aca="false">IF(IFERROR(INDEX(tsk_Name,GanttView[[#This Row],[_Row]])="",TRUE()),"",INDEX(tsk_Progress,GanttView[[#This Row],[_Row]]))</f>
        <v/>
      </c>
      <c r="J81" s="84" t="str">
        <f aca="false">IF(IFERROR(INDEX(tsk_Name,GanttView[[#This Row],[_Row]])="",TRUE()),"",INDEX(tsk_Resource,GanttView[[#This Row],[_Row]])&amp;"")</f>
        <v/>
      </c>
      <c r="K81" s="83" t="str">
        <f aca="false">IF(IFERROR(INDEX(tsk_Name,GanttView[[#This Row],[_Row]])="",TRUE()),"",INDEX(tsk_Status,GanttView[[#This Row],[_Row]]))</f>
        <v/>
      </c>
      <c r="L81" s="87" t="n">
        <f aca="false">ROW()-ROW(GanttView[[#Headers],[ID]])</f>
        <v>76</v>
      </c>
      <c r="M81" s="88" t="b">
        <f aca="false">IF(IFERROR(INDEX(tsk_Name,GanttView[[#This Row],[_Row]])="",TRUE()),FALSE(),INDEX(tsk_IsSummary,GanttView[[#This Row],[_Row]]))</f>
        <v>0</v>
      </c>
      <c r="N81" s="88" t="b">
        <f aca="false">IF(IFERROR(INDEX(tsk_Name,GanttView[[#This Row],[_Row]])="",TRUE()),FALSE(),AND(INDEX(tsk_IsLeaf,GanttView[[#This Row],[_Row]])=1,N(INDEX(tsk_Duration,GanttView[[#This Row],[_Row]]))=0))</f>
        <v>0</v>
      </c>
      <c r="O8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89" t="n">
        <f aca="false">IF(GanttView[[#This Row],[_RemFrom]]=0,0,GanttView[[#This Row],[Forecast Finish]])</f>
        <v>0</v>
      </c>
      <c r="S81" s="88" t="b">
        <f aca="false">IF(IFERROR(INDEX(tsk_Name,GanttView[[#This Row],[_Row]])="",TRUE()),FALSE(),N(INDEX(tsk_Variance,GanttView[[#This Row],[_Row]]))&gt;0)</f>
        <v>0</v>
      </c>
      <c r="T81" s="89" t="n">
        <f aca="false">IF(IFERROR(INDEX(tsk_Name,GanttView[[#This Row],[_Row]])="",TRUE()),0,N(INDEX(tsk_Deadline,GanttView[[#This Row],[_Row]])))</f>
        <v>0</v>
      </c>
      <c r="U81" s="88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83" t="str">
        <f aca="false">IF(IFERROR(INDEX(tsk_Name,GanttView[[#This Row],[_Row]])="",TRUE()),"",INDEX(tsk_ID,GanttView[[#This Row],[_Row]]))</f>
        <v/>
      </c>
      <c r="B82" s="83" t="str">
        <f aca="false">IF(IFERROR(INDEX(tsk_Name,GanttView[[#This Row],[_Row]])="",TRUE()),"",INDEX(tsk_WBS,GanttView[[#This Row],[_Row]]))</f>
        <v/>
      </c>
      <c r="C82" s="84" t="str">
        <f aca="false">IF(IFERROR(INDEX(tsk_Name,GanttView[[#This Row],[_Row]])="",TRUE()),"",REPT("    ",INDEX(tsk_Level,GanttView[[#This Row],[_Row]])-1)&amp;INDEX(tsk_Name,GanttView[[#This Row],[_Row]]))</f>
        <v/>
      </c>
      <c r="D8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85" t="str">
        <f aca="false">IF(IFERROR(INDEX(tsk_Name,GanttView[[#This Row],[_Row]])="",TRUE()),"",INDEX(tsk_PlanStart,GanttView[[#This Row],[_Row]]))</f>
        <v/>
      </c>
      <c r="F82" s="85" t="str">
        <f aca="false">IF(IFERROR(INDEX(tsk_Name,GanttView[[#This Row],[_Row]])="",TRUE()),"",INDEX(tsk_PlanFinish,GanttView[[#This Row],[_Row]]))</f>
        <v/>
      </c>
      <c r="G82" s="85" t="str">
        <f aca="false">IF(IFERROR(INDEX(tsk_Name,GanttView[[#This Row],[_Row]])="",TRUE()),"",INDEX(tsk_FcStart,GanttView[[#This Row],[_Row]]))</f>
        <v/>
      </c>
      <c r="H82" s="85" t="str">
        <f aca="false">IF(IFERROR(INDEX(tsk_Name,GanttView[[#This Row],[_Row]])="",TRUE()),"",INDEX(tsk_FcFinish,GanttView[[#This Row],[_Row]]))</f>
        <v/>
      </c>
      <c r="I82" s="86" t="str">
        <f aca="false">IF(IFERROR(INDEX(tsk_Name,GanttView[[#This Row],[_Row]])="",TRUE()),"",INDEX(tsk_Progress,GanttView[[#This Row],[_Row]]))</f>
        <v/>
      </c>
      <c r="J82" s="84" t="str">
        <f aca="false">IF(IFERROR(INDEX(tsk_Name,GanttView[[#This Row],[_Row]])="",TRUE()),"",INDEX(tsk_Resource,GanttView[[#This Row],[_Row]])&amp;"")</f>
        <v/>
      </c>
      <c r="K82" s="83" t="str">
        <f aca="false">IF(IFERROR(INDEX(tsk_Name,GanttView[[#This Row],[_Row]])="",TRUE()),"",INDEX(tsk_Status,GanttView[[#This Row],[_Row]]))</f>
        <v/>
      </c>
      <c r="L82" s="87" t="n">
        <f aca="false">ROW()-ROW(GanttView[[#Headers],[ID]])</f>
        <v>77</v>
      </c>
      <c r="M82" s="88" t="b">
        <f aca="false">IF(IFERROR(INDEX(tsk_Name,GanttView[[#This Row],[_Row]])="",TRUE()),FALSE(),INDEX(tsk_IsSummary,GanttView[[#This Row],[_Row]]))</f>
        <v>0</v>
      </c>
      <c r="N82" s="88" t="b">
        <f aca="false">IF(IFERROR(INDEX(tsk_Name,GanttView[[#This Row],[_Row]])="",TRUE()),FALSE(),AND(INDEX(tsk_IsLeaf,GanttView[[#This Row],[_Row]])=1,N(INDEX(tsk_Duration,GanttView[[#This Row],[_Row]]))=0))</f>
        <v>0</v>
      </c>
      <c r="O8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89" t="n">
        <f aca="false">IF(GanttView[[#This Row],[_RemFrom]]=0,0,GanttView[[#This Row],[Forecast Finish]])</f>
        <v>0</v>
      </c>
      <c r="S82" s="88" t="b">
        <f aca="false">IF(IFERROR(INDEX(tsk_Name,GanttView[[#This Row],[_Row]])="",TRUE()),FALSE(),N(INDEX(tsk_Variance,GanttView[[#This Row],[_Row]]))&gt;0)</f>
        <v>0</v>
      </c>
      <c r="T82" s="89" t="n">
        <f aca="false">IF(IFERROR(INDEX(tsk_Name,GanttView[[#This Row],[_Row]])="",TRUE()),0,N(INDEX(tsk_Deadline,GanttView[[#This Row],[_Row]])))</f>
        <v>0</v>
      </c>
      <c r="U82" s="88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83" t="str">
        <f aca="false">IF(IFERROR(INDEX(tsk_Name,GanttView[[#This Row],[_Row]])="",TRUE()),"",INDEX(tsk_ID,GanttView[[#This Row],[_Row]]))</f>
        <v/>
      </c>
      <c r="B83" s="83" t="str">
        <f aca="false">IF(IFERROR(INDEX(tsk_Name,GanttView[[#This Row],[_Row]])="",TRUE()),"",INDEX(tsk_WBS,GanttView[[#This Row],[_Row]]))</f>
        <v/>
      </c>
      <c r="C83" s="84" t="str">
        <f aca="false">IF(IFERROR(INDEX(tsk_Name,GanttView[[#This Row],[_Row]])="",TRUE()),"",REPT("    ",INDEX(tsk_Level,GanttView[[#This Row],[_Row]])-1)&amp;INDEX(tsk_Name,GanttView[[#This Row],[_Row]]))</f>
        <v/>
      </c>
      <c r="D8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85" t="str">
        <f aca="false">IF(IFERROR(INDEX(tsk_Name,GanttView[[#This Row],[_Row]])="",TRUE()),"",INDEX(tsk_PlanStart,GanttView[[#This Row],[_Row]]))</f>
        <v/>
      </c>
      <c r="F83" s="85" t="str">
        <f aca="false">IF(IFERROR(INDEX(tsk_Name,GanttView[[#This Row],[_Row]])="",TRUE()),"",INDEX(tsk_PlanFinish,GanttView[[#This Row],[_Row]]))</f>
        <v/>
      </c>
      <c r="G83" s="85" t="str">
        <f aca="false">IF(IFERROR(INDEX(tsk_Name,GanttView[[#This Row],[_Row]])="",TRUE()),"",INDEX(tsk_FcStart,GanttView[[#This Row],[_Row]]))</f>
        <v/>
      </c>
      <c r="H83" s="85" t="str">
        <f aca="false">IF(IFERROR(INDEX(tsk_Name,GanttView[[#This Row],[_Row]])="",TRUE()),"",INDEX(tsk_FcFinish,GanttView[[#This Row],[_Row]]))</f>
        <v/>
      </c>
      <c r="I83" s="86" t="str">
        <f aca="false">IF(IFERROR(INDEX(tsk_Name,GanttView[[#This Row],[_Row]])="",TRUE()),"",INDEX(tsk_Progress,GanttView[[#This Row],[_Row]]))</f>
        <v/>
      </c>
      <c r="J83" s="84" t="str">
        <f aca="false">IF(IFERROR(INDEX(tsk_Name,GanttView[[#This Row],[_Row]])="",TRUE()),"",INDEX(tsk_Resource,GanttView[[#This Row],[_Row]])&amp;"")</f>
        <v/>
      </c>
      <c r="K83" s="83" t="str">
        <f aca="false">IF(IFERROR(INDEX(tsk_Name,GanttView[[#This Row],[_Row]])="",TRUE()),"",INDEX(tsk_Status,GanttView[[#This Row],[_Row]]))</f>
        <v/>
      </c>
      <c r="L83" s="87" t="n">
        <f aca="false">ROW()-ROW(GanttView[[#Headers],[ID]])</f>
        <v>78</v>
      </c>
      <c r="M83" s="88" t="b">
        <f aca="false">IF(IFERROR(INDEX(tsk_Name,GanttView[[#This Row],[_Row]])="",TRUE()),FALSE(),INDEX(tsk_IsSummary,GanttView[[#This Row],[_Row]]))</f>
        <v>0</v>
      </c>
      <c r="N83" s="88" t="b">
        <f aca="false">IF(IFERROR(INDEX(tsk_Name,GanttView[[#This Row],[_Row]])="",TRUE()),FALSE(),AND(INDEX(tsk_IsLeaf,GanttView[[#This Row],[_Row]])=1,N(INDEX(tsk_Duration,GanttView[[#This Row],[_Row]]))=0))</f>
        <v>0</v>
      </c>
      <c r="O8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89" t="n">
        <f aca="false">IF(GanttView[[#This Row],[_RemFrom]]=0,0,GanttView[[#This Row],[Forecast Finish]])</f>
        <v>0</v>
      </c>
      <c r="S83" s="88" t="b">
        <f aca="false">IF(IFERROR(INDEX(tsk_Name,GanttView[[#This Row],[_Row]])="",TRUE()),FALSE(),N(INDEX(tsk_Variance,GanttView[[#This Row],[_Row]]))&gt;0)</f>
        <v>0</v>
      </c>
      <c r="T83" s="89" t="n">
        <f aca="false">IF(IFERROR(INDEX(tsk_Name,GanttView[[#This Row],[_Row]])="",TRUE()),0,N(INDEX(tsk_Deadline,GanttView[[#This Row],[_Row]])))</f>
        <v>0</v>
      </c>
      <c r="U83" s="88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83" t="str">
        <f aca="false">IF(IFERROR(INDEX(tsk_Name,GanttView[[#This Row],[_Row]])="",TRUE()),"",INDEX(tsk_ID,GanttView[[#This Row],[_Row]]))</f>
        <v/>
      </c>
      <c r="B84" s="83" t="str">
        <f aca="false">IF(IFERROR(INDEX(tsk_Name,GanttView[[#This Row],[_Row]])="",TRUE()),"",INDEX(tsk_WBS,GanttView[[#This Row],[_Row]]))</f>
        <v/>
      </c>
      <c r="C84" s="84" t="str">
        <f aca="false">IF(IFERROR(INDEX(tsk_Name,GanttView[[#This Row],[_Row]])="",TRUE()),"",REPT("    ",INDEX(tsk_Level,GanttView[[#This Row],[_Row]])-1)&amp;INDEX(tsk_Name,GanttView[[#This Row],[_Row]]))</f>
        <v/>
      </c>
      <c r="D8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85" t="str">
        <f aca="false">IF(IFERROR(INDEX(tsk_Name,GanttView[[#This Row],[_Row]])="",TRUE()),"",INDEX(tsk_PlanStart,GanttView[[#This Row],[_Row]]))</f>
        <v/>
      </c>
      <c r="F84" s="85" t="str">
        <f aca="false">IF(IFERROR(INDEX(tsk_Name,GanttView[[#This Row],[_Row]])="",TRUE()),"",INDEX(tsk_PlanFinish,GanttView[[#This Row],[_Row]]))</f>
        <v/>
      </c>
      <c r="G84" s="85" t="str">
        <f aca="false">IF(IFERROR(INDEX(tsk_Name,GanttView[[#This Row],[_Row]])="",TRUE()),"",INDEX(tsk_FcStart,GanttView[[#This Row],[_Row]]))</f>
        <v/>
      </c>
      <c r="H84" s="85" t="str">
        <f aca="false">IF(IFERROR(INDEX(tsk_Name,GanttView[[#This Row],[_Row]])="",TRUE()),"",INDEX(tsk_FcFinish,GanttView[[#This Row],[_Row]]))</f>
        <v/>
      </c>
      <c r="I84" s="86" t="str">
        <f aca="false">IF(IFERROR(INDEX(tsk_Name,GanttView[[#This Row],[_Row]])="",TRUE()),"",INDEX(tsk_Progress,GanttView[[#This Row],[_Row]]))</f>
        <v/>
      </c>
      <c r="J84" s="84" t="str">
        <f aca="false">IF(IFERROR(INDEX(tsk_Name,GanttView[[#This Row],[_Row]])="",TRUE()),"",INDEX(tsk_Resource,GanttView[[#This Row],[_Row]])&amp;"")</f>
        <v/>
      </c>
      <c r="K84" s="83" t="str">
        <f aca="false">IF(IFERROR(INDEX(tsk_Name,GanttView[[#This Row],[_Row]])="",TRUE()),"",INDEX(tsk_Status,GanttView[[#This Row],[_Row]]))</f>
        <v/>
      </c>
      <c r="L84" s="87" t="n">
        <f aca="false">ROW()-ROW(GanttView[[#Headers],[ID]])</f>
        <v>79</v>
      </c>
      <c r="M84" s="88" t="b">
        <f aca="false">IF(IFERROR(INDEX(tsk_Name,GanttView[[#This Row],[_Row]])="",TRUE()),FALSE(),INDEX(tsk_IsSummary,GanttView[[#This Row],[_Row]]))</f>
        <v>0</v>
      </c>
      <c r="N84" s="88" t="b">
        <f aca="false">IF(IFERROR(INDEX(tsk_Name,GanttView[[#This Row],[_Row]])="",TRUE()),FALSE(),AND(INDEX(tsk_IsLeaf,GanttView[[#This Row],[_Row]])=1,N(INDEX(tsk_Duration,GanttView[[#This Row],[_Row]]))=0))</f>
        <v>0</v>
      </c>
      <c r="O8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89" t="n">
        <f aca="false">IF(GanttView[[#This Row],[_RemFrom]]=0,0,GanttView[[#This Row],[Forecast Finish]])</f>
        <v>0</v>
      </c>
      <c r="S84" s="88" t="b">
        <f aca="false">IF(IFERROR(INDEX(tsk_Name,GanttView[[#This Row],[_Row]])="",TRUE()),FALSE(),N(INDEX(tsk_Variance,GanttView[[#This Row],[_Row]]))&gt;0)</f>
        <v>0</v>
      </c>
      <c r="T84" s="89" t="n">
        <f aca="false">IF(IFERROR(INDEX(tsk_Name,GanttView[[#This Row],[_Row]])="",TRUE()),0,N(INDEX(tsk_Deadline,GanttView[[#This Row],[_Row]])))</f>
        <v>0</v>
      </c>
      <c r="U84" s="88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83" t="str">
        <f aca="false">IF(IFERROR(INDEX(tsk_Name,GanttView[[#This Row],[_Row]])="",TRUE()),"",INDEX(tsk_ID,GanttView[[#This Row],[_Row]]))</f>
        <v/>
      </c>
      <c r="B85" s="83" t="str">
        <f aca="false">IF(IFERROR(INDEX(tsk_Name,GanttView[[#This Row],[_Row]])="",TRUE()),"",INDEX(tsk_WBS,GanttView[[#This Row],[_Row]]))</f>
        <v/>
      </c>
      <c r="C85" s="84" t="str">
        <f aca="false">IF(IFERROR(INDEX(tsk_Name,GanttView[[#This Row],[_Row]])="",TRUE()),"",REPT("    ",INDEX(tsk_Level,GanttView[[#This Row],[_Row]])-1)&amp;INDEX(tsk_Name,GanttView[[#This Row],[_Row]]))</f>
        <v/>
      </c>
      <c r="D8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85" t="str">
        <f aca="false">IF(IFERROR(INDEX(tsk_Name,GanttView[[#This Row],[_Row]])="",TRUE()),"",INDEX(tsk_PlanStart,GanttView[[#This Row],[_Row]]))</f>
        <v/>
      </c>
      <c r="F85" s="85" t="str">
        <f aca="false">IF(IFERROR(INDEX(tsk_Name,GanttView[[#This Row],[_Row]])="",TRUE()),"",INDEX(tsk_PlanFinish,GanttView[[#This Row],[_Row]]))</f>
        <v/>
      </c>
      <c r="G85" s="85" t="str">
        <f aca="false">IF(IFERROR(INDEX(tsk_Name,GanttView[[#This Row],[_Row]])="",TRUE()),"",INDEX(tsk_FcStart,GanttView[[#This Row],[_Row]]))</f>
        <v/>
      </c>
      <c r="H85" s="85" t="str">
        <f aca="false">IF(IFERROR(INDEX(tsk_Name,GanttView[[#This Row],[_Row]])="",TRUE()),"",INDEX(tsk_FcFinish,GanttView[[#This Row],[_Row]]))</f>
        <v/>
      </c>
      <c r="I85" s="86" t="str">
        <f aca="false">IF(IFERROR(INDEX(tsk_Name,GanttView[[#This Row],[_Row]])="",TRUE()),"",INDEX(tsk_Progress,GanttView[[#This Row],[_Row]]))</f>
        <v/>
      </c>
      <c r="J85" s="84" t="str">
        <f aca="false">IF(IFERROR(INDEX(tsk_Name,GanttView[[#This Row],[_Row]])="",TRUE()),"",INDEX(tsk_Resource,GanttView[[#This Row],[_Row]])&amp;"")</f>
        <v/>
      </c>
      <c r="K85" s="83" t="str">
        <f aca="false">IF(IFERROR(INDEX(tsk_Name,GanttView[[#This Row],[_Row]])="",TRUE()),"",INDEX(tsk_Status,GanttView[[#This Row],[_Row]]))</f>
        <v/>
      </c>
      <c r="L85" s="87" t="n">
        <f aca="false">ROW()-ROW(GanttView[[#Headers],[ID]])</f>
        <v>80</v>
      </c>
      <c r="M85" s="88" t="b">
        <f aca="false">IF(IFERROR(INDEX(tsk_Name,GanttView[[#This Row],[_Row]])="",TRUE()),FALSE(),INDEX(tsk_IsSummary,GanttView[[#This Row],[_Row]]))</f>
        <v>0</v>
      </c>
      <c r="N85" s="88" t="b">
        <f aca="false">IF(IFERROR(INDEX(tsk_Name,GanttView[[#This Row],[_Row]])="",TRUE()),FALSE(),AND(INDEX(tsk_IsLeaf,GanttView[[#This Row],[_Row]])=1,N(INDEX(tsk_Duration,GanttView[[#This Row],[_Row]]))=0))</f>
        <v>0</v>
      </c>
      <c r="O8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89" t="n">
        <f aca="false">IF(GanttView[[#This Row],[_RemFrom]]=0,0,GanttView[[#This Row],[Forecast Finish]])</f>
        <v>0</v>
      </c>
      <c r="S85" s="88" t="b">
        <f aca="false">IF(IFERROR(INDEX(tsk_Name,GanttView[[#This Row],[_Row]])="",TRUE()),FALSE(),N(INDEX(tsk_Variance,GanttView[[#This Row],[_Row]]))&gt;0)</f>
        <v>0</v>
      </c>
      <c r="T85" s="89" t="n">
        <f aca="false">IF(IFERROR(INDEX(tsk_Name,GanttView[[#This Row],[_Row]])="",TRUE()),0,N(INDEX(tsk_Deadline,GanttView[[#This Row],[_Row]])))</f>
        <v>0</v>
      </c>
      <c r="U85" s="88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83" t="str">
        <f aca="false">IF(IFERROR(INDEX(tsk_Name,GanttView[[#This Row],[_Row]])="",TRUE()),"",INDEX(tsk_ID,GanttView[[#This Row],[_Row]]))</f>
        <v/>
      </c>
      <c r="B86" s="83" t="str">
        <f aca="false">IF(IFERROR(INDEX(tsk_Name,GanttView[[#This Row],[_Row]])="",TRUE()),"",INDEX(tsk_WBS,GanttView[[#This Row],[_Row]]))</f>
        <v/>
      </c>
      <c r="C86" s="84" t="str">
        <f aca="false">IF(IFERROR(INDEX(tsk_Name,GanttView[[#This Row],[_Row]])="",TRUE()),"",REPT("    ",INDEX(tsk_Level,GanttView[[#This Row],[_Row]])-1)&amp;INDEX(tsk_Name,GanttView[[#This Row],[_Row]]))</f>
        <v/>
      </c>
      <c r="D8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85" t="str">
        <f aca="false">IF(IFERROR(INDEX(tsk_Name,GanttView[[#This Row],[_Row]])="",TRUE()),"",INDEX(tsk_PlanStart,GanttView[[#This Row],[_Row]]))</f>
        <v/>
      </c>
      <c r="F86" s="85" t="str">
        <f aca="false">IF(IFERROR(INDEX(tsk_Name,GanttView[[#This Row],[_Row]])="",TRUE()),"",INDEX(tsk_PlanFinish,GanttView[[#This Row],[_Row]]))</f>
        <v/>
      </c>
      <c r="G86" s="85" t="str">
        <f aca="false">IF(IFERROR(INDEX(tsk_Name,GanttView[[#This Row],[_Row]])="",TRUE()),"",INDEX(tsk_FcStart,GanttView[[#This Row],[_Row]]))</f>
        <v/>
      </c>
      <c r="H86" s="85" t="str">
        <f aca="false">IF(IFERROR(INDEX(tsk_Name,GanttView[[#This Row],[_Row]])="",TRUE()),"",INDEX(tsk_FcFinish,GanttView[[#This Row],[_Row]]))</f>
        <v/>
      </c>
      <c r="I86" s="86" t="str">
        <f aca="false">IF(IFERROR(INDEX(tsk_Name,GanttView[[#This Row],[_Row]])="",TRUE()),"",INDEX(tsk_Progress,GanttView[[#This Row],[_Row]]))</f>
        <v/>
      </c>
      <c r="J86" s="84" t="str">
        <f aca="false">IF(IFERROR(INDEX(tsk_Name,GanttView[[#This Row],[_Row]])="",TRUE()),"",INDEX(tsk_Resource,GanttView[[#This Row],[_Row]])&amp;"")</f>
        <v/>
      </c>
      <c r="K86" s="83" t="str">
        <f aca="false">IF(IFERROR(INDEX(tsk_Name,GanttView[[#This Row],[_Row]])="",TRUE()),"",INDEX(tsk_Status,GanttView[[#This Row],[_Row]]))</f>
        <v/>
      </c>
      <c r="L86" s="87" t="n">
        <f aca="false">ROW()-ROW(GanttView[[#Headers],[ID]])</f>
        <v>81</v>
      </c>
      <c r="M86" s="88" t="b">
        <f aca="false">IF(IFERROR(INDEX(tsk_Name,GanttView[[#This Row],[_Row]])="",TRUE()),FALSE(),INDEX(tsk_IsSummary,GanttView[[#This Row],[_Row]]))</f>
        <v>0</v>
      </c>
      <c r="N86" s="88" t="b">
        <f aca="false">IF(IFERROR(INDEX(tsk_Name,GanttView[[#This Row],[_Row]])="",TRUE()),FALSE(),AND(INDEX(tsk_IsLeaf,GanttView[[#This Row],[_Row]])=1,N(INDEX(tsk_Duration,GanttView[[#This Row],[_Row]]))=0))</f>
        <v>0</v>
      </c>
      <c r="O8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89" t="n">
        <f aca="false">IF(GanttView[[#This Row],[_RemFrom]]=0,0,GanttView[[#This Row],[Forecast Finish]])</f>
        <v>0</v>
      </c>
      <c r="S86" s="88" t="b">
        <f aca="false">IF(IFERROR(INDEX(tsk_Name,GanttView[[#This Row],[_Row]])="",TRUE()),FALSE(),N(INDEX(tsk_Variance,GanttView[[#This Row],[_Row]]))&gt;0)</f>
        <v>0</v>
      </c>
      <c r="T86" s="89" t="n">
        <f aca="false">IF(IFERROR(INDEX(tsk_Name,GanttView[[#This Row],[_Row]])="",TRUE()),0,N(INDEX(tsk_Deadline,GanttView[[#This Row],[_Row]])))</f>
        <v>0</v>
      </c>
      <c r="U86" s="88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83" t="str">
        <f aca="false">IF(IFERROR(INDEX(tsk_Name,GanttView[[#This Row],[_Row]])="",TRUE()),"",INDEX(tsk_ID,GanttView[[#This Row],[_Row]]))</f>
        <v/>
      </c>
      <c r="B87" s="83" t="str">
        <f aca="false">IF(IFERROR(INDEX(tsk_Name,GanttView[[#This Row],[_Row]])="",TRUE()),"",INDEX(tsk_WBS,GanttView[[#This Row],[_Row]]))</f>
        <v/>
      </c>
      <c r="C87" s="84" t="str">
        <f aca="false">IF(IFERROR(INDEX(tsk_Name,GanttView[[#This Row],[_Row]])="",TRUE()),"",REPT("    ",INDEX(tsk_Level,GanttView[[#This Row],[_Row]])-1)&amp;INDEX(tsk_Name,GanttView[[#This Row],[_Row]]))</f>
        <v/>
      </c>
      <c r="D8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85" t="str">
        <f aca="false">IF(IFERROR(INDEX(tsk_Name,GanttView[[#This Row],[_Row]])="",TRUE()),"",INDEX(tsk_PlanStart,GanttView[[#This Row],[_Row]]))</f>
        <v/>
      </c>
      <c r="F87" s="85" t="str">
        <f aca="false">IF(IFERROR(INDEX(tsk_Name,GanttView[[#This Row],[_Row]])="",TRUE()),"",INDEX(tsk_PlanFinish,GanttView[[#This Row],[_Row]]))</f>
        <v/>
      </c>
      <c r="G87" s="85" t="str">
        <f aca="false">IF(IFERROR(INDEX(tsk_Name,GanttView[[#This Row],[_Row]])="",TRUE()),"",INDEX(tsk_FcStart,GanttView[[#This Row],[_Row]]))</f>
        <v/>
      </c>
      <c r="H87" s="85" t="str">
        <f aca="false">IF(IFERROR(INDEX(tsk_Name,GanttView[[#This Row],[_Row]])="",TRUE()),"",INDEX(tsk_FcFinish,GanttView[[#This Row],[_Row]]))</f>
        <v/>
      </c>
      <c r="I87" s="86" t="str">
        <f aca="false">IF(IFERROR(INDEX(tsk_Name,GanttView[[#This Row],[_Row]])="",TRUE()),"",INDEX(tsk_Progress,GanttView[[#This Row],[_Row]]))</f>
        <v/>
      </c>
      <c r="J87" s="84" t="str">
        <f aca="false">IF(IFERROR(INDEX(tsk_Name,GanttView[[#This Row],[_Row]])="",TRUE()),"",INDEX(tsk_Resource,GanttView[[#This Row],[_Row]])&amp;"")</f>
        <v/>
      </c>
      <c r="K87" s="83" t="str">
        <f aca="false">IF(IFERROR(INDEX(tsk_Name,GanttView[[#This Row],[_Row]])="",TRUE()),"",INDEX(tsk_Status,GanttView[[#This Row],[_Row]]))</f>
        <v/>
      </c>
      <c r="L87" s="87" t="n">
        <f aca="false">ROW()-ROW(GanttView[[#Headers],[ID]])</f>
        <v>82</v>
      </c>
      <c r="M87" s="88" t="b">
        <f aca="false">IF(IFERROR(INDEX(tsk_Name,GanttView[[#This Row],[_Row]])="",TRUE()),FALSE(),INDEX(tsk_IsSummary,GanttView[[#This Row],[_Row]]))</f>
        <v>0</v>
      </c>
      <c r="N87" s="88" t="b">
        <f aca="false">IF(IFERROR(INDEX(tsk_Name,GanttView[[#This Row],[_Row]])="",TRUE()),FALSE(),AND(INDEX(tsk_IsLeaf,GanttView[[#This Row],[_Row]])=1,N(INDEX(tsk_Duration,GanttView[[#This Row],[_Row]]))=0))</f>
        <v>0</v>
      </c>
      <c r="O8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89" t="n">
        <f aca="false">IF(GanttView[[#This Row],[_RemFrom]]=0,0,GanttView[[#This Row],[Forecast Finish]])</f>
        <v>0</v>
      </c>
      <c r="S87" s="88" t="b">
        <f aca="false">IF(IFERROR(INDEX(tsk_Name,GanttView[[#This Row],[_Row]])="",TRUE()),FALSE(),N(INDEX(tsk_Variance,GanttView[[#This Row],[_Row]]))&gt;0)</f>
        <v>0</v>
      </c>
      <c r="T87" s="89" t="n">
        <f aca="false">IF(IFERROR(INDEX(tsk_Name,GanttView[[#This Row],[_Row]])="",TRUE()),0,N(INDEX(tsk_Deadline,GanttView[[#This Row],[_Row]])))</f>
        <v>0</v>
      </c>
      <c r="U87" s="88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83" t="str">
        <f aca="false">IF(IFERROR(INDEX(tsk_Name,GanttView[[#This Row],[_Row]])="",TRUE()),"",INDEX(tsk_ID,GanttView[[#This Row],[_Row]]))</f>
        <v/>
      </c>
      <c r="B88" s="83" t="str">
        <f aca="false">IF(IFERROR(INDEX(tsk_Name,GanttView[[#This Row],[_Row]])="",TRUE()),"",INDEX(tsk_WBS,GanttView[[#This Row],[_Row]]))</f>
        <v/>
      </c>
      <c r="C88" s="84" t="str">
        <f aca="false">IF(IFERROR(INDEX(tsk_Name,GanttView[[#This Row],[_Row]])="",TRUE()),"",REPT("    ",INDEX(tsk_Level,GanttView[[#This Row],[_Row]])-1)&amp;INDEX(tsk_Name,GanttView[[#This Row],[_Row]]))</f>
        <v/>
      </c>
      <c r="D8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85" t="str">
        <f aca="false">IF(IFERROR(INDEX(tsk_Name,GanttView[[#This Row],[_Row]])="",TRUE()),"",INDEX(tsk_PlanStart,GanttView[[#This Row],[_Row]]))</f>
        <v/>
      </c>
      <c r="F88" s="85" t="str">
        <f aca="false">IF(IFERROR(INDEX(tsk_Name,GanttView[[#This Row],[_Row]])="",TRUE()),"",INDEX(tsk_PlanFinish,GanttView[[#This Row],[_Row]]))</f>
        <v/>
      </c>
      <c r="G88" s="85" t="str">
        <f aca="false">IF(IFERROR(INDEX(tsk_Name,GanttView[[#This Row],[_Row]])="",TRUE()),"",INDEX(tsk_FcStart,GanttView[[#This Row],[_Row]]))</f>
        <v/>
      </c>
      <c r="H88" s="85" t="str">
        <f aca="false">IF(IFERROR(INDEX(tsk_Name,GanttView[[#This Row],[_Row]])="",TRUE()),"",INDEX(tsk_FcFinish,GanttView[[#This Row],[_Row]]))</f>
        <v/>
      </c>
      <c r="I88" s="86" t="str">
        <f aca="false">IF(IFERROR(INDEX(tsk_Name,GanttView[[#This Row],[_Row]])="",TRUE()),"",INDEX(tsk_Progress,GanttView[[#This Row],[_Row]]))</f>
        <v/>
      </c>
      <c r="J88" s="84" t="str">
        <f aca="false">IF(IFERROR(INDEX(tsk_Name,GanttView[[#This Row],[_Row]])="",TRUE()),"",INDEX(tsk_Resource,GanttView[[#This Row],[_Row]])&amp;"")</f>
        <v/>
      </c>
      <c r="K88" s="83" t="str">
        <f aca="false">IF(IFERROR(INDEX(tsk_Name,GanttView[[#This Row],[_Row]])="",TRUE()),"",INDEX(tsk_Status,GanttView[[#This Row],[_Row]]))</f>
        <v/>
      </c>
      <c r="L88" s="87" t="n">
        <f aca="false">ROW()-ROW(GanttView[[#Headers],[ID]])</f>
        <v>83</v>
      </c>
      <c r="M88" s="88" t="b">
        <f aca="false">IF(IFERROR(INDEX(tsk_Name,GanttView[[#This Row],[_Row]])="",TRUE()),FALSE(),INDEX(tsk_IsSummary,GanttView[[#This Row],[_Row]]))</f>
        <v>0</v>
      </c>
      <c r="N88" s="88" t="b">
        <f aca="false">IF(IFERROR(INDEX(tsk_Name,GanttView[[#This Row],[_Row]])="",TRUE()),FALSE(),AND(INDEX(tsk_IsLeaf,GanttView[[#This Row],[_Row]])=1,N(INDEX(tsk_Duration,GanttView[[#This Row],[_Row]]))=0))</f>
        <v>0</v>
      </c>
      <c r="O8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89" t="n">
        <f aca="false">IF(GanttView[[#This Row],[_RemFrom]]=0,0,GanttView[[#This Row],[Forecast Finish]])</f>
        <v>0</v>
      </c>
      <c r="S88" s="88" t="b">
        <f aca="false">IF(IFERROR(INDEX(tsk_Name,GanttView[[#This Row],[_Row]])="",TRUE()),FALSE(),N(INDEX(tsk_Variance,GanttView[[#This Row],[_Row]]))&gt;0)</f>
        <v>0</v>
      </c>
      <c r="T88" s="89" t="n">
        <f aca="false">IF(IFERROR(INDEX(tsk_Name,GanttView[[#This Row],[_Row]])="",TRUE()),0,N(INDEX(tsk_Deadline,GanttView[[#This Row],[_Row]])))</f>
        <v>0</v>
      </c>
      <c r="U88" s="88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83" t="str">
        <f aca="false">IF(IFERROR(INDEX(tsk_Name,GanttView[[#This Row],[_Row]])="",TRUE()),"",INDEX(tsk_ID,GanttView[[#This Row],[_Row]]))</f>
        <v/>
      </c>
      <c r="B89" s="83" t="str">
        <f aca="false">IF(IFERROR(INDEX(tsk_Name,GanttView[[#This Row],[_Row]])="",TRUE()),"",INDEX(tsk_WBS,GanttView[[#This Row],[_Row]]))</f>
        <v/>
      </c>
      <c r="C89" s="84" t="str">
        <f aca="false">IF(IFERROR(INDEX(tsk_Name,GanttView[[#This Row],[_Row]])="",TRUE()),"",REPT("    ",INDEX(tsk_Level,GanttView[[#This Row],[_Row]])-1)&amp;INDEX(tsk_Name,GanttView[[#This Row],[_Row]]))</f>
        <v/>
      </c>
      <c r="D8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85" t="str">
        <f aca="false">IF(IFERROR(INDEX(tsk_Name,GanttView[[#This Row],[_Row]])="",TRUE()),"",INDEX(tsk_PlanStart,GanttView[[#This Row],[_Row]]))</f>
        <v/>
      </c>
      <c r="F89" s="85" t="str">
        <f aca="false">IF(IFERROR(INDEX(tsk_Name,GanttView[[#This Row],[_Row]])="",TRUE()),"",INDEX(tsk_PlanFinish,GanttView[[#This Row],[_Row]]))</f>
        <v/>
      </c>
      <c r="G89" s="85" t="str">
        <f aca="false">IF(IFERROR(INDEX(tsk_Name,GanttView[[#This Row],[_Row]])="",TRUE()),"",INDEX(tsk_FcStart,GanttView[[#This Row],[_Row]]))</f>
        <v/>
      </c>
      <c r="H89" s="85" t="str">
        <f aca="false">IF(IFERROR(INDEX(tsk_Name,GanttView[[#This Row],[_Row]])="",TRUE()),"",INDEX(tsk_FcFinish,GanttView[[#This Row],[_Row]]))</f>
        <v/>
      </c>
      <c r="I89" s="86" t="str">
        <f aca="false">IF(IFERROR(INDEX(tsk_Name,GanttView[[#This Row],[_Row]])="",TRUE()),"",INDEX(tsk_Progress,GanttView[[#This Row],[_Row]]))</f>
        <v/>
      </c>
      <c r="J89" s="84" t="str">
        <f aca="false">IF(IFERROR(INDEX(tsk_Name,GanttView[[#This Row],[_Row]])="",TRUE()),"",INDEX(tsk_Resource,GanttView[[#This Row],[_Row]])&amp;"")</f>
        <v/>
      </c>
      <c r="K89" s="83" t="str">
        <f aca="false">IF(IFERROR(INDEX(tsk_Name,GanttView[[#This Row],[_Row]])="",TRUE()),"",INDEX(tsk_Status,GanttView[[#This Row],[_Row]]))</f>
        <v/>
      </c>
      <c r="L89" s="87" t="n">
        <f aca="false">ROW()-ROW(GanttView[[#Headers],[ID]])</f>
        <v>84</v>
      </c>
      <c r="M89" s="88" t="b">
        <f aca="false">IF(IFERROR(INDEX(tsk_Name,GanttView[[#This Row],[_Row]])="",TRUE()),FALSE(),INDEX(tsk_IsSummary,GanttView[[#This Row],[_Row]]))</f>
        <v>0</v>
      </c>
      <c r="N89" s="88" t="b">
        <f aca="false">IF(IFERROR(INDEX(tsk_Name,GanttView[[#This Row],[_Row]])="",TRUE()),FALSE(),AND(INDEX(tsk_IsLeaf,GanttView[[#This Row],[_Row]])=1,N(INDEX(tsk_Duration,GanttView[[#This Row],[_Row]]))=0))</f>
        <v>0</v>
      </c>
      <c r="O8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89" t="n">
        <f aca="false">IF(GanttView[[#This Row],[_RemFrom]]=0,0,GanttView[[#This Row],[Forecast Finish]])</f>
        <v>0</v>
      </c>
      <c r="S89" s="88" t="b">
        <f aca="false">IF(IFERROR(INDEX(tsk_Name,GanttView[[#This Row],[_Row]])="",TRUE()),FALSE(),N(INDEX(tsk_Variance,GanttView[[#This Row],[_Row]]))&gt;0)</f>
        <v>0</v>
      </c>
      <c r="T89" s="89" t="n">
        <f aca="false">IF(IFERROR(INDEX(tsk_Name,GanttView[[#This Row],[_Row]])="",TRUE()),0,N(INDEX(tsk_Deadline,GanttView[[#This Row],[_Row]])))</f>
        <v>0</v>
      </c>
      <c r="U89" s="88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83" t="str">
        <f aca="false">IF(IFERROR(INDEX(tsk_Name,GanttView[[#This Row],[_Row]])="",TRUE()),"",INDEX(tsk_ID,GanttView[[#This Row],[_Row]]))</f>
        <v/>
      </c>
      <c r="B90" s="83" t="str">
        <f aca="false">IF(IFERROR(INDEX(tsk_Name,GanttView[[#This Row],[_Row]])="",TRUE()),"",INDEX(tsk_WBS,GanttView[[#This Row],[_Row]]))</f>
        <v/>
      </c>
      <c r="C90" s="84" t="str">
        <f aca="false">IF(IFERROR(INDEX(tsk_Name,GanttView[[#This Row],[_Row]])="",TRUE()),"",REPT("    ",INDEX(tsk_Level,GanttView[[#This Row],[_Row]])-1)&amp;INDEX(tsk_Name,GanttView[[#This Row],[_Row]]))</f>
        <v/>
      </c>
      <c r="D9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85" t="str">
        <f aca="false">IF(IFERROR(INDEX(tsk_Name,GanttView[[#This Row],[_Row]])="",TRUE()),"",INDEX(tsk_PlanStart,GanttView[[#This Row],[_Row]]))</f>
        <v/>
      </c>
      <c r="F90" s="85" t="str">
        <f aca="false">IF(IFERROR(INDEX(tsk_Name,GanttView[[#This Row],[_Row]])="",TRUE()),"",INDEX(tsk_PlanFinish,GanttView[[#This Row],[_Row]]))</f>
        <v/>
      </c>
      <c r="G90" s="85" t="str">
        <f aca="false">IF(IFERROR(INDEX(tsk_Name,GanttView[[#This Row],[_Row]])="",TRUE()),"",INDEX(tsk_FcStart,GanttView[[#This Row],[_Row]]))</f>
        <v/>
      </c>
      <c r="H90" s="85" t="str">
        <f aca="false">IF(IFERROR(INDEX(tsk_Name,GanttView[[#This Row],[_Row]])="",TRUE()),"",INDEX(tsk_FcFinish,GanttView[[#This Row],[_Row]]))</f>
        <v/>
      </c>
      <c r="I90" s="86" t="str">
        <f aca="false">IF(IFERROR(INDEX(tsk_Name,GanttView[[#This Row],[_Row]])="",TRUE()),"",INDEX(tsk_Progress,GanttView[[#This Row],[_Row]]))</f>
        <v/>
      </c>
      <c r="J90" s="84" t="str">
        <f aca="false">IF(IFERROR(INDEX(tsk_Name,GanttView[[#This Row],[_Row]])="",TRUE()),"",INDEX(tsk_Resource,GanttView[[#This Row],[_Row]])&amp;"")</f>
        <v/>
      </c>
      <c r="K90" s="83" t="str">
        <f aca="false">IF(IFERROR(INDEX(tsk_Name,GanttView[[#This Row],[_Row]])="",TRUE()),"",INDEX(tsk_Status,GanttView[[#This Row],[_Row]]))</f>
        <v/>
      </c>
      <c r="L90" s="87" t="n">
        <f aca="false">ROW()-ROW(GanttView[[#Headers],[ID]])</f>
        <v>85</v>
      </c>
      <c r="M90" s="88" t="b">
        <f aca="false">IF(IFERROR(INDEX(tsk_Name,GanttView[[#This Row],[_Row]])="",TRUE()),FALSE(),INDEX(tsk_IsSummary,GanttView[[#This Row],[_Row]]))</f>
        <v>0</v>
      </c>
      <c r="N90" s="88" t="b">
        <f aca="false">IF(IFERROR(INDEX(tsk_Name,GanttView[[#This Row],[_Row]])="",TRUE()),FALSE(),AND(INDEX(tsk_IsLeaf,GanttView[[#This Row],[_Row]])=1,N(INDEX(tsk_Duration,GanttView[[#This Row],[_Row]]))=0))</f>
        <v>0</v>
      </c>
      <c r="O9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89" t="n">
        <f aca="false">IF(GanttView[[#This Row],[_RemFrom]]=0,0,GanttView[[#This Row],[Forecast Finish]])</f>
        <v>0</v>
      </c>
      <c r="S90" s="88" t="b">
        <f aca="false">IF(IFERROR(INDEX(tsk_Name,GanttView[[#This Row],[_Row]])="",TRUE()),FALSE(),N(INDEX(tsk_Variance,GanttView[[#This Row],[_Row]]))&gt;0)</f>
        <v>0</v>
      </c>
      <c r="T90" s="89" t="n">
        <f aca="false">IF(IFERROR(INDEX(tsk_Name,GanttView[[#This Row],[_Row]])="",TRUE()),0,N(INDEX(tsk_Deadline,GanttView[[#This Row],[_Row]])))</f>
        <v>0</v>
      </c>
      <c r="U90" s="88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83" t="str">
        <f aca="false">IF(IFERROR(INDEX(tsk_Name,GanttView[[#This Row],[_Row]])="",TRUE()),"",INDEX(tsk_ID,GanttView[[#This Row],[_Row]]))</f>
        <v/>
      </c>
      <c r="B91" s="83" t="str">
        <f aca="false">IF(IFERROR(INDEX(tsk_Name,GanttView[[#This Row],[_Row]])="",TRUE()),"",INDEX(tsk_WBS,GanttView[[#This Row],[_Row]]))</f>
        <v/>
      </c>
      <c r="C91" s="84" t="str">
        <f aca="false">IF(IFERROR(INDEX(tsk_Name,GanttView[[#This Row],[_Row]])="",TRUE()),"",REPT("    ",INDEX(tsk_Level,GanttView[[#This Row],[_Row]])-1)&amp;INDEX(tsk_Name,GanttView[[#This Row],[_Row]]))</f>
        <v/>
      </c>
      <c r="D9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85" t="str">
        <f aca="false">IF(IFERROR(INDEX(tsk_Name,GanttView[[#This Row],[_Row]])="",TRUE()),"",INDEX(tsk_PlanStart,GanttView[[#This Row],[_Row]]))</f>
        <v/>
      </c>
      <c r="F91" s="85" t="str">
        <f aca="false">IF(IFERROR(INDEX(tsk_Name,GanttView[[#This Row],[_Row]])="",TRUE()),"",INDEX(tsk_PlanFinish,GanttView[[#This Row],[_Row]]))</f>
        <v/>
      </c>
      <c r="G91" s="85" t="str">
        <f aca="false">IF(IFERROR(INDEX(tsk_Name,GanttView[[#This Row],[_Row]])="",TRUE()),"",INDEX(tsk_FcStart,GanttView[[#This Row],[_Row]]))</f>
        <v/>
      </c>
      <c r="H91" s="85" t="str">
        <f aca="false">IF(IFERROR(INDEX(tsk_Name,GanttView[[#This Row],[_Row]])="",TRUE()),"",INDEX(tsk_FcFinish,GanttView[[#This Row],[_Row]]))</f>
        <v/>
      </c>
      <c r="I91" s="86" t="str">
        <f aca="false">IF(IFERROR(INDEX(tsk_Name,GanttView[[#This Row],[_Row]])="",TRUE()),"",INDEX(tsk_Progress,GanttView[[#This Row],[_Row]]))</f>
        <v/>
      </c>
      <c r="J91" s="84" t="str">
        <f aca="false">IF(IFERROR(INDEX(tsk_Name,GanttView[[#This Row],[_Row]])="",TRUE()),"",INDEX(tsk_Resource,GanttView[[#This Row],[_Row]])&amp;"")</f>
        <v/>
      </c>
      <c r="K91" s="83" t="str">
        <f aca="false">IF(IFERROR(INDEX(tsk_Name,GanttView[[#This Row],[_Row]])="",TRUE()),"",INDEX(tsk_Status,GanttView[[#This Row],[_Row]]))</f>
        <v/>
      </c>
      <c r="L91" s="87" t="n">
        <f aca="false">ROW()-ROW(GanttView[[#Headers],[ID]])</f>
        <v>86</v>
      </c>
      <c r="M91" s="88" t="b">
        <f aca="false">IF(IFERROR(INDEX(tsk_Name,GanttView[[#This Row],[_Row]])="",TRUE()),FALSE(),INDEX(tsk_IsSummary,GanttView[[#This Row],[_Row]]))</f>
        <v>0</v>
      </c>
      <c r="N91" s="88" t="b">
        <f aca="false">IF(IFERROR(INDEX(tsk_Name,GanttView[[#This Row],[_Row]])="",TRUE()),FALSE(),AND(INDEX(tsk_IsLeaf,GanttView[[#This Row],[_Row]])=1,N(INDEX(tsk_Duration,GanttView[[#This Row],[_Row]]))=0))</f>
        <v>0</v>
      </c>
      <c r="O9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89" t="n">
        <f aca="false">IF(GanttView[[#This Row],[_RemFrom]]=0,0,GanttView[[#This Row],[Forecast Finish]])</f>
        <v>0</v>
      </c>
      <c r="S91" s="88" t="b">
        <f aca="false">IF(IFERROR(INDEX(tsk_Name,GanttView[[#This Row],[_Row]])="",TRUE()),FALSE(),N(INDEX(tsk_Variance,GanttView[[#This Row],[_Row]]))&gt;0)</f>
        <v>0</v>
      </c>
      <c r="T91" s="89" t="n">
        <f aca="false">IF(IFERROR(INDEX(tsk_Name,GanttView[[#This Row],[_Row]])="",TRUE()),0,N(INDEX(tsk_Deadline,GanttView[[#This Row],[_Row]])))</f>
        <v>0</v>
      </c>
      <c r="U91" s="88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83" t="str">
        <f aca="false">IF(IFERROR(INDEX(tsk_Name,GanttView[[#This Row],[_Row]])="",TRUE()),"",INDEX(tsk_ID,GanttView[[#This Row],[_Row]]))</f>
        <v/>
      </c>
      <c r="B92" s="83" t="str">
        <f aca="false">IF(IFERROR(INDEX(tsk_Name,GanttView[[#This Row],[_Row]])="",TRUE()),"",INDEX(tsk_WBS,GanttView[[#This Row],[_Row]]))</f>
        <v/>
      </c>
      <c r="C92" s="84" t="str">
        <f aca="false">IF(IFERROR(INDEX(tsk_Name,GanttView[[#This Row],[_Row]])="",TRUE()),"",REPT("    ",INDEX(tsk_Level,GanttView[[#This Row],[_Row]])-1)&amp;INDEX(tsk_Name,GanttView[[#This Row],[_Row]]))</f>
        <v/>
      </c>
      <c r="D9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85" t="str">
        <f aca="false">IF(IFERROR(INDEX(tsk_Name,GanttView[[#This Row],[_Row]])="",TRUE()),"",INDEX(tsk_PlanStart,GanttView[[#This Row],[_Row]]))</f>
        <v/>
      </c>
      <c r="F92" s="85" t="str">
        <f aca="false">IF(IFERROR(INDEX(tsk_Name,GanttView[[#This Row],[_Row]])="",TRUE()),"",INDEX(tsk_PlanFinish,GanttView[[#This Row],[_Row]]))</f>
        <v/>
      </c>
      <c r="G92" s="85" t="str">
        <f aca="false">IF(IFERROR(INDEX(tsk_Name,GanttView[[#This Row],[_Row]])="",TRUE()),"",INDEX(tsk_FcStart,GanttView[[#This Row],[_Row]]))</f>
        <v/>
      </c>
      <c r="H92" s="85" t="str">
        <f aca="false">IF(IFERROR(INDEX(tsk_Name,GanttView[[#This Row],[_Row]])="",TRUE()),"",INDEX(tsk_FcFinish,GanttView[[#This Row],[_Row]]))</f>
        <v/>
      </c>
      <c r="I92" s="86" t="str">
        <f aca="false">IF(IFERROR(INDEX(tsk_Name,GanttView[[#This Row],[_Row]])="",TRUE()),"",INDEX(tsk_Progress,GanttView[[#This Row],[_Row]]))</f>
        <v/>
      </c>
      <c r="J92" s="84" t="str">
        <f aca="false">IF(IFERROR(INDEX(tsk_Name,GanttView[[#This Row],[_Row]])="",TRUE()),"",INDEX(tsk_Resource,GanttView[[#This Row],[_Row]])&amp;"")</f>
        <v/>
      </c>
      <c r="K92" s="83" t="str">
        <f aca="false">IF(IFERROR(INDEX(tsk_Name,GanttView[[#This Row],[_Row]])="",TRUE()),"",INDEX(tsk_Status,GanttView[[#This Row],[_Row]]))</f>
        <v/>
      </c>
      <c r="L92" s="87" t="n">
        <f aca="false">ROW()-ROW(GanttView[[#Headers],[ID]])</f>
        <v>87</v>
      </c>
      <c r="M92" s="88" t="b">
        <f aca="false">IF(IFERROR(INDEX(tsk_Name,GanttView[[#This Row],[_Row]])="",TRUE()),FALSE(),INDEX(tsk_IsSummary,GanttView[[#This Row],[_Row]]))</f>
        <v>0</v>
      </c>
      <c r="N92" s="88" t="b">
        <f aca="false">IF(IFERROR(INDEX(tsk_Name,GanttView[[#This Row],[_Row]])="",TRUE()),FALSE(),AND(INDEX(tsk_IsLeaf,GanttView[[#This Row],[_Row]])=1,N(INDEX(tsk_Duration,GanttView[[#This Row],[_Row]]))=0))</f>
        <v>0</v>
      </c>
      <c r="O9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89" t="n">
        <f aca="false">IF(GanttView[[#This Row],[_RemFrom]]=0,0,GanttView[[#This Row],[Forecast Finish]])</f>
        <v>0</v>
      </c>
      <c r="S92" s="88" t="b">
        <f aca="false">IF(IFERROR(INDEX(tsk_Name,GanttView[[#This Row],[_Row]])="",TRUE()),FALSE(),N(INDEX(tsk_Variance,GanttView[[#This Row],[_Row]]))&gt;0)</f>
        <v>0</v>
      </c>
      <c r="T92" s="89" t="n">
        <f aca="false">IF(IFERROR(INDEX(tsk_Name,GanttView[[#This Row],[_Row]])="",TRUE()),0,N(INDEX(tsk_Deadline,GanttView[[#This Row],[_Row]])))</f>
        <v>0</v>
      </c>
      <c r="U92" s="88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83" t="str">
        <f aca="false">IF(IFERROR(INDEX(tsk_Name,GanttView[[#This Row],[_Row]])="",TRUE()),"",INDEX(tsk_ID,GanttView[[#This Row],[_Row]]))</f>
        <v/>
      </c>
      <c r="B93" s="83" t="str">
        <f aca="false">IF(IFERROR(INDEX(tsk_Name,GanttView[[#This Row],[_Row]])="",TRUE()),"",INDEX(tsk_WBS,GanttView[[#This Row],[_Row]]))</f>
        <v/>
      </c>
      <c r="C93" s="84" t="str">
        <f aca="false">IF(IFERROR(INDEX(tsk_Name,GanttView[[#This Row],[_Row]])="",TRUE()),"",REPT("    ",INDEX(tsk_Level,GanttView[[#This Row],[_Row]])-1)&amp;INDEX(tsk_Name,GanttView[[#This Row],[_Row]]))</f>
        <v/>
      </c>
      <c r="D9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85" t="str">
        <f aca="false">IF(IFERROR(INDEX(tsk_Name,GanttView[[#This Row],[_Row]])="",TRUE()),"",INDEX(tsk_PlanStart,GanttView[[#This Row],[_Row]]))</f>
        <v/>
      </c>
      <c r="F93" s="85" t="str">
        <f aca="false">IF(IFERROR(INDEX(tsk_Name,GanttView[[#This Row],[_Row]])="",TRUE()),"",INDEX(tsk_PlanFinish,GanttView[[#This Row],[_Row]]))</f>
        <v/>
      </c>
      <c r="G93" s="85" t="str">
        <f aca="false">IF(IFERROR(INDEX(tsk_Name,GanttView[[#This Row],[_Row]])="",TRUE()),"",INDEX(tsk_FcStart,GanttView[[#This Row],[_Row]]))</f>
        <v/>
      </c>
      <c r="H93" s="85" t="str">
        <f aca="false">IF(IFERROR(INDEX(tsk_Name,GanttView[[#This Row],[_Row]])="",TRUE()),"",INDEX(tsk_FcFinish,GanttView[[#This Row],[_Row]]))</f>
        <v/>
      </c>
      <c r="I93" s="86" t="str">
        <f aca="false">IF(IFERROR(INDEX(tsk_Name,GanttView[[#This Row],[_Row]])="",TRUE()),"",INDEX(tsk_Progress,GanttView[[#This Row],[_Row]]))</f>
        <v/>
      </c>
      <c r="J93" s="84" t="str">
        <f aca="false">IF(IFERROR(INDEX(tsk_Name,GanttView[[#This Row],[_Row]])="",TRUE()),"",INDEX(tsk_Resource,GanttView[[#This Row],[_Row]])&amp;"")</f>
        <v/>
      </c>
      <c r="K93" s="83" t="str">
        <f aca="false">IF(IFERROR(INDEX(tsk_Name,GanttView[[#This Row],[_Row]])="",TRUE()),"",INDEX(tsk_Status,GanttView[[#This Row],[_Row]]))</f>
        <v/>
      </c>
      <c r="L93" s="87" t="n">
        <f aca="false">ROW()-ROW(GanttView[[#Headers],[ID]])</f>
        <v>88</v>
      </c>
      <c r="M93" s="88" t="b">
        <f aca="false">IF(IFERROR(INDEX(tsk_Name,GanttView[[#This Row],[_Row]])="",TRUE()),FALSE(),INDEX(tsk_IsSummary,GanttView[[#This Row],[_Row]]))</f>
        <v>0</v>
      </c>
      <c r="N93" s="88" t="b">
        <f aca="false">IF(IFERROR(INDEX(tsk_Name,GanttView[[#This Row],[_Row]])="",TRUE()),FALSE(),AND(INDEX(tsk_IsLeaf,GanttView[[#This Row],[_Row]])=1,N(INDEX(tsk_Duration,GanttView[[#This Row],[_Row]]))=0))</f>
        <v>0</v>
      </c>
      <c r="O9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89" t="n">
        <f aca="false">IF(GanttView[[#This Row],[_RemFrom]]=0,0,GanttView[[#This Row],[Forecast Finish]])</f>
        <v>0</v>
      </c>
      <c r="S93" s="88" t="b">
        <f aca="false">IF(IFERROR(INDEX(tsk_Name,GanttView[[#This Row],[_Row]])="",TRUE()),FALSE(),N(INDEX(tsk_Variance,GanttView[[#This Row],[_Row]]))&gt;0)</f>
        <v>0</v>
      </c>
      <c r="T93" s="89" t="n">
        <f aca="false">IF(IFERROR(INDEX(tsk_Name,GanttView[[#This Row],[_Row]])="",TRUE()),0,N(INDEX(tsk_Deadline,GanttView[[#This Row],[_Row]])))</f>
        <v>0</v>
      </c>
      <c r="U93" s="88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83" t="str">
        <f aca="false">IF(IFERROR(INDEX(tsk_Name,GanttView[[#This Row],[_Row]])="",TRUE()),"",INDEX(tsk_ID,GanttView[[#This Row],[_Row]]))</f>
        <v/>
      </c>
      <c r="B94" s="83" t="str">
        <f aca="false">IF(IFERROR(INDEX(tsk_Name,GanttView[[#This Row],[_Row]])="",TRUE()),"",INDEX(tsk_WBS,GanttView[[#This Row],[_Row]]))</f>
        <v/>
      </c>
      <c r="C94" s="84" t="str">
        <f aca="false">IF(IFERROR(INDEX(tsk_Name,GanttView[[#This Row],[_Row]])="",TRUE()),"",REPT("    ",INDEX(tsk_Level,GanttView[[#This Row],[_Row]])-1)&amp;INDEX(tsk_Name,GanttView[[#This Row],[_Row]]))</f>
        <v/>
      </c>
      <c r="D9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85" t="str">
        <f aca="false">IF(IFERROR(INDEX(tsk_Name,GanttView[[#This Row],[_Row]])="",TRUE()),"",INDEX(tsk_PlanStart,GanttView[[#This Row],[_Row]]))</f>
        <v/>
      </c>
      <c r="F94" s="85" t="str">
        <f aca="false">IF(IFERROR(INDEX(tsk_Name,GanttView[[#This Row],[_Row]])="",TRUE()),"",INDEX(tsk_PlanFinish,GanttView[[#This Row],[_Row]]))</f>
        <v/>
      </c>
      <c r="G94" s="85" t="str">
        <f aca="false">IF(IFERROR(INDEX(tsk_Name,GanttView[[#This Row],[_Row]])="",TRUE()),"",INDEX(tsk_FcStart,GanttView[[#This Row],[_Row]]))</f>
        <v/>
      </c>
      <c r="H94" s="85" t="str">
        <f aca="false">IF(IFERROR(INDEX(tsk_Name,GanttView[[#This Row],[_Row]])="",TRUE()),"",INDEX(tsk_FcFinish,GanttView[[#This Row],[_Row]]))</f>
        <v/>
      </c>
      <c r="I94" s="86" t="str">
        <f aca="false">IF(IFERROR(INDEX(tsk_Name,GanttView[[#This Row],[_Row]])="",TRUE()),"",INDEX(tsk_Progress,GanttView[[#This Row],[_Row]]))</f>
        <v/>
      </c>
      <c r="J94" s="84" t="str">
        <f aca="false">IF(IFERROR(INDEX(tsk_Name,GanttView[[#This Row],[_Row]])="",TRUE()),"",INDEX(tsk_Resource,GanttView[[#This Row],[_Row]])&amp;"")</f>
        <v/>
      </c>
      <c r="K94" s="83" t="str">
        <f aca="false">IF(IFERROR(INDEX(tsk_Name,GanttView[[#This Row],[_Row]])="",TRUE()),"",INDEX(tsk_Status,GanttView[[#This Row],[_Row]]))</f>
        <v/>
      </c>
      <c r="L94" s="87" t="n">
        <f aca="false">ROW()-ROW(GanttView[[#Headers],[ID]])</f>
        <v>89</v>
      </c>
      <c r="M94" s="88" t="b">
        <f aca="false">IF(IFERROR(INDEX(tsk_Name,GanttView[[#This Row],[_Row]])="",TRUE()),FALSE(),INDEX(tsk_IsSummary,GanttView[[#This Row],[_Row]]))</f>
        <v>0</v>
      </c>
      <c r="N94" s="88" t="b">
        <f aca="false">IF(IFERROR(INDEX(tsk_Name,GanttView[[#This Row],[_Row]])="",TRUE()),FALSE(),AND(INDEX(tsk_IsLeaf,GanttView[[#This Row],[_Row]])=1,N(INDEX(tsk_Duration,GanttView[[#This Row],[_Row]]))=0))</f>
        <v>0</v>
      </c>
      <c r="O9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89" t="n">
        <f aca="false">IF(GanttView[[#This Row],[_RemFrom]]=0,0,GanttView[[#This Row],[Forecast Finish]])</f>
        <v>0</v>
      </c>
      <c r="S94" s="88" t="b">
        <f aca="false">IF(IFERROR(INDEX(tsk_Name,GanttView[[#This Row],[_Row]])="",TRUE()),FALSE(),N(INDEX(tsk_Variance,GanttView[[#This Row],[_Row]]))&gt;0)</f>
        <v>0</v>
      </c>
      <c r="T94" s="89" t="n">
        <f aca="false">IF(IFERROR(INDEX(tsk_Name,GanttView[[#This Row],[_Row]])="",TRUE()),0,N(INDEX(tsk_Deadline,GanttView[[#This Row],[_Row]])))</f>
        <v>0</v>
      </c>
      <c r="U94" s="88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83" t="str">
        <f aca="false">IF(IFERROR(INDEX(tsk_Name,GanttView[[#This Row],[_Row]])="",TRUE()),"",INDEX(tsk_ID,GanttView[[#This Row],[_Row]]))</f>
        <v/>
      </c>
      <c r="B95" s="83" t="str">
        <f aca="false">IF(IFERROR(INDEX(tsk_Name,GanttView[[#This Row],[_Row]])="",TRUE()),"",INDEX(tsk_WBS,GanttView[[#This Row],[_Row]]))</f>
        <v/>
      </c>
      <c r="C95" s="84" t="str">
        <f aca="false">IF(IFERROR(INDEX(tsk_Name,GanttView[[#This Row],[_Row]])="",TRUE()),"",REPT("    ",INDEX(tsk_Level,GanttView[[#This Row],[_Row]])-1)&amp;INDEX(tsk_Name,GanttView[[#This Row],[_Row]]))</f>
        <v/>
      </c>
      <c r="D9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85" t="str">
        <f aca="false">IF(IFERROR(INDEX(tsk_Name,GanttView[[#This Row],[_Row]])="",TRUE()),"",INDEX(tsk_PlanStart,GanttView[[#This Row],[_Row]]))</f>
        <v/>
      </c>
      <c r="F95" s="85" t="str">
        <f aca="false">IF(IFERROR(INDEX(tsk_Name,GanttView[[#This Row],[_Row]])="",TRUE()),"",INDEX(tsk_PlanFinish,GanttView[[#This Row],[_Row]]))</f>
        <v/>
      </c>
      <c r="G95" s="85" t="str">
        <f aca="false">IF(IFERROR(INDEX(tsk_Name,GanttView[[#This Row],[_Row]])="",TRUE()),"",INDEX(tsk_FcStart,GanttView[[#This Row],[_Row]]))</f>
        <v/>
      </c>
      <c r="H95" s="85" t="str">
        <f aca="false">IF(IFERROR(INDEX(tsk_Name,GanttView[[#This Row],[_Row]])="",TRUE()),"",INDEX(tsk_FcFinish,GanttView[[#This Row],[_Row]]))</f>
        <v/>
      </c>
      <c r="I95" s="86" t="str">
        <f aca="false">IF(IFERROR(INDEX(tsk_Name,GanttView[[#This Row],[_Row]])="",TRUE()),"",INDEX(tsk_Progress,GanttView[[#This Row],[_Row]]))</f>
        <v/>
      </c>
      <c r="J95" s="84" t="str">
        <f aca="false">IF(IFERROR(INDEX(tsk_Name,GanttView[[#This Row],[_Row]])="",TRUE()),"",INDEX(tsk_Resource,GanttView[[#This Row],[_Row]])&amp;"")</f>
        <v/>
      </c>
      <c r="K95" s="83" t="str">
        <f aca="false">IF(IFERROR(INDEX(tsk_Name,GanttView[[#This Row],[_Row]])="",TRUE()),"",INDEX(tsk_Status,GanttView[[#This Row],[_Row]]))</f>
        <v/>
      </c>
      <c r="L95" s="87" t="n">
        <f aca="false">ROW()-ROW(GanttView[[#Headers],[ID]])</f>
        <v>90</v>
      </c>
      <c r="M95" s="88" t="b">
        <f aca="false">IF(IFERROR(INDEX(tsk_Name,GanttView[[#This Row],[_Row]])="",TRUE()),FALSE(),INDEX(tsk_IsSummary,GanttView[[#This Row],[_Row]]))</f>
        <v>0</v>
      </c>
      <c r="N95" s="88" t="b">
        <f aca="false">IF(IFERROR(INDEX(tsk_Name,GanttView[[#This Row],[_Row]])="",TRUE()),FALSE(),AND(INDEX(tsk_IsLeaf,GanttView[[#This Row],[_Row]])=1,N(INDEX(tsk_Duration,GanttView[[#This Row],[_Row]]))=0))</f>
        <v>0</v>
      </c>
      <c r="O9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89" t="n">
        <f aca="false">IF(GanttView[[#This Row],[_RemFrom]]=0,0,GanttView[[#This Row],[Forecast Finish]])</f>
        <v>0</v>
      </c>
      <c r="S95" s="88" t="b">
        <f aca="false">IF(IFERROR(INDEX(tsk_Name,GanttView[[#This Row],[_Row]])="",TRUE()),FALSE(),N(INDEX(tsk_Variance,GanttView[[#This Row],[_Row]]))&gt;0)</f>
        <v>0</v>
      </c>
      <c r="T95" s="89" t="n">
        <f aca="false">IF(IFERROR(INDEX(tsk_Name,GanttView[[#This Row],[_Row]])="",TRUE()),0,N(INDEX(tsk_Deadline,GanttView[[#This Row],[_Row]])))</f>
        <v>0</v>
      </c>
      <c r="U95" s="88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83" t="str">
        <f aca="false">IF(IFERROR(INDEX(tsk_Name,GanttView[[#This Row],[_Row]])="",TRUE()),"",INDEX(tsk_ID,GanttView[[#This Row],[_Row]]))</f>
        <v/>
      </c>
      <c r="B96" s="83" t="str">
        <f aca="false">IF(IFERROR(INDEX(tsk_Name,GanttView[[#This Row],[_Row]])="",TRUE()),"",INDEX(tsk_WBS,GanttView[[#This Row],[_Row]]))</f>
        <v/>
      </c>
      <c r="C96" s="84" t="str">
        <f aca="false">IF(IFERROR(INDEX(tsk_Name,GanttView[[#This Row],[_Row]])="",TRUE()),"",REPT("    ",INDEX(tsk_Level,GanttView[[#This Row],[_Row]])-1)&amp;INDEX(tsk_Name,GanttView[[#This Row],[_Row]]))</f>
        <v/>
      </c>
      <c r="D9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85" t="str">
        <f aca="false">IF(IFERROR(INDEX(tsk_Name,GanttView[[#This Row],[_Row]])="",TRUE()),"",INDEX(tsk_PlanStart,GanttView[[#This Row],[_Row]]))</f>
        <v/>
      </c>
      <c r="F96" s="85" t="str">
        <f aca="false">IF(IFERROR(INDEX(tsk_Name,GanttView[[#This Row],[_Row]])="",TRUE()),"",INDEX(tsk_PlanFinish,GanttView[[#This Row],[_Row]]))</f>
        <v/>
      </c>
      <c r="G96" s="85" t="str">
        <f aca="false">IF(IFERROR(INDEX(tsk_Name,GanttView[[#This Row],[_Row]])="",TRUE()),"",INDEX(tsk_FcStart,GanttView[[#This Row],[_Row]]))</f>
        <v/>
      </c>
      <c r="H96" s="85" t="str">
        <f aca="false">IF(IFERROR(INDEX(tsk_Name,GanttView[[#This Row],[_Row]])="",TRUE()),"",INDEX(tsk_FcFinish,GanttView[[#This Row],[_Row]]))</f>
        <v/>
      </c>
      <c r="I96" s="86" t="str">
        <f aca="false">IF(IFERROR(INDEX(tsk_Name,GanttView[[#This Row],[_Row]])="",TRUE()),"",INDEX(tsk_Progress,GanttView[[#This Row],[_Row]]))</f>
        <v/>
      </c>
      <c r="J96" s="84" t="str">
        <f aca="false">IF(IFERROR(INDEX(tsk_Name,GanttView[[#This Row],[_Row]])="",TRUE()),"",INDEX(tsk_Resource,GanttView[[#This Row],[_Row]])&amp;"")</f>
        <v/>
      </c>
      <c r="K96" s="83" t="str">
        <f aca="false">IF(IFERROR(INDEX(tsk_Name,GanttView[[#This Row],[_Row]])="",TRUE()),"",INDEX(tsk_Status,GanttView[[#This Row],[_Row]]))</f>
        <v/>
      </c>
      <c r="L96" s="87" t="n">
        <f aca="false">ROW()-ROW(GanttView[[#Headers],[ID]])</f>
        <v>91</v>
      </c>
      <c r="M96" s="88" t="b">
        <f aca="false">IF(IFERROR(INDEX(tsk_Name,GanttView[[#This Row],[_Row]])="",TRUE()),FALSE(),INDEX(tsk_IsSummary,GanttView[[#This Row],[_Row]]))</f>
        <v>0</v>
      </c>
      <c r="N96" s="88" t="b">
        <f aca="false">IF(IFERROR(INDEX(tsk_Name,GanttView[[#This Row],[_Row]])="",TRUE()),FALSE(),AND(INDEX(tsk_IsLeaf,GanttView[[#This Row],[_Row]])=1,N(INDEX(tsk_Duration,GanttView[[#This Row],[_Row]]))=0))</f>
        <v>0</v>
      </c>
      <c r="O9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89" t="n">
        <f aca="false">IF(GanttView[[#This Row],[_RemFrom]]=0,0,GanttView[[#This Row],[Forecast Finish]])</f>
        <v>0</v>
      </c>
      <c r="S96" s="88" t="b">
        <f aca="false">IF(IFERROR(INDEX(tsk_Name,GanttView[[#This Row],[_Row]])="",TRUE()),FALSE(),N(INDEX(tsk_Variance,GanttView[[#This Row],[_Row]]))&gt;0)</f>
        <v>0</v>
      </c>
      <c r="T96" s="89" t="n">
        <f aca="false">IF(IFERROR(INDEX(tsk_Name,GanttView[[#This Row],[_Row]])="",TRUE()),0,N(INDEX(tsk_Deadline,GanttView[[#This Row],[_Row]])))</f>
        <v>0</v>
      </c>
      <c r="U96" s="88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83" t="str">
        <f aca="false">IF(IFERROR(INDEX(tsk_Name,GanttView[[#This Row],[_Row]])="",TRUE()),"",INDEX(tsk_ID,GanttView[[#This Row],[_Row]]))</f>
        <v/>
      </c>
      <c r="B97" s="83" t="str">
        <f aca="false">IF(IFERROR(INDEX(tsk_Name,GanttView[[#This Row],[_Row]])="",TRUE()),"",INDEX(tsk_WBS,GanttView[[#This Row],[_Row]]))</f>
        <v/>
      </c>
      <c r="C97" s="84" t="str">
        <f aca="false">IF(IFERROR(INDEX(tsk_Name,GanttView[[#This Row],[_Row]])="",TRUE()),"",REPT("    ",INDEX(tsk_Level,GanttView[[#This Row],[_Row]])-1)&amp;INDEX(tsk_Name,GanttView[[#This Row],[_Row]]))</f>
        <v/>
      </c>
      <c r="D9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85" t="str">
        <f aca="false">IF(IFERROR(INDEX(tsk_Name,GanttView[[#This Row],[_Row]])="",TRUE()),"",INDEX(tsk_PlanStart,GanttView[[#This Row],[_Row]]))</f>
        <v/>
      </c>
      <c r="F97" s="85" t="str">
        <f aca="false">IF(IFERROR(INDEX(tsk_Name,GanttView[[#This Row],[_Row]])="",TRUE()),"",INDEX(tsk_PlanFinish,GanttView[[#This Row],[_Row]]))</f>
        <v/>
      </c>
      <c r="G97" s="85" t="str">
        <f aca="false">IF(IFERROR(INDEX(tsk_Name,GanttView[[#This Row],[_Row]])="",TRUE()),"",INDEX(tsk_FcStart,GanttView[[#This Row],[_Row]]))</f>
        <v/>
      </c>
      <c r="H97" s="85" t="str">
        <f aca="false">IF(IFERROR(INDEX(tsk_Name,GanttView[[#This Row],[_Row]])="",TRUE()),"",INDEX(tsk_FcFinish,GanttView[[#This Row],[_Row]]))</f>
        <v/>
      </c>
      <c r="I97" s="86" t="str">
        <f aca="false">IF(IFERROR(INDEX(tsk_Name,GanttView[[#This Row],[_Row]])="",TRUE()),"",INDEX(tsk_Progress,GanttView[[#This Row],[_Row]]))</f>
        <v/>
      </c>
      <c r="J97" s="84" t="str">
        <f aca="false">IF(IFERROR(INDEX(tsk_Name,GanttView[[#This Row],[_Row]])="",TRUE()),"",INDEX(tsk_Resource,GanttView[[#This Row],[_Row]])&amp;"")</f>
        <v/>
      </c>
      <c r="K97" s="83" t="str">
        <f aca="false">IF(IFERROR(INDEX(tsk_Name,GanttView[[#This Row],[_Row]])="",TRUE()),"",INDEX(tsk_Status,GanttView[[#This Row],[_Row]]))</f>
        <v/>
      </c>
      <c r="L97" s="87" t="n">
        <f aca="false">ROW()-ROW(GanttView[[#Headers],[ID]])</f>
        <v>92</v>
      </c>
      <c r="M97" s="88" t="b">
        <f aca="false">IF(IFERROR(INDEX(tsk_Name,GanttView[[#This Row],[_Row]])="",TRUE()),FALSE(),INDEX(tsk_IsSummary,GanttView[[#This Row],[_Row]]))</f>
        <v>0</v>
      </c>
      <c r="N97" s="88" t="b">
        <f aca="false">IF(IFERROR(INDEX(tsk_Name,GanttView[[#This Row],[_Row]])="",TRUE()),FALSE(),AND(INDEX(tsk_IsLeaf,GanttView[[#This Row],[_Row]])=1,N(INDEX(tsk_Duration,GanttView[[#This Row],[_Row]]))=0))</f>
        <v>0</v>
      </c>
      <c r="O9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89" t="n">
        <f aca="false">IF(GanttView[[#This Row],[_RemFrom]]=0,0,GanttView[[#This Row],[Forecast Finish]])</f>
        <v>0</v>
      </c>
      <c r="S97" s="88" t="b">
        <f aca="false">IF(IFERROR(INDEX(tsk_Name,GanttView[[#This Row],[_Row]])="",TRUE()),FALSE(),N(INDEX(tsk_Variance,GanttView[[#This Row],[_Row]]))&gt;0)</f>
        <v>0</v>
      </c>
      <c r="T97" s="89" t="n">
        <f aca="false">IF(IFERROR(INDEX(tsk_Name,GanttView[[#This Row],[_Row]])="",TRUE()),0,N(INDEX(tsk_Deadline,GanttView[[#This Row],[_Row]])))</f>
        <v>0</v>
      </c>
      <c r="U97" s="88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83" t="str">
        <f aca="false">IF(IFERROR(INDEX(tsk_Name,GanttView[[#This Row],[_Row]])="",TRUE()),"",INDEX(tsk_ID,GanttView[[#This Row],[_Row]]))</f>
        <v/>
      </c>
      <c r="B98" s="83" t="str">
        <f aca="false">IF(IFERROR(INDEX(tsk_Name,GanttView[[#This Row],[_Row]])="",TRUE()),"",INDEX(tsk_WBS,GanttView[[#This Row],[_Row]]))</f>
        <v/>
      </c>
      <c r="C98" s="84" t="str">
        <f aca="false">IF(IFERROR(INDEX(tsk_Name,GanttView[[#This Row],[_Row]])="",TRUE()),"",REPT("    ",INDEX(tsk_Level,GanttView[[#This Row],[_Row]])-1)&amp;INDEX(tsk_Name,GanttView[[#This Row],[_Row]]))</f>
        <v/>
      </c>
      <c r="D9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85" t="str">
        <f aca="false">IF(IFERROR(INDEX(tsk_Name,GanttView[[#This Row],[_Row]])="",TRUE()),"",INDEX(tsk_PlanStart,GanttView[[#This Row],[_Row]]))</f>
        <v/>
      </c>
      <c r="F98" s="85" t="str">
        <f aca="false">IF(IFERROR(INDEX(tsk_Name,GanttView[[#This Row],[_Row]])="",TRUE()),"",INDEX(tsk_PlanFinish,GanttView[[#This Row],[_Row]]))</f>
        <v/>
      </c>
      <c r="G98" s="85" t="str">
        <f aca="false">IF(IFERROR(INDEX(tsk_Name,GanttView[[#This Row],[_Row]])="",TRUE()),"",INDEX(tsk_FcStart,GanttView[[#This Row],[_Row]]))</f>
        <v/>
      </c>
      <c r="H98" s="85" t="str">
        <f aca="false">IF(IFERROR(INDEX(tsk_Name,GanttView[[#This Row],[_Row]])="",TRUE()),"",INDEX(tsk_FcFinish,GanttView[[#This Row],[_Row]]))</f>
        <v/>
      </c>
      <c r="I98" s="86" t="str">
        <f aca="false">IF(IFERROR(INDEX(tsk_Name,GanttView[[#This Row],[_Row]])="",TRUE()),"",INDEX(tsk_Progress,GanttView[[#This Row],[_Row]]))</f>
        <v/>
      </c>
      <c r="J98" s="84" t="str">
        <f aca="false">IF(IFERROR(INDEX(tsk_Name,GanttView[[#This Row],[_Row]])="",TRUE()),"",INDEX(tsk_Resource,GanttView[[#This Row],[_Row]])&amp;"")</f>
        <v/>
      </c>
      <c r="K98" s="83" t="str">
        <f aca="false">IF(IFERROR(INDEX(tsk_Name,GanttView[[#This Row],[_Row]])="",TRUE()),"",INDEX(tsk_Status,GanttView[[#This Row],[_Row]]))</f>
        <v/>
      </c>
      <c r="L98" s="87" t="n">
        <f aca="false">ROW()-ROW(GanttView[[#Headers],[ID]])</f>
        <v>93</v>
      </c>
      <c r="M98" s="88" t="b">
        <f aca="false">IF(IFERROR(INDEX(tsk_Name,GanttView[[#This Row],[_Row]])="",TRUE()),FALSE(),INDEX(tsk_IsSummary,GanttView[[#This Row],[_Row]]))</f>
        <v>0</v>
      </c>
      <c r="N98" s="88" t="b">
        <f aca="false">IF(IFERROR(INDEX(tsk_Name,GanttView[[#This Row],[_Row]])="",TRUE()),FALSE(),AND(INDEX(tsk_IsLeaf,GanttView[[#This Row],[_Row]])=1,N(INDEX(tsk_Duration,GanttView[[#This Row],[_Row]]))=0))</f>
        <v>0</v>
      </c>
      <c r="O9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89" t="n">
        <f aca="false">IF(GanttView[[#This Row],[_RemFrom]]=0,0,GanttView[[#This Row],[Forecast Finish]])</f>
        <v>0</v>
      </c>
      <c r="S98" s="88" t="b">
        <f aca="false">IF(IFERROR(INDEX(tsk_Name,GanttView[[#This Row],[_Row]])="",TRUE()),FALSE(),N(INDEX(tsk_Variance,GanttView[[#This Row],[_Row]]))&gt;0)</f>
        <v>0</v>
      </c>
      <c r="T98" s="89" t="n">
        <f aca="false">IF(IFERROR(INDEX(tsk_Name,GanttView[[#This Row],[_Row]])="",TRUE()),0,N(INDEX(tsk_Deadline,GanttView[[#This Row],[_Row]])))</f>
        <v>0</v>
      </c>
      <c r="U98" s="88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83" t="str">
        <f aca="false">IF(IFERROR(INDEX(tsk_Name,GanttView[[#This Row],[_Row]])="",TRUE()),"",INDEX(tsk_ID,GanttView[[#This Row],[_Row]]))</f>
        <v/>
      </c>
      <c r="B99" s="83" t="str">
        <f aca="false">IF(IFERROR(INDEX(tsk_Name,GanttView[[#This Row],[_Row]])="",TRUE()),"",INDEX(tsk_WBS,GanttView[[#This Row],[_Row]]))</f>
        <v/>
      </c>
      <c r="C99" s="84" t="str">
        <f aca="false">IF(IFERROR(INDEX(tsk_Name,GanttView[[#This Row],[_Row]])="",TRUE()),"",REPT("    ",INDEX(tsk_Level,GanttView[[#This Row],[_Row]])-1)&amp;INDEX(tsk_Name,GanttView[[#This Row],[_Row]]))</f>
        <v/>
      </c>
      <c r="D9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85" t="str">
        <f aca="false">IF(IFERROR(INDEX(tsk_Name,GanttView[[#This Row],[_Row]])="",TRUE()),"",INDEX(tsk_PlanStart,GanttView[[#This Row],[_Row]]))</f>
        <v/>
      </c>
      <c r="F99" s="85" t="str">
        <f aca="false">IF(IFERROR(INDEX(tsk_Name,GanttView[[#This Row],[_Row]])="",TRUE()),"",INDEX(tsk_PlanFinish,GanttView[[#This Row],[_Row]]))</f>
        <v/>
      </c>
      <c r="G99" s="85" t="str">
        <f aca="false">IF(IFERROR(INDEX(tsk_Name,GanttView[[#This Row],[_Row]])="",TRUE()),"",INDEX(tsk_FcStart,GanttView[[#This Row],[_Row]]))</f>
        <v/>
      </c>
      <c r="H99" s="85" t="str">
        <f aca="false">IF(IFERROR(INDEX(tsk_Name,GanttView[[#This Row],[_Row]])="",TRUE()),"",INDEX(tsk_FcFinish,GanttView[[#This Row],[_Row]]))</f>
        <v/>
      </c>
      <c r="I99" s="86" t="str">
        <f aca="false">IF(IFERROR(INDEX(tsk_Name,GanttView[[#This Row],[_Row]])="",TRUE()),"",INDEX(tsk_Progress,GanttView[[#This Row],[_Row]]))</f>
        <v/>
      </c>
      <c r="J99" s="84" t="str">
        <f aca="false">IF(IFERROR(INDEX(tsk_Name,GanttView[[#This Row],[_Row]])="",TRUE()),"",INDEX(tsk_Resource,GanttView[[#This Row],[_Row]])&amp;"")</f>
        <v/>
      </c>
      <c r="K99" s="83" t="str">
        <f aca="false">IF(IFERROR(INDEX(tsk_Name,GanttView[[#This Row],[_Row]])="",TRUE()),"",INDEX(tsk_Status,GanttView[[#This Row],[_Row]]))</f>
        <v/>
      </c>
      <c r="L99" s="87" t="n">
        <f aca="false">ROW()-ROW(GanttView[[#Headers],[ID]])</f>
        <v>94</v>
      </c>
      <c r="M99" s="88" t="b">
        <f aca="false">IF(IFERROR(INDEX(tsk_Name,GanttView[[#This Row],[_Row]])="",TRUE()),FALSE(),INDEX(tsk_IsSummary,GanttView[[#This Row],[_Row]]))</f>
        <v>0</v>
      </c>
      <c r="N99" s="88" t="b">
        <f aca="false">IF(IFERROR(INDEX(tsk_Name,GanttView[[#This Row],[_Row]])="",TRUE()),FALSE(),AND(INDEX(tsk_IsLeaf,GanttView[[#This Row],[_Row]])=1,N(INDEX(tsk_Duration,GanttView[[#This Row],[_Row]]))=0))</f>
        <v>0</v>
      </c>
      <c r="O9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89" t="n">
        <f aca="false">IF(GanttView[[#This Row],[_RemFrom]]=0,0,GanttView[[#This Row],[Forecast Finish]])</f>
        <v>0</v>
      </c>
      <c r="S99" s="88" t="b">
        <f aca="false">IF(IFERROR(INDEX(tsk_Name,GanttView[[#This Row],[_Row]])="",TRUE()),FALSE(),N(INDEX(tsk_Variance,GanttView[[#This Row],[_Row]]))&gt;0)</f>
        <v>0</v>
      </c>
      <c r="T99" s="89" t="n">
        <f aca="false">IF(IFERROR(INDEX(tsk_Name,GanttView[[#This Row],[_Row]])="",TRUE()),0,N(INDEX(tsk_Deadline,GanttView[[#This Row],[_Row]])))</f>
        <v>0</v>
      </c>
      <c r="U99" s="88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83" t="str">
        <f aca="false">IF(IFERROR(INDEX(tsk_Name,GanttView[[#This Row],[_Row]])="",TRUE()),"",INDEX(tsk_ID,GanttView[[#This Row],[_Row]]))</f>
        <v/>
      </c>
      <c r="B100" s="83" t="str">
        <f aca="false">IF(IFERROR(INDEX(tsk_Name,GanttView[[#This Row],[_Row]])="",TRUE()),"",INDEX(tsk_WBS,GanttView[[#This Row],[_Row]]))</f>
        <v/>
      </c>
      <c r="C100" s="84" t="str">
        <f aca="false">IF(IFERROR(INDEX(tsk_Name,GanttView[[#This Row],[_Row]])="",TRUE()),"",REPT("    ",INDEX(tsk_Level,GanttView[[#This Row],[_Row]])-1)&amp;INDEX(tsk_Name,GanttView[[#This Row],[_Row]]))</f>
        <v/>
      </c>
      <c r="D10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85" t="str">
        <f aca="false">IF(IFERROR(INDEX(tsk_Name,GanttView[[#This Row],[_Row]])="",TRUE()),"",INDEX(tsk_PlanStart,GanttView[[#This Row],[_Row]]))</f>
        <v/>
      </c>
      <c r="F100" s="85" t="str">
        <f aca="false">IF(IFERROR(INDEX(tsk_Name,GanttView[[#This Row],[_Row]])="",TRUE()),"",INDEX(tsk_PlanFinish,GanttView[[#This Row],[_Row]]))</f>
        <v/>
      </c>
      <c r="G100" s="85" t="str">
        <f aca="false">IF(IFERROR(INDEX(tsk_Name,GanttView[[#This Row],[_Row]])="",TRUE()),"",INDEX(tsk_FcStart,GanttView[[#This Row],[_Row]]))</f>
        <v/>
      </c>
      <c r="H100" s="85" t="str">
        <f aca="false">IF(IFERROR(INDEX(tsk_Name,GanttView[[#This Row],[_Row]])="",TRUE()),"",INDEX(tsk_FcFinish,GanttView[[#This Row],[_Row]]))</f>
        <v/>
      </c>
      <c r="I100" s="86" t="str">
        <f aca="false">IF(IFERROR(INDEX(tsk_Name,GanttView[[#This Row],[_Row]])="",TRUE()),"",INDEX(tsk_Progress,GanttView[[#This Row],[_Row]]))</f>
        <v/>
      </c>
      <c r="J100" s="84" t="str">
        <f aca="false">IF(IFERROR(INDEX(tsk_Name,GanttView[[#This Row],[_Row]])="",TRUE()),"",INDEX(tsk_Resource,GanttView[[#This Row],[_Row]])&amp;"")</f>
        <v/>
      </c>
      <c r="K100" s="83" t="str">
        <f aca="false">IF(IFERROR(INDEX(tsk_Name,GanttView[[#This Row],[_Row]])="",TRUE()),"",INDEX(tsk_Status,GanttView[[#This Row],[_Row]]))</f>
        <v/>
      </c>
      <c r="L100" s="87" t="n">
        <f aca="false">ROW()-ROW(GanttView[[#Headers],[ID]])</f>
        <v>95</v>
      </c>
      <c r="M100" s="88" t="b">
        <f aca="false">IF(IFERROR(INDEX(tsk_Name,GanttView[[#This Row],[_Row]])="",TRUE()),FALSE(),INDEX(tsk_IsSummary,GanttView[[#This Row],[_Row]]))</f>
        <v>0</v>
      </c>
      <c r="N100" s="88" t="b">
        <f aca="false">IF(IFERROR(INDEX(tsk_Name,GanttView[[#This Row],[_Row]])="",TRUE()),FALSE(),AND(INDEX(tsk_IsLeaf,GanttView[[#This Row],[_Row]])=1,N(INDEX(tsk_Duration,GanttView[[#This Row],[_Row]]))=0))</f>
        <v>0</v>
      </c>
      <c r="O10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89" t="n">
        <f aca="false">IF(GanttView[[#This Row],[_RemFrom]]=0,0,GanttView[[#This Row],[Forecast Finish]])</f>
        <v>0</v>
      </c>
      <c r="S100" s="88" t="b">
        <f aca="false">IF(IFERROR(INDEX(tsk_Name,GanttView[[#This Row],[_Row]])="",TRUE()),FALSE(),N(INDEX(tsk_Variance,GanttView[[#This Row],[_Row]]))&gt;0)</f>
        <v>0</v>
      </c>
      <c r="T100" s="89" t="n">
        <f aca="false">IF(IFERROR(INDEX(tsk_Name,GanttView[[#This Row],[_Row]])="",TRUE()),0,N(INDEX(tsk_Deadline,GanttView[[#This Row],[_Row]])))</f>
        <v>0</v>
      </c>
      <c r="U100" s="88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83" t="str">
        <f aca="false">IF(IFERROR(INDEX(tsk_Name,GanttView[[#This Row],[_Row]])="",TRUE()),"",INDEX(tsk_ID,GanttView[[#This Row],[_Row]]))</f>
        <v/>
      </c>
      <c r="B101" s="83" t="str">
        <f aca="false">IF(IFERROR(INDEX(tsk_Name,GanttView[[#This Row],[_Row]])="",TRUE()),"",INDEX(tsk_WBS,GanttView[[#This Row],[_Row]]))</f>
        <v/>
      </c>
      <c r="C101" s="84" t="str">
        <f aca="false">IF(IFERROR(INDEX(tsk_Name,GanttView[[#This Row],[_Row]])="",TRUE()),"",REPT("    ",INDEX(tsk_Level,GanttView[[#This Row],[_Row]])-1)&amp;INDEX(tsk_Name,GanttView[[#This Row],[_Row]]))</f>
        <v/>
      </c>
      <c r="D10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85" t="str">
        <f aca="false">IF(IFERROR(INDEX(tsk_Name,GanttView[[#This Row],[_Row]])="",TRUE()),"",INDEX(tsk_PlanStart,GanttView[[#This Row],[_Row]]))</f>
        <v/>
      </c>
      <c r="F101" s="85" t="str">
        <f aca="false">IF(IFERROR(INDEX(tsk_Name,GanttView[[#This Row],[_Row]])="",TRUE()),"",INDEX(tsk_PlanFinish,GanttView[[#This Row],[_Row]]))</f>
        <v/>
      </c>
      <c r="G101" s="85" t="str">
        <f aca="false">IF(IFERROR(INDEX(tsk_Name,GanttView[[#This Row],[_Row]])="",TRUE()),"",INDEX(tsk_FcStart,GanttView[[#This Row],[_Row]]))</f>
        <v/>
      </c>
      <c r="H101" s="85" t="str">
        <f aca="false">IF(IFERROR(INDEX(tsk_Name,GanttView[[#This Row],[_Row]])="",TRUE()),"",INDEX(tsk_FcFinish,GanttView[[#This Row],[_Row]]))</f>
        <v/>
      </c>
      <c r="I101" s="86" t="str">
        <f aca="false">IF(IFERROR(INDEX(tsk_Name,GanttView[[#This Row],[_Row]])="",TRUE()),"",INDEX(tsk_Progress,GanttView[[#This Row],[_Row]]))</f>
        <v/>
      </c>
      <c r="J101" s="84" t="str">
        <f aca="false">IF(IFERROR(INDEX(tsk_Name,GanttView[[#This Row],[_Row]])="",TRUE()),"",INDEX(tsk_Resource,GanttView[[#This Row],[_Row]])&amp;"")</f>
        <v/>
      </c>
      <c r="K101" s="83" t="str">
        <f aca="false">IF(IFERROR(INDEX(tsk_Name,GanttView[[#This Row],[_Row]])="",TRUE()),"",INDEX(tsk_Status,GanttView[[#This Row],[_Row]]))</f>
        <v/>
      </c>
      <c r="L101" s="87" t="n">
        <f aca="false">ROW()-ROW(GanttView[[#Headers],[ID]])</f>
        <v>96</v>
      </c>
      <c r="M101" s="88" t="b">
        <f aca="false">IF(IFERROR(INDEX(tsk_Name,GanttView[[#This Row],[_Row]])="",TRUE()),FALSE(),INDEX(tsk_IsSummary,GanttView[[#This Row],[_Row]]))</f>
        <v>0</v>
      </c>
      <c r="N101" s="88" t="b">
        <f aca="false">IF(IFERROR(INDEX(tsk_Name,GanttView[[#This Row],[_Row]])="",TRUE()),FALSE(),AND(INDEX(tsk_IsLeaf,GanttView[[#This Row],[_Row]])=1,N(INDEX(tsk_Duration,GanttView[[#This Row],[_Row]]))=0))</f>
        <v>0</v>
      </c>
      <c r="O10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89" t="n">
        <f aca="false">IF(GanttView[[#This Row],[_RemFrom]]=0,0,GanttView[[#This Row],[Forecast Finish]])</f>
        <v>0</v>
      </c>
      <c r="S101" s="88" t="b">
        <f aca="false">IF(IFERROR(INDEX(tsk_Name,GanttView[[#This Row],[_Row]])="",TRUE()),FALSE(),N(INDEX(tsk_Variance,GanttView[[#This Row],[_Row]]))&gt;0)</f>
        <v>0</v>
      </c>
      <c r="T101" s="89" t="n">
        <f aca="false">IF(IFERROR(INDEX(tsk_Name,GanttView[[#This Row],[_Row]])="",TRUE()),0,N(INDEX(tsk_Deadline,GanttView[[#This Row],[_Row]])))</f>
        <v>0</v>
      </c>
      <c r="U101" s="88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83" t="str">
        <f aca="false">IF(IFERROR(INDEX(tsk_Name,GanttView[[#This Row],[_Row]])="",TRUE()),"",INDEX(tsk_ID,GanttView[[#This Row],[_Row]]))</f>
        <v/>
      </c>
      <c r="B102" s="83" t="str">
        <f aca="false">IF(IFERROR(INDEX(tsk_Name,GanttView[[#This Row],[_Row]])="",TRUE()),"",INDEX(tsk_WBS,GanttView[[#This Row],[_Row]]))</f>
        <v/>
      </c>
      <c r="C102" s="84" t="str">
        <f aca="false">IF(IFERROR(INDEX(tsk_Name,GanttView[[#This Row],[_Row]])="",TRUE()),"",REPT("    ",INDEX(tsk_Level,GanttView[[#This Row],[_Row]])-1)&amp;INDEX(tsk_Name,GanttView[[#This Row],[_Row]]))</f>
        <v/>
      </c>
      <c r="D10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85" t="str">
        <f aca="false">IF(IFERROR(INDEX(tsk_Name,GanttView[[#This Row],[_Row]])="",TRUE()),"",INDEX(tsk_PlanStart,GanttView[[#This Row],[_Row]]))</f>
        <v/>
      </c>
      <c r="F102" s="85" t="str">
        <f aca="false">IF(IFERROR(INDEX(tsk_Name,GanttView[[#This Row],[_Row]])="",TRUE()),"",INDEX(tsk_PlanFinish,GanttView[[#This Row],[_Row]]))</f>
        <v/>
      </c>
      <c r="G102" s="85" t="str">
        <f aca="false">IF(IFERROR(INDEX(tsk_Name,GanttView[[#This Row],[_Row]])="",TRUE()),"",INDEX(tsk_FcStart,GanttView[[#This Row],[_Row]]))</f>
        <v/>
      </c>
      <c r="H102" s="85" t="str">
        <f aca="false">IF(IFERROR(INDEX(tsk_Name,GanttView[[#This Row],[_Row]])="",TRUE()),"",INDEX(tsk_FcFinish,GanttView[[#This Row],[_Row]]))</f>
        <v/>
      </c>
      <c r="I102" s="86" t="str">
        <f aca="false">IF(IFERROR(INDEX(tsk_Name,GanttView[[#This Row],[_Row]])="",TRUE()),"",INDEX(tsk_Progress,GanttView[[#This Row],[_Row]]))</f>
        <v/>
      </c>
      <c r="J102" s="84" t="str">
        <f aca="false">IF(IFERROR(INDEX(tsk_Name,GanttView[[#This Row],[_Row]])="",TRUE()),"",INDEX(tsk_Resource,GanttView[[#This Row],[_Row]])&amp;"")</f>
        <v/>
      </c>
      <c r="K102" s="83" t="str">
        <f aca="false">IF(IFERROR(INDEX(tsk_Name,GanttView[[#This Row],[_Row]])="",TRUE()),"",INDEX(tsk_Status,GanttView[[#This Row],[_Row]]))</f>
        <v/>
      </c>
      <c r="L102" s="87" t="n">
        <f aca="false">ROW()-ROW(GanttView[[#Headers],[ID]])</f>
        <v>97</v>
      </c>
      <c r="M102" s="88" t="b">
        <f aca="false">IF(IFERROR(INDEX(tsk_Name,GanttView[[#This Row],[_Row]])="",TRUE()),FALSE(),INDEX(tsk_IsSummary,GanttView[[#This Row],[_Row]]))</f>
        <v>0</v>
      </c>
      <c r="N102" s="88" t="b">
        <f aca="false">IF(IFERROR(INDEX(tsk_Name,GanttView[[#This Row],[_Row]])="",TRUE()),FALSE(),AND(INDEX(tsk_IsLeaf,GanttView[[#This Row],[_Row]])=1,N(INDEX(tsk_Duration,GanttView[[#This Row],[_Row]]))=0))</f>
        <v>0</v>
      </c>
      <c r="O10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89" t="n">
        <f aca="false">IF(GanttView[[#This Row],[_RemFrom]]=0,0,GanttView[[#This Row],[Forecast Finish]])</f>
        <v>0</v>
      </c>
      <c r="S102" s="88" t="b">
        <f aca="false">IF(IFERROR(INDEX(tsk_Name,GanttView[[#This Row],[_Row]])="",TRUE()),FALSE(),N(INDEX(tsk_Variance,GanttView[[#This Row],[_Row]]))&gt;0)</f>
        <v>0</v>
      </c>
      <c r="T102" s="89" t="n">
        <f aca="false">IF(IFERROR(INDEX(tsk_Name,GanttView[[#This Row],[_Row]])="",TRUE()),0,N(INDEX(tsk_Deadline,GanttView[[#This Row],[_Row]])))</f>
        <v>0</v>
      </c>
      <c r="U102" s="88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83" t="str">
        <f aca="false">IF(IFERROR(INDEX(tsk_Name,GanttView[[#This Row],[_Row]])="",TRUE()),"",INDEX(tsk_ID,GanttView[[#This Row],[_Row]]))</f>
        <v/>
      </c>
      <c r="B103" s="83" t="str">
        <f aca="false">IF(IFERROR(INDEX(tsk_Name,GanttView[[#This Row],[_Row]])="",TRUE()),"",INDEX(tsk_WBS,GanttView[[#This Row],[_Row]]))</f>
        <v/>
      </c>
      <c r="C103" s="84" t="str">
        <f aca="false">IF(IFERROR(INDEX(tsk_Name,GanttView[[#This Row],[_Row]])="",TRUE()),"",REPT("    ",INDEX(tsk_Level,GanttView[[#This Row],[_Row]])-1)&amp;INDEX(tsk_Name,GanttView[[#This Row],[_Row]]))</f>
        <v/>
      </c>
      <c r="D10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85" t="str">
        <f aca="false">IF(IFERROR(INDEX(tsk_Name,GanttView[[#This Row],[_Row]])="",TRUE()),"",INDEX(tsk_PlanStart,GanttView[[#This Row],[_Row]]))</f>
        <v/>
      </c>
      <c r="F103" s="85" t="str">
        <f aca="false">IF(IFERROR(INDEX(tsk_Name,GanttView[[#This Row],[_Row]])="",TRUE()),"",INDEX(tsk_PlanFinish,GanttView[[#This Row],[_Row]]))</f>
        <v/>
      </c>
      <c r="G103" s="85" t="str">
        <f aca="false">IF(IFERROR(INDEX(tsk_Name,GanttView[[#This Row],[_Row]])="",TRUE()),"",INDEX(tsk_FcStart,GanttView[[#This Row],[_Row]]))</f>
        <v/>
      </c>
      <c r="H103" s="85" t="str">
        <f aca="false">IF(IFERROR(INDEX(tsk_Name,GanttView[[#This Row],[_Row]])="",TRUE()),"",INDEX(tsk_FcFinish,GanttView[[#This Row],[_Row]]))</f>
        <v/>
      </c>
      <c r="I103" s="86" t="str">
        <f aca="false">IF(IFERROR(INDEX(tsk_Name,GanttView[[#This Row],[_Row]])="",TRUE()),"",INDEX(tsk_Progress,GanttView[[#This Row],[_Row]]))</f>
        <v/>
      </c>
      <c r="J103" s="84" t="str">
        <f aca="false">IF(IFERROR(INDEX(tsk_Name,GanttView[[#This Row],[_Row]])="",TRUE()),"",INDEX(tsk_Resource,GanttView[[#This Row],[_Row]])&amp;"")</f>
        <v/>
      </c>
      <c r="K103" s="83" t="str">
        <f aca="false">IF(IFERROR(INDEX(tsk_Name,GanttView[[#This Row],[_Row]])="",TRUE()),"",INDEX(tsk_Status,GanttView[[#This Row],[_Row]]))</f>
        <v/>
      </c>
      <c r="L103" s="87" t="n">
        <f aca="false">ROW()-ROW(GanttView[[#Headers],[ID]])</f>
        <v>98</v>
      </c>
      <c r="M103" s="88" t="b">
        <f aca="false">IF(IFERROR(INDEX(tsk_Name,GanttView[[#This Row],[_Row]])="",TRUE()),FALSE(),INDEX(tsk_IsSummary,GanttView[[#This Row],[_Row]]))</f>
        <v>0</v>
      </c>
      <c r="N103" s="88" t="b">
        <f aca="false">IF(IFERROR(INDEX(tsk_Name,GanttView[[#This Row],[_Row]])="",TRUE()),FALSE(),AND(INDEX(tsk_IsLeaf,GanttView[[#This Row],[_Row]])=1,N(INDEX(tsk_Duration,GanttView[[#This Row],[_Row]]))=0))</f>
        <v>0</v>
      </c>
      <c r="O10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89" t="n">
        <f aca="false">IF(GanttView[[#This Row],[_RemFrom]]=0,0,GanttView[[#This Row],[Forecast Finish]])</f>
        <v>0</v>
      </c>
      <c r="S103" s="88" t="b">
        <f aca="false">IF(IFERROR(INDEX(tsk_Name,GanttView[[#This Row],[_Row]])="",TRUE()),FALSE(),N(INDEX(tsk_Variance,GanttView[[#This Row],[_Row]]))&gt;0)</f>
        <v>0</v>
      </c>
      <c r="T103" s="89" t="n">
        <f aca="false">IF(IFERROR(INDEX(tsk_Name,GanttView[[#This Row],[_Row]])="",TRUE()),0,N(INDEX(tsk_Deadline,GanttView[[#This Row],[_Row]])))</f>
        <v>0</v>
      </c>
      <c r="U103" s="88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83" t="str">
        <f aca="false">IF(IFERROR(INDEX(tsk_Name,GanttView[[#This Row],[_Row]])="",TRUE()),"",INDEX(tsk_ID,GanttView[[#This Row],[_Row]]))</f>
        <v/>
      </c>
      <c r="B104" s="83" t="str">
        <f aca="false">IF(IFERROR(INDEX(tsk_Name,GanttView[[#This Row],[_Row]])="",TRUE()),"",INDEX(tsk_WBS,GanttView[[#This Row],[_Row]]))</f>
        <v/>
      </c>
      <c r="C104" s="84" t="str">
        <f aca="false">IF(IFERROR(INDEX(tsk_Name,GanttView[[#This Row],[_Row]])="",TRUE()),"",REPT("    ",INDEX(tsk_Level,GanttView[[#This Row],[_Row]])-1)&amp;INDEX(tsk_Name,GanttView[[#This Row],[_Row]]))</f>
        <v/>
      </c>
      <c r="D10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85" t="str">
        <f aca="false">IF(IFERROR(INDEX(tsk_Name,GanttView[[#This Row],[_Row]])="",TRUE()),"",INDEX(tsk_PlanStart,GanttView[[#This Row],[_Row]]))</f>
        <v/>
      </c>
      <c r="F104" s="85" t="str">
        <f aca="false">IF(IFERROR(INDEX(tsk_Name,GanttView[[#This Row],[_Row]])="",TRUE()),"",INDEX(tsk_PlanFinish,GanttView[[#This Row],[_Row]]))</f>
        <v/>
      </c>
      <c r="G104" s="85" t="str">
        <f aca="false">IF(IFERROR(INDEX(tsk_Name,GanttView[[#This Row],[_Row]])="",TRUE()),"",INDEX(tsk_FcStart,GanttView[[#This Row],[_Row]]))</f>
        <v/>
      </c>
      <c r="H104" s="85" t="str">
        <f aca="false">IF(IFERROR(INDEX(tsk_Name,GanttView[[#This Row],[_Row]])="",TRUE()),"",INDEX(tsk_FcFinish,GanttView[[#This Row],[_Row]]))</f>
        <v/>
      </c>
      <c r="I104" s="86" t="str">
        <f aca="false">IF(IFERROR(INDEX(tsk_Name,GanttView[[#This Row],[_Row]])="",TRUE()),"",INDEX(tsk_Progress,GanttView[[#This Row],[_Row]]))</f>
        <v/>
      </c>
      <c r="J104" s="84" t="str">
        <f aca="false">IF(IFERROR(INDEX(tsk_Name,GanttView[[#This Row],[_Row]])="",TRUE()),"",INDEX(tsk_Resource,GanttView[[#This Row],[_Row]])&amp;"")</f>
        <v/>
      </c>
      <c r="K104" s="83" t="str">
        <f aca="false">IF(IFERROR(INDEX(tsk_Name,GanttView[[#This Row],[_Row]])="",TRUE()),"",INDEX(tsk_Status,GanttView[[#This Row],[_Row]]))</f>
        <v/>
      </c>
      <c r="L104" s="87" t="n">
        <f aca="false">ROW()-ROW(GanttView[[#Headers],[ID]])</f>
        <v>99</v>
      </c>
      <c r="M104" s="88" t="b">
        <f aca="false">IF(IFERROR(INDEX(tsk_Name,GanttView[[#This Row],[_Row]])="",TRUE()),FALSE(),INDEX(tsk_IsSummary,GanttView[[#This Row],[_Row]]))</f>
        <v>0</v>
      </c>
      <c r="N104" s="88" t="b">
        <f aca="false">IF(IFERROR(INDEX(tsk_Name,GanttView[[#This Row],[_Row]])="",TRUE()),FALSE(),AND(INDEX(tsk_IsLeaf,GanttView[[#This Row],[_Row]])=1,N(INDEX(tsk_Duration,GanttView[[#This Row],[_Row]]))=0))</f>
        <v>0</v>
      </c>
      <c r="O10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89" t="n">
        <f aca="false">IF(GanttView[[#This Row],[_RemFrom]]=0,0,GanttView[[#This Row],[Forecast Finish]])</f>
        <v>0</v>
      </c>
      <c r="S104" s="88" t="b">
        <f aca="false">IF(IFERROR(INDEX(tsk_Name,GanttView[[#This Row],[_Row]])="",TRUE()),FALSE(),N(INDEX(tsk_Variance,GanttView[[#This Row],[_Row]]))&gt;0)</f>
        <v>0</v>
      </c>
      <c r="T104" s="89" t="n">
        <f aca="false">IF(IFERROR(INDEX(tsk_Name,GanttView[[#This Row],[_Row]])="",TRUE()),0,N(INDEX(tsk_Deadline,GanttView[[#This Row],[_Row]])))</f>
        <v>0</v>
      </c>
      <c r="U104" s="88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83" t="str">
        <f aca="false">IF(IFERROR(INDEX(tsk_Name,GanttView[[#This Row],[_Row]])="",TRUE()),"",INDEX(tsk_ID,GanttView[[#This Row],[_Row]]))</f>
        <v/>
      </c>
      <c r="B105" s="83" t="str">
        <f aca="false">IF(IFERROR(INDEX(tsk_Name,GanttView[[#This Row],[_Row]])="",TRUE()),"",INDEX(tsk_WBS,GanttView[[#This Row],[_Row]]))</f>
        <v/>
      </c>
      <c r="C105" s="84" t="str">
        <f aca="false">IF(IFERROR(INDEX(tsk_Name,GanttView[[#This Row],[_Row]])="",TRUE()),"",REPT("    ",INDEX(tsk_Level,GanttView[[#This Row],[_Row]])-1)&amp;INDEX(tsk_Name,GanttView[[#This Row],[_Row]]))</f>
        <v/>
      </c>
      <c r="D10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85" t="str">
        <f aca="false">IF(IFERROR(INDEX(tsk_Name,GanttView[[#This Row],[_Row]])="",TRUE()),"",INDEX(tsk_PlanStart,GanttView[[#This Row],[_Row]]))</f>
        <v/>
      </c>
      <c r="F105" s="85" t="str">
        <f aca="false">IF(IFERROR(INDEX(tsk_Name,GanttView[[#This Row],[_Row]])="",TRUE()),"",INDEX(tsk_PlanFinish,GanttView[[#This Row],[_Row]]))</f>
        <v/>
      </c>
      <c r="G105" s="85" t="str">
        <f aca="false">IF(IFERROR(INDEX(tsk_Name,GanttView[[#This Row],[_Row]])="",TRUE()),"",INDEX(tsk_FcStart,GanttView[[#This Row],[_Row]]))</f>
        <v/>
      </c>
      <c r="H105" s="85" t="str">
        <f aca="false">IF(IFERROR(INDEX(tsk_Name,GanttView[[#This Row],[_Row]])="",TRUE()),"",INDEX(tsk_FcFinish,GanttView[[#This Row],[_Row]]))</f>
        <v/>
      </c>
      <c r="I105" s="86" t="str">
        <f aca="false">IF(IFERROR(INDEX(tsk_Name,GanttView[[#This Row],[_Row]])="",TRUE()),"",INDEX(tsk_Progress,GanttView[[#This Row],[_Row]]))</f>
        <v/>
      </c>
      <c r="J105" s="84" t="str">
        <f aca="false">IF(IFERROR(INDEX(tsk_Name,GanttView[[#This Row],[_Row]])="",TRUE()),"",INDEX(tsk_Resource,GanttView[[#This Row],[_Row]])&amp;"")</f>
        <v/>
      </c>
      <c r="K105" s="83" t="str">
        <f aca="false">IF(IFERROR(INDEX(tsk_Name,GanttView[[#This Row],[_Row]])="",TRUE()),"",INDEX(tsk_Status,GanttView[[#This Row],[_Row]]))</f>
        <v/>
      </c>
      <c r="L105" s="87" t="n">
        <f aca="false">ROW()-ROW(GanttView[[#Headers],[ID]])</f>
        <v>100</v>
      </c>
      <c r="M105" s="88" t="b">
        <f aca="false">IF(IFERROR(INDEX(tsk_Name,GanttView[[#This Row],[_Row]])="",TRUE()),FALSE(),INDEX(tsk_IsSummary,GanttView[[#This Row],[_Row]]))</f>
        <v>0</v>
      </c>
      <c r="N105" s="88" t="b">
        <f aca="false">IF(IFERROR(INDEX(tsk_Name,GanttView[[#This Row],[_Row]])="",TRUE()),FALSE(),AND(INDEX(tsk_IsLeaf,GanttView[[#This Row],[_Row]])=1,N(INDEX(tsk_Duration,GanttView[[#This Row],[_Row]]))=0))</f>
        <v>0</v>
      </c>
      <c r="O10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89" t="n">
        <f aca="false">IF(GanttView[[#This Row],[_RemFrom]]=0,0,GanttView[[#This Row],[Forecast Finish]])</f>
        <v>0</v>
      </c>
      <c r="S105" s="88" t="b">
        <f aca="false">IF(IFERROR(INDEX(tsk_Name,GanttView[[#This Row],[_Row]])="",TRUE()),FALSE(),N(INDEX(tsk_Variance,GanttView[[#This Row],[_Row]]))&gt;0)</f>
        <v>0</v>
      </c>
      <c r="T105" s="89" t="n">
        <f aca="false">IF(IFERROR(INDEX(tsk_Name,GanttView[[#This Row],[_Row]])="",TRUE()),0,N(INDEX(tsk_Deadline,GanttView[[#This Row],[_Row]])))</f>
        <v>0</v>
      </c>
      <c r="U105" s="88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83" t="str">
        <f aca="false">IF(IFERROR(INDEX(tsk_Name,GanttView[[#This Row],[_Row]])="",TRUE()),"",INDEX(tsk_ID,GanttView[[#This Row],[_Row]]))</f>
        <v/>
      </c>
      <c r="B106" s="83" t="str">
        <f aca="false">IF(IFERROR(INDEX(tsk_Name,GanttView[[#This Row],[_Row]])="",TRUE()),"",INDEX(tsk_WBS,GanttView[[#This Row],[_Row]]))</f>
        <v/>
      </c>
      <c r="C106" s="84" t="str">
        <f aca="false">IF(IFERROR(INDEX(tsk_Name,GanttView[[#This Row],[_Row]])="",TRUE()),"",REPT("    ",INDEX(tsk_Level,GanttView[[#This Row],[_Row]])-1)&amp;INDEX(tsk_Name,GanttView[[#This Row],[_Row]]))</f>
        <v/>
      </c>
      <c r="D10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85" t="str">
        <f aca="false">IF(IFERROR(INDEX(tsk_Name,GanttView[[#This Row],[_Row]])="",TRUE()),"",INDEX(tsk_PlanStart,GanttView[[#This Row],[_Row]]))</f>
        <v/>
      </c>
      <c r="F106" s="85" t="str">
        <f aca="false">IF(IFERROR(INDEX(tsk_Name,GanttView[[#This Row],[_Row]])="",TRUE()),"",INDEX(tsk_PlanFinish,GanttView[[#This Row],[_Row]]))</f>
        <v/>
      </c>
      <c r="G106" s="85" t="str">
        <f aca="false">IF(IFERROR(INDEX(tsk_Name,GanttView[[#This Row],[_Row]])="",TRUE()),"",INDEX(tsk_FcStart,GanttView[[#This Row],[_Row]]))</f>
        <v/>
      </c>
      <c r="H106" s="85" t="str">
        <f aca="false">IF(IFERROR(INDEX(tsk_Name,GanttView[[#This Row],[_Row]])="",TRUE()),"",INDEX(tsk_FcFinish,GanttView[[#This Row],[_Row]]))</f>
        <v/>
      </c>
      <c r="I106" s="86" t="str">
        <f aca="false">IF(IFERROR(INDEX(tsk_Name,GanttView[[#This Row],[_Row]])="",TRUE()),"",INDEX(tsk_Progress,GanttView[[#This Row],[_Row]]))</f>
        <v/>
      </c>
      <c r="J106" s="84" t="str">
        <f aca="false">IF(IFERROR(INDEX(tsk_Name,GanttView[[#This Row],[_Row]])="",TRUE()),"",INDEX(tsk_Resource,GanttView[[#This Row],[_Row]])&amp;"")</f>
        <v/>
      </c>
      <c r="K106" s="83" t="str">
        <f aca="false">IF(IFERROR(INDEX(tsk_Name,GanttView[[#This Row],[_Row]])="",TRUE()),"",INDEX(tsk_Status,GanttView[[#This Row],[_Row]]))</f>
        <v/>
      </c>
      <c r="L106" s="87" t="n">
        <f aca="false">ROW()-ROW(GanttView[[#Headers],[ID]])</f>
        <v>101</v>
      </c>
      <c r="M106" s="88" t="b">
        <f aca="false">IF(IFERROR(INDEX(tsk_Name,GanttView[[#This Row],[_Row]])="",TRUE()),FALSE(),INDEX(tsk_IsSummary,GanttView[[#This Row],[_Row]]))</f>
        <v>0</v>
      </c>
      <c r="N106" s="88" t="b">
        <f aca="false">IF(IFERROR(INDEX(tsk_Name,GanttView[[#This Row],[_Row]])="",TRUE()),FALSE(),AND(INDEX(tsk_IsLeaf,GanttView[[#This Row],[_Row]])=1,N(INDEX(tsk_Duration,GanttView[[#This Row],[_Row]]))=0))</f>
        <v>0</v>
      </c>
      <c r="O10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89" t="n">
        <f aca="false">IF(GanttView[[#This Row],[_RemFrom]]=0,0,GanttView[[#This Row],[Forecast Finish]])</f>
        <v>0</v>
      </c>
      <c r="S106" s="88" t="b">
        <f aca="false">IF(IFERROR(INDEX(tsk_Name,GanttView[[#This Row],[_Row]])="",TRUE()),FALSE(),N(INDEX(tsk_Variance,GanttView[[#This Row],[_Row]]))&gt;0)</f>
        <v>0</v>
      </c>
      <c r="T106" s="89" t="n">
        <f aca="false">IF(IFERROR(INDEX(tsk_Name,GanttView[[#This Row],[_Row]])="",TRUE()),0,N(INDEX(tsk_Deadline,GanttView[[#This Row],[_Row]])))</f>
        <v>0</v>
      </c>
      <c r="U106" s="88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83" t="str">
        <f aca="false">IF(IFERROR(INDEX(tsk_Name,GanttView[[#This Row],[_Row]])="",TRUE()),"",INDEX(tsk_ID,GanttView[[#This Row],[_Row]]))</f>
        <v/>
      </c>
      <c r="B107" s="83" t="str">
        <f aca="false">IF(IFERROR(INDEX(tsk_Name,GanttView[[#This Row],[_Row]])="",TRUE()),"",INDEX(tsk_WBS,GanttView[[#This Row],[_Row]]))</f>
        <v/>
      </c>
      <c r="C107" s="84" t="str">
        <f aca="false">IF(IFERROR(INDEX(tsk_Name,GanttView[[#This Row],[_Row]])="",TRUE()),"",REPT("    ",INDEX(tsk_Level,GanttView[[#This Row],[_Row]])-1)&amp;INDEX(tsk_Name,GanttView[[#This Row],[_Row]]))</f>
        <v/>
      </c>
      <c r="D10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85" t="str">
        <f aca="false">IF(IFERROR(INDEX(tsk_Name,GanttView[[#This Row],[_Row]])="",TRUE()),"",INDEX(tsk_PlanStart,GanttView[[#This Row],[_Row]]))</f>
        <v/>
      </c>
      <c r="F107" s="85" t="str">
        <f aca="false">IF(IFERROR(INDEX(tsk_Name,GanttView[[#This Row],[_Row]])="",TRUE()),"",INDEX(tsk_PlanFinish,GanttView[[#This Row],[_Row]]))</f>
        <v/>
      </c>
      <c r="G107" s="85" t="str">
        <f aca="false">IF(IFERROR(INDEX(tsk_Name,GanttView[[#This Row],[_Row]])="",TRUE()),"",INDEX(tsk_FcStart,GanttView[[#This Row],[_Row]]))</f>
        <v/>
      </c>
      <c r="H107" s="85" t="str">
        <f aca="false">IF(IFERROR(INDEX(tsk_Name,GanttView[[#This Row],[_Row]])="",TRUE()),"",INDEX(tsk_FcFinish,GanttView[[#This Row],[_Row]]))</f>
        <v/>
      </c>
      <c r="I107" s="86" t="str">
        <f aca="false">IF(IFERROR(INDEX(tsk_Name,GanttView[[#This Row],[_Row]])="",TRUE()),"",INDEX(tsk_Progress,GanttView[[#This Row],[_Row]]))</f>
        <v/>
      </c>
      <c r="J107" s="84" t="str">
        <f aca="false">IF(IFERROR(INDEX(tsk_Name,GanttView[[#This Row],[_Row]])="",TRUE()),"",INDEX(tsk_Resource,GanttView[[#This Row],[_Row]])&amp;"")</f>
        <v/>
      </c>
      <c r="K107" s="83" t="str">
        <f aca="false">IF(IFERROR(INDEX(tsk_Name,GanttView[[#This Row],[_Row]])="",TRUE()),"",INDEX(tsk_Status,GanttView[[#This Row],[_Row]]))</f>
        <v/>
      </c>
      <c r="L107" s="87" t="n">
        <f aca="false">ROW()-ROW(GanttView[[#Headers],[ID]])</f>
        <v>102</v>
      </c>
      <c r="M107" s="88" t="b">
        <f aca="false">IF(IFERROR(INDEX(tsk_Name,GanttView[[#This Row],[_Row]])="",TRUE()),FALSE(),INDEX(tsk_IsSummary,GanttView[[#This Row],[_Row]]))</f>
        <v>0</v>
      </c>
      <c r="N107" s="88" t="b">
        <f aca="false">IF(IFERROR(INDEX(tsk_Name,GanttView[[#This Row],[_Row]])="",TRUE()),FALSE(),AND(INDEX(tsk_IsLeaf,GanttView[[#This Row],[_Row]])=1,N(INDEX(tsk_Duration,GanttView[[#This Row],[_Row]]))=0))</f>
        <v>0</v>
      </c>
      <c r="O10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89" t="n">
        <f aca="false">IF(GanttView[[#This Row],[_RemFrom]]=0,0,GanttView[[#This Row],[Forecast Finish]])</f>
        <v>0</v>
      </c>
      <c r="S107" s="88" t="b">
        <f aca="false">IF(IFERROR(INDEX(tsk_Name,GanttView[[#This Row],[_Row]])="",TRUE()),FALSE(),N(INDEX(tsk_Variance,GanttView[[#This Row],[_Row]]))&gt;0)</f>
        <v>0</v>
      </c>
      <c r="T107" s="89" t="n">
        <f aca="false">IF(IFERROR(INDEX(tsk_Name,GanttView[[#This Row],[_Row]])="",TRUE()),0,N(INDEX(tsk_Deadline,GanttView[[#This Row],[_Row]])))</f>
        <v>0</v>
      </c>
      <c r="U107" s="88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83" t="str">
        <f aca="false">IF(IFERROR(INDEX(tsk_Name,GanttView[[#This Row],[_Row]])="",TRUE()),"",INDEX(tsk_ID,GanttView[[#This Row],[_Row]]))</f>
        <v/>
      </c>
      <c r="B108" s="83" t="str">
        <f aca="false">IF(IFERROR(INDEX(tsk_Name,GanttView[[#This Row],[_Row]])="",TRUE()),"",INDEX(tsk_WBS,GanttView[[#This Row],[_Row]]))</f>
        <v/>
      </c>
      <c r="C108" s="84" t="str">
        <f aca="false">IF(IFERROR(INDEX(tsk_Name,GanttView[[#This Row],[_Row]])="",TRUE()),"",REPT("    ",INDEX(tsk_Level,GanttView[[#This Row],[_Row]])-1)&amp;INDEX(tsk_Name,GanttView[[#This Row],[_Row]]))</f>
        <v/>
      </c>
      <c r="D10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85" t="str">
        <f aca="false">IF(IFERROR(INDEX(tsk_Name,GanttView[[#This Row],[_Row]])="",TRUE()),"",INDEX(tsk_PlanStart,GanttView[[#This Row],[_Row]]))</f>
        <v/>
      </c>
      <c r="F108" s="85" t="str">
        <f aca="false">IF(IFERROR(INDEX(tsk_Name,GanttView[[#This Row],[_Row]])="",TRUE()),"",INDEX(tsk_PlanFinish,GanttView[[#This Row],[_Row]]))</f>
        <v/>
      </c>
      <c r="G108" s="85" t="str">
        <f aca="false">IF(IFERROR(INDEX(tsk_Name,GanttView[[#This Row],[_Row]])="",TRUE()),"",INDEX(tsk_FcStart,GanttView[[#This Row],[_Row]]))</f>
        <v/>
      </c>
      <c r="H108" s="85" t="str">
        <f aca="false">IF(IFERROR(INDEX(tsk_Name,GanttView[[#This Row],[_Row]])="",TRUE()),"",INDEX(tsk_FcFinish,GanttView[[#This Row],[_Row]]))</f>
        <v/>
      </c>
      <c r="I108" s="86" t="str">
        <f aca="false">IF(IFERROR(INDEX(tsk_Name,GanttView[[#This Row],[_Row]])="",TRUE()),"",INDEX(tsk_Progress,GanttView[[#This Row],[_Row]]))</f>
        <v/>
      </c>
      <c r="J108" s="84" t="str">
        <f aca="false">IF(IFERROR(INDEX(tsk_Name,GanttView[[#This Row],[_Row]])="",TRUE()),"",INDEX(tsk_Resource,GanttView[[#This Row],[_Row]])&amp;"")</f>
        <v/>
      </c>
      <c r="K108" s="83" t="str">
        <f aca="false">IF(IFERROR(INDEX(tsk_Name,GanttView[[#This Row],[_Row]])="",TRUE()),"",INDEX(tsk_Status,GanttView[[#This Row],[_Row]]))</f>
        <v/>
      </c>
      <c r="L108" s="87" t="n">
        <f aca="false">ROW()-ROW(GanttView[[#Headers],[ID]])</f>
        <v>103</v>
      </c>
      <c r="M108" s="88" t="b">
        <f aca="false">IF(IFERROR(INDEX(tsk_Name,GanttView[[#This Row],[_Row]])="",TRUE()),FALSE(),INDEX(tsk_IsSummary,GanttView[[#This Row],[_Row]]))</f>
        <v>0</v>
      </c>
      <c r="N108" s="88" t="b">
        <f aca="false">IF(IFERROR(INDEX(tsk_Name,GanttView[[#This Row],[_Row]])="",TRUE()),FALSE(),AND(INDEX(tsk_IsLeaf,GanttView[[#This Row],[_Row]])=1,N(INDEX(tsk_Duration,GanttView[[#This Row],[_Row]]))=0))</f>
        <v>0</v>
      </c>
      <c r="O10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89" t="n">
        <f aca="false">IF(GanttView[[#This Row],[_RemFrom]]=0,0,GanttView[[#This Row],[Forecast Finish]])</f>
        <v>0</v>
      </c>
      <c r="S108" s="88" t="b">
        <f aca="false">IF(IFERROR(INDEX(tsk_Name,GanttView[[#This Row],[_Row]])="",TRUE()),FALSE(),N(INDEX(tsk_Variance,GanttView[[#This Row],[_Row]]))&gt;0)</f>
        <v>0</v>
      </c>
      <c r="T108" s="89" t="n">
        <f aca="false">IF(IFERROR(INDEX(tsk_Name,GanttView[[#This Row],[_Row]])="",TRUE()),0,N(INDEX(tsk_Deadline,GanttView[[#This Row],[_Row]])))</f>
        <v>0</v>
      </c>
      <c r="U108" s="88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83" t="str">
        <f aca="false">IF(IFERROR(INDEX(tsk_Name,GanttView[[#This Row],[_Row]])="",TRUE()),"",INDEX(tsk_ID,GanttView[[#This Row],[_Row]]))</f>
        <v/>
      </c>
      <c r="B109" s="83" t="str">
        <f aca="false">IF(IFERROR(INDEX(tsk_Name,GanttView[[#This Row],[_Row]])="",TRUE()),"",INDEX(tsk_WBS,GanttView[[#This Row],[_Row]]))</f>
        <v/>
      </c>
      <c r="C109" s="84" t="str">
        <f aca="false">IF(IFERROR(INDEX(tsk_Name,GanttView[[#This Row],[_Row]])="",TRUE()),"",REPT("    ",INDEX(tsk_Level,GanttView[[#This Row],[_Row]])-1)&amp;INDEX(tsk_Name,GanttView[[#This Row],[_Row]]))</f>
        <v/>
      </c>
      <c r="D10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85" t="str">
        <f aca="false">IF(IFERROR(INDEX(tsk_Name,GanttView[[#This Row],[_Row]])="",TRUE()),"",INDEX(tsk_PlanStart,GanttView[[#This Row],[_Row]]))</f>
        <v/>
      </c>
      <c r="F109" s="85" t="str">
        <f aca="false">IF(IFERROR(INDEX(tsk_Name,GanttView[[#This Row],[_Row]])="",TRUE()),"",INDEX(tsk_PlanFinish,GanttView[[#This Row],[_Row]]))</f>
        <v/>
      </c>
      <c r="G109" s="85" t="str">
        <f aca="false">IF(IFERROR(INDEX(tsk_Name,GanttView[[#This Row],[_Row]])="",TRUE()),"",INDEX(tsk_FcStart,GanttView[[#This Row],[_Row]]))</f>
        <v/>
      </c>
      <c r="H109" s="85" t="str">
        <f aca="false">IF(IFERROR(INDEX(tsk_Name,GanttView[[#This Row],[_Row]])="",TRUE()),"",INDEX(tsk_FcFinish,GanttView[[#This Row],[_Row]]))</f>
        <v/>
      </c>
      <c r="I109" s="86" t="str">
        <f aca="false">IF(IFERROR(INDEX(tsk_Name,GanttView[[#This Row],[_Row]])="",TRUE()),"",INDEX(tsk_Progress,GanttView[[#This Row],[_Row]]))</f>
        <v/>
      </c>
      <c r="J109" s="84" t="str">
        <f aca="false">IF(IFERROR(INDEX(tsk_Name,GanttView[[#This Row],[_Row]])="",TRUE()),"",INDEX(tsk_Resource,GanttView[[#This Row],[_Row]])&amp;"")</f>
        <v/>
      </c>
      <c r="K109" s="83" t="str">
        <f aca="false">IF(IFERROR(INDEX(tsk_Name,GanttView[[#This Row],[_Row]])="",TRUE()),"",INDEX(tsk_Status,GanttView[[#This Row],[_Row]]))</f>
        <v/>
      </c>
      <c r="L109" s="87" t="n">
        <f aca="false">ROW()-ROW(GanttView[[#Headers],[ID]])</f>
        <v>104</v>
      </c>
      <c r="M109" s="88" t="b">
        <f aca="false">IF(IFERROR(INDEX(tsk_Name,GanttView[[#This Row],[_Row]])="",TRUE()),FALSE(),INDEX(tsk_IsSummary,GanttView[[#This Row],[_Row]]))</f>
        <v>0</v>
      </c>
      <c r="N109" s="88" t="b">
        <f aca="false">IF(IFERROR(INDEX(tsk_Name,GanttView[[#This Row],[_Row]])="",TRUE()),FALSE(),AND(INDEX(tsk_IsLeaf,GanttView[[#This Row],[_Row]])=1,N(INDEX(tsk_Duration,GanttView[[#This Row],[_Row]]))=0))</f>
        <v>0</v>
      </c>
      <c r="O10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89" t="n">
        <f aca="false">IF(GanttView[[#This Row],[_RemFrom]]=0,0,GanttView[[#This Row],[Forecast Finish]])</f>
        <v>0</v>
      </c>
      <c r="S109" s="88" t="b">
        <f aca="false">IF(IFERROR(INDEX(tsk_Name,GanttView[[#This Row],[_Row]])="",TRUE()),FALSE(),N(INDEX(tsk_Variance,GanttView[[#This Row],[_Row]]))&gt;0)</f>
        <v>0</v>
      </c>
      <c r="T109" s="89" t="n">
        <f aca="false">IF(IFERROR(INDEX(tsk_Name,GanttView[[#This Row],[_Row]])="",TRUE()),0,N(INDEX(tsk_Deadline,GanttView[[#This Row],[_Row]])))</f>
        <v>0</v>
      </c>
      <c r="U109" s="88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83" t="str">
        <f aca="false">IF(IFERROR(INDEX(tsk_Name,GanttView[[#This Row],[_Row]])="",TRUE()),"",INDEX(tsk_ID,GanttView[[#This Row],[_Row]]))</f>
        <v/>
      </c>
      <c r="B110" s="83" t="str">
        <f aca="false">IF(IFERROR(INDEX(tsk_Name,GanttView[[#This Row],[_Row]])="",TRUE()),"",INDEX(tsk_WBS,GanttView[[#This Row],[_Row]]))</f>
        <v/>
      </c>
      <c r="C110" s="84" t="str">
        <f aca="false">IF(IFERROR(INDEX(tsk_Name,GanttView[[#This Row],[_Row]])="",TRUE()),"",REPT("    ",INDEX(tsk_Level,GanttView[[#This Row],[_Row]])-1)&amp;INDEX(tsk_Name,GanttView[[#This Row],[_Row]]))</f>
        <v/>
      </c>
      <c r="D11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85" t="str">
        <f aca="false">IF(IFERROR(INDEX(tsk_Name,GanttView[[#This Row],[_Row]])="",TRUE()),"",INDEX(tsk_PlanStart,GanttView[[#This Row],[_Row]]))</f>
        <v/>
      </c>
      <c r="F110" s="85" t="str">
        <f aca="false">IF(IFERROR(INDEX(tsk_Name,GanttView[[#This Row],[_Row]])="",TRUE()),"",INDEX(tsk_PlanFinish,GanttView[[#This Row],[_Row]]))</f>
        <v/>
      </c>
      <c r="G110" s="85" t="str">
        <f aca="false">IF(IFERROR(INDEX(tsk_Name,GanttView[[#This Row],[_Row]])="",TRUE()),"",INDEX(tsk_FcStart,GanttView[[#This Row],[_Row]]))</f>
        <v/>
      </c>
      <c r="H110" s="85" t="str">
        <f aca="false">IF(IFERROR(INDEX(tsk_Name,GanttView[[#This Row],[_Row]])="",TRUE()),"",INDEX(tsk_FcFinish,GanttView[[#This Row],[_Row]]))</f>
        <v/>
      </c>
      <c r="I110" s="86" t="str">
        <f aca="false">IF(IFERROR(INDEX(tsk_Name,GanttView[[#This Row],[_Row]])="",TRUE()),"",INDEX(tsk_Progress,GanttView[[#This Row],[_Row]]))</f>
        <v/>
      </c>
      <c r="J110" s="84" t="str">
        <f aca="false">IF(IFERROR(INDEX(tsk_Name,GanttView[[#This Row],[_Row]])="",TRUE()),"",INDEX(tsk_Resource,GanttView[[#This Row],[_Row]])&amp;"")</f>
        <v/>
      </c>
      <c r="K110" s="83" t="str">
        <f aca="false">IF(IFERROR(INDEX(tsk_Name,GanttView[[#This Row],[_Row]])="",TRUE()),"",INDEX(tsk_Status,GanttView[[#This Row],[_Row]]))</f>
        <v/>
      </c>
      <c r="L110" s="87" t="n">
        <f aca="false">ROW()-ROW(GanttView[[#Headers],[ID]])</f>
        <v>105</v>
      </c>
      <c r="M110" s="88" t="b">
        <f aca="false">IF(IFERROR(INDEX(tsk_Name,GanttView[[#This Row],[_Row]])="",TRUE()),FALSE(),INDEX(tsk_IsSummary,GanttView[[#This Row],[_Row]]))</f>
        <v>0</v>
      </c>
      <c r="N110" s="88" t="b">
        <f aca="false">IF(IFERROR(INDEX(tsk_Name,GanttView[[#This Row],[_Row]])="",TRUE()),FALSE(),AND(INDEX(tsk_IsLeaf,GanttView[[#This Row],[_Row]])=1,N(INDEX(tsk_Duration,GanttView[[#This Row],[_Row]]))=0))</f>
        <v>0</v>
      </c>
      <c r="O11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89" t="n">
        <f aca="false">IF(GanttView[[#This Row],[_RemFrom]]=0,0,GanttView[[#This Row],[Forecast Finish]])</f>
        <v>0</v>
      </c>
      <c r="S110" s="88" t="b">
        <f aca="false">IF(IFERROR(INDEX(tsk_Name,GanttView[[#This Row],[_Row]])="",TRUE()),FALSE(),N(INDEX(tsk_Variance,GanttView[[#This Row],[_Row]]))&gt;0)</f>
        <v>0</v>
      </c>
      <c r="T110" s="89" t="n">
        <f aca="false">IF(IFERROR(INDEX(tsk_Name,GanttView[[#This Row],[_Row]])="",TRUE()),0,N(INDEX(tsk_Deadline,GanttView[[#This Row],[_Row]])))</f>
        <v>0</v>
      </c>
      <c r="U110" s="88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83" t="str">
        <f aca="false">IF(IFERROR(INDEX(tsk_Name,GanttView[[#This Row],[_Row]])="",TRUE()),"",INDEX(tsk_ID,GanttView[[#This Row],[_Row]]))</f>
        <v/>
      </c>
      <c r="B111" s="83" t="str">
        <f aca="false">IF(IFERROR(INDEX(tsk_Name,GanttView[[#This Row],[_Row]])="",TRUE()),"",INDEX(tsk_WBS,GanttView[[#This Row],[_Row]]))</f>
        <v/>
      </c>
      <c r="C111" s="84" t="str">
        <f aca="false">IF(IFERROR(INDEX(tsk_Name,GanttView[[#This Row],[_Row]])="",TRUE()),"",REPT("    ",INDEX(tsk_Level,GanttView[[#This Row],[_Row]])-1)&amp;INDEX(tsk_Name,GanttView[[#This Row],[_Row]]))</f>
        <v/>
      </c>
      <c r="D11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85" t="str">
        <f aca="false">IF(IFERROR(INDEX(tsk_Name,GanttView[[#This Row],[_Row]])="",TRUE()),"",INDEX(tsk_PlanStart,GanttView[[#This Row],[_Row]]))</f>
        <v/>
      </c>
      <c r="F111" s="85" t="str">
        <f aca="false">IF(IFERROR(INDEX(tsk_Name,GanttView[[#This Row],[_Row]])="",TRUE()),"",INDEX(tsk_PlanFinish,GanttView[[#This Row],[_Row]]))</f>
        <v/>
      </c>
      <c r="G111" s="85" t="str">
        <f aca="false">IF(IFERROR(INDEX(tsk_Name,GanttView[[#This Row],[_Row]])="",TRUE()),"",INDEX(tsk_FcStart,GanttView[[#This Row],[_Row]]))</f>
        <v/>
      </c>
      <c r="H111" s="85" t="str">
        <f aca="false">IF(IFERROR(INDEX(tsk_Name,GanttView[[#This Row],[_Row]])="",TRUE()),"",INDEX(tsk_FcFinish,GanttView[[#This Row],[_Row]]))</f>
        <v/>
      </c>
      <c r="I111" s="86" t="str">
        <f aca="false">IF(IFERROR(INDEX(tsk_Name,GanttView[[#This Row],[_Row]])="",TRUE()),"",INDEX(tsk_Progress,GanttView[[#This Row],[_Row]]))</f>
        <v/>
      </c>
      <c r="J111" s="84" t="str">
        <f aca="false">IF(IFERROR(INDEX(tsk_Name,GanttView[[#This Row],[_Row]])="",TRUE()),"",INDEX(tsk_Resource,GanttView[[#This Row],[_Row]])&amp;"")</f>
        <v/>
      </c>
      <c r="K111" s="83" t="str">
        <f aca="false">IF(IFERROR(INDEX(tsk_Name,GanttView[[#This Row],[_Row]])="",TRUE()),"",INDEX(tsk_Status,GanttView[[#This Row],[_Row]]))</f>
        <v/>
      </c>
      <c r="L111" s="87" t="n">
        <f aca="false">ROW()-ROW(GanttView[[#Headers],[ID]])</f>
        <v>106</v>
      </c>
      <c r="M111" s="88" t="b">
        <f aca="false">IF(IFERROR(INDEX(tsk_Name,GanttView[[#This Row],[_Row]])="",TRUE()),FALSE(),INDEX(tsk_IsSummary,GanttView[[#This Row],[_Row]]))</f>
        <v>0</v>
      </c>
      <c r="N111" s="88" t="b">
        <f aca="false">IF(IFERROR(INDEX(tsk_Name,GanttView[[#This Row],[_Row]])="",TRUE()),FALSE(),AND(INDEX(tsk_IsLeaf,GanttView[[#This Row],[_Row]])=1,N(INDEX(tsk_Duration,GanttView[[#This Row],[_Row]]))=0))</f>
        <v>0</v>
      </c>
      <c r="O11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89" t="n">
        <f aca="false">IF(GanttView[[#This Row],[_RemFrom]]=0,0,GanttView[[#This Row],[Forecast Finish]])</f>
        <v>0</v>
      </c>
      <c r="S111" s="88" t="b">
        <f aca="false">IF(IFERROR(INDEX(tsk_Name,GanttView[[#This Row],[_Row]])="",TRUE()),FALSE(),N(INDEX(tsk_Variance,GanttView[[#This Row],[_Row]]))&gt;0)</f>
        <v>0</v>
      </c>
      <c r="T111" s="89" t="n">
        <f aca="false">IF(IFERROR(INDEX(tsk_Name,GanttView[[#This Row],[_Row]])="",TRUE()),0,N(INDEX(tsk_Deadline,GanttView[[#This Row],[_Row]])))</f>
        <v>0</v>
      </c>
      <c r="U111" s="88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83" t="str">
        <f aca="false">IF(IFERROR(INDEX(tsk_Name,GanttView[[#This Row],[_Row]])="",TRUE()),"",INDEX(tsk_ID,GanttView[[#This Row],[_Row]]))</f>
        <v/>
      </c>
      <c r="B112" s="83" t="str">
        <f aca="false">IF(IFERROR(INDEX(tsk_Name,GanttView[[#This Row],[_Row]])="",TRUE()),"",INDEX(tsk_WBS,GanttView[[#This Row],[_Row]]))</f>
        <v/>
      </c>
      <c r="C112" s="84" t="str">
        <f aca="false">IF(IFERROR(INDEX(tsk_Name,GanttView[[#This Row],[_Row]])="",TRUE()),"",REPT("    ",INDEX(tsk_Level,GanttView[[#This Row],[_Row]])-1)&amp;INDEX(tsk_Name,GanttView[[#This Row],[_Row]]))</f>
        <v/>
      </c>
      <c r="D11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85" t="str">
        <f aca="false">IF(IFERROR(INDEX(tsk_Name,GanttView[[#This Row],[_Row]])="",TRUE()),"",INDEX(tsk_PlanStart,GanttView[[#This Row],[_Row]]))</f>
        <v/>
      </c>
      <c r="F112" s="85" t="str">
        <f aca="false">IF(IFERROR(INDEX(tsk_Name,GanttView[[#This Row],[_Row]])="",TRUE()),"",INDEX(tsk_PlanFinish,GanttView[[#This Row],[_Row]]))</f>
        <v/>
      </c>
      <c r="G112" s="85" t="str">
        <f aca="false">IF(IFERROR(INDEX(tsk_Name,GanttView[[#This Row],[_Row]])="",TRUE()),"",INDEX(tsk_FcStart,GanttView[[#This Row],[_Row]]))</f>
        <v/>
      </c>
      <c r="H112" s="85" t="str">
        <f aca="false">IF(IFERROR(INDEX(tsk_Name,GanttView[[#This Row],[_Row]])="",TRUE()),"",INDEX(tsk_FcFinish,GanttView[[#This Row],[_Row]]))</f>
        <v/>
      </c>
      <c r="I112" s="86" t="str">
        <f aca="false">IF(IFERROR(INDEX(tsk_Name,GanttView[[#This Row],[_Row]])="",TRUE()),"",INDEX(tsk_Progress,GanttView[[#This Row],[_Row]]))</f>
        <v/>
      </c>
      <c r="J112" s="84" t="str">
        <f aca="false">IF(IFERROR(INDEX(tsk_Name,GanttView[[#This Row],[_Row]])="",TRUE()),"",INDEX(tsk_Resource,GanttView[[#This Row],[_Row]])&amp;"")</f>
        <v/>
      </c>
      <c r="K112" s="83" t="str">
        <f aca="false">IF(IFERROR(INDEX(tsk_Name,GanttView[[#This Row],[_Row]])="",TRUE()),"",INDEX(tsk_Status,GanttView[[#This Row],[_Row]]))</f>
        <v/>
      </c>
      <c r="L112" s="87" t="n">
        <f aca="false">ROW()-ROW(GanttView[[#Headers],[ID]])</f>
        <v>107</v>
      </c>
      <c r="M112" s="88" t="b">
        <f aca="false">IF(IFERROR(INDEX(tsk_Name,GanttView[[#This Row],[_Row]])="",TRUE()),FALSE(),INDEX(tsk_IsSummary,GanttView[[#This Row],[_Row]]))</f>
        <v>0</v>
      </c>
      <c r="N112" s="88" t="b">
        <f aca="false">IF(IFERROR(INDEX(tsk_Name,GanttView[[#This Row],[_Row]])="",TRUE()),FALSE(),AND(INDEX(tsk_IsLeaf,GanttView[[#This Row],[_Row]])=1,N(INDEX(tsk_Duration,GanttView[[#This Row],[_Row]]))=0))</f>
        <v>0</v>
      </c>
      <c r="O11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89" t="n">
        <f aca="false">IF(GanttView[[#This Row],[_RemFrom]]=0,0,GanttView[[#This Row],[Forecast Finish]])</f>
        <v>0</v>
      </c>
      <c r="S112" s="88" t="b">
        <f aca="false">IF(IFERROR(INDEX(tsk_Name,GanttView[[#This Row],[_Row]])="",TRUE()),FALSE(),N(INDEX(tsk_Variance,GanttView[[#This Row],[_Row]]))&gt;0)</f>
        <v>0</v>
      </c>
      <c r="T112" s="89" t="n">
        <f aca="false">IF(IFERROR(INDEX(tsk_Name,GanttView[[#This Row],[_Row]])="",TRUE()),0,N(INDEX(tsk_Deadline,GanttView[[#This Row],[_Row]])))</f>
        <v>0</v>
      </c>
      <c r="U112" s="88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83" t="str">
        <f aca="false">IF(IFERROR(INDEX(tsk_Name,GanttView[[#This Row],[_Row]])="",TRUE()),"",INDEX(tsk_ID,GanttView[[#This Row],[_Row]]))</f>
        <v/>
      </c>
      <c r="B113" s="83" t="str">
        <f aca="false">IF(IFERROR(INDEX(tsk_Name,GanttView[[#This Row],[_Row]])="",TRUE()),"",INDEX(tsk_WBS,GanttView[[#This Row],[_Row]]))</f>
        <v/>
      </c>
      <c r="C113" s="84" t="str">
        <f aca="false">IF(IFERROR(INDEX(tsk_Name,GanttView[[#This Row],[_Row]])="",TRUE()),"",REPT("    ",INDEX(tsk_Level,GanttView[[#This Row],[_Row]])-1)&amp;INDEX(tsk_Name,GanttView[[#This Row],[_Row]]))</f>
        <v/>
      </c>
      <c r="D11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85" t="str">
        <f aca="false">IF(IFERROR(INDEX(tsk_Name,GanttView[[#This Row],[_Row]])="",TRUE()),"",INDEX(tsk_PlanStart,GanttView[[#This Row],[_Row]]))</f>
        <v/>
      </c>
      <c r="F113" s="85" t="str">
        <f aca="false">IF(IFERROR(INDEX(tsk_Name,GanttView[[#This Row],[_Row]])="",TRUE()),"",INDEX(tsk_PlanFinish,GanttView[[#This Row],[_Row]]))</f>
        <v/>
      </c>
      <c r="G113" s="85" t="str">
        <f aca="false">IF(IFERROR(INDEX(tsk_Name,GanttView[[#This Row],[_Row]])="",TRUE()),"",INDEX(tsk_FcStart,GanttView[[#This Row],[_Row]]))</f>
        <v/>
      </c>
      <c r="H113" s="85" t="str">
        <f aca="false">IF(IFERROR(INDEX(tsk_Name,GanttView[[#This Row],[_Row]])="",TRUE()),"",INDEX(tsk_FcFinish,GanttView[[#This Row],[_Row]]))</f>
        <v/>
      </c>
      <c r="I113" s="86" t="str">
        <f aca="false">IF(IFERROR(INDEX(tsk_Name,GanttView[[#This Row],[_Row]])="",TRUE()),"",INDEX(tsk_Progress,GanttView[[#This Row],[_Row]]))</f>
        <v/>
      </c>
      <c r="J113" s="84" t="str">
        <f aca="false">IF(IFERROR(INDEX(tsk_Name,GanttView[[#This Row],[_Row]])="",TRUE()),"",INDEX(tsk_Resource,GanttView[[#This Row],[_Row]])&amp;"")</f>
        <v/>
      </c>
      <c r="K113" s="83" t="str">
        <f aca="false">IF(IFERROR(INDEX(tsk_Name,GanttView[[#This Row],[_Row]])="",TRUE()),"",INDEX(tsk_Status,GanttView[[#This Row],[_Row]]))</f>
        <v/>
      </c>
      <c r="L113" s="87" t="n">
        <f aca="false">ROW()-ROW(GanttView[[#Headers],[ID]])</f>
        <v>108</v>
      </c>
      <c r="M113" s="88" t="b">
        <f aca="false">IF(IFERROR(INDEX(tsk_Name,GanttView[[#This Row],[_Row]])="",TRUE()),FALSE(),INDEX(tsk_IsSummary,GanttView[[#This Row],[_Row]]))</f>
        <v>0</v>
      </c>
      <c r="N113" s="88" t="b">
        <f aca="false">IF(IFERROR(INDEX(tsk_Name,GanttView[[#This Row],[_Row]])="",TRUE()),FALSE(),AND(INDEX(tsk_IsLeaf,GanttView[[#This Row],[_Row]])=1,N(INDEX(tsk_Duration,GanttView[[#This Row],[_Row]]))=0))</f>
        <v>0</v>
      </c>
      <c r="O11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89" t="n">
        <f aca="false">IF(GanttView[[#This Row],[_RemFrom]]=0,0,GanttView[[#This Row],[Forecast Finish]])</f>
        <v>0</v>
      </c>
      <c r="S113" s="88" t="b">
        <f aca="false">IF(IFERROR(INDEX(tsk_Name,GanttView[[#This Row],[_Row]])="",TRUE()),FALSE(),N(INDEX(tsk_Variance,GanttView[[#This Row],[_Row]]))&gt;0)</f>
        <v>0</v>
      </c>
      <c r="T113" s="89" t="n">
        <f aca="false">IF(IFERROR(INDEX(tsk_Name,GanttView[[#This Row],[_Row]])="",TRUE()),0,N(INDEX(tsk_Deadline,GanttView[[#This Row],[_Row]])))</f>
        <v>0</v>
      </c>
      <c r="U113" s="88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83" t="str">
        <f aca="false">IF(IFERROR(INDEX(tsk_Name,GanttView[[#This Row],[_Row]])="",TRUE()),"",INDEX(tsk_ID,GanttView[[#This Row],[_Row]]))</f>
        <v/>
      </c>
      <c r="B114" s="83" t="str">
        <f aca="false">IF(IFERROR(INDEX(tsk_Name,GanttView[[#This Row],[_Row]])="",TRUE()),"",INDEX(tsk_WBS,GanttView[[#This Row],[_Row]]))</f>
        <v/>
      </c>
      <c r="C114" s="84" t="str">
        <f aca="false">IF(IFERROR(INDEX(tsk_Name,GanttView[[#This Row],[_Row]])="",TRUE()),"",REPT("    ",INDEX(tsk_Level,GanttView[[#This Row],[_Row]])-1)&amp;INDEX(tsk_Name,GanttView[[#This Row],[_Row]]))</f>
        <v/>
      </c>
      <c r="D11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85" t="str">
        <f aca="false">IF(IFERROR(INDEX(tsk_Name,GanttView[[#This Row],[_Row]])="",TRUE()),"",INDEX(tsk_PlanStart,GanttView[[#This Row],[_Row]]))</f>
        <v/>
      </c>
      <c r="F114" s="85" t="str">
        <f aca="false">IF(IFERROR(INDEX(tsk_Name,GanttView[[#This Row],[_Row]])="",TRUE()),"",INDEX(tsk_PlanFinish,GanttView[[#This Row],[_Row]]))</f>
        <v/>
      </c>
      <c r="G114" s="85" t="str">
        <f aca="false">IF(IFERROR(INDEX(tsk_Name,GanttView[[#This Row],[_Row]])="",TRUE()),"",INDEX(tsk_FcStart,GanttView[[#This Row],[_Row]]))</f>
        <v/>
      </c>
      <c r="H114" s="85" t="str">
        <f aca="false">IF(IFERROR(INDEX(tsk_Name,GanttView[[#This Row],[_Row]])="",TRUE()),"",INDEX(tsk_FcFinish,GanttView[[#This Row],[_Row]]))</f>
        <v/>
      </c>
      <c r="I114" s="86" t="str">
        <f aca="false">IF(IFERROR(INDEX(tsk_Name,GanttView[[#This Row],[_Row]])="",TRUE()),"",INDEX(tsk_Progress,GanttView[[#This Row],[_Row]]))</f>
        <v/>
      </c>
      <c r="J114" s="84" t="str">
        <f aca="false">IF(IFERROR(INDEX(tsk_Name,GanttView[[#This Row],[_Row]])="",TRUE()),"",INDEX(tsk_Resource,GanttView[[#This Row],[_Row]])&amp;"")</f>
        <v/>
      </c>
      <c r="K114" s="83" t="str">
        <f aca="false">IF(IFERROR(INDEX(tsk_Name,GanttView[[#This Row],[_Row]])="",TRUE()),"",INDEX(tsk_Status,GanttView[[#This Row],[_Row]]))</f>
        <v/>
      </c>
      <c r="L114" s="87" t="n">
        <f aca="false">ROW()-ROW(GanttView[[#Headers],[ID]])</f>
        <v>109</v>
      </c>
      <c r="M114" s="88" t="b">
        <f aca="false">IF(IFERROR(INDEX(tsk_Name,GanttView[[#This Row],[_Row]])="",TRUE()),FALSE(),INDEX(tsk_IsSummary,GanttView[[#This Row],[_Row]]))</f>
        <v>0</v>
      </c>
      <c r="N114" s="88" t="b">
        <f aca="false">IF(IFERROR(INDEX(tsk_Name,GanttView[[#This Row],[_Row]])="",TRUE()),FALSE(),AND(INDEX(tsk_IsLeaf,GanttView[[#This Row],[_Row]])=1,N(INDEX(tsk_Duration,GanttView[[#This Row],[_Row]]))=0))</f>
        <v>0</v>
      </c>
      <c r="O11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89" t="n">
        <f aca="false">IF(GanttView[[#This Row],[_RemFrom]]=0,0,GanttView[[#This Row],[Forecast Finish]])</f>
        <v>0</v>
      </c>
      <c r="S114" s="88" t="b">
        <f aca="false">IF(IFERROR(INDEX(tsk_Name,GanttView[[#This Row],[_Row]])="",TRUE()),FALSE(),N(INDEX(tsk_Variance,GanttView[[#This Row],[_Row]]))&gt;0)</f>
        <v>0</v>
      </c>
      <c r="T114" s="89" t="n">
        <f aca="false">IF(IFERROR(INDEX(tsk_Name,GanttView[[#This Row],[_Row]])="",TRUE()),0,N(INDEX(tsk_Deadline,GanttView[[#This Row],[_Row]])))</f>
        <v>0</v>
      </c>
      <c r="U114" s="88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83" t="str">
        <f aca="false">IF(IFERROR(INDEX(tsk_Name,GanttView[[#This Row],[_Row]])="",TRUE()),"",INDEX(tsk_ID,GanttView[[#This Row],[_Row]]))</f>
        <v/>
      </c>
      <c r="B115" s="83" t="str">
        <f aca="false">IF(IFERROR(INDEX(tsk_Name,GanttView[[#This Row],[_Row]])="",TRUE()),"",INDEX(tsk_WBS,GanttView[[#This Row],[_Row]]))</f>
        <v/>
      </c>
      <c r="C115" s="84" t="str">
        <f aca="false">IF(IFERROR(INDEX(tsk_Name,GanttView[[#This Row],[_Row]])="",TRUE()),"",REPT("    ",INDEX(tsk_Level,GanttView[[#This Row],[_Row]])-1)&amp;INDEX(tsk_Name,GanttView[[#This Row],[_Row]]))</f>
        <v/>
      </c>
      <c r="D11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85" t="str">
        <f aca="false">IF(IFERROR(INDEX(tsk_Name,GanttView[[#This Row],[_Row]])="",TRUE()),"",INDEX(tsk_PlanStart,GanttView[[#This Row],[_Row]]))</f>
        <v/>
      </c>
      <c r="F115" s="85" t="str">
        <f aca="false">IF(IFERROR(INDEX(tsk_Name,GanttView[[#This Row],[_Row]])="",TRUE()),"",INDEX(tsk_PlanFinish,GanttView[[#This Row],[_Row]]))</f>
        <v/>
      </c>
      <c r="G115" s="85" t="str">
        <f aca="false">IF(IFERROR(INDEX(tsk_Name,GanttView[[#This Row],[_Row]])="",TRUE()),"",INDEX(tsk_FcStart,GanttView[[#This Row],[_Row]]))</f>
        <v/>
      </c>
      <c r="H115" s="85" t="str">
        <f aca="false">IF(IFERROR(INDEX(tsk_Name,GanttView[[#This Row],[_Row]])="",TRUE()),"",INDEX(tsk_FcFinish,GanttView[[#This Row],[_Row]]))</f>
        <v/>
      </c>
      <c r="I115" s="86" t="str">
        <f aca="false">IF(IFERROR(INDEX(tsk_Name,GanttView[[#This Row],[_Row]])="",TRUE()),"",INDEX(tsk_Progress,GanttView[[#This Row],[_Row]]))</f>
        <v/>
      </c>
      <c r="J115" s="84" t="str">
        <f aca="false">IF(IFERROR(INDEX(tsk_Name,GanttView[[#This Row],[_Row]])="",TRUE()),"",INDEX(tsk_Resource,GanttView[[#This Row],[_Row]])&amp;"")</f>
        <v/>
      </c>
      <c r="K115" s="83" t="str">
        <f aca="false">IF(IFERROR(INDEX(tsk_Name,GanttView[[#This Row],[_Row]])="",TRUE()),"",INDEX(tsk_Status,GanttView[[#This Row],[_Row]]))</f>
        <v/>
      </c>
      <c r="L115" s="87" t="n">
        <f aca="false">ROW()-ROW(GanttView[[#Headers],[ID]])</f>
        <v>110</v>
      </c>
      <c r="M115" s="88" t="b">
        <f aca="false">IF(IFERROR(INDEX(tsk_Name,GanttView[[#This Row],[_Row]])="",TRUE()),FALSE(),INDEX(tsk_IsSummary,GanttView[[#This Row],[_Row]]))</f>
        <v>0</v>
      </c>
      <c r="N115" s="88" t="b">
        <f aca="false">IF(IFERROR(INDEX(tsk_Name,GanttView[[#This Row],[_Row]])="",TRUE()),FALSE(),AND(INDEX(tsk_IsLeaf,GanttView[[#This Row],[_Row]])=1,N(INDEX(tsk_Duration,GanttView[[#This Row],[_Row]]))=0))</f>
        <v>0</v>
      </c>
      <c r="O11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89" t="n">
        <f aca="false">IF(GanttView[[#This Row],[_RemFrom]]=0,0,GanttView[[#This Row],[Forecast Finish]])</f>
        <v>0</v>
      </c>
      <c r="S115" s="88" t="b">
        <f aca="false">IF(IFERROR(INDEX(tsk_Name,GanttView[[#This Row],[_Row]])="",TRUE()),FALSE(),N(INDEX(tsk_Variance,GanttView[[#This Row],[_Row]]))&gt;0)</f>
        <v>0</v>
      </c>
      <c r="T115" s="89" t="n">
        <f aca="false">IF(IFERROR(INDEX(tsk_Name,GanttView[[#This Row],[_Row]])="",TRUE()),0,N(INDEX(tsk_Deadline,GanttView[[#This Row],[_Row]])))</f>
        <v>0</v>
      </c>
      <c r="U115" s="88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83" t="str">
        <f aca="false">IF(IFERROR(INDEX(tsk_Name,GanttView[[#This Row],[_Row]])="",TRUE()),"",INDEX(tsk_ID,GanttView[[#This Row],[_Row]]))</f>
        <v/>
      </c>
      <c r="B116" s="83" t="str">
        <f aca="false">IF(IFERROR(INDEX(tsk_Name,GanttView[[#This Row],[_Row]])="",TRUE()),"",INDEX(tsk_WBS,GanttView[[#This Row],[_Row]]))</f>
        <v/>
      </c>
      <c r="C116" s="84" t="str">
        <f aca="false">IF(IFERROR(INDEX(tsk_Name,GanttView[[#This Row],[_Row]])="",TRUE()),"",REPT("    ",INDEX(tsk_Level,GanttView[[#This Row],[_Row]])-1)&amp;INDEX(tsk_Name,GanttView[[#This Row],[_Row]]))</f>
        <v/>
      </c>
      <c r="D11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85" t="str">
        <f aca="false">IF(IFERROR(INDEX(tsk_Name,GanttView[[#This Row],[_Row]])="",TRUE()),"",INDEX(tsk_PlanStart,GanttView[[#This Row],[_Row]]))</f>
        <v/>
      </c>
      <c r="F116" s="85" t="str">
        <f aca="false">IF(IFERROR(INDEX(tsk_Name,GanttView[[#This Row],[_Row]])="",TRUE()),"",INDEX(tsk_PlanFinish,GanttView[[#This Row],[_Row]]))</f>
        <v/>
      </c>
      <c r="G116" s="85" t="str">
        <f aca="false">IF(IFERROR(INDEX(tsk_Name,GanttView[[#This Row],[_Row]])="",TRUE()),"",INDEX(tsk_FcStart,GanttView[[#This Row],[_Row]]))</f>
        <v/>
      </c>
      <c r="H116" s="85" t="str">
        <f aca="false">IF(IFERROR(INDEX(tsk_Name,GanttView[[#This Row],[_Row]])="",TRUE()),"",INDEX(tsk_FcFinish,GanttView[[#This Row],[_Row]]))</f>
        <v/>
      </c>
      <c r="I116" s="86" t="str">
        <f aca="false">IF(IFERROR(INDEX(tsk_Name,GanttView[[#This Row],[_Row]])="",TRUE()),"",INDEX(tsk_Progress,GanttView[[#This Row],[_Row]]))</f>
        <v/>
      </c>
      <c r="J116" s="84" t="str">
        <f aca="false">IF(IFERROR(INDEX(tsk_Name,GanttView[[#This Row],[_Row]])="",TRUE()),"",INDEX(tsk_Resource,GanttView[[#This Row],[_Row]])&amp;"")</f>
        <v/>
      </c>
      <c r="K116" s="83" t="str">
        <f aca="false">IF(IFERROR(INDEX(tsk_Name,GanttView[[#This Row],[_Row]])="",TRUE()),"",INDEX(tsk_Status,GanttView[[#This Row],[_Row]]))</f>
        <v/>
      </c>
      <c r="L116" s="87" t="n">
        <f aca="false">ROW()-ROW(GanttView[[#Headers],[ID]])</f>
        <v>111</v>
      </c>
      <c r="M116" s="88" t="b">
        <f aca="false">IF(IFERROR(INDEX(tsk_Name,GanttView[[#This Row],[_Row]])="",TRUE()),FALSE(),INDEX(tsk_IsSummary,GanttView[[#This Row],[_Row]]))</f>
        <v>0</v>
      </c>
      <c r="N116" s="88" t="b">
        <f aca="false">IF(IFERROR(INDEX(tsk_Name,GanttView[[#This Row],[_Row]])="",TRUE()),FALSE(),AND(INDEX(tsk_IsLeaf,GanttView[[#This Row],[_Row]])=1,N(INDEX(tsk_Duration,GanttView[[#This Row],[_Row]]))=0))</f>
        <v>0</v>
      </c>
      <c r="O11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89" t="n">
        <f aca="false">IF(GanttView[[#This Row],[_RemFrom]]=0,0,GanttView[[#This Row],[Forecast Finish]])</f>
        <v>0</v>
      </c>
      <c r="S116" s="88" t="b">
        <f aca="false">IF(IFERROR(INDEX(tsk_Name,GanttView[[#This Row],[_Row]])="",TRUE()),FALSE(),N(INDEX(tsk_Variance,GanttView[[#This Row],[_Row]]))&gt;0)</f>
        <v>0</v>
      </c>
      <c r="T116" s="89" t="n">
        <f aca="false">IF(IFERROR(INDEX(tsk_Name,GanttView[[#This Row],[_Row]])="",TRUE()),0,N(INDEX(tsk_Deadline,GanttView[[#This Row],[_Row]])))</f>
        <v>0</v>
      </c>
      <c r="U116" s="88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83" t="str">
        <f aca="false">IF(IFERROR(INDEX(tsk_Name,GanttView[[#This Row],[_Row]])="",TRUE()),"",INDEX(tsk_ID,GanttView[[#This Row],[_Row]]))</f>
        <v/>
      </c>
      <c r="B117" s="83" t="str">
        <f aca="false">IF(IFERROR(INDEX(tsk_Name,GanttView[[#This Row],[_Row]])="",TRUE()),"",INDEX(tsk_WBS,GanttView[[#This Row],[_Row]]))</f>
        <v/>
      </c>
      <c r="C117" s="84" t="str">
        <f aca="false">IF(IFERROR(INDEX(tsk_Name,GanttView[[#This Row],[_Row]])="",TRUE()),"",REPT("    ",INDEX(tsk_Level,GanttView[[#This Row],[_Row]])-1)&amp;INDEX(tsk_Name,GanttView[[#This Row],[_Row]]))</f>
        <v/>
      </c>
      <c r="D11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85" t="str">
        <f aca="false">IF(IFERROR(INDEX(tsk_Name,GanttView[[#This Row],[_Row]])="",TRUE()),"",INDEX(tsk_PlanStart,GanttView[[#This Row],[_Row]]))</f>
        <v/>
      </c>
      <c r="F117" s="85" t="str">
        <f aca="false">IF(IFERROR(INDEX(tsk_Name,GanttView[[#This Row],[_Row]])="",TRUE()),"",INDEX(tsk_PlanFinish,GanttView[[#This Row],[_Row]]))</f>
        <v/>
      </c>
      <c r="G117" s="85" t="str">
        <f aca="false">IF(IFERROR(INDEX(tsk_Name,GanttView[[#This Row],[_Row]])="",TRUE()),"",INDEX(tsk_FcStart,GanttView[[#This Row],[_Row]]))</f>
        <v/>
      </c>
      <c r="H117" s="85" t="str">
        <f aca="false">IF(IFERROR(INDEX(tsk_Name,GanttView[[#This Row],[_Row]])="",TRUE()),"",INDEX(tsk_FcFinish,GanttView[[#This Row],[_Row]]))</f>
        <v/>
      </c>
      <c r="I117" s="86" t="str">
        <f aca="false">IF(IFERROR(INDEX(tsk_Name,GanttView[[#This Row],[_Row]])="",TRUE()),"",INDEX(tsk_Progress,GanttView[[#This Row],[_Row]]))</f>
        <v/>
      </c>
      <c r="J117" s="84" t="str">
        <f aca="false">IF(IFERROR(INDEX(tsk_Name,GanttView[[#This Row],[_Row]])="",TRUE()),"",INDEX(tsk_Resource,GanttView[[#This Row],[_Row]])&amp;"")</f>
        <v/>
      </c>
      <c r="K117" s="83" t="str">
        <f aca="false">IF(IFERROR(INDEX(tsk_Name,GanttView[[#This Row],[_Row]])="",TRUE()),"",INDEX(tsk_Status,GanttView[[#This Row],[_Row]]))</f>
        <v/>
      </c>
      <c r="L117" s="87" t="n">
        <f aca="false">ROW()-ROW(GanttView[[#Headers],[ID]])</f>
        <v>112</v>
      </c>
      <c r="M117" s="88" t="b">
        <f aca="false">IF(IFERROR(INDEX(tsk_Name,GanttView[[#This Row],[_Row]])="",TRUE()),FALSE(),INDEX(tsk_IsSummary,GanttView[[#This Row],[_Row]]))</f>
        <v>0</v>
      </c>
      <c r="N117" s="88" t="b">
        <f aca="false">IF(IFERROR(INDEX(tsk_Name,GanttView[[#This Row],[_Row]])="",TRUE()),FALSE(),AND(INDEX(tsk_IsLeaf,GanttView[[#This Row],[_Row]])=1,N(INDEX(tsk_Duration,GanttView[[#This Row],[_Row]]))=0))</f>
        <v>0</v>
      </c>
      <c r="O11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89" t="n">
        <f aca="false">IF(GanttView[[#This Row],[_RemFrom]]=0,0,GanttView[[#This Row],[Forecast Finish]])</f>
        <v>0</v>
      </c>
      <c r="S117" s="88" t="b">
        <f aca="false">IF(IFERROR(INDEX(tsk_Name,GanttView[[#This Row],[_Row]])="",TRUE()),FALSE(),N(INDEX(tsk_Variance,GanttView[[#This Row],[_Row]]))&gt;0)</f>
        <v>0</v>
      </c>
      <c r="T117" s="89" t="n">
        <f aca="false">IF(IFERROR(INDEX(tsk_Name,GanttView[[#This Row],[_Row]])="",TRUE()),0,N(INDEX(tsk_Deadline,GanttView[[#This Row],[_Row]])))</f>
        <v>0</v>
      </c>
      <c r="U117" s="88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83" t="str">
        <f aca="false">IF(IFERROR(INDEX(tsk_Name,GanttView[[#This Row],[_Row]])="",TRUE()),"",INDEX(tsk_ID,GanttView[[#This Row],[_Row]]))</f>
        <v/>
      </c>
      <c r="B118" s="83" t="str">
        <f aca="false">IF(IFERROR(INDEX(tsk_Name,GanttView[[#This Row],[_Row]])="",TRUE()),"",INDEX(tsk_WBS,GanttView[[#This Row],[_Row]]))</f>
        <v/>
      </c>
      <c r="C118" s="84" t="str">
        <f aca="false">IF(IFERROR(INDEX(tsk_Name,GanttView[[#This Row],[_Row]])="",TRUE()),"",REPT("    ",INDEX(tsk_Level,GanttView[[#This Row],[_Row]])-1)&amp;INDEX(tsk_Name,GanttView[[#This Row],[_Row]]))</f>
        <v/>
      </c>
      <c r="D11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85" t="str">
        <f aca="false">IF(IFERROR(INDEX(tsk_Name,GanttView[[#This Row],[_Row]])="",TRUE()),"",INDEX(tsk_PlanStart,GanttView[[#This Row],[_Row]]))</f>
        <v/>
      </c>
      <c r="F118" s="85" t="str">
        <f aca="false">IF(IFERROR(INDEX(tsk_Name,GanttView[[#This Row],[_Row]])="",TRUE()),"",INDEX(tsk_PlanFinish,GanttView[[#This Row],[_Row]]))</f>
        <v/>
      </c>
      <c r="G118" s="85" t="str">
        <f aca="false">IF(IFERROR(INDEX(tsk_Name,GanttView[[#This Row],[_Row]])="",TRUE()),"",INDEX(tsk_FcStart,GanttView[[#This Row],[_Row]]))</f>
        <v/>
      </c>
      <c r="H118" s="85" t="str">
        <f aca="false">IF(IFERROR(INDEX(tsk_Name,GanttView[[#This Row],[_Row]])="",TRUE()),"",INDEX(tsk_FcFinish,GanttView[[#This Row],[_Row]]))</f>
        <v/>
      </c>
      <c r="I118" s="86" t="str">
        <f aca="false">IF(IFERROR(INDEX(tsk_Name,GanttView[[#This Row],[_Row]])="",TRUE()),"",INDEX(tsk_Progress,GanttView[[#This Row],[_Row]]))</f>
        <v/>
      </c>
      <c r="J118" s="84" t="str">
        <f aca="false">IF(IFERROR(INDEX(tsk_Name,GanttView[[#This Row],[_Row]])="",TRUE()),"",INDEX(tsk_Resource,GanttView[[#This Row],[_Row]])&amp;"")</f>
        <v/>
      </c>
      <c r="K118" s="83" t="str">
        <f aca="false">IF(IFERROR(INDEX(tsk_Name,GanttView[[#This Row],[_Row]])="",TRUE()),"",INDEX(tsk_Status,GanttView[[#This Row],[_Row]]))</f>
        <v/>
      </c>
      <c r="L118" s="87" t="n">
        <f aca="false">ROW()-ROW(GanttView[[#Headers],[ID]])</f>
        <v>113</v>
      </c>
      <c r="M118" s="88" t="b">
        <f aca="false">IF(IFERROR(INDEX(tsk_Name,GanttView[[#This Row],[_Row]])="",TRUE()),FALSE(),INDEX(tsk_IsSummary,GanttView[[#This Row],[_Row]]))</f>
        <v>0</v>
      </c>
      <c r="N118" s="88" t="b">
        <f aca="false">IF(IFERROR(INDEX(tsk_Name,GanttView[[#This Row],[_Row]])="",TRUE()),FALSE(),AND(INDEX(tsk_IsLeaf,GanttView[[#This Row],[_Row]])=1,N(INDEX(tsk_Duration,GanttView[[#This Row],[_Row]]))=0))</f>
        <v>0</v>
      </c>
      <c r="O11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89" t="n">
        <f aca="false">IF(GanttView[[#This Row],[_RemFrom]]=0,0,GanttView[[#This Row],[Forecast Finish]])</f>
        <v>0</v>
      </c>
      <c r="S118" s="88" t="b">
        <f aca="false">IF(IFERROR(INDEX(tsk_Name,GanttView[[#This Row],[_Row]])="",TRUE()),FALSE(),N(INDEX(tsk_Variance,GanttView[[#This Row],[_Row]]))&gt;0)</f>
        <v>0</v>
      </c>
      <c r="T118" s="89" t="n">
        <f aca="false">IF(IFERROR(INDEX(tsk_Name,GanttView[[#This Row],[_Row]])="",TRUE()),0,N(INDEX(tsk_Deadline,GanttView[[#This Row],[_Row]])))</f>
        <v>0</v>
      </c>
      <c r="U118" s="88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83" t="str">
        <f aca="false">IF(IFERROR(INDEX(tsk_Name,GanttView[[#This Row],[_Row]])="",TRUE()),"",INDEX(tsk_ID,GanttView[[#This Row],[_Row]]))</f>
        <v/>
      </c>
      <c r="B119" s="83" t="str">
        <f aca="false">IF(IFERROR(INDEX(tsk_Name,GanttView[[#This Row],[_Row]])="",TRUE()),"",INDEX(tsk_WBS,GanttView[[#This Row],[_Row]]))</f>
        <v/>
      </c>
      <c r="C119" s="84" t="str">
        <f aca="false">IF(IFERROR(INDEX(tsk_Name,GanttView[[#This Row],[_Row]])="",TRUE()),"",REPT("    ",INDEX(tsk_Level,GanttView[[#This Row],[_Row]])-1)&amp;INDEX(tsk_Name,GanttView[[#This Row],[_Row]]))</f>
        <v/>
      </c>
      <c r="D11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85" t="str">
        <f aca="false">IF(IFERROR(INDEX(tsk_Name,GanttView[[#This Row],[_Row]])="",TRUE()),"",INDEX(tsk_PlanStart,GanttView[[#This Row],[_Row]]))</f>
        <v/>
      </c>
      <c r="F119" s="85" t="str">
        <f aca="false">IF(IFERROR(INDEX(tsk_Name,GanttView[[#This Row],[_Row]])="",TRUE()),"",INDEX(tsk_PlanFinish,GanttView[[#This Row],[_Row]]))</f>
        <v/>
      </c>
      <c r="G119" s="85" t="str">
        <f aca="false">IF(IFERROR(INDEX(tsk_Name,GanttView[[#This Row],[_Row]])="",TRUE()),"",INDEX(tsk_FcStart,GanttView[[#This Row],[_Row]]))</f>
        <v/>
      </c>
      <c r="H119" s="85" t="str">
        <f aca="false">IF(IFERROR(INDEX(tsk_Name,GanttView[[#This Row],[_Row]])="",TRUE()),"",INDEX(tsk_FcFinish,GanttView[[#This Row],[_Row]]))</f>
        <v/>
      </c>
      <c r="I119" s="86" t="str">
        <f aca="false">IF(IFERROR(INDEX(tsk_Name,GanttView[[#This Row],[_Row]])="",TRUE()),"",INDEX(tsk_Progress,GanttView[[#This Row],[_Row]]))</f>
        <v/>
      </c>
      <c r="J119" s="84" t="str">
        <f aca="false">IF(IFERROR(INDEX(tsk_Name,GanttView[[#This Row],[_Row]])="",TRUE()),"",INDEX(tsk_Resource,GanttView[[#This Row],[_Row]])&amp;"")</f>
        <v/>
      </c>
      <c r="K119" s="83" t="str">
        <f aca="false">IF(IFERROR(INDEX(tsk_Name,GanttView[[#This Row],[_Row]])="",TRUE()),"",INDEX(tsk_Status,GanttView[[#This Row],[_Row]]))</f>
        <v/>
      </c>
      <c r="L119" s="87" t="n">
        <f aca="false">ROW()-ROW(GanttView[[#Headers],[ID]])</f>
        <v>114</v>
      </c>
      <c r="M119" s="88" t="b">
        <f aca="false">IF(IFERROR(INDEX(tsk_Name,GanttView[[#This Row],[_Row]])="",TRUE()),FALSE(),INDEX(tsk_IsSummary,GanttView[[#This Row],[_Row]]))</f>
        <v>0</v>
      </c>
      <c r="N119" s="88" t="b">
        <f aca="false">IF(IFERROR(INDEX(tsk_Name,GanttView[[#This Row],[_Row]])="",TRUE()),FALSE(),AND(INDEX(tsk_IsLeaf,GanttView[[#This Row],[_Row]])=1,N(INDEX(tsk_Duration,GanttView[[#This Row],[_Row]]))=0))</f>
        <v>0</v>
      </c>
      <c r="O11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89" t="n">
        <f aca="false">IF(GanttView[[#This Row],[_RemFrom]]=0,0,GanttView[[#This Row],[Forecast Finish]])</f>
        <v>0</v>
      </c>
      <c r="S119" s="88" t="b">
        <f aca="false">IF(IFERROR(INDEX(tsk_Name,GanttView[[#This Row],[_Row]])="",TRUE()),FALSE(),N(INDEX(tsk_Variance,GanttView[[#This Row],[_Row]]))&gt;0)</f>
        <v>0</v>
      </c>
      <c r="T119" s="89" t="n">
        <f aca="false">IF(IFERROR(INDEX(tsk_Name,GanttView[[#This Row],[_Row]])="",TRUE()),0,N(INDEX(tsk_Deadline,GanttView[[#This Row],[_Row]])))</f>
        <v>0</v>
      </c>
      <c r="U119" s="88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83" t="str">
        <f aca="false">IF(IFERROR(INDEX(tsk_Name,GanttView[[#This Row],[_Row]])="",TRUE()),"",INDEX(tsk_ID,GanttView[[#This Row],[_Row]]))</f>
        <v/>
      </c>
      <c r="B120" s="83" t="str">
        <f aca="false">IF(IFERROR(INDEX(tsk_Name,GanttView[[#This Row],[_Row]])="",TRUE()),"",INDEX(tsk_WBS,GanttView[[#This Row],[_Row]]))</f>
        <v/>
      </c>
      <c r="C120" s="84" t="str">
        <f aca="false">IF(IFERROR(INDEX(tsk_Name,GanttView[[#This Row],[_Row]])="",TRUE()),"",REPT("    ",INDEX(tsk_Level,GanttView[[#This Row],[_Row]])-1)&amp;INDEX(tsk_Name,GanttView[[#This Row],[_Row]]))</f>
        <v/>
      </c>
      <c r="D12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85" t="str">
        <f aca="false">IF(IFERROR(INDEX(tsk_Name,GanttView[[#This Row],[_Row]])="",TRUE()),"",INDEX(tsk_PlanStart,GanttView[[#This Row],[_Row]]))</f>
        <v/>
      </c>
      <c r="F120" s="85" t="str">
        <f aca="false">IF(IFERROR(INDEX(tsk_Name,GanttView[[#This Row],[_Row]])="",TRUE()),"",INDEX(tsk_PlanFinish,GanttView[[#This Row],[_Row]]))</f>
        <v/>
      </c>
      <c r="G120" s="85" t="str">
        <f aca="false">IF(IFERROR(INDEX(tsk_Name,GanttView[[#This Row],[_Row]])="",TRUE()),"",INDEX(tsk_FcStart,GanttView[[#This Row],[_Row]]))</f>
        <v/>
      </c>
      <c r="H120" s="85" t="str">
        <f aca="false">IF(IFERROR(INDEX(tsk_Name,GanttView[[#This Row],[_Row]])="",TRUE()),"",INDEX(tsk_FcFinish,GanttView[[#This Row],[_Row]]))</f>
        <v/>
      </c>
      <c r="I120" s="86" t="str">
        <f aca="false">IF(IFERROR(INDEX(tsk_Name,GanttView[[#This Row],[_Row]])="",TRUE()),"",INDEX(tsk_Progress,GanttView[[#This Row],[_Row]]))</f>
        <v/>
      </c>
      <c r="J120" s="84" t="str">
        <f aca="false">IF(IFERROR(INDEX(tsk_Name,GanttView[[#This Row],[_Row]])="",TRUE()),"",INDEX(tsk_Resource,GanttView[[#This Row],[_Row]])&amp;"")</f>
        <v/>
      </c>
      <c r="K120" s="83" t="str">
        <f aca="false">IF(IFERROR(INDEX(tsk_Name,GanttView[[#This Row],[_Row]])="",TRUE()),"",INDEX(tsk_Status,GanttView[[#This Row],[_Row]]))</f>
        <v/>
      </c>
      <c r="L120" s="87" t="n">
        <f aca="false">ROW()-ROW(GanttView[[#Headers],[ID]])</f>
        <v>115</v>
      </c>
      <c r="M120" s="88" t="b">
        <f aca="false">IF(IFERROR(INDEX(tsk_Name,GanttView[[#This Row],[_Row]])="",TRUE()),FALSE(),INDEX(tsk_IsSummary,GanttView[[#This Row],[_Row]]))</f>
        <v>0</v>
      </c>
      <c r="N120" s="88" t="b">
        <f aca="false">IF(IFERROR(INDEX(tsk_Name,GanttView[[#This Row],[_Row]])="",TRUE()),FALSE(),AND(INDEX(tsk_IsLeaf,GanttView[[#This Row],[_Row]])=1,N(INDEX(tsk_Duration,GanttView[[#This Row],[_Row]]))=0))</f>
        <v>0</v>
      </c>
      <c r="O12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89" t="n">
        <f aca="false">IF(GanttView[[#This Row],[_RemFrom]]=0,0,GanttView[[#This Row],[Forecast Finish]])</f>
        <v>0</v>
      </c>
      <c r="S120" s="88" t="b">
        <f aca="false">IF(IFERROR(INDEX(tsk_Name,GanttView[[#This Row],[_Row]])="",TRUE()),FALSE(),N(INDEX(tsk_Variance,GanttView[[#This Row],[_Row]]))&gt;0)</f>
        <v>0</v>
      </c>
      <c r="T120" s="89" t="n">
        <f aca="false">IF(IFERROR(INDEX(tsk_Name,GanttView[[#This Row],[_Row]])="",TRUE()),0,N(INDEX(tsk_Deadline,GanttView[[#This Row],[_Row]])))</f>
        <v>0</v>
      </c>
      <c r="U120" s="88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83" t="str">
        <f aca="false">IF(IFERROR(INDEX(tsk_Name,GanttView[[#This Row],[_Row]])="",TRUE()),"",INDEX(tsk_ID,GanttView[[#This Row],[_Row]]))</f>
        <v/>
      </c>
      <c r="B121" s="83" t="str">
        <f aca="false">IF(IFERROR(INDEX(tsk_Name,GanttView[[#This Row],[_Row]])="",TRUE()),"",INDEX(tsk_WBS,GanttView[[#This Row],[_Row]]))</f>
        <v/>
      </c>
      <c r="C121" s="84" t="str">
        <f aca="false">IF(IFERROR(INDEX(tsk_Name,GanttView[[#This Row],[_Row]])="",TRUE()),"",REPT("    ",INDEX(tsk_Level,GanttView[[#This Row],[_Row]])-1)&amp;INDEX(tsk_Name,GanttView[[#This Row],[_Row]]))</f>
        <v/>
      </c>
      <c r="D12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85" t="str">
        <f aca="false">IF(IFERROR(INDEX(tsk_Name,GanttView[[#This Row],[_Row]])="",TRUE()),"",INDEX(tsk_PlanStart,GanttView[[#This Row],[_Row]]))</f>
        <v/>
      </c>
      <c r="F121" s="85" t="str">
        <f aca="false">IF(IFERROR(INDEX(tsk_Name,GanttView[[#This Row],[_Row]])="",TRUE()),"",INDEX(tsk_PlanFinish,GanttView[[#This Row],[_Row]]))</f>
        <v/>
      </c>
      <c r="G121" s="85" t="str">
        <f aca="false">IF(IFERROR(INDEX(tsk_Name,GanttView[[#This Row],[_Row]])="",TRUE()),"",INDEX(tsk_FcStart,GanttView[[#This Row],[_Row]]))</f>
        <v/>
      </c>
      <c r="H121" s="85" t="str">
        <f aca="false">IF(IFERROR(INDEX(tsk_Name,GanttView[[#This Row],[_Row]])="",TRUE()),"",INDEX(tsk_FcFinish,GanttView[[#This Row],[_Row]]))</f>
        <v/>
      </c>
      <c r="I121" s="86" t="str">
        <f aca="false">IF(IFERROR(INDEX(tsk_Name,GanttView[[#This Row],[_Row]])="",TRUE()),"",INDEX(tsk_Progress,GanttView[[#This Row],[_Row]]))</f>
        <v/>
      </c>
      <c r="J121" s="84" t="str">
        <f aca="false">IF(IFERROR(INDEX(tsk_Name,GanttView[[#This Row],[_Row]])="",TRUE()),"",INDEX(tsk_Resource,GanttView[[#This Row],[_Row]])&amp;"")</f>
        <v/>
      </c>
      <c r="K121" s="83" t="str">
        <f aca="false">IF(IFERROR(INDEX(tsk_Name,GanttView[[#This Row],[_Row]])="",TRUE()),"",INDEX(tsk_Status,GanttView[[#This Row],[_Row]]))</f>
        <v/>
      </c>
      <c r="L121" s="87" t="n">
        <f aca="false">ROW()-ROW(GanttView[[#Headers],[ID]])</f>
        <v>116</v>
      </c>
      <c r="M121" s="88" t="b">
        <f aca="false">IF(IFERROR(INDEX(tsk_Name,GanttView[[#This Row],[_Row]])="",TRUE()),FALSE(),INDEX(tsk_IsSummary,GanttView[[#This Row],[_Row]]))</f>
        <v>0</v>
      </c>
      <c r="N121" s="88" t="b">
        <f aca="false">IF(IFERROR(INDEX(tsk_Name,GanttView[[#This Row],[_Row]])="",TRUE()),FALSE(),AND(INDEX(tsk_IsLeaf,GanttView[[#This Row],[_Row]])=1,N(INDEX(tsk_Duration,GanttView[[#This Row],[_Row]]))=0))</f>
        <v>0</v>
      </c>
      <c r="O12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89" t="n">
        <f aca="false">IF(GanttView[[#This Row],[_RemFrom]]=0,0,GanttView[[#This Row],[Forecast Finish]])</f>
        <v>0</v>
      </c>
      <c r="S121" s="88" t="b">
        <f aca="false">IF(IFERROR(INDEX(tsk_Name,GanttView[[#This Row],[_Row]])="",TRUE()),FALSE(),N(INDEX(tsk_Variance,GanttView[[#This Row],[_Row]]))&gt;0)</f>
        <v>0</v>
      </c>
      <c r="T121" s="89" t="n">
        <f aca="false">IF(IFERROR(INDEX(tsk_Name,GanttView[[#This Row],[_Row]])="",TRUE()),0,N(INDEX(tsk_Deadline,GanttView[[#This Row],[_Row]])))</f>
        <v>0</v>
      </c>
      <c r="U121" s="88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83" t="str">
        <f aca="false">IF(IFERROR(INDEX(tsk_Name,GanttView[[#This Row],[_Row]])="",TRUE()),"",INDEX(tsk_ID,GanttView[[#This Row],[_Row]]))</f>
        <v/>
      </c>
      <c r="B122" s="83" t="str">
        <f aca="false">IF(IFERROR(INDEX(tsk_Name,GanttView[[#This Row],[_Row]])="",TRUE()),"",INDEX(tsk_WBS,GanttView[[#This Row],[_Row]]))</f>
        <v/>
      </c>
      <c r="C122" s="84" t="str">
        <f aca="false">IF(IFERROR(INDEX(tsk_Name,GanttView[[#This Row],[_Row]])="",TRUE()),"",REPT("    ",INDEX(tsk_Level,GanttView[[#This Row],[_Row]])-1)&amp;INDEX(tsk_Name,GanttView[[#This Row],[_Row]]))</f>
        <v/>
      </c>
      <c r="D12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85" t="str">
        <f aca="false">IF(IFERROR(INDEX(tsk_Name,GanttView[[#This Row],[_Row]])="",TRUE()),"",INDEX(tsk_PlanStart,GanttView[[#This Row],[_Row]]))</f>
        <v/>
      </c>
      <c r="F122" s="85" t="str">
        <f aca="false">IF(IFERROR(INDEX(tsk_Name,GanttView[[#This Row],[_Row]])="",TRUE()),"",INDEX(tsk_PlanFinish,GanttView[[#This Row],[_Row]]))</f>
        <v/>
      </c>
      <c r="G122" s="85" t="str">
        <f aca="false">IF(IFERROR(INDEX(tsk_Name,GanttView[[#This Row],[_Row]])="",TRUE()),"",INDEX(tsk_FcStart,GanttView[[#This Row],[_Row]]))</f>
        <v/>
      </c>
      <c r="H122" s="85" t="str">
        <f aca="false">IF(IFERROR(INDEX(tsk_Name,GanttView[[#This Row],[_Row]])="",TRUE()),"",INDEX(tsk_FcFinish,GanttView[[#This Row],[_Row]]))</f>
        <v/>
      </c>
      <c r="I122" s="86" t="str">
        <f aca="false">IF(IFERROR(INDEX(tsk_Name,GanttView[[#This Row],[_Row]])="",TRUE()),"",INDEX(tsk_Progress,GanttView[[#This Row],[_Row]]))</f>
        <v/>
      </c>
      <c r="J122" s="84" t="str">
        <f aca="false">IF(IFERROR(INDEX(tsk_Name,GanttView[[#This Row],[_Row]])="",TRUE()),"",INDEX(tsk_Resource,GanttView[[#This Row],[_Row]])&amp;"")</f>
        <v/>
      </c>
      <c r="K122" s="83" t="str">
        <f aca="false">IF(IFERROR(INDEX(tsk_Name,GanttView[[#This Row],[_Row]])="",TRUE()),"",INDEX(tsk_Status,GanttView[[#This Row],[_Row]]))</f>
        <v/>
      </c>
      <c r="L122" s="87" t="n">
        <f aca="false">ROW()-ROW(GanttView[[#Headers],[ID]])</f>
        <v>117</v>
      </c>
      <c r="M122" s="88" t="b">
        <f aca="false">IF(IFERROR(INDEX(tsk_Name,GanttView[[#This Row],[_Row]])="",TRUE()),FALSE(),INDEX(tsk_IsSummary,GanttView[[#This Row],[_Row]]))</f>
        <v>0</v>
      </c>
      <c r="N122" s="88" t="b">
        <f aca="false">IF(IFERROR(INDEX(tsk_Name,GanttView[[#This Row],[_Row]])="",TRUE()),FALSE(),AND(INDEX(tsk_IsLeaf,GanttView[[#This Row],[_Row]])=1,N(INDEX(tsk_Duration,GanttView[[#This Row],[_Row]]))=0))</f>
        <v>0</v>
      </c>
      <c r="O12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89" t="n">
        <f aca="false">IF(GanttView[[#This Row],[_RemFrom]]=0,0,GanttView[[#This Row],[Forecast Finish]])</f>
        <v>0</v>
      </c>
      <c r="S122" s="88" t="b">
        <f aca="false">IF(IFERROR(INDEX(tsk_Name,GanttView[[#This Row],[_Row]])="",TRUE()),FALSE(),N(INDEX(tsk_Variance,GanttView[[#This Row],[_Row]]))&gt;0)</f>
        <v>0</v>
      </c>
      <c r="T122" s="89" t="n">
        <f aca="false">IF(IFERROR(INDEX(tsk_Name,GanttView[[#This Row],[_Row]])="",TRUE()),0,N(INDEX(tsk_Deadline,GanttView[[#This Row],[_Row]])))</f>
        <v>0</v>
      </c>
      <c r="U122" s="88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83" t="str">
        <f aca="false">IF(IFERROR(INDEX(tsk_Name,GanttView[[#This Row],[_Row]])="",TRUE()),"",INDEX(tsk_ID,GanttView[[#This Row],[_Row]]))</f>
        <v/>
      </c>
      <c r="B123" s="83" t="str">
        <f aca="false">IF(IFERROR(INDEX(tsk_Name,GanttView[[#This Row],[_Row]])="",TRUE()),"",INDEX(tsk_WBS,GanttView[[#This Row],[_Row]]))</f>
        <v/>
      </c>
      <c r="C123" s="84" t="str">
        <f aca="false">IF(IFERROR(INDEX(tsk_Name,GanttView[[#This Row],[_Row]])="",TRUE()),"",REPT("    ",INDEX(tsk_Level,GanttView[[#This Row],[_Row]])-1)&amp;INDEX(tsk_Name,GanttView[[#This Row],[_Row]]))</f>
        <v/>
      </c>
      <c r="D12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85" t="str">
        <f aca="false">IF(IFERROR(INDEX(tsk_Name,GanttView[[#This Row],[_Row]])="",TRUE()),"",INDEX(tsk_PlanStart,GanttView[[#This Row],[_Row]]))</f>
        <v/>
      </c>
      <c r="F123" s="85" t="str">
        <f aca="false">IF(IFERROR(INDEX(tsk_Name,GanttView[[#This Row],[_Row]])="",TRUE()),"",INDEX(tsk_PlanFinish,GanttView[[#This Row],[_Row]]))</f>
        <v/>
      </c>
      <c r="G123" s="85" t="str">
        <f aca="false">IF(IFERROR(INDEX(tsk_Name,GanttView[[#This Row],[_Row]])="",TRUE()),"",INDEX(tsk_FcStart,GanttView[[#This Row],[_Row]]))</f>
        <v/>
      </c>
      <c r="H123" s="85" t="str">
        <f aca="false">IF(IFERROR(INDEX(tsk_Name,GanttView[[#This Row],[_Row]])="",TRUE()),"",INDEX(tsk_FcFinish,GanttView[[#This Row],[_Row]]))</f>
        <v/>
      </c>
      <c r="I123" s="86" t="str">
        <f aca="false">IF(IFERROR(INDEX(tsk_Name,GanttView[[#This Row],[_Row]])="",TRUE()),"",INDEX(tsk_Progress,GanttView[[#This Row],[_Row]]))</f>
        <v/>
      </c>
      <c r="J123" s="84" t="str">
        <f aca="false">IF(IFERROR(INDEX(tsk_Name,GanttView[[#This Row],[_Row]])="",TRUE()),"",INDEX(tsk_Resource,GanttView[[#This Row],[_Row]])&amp;"")</f>
        <v/>
      </c>
      <c r="K123" s="83" t="str">
        <f aca="false">IF(IFERROR(INDEX(tsk_Name,GanttView[[#This Row],[_Row]])="",TRUE()),"",INDEX(tsk_Status,GanttView[[#This Row],[_Row]]))</f>
        <v/>
      </c>
      <c r="L123" s="87" t="n">
        <f aca="false">ROW()-ROW(GanttView[[#Headers],[ID]])</f>
        <v>118</v>
      </c>
      <c r="M123" s="88" t="b">
        <f aca="false">IF(IFERROR(INDEX(tsk_Name,GanttView[[#This Row],[_Row]])="",TRUE()),FALSE(),INDEX(tsk_IsSummary,GanttView[[#This Row],[_Row]]))</f>
        <v>0</v>
      </c>
      <c r="N123" s="88" t="b">
        <f aca="false">IF(IFERROR(INDEX(tsk_Name,GanttView[[#This Row],[_Row]])="",TRUE()),FALSE(),AND(INDEX(tsk_IsLeaf,GanttView[[#This Row],[_Row]])=1,N(INDEX(tsk_Duration,GanttView[[#This Row],[_Row]]))=0))</f>
        <v>0</v>
      </c>
      <c r="O12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89" t="n">
        <f aca="false">IF(GanttView[[#This Row],[_RemFrom]]=0,0,GanttView[[#This Row],[Forecast Finish]])</f>
        <v>0</v>
      </c>
      <c r="S123" s="88" t="b">
        <f aca="false">IF(IFERROR(INDEX(tsk_Name,GanttView[[#This Row],[_Row]])="",TRUE()),FALSE(),N(INDEX(tsk_Variance,GanttView[[#This Row],[_Row]]))&gt;0)</f>
        <v>0</v>
      </c>
      <c r="T123" s="89" t="n">
        <f aca="false">IF(IFERROR(INDEX(tsk_Name,GanttView[[#This Row],[_Row]])="",TRUE()),0,N(INDEX(tsk_Deadline,GanttView[[#This Row],[_Row]])))</f>
        <v>0</v>
      </c>
      <c r="U123" s="88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83" t="str">
        <f aca="false">IF(IFERROR(INDEX(tsk_Name,GanttView[[#This Row],[_Row]])="",TRUE()),"",INDEX(tsk_ID,GanttView[[#This Row],[_Row]]))</f>
        <v/>
      </c>
      <c r="B124" s="83" t="str">
        <f aca="false">IF(IFERROR(INDEX(tsk_Name,GanttView[[#This Row],[_Row]])="",TRUE()),"",INDEX(tsk_WBS,GanttView[[#This Row],[_Row]]))</f>
        <v/>
      </c>
      <c r="C124" s="84" t="str">
        <f aca="false">IF(IFERROR(INDEX(tsk_Name,GanttView[[#This Row],[_Row]])="",TRUE()),"",REPT("    ",INDEX(tsk_Level,GanttView[[#This Row],[_Row]])-1)&amp;INDEX(tsk_Name,GanttView[[#This Row],[_Row]]))</f>
        <v/>
      </c>
      <c r="D12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85" t="str">
        <f aca="false">IF(IFERROR(INDEX(tsk_Name,GanttView[[#This Row],[_Row]])="",TRUE()),"",INDEX(tsk_PlanStart,GanttView[[#This Row],[_Row]]))</f>
        <v/>
      </c>
      <c r="F124" s="85" t="str">
        <f aca="false">IF(IFERROR(INDEX(tsk_Name,GanttView[[#This Row],[_Row]])="",TRUE()),"",INDEX(tsk_PlanFinish,GanttView[[#This Row],[_Row]]))</f>
        <v/>
      </c>
      <c r="G124" s="85" t="str">
        <f aca="false">IF(IFERROR(INDEX(tsk_Name,GanttView[[#This Row],[_Row]])="",TRUE()),"",INDEX(tsk_FcStart,GanttView[[#This Row],[_Row]]))</f>
        <v/>
      </c>
      <c r="H124" s="85" t="str">
        <f aca="false">IF(IFERROR(INDEX(tsk_Name,GanttView[[#This Row],[_Row]])="",TRUE()),"",INDEX(tsk_FcFinish,GanttView[[#This Row],[_Row]]))</f>
        <v/>
      </c>
      <c r="I124" s="86" t="str">
        <f aca="false">IF(IFERROR(INDEX(tsk_Name,GanttView[[#This Row],[_Row]])="",TRUE()),"",INDEX(tsk_Progress,GanttView[[#This Row],[_Row]]))</f>
        <v/>
      </c>
      <c r="J124" s="84" t="str">
        <f aca="false">IF(IFERROR(INDEX(tsk_Name,GanttView[[#This Row],[_Row]])="",TRUE()),"",INDEX(tsk_Resource,GanttView[[#This Row],[_Row]])&amp;"")</f>
        <v/>
      </c>
      <c r="K124" s="83" t="str">
        <f aca="false">IF(IFERROR(INDEX(tsk_Name,GanttView[[#This Row],[_Row]])="",TRUE()),"",INDEX(tsk_Status,GanttView[[#This Row],[_Row]]))</f>
        <v/>
      </c>
      <c r="L124" s="87" t="n">
        <f aca="false">ROW()-ROW(GanttView[[#Headers],[ID]])</f>
        <v>119</v>
      </c>
      <c r="M124" s="88" t="b">
        <f aca="false">IF(IFERROR(INDEX(tsk_Name,GanttView[[#This Row],[_Row]])="",TRUE()),FALSE(),INDEX(tsk_IsSummary,GanttView[[#This Row],[_Row]]))</f>
        <v>0</v>
      </c>
      <c r="N124" s="88" t="b">
        <f aca="false">IF(IFERROR(INDEX(tsk_Name,GanttView[[#This Row],[_Row]])="",TRUE()),FALSE(),AND(INDEX(tsk_IsLeaf,GanttView[[#This Row],[_Row]])=1,N(INDEX(tsk_Duration,GanttView[[#This Row],[_Row]]))=0))</f>
        <v>0</v>
      </c>
      <c r="O12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89" t="n">
        <f aca="false">IF(GanttView[[#This Row],[_RemFrom]]=0,0,GanttView[[#This Row],[Forecast Finish]])</f>
        <v>0</v>
      </c>
      <c r="S124" s="88" t="b">
        <f aca="false">IF(IFERROR(INDEX(tsk_Name,GanttView[[#This Row],[_Row]])="",TRUE()),FALSE(),N(INDEX(tsk_Variance,GanttView[[#This Row],[_Row]]))&gt;0)</f>
        <v>0</v>
      </c>
      <c r="T124" s="89" t="n">
        <f aca="false">IF(IFERROR(INDEX(tsk_Name,GanttView[[#This Row],[_Row]])="",TRUE()),0,N(INDEX(tsk_Deadline,GanttView[[#This Row],[_Row]])))</f>
        <v>0</v>
      </c>
      <c r="U124" s="88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83" t="str">
        <f aca="false">IF(IFERROR(INDEX(tsk_Name,GanttView[[#This Row],[_Row]])="",TRUE()),"",INDEX(tsk_ID,GanttView[[#This Row],[_Row]]))</f>
        <v/>
      </c>
      <c r="B125" s="83" t="str">
        <f aca="false">IF(IFERROR(INDEX(tsk_Name,GanttView[[#This Row],[_Row]])="",TRUE()),"",INDEX(tsk_WBS,GanttView[[#This Row],[_Row]]))</f>
        <v/>
      </c>
      <c r="C125" s="84" t="str">
        <f aca="false">IF(IFERROR(INDEX(tsk_Name,GanttView[[#This Row],[_Row]])="",TRUE()),"",REPT("    ",INDEX(tsk_Level,GanttView[[#This Row],[_Row]])-1)&amp;INDEX(tsk_Name,GanttView[[#This Row],[_Row]]))</f>
        <v/>
      </c>
      <c r="D12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85" t="str">
        <f aca="false">IF(IFERROR(INDEX(tsk_Name,GanttView[[#This Row],[_Row]])="",TRUE()),"",INDEX(tsk_PlanStart,GanttView[[#This Row],[_Row]]))</f>
        <v/>
      </c>
      <c r="F125" s="85" t="str">
        <f aca="false">IF(IFERROR(INDEX(tsk_Name,GanttView[[#This Row],[_Row]])="",TRUE()),"",INDEX(tsk_PlanFinish,GanttView[[#This Row],[_Row]]))</f>
        <v/>
      </c>
      <c r="G125" s="85" t="str">
        <f aca="false">IF(IFERROR(INDEX(tsk_Name,GanttView[[#This Row],[_Row]])="",TRUE()),"",INDEX(tsk_FcStart,GanttView[[#This Row],[_Row]]))</f>
        <v/>
      </c>
      <c r="H125" s="85" t="str">
        <f aca="false">IF(IFERROR(INDEX(tsk_Name,GanttView[[#This Row],[_Row]])="",TRUE()),"",INDEX(tsk_FcFinish,GanttView[[#This Row],[_Row]]))</f>
        <v/>
      </c>
      <c r="I125" s="86" t="str">
        <f aca="false">IF(IFERROR(INDEX(tsk_Name,GanttView[[#This Row],[_Row]])="",TRUE()),"",INDEX(tsk_Progress,GanttView[[#This Row],[_Row]]))</f>
        <v/>
      </c>
      <c r="J125" s="84" t="str">
        <f aca="false">IF(IFERROR(INDEX(tsk_Name,GanttView[[#This Row],[_Row]])="",TRUE()),"",INDEX(tsk_Resource,GanttView[[#This Row],[_Row]])&amp;"")</f>
        <v/>
      </c>
      <c r="K125" s="83" t="str">
        <f aca="false">IF(IFERROR(INDEX(tsk_Name,GanttView[[#This Row],[_Row]])="",TRUE()),"",INDEX(tsk_Status,GanttView[[#This Row],[_Row]]))</f>
        <v/>
      </c>
      <c r="L125" s="87" t="n">
        <f aca="false">ROW()-ROW(GanttView[[#Headers],[ID]])</f>
        <v>120</v>
      </c>
      <c r="M125" s="88" t="b">
        <f aca="false">IF(IFERROR(INDEX(tsk_Name,GanttView[[#This Row],[_Row]])="",TRUE()),FALSE(),INDEX(tsk_IsSummary,GanttView[[#This Row],[_Row]]))</f>
        <v>0</v>
      </c>
      <c r="N125" s="88" t="b">
        <f aca="false">IF(IFERROR(INDEX(tsk_Name,GanttView[[#This Row],[_Row]])="",TRUE()),FALSE(),AND(INDEX(tsk_IsLeaf,GanttView[[#This Row],[_Row]])=1,N(INDEX(tsk_Duration,GanttView[[#This Row],[_Row]]))=0))</f>
        <v>0</v>
      </c>
      <c r="O12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89" t="n">
        <f aca="false">IF(GanttView[[#This Row],[_RemFrom]]=0,0,GanttView[[#This Row],[Forecast Finish]])</f>
        <v>0</v>
      </c>
      <c r="S125" s="88" t="b">
        <f aca="false">IF(IFERROR(INDEX(tsk_Name,GanttView[[#This Row],[_Row]])="",TRUE()),FALSE(),N(INDEX(tsk_Variance,GanttView[[#This Row],[_Row]]))&gt;0)</f>
        <v>0</v>
      </c>
      <c r="T125" s="89" t="n">
        <f aca="false">IF(IFERROR(INDEX(tsk_Name,GanttView[[#This Row],[_Row]])="",TRUE()),0,N(INDEX(tsk_Deadline,GanttView[[#This Row],[_Row]])))</f>
        <v>0</v>
      </c>
      <c r="U125" s="88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83" t="str">
        <f aca="false">IF(IFERROR(INDEX(tsk_Name,GanttView[[#This Row],[_Row]])="",TRUE()),"",INDEX(tsk_ID,GanttView[[#This Row],[_Row]]))</f>
        <v/>
      </c>
      <c r="B126" s="83" t="str">
        <f aca="false">IF(IFERROR(INDEX(tsk_Name,GanttView[[#This Row],[_Row]])="",TRUE()),"",INDEX(tsk_WBS,GanttView[[#This Row],[_Row]]))</f>
        <v/>
      </c>
      <c r="C126" s="84" t="str">
        <f aca="false">IF(IFERROR(INDEX(tsk_Name,GanttView[[#This Row],[_Row]])="",TRUE()),"",REPT("    ",INDEX(tsk_Level,GanttView[[#This Row],[_Row]])-1)&amp;INDEX(tsk_Name,GanttView[[#This Row],[_Row]]))</f>
        <v/>
      </c>
      <c r="D12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85" t="str">
        <f aca="false">IF(IFERROR(INDEX(tsk_Name,GanttView[[#This Row],[_Row]])="",TRUE()),"",INDEX(tsk_PlanStart,GanttView[[#This Row],[_Row]]))</f>
        <v/>
      </c>
      <c r="F126" s="85" t="str">
        <f aca="false">IF(IFERROR(INDEX(tsk_Name,GanttView[[#This Row],[_Row]])="",TRUE()),"",INDEX(tsk_PlanFinish,GanttView[[#This Row],[_Row]]))</f>
        <v/>
      </c>
      <c r="G126" s="85" t="str">
        <f aca="false">IF(IFERROR(INDEX(tsk_Name,GanttView[[#This Row],[_Row]])="",TRUE()),"",INDEX(tsk_FcStart,GanttView[[#This Row],[_Row]]))</f>
        <v/>
      </c>
      <c r="H126" s="85" t="str">
        <f aca="false">IF(IFERROR(INDEX(tsk_Name,GanttView[[#This Row],[_Row]])="",TRUE()),"",INDEX(tsk_FcFinish,GanttView[[#This Row],[_Row]]))</f>
        <v/>
      </c>
      <c r="I126" s="86" t="str">
        <f aca="false">IF(IFERROR(INDEX(tsk_Name,GanttView[[#This Row],[_Row]])="",TRUE()),"",INDEX(tsk_Progress,GanttView[[#This Row],[_Row]]))</f>
        <v/>
      </c>
      <c r="J126" s="84" t="str">
        <f aca="false">IF(IFERROR(INDEX(tsk_Name,GanttView[[#This Row],[_Row]])="",TRUE()),"",INDEX(tsk_Resource,GanttView[[#This Row],[_Row]])&amp;"")</f>
        <v/>
      </c>
      <c r="K126" s="83" t="str">
        <f aca="false">IF(IFERROR(INDEX(tsk_Name,GanttView[[#This Row],[_Row]])="",TRUE()),"",INDEX(tsk_Status,GanttView[[#This Row],[_Row]]))</f>
        <v/>
      </c>
      <c r="L126" s="87" t="n">
        <f aca="false">ROW()-ROW(GanttView[[#Headers],[ID]])</f>
        <v>121</v>
      </c>
      <c r="M126" s="88" t="b">
        <f aca="false">IF(IFERROR(INDEX(tsk_Name,GanttView[[#This Row],[_Row]])="",TRUE()),FALSE(),INDEX(tsk_IsSummary,GanttView[[#This Row],[_Row]]))</f>
        <v>0</v>
      </c>
      <c r="N126" s="88" t="b">
        <f aca="false">IF(IFERROR(INDEX(tsk_Name,GanttView[[#This Row],[_Row]])="",TRUE()),FALSE(),AND(INDEX(tsk_IsLeaf,GanttView[[#This Row],[_Row]])=1,N(INDEX(tsk_Duration,GanttView[[#This Row],[_Row]]))=0))</f>
        <v>0</v>
      </c>
      <c r="O12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89" t="n">
        <f aca="false">IF(GanttView[[#This Row],[_RemFrom]]=0,0,GanttView[[#This Row],[Forecast Finish]])</f>
        <v>0</v>
      </c>
      <c r="S126" s="88" t="b">
        <f aca="false">IF(IFERROR(INDEX(tsk_Name,GanttView[[#This Row],[_Row]])="",TRUE()),FALSE(),N(INDEX(tsk_Variance,GanttView[[#This Row],[_Row]]))&gt;0)</f>
        <v>0</v>
      </c>
      <c r="T126" s="89" t="n">
        <f aca="false">IF(IFERROR(INDEX(tsk_Name,GanttView[[#This Row],[_Row]])="",TRUE()),0,N(INDEX(tsk_Deadline,GanttView[[#This Row],[_Row]])))</f>
        <v>0</v>
      </c>
      <c r="U126" s="88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83" t="str">
        <f aca="false">IF(IFERROR(INDEX(tsk_Name,GanttView[[#This Row],[_Row]])="",TRUE()),"",INDEX(tsk_ID,GanttView[[#This Row],[_Row]]))</f>
        <v/>
      </c>
      <c r="B127" s="83" t="str">
        <f aca="false">IF(IFERROR(INDEX(tsk_Name,GanttView[[#This Row],[_Row]])="",TRUE()),"",INDEX(tsk_WBS,GanttView[[#This Row],[_Row]]))</f>
        <v/>
      </c>
      <c r="C127" s="84" t="str">
        <f aca="false">IF(IFERROR(INDEX(tsk_Name,GanttView[[#This Row],[_Row]])="",TRUE()),"",REPT("    ",INDEX(tsk_Level,GanttView[[#This Row],[_Row]])-1)&amp;INDEX(tsk_Name,GanttView[[#This Row],[_Row]]))</f>
        <v/>
      </c>
      <c r="D12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85" t="str">
        <f aca="false">IF(IFERROR(INDEX(tsk_Name,GanttView[[#This Row],[_Row]])="",TRUE()),"",INDEX(tsk_PlanStart,GanttView[[#This Row],[_Row]]))</f>
        <v/>
      </c>
      <c r="F127" s="85" t="str">
        <f aca="false">IF(IFERROR(INDEX(tsk_Name,GanttView[[#This Row],[_Row]])="",TRUE()),"",INDEX(tsk_PlanFinish,GanttView[[#This Row],[_Row]]))</f>
        <v/>
      </c>
      <c r="G127" s="85" t="str">
        <f aca="false">IF(IFERROR(INDEX(tsk_Name,GanttView[[#This Row],[_Row]])="",TRUE()),"",INDEX(tsk_FcStart,GanttView[[#This Row],[_Row]]))</f>
        <v/>
      </c>
      <c r="H127" s="85" t="str">
        <f aca="false">IF(IFERROR(INDEX(tsk_Name,GanttView[[#This Row],[_Row]])="",TRUE()),"",INDEX(tsk_FcFinish,GanttView[[#This Row],[_Row]]))</f>
        <v/>
      </c>
      <c r="I127" s="86" t="str">
        <f aca="false">IF(IFERROR(INDEX(tsk_Name,GanttView[[#This Row],[_Row]])="",TRUE()),"",INDEX(tsk_Progress,GanttView[[#This Row],[_Row]]))</f>
        <v/>
      </c>
      <c r="J127" s="84" t="str">
        <f aca="false">IF(IFERROR(INDEX(tsk_Name,GanttView[[#This Row],[_Row]])="",TRUE()),"",INDEX(tsk_Resource,GanttView[[#This Row],[_Row]])&amp;"")</f>
        <v/>
      </c>
      <c r="K127" s="83" t="str">
        <f aca="false">IF(IFERROR(INDEX(tsk_Name,GanttView[[#This Row],[_Row]])="",TRUE()),"",INDEX(tsk_Status,GanttView[[#This Row],[_Row]]))</f>
        <v/>
      </c>
      <c r="L127" s="87" t="n">
        <f aca="false">ROW()-ROW(GanttView[[#Headers],[ID]])</f>
        <v>122</v>
      </c>
      <c r="M127" s="88" t="b">
        <f aca="false">IF(IFERROR(INDEX(tsk_Name,GanttView[[#This Row],[_Row]])="",TRUE()),FALSE(),INDEX(tsk_IsSummary,GanttView[[#This Row],[_Row]]))</f>
        <v>0</v>
      </c>
      <c r="N127" s="88" t="b">
        <f aca="false">IF(IFERROR(INDEX(tsk_Name,GanttView[[#This Row],[_Row]])="",TRUE()),FALSE(),AND(INDEX(tsk_IsLeaf,GanttView[[#This Row],[_Row]])=1,N(INDEX(tsk_Duration,GanttView[[#This Row],[_Row]]))=0))</f>
        <v>0</v>
      </c>
      <c r="O12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89" t="n">
        <f aca="false">IF(GanttView[[#This Row],[_RemFrom]]=0,0,GanttView[[#This Row],[Forecast Finish]])</f>
        <v>0</v>
      </c>
      <c r="S127" s="88" t="b">
        <f aca="false">IF(IFERROR(INDEX(tsk_Name,GanttView[[#This Row],[_Row]])="",TRUE()),FALSE(),N(INDEX(tsk_Variance,GanttView[[#This Row],[_Row]]))&gt;0)</f>
        <v>0</v>
      </c>
      <c r="T127" s="89" t="n">
        <f aca="false">IF(IFERROR(INDEX(tsk_Name,GanttView[[#This Row],[_Row]])="",TRUE()),0,N(INDEX(tsk_Deadline,GanttView[[#This Row],[_Row]])))</f>
        <v>0</v>
      </c>
      <c r="U127" s="88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83" t="str">
        <f aca="false">IF(IFERROR(INDEX(tsk_Name,GanttView[[#This Row],[_Row]])="",TRUE()),"",INDEX(tsk_ID,GanttView[[#This Row],[_Row]]))</f>
        <v/>
      </c>
      <c r="B128" s="83" t="str">
        <f aca="false">IF(IFERROR(INDEX(tsk_Name,GanttView[[#This Row],[_Row]])="",TRUE()),"",INDEX(tsk_WBS,GanttView[[#This Row],[_Row]]))</f>
        <v/>
      </c>
      <c r="C128" s="84" t="str">
        <f aca="false">IF(IFERROR(INDEX(tsk_Name,GanttView[[#This Row],[_Row]])="",TRUE()),"",REPT("    ",INDEX(tsk_Level,GanttView[[#This Row],[_Row]])-1)&amp;INDEX(tsk_Name,GanttView[[#This Row],[_Row]]))</f>
        <v/>
      </c>
      <c r="D12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85" t="str">
        <f aca="false">IF(IFERROR(INDEX(tsk_Name,GanttView[[#This Row],[_Row]])="",TRUE()),"",INDEX(tsk_PlanStart,GanttView[[#This Row],[_Row]]))</f>
        <v/>
      </c>
      <c r="F128" s="85" t="str">
        <f aca="false">IF(IFERROR(INDEX(tsk_Name,GanttView[[#This Row],[_Row]])="",TRUE()),"",INDEX(tsk_PlanFinish,GanttView[[#This Row],[_Row]]))</f>
        <v/>
      </c>
      <c r="G128" s="85" t="str">
        <f aca="false">IF(IFERROR(INDEX(tsk_Name,GanttView[[#This Row],[_Row]])="",TRUE()),"",INDEX(tsk_FcStart,GanttView[[#This Row],[_Row]]))</f>
        <v/>
      </c>
      <c r="H128" s="85" t="str">
        <f aca="false">IF(IFERROR(INDEX(tsk_Name,GanttView[[#This Row],[_Row]])="",TRUE()),"",INDEX(tsk_FcFinish,GanttView[[#This Row],[_Row]]))</f>
        <v/>
      </c>
      <c r="I128" s="86" t="str">
        <f aca="false">IF(IFERROR(INDEX(tsk_Name,GanttView[[#This Row],[_Row]])="",TRUE()),"",INDEX(tsk_Progress,GanttView[[#This Row],[_Row]]))</f>
        <v/>
      </c>
      <c r="J128" s="84" t="str">
        <f aca="false">IF(IFERROR(INDEX(tsk_Name,GanttView[[#This Row],[_Row]])="",TRUE()),"",INDEX(tsk_Resource,GanttView[[#This Row],[_Row]])&amp;"")</f>
        <v/>
      </c>
      <c r="K128" s="83" t="str">
        <f aca="false">IF(IFERROR(INDEX(tsk_Name,GanttView[[#This Row],[_Row]])="",TRUE()),"",INDEX(tsk_Status,GanttView[[#This Row],[_Row]]))</f>
        <v/>
      </c>
      <c r="L128" s="87" t="n">
        <f aca="false">ROW()-ROW(GanttView[[#Headers],[ID]])</f>
        <v>123</v>
      </c>
      <c r="M128" s="88" t="b">
        <f aca="false">IF(IFERROR(INDEX(tsk_Name,GanttView[[#This Row],[_Row]])="",TRUE()),FALSE(),INDEX(tsk_IsSummary,GanttView[[#This Row],[_Row]]))</f>
        <v>0</v>
      </c>
      <c r="N128" s="88" t="b">
        <f aca="false">IF(IFERROR(INDEX(tsk_Name,GanttView[[#This Row],[_Row]])="",TRUE()),FALSE(),AND(INDEX(tsk_IsLeaf,GanttView[[#This Row],[_Row]])=1,N(INDEX(tsk_Duration,GanttView[[#This Row],[_Row]]))=0))</f>
        <v>0</v>
      </c>
      <c r="O12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89" t="n">
        <f aca="false">IF(GanttView[[#This Row],[_RemFrom]]=0,0,GanttView[[#This Row],[Forecast Finish]])</f>
        <v>0</v>
      </c>
      <c r="S128" s="88" t="b">
        <f aca="false">IF(IFERROR(INDEX(tsk_Name,GanttView[[#This Row],[_Row]])="",TRUE()),FALSE(),N(INDEX(tsk_Variance,GanttView[[#This Row],[_Row]]))&gt;0)</f>
        <v>0</v>
      </c>
      <c r="T128" s="89" t="n">
        <f aca="false">IF(IFERROR(INDEX(tsk_Name,GanttView[[#This Row],[_Row]])="",TRUE()),0,N(INDEX(tsk_Deadline,GanttView[[#This Row],[_Row]])))</f>
        <v>0</v>
      </c>
      <c r="U128" s="88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83" t="str">
        <f aca="false">IF(IFERROR(INDEX(tsk_Name,GanttView[[#This Row],[_Row]])="",TRUE()),"",INDEX(tsk_ID,GanttView[[#This Row],[_Row]]))</f>
        <v/>
      </c>
      <c r="B129" s="83" t="str">
        <f aca="false">IF(IFERROR(INDEX(tsk_Name,GanttView[[#This Row],[_Row]])="",TRUE()),"",INDEX(tsk_WBS,GanttView[[#This Row],[_Row]]))</f>
        <v/>
      </c>
      <c r="C129" s="84" t="str">
        <f aca="false">IF(IFERROR(INDEX(tsk_Name,GanttView[[#This Row],[_Row]])="",TRUE()),"",REPT("    ",INDEX(tsk_Level,GanttView[[#This Row],[_Row]])-1)&amp;INDEX(tsk_Name,GanttView[[#This Row],[_Row]]))</f>
        <v/>
      </c>
      <c r="D12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85" t="str">
        <f aca="false">IF(IFERROR(INDEX(tsk_Name,GanttView[[#This Row],[_Row]])="",TRUE()),"",INDEX(tsk_PlanStart,GanttView[[#This Row],[_Row]]))</f>
        <v/>
      </c>
      <c r="F129" s="85" t="str">
        <f aca="false">IF(IFERROR(INDEX(tsk_Name,GanttView[[#This Row],[_Row]])="",TRUE()),"",INDEX(tsk_PlanFinish,GanttView[[#This Row],[_Row]]))</f>
        <v/>
      </c>
      <c r="G129" s="85" t="str">
        <f aca="false">IF(IFERROR(INDEX(tsk_Name,GanttView[[#This Row],[_Row]])="",TRUE()),"",INDEX(tsk_FcStart,GanttView[[#This Row],[_Row]]))</f>
        <v/>
      </c>
      <c r="H129" s="85" t="str">
        <f aca="false">IF(IFERROR(INDEX(tsk_Name,GanttView[[#This Row],[_Row]])="",TRUE()),"",INDEX(tsk_FcFinish,GanttView[[#This Row],[_Row]]))</f>
        <v/>
      </c>
      <c r="I129" s="86" t="str">
        <f aca="false">IF(IFERROR(INDEX(tsk_Name,GanttView[[#This Row],[_Row]])="",TRUE()),"",INDEX(tsk_Progress,GanttView[[#This Row],[_Row]]))</f>
        <v/>
      </c>
      <c r="J129" s="84" t="str">
        <f aca="false">IF(IFERROR(INDEX(tsk_Name,GanttView[[#This Row],[_Row]])="",TRUE()),"",INDEX(tsk_Resource,GanttView[[#This Row],[_Row]])&amp;"")</f>
        <v/>
      </c>
      <c r="K129" s="83" t="str">
        <f aca="false">IF(IFERROR(INDEX(tsk_Name,GanttView[[#This Row],[_Row]])="",TRUE()),"",INDEX(tsk_Status,GanttView[[#This Row],[_Row]]))</f>
        <v/>
      </c>
      <c r="L129" s="87" t="n">
        <f aca="false">ROW()-ROW(GanttView[[#Headers],[ID]])</f>
        <v>124</v>
      </c>
      <c r="M129" s="88" t="b">
        <f aca="false">IF(IFERROR(INDEX(tsk_Name,GanttView[[#This Row],[_Row]])="",TRUE()),FALSE(),INDEX(tsk_IsSummary,GanttView[[#This Row],[_Row]]))</f>
        <v>0</v>
      </c>
      <c r="N129" s="88" t="b">
        <f aca="false">IF(IFERROR(INDEX(tsk_Name,GanttView[[#This Row],[_Row]])="",TRUE()),FALSE(),AND(INDEX(tsk_IsLeaf,GanttView[[#This Row],[_Row]])=1,N(INDEX(tsk_Duration,GanttView[[#This Row],[_Row]]))=0))</f>
        <v>0</v>
      </c>
      <c r="O12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89" t="n">
        <f aca="false">IF(GanttView[[#This Row],[_RemFrom]]=0,0,GanttView[[#This Row],[Forecast Finish]])</f>
        <v>0</v>
      </c>
      <c r="S129" s="88" t="b">
        <f aca="false">IF(IFERROR(INDEX(tsk_Name,GanttView[[#This Row],[_Row]])="",TRUE()),FALSE(),N(INDEX(tsk_Variance,GanttView[[#This Row],[_Row]]))&gt;0)</f>
        <v>0</v>
      </c>
      <c r="T129" s="89" t="n">
        <f aca="false">IF(IFERROR(INDEX(tsk_Name,GanttView[[#This Row],[_Row]])="",TRUE()),0,N(INDEX(tsk_Deadline,GanttView[[#This Row],[_Row]])))</f>
        <v>0</v>
      </c>
      <c r="U129" s="88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83" t="str">
        <f aca="false">IF(IFERROR(INDEX(tsk_Name,GanttView[[#This Row],[_Row]])="",TRUE()),"",INDEX(tsk_ID,GanttView[[#This Row],[_Row]]))</f>
        <v/>
      </c>
      <c r="B130" s="83" t="str">
        <f aca="false">IF(IFERROR(INDEX(tsk_Name,GanttView[[#This Row],[_Row]])="",TRUE()),"",INDEX(tsk_WBS,GanttView[[#This Row],[_Row]]))</f>
        <v/>
      </c>
      <c r="C130" s="84" t="str">
        <f aca="false">IF(IFERROR(INDEX(tsk_Name,GanttView[[#This Row],[_Row]])="",TRUE()),"",REPT("    ",INDEX(tsk_Level,GanttView[[#This Row],[_Row]])-1)&amp;INDEX(tsk_Name,GanttView[[#This Row],[_Row]]))</f>
        <v/>
      </c>
      <c r="D13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85" t="str">
        <f aca="false">IF(IFERROR(INDEX(tsk_Name,GanttView[[#This Row],[_Row]])="",TRUE()),"",INDEX(tsk_PlanStart,GanttView[[#This Row],[_Row]]))</f>
        <v/>
      </c>
      <c r="F130" s="85" t="str">
        <f aca="false">IF(IFERROR(INDEX(tsk_Name,GanttView[[#This Row],[_Row]])="",TRUE()),"",INDEX(tsk_PlanFinish,GanttView[[#This Row],[_Row]]))</f>
        <v/>
      </c>
      <c r="G130" s="85" t="str">
        <f aca="false">IF(IFERROR(INDEX(tsk_Name,GanttView[[#This Row],[_Row]])="",TRUE()),"",INDEX(tsk_FcStart,GanttView[[#This Row],[_Row]]))</f>
        <v/>
      </c>
      <c r="H130" s="85" t="str">
        <f aca="false">IF(IFERROR(INDEX(tsk_Name,GanttView[[#This Row],[_Row]])="",TRUE()),"",INDEX(tsk_FcFinish,GanttView[[#This Row],[_Row]]))</f>
        <v/>
      </c>
      <c r="I130" s="86" t="str">
        <f aca="false">IF(IFERROR(INDEX(tsk_Name,GanttView[[#This Row],[_Row]])="",TRUE()),"",INDEX(tsk_Progress,GanttView[[#This Row],[_Row]]))</f>
        <v/>
      </c>
      <c r="J130" s="84" t="str">
        <f aca="false">IF(IFERROR(INDEX(tsk_Name,GanttView[[#This Row],[_Row]])="",TRUE()),"",INDEX(tsk_Resource,GanttView[[#This Row],[_Row]])&amp;"")</f>
        <v/>
      </c>
      <c r="K130" s="83" t="str">
        <f aca="false">IF(IFERROR(INDEX(tsk_Name,GanttView[[#This Row],[_Row]])="",TRUE()),"",INDEX(tsk_Status,GanttView[[#This Row],[_Row]]))</f>
        <v/>
      </c>
      <c r="L130" s="87" t="n">
        <f aca="false">ROW()-ROW(GanttView[[#Headers],[ID]])</f>
        <v>125</v>
      </c>
      <c r="M130" s="88" t="b">
        <f aca="false">IF(IFERROR(INDEX(tsk_Name,GanttView[[#This Row],[_Row]])="",TRUE()),FALSE(),INDEX(tsk_IsSummary,GanttView[[#This Row],[_Row]]))</f>
        <v>0</v>
      </c>
      <c r="N130" s="88" t="b">
        <f aca="false">IF(IFERROR(INDEX(tsk_Name,GanttView[[#This Row],[_Row]])="",TRUE()),FALSE(),AND(INDEX(tsk_IsLeaf,GanttView[[#This Row],[_Row]])=1,N(INDEX(tsk_Duration,GanttView[[#This Row],[_Row]]))=0))</f>
        <v>0</v>
      </c>
      <c r="O13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89" t="n">
        <f aca="false">IF(GanttView[[#This Row],[_RemFrom]]=0,0,GanttView[[#This Row],[Forecast Finish]])</f>
        <v>0</v>
      </c>
      <c r="S130" s="88" t="b">
        <f aca="false">IF(IFERROR(INDEX(tsk_Name,GanttView[[#This Row],[_Row]])="",TRUE()),FALSE(),N(INDEX(tsk_Variance,GanttView[[#This Row],[_Row]]))&gt;0)</f>
        <v>0</v>
      </c>
      <c r="T130" s="89" t="n">
        <f aca="false">IF(IFERROR(INDEX(tsk_Name,GanttView[[#This Row],[_Row]])="",TRUE()),0,N(INDEX(tsk_Deadline,GanttView[[#This Row],[_Row]])))</f>
        <v>0</v>
      </c>
      <c r="U130" s="88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83" t="str">
        <f aca="false">IF(IFERROR(INDEX(tsk_Name,GanttView[[#This Row],[_Row]])="",TRUE()),"",INDEX(tsk_ID,GanttView[[#This Row],[_Row]]))</f>
        <v/>
      </c>
      <c r="B131" s="83" t="str">
        <f aca="false">IF(IFERROR(INDEX(tsk_Name,GanttView[[#This Row],[_Row]])="",TRUE()),"",INDEX(tsk_WBS,GanttView[[#This Row],[_Row]]))</f>
        <v/>
      </c>
      <c r="C131" s="84" t="str">
        <f aca="false">IF(IFERROR(INDEX(tsk_Name,GanttView[[#This Row],[_Row]])="",TRUE()),"",REPT("    ",INDEX(tsk_Level,GanttView[[#This Row],[_Row]])-1)&amp;INDEX(tsk_Name,GanttView[[#This Row],[_Row]]))</f>
        <v/>
      </c>
      <c r="D13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85" t="str">
        <f aca="false">IF(IFERROR(INDEX(tsk_Name,GanttView[[#This Row],[_Row]])="",TRUE()),"",INDEX(tsk_PlanStart,GanttView[[#This Row],[_Row]]))</f>
        <v/>
      </c>
      <c r="F131" s="85" t="str">
        <f aca="false">IF(IFERROR(INDEX(tsk_Name,GanttView[[#This Row],[_Row]])="",TRUE()),"",INDEX(tsk_PlanFinish,GanttView[[#This Row],[_Row]]))</f>
        <v/>
      </c>
      <c r="G131" s="85" t="str">
        <f aca="false">IF(IFERROR(INDEX(tsk_Name,GanttView[[#This Row],[_Row]])="",TRUE()),"",INDEX(tsk_FcStart,GanttView[[#This Row],[_Row]]))</f>
        <v/>
      </c>
      <c r="H131" s="85" t="str">
        <f aca="false">IF(IFERROR(INDEX(tsk_Name,GanttView[[#This Row],[_Row]])="",TRUE()),"",INDEX(tsk_FcFinish,GanttView[[#This Row],[_Row]]))</f>
        <v/>
      </c>
      <c r="I131" s="86" t="str">
        <f aca="false">IF(IFERROR(INDEX(tsk_Name,GanttView[[#This Row],[_Row]])="",TRUE()),"",INDEX(tsk_Progress,GanttView[[#This Row],[_Row]]))</f>
        <v/>
      </c>
      <c r="J131" s="84" t="str">
        <f aca="false">IF(IFERROR(INDEX(tsk_Name,GanttView[[#This Row],[_Row]])="",TRUE()),"",INDEX(tsk_Resource,GanttView[[#This Row],[_Row]])&amp;"")</f>
        <v/>
      </c>
      <c r="K131" s="83" t="str">
        <f aca="false">IF(IFERROR(INDEX(tsk_Name,GanttView[[#This Row],[_Row]])="",TRUE()),"",INDEX(tsk_Status,GanttView[[#This Row],[_Row]]))</f>
        <v/>
      </c>
      <c r="L131" s="87" t="n">
        <f aca="false">ROW()-ROW(GanttView[[#Headers],[ID]])</f>
        <v>126</v>
      </c>
      <c r="M131" s="88" t="b">
        <f aca="false">IF(IFERROR(INDEX(tsk_Name,GanttView[[#This Row],[_Row]])="",TRUE()),FALSE(),INDEX(tsk_IsSummary,GanttView[[#This Row],[_Row]]))</f>
        <v>0</v>
      </c>
      <c r="N131" s="88" t="b">
        <f aca="false">IF(IFERROR(INDEX(tsk_Name,GanttView[[#This Row],[_Row]])="",TRUE()),FALSE(),AND(INDEX(tsk_IsLeaf,GanttView[[#This Row],[_Row]])=1,N(INDEX(tsk_Duration,GanttView[[#This Row],[_Row]]))=0))</f>
        <v>0</v>
      </c>
      <c r="O13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89" t="n">
        <f aca="false">IF(GanttView[[#This Row],[_RemFrom]]=0,0,GanttView[[#This Row],[Forecast Finish]])</f>
        <v>0</v>
      </c>
      <c r="S131" s="88" t="b">
        <f aca="false">IF(IFERROR(INDEX(tsk_Name,GanttView[[#This Row],[_Row]])="",TRUE()),FALSE(),N(INDEX(tsk_Variance,GanttView[[#This Row],[_Row]]))&gt;0)</f>
        <v>0</v>
      </c>
      <c r="T131" s="89" t="n">
        <f aca="false">IF(IFERROR(INDEX(tsk_Name,GanttView[[#This Row],[_Row]])="",TRUE()),0,N(INDEX(tsk_Deadline,GanttView[[#This Row],[_Row]])))</f>
        <v>0</v>
      </c>
      <c r="U131" s="88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83" t="str">
        <f aca="false">IF(IFERROR(INDEX(tsk_Name,GanttView[[#This Row],[_Row]])="",TRUE()),"",INDEX(tsk_ID,GanttView[[#This Row],[_Row]]))</f>
        <v/>
      </c>
      <c r="B132" s="83" t="str">
        <f aca="false">IF(IFERROR(INDEX(tsk_Name,GanttView[[#This Row],[_Row]])="",TRUE()),"",INDEX(tsk_WBS,GanttView[[#This Row],[_Row]]))</f>
        <v/>
      </c>
      <c r="C132" s="84" t="str">
        <f aca="false">IF(IFERROR(INDEX(tsk_Name,GanttView[[#This Row],[_Row]])="",TRUE()),"",REPT("    ",INDEX(tsk_Level,GanttView[[#This Row],[_Row]])-1)&amp;INDEX(tsk_Name,GanttView[[#This Row],[_Row]]))</f>
        <v/>
      </c>
      <c r="D13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85" t="str">
        <f aca="false">IF(IFERROR(INDEX(tsk_Name,GanttView[[#This Row],[_Row]])="",TRUE()),"",INDEX(tsk_PlanStart,GanttView[[#This Row],[_Row]]))</f>
        <v/>
      </c>
      <c r="F132" s="85" t="str">
        <f aca="false">IF(IFERROR(INDEX(tsk_Name,GanttView[[#This Row],[_Row]])="",TRUE()),"",INDEX(tsk_PlanFinish,GanttView[[#This Row],[_Row]]))</f>
        <v/>
      </c>
      <c r="G132" s="85" t="str">
        <f aca="false">IF(IFERROR(INDEX(tsk_Name,GanttView[[#This Row],[_Row]])="",TRUE()),"",INDEX(tsk_FcStart,GanttView[[#This Row],[_Row]]))</f>
        <v/>
      </c>
      <c r="H132" s="85" t="str">
        <f aca="false">IF(IFERROR(INDEX(tsk_Name,GanttView[[#This Row],[_Row]])="",TRUE()),"",INDEX(tsk_FcFinish,GanttView[[#This Row],[_Row]]))</f>
        <v/>
      </c>
      <c r="I132" s="86" t="str">
        <f aca="false">IF(IFERROR(INDEX(tsk_Name,GanttView[[#This Row],[_Row]])="",TRUE()),"",INDEX(tsk_Progress,GanttView[[#This Row],[_Row]]))</f>
        <v/>
      </c>
      <c r="J132" s="84" t="str">
        <f aca="false">IF(IFERROR(INDEX(tsk_Name,GanttView[[#This Row],[_Row]])="",TRUE()),"",INDEX(tsk_Resource,GanttView[[#This Row],[_Row]])&amp;"")</f>
        <v/>
      </c>
      <c r="K132" s="83" t="str">
        <f aca="false">IF(IFERROR(INDEX(tsk_Name,GanttView[[#This Row],[_Row]])="",TRUE()),"",INDEX(tsk_Status,GanttView[[#This Row],[_Row]]))</f>
        <v/>
      </c>
      <c r="L132" s="87" t="n">
        <f aca="false">ROW()-ROW(GanttView[[#Headers],[ID]])</f>
        <v>127</v>
      </c>
      <c r="M132" s="88" t="b">
        <f aca="false">IF(IFERROR(INDEX(tsk_Name,GanttView[[#This Row],[_Row]])="",TRUE()),FALSE(),INDEX(tsk_IsSummary,GanttView[[#This Row],[_Row]]))</f>
        <v>0</v>
      </c>
      <c r="N132" s="88" t="b">
        <f aca="false">IF(IFERROR(INDEX(tsk_Name,GanttView[[#This Row],[_Row]])="",TRUE()),FALSE(),AND(INDEX(tsk_IsLeaf,GanttView[[#This Row],[_Row]])=1,N(INDEX(tsk_Duration,GanttView[[#This Row],[_Row]]))=0))</f>
        <v>0</v>
      </c>
      <c r="O13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89" t="n">
        <f aca="false">IF(GanttView[[#This Row],[_RemFrom]]=0,0,GanttView[[#This Row],[Forecast Finish]])</f>
        <v>0</v>
      </c>
      <c r="S132" s="88" t="b">
        <f aca="false">IF(IFERROR(INDEX(tsk_Name,GanttView[[#This Row],[_Row]])="",TRUE()),FALSE(),N(INDEX(tsk_Variance,GanttView[[#This Row],[_Row]]))&gt;0)</f>
        <v>0</v>
      </c>
      <c r="T132" s="89" t="n">
        <f aca="false">IF(IFERROR(INDEX(tsk_Name,GanttView[[#This Row],[_Row]])="",TRUE()),0,N(INDEX(tsk_Deadline,GanttView[[#This Row],[_Row]])))</f>
        <v>0</v>
      </c>
      <c r="U132" s="88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83" t="str">
        <f aca="false">IF(IFERROR(INDEX(tsk_Name,GanttView[[#This Row],[_Row]])="",TRUE()),"",INDEX(tsk_ID,GanttView[[#This Row],[_Row]]))</f>
        <v/>
      </c>
      <c r="B133" s="83" t="str">
        <f aca="false">IF(IFERROR(INDEX(tsk_Name,GanttView[[#This Row],[_Row]])="",TRUE()),"",INDEX(tsk_WBS,GanttView[[#This Row],[_Row]]))</f>
        <v/>
      </c>
      <c r="C133" s="84" t="str">
        <f aca="false">IF(IFERROR(INDEX(tsk_Name,GanttView[[#This Row],[_Row]])="",TRUE()),"",REPT("    ",INDEX(tsk_Level,GanttView[[#This Row],[_Row]])-1)&amp;INDEX(tsk_Name,GanttView[[#This Row],[_Row]]))</f>
        <v/>
      </c>
      <c r="D13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85" t="str">
        <f aca="false">IF(IFERROR(INDEX(tsk_Name,GanttView[[#This Row],[_Row]])="",TRUE()),"",INDEX(tsk_PlanStart,GanttView[[#This Row],[_Row]]))</f>
        <v/>
      </c>
      <c r="F133" s="85" t="str">
        <f aca="false">IF(IFERROR(INDEX(tsk_Name,GanttView[[#This Row],[_Row]])="",TRUE()),"",INDEX(tsk_PlanFinish,GanttView[[#This Row],[_Row]]))</f>
        <v/>
      </c>
      <c r="G133" s="85" t="str">
        <f aca="false">IF(IFERROR(INDEX(tsk_Name,GanttView[[#This Row],[_Row]])="",TRUE()),"",INDEX(tsk_FcStart,GanttView[[#This Row],[_Row]]))</f>
        <v/>
      </c>
      <c r="H133" s="85" t="str">
        <f aca="false">IF(IFERROR(INDEX(tsk_Name,GanttView[[#This Row],[_Row]])="",TRUE()),"",INDEX(tsk_FcFinish,GanttView[[#This Row],[_Row]]))</f>
        <v/>
      </c>
      <c r="I133" s="86" t="str">
        <f aca="false">IF(IFERROR(INDEX(tsk_Name,GanttView[[#This Row],[_Row]])="",TRUE()),"",INDEX(tsk_Progress,GanttView[[#This Row],[_Row]]))</f>
        <v/>
      </c>
      <c r="J133" s="84" t="str">
        <f aca="false">IF(IFERROR(INDEX(tsk_Name,GanttView[[#This Row],[_Row]])="",TRUE()),"",INDEX(tsk_Resource,GanttView[[#This Row],[_Row]])&amp;"")</f>
        <v/>
      </c>
      <c r="K133" s="83" t="str">
        <f aca="false">IF(IFERROR(INDEX(tsk_Name,GanttView[[#This Row],[_Row]])="",TRUE()),"",INDEX(tsk_Status,GanttView[[#This Row],[_Row]]))</f>
        <v/>
      </c>
      <c r="L133" s="87" t="n">
        <f aca="false">ROW()-ROW(GanttView[[#Headers],[ID]])</f>
        <v>128</v>
      </c>
      <c r="M133" s="88" t="b">
        <f aca="false">IF(IFERROR(INDEX(tsk_Name,GanttView[[#This Row],[_Row]])="",TRUE()),FALSE(),INDEX(tsk_IsSummary,GanttView[[#This Row],[_Row]]))</f>
        <v>0</v>
      </c>
      <c r="N133" s="88" t="b">
        <f aca="false">IF(IFERROR(INDEX(tsk_Name,GanttView[[#This Row],[_Row]])="",TRUE()),FALSE(),AND(INDEX(tsk_IsLeaf,GanttView[[#This Row],[_Row]])=1,N(INDEX(tsk_Duration,GanttView[[#This Row],[_Row]]))=0))</f>
        <v>0</v>
      </c>
      <c r="O13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89" t="n">
        <f aca="false">IF(GanttView[[#This Row],[_RemFrom]]=0,0,GanttView[[#This Row],[Forecast Finish]])</f>
        <v>0</v>
      </c>
      <c r="S133" s="88" t="b">
        <f aca="false">IF(IFERROR(INDEX(tsk_Name,GanttView[[#This Row],[_Row]])="",TRUE()),FALSE(),N(INDEX(tsk_Variance,GanttView[[#This Row],[_Row]]))&gt;0)</f>
        <v>0</v>
      </c>
      <c r="T133" s="89" t="n">
        <f aca="false">IF(IFERROR(INDEX(tsk_Name,GanttView[[#This Row],[_Row]])="",TRUE()),0,N(INDEX(tsk_Deadline,GanttView[[#This Row],[_Row]])))</f>
        <v>0</v>
      </c>
      <c r="U133" s="88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83" t="str">
        <f aca="false">IF(IFERROR(INDEX(tsk_Name,GanttView[[#This Row],[_Row]])="",TRUE()),"",INDEX(tsk_ID,GanttView[[#This Row],[_Row]]))</f>
        <v/>
      </c>
      <c r="B134" s="83" t="str">
        <f aca="false">IF(IFERROR(INDEX(tsk_Name,GanttView[[#This Row],[_Row]])="",TRUE()),"",INDEX(tsk_WBS,GanttView[[#This Row],[_Row]]))</f>
        <v/>
      </c>
      <c r="C134" s="84" t="str">
        <f aca="false">IF(IFERROR(INDEX(tsk_Name,GanttView[[#This Row],[_Row]])="",TRUE()),"",REPT("    ",INDEX(tsk_Level,GanttView[[#This Row],[_Row]])-1)&amp;INDEX(tsk_Name,GanttView[[#This Row],[_Row]]))</f>
        <v/>
      </c>
      <c r="D13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85" t="str">
        <f aca="false">IF(IFERROR(INDEX(tsk_Name,GanttView[[#This Row],[_Row]])="",TRUE()),"",INDEX(tsk_PlanStart,GanttView[[#This Row],[_Row]]))</f>
        <v/>
      </c>
      <c r="F134" s="85" t="str">
        <f aca="false">IF(IFERROR(INDEX(tsk_Name,GanttView[[#This Row],[_Row]])="",TRUE()),"",INDEX(tsk_PlanFinish,GanttView[[#This Row],[_Row]]))</f>
        <v/>
      </c>
      <c r="G134" s="85" t="str">
        <f aca="false">IF(IFERROR(INDEX(tsk_Name,GanttView[[#This Row],[_Row]])="",TRUE()),"",INDEX(tsk_FcStart,GanttView[[#This Row],[_Row]]))</f>
        <v/>
      </c>
      <c r="H134" s="85" t="str">
        <f aca="false">IF(IFERROR(INDEX(tsk_Name,GanttView[[#This Row],[_Row]])="",TRUE()),"",INDEX(tsk_FcFinish,GanttView[[#This Row],[_Row]]))</f>
        <v/>
      </c>
      <c r="I134" s="86" t="str">
        <f aca="false">IF(IFERROR(INDEX(tsk_Name,GanttView[[#This Row],[_Row]])="",TRUE()),"",INDEX(tsk_Progress,GanttView[[#This Row],[_Row]]))</f>
        <v/>
      </c>
      <c r="J134" s="84" t="str">
        <f aca="false">IF(IFERROR(INDEX(tsk_Name,GanttView[[#This Row],[_Row]])="",TRUE()),"",INDEX(tsk_Resource,GanttView[[#This Row],[_Row]])&amp;"")</f>
        <v/>
      </c>
      <c r="K134" s="83" t="str">
        <f aca="false">IF(IFERROR(INDEX(tsk_Name,GanttView[[#This Row],[_Row]])="",TRUE()),"",INDEX(tsk_Status,GanttView[[#This Row],[_Row]]))</f>
        <v/>
      </c>
      <c r="L134" s="87" t="n">
        <f aca="false">ROW()-ROW(GanttView[[#Headers],[ID]])</f>
        <v>129</v>
      </c>
      <c r="M134" s="88" t="b">
        <f aca="false">IF(IFERROR(INDEX(tsk_Name,GanttView[[#This Row],[_Row]])="",TRUE()),FALSE(),INDEX(tsk_IsSummary,GanttView[[#This Row],[_Row]]))</f>
        <v>0</v>
      </c>
      <c r="N134" s="88" t="b">
        <f aca="false">IF(IFERROR(INDEX(tsk_Name,GanttView[[#This Row],[_Row]])="",TRUE()),FALSE(),AND(INDEX(tsk_IsLeaf,GanttView[[#This Row],[_Row]])=1,N(INDEX(tsk_Duration,GanttView[[#This Row],[_Row]]))=0))</f>
        <v>0</v>
      </c>
      <c r="O13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89" t="n">
        <f aca="false">IF(GanttView[[#This Row],[_RemFrom]]=0,0,GanttView[[#This Row],[Forecast Finish]])</f>
        <v>0</v>
      </c>
      <c r="S134" s="88" t="b">
        <f aca="false">IF(IFERROR(INDEX(tsk_Name,GanttView[[#This Row],[_Row]])="",TRUE()),FALSE(),N(INDEX(tsk_Variance,GanttView[[#This Row],[_Row]]))&gt;0)</f>
        <v>0</v>
      </c>
      <c r="T134" s="89" t="n">
        <f aca="false">IF(IFERROR(INDEX(tsk_Name,GanttView[[#This Row],[_Row]])="",TRUE()),0,N(INDEX(tsk_Deadline,GanttView[[#This Row],[_Row]])))</f>
        <v>0</v>
      </c>
      <c r="U134" s="88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83" t="str">
        <f aca="false">IF(IFERROR(INDEX(tsk_Name,GanttView[[#This Row],[_Row]])="",TRUE()),"",INDEX(tsk_ID,GanttView[[#This Row],[_Row]]))</f>
        <v/>
      </c>
      <c r="B135" s="83" t="str">
        <f aca="false">IF(IFERROR(INDEX(tsk_Name,GanttView[[#This Row],[_Row]])="",TRUE()),"",INDEX(tsk_WBS,GanttView[[#This Row],[_Row]]))</f>
        <v/>
      </c>
      <c r="C135" s="84" t="str">
        <f aca="false">IF(IFERROR(INDEX(tsk_Name,GanttView[[#This Row],[_Row]])="",TRUE()),"",REPT("    ",INDEX(tsk_Level,GanttView[[#This Row],[_Row]])-1)&amp;INDEX(tsk_Name,GanttView[[#This Row],[_Row]]))</f>
        <v/>
      </c>
      <c r="D13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85" t="str">
        <f aca="false">IF(IFERROR(INDEX(tsk_Name,GanttView[[#This Row],[_Row]])="",TRUE()),"",INDEX(tsk_PlanStart,GanttView[[#This Row],[_Row]]))</f>
        <v/>
      </c>
      <c r="F135" s="85" t="str">
        <f aca="false">IF(IFERROR(INDEX(tsk_Name,GanttView[[#This Row],[_Row]])="",TRUE()),"",INDEX(tsk_PlanFinish,GanttView[[#This Row],[_Row]]))</f>
        <v/>
      </c>
      <c r="G135" s="85" t="str">
        <f aca="false">IF(IFERROR(INDEX(tsk_Name,GanttView[[#This Row],[_Row]])="",TRUE()),"",INDEX(tsk_FcStart,GanttView[[#This Row],[_Row]]))</f>
        <v/>
      </c>
      <c r="H135" s="85" t="str">
        <f aca="false">IF(IFERROR(INDEX(tsk_Name,GanttView[[#This Row],[_Row]])="",TRUE()),"",INDEX(tsk_FcFinish,GanttView[[#This Row],[_Row]]))</f>
        <v/>
      </c>
      <c r="I135" s="86" t="str">
        <f aca="false">IF(IFERROR(INDEX(tsk_Name,GanttView[[#This Row],[_Row]])="",TRUE()),"",INDEX(tsk_Progress,GanttView[[#This Row],[_Row]]))</f>
        <v/>
      </c>
      <c r="J135" s="84" t="str">
        <f aca="false">IF(IFERROR(INDEX(tsk_Name,GanttView[[#This Row],[_Row]])="",TRUE()),"",INDEX(tsk_Resource,GanttView[[#This Row],[_Row]])&amp;"")</f>
        <v/>
      </c>
      <c r="K135" s="83" t="str">
        <f aca="false">IF(IFERROR(INDEX(tsk_Name,GanttView[[#This Row],[_Row]])="",TRUE()),"",INDEX(tsk_Status,GanttView[[#This Row],[_Row]]))</f>
        <v/>
      </c>
      <c r="L135" s="87" t="n">
        <f aca="false">ROW()-ROW(GanttView[[#Headers],[ID]])</f>
        <v>130</v>
      </c>
      <c r="M135" s="88" t="b">
        <f aca="false">IF(IFERROR(INDEX(tsk_Name,GanttView[[#This Row],[_Row]])="",TRUE()),FALSE(),INDEX(tsk_IsSummary,GanttView[[#This Row],[_Row]]))</f>
        <v>0</v>
      </c>
      <c r="N135" s="88" t="b">
        <f aca="false">IF(IFERROR(INDEX(tsk_Name,GanttView[[#This Row],[_Row]])="",TRUE()),FALSE(),AND(INDEX(tsk_IsLeaf,GanttView[[#This Row],[_Row]])=1,N(INDEX(tsk_Duration,GanttView[[#This Row],[_Row]]))=0))</f>
        <v>0</v>
      </c>
      <c r="O13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89" t="n">
        <f aca="false">IF(GanttView[[#This Row],[_RemFrom]]=0,0,GanttView[[#This Row],[Forecast Finish]])</f>
        <v>0</v>
      </c>
      <c r="S135" s="88" t="b">
        <f aca="false">IF(IFERROR(INDEX(tsk_Name,GanttView[[#This Row],[_Row]])="",TRUE()),FALSE(),N(INDEX(tsk_Variance,GanttView[[#This Row],[_Row]]))&gt;0)</f>
        <v>0</v>
      </c>
      <c r="T135" s="89" t="n">
        <f aca="false">IF(IFERROR(INDEX(tsk_Name,GanttView[[#This Row],[_Row]])="",TRUE()),0,N(INDEX(tsk_Deadline,GanttView[[#This Row],[_Row]])))</f>
        <v>0</v>
      </c>
      <c r="U135" s="88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83" t="str">
        <f aca="false">IF(IFERROR(INDEX(tsk_Name,GanttView[[#This Row],[_Row]])="",TRUE()),"",INDEX(tsk_ID,GanttView[[#This Row],[_Row]]))</f>
        <v/>
      </c>
      <c r="B136" s="83" t="str">
        <f aca="false">IF(IFERROR(INDEX(tsk_Name,GanttView[[#This Row],[_Row]])="",TRUE()),"",INDEX(tsk_WBS,GanttView[[#This Row],[_Row]]))</f>
        <v/>
      </c>
      <c r="C136" s="84" t="str">
        <f aca="false">IF(IFERROR(INDEX(tsk_Name,GanttView[[#This Row],[_Row]])="",TRUE()),"",REPT("    ",INDEX(tsk_Level,GanttView[[#This Row],[_Row]])-1)&amp;INDEX(tsk_Name,GanttView[[#This Row],[_Row]]))</f>
        <v/>
      </c>
      <c r="D13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85" t="str">
        <f aca="false">IF(IFERROR(INDEX(tsk_Name,GanttView[[#This Row],[_Row]])="",TRUE()),"",INDEX(tsk_PlanStart,GanttView[[#This Row],[_Row]]))</f>
        <v/>
      </c>
      <c r="F136" s="85" t="str">
        <f aca="false">IF(IFERROR(INDEX(tsk_Name,GanttView[[#This Row],[_Row]])="",TRUE()),"",INDEX(tsk_PlanFinish,GanttView[[#This Row],[_Row]]))</f>
        <v/>
      </c>
      <c r="G136" s="85" t="str">
        <f aca="false">IF(IFERROR(INDEX(tsk_Name,GanttView[[#This Row],[_Row]])="",TRUE()),"",INDEX(tsk_FcStart,GanttView[[#This Row],[_Row]]))</f>
        <v/>
      </c>
      <c r="H136" s="85" t="str">
        <f aca="false">IF(IFERROR(INDEX(tsk_Name,GanttView[[#This Row],[_Row]])="",TRUE()),"",INDEX(tsk_FcFinish,GanttView[[#This Row],[_Row]]))</f>
        <v/>
      </c>
      <c r="I136" s="86" t="str">
        <f aca="false">IF(IFERROR(INDEX(tsk_Name,GanttView[[#This Row],[_Row]])="",TRUE()),"",INDEX(tsk_Progress,GanttView[[#This Row],[_Row]]))</f>
        <v/>
      </c>
      <c r="J136" s="84" t="str">
        <f aca="false">IF(IFERROR(INDEX(tsk_Name,GanttView[[#This Row],[_Row]])="",TRUE()),"",INDEX(tsk_Resource,GanttView[[#This Row],[_Row]])&amp;"")</f>
        <v/>
      </c>
      <c r="K136" s="83" t="str">
        <f aca="false">IF(IFERROR(INDEX(tsk_Name,GanttView[[#This Row],[_Row]])="",TRUE()),"",INDEX(tsk_Status,GanttView[[#This Row],[_Row]]))</f>
        <v/>
      </c>
      <c r="L136" s="87" t="n">
        <f aca="false">ROW()-ROW(GanttView[[#Headers],[ID]])</f>
        <v>131</v>
      </c>
      <c r="M136" s="88" t="b">
        <f aca="false">IF(IFERROR(INDEX(tsk_Name,GanttView[[#This Row],[_Row]])="",TRUE()),FALSE(),INDEX(tsk_IsSummary,GanttView[[#This Row],[_Row]]))</f>
        <v>0</v>
      </c>
      <c r="N136" s="88" t="b">
        <f aca="false">IF(IFERROR(INDEX(tsk_Name,GanttView[[#This Row],[_Row]])="",TRUE()),FALSE(),AND(INDEX(tsk_IsLeaf,GanttView[[#This Row],[_Row]])=1,N(INDEX(tsk_Duration,GanttView[[#This Row],[_Row]]))=0))</f>
        <v>0</v>
      </c>
      <c r="O13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89" t="n">
        <f aca="false">IF(GanttView[[#This Row],[_RemFrom]]=0,0,GanttView[[#This Row],[Forecast Finish]])</f>
        <v>0</v>
      </c>
      <c r="S136" s="88" t="b">
        <f aca="false">IF(IFERROR(INDEX(tsk_Name,GanttView[[#This Row],[_Row]])="",TRUE()),FALSE(),N(INDEX(tsk_Variance,GanttView[[#This Row],[_Row]]))&gt;0)</f>
        <v>0</v>
      </c>
      <c r="T136" s="89" t="n">
        <f aca="false">IF(IFERROR(INDEX(tsk_Name,GanttView[[#This Row],[_Row]])="",TRUE()),0,N(INDEX(tsk_Deadline,GanttView[[#This Row],[_Row]])))</f>
        <v>0</v>
      </c>
      <c r="U136" s="88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83" t="str">
        <f aca="false">IF(IFERROR(INDEX(tsk_Name,GanttView[[#This Row],[_Row]])="",TRUE()),"",INDEX(tsk_ID,GanttView[[#This Row],[_Row]]))</f>
        <v/>
      </c>
      <c r="B137" s="83" t="str">
        <f aca="false">IF(IFERROR(INDEX(tsk_Name,GanttView[[#This Row],[_Row]])="",TRUE()),"",INDEX(tsk_WBS,GanttView[[#This Row],[_Row]]))</f>
        <v/>
      </c>
      <c r="C137" s="84" t="str">
        <f aca="false">IF(IFERROR(INDEX(tsk_Name,GanttView[[#This Row],[_Row]])="",TRUE()),"",REPT("    ",INDEX(tsk_Level,GanttView[[#This Row],[_Row]])-1)&amp;INDEX(tsk_Name,GanttView[[#This Row],[_Row]]))</f>
        <v/>
      </c>
      <c r="D13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85" t="str">
        <f aca="false">IF(IFERROR(INDEX(tsk_Name,GanttView[[#This Row],[_Row]])="",TRUE()),"",INDEX(tsk_PlanStart,GanttView[[#This Row],[_Row]]))</f>
        <v/>
      </c>
      <c r="F137" s="85" t="str">
        <f aca="false">IF(IFERROR(INDEX(tsk_Name,GanttView[[#This Row],[_Row]])="",TRUE()),"",INDEX(tsk_PlanFinish,GanttView[[#This Row],[_Row]]))</f>
        <v/>
      </c>
      <c r="G137" s="85" t="str">
        <f aca="false">IF(IFERROR(INDEX(tsk_Name,GanttView[[#This Row],[_Row]])="",TRUE()),"",INDEX(tsk_FcStart,GanttView[[#This Row],[_Row]]))</f>
        <v/>
      </c>
      <c r="H137" s="85" t="str">
        <f aca="false">IF(IFERROR(INDEX(tsk_Name,GanttView[[#This Row],[_Row]])="",TRUE()),"",INDEX(tsk_FcFinish,GanttView[[#This Row],[_Row]]))</f>
        <v/>
      </c>
      <c r="I137" s="86" t="str">
        <f aca="false">IF(IFERROR(INDEX(tsk_Name,GanttView[[#This Row],[_Row]])="",TRUE()),"",INDEX(tsk_Progress,GanttView[[#This Row],[_Row]]))</f>
        <v/>
      </c>
      <c r="J137" s="84" t="str">
        <f aca="false">IF(IFERROR(INDEX(tsk_Name,GanttView[[#This Row],[_Row]])="",TRUE()),"",INDEX(tsk_Resource,GanttView[[#This Row],[_Row]])&amp;"")</f>
        <v/>
      </c>
      <c r="K137" s="83" t="str">
        <f aca="false">IF(IFERROR(INDEX(tsk_Name,GanttView[[#This Row],[_Row]])="",TRUE()),"",INDEX(tsk_Status,GanttView[[#This Row],[_Row]]))</f>
        <v/>
      </c>
      <c r="L137" s="87" t="n">
        <f aca="false">ROW()-ROW(GanttView[[#Headers],[ID]])</f>
        <v>132</v>
      </c>
      <c r="M137" s="88" t="b">
        <f aca="false">IF(IFERROR(INDEX(tsk_Name,GanttView[[#This Row],[_Row]])="",TRUE()),FALSE(),INDEX(tsk_IsSummary,GanttView[[#This Row],[_Row]]))</f>
        <v>0</v>
      </c>
      <c r="N137" s="88" t="b">
        <f aca="false">IF(IFERROR(INDEX(tsk_Name,GanttView[[#This Row],[_Row]])="",TRUE()),FALSE(),AND(INDEX(tsk_IsLeaf,GanttView[[#This Row],[_Row]])=1,N(INDEX(tsk_Duration,GanttView[[#This Row],[_Row]]))=0))</f>
        <v>0</v>
      </c>
      <c r="O13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89" t="n">
        <f aca="false">IF(GanttView[[#This Row],[_RemFrom]]=0,0,GanttView[[#This Row],[Forecast Finish]])</f>
        <v>0</v>
      </c>
      <c r="S137" s="88" t="b">
        <f aca="false">IF(IFERROR(INDEX(tsk_Name,GanttView[[#This Row],[_Row]])="",TRUE()),FALSE(),N(INDEX(tsk_Variance,GanttView[[#This Row],[_Row]]))&gt;0)</f>
        <v>0</v>
      </c>
      <c r="T137" s="89" t="n">
        <f aca="false">IF(IFERROR(INDEX(tsk_Name,GanttView[[#This Row],[_Row]])="",TRUE()),0,N(INDEX(tsk_Deadline,GanttView[[#This Row],[_Row]])))</f>
        <v>0</v>
      </c>
      <c r="U137" s="88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83" t="str">
        <f aca="false">IF(IFERROR(INDEX(tsk_Name,GanttView[[#This Row],[_Row]])="",TRUE()),"",INDEX(tsk_ID,GanttView[[#This Row],[_Row]]))</f>
        <v/>
      </c>
      <c r="B138" s="83" t="str">
        <f aca="false">IF(IFERROR(INDEX(tsk_Name,GanttView[[#This Row],[_Row]])="",TRUE()),"",INDEX(tsk_WBS,GanttView[[#This Row],[_Row]]))</f>
        <v/>
      </c>
      <c r="C138" s="84" t="str">
        <f aca="false">IF(IFERROR(INDEX(tsk_Name,GanttView[[#This Row],[_Row]])="",TRUE()),"",REPT("    ",INDEX(tsk_Level,GanttView[[#This Row],[_Row]])-1)&amp;INDEX(tsk_Name,GanttView[[#This Row],[_Row]]))</f>
        <v/>
      </c>
      <c r="D13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85" t="str">
        <f aca="false">IF(IFERROR(INDEX(tsk_Name,GanttView[[#This Row],[_Row]])="",TRUE()),"",INDEX(tsk_PlanStart,GanttView[[#This Row],[_Row]]))</f>
        <v/>
      </c>
      <c r="F138" s="85" t="str">
        <f aca="false">IF(IFERROR(INDEX(tsk_Name,GanttView[[#This Row],[_Row]])="",TRUE()),"",INDEX(tsk_PlanFinish,GanttView[[#This Row],[_Row]]))</f>
        <v/>
      </c>
      <c r="G138" s="85" t="str">
        <f aca="false">IF(IFERROR(INDEX(tsk_Name,GanttView[[#This Row],[_Row]])="",TRUE()),"",INDEX(tsk_FcStart,GanttView[[#This Row],[_Row]]))</f>
        <v/>
      </c>
      <c r="H138" s="85" t="str">
        <f aca="false">IF(IFERROR(INDEX(tsk_Name,GanttView[[#This Row],[_Row]])="",TRUE()),"",INDEX(tsk_FcFinish,GanttView[[#This Row],[_Row]]))</f>
        <v/>
      </c>
      <c r="I138" s="86" t="str">
        <f aca="false">IF(IFERROR(INDEX(tsk_Name,GanttView[[#This Row],[_Row]])="",TRUE()),"",INDEX(tsk_Progress,GanttView[[#This Row],[_Row]]))</f>
        <v/>
      </c>
      <c r="J138" s="84" t="str">
        <f aca="false">IF(IFERROR(INDEX(tsk_Name,GanttView[[#This Row],[_Row]])="",TRUE()),"",INDEX(tsk_Resource,GanttView[[#This Row],[_Row]])&amp;"")</f>
        <v/>
      </c>
      <c r="K138" s="83" t="str">
        <f aca="false">IF(IFERROR(INDEX(tsk_Name,GanttView[[#This Row],[_Row]])="",TRUE()),"",INDEX(tsk_Status,GanttView[[#This Row],[_Row]]))</f>
        <v/>
      </c>
      <c r="L138" s="87" t="n">
        <f aca="false">ROW()-ROW(GanttView[[#Headers],[ID]])</f>
        <v>133</v>
      </c>
      <c r="M138" s="88" t="b">
        <f aca="false">IF(IFERROR(INDEX(tsk_Name,GanttView[[#This Row],[_Row]])="",TRUE()),FALSE(),INDEX(tsk_IsSummary,GanttView[[#This Row],[_Row]]))</f>
        <v>0</v>
      </c>
      <c r="N138" s="88" t="b">
        <f aca="false">IF(IFERROR(INDEX(tsk_Name,GanttView[[#This Row],[_Row]])="",TRUE()),FALSE(),AND(INDEX(tsk_IsLeaf,GanttView[[#This Row],[_Row]])=1,N(INDEX(tsk_Duration,GanttView[[#This Row],[_Row]]))=0))</f>
        <v>0</v>
      </c>
      <c r="O13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89" t="n">
        <f aca="false">IF(GanttView[[#This Row],[_RemFrom]]=0,0,GanttView[[#This Row],[Forecast Finish]])</f>
        <v>0</v>
      </c>
      <c r="S138" s="88" t="b">
        <f aca="false">IF(IFERROR(INDEX(tsk_Name,GanttView[[#This Row],[_Row]])="",TRUE()),FALSE(),N(INDEX(tsk_Variance,GanttView[[#This Row],[_Row]]))&gt;0)</f>
        <v>0</v>
      </c>
      <c r="T138" s="89" t="n">
        <f aca="false">IF(IFERROR(INDEX(tsk_Name,GanttView[[#This Row],[_Row]])="",TRUE()),0,N(INDEX(tsk_Deadline,GanttView[[#This Row],[_Row]])))</f>
        <v>0</v>
      </c>
      <c r="U138" s="88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83" t="str">
        <f aca="false">IF(IFERROR(INDEX(tsk_Name,GanttView[[#This Row],[_Row]])="",TRUE()),"",INDEX(tsk_ID,GanttView[[#This Row],[_Row]]))</f>
        <v/>
      </c>
      <c r="B139" s="83" t="str">
        <f aca="false">IF(IFERROR(INDEX(tsk_Name,GanttView[[#This Row],[_Row]])="",TRUE()),"",INDEX(tsk_WBS,GanttView[[#This Row],[_Row]]))</f>
        <v/>
      </c>
      <c r="C139" s="84" t="str">
        <f aca="false">IF(IFERROR(INDEX(tsk_Name,GanttView[[#This Row],[_Row]])="",TRUE()),"",REPT("    ",INDEX(tsk_Level,GanttView[[#This Row],[_Row]])-1)&amp;INDEX(tsk_Name,GanttView[[#This Row],[_Row]]))</f>
        <v/>
      </c>
      <c r="D13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85" t="str">
        <f aca="false">IF(IFERROR(INDEX(tsk_Name,GanttView[[#This Row],[_Row]])="",TRUE()),"",INDEX(tsk_PlanStart,GanttView[[#This Row],[_Row]]))</f>
        <v/>
      </c>
      <c r="F139" s="85" t="str">
        <f aca="false">IF(IFERROR(INDEX(tsk_Name,GanttView[[#This Row],[_Row]])="",TRUE()),"",INDEX(tsk_PlanFinish,GanttView[[#This Row],[_Row]]))</f>
        <v/>
      </c>
      <c r="G139" s="85" t="str">
        <f aca="false">IF(IFERROR(INDEX(tsk_Name,GanttView[[#This Row],[_Row]])="",TRUE()),"",INDEX(tsk_FcStart,GanttView[[#This Row],[_Row]]))</f>
        <v/>
      </c>
      <c r="H139" s="85" t="str">
        <f aca="false">IF(IFERROR(INDEX(tsk_Name,GanttView[[#This Row],[_Row]])="",TRUE()),"",INDEX(tsk_FcFinish,GanttView[[#This Row],[_Row]]))</f>
        <v/>
      </c>
      <c r="I139" s="86" t="str">
        <f aca="false">IF(IFERROR(INDEX(tsk_Name,GanttView[[#This Row],[_Row]])="",TRUE()),"",INDEX(tsk_Progress,GanttView[[#This Row],[_Row]]))</f>
        <v/>
      </c>
      <c r="J139" s="84" t="str">
        <f aca="false">IF(IFERROR(INDEX(tsk_Name,GanttView[[#This Row],[_Row]])="",TRUE()),"",INDEX(tsk_Resource,GanttView[[#This Row],[_Row]])&amp;"")</f>
        <v/>
      </c>
      <c r="K139" s="83" t="str">
        <f aca="false">IF(IFERROR(INDEX(tsk_Name,GanttView[[#This Row],[_Row]])="",TRUE()),"",INDEX(tsk_Status,GanttView[[#This Row],[_Row]]))</f>
        <v/>
      </c>
      <c r="L139" s="87" t="n">
        <f aca="false">ROW()-ROW(GanttView[[#Headers],[ID]])</f>
        <v>134</v>
      </c>
      <c r="M139" s="88" t="b">
        <f aca="false">IF(IFERROR(INDEX(tsk_Name,GanttView[[#This Row],[_Row]])="",TRUE()),FALSE(),INDEX(tsk_IsSummary,GanttView[[#This Row],[_Row]]))</f>
        <v>0</v>
      </c>
      <c r="N139" s="88" t="b">
        <f aca="false">IF(IFERROR(INDEX(tsk_Name,GanttView[[#This Row],[_Row]])="",TRUE()),FALSE(),AND(INDEX(tsk_IsLeaf,GanttView[[#This Row],[_Row]])=1,N(INDEX(tsk_Duration,GanttView[[#This Row],[_Row]]))=0))</f>
        <v>0</v>
      </c>
      <c r="O13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89" t="n">
        <f aca="false">IF(GanttView[[#This Row],[_RemFrom]]=0,0,GanttView[[#This Row],[Forecast Finish]])</f>
        <v>0</v>
      </c>
      <c r="S139" s="88" t="b">
        <f aca="false">IF(IFERROR(INDEX(tsk_Name,GanttView[[#This Row],[_Row]])="",TRUE()),FALSE(),N(INDEX(tsk_Variance,GanttView[[#This Row],[_Row]]))&gt;0)</f>
        <v>0</v>
      </c>
      <c r="T139" s="89" t="n">
        <f aca="false">IF(IFERROR(INDEX(tsk_Name,GanttView[[#This Row],[_Row]])="",TRUE()),0,N(INDEX(tsk_Deadline,GanttView[[#This Row],[_Row]])))</f>
        <v>0</v>
      </c>
      <c r="U139" s="88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83" t="str">
        <f aca="false">IF(IFERROR(INDEX(tsk_Name,GanttView[[#This Row],[_Row]])="",TRUE()),"",INDEX(tsk_ID,GanttView[[#This Row],[_Row]]))</f>
        <v/>
      </c>
      <c r="B140" s="83" t="str">
        <f aca="false">IF(IFERROR(INDEX(tsk_Name,GanttView[[#This Row],[_Row]])="",TRUE()),"",INDEX(tsk_WBS,GanttView[[#This Row],[_Row]]))</f>
        <v/>
      </c>
      <c r="C140" s="84" t="str">
        <f aca="false">IF(IFERROR(INDEX(tsk_Name,GanttView[[#This Row],[_Row]])="",TRUE()),"",REPT("    ",INDEX(tsk_Level,GanttView[[#This Row],[_Row]])-1)&amp;INDEX(tsk_Name,GanttView[[#This Row],[_Row]]))</f>
        <v/>
      </c>
      <c r="D14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85" t="str">
        <f aca="false">IF(IFERROR(INDEX(tsk_Name,GanttView[[#This Row],[_Row]])="",TRUE()),"",INDEX(tsk_PlanStart,GanttView[[#This Row],[_Row]]))</f>
        <v/>
      </c>
      <c r="F140" s="85" t="str">
        <f aca="false">IF(IFERROR(INDEX(tsk_Name,GanttView[[#This Row],[_Row]])="",TRUE()),"",INDEX(tsk_PlanFinish,GanttView[[#This Row],[_Row]]))</f>
        <v/>
      </c>
      <c r="G140" s="85" t="str">
        <f aca="false">IF(IFERROR(INDEX(tsk_Name,GanttView[[#This Row],[_Row]])="",TRUE()),"",INDEX(tsk_FcStart,GanttView[[#This Row],[_Row]]))</f>
        <v/>
      </c>
      <c r="H140" s="85" t="str">
        <f aca="false">IF(IFERROR(INDEX(tsk_Name,GanttView[[#This Row],[_Row]])="",TRUE()),"",INDEX(tsk_FcFinish,GanttView[[#This Row],[_Row]]))</f>
        <v/>
      </c>
      <c r="I140" s="86" t="str">
        <f aca="false">IF(IFERROR(INDEX(tsk_Name,GanttView[[#This Row],[_Row]])="",TRUE()),"",INDEX(tsk_Progress,GanttView[[#This Row],[_Row]]))</f>
        <v/>
      </c>
      <c r="J140" s="84" t="str">
        <f aca="false">IF(IFERROR(INDEX(tsk_Name,GanttView[[#This Row],[_Row]])="",TRUE()),"",INDEX(tsk_Resource,GanttView[[#This Row],[_Row]])&amp;"")</f>
        <v/>
      </c>
      <c r="K140" s="83" t="str">
        <f aca="false">IF(IFERROR(INDEX(tsk_Name,GanttView[[#This Row],[_Row]])="",TRUE()),"",INDEX(tsk_Status,GanttView[[#This Row],[_Row]]))</f>
        <v/>
      </c>
      <c r="L140" s="87" t="n">
        <f aca="false">ROW()-ROW(GanttView[[#Headers],[ID]])</f>
        <v>135</v>
      </c>
      <c r="M140" s="88" t="b">
        <f aca="false">IF(IFERROR(INDEX(tsk_Name,GanttView[[#This Row],[_Row]])="",TRUE()),FALSE(),INDEX(tsk_IsSummary,GanttView[[#This Row],[_Row]]))</f>
        <v>0</v>
      </c>
      <c r="N140" s="88" t="b">
        <f aca="false">IF(IFERROR(INDEX(tsk_Name,GanttView[[#This Row],[_Row]])="",TRUE()),FALSE(),AND(INDEX(tsk_IsLeaf,GanttView[[#This Row],[_Row]])=1,N(INDEX(tsk_Duration,GanttView[[#This Row],[_Row]]))=0))</f>
        <v>0</v>
      </c>
      <c r="O14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89" t="n">
        <f aca="false">IF(GanttView[[#This Row],[_RemFrom]]=0,0,GanttView[[#This Row],[Forecast Finish]])</f>
        <v>0</v>
      </c>
      <c r="S140" s="88" t="b">
        <f aca="false">IF(IFERROR(INDEX(tsk_Name,GanttView[[#This Row],[_Row]])="",TRUE()),FALSE(),N(INDEX(tsk_Variance,GanttView[[#This Row],[_Row]]))&gt;0)</f>
        <v>0</v>
      </c>
      <c r="T140" s="89" t="n">
        <f aca="false">IF(IFERROR(INDEX(tsk_Name,GanttView[[#This Row],[_Row]])="",TRUE()),0,N(INDEX(tsk_Deadline,GanttView[[#This Row],[_Row]])))</f>
        <v>0</v>
      </c>
      <c r="U140" s="88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83" t="str">
        <f aca="false">IF(IFERROR(INDEX(tsk_Name,GanttView[[#This Row],[_Row]])="",TRUE()),"",INDEX(tsk_ID,GanttView[[#This Row],[_Row]]))</f>
        <v/>
      </c>
      <c r="B141" s="83" t="str">
        <f aca="false">IF(IFERROR(INDEX(tsk_Name,GanttView[[#This Row],[_Row]])="",TRUE()),"",INDEX(tsk_WBS,GanttView[[#This Row],[_Row]]))</f>
        <v/>
      </c>
      <c r="C141" s="84" t="str">
        <f aca="false">IF(IFERROR(INDEX(tsk_Name,GanttView[[#This Row],[_Row]])="",TRUE()),"",REPT("    ",INDEX(tsk_Level,GanttView[[#This Row],[_Row]])-1)&amp;INDEX(tsk_Name,GanttView[[#This Row],[_Row]]))</f>
        <v/>
      </c>
      <c r="D14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85" t="str">
        <f aca="false">IF(IFERROR(INDEX(tsk_Name,GanttView[[#This Row],[_Row]])="",TRUE()),"",INDEX(tsk_PlanStart,GanttView[[#This Row],[_Row]]))</f>
        <v/>
      </c>
      <c r="F141" s="85" t="str">
        <f aca="false">IF(IFERROR(INDEX(tsk_Name,GanttView[[#This Row],[_Row]])="",TRUE()),"",INDEX(tsk_PlanFinish,GanttView[[#This Row],[_Row]]))</f>
        <v/>
      </c>
      <c r="G141" s="85" t="str">
        <f aca="false">IF(IFERROR(INDEX(tsk_Name,GanttView[[#This Row],[_Row]])="",TRUE()),"",INDEX(tsk_FcStart,GanttView[[#This Row],[_Row]]))</f>
        <v/>
      </c>
      <c r="H141" s="85" t="str">
        <f aca="false">IF(IFERROR(INDEX(tsk_Name,GanttView[[#This Row],[_Row]])="",TRUE()),"",INDEX(tsk_FcFinish,GanttView[[#This Row],[_Row]]))</f>
        <v/>
      </c>
      <c r="I141" s="86" t="str">
        <f aca="false">IF(IFERROR(INDEX(tsk_Name,GanttView[[#This Row],[_Row]])="",TRUE()),"",INDEX(tsk_Progress,GanttView[[#This Row],[_Row]]))</f>
        <v/>
      </c>
      <c r="J141" s="84" t="str">
        <f aca="false">IF(IFERROR(INDEX(tsk_Name,GanttView[[#This Row],[_Row]])="",TRUE()),"",INDEX(tsk_Resource,GanttView[[#This Row],[_Row]])&amp;"")</f>
        <v/>
      </c>
      <c r="K141" s="83" t="str">
        <f aca="false">IF(IFERROR(INDEX(tsk_Name,GanttView[[#This Row],[_Row]])="",TRUE()),"",INDEX(tsk_Status,GanttView[[#This Row],[_Row]]))</f>
        <v/>
      </c>
      <c r="L141" s="87" t="n">
        <f aca="false">ROW()-ROW(GanttView[[#Headers],[ID]])</f>
        <v>136</v>
      </c>
      <c r="M141" s="88" t="b">
        <f aca="false">IF(IFERROR(INDEX(tsk_Name,GanttView[[#This Row],[_Row]])="",TRUE()),FALSE(),INDEX(tsk_IsSummary,GanttView[[#This Row],[_Row]]))</f>
        <v>0</v>
      </c>
      <c r="N141" s="88" t="b">
        <f aca="false">IF(IFERROR(INDEX(tsk_Name,GanttView[[#This Row],[_Row]])="",TRUE()),FALSE(),AND(INDEX(tsk_IsLeaf,GanttView[[#This Row],[_Row]])=1,N(INDEX(tsk_Duration,GanttView[[#This Row],[_Row]]))=0))</f>
        <v>0</v>
      </c>
      <c r="O14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89" t="n">
        <f aca="false">IF(GanttView[[#This Row],[_RemFrom]]=0,0,GanttView[[#This Row],[Forecast Finish]])</f>
        <v>0</v>
      </c>
      <c r="S141" s="88" t="b">
        <f aca="false">IF(IFERROR(INDEX(tsk_Name,GanttView[[#This Row],[_Row]])="",TRUE()),FALSE(),N(INDEX(tsk_Variance,GanttView[[#This Row],[_Row]]))&gt;0)</f>
        <v>0</v>
      </c>
      <c r="T141" s="89" t="n">
        <f aca="false">IF(IFERROR(INDEX(tsk_Name,GanttView[[#This Row],[_Row]])="",TRUE()),0,N(INDEX(tsk_Deadline,GanttView[[#This Row],[_Row]])))</f>
        <v>0</v>
      </c>
      <c r="U141" s="88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83" t="str">
        <f aca="false">IF(IFERROR(INDEX(tsk_Name,GanttView[[#This Row],[_Row]])="",TRUE()),"",INDEX(tsk_ID,GanttView[[#This Row],[_Row]]))</f>
        <v/>
      </c>
      <c r="B142" s="83" t="str">
        <f aca="false">IF(IFERROR(INDEX(tsk_Name,GanttView[[#This Row],[_Row]])="",TRUE()),"",INDEX(tsk_WBS,GanttView[[#This Row],[_Row]]))</f>
        <v/>
      </c>
      <c r="C142" s="84" t="str">
        <f aca="false">IF(IFERROR(INDEX(tsk_Name,GanttView[[#This Row],[_Row]])="",TRUE()),"",REPT("    ",INDEX(tsk_Level,GanttView[[#This Row],[_Row]])-1)&amp;INDEX(tsk_Name,GanttView[[#This Row],[_Row]]))</f>
        <v/>
      </c>
      <c r="D14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85" t="str">
        <f aca="false">IF(IFERROR(INDEX(tsk_Name,GanttView[[#This Row],[_Row]])="",TRUE()),"",INDEX(tsk_PlanStart,GanttView[[#This Row],[_Row]]))</f>
        <v/>
      </c>
      <c r="F142" s="85" t="str">
        <f aca="false">IF(IFERROR(INDEX(tsk_Name,GanttView[[#This Row],[_Row]])="",TRUE()),"",INDEX(tsk_PlanFinish,GanttView[[#This Row],[_Row]]))</f>
        <v/>
      </c>
      <c r="G142" s="85" t="str">
        <f aca="false">IF(IFERROR(INDEX(tsk_Name,GanttView[[#This Row],[_Row]])="",TRUE()),"",INDEX(tsk_FcStart,GanttView[[#This Row],[_Row]]))</f>
        <v/>
      </c>
      <c r="H142" s="85" t="str">
        <f aca="false">IF(IFERROR(INDEX(tsk_Name,GanttView[[#This Row],[_Row]])="",TRUE()),"",INDEX(tsk_FcFinish,GanttView[[#This Row],[_Row]]))</f>
        <v/>
      </c>
      <c r="I142" s="86" t="str">
        <f aca="false">IF(IFERROR(INDEX(tsk_Name,GanttView[[#This Row],[_Row]])="",TRUE()),"",INDEX(tsk_Progress,GanttView[[#This Row],[_Row]]))</f>
        <v/>
      </c>
      <c r="J142" s="84" t="str">
        <f aca="false">IF(IFERROR(INDEX(tsk_Name,GanttView[[#This Row],[_Row]])="",TRUE()),"",INDEX(tsk_Resource,GanttView[[#This Row],[_Row]])&amp;"")</f>
        <v/>
      </c>
      <c r="K142" s="83" t="str">
        <f aca="false">IF(IFERROR(INDEX(tsk_Name,GanttView[[#This Row],[_Row]])="",TRUE()),"",INDEX(tsk_Status,GanttView[[#This Row],[_Row]]))</f>
        <v/>
      </c>
      <c r="L142" s="87" t="n">
        <f aca="false">ROW()-ROW(GanttView[[#Headers],[ID]])</f>
        <v>137</v>
      </c>
      <c r="M142" s="88" t="b">
        <f aca="false">IF(IFERROR(INDEX(tsk_Name,GanttView[[#This Row],[_Row]])="",TRUE()),FALSE(),INDEX(tsk_IsSummary,GanttView[[#This Row],[_Row]]))</f>
        <v>0</v>
      </c>
      <c r="N142" s="88" t="b">
        <f aca="false">IF(IFERROR(INDEX(tsk_Name,GanttView[[#This Row],[_Row]])="",TRUE()),FALSE(),AND(INDEX(tsk_IsLeaf,GanttView[[#This Row],[_Row]])=1,N(INDEX(tsk_Duration,GanttView[[#This Row],[_Row]]))=0))</f>
        <v>0</v>
      </c>
      <c r="O14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89" t="n">
        <f aca="false">IF(GanttView[[#This Row],[_RemFrom]]=0,0,GanttView[[#This Row],[Forecast Finish]])</f>
        <v>0</v>
      </c>
      <c r="S142" s="88" t="b">
        <f aca="false">IF(IFERROR(INDEX(tsk_Name,GanttView[[#This Row],[_Row]])="",TRUE()),FALSE(),N(INDEX(tsk_Variance,GanttView[[#This Row],[_Row]]))&gt;0)</f>
        <v>0</v>
      </c>
      <c r="T142" s="89" t="n">
        <f aca="false">IF(IFERROR(INDEX(tsk_Name,GanttView[[#This Row],[_Row]])="",TRUE()),0,N(INDEX(tsk_Deadline,GanttView[[#This Row],[_Row]])))</f>
        <v>0</v>
      </c>
      <c r="U142" s="88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83" t="str">
        <f aca="false">IF(IFERROR(INDEX(tsk_Name,GanttView[[#This Row],[_Row]])="",TRUE()),"",INDEX(tsk_ID,GanttView[[#This Row],[_Row]]))</f>
        <v/>
      </c>
      <c r="B143" s="83" t="str">
        <f aca="false">IF(IFERROR(INDEX(tsk_Name,GanttView[[#This Row],[_Row]])="",TRUE()),"",INDEX(tsk_WBS,GanttView[[#This Row],[_Row]]))</f>
        <v/>
      </c>
      <c r="C143" s="84" t="str">
        <f aca="false">IF(IFERROR(INDEX(tsk_Name,GanttView[[#This Row],[_Row]])="",TRUE()),"",REPT("    ",INDEX(tsk_Level,GanttView[[#This Row],[_Row]])-1)&amp;INDEX(tsk_Name,GanttView[[#This Row],[_Row]]))</f>
        <v/>
      </c>
      <c r="D14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85" t="str">
        <f aca="false">IF(IFERROR(INDEX(tsk_Name,GanttView[[#This Row],[_Row]])="",TRUE()),"",INDEX(tsk_PlanStart,GanttView[[#This Row],[_Row]]))</f>
        <v/>
      </c>
      <c r="F143" s="85" t="str">
        <f aca="false">IF(IFERROR(INDEX(tsk_Name,GanttView[[#This Row],[_Row]])="",TRUE()),"",INDEX(tsk_PlanFinish,GanttView[[#This Row],[_Row]]))</f>
        <v/>
      </c>
      <c r="G143" s="85" t="str">
        <f aca="false">IF(IFERROR(INDEX(tsk_Name,GanttView[[#This Row],[_Row]])="",TRUE()),"",INDEX(tsk_FcStart,GanttView[[#This Row],[_Row]]))</f>
        <v/>
      </c>
      <c r="H143" s="85" t="str">
        <f aca="false">IF(IFERROR(INDEX(tsk_Name,GanttView[[#This Row],[_Row]])="",TRUE()),"",INDEX(tsk_FcFinish,GanttView[[#This Row],[_Row]]))</f>
        <v/>
      </c>
      <c r="I143" s="86" t="str">
        <f aca="false">IF(IFERROR(INDEX(tsk_Name,GanttView[[#This Row],[_Row]])="",TRUE()),"",INDEX(tsk_Progress,GanttView[[#This Row],[_Row]]))</f>
        <v/>
      </c>
      <c r="J143" s="84" t="str">
        <f aca="false">IF(IFERROR(INDEX(tsk_Name,GanttView[[#This Row],[_Row]])="",TRUE()),"",INDEX(tsk_Resource,GanttView[[#This Row],[_Row]])&amp;"")</f>
        <v/>
      </c>
      <c r="K143" s="83" t="str">
        <f aca="false">IF(IFERROR(INDEX(tsk_Name,GanttView[[#This Row],[_Row]])="",TRUE()),"",INDEX(tsk_Status,GanttView[[#This Row],[_Row]]))</f>
        <v/>
      </c>
      <c r="L143" s="87" t="n">
        <f aca="false">ROW()-ROW(GanttView[[#Headers],[ID]])</f>
        <v>138</v>
      </c>
      <c r="M143" s="88" t="b">
        <f aca="false">IF(IFERROR(INDEX(tsk_Name,GanttView[[#This Row],[_Row]])="",TRUE()),FALSE(),INDEX(tsk_IsSummary,GanttView[[#This Row],[_Row]]))</f>
        <v>0</v>
      </c>
      <c r="N143" s="88" t="b">
        <f aca="false">IF(IFERROR(INDEX(tsk_Name,GanttView[[#This Row],[_Row]])="",TRUE()),FALSE(),AND(INDEX(tsk_IsLeaf,GanttView[[#This Row],[_Row]])=1,N(INDEX(tsk_Duration,GanttView[[#This Row],[_Row]]))=0))</f>
        <v>0</v>
      </c>
      <c r="O14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89" t="n">
        <f aca="false">IF(GanttView[[#This Row],[_RemFrom]]=0,0,GanttView[[#This Row],[Forecast Finish]])</f>
        <v>0</v>
      </c>
      <c r="S143" s="88" t="b">
        <f aca="false">IF(IFERROR(INDEX(tsk_Name,GanttView[[#This Row],[_Row]])="",TRUE()),FALSE(),N(INDEX(tsk_Variance,GanttView[[#This Row],[_Row]]))&gt;0)</f>
        <v>0</v>
      </c>
      <c r="T143" s="89" t="n">
        <f aca="false">IF(IFERROR(INDEX(tsk_Name,GanttView[[#This Row],[_Row]])="",TRUE()),0,N(INDEX(tsk_Deadline,GanttView[[#This Row],[_Row]])))</f>
        <v>0</v>
      </c>
      <c r="U143" s="88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83" t="str">
        <f aca="false">IF(IFERROR(INDEX(tsk_Name,GanttView[[#This Row],[_Row]])="",TRUE()),"",INDEX(tsk_ID,GanttView[[#This Row],[_Row]]))</f>
        <v/>
      </c>
      <c r="B144" s="83" t="str">
        <f aca="false">IF(IFERROR(INDEX(tsk_Name,GanttView[[#This Row],[_Row]])="",TRUE()),"",INDEX(tsk_WBS,GanttView[[#This Row],[_Row]]))</f>
        <v/>
      </c>
      <c r="C144" s="84" t="str">
        <f aca="false">IF(IFERROR(INDEX(tsk_Name,GanttView[[#This Row],[_Row]])="",TRUE()),"",REPT("    ",INDEX(tsk_Level,GanttView[[#This Row],[_Row]])-1)&amp;INDEX(tsk_Name,GanttView[[#This Row],[_Row]]))</f>
        <v/>
      </c>
      <c r="D14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85" t="str">
        <f aca="false">IF(IFERROR(INDEX(tsk_Name,GanttView[[#This Row],[_Row]])="",TRUE()),"",INDEX(tsk_PlanStart,GanttView[[#This Row],[_Row]]))</f>
        <v/>
      </c>
      <c r="F144" s="85" t="str">
        <f aca="false">IF(IFERROR(INDEX(tsk_Name,GanttView[[#This Row],[_Row]])="",TRUE()),"",INDEX(tsk_PlanFinish,GanttView[[#This Row],[_Row]]))</f>
        <v/>
      </c>
      <c r="G144" s="85" t="str">
        <f aca="false">IF(IFERROR(INDEX(tsk_Name,GanttView[[#This Row],[_Row]])="",TRUE()),"",INDEX(tsk_FcStart,GanttView[[#This Row],[_Row]]))</f>
        <v/>
      </c>
      <c r="H144" s="85" t="str">
        <f aca="false">IF(IFERROR(INDEX(tsk_Name,GanttView[[#This Row],[_Row]])="",TRUE()),"",INDEX(tsk_FcFinish,GanttView[[#This Row],[_Row]]))</f>
        <v/>
      </c>
      <c r="I144" s="86" t="str">
        <f aca="false">IF(IFERROR(INDEX(tsk_Name,GanttView[[#This Row],[_Row]])="",TRUE()),"",INDEX(tsk_Progress,GanttView[[#This Row],[_Row]]))</f>
        <v/>
      </c>
      <c r="J144" s="84" t="str">
        <f aca="false">IF(IFERROR(INDEX(tsk_Name,GanttView[[#This Row],[_Row]])="",TRUE()),"",INDEX(tsk_Resource,GanttView[[#This Row],[_Row]])&amp;"")</f>
        <v/>
      </c>
      <c r="K144" s="83" t="str">
        <f aca="false">IF(IFERROR(INDEX(tsk_Name,GanttView[[#This Row],[_Row]])="",TRUE()),"",INDEX(tsk_Status,GanttView[[#This Row],[_Row]]))</f>
        <v/>
      </c>
      <c r="L144" s="87" t="n">
        <f aca="false">ROW()-ROW(GanttView[[#Headers],[ID]])</f>
        <v>139</v>
      </c>
      <c r="M144" s="88" t="b">
        <f aca="false">IF(IFERROR(INDEX(tsk_Name,GanttView[[#This Row],[_Row]])="",TRUE()),FALSE(),INDEX(tsk_IsSummary,GanttView[[#This Row],[_Row]]))</f>
        <v>0</v>
      </c>
      <c r="N144" s="88" t="b">
        <f aca="false">IF(IFERROR(INDEX(tsk_Name,GanttView[[#This Row],[_Row]])="",TRUE()),FALSE(),AND(INDEX(tsk_IsLeaf,GanttView[[#This Row],[_Row]])=1,N(INDEX(tsk_Duration,GanttView[[#This Row],[_Row]]))=0))</f>
        <v>0</v>
      </c>
      <c r="O14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89" t="n">
        <f aca="false">IF(GanttView[[#This Row],[_RemFrom]]=0,0,GanttView[[#This Row],[Forecast Finish]])</f>
        <v>0</v>
      </c>
      <c r="S144" s="88" t="b">
        <f aca="false">IF(IFERROR(INDEX(tsk_Name,GanttView[[#This Row],[_Row]])="",TRUE()),FALSE(),N(INDEX(tsk_Variance,GanttView[[#This Row],[_Row]]))&gt;0)</f>
        <v>0</v>
      </c>
      <c r="T144" s="89" t="n">
        <f aca="false">IF(IFERROR(INDEX(tsk_Name,GanttView[[#This Row],[_Row]])="",TRUE()),0,N(INDEX(tsk_Deadline,GanttView[[#This Row],[_Row]])))</f>
        <v>0</v>
      </c>
      <c r="U144" s="88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83" t="str">
        <f aca="false">IF(IFERROR(INDEX(tsk_Name,GanttView[[#This Row],[_Row]])="",TRUE()),"",INDEX(tsk_ID,GanttView[[#This Row],[_Row]]))</f>
        <v/>
      </c>
      <c r="B145" s="83" t="str">
        <f aca="false">IF(IFERROR(INDEX(tsk_Name,GanttView[[#This Row],[_Row]])="",TRUE()),"",INDEX(tsk_WBS,GanttView[[#This Row],[_Row]]))</f>
        <v/>
      </c>
      <c r="C145" s="84" t="str">
        <f aca="false">IF(IFERROR(INDEX(tsk_Name,GanttView[[#This Row],[_Row]])="",TRUE()),"",REPT("    ",INDEX(tsk_Level,GanttView[[#This Row],[_Row]])-1)&amp;INDEX(tsk_Name,GanttView[[#This Row],[_Row]]))</f>
        <v/>
      </c>
      <c r="D14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85" t="str">
        <f aca="false">IF(IFERROR(INDEX(tsk_Name,GanttView[[#This Row],[_Row]])="",TRUE()),"",INDEX(tsk_PlanStart,GanttView[[#This Row],[_Row]]))</f>
        <v/>
      </c>
      <c r="F145" s="85" t="str">
        <f aca="false">IF(IFERROR(INDEX(tsk_Name,GanttView[[#This Row],[_Row]])="",TRUE()),"",INDEX(tsk_PlanFinish,GanttView[[#This Row],[_Row]]))</f>
        <v/>
      </c>
      <c r="G145" s="85" t="str">
        <f aca="false">IF(IFERROR(INDEX(tsk_Name,GanttView[[#This Row],[_Row]])="",TRUE()),"",INDEX(tsk_FcStart,GanttView[[#This Row],[_Row]]))</f>
        <v/>
      </c>
      <c r="H145" s="85" t="str">
        <f aca="false">IF(IFERROR(INDEX(tsk_Name,GanttView[[#This Row],[_Row]])="",TRUE()),"",INDEX(tsk_FcFinish,GanttView[[#This Row],[_Row]]))</f>
        <v/>
      </c>
      <c r="I145" s="86" t="str">
        <f aca="false">IF(IFERROR(INDEX(tsk_Name,GanttView[[#This Row],[_Row]])="",TRUE()),"",INDEX(tsk_Progress,GanttView[[#This Row],[_Row]]))</f>
        <v/>
      </c>
      <c r="J145" s="84" t="str">
        <f aca="false">IF(IFERROR(INDEX(tsk_Name,GanttView[[#This Row],[_Row]])="",TRUE()),"",INDEX(tsk_Resource,GanttView[[#This Row],[_Row]])&amp;"")</f>
        <v/>
      </c>
      <c r="K145" s="83" t="str">
        <f aca="false">IF(IFERROR(INDEX(tsk_Name,GanttView[[#This Row],[_Row]])="",TRUE()),"",INDEX(tsk_Status,GanttView[[#This Row],[_Row]]))</f>
        <v/>
      </c>
      <c r="L145" s="87" t="n">
        <f aca="false">ROW()-ROW(GanttView[[#Headers],[ID]])</f>
        <v>140</v>
      </c>
      <c r="M145" s="88" t="b">
        <f aca="false">IF(IFERROR(INDEX(tsk_Name,GanttView[[#This Row],[_Row]])="",TRUE()),FALSE(),INDEX(tsk_IsSummary,GanttView[[#This Row],[_Row]]))</f>
        <v>0</v>
      </c>
      <c r="N145" s="88" t="b">
        <f aca="false">IF(IFERROR(INDEX(tsk_Name,GanttView[[#This Row],[_Row]])="",TRUE()),FALSE(),AND(INDEX(tsk_IsLeaf,GanttView[[#This Row],[_Row]])=1,N(INDEX(tsk_Duration,GanttView[[#This Row],[_Row]]))=0))</f>
        <v>0</v>
      </c>
      <c r="O14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89" t="n">
        <f aca="false">IF(GanttView[[#This Row],[_RemFrom]]=0,0,GanttView[[#This Row],[Forecast Finish]])</f>
        <v>0</v>
      </c>
      <c r="S145" s="88" t="b">
        <f aca="false">IF(IFERROR(INDEX(tsk_Name,GanttView[[#This Row],[_Row]])="",TRUE()),FALSE(),N(INDEX(tsk_Variance,GanttView[[#This Row],[_Row]]))&gt;0)</f>
        <v>0</v>
      </c>
      <c r="T145" s="89" t="n">
        <f aca="false">IF(IFERROR(INDEX(tsk_Name,GanttView[[#This Row],[_Row]])="",TRUE()),0,N(INDEX(tsk_Deadline,GanttView[[#This Row],[_Row]])))</f>
        <v>0</v>
      </c>
      <c r="U145" s="88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83" t="str">
        <f aca="false">IF(IFERROR(INDEX(tsk_Name,GanttView[[#This Row],[_Row]])="",TRUE()),"",INDEX(tsk_ID,GanttView[[#This Row],[_Row]]))</f>
        <v/>
      </c>
      <c r="B146" s="83" t="str">
        <f aca="false">IF(IFERROR(INDEX(tsk_Name,GanttView[[#This Row],[_Row]])="",TRUE()),"",INDEX(tsk_WBS,GanttView[[#This Row],[_Row]]))</f>
        <v/>
      </c>
      <c r="C146" s="84" t="str">
        <f aca="false">IF(IFERROR(INDEX(tsk_Name,GanttView[[#This Row],[_Row]])="",TRUE()),"",REPT("    ",INDEX(tsk_Level,GanttView[[#This Row],[_Row]])-1)&amp;INDEX(tsk_Name,GanttView[[#This Row],[_Row]]))</f>
        <v/>
      </c>
      <c r="D14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85" t="str">
        <f aca="false">IF(IFERROR(INDEX(tsk_Name,GanttView[[#This Row],[_Row]])="",TRUE()),"",INDEX(tsk_PlanStart,GanttView[[#This Row],[_Row]]))</f>
        <v/>
      </c>
      <c r="F146" s="85" t="str">
        <f aca="false">IF(IFERROR(INDEX(tsk_Name,GanttView[[#This Row],[_Row]])="",TRUE()),"",INDEX(tsk_PlanFinish,GanttView[[#This Row],[_Row]]))</f>
        <v/>
      </c>
      <c r="G146" s="85" t="str">
        <f aca="false">IF(IFERROR(INDEX(tsk_Name,GanttView[[#This Row],[_Row]])="",TRUE()),"",INDEX(tsk_FcStart,GanttView[[#This Row],[_Row]]))</f>
        <v/>
      </c>
      <c r="H146" s="85" t="str">
        <f aca="false">IF(IFERROR(INDEX(tsk_Name,GanttView[[#This Row],[_Row]])="",TRUE()),"",INDEX(tsk_FcFinish,GanttView[[#This Row],[_Row]]))</f>
        <v/>
      </c>
      <c r="I146" s="86" t="str">
        <f aca="false">IF(IFERROR(INDEX(tsk_Name,GanttView[[#This Row],[_Row]])="",TRUE()),"",INDEX(tsk_Progress,GanttView[[#This Row],[_Row]]))</f>
        <v/>
      </c>
      <c r="J146" s="84" t="str">
        <f aca="false">IF(IFERROR(INDEX(tsk_Name,GanttView[[#This Row],[_Row]])="",TRUE()),"",INDEX(tsk_Resource,GanttView[[#This Row],[_Row]])&amp;"")</f>
        <v/>
      </c>
      <c r="K146" s="83" t="str">
        <f aca="false">IF(IFERROR(INDEX(tsk_Name,GanttView[[#This Row],[_Row]])="",TRUE()),"",INDEX(tsk_Status,GanttView[[#This Row],[_Row]]))</f>
        <v/>
      </c>
      <c r="L146" s="87" t="n">
        <f aca="false">ROW()-ROW(GanttView[[#Headers],[ID]])</f>
        <v>141</v>
      </c>
      <c r="M146" s="88" t="b">
        <f aca="false">IF(IFERROR(INDEX(tsk_Name,GanttView[[#This Row],[_Row]])="",TRUE()),FALSE(),INDEX(tsk_IsSummary,GanttView[[#This Row],[_Row]]))</f>
        <v>0</v>
      </c>
      <c r="N146" s="88" t="b">
        <f aca="false">IF(IFERROR(INDEX(tsk_Name,GanttView[[#This Row],[_Row]])="",TRUE()),FALSE(),AND(INDEX(tsk_IsLeaf,GanttView[[#This Row],[_Row]])=1,N(INDEX(tsk_Duration,GanttView[[#This Row],[_Row]]))=0))</f>
        <v>0</v>
      </c>
      <c r="O14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89" t="n">
        <f aca="false">IF(GanttView[[#This Row],[_RemFrom]]=0,0,GanttView[[#This Row],[Forecast Finish]])</f>
        <v>0</v>
      </c>
      <c r="S146" s="88" t="b">
        <f aca="false">IF(IFERROR(INDEX(tsk_Name,GanttView[[#This Row],[_Row]])="",TRUE()),FALSE(),N(INDEX(tsk_Variance,GanttView[[#This Row],[_Row]]))&gt;0)</f>
        <v>0</v>
      </c>
      <c r="T146" s="89" t="n">
        <f aca="false">IF(IFERROR(INDEX(tsk_Name,GanttView[[#This Row],[_Row]])="",TRUE()),0,N(INDEX(tsk_Deadline,GanttView[[#This Row],[_Row]])))</f>
        <v>0</v>
      </c>
      <c r="U146" s="88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83" t="str">
        <f aca="false">IF(IFERROR(INDEX(tsk_Name,GanttView[[#This Row],[_Row]])="",TRUE()),"",INDEX(tsk_ID,GanttView[[#This Row],[_Row]]))</f>
        <v/>
      </c>
      <c r="B147" s="83" t="str">
        <f aca="false">IF(IFERROR(INDEX(tsk_Name,GanttView[[#This Row],[_Row]])="",TRUE()),"",INDEX(tsk_WBS,GanttView[[#This Row],[_Row]]))</f>
        <v/>
      </c>
      <c r="C147" s="84" t="str">
        <f aca="false">IF(IFERROR(INDEX(tsk_Name,GanttView[[#This Row],[_Row]])="",TRUE()),"",REPT("    ",INDEX(tsk_Level,GanttView[[#This Row],[_Row]])-1)&amp;INDEX(tsk_Name,GanttView[[#This Row],[_Row]]))</f>
        <v/>
      </c>
      <c r="D14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85" t="str">
        <f aca="false">IF(IFERROR(INDEX(tsk_Name,GanttView[[#This Row],[_Row]])="",TRUE()),"",INDEX(tsk_PlanStart,GanttView[[#This Row],[_Row]]))</f>
        <v/>
      </c>
      <c r="F147" s="85" t="str">
        <f aca="false">IF(IFERROR(INDEX(tsk_Name,GanttView[[#This Row],[_Row]])="",TRUE()),"",INDEX(tsk_PlanFinish,GanttView[[#This Row],[_Row]]))</f>
        <v/>
      </c>
      <c r="G147" s="85" t="str">
        <f aca="false">IF(IFERROR(INDEX(tsk_Name,GanttView[[#This Row],[_Row]])="",TRUE()),"",INDEX(tsk_FcStart,GanttView[[#This Row],[_Row]]))</f>
        <v/>
      </c>
      <c r="H147" s="85" t="str">
        <f aca="false">IF(IFERROR(INDEX(tsk_Name,GanttView[[#This Row],[_Row]])="",TRUE()),"",INDEX(tsk_FcFinish,GanttView[[#This Row],[_Row]]))</f>
        <v/>
      </c>
      <c r="I147" s="86" t="str">
        <f aca="false">IF(IFERROR(INDEX(tsk_Name,GanttView[[#This Row],[_Row]])="",TRUE()),"",INDEX(tsk_Progress,GanttView[[#This Row],[_Row]]))</f>
        <v/>
      </c>
      <c r="J147" s="84" t="str">
        <f aca="false">IF(IFERROR(INDEX(tsk_Name,GanttView[[#This Row],[_Row]])="",TRUE()),"",INDEX(tsk_Resource,GanttView[[#This Row],[_Row]])&amp;"")</f>
        <v/>
      </c>
      <c r="K147" s="83" t="str">
        <f aca="false">IF(IFERROR(INDEX(tsk_Name,GanttView[[#This Row],[_Row]])="",TRUE()),"",INDEX(tsk_Status,GanttView[[#This Row],[_Row]]))</f>
        <v/>
      </c>
      <c r="L147" s="87" t="n">
        <f aca="false">ROW()-ROW(GanttView[[#Headers],[ID]])</f>
        <v>142</v>
      </c>
      <c r="M147" s="88" t="b">
        <f aca="false">IF(IFERROR(INDEX(tsk_Name,GanttView[[#This Row],[_Row]])="",TRUE()),FALSE(),INDEX(tsk_IsSummary,GanttView[[#This Row],[_Row]]))</f>
        <v>0</v>
      </c>
      <c r="N147" s="88" t="b">
        <f aca="false">IF(IFERROR(INDEX(tsk_Name,GanttView[[#This Row],[_Row]])="",TRUE()),FALSE(),AND(INDEX(tsk_IsLeaf,GanttView[[#This Row],[_Row]])=1,N(INDEX(tsk_Duration,GanttView[[#This Row],[_Row]]))=0))</f>
        <v>0</v>
      </c>
      <c r="O14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89" t="n">
        <f aca="false">IF(GanttView[[#This Row],[_RemFrom]]=0,0,GanttView[[#This Row],[Forecast Finish]])</f>
        <v>0</v>
      </c>
      <c r="S147" s="88" t="b">
        <f aca="false">IF(IFERROR(INDEX(tsk_Name,GanttView[[#This Row],[_Row]])="",TRUE()),FALSE(),N(INDEX(tsk_Variance,GanttView[[#This Row],[_Row]]))&gt;0)</f>
        <v>0</v>
      </c>
      <c r="T147" s="89" t="n">
        <f aca="false">IF(IFERROR(INDEX(tsk_Name,GanttView[[#This Row],[_Row]])="",TRUE()),0,N(INDEX(tsk_Deadline,GanttView[[#This Row],[_Row]])))</f>
        <v>0</v>
      </c>
      <c r="U147" s="88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83" t="str">
        <f aca="false">IF(IFERROR(INDEX(tsk_Name,GanttView[[#This Row],[_Row]])="",TRUE()),"",INDEX(tsk_ID,GanttView[[#This Row],[_Row]]))</f>
        <v/>
      </c>
      <c r="B148" s="83" t="str">
        <f aca="false">IF(IFERROR(INDEX(tsk_Name,GanttView[[#This Row],[_Row]])="",TRUE()),"",INDEX(tsk_WBS,GanttView[[#This Row],[_Row]]))</f>
        <v/>
      </c>
      <c r="C148" s="84" t="str">
        <f aca="false">IF(IFERROR(INDEX(tsk_Name,GanttView[[#This Row],[_Row]])="",TRUE()),"",REPT("    ",INDEX(tsk_Level,GanttView[[#This Row],[_Row]])-1)&amp;INDEX(tsk_Name,GanttView[[#This Row],[_Row]]))</f>
        <v/>
      </c>
      <c r="D14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85" t="str">
        <f aca="false">IF(IFERROR(INDEX(tsk_Name,GanttView[[#This Row],[_Row]])="",TRUE()),"",INDEX(tsk_PlanStart,GanttView[[#This Row],[_Row]]))</f>
        <v/>
      </c>
      <c r="F148" s="85" t="str">
        <f aca="false">IF(IFERROR(INDEX(tsk_Name,GanttView[[#This Row],[_Row]])="",TRUE()),"",INDEX(tsk_PlanFinish,GanttView[[#This Row],[_Row]]))</f>
        <v/>
      </c>
      <c r="G148" s="85" t="str">
        <f aca="false">IF(IFERROR(INDEX(tsk_Name,GanttView[[#This Row],[_Row]])="",TRUE()),"",INDEX(tsk_FcStart,GanttView[[#This Row],[_Row]]))</f>
        <v/>
      </c>
      <c r="H148" s="85" t="str">
        <f aca="false">IF(IFERROR(INDEX(tsk_Name,GanttView[[#This Row],[_Row]])="",TRUE()),"",INDEX(tsk_FcFinish,GanttView[[#This Row],[_Row]]))</f>
        <v/>
      </c>
      <c r="I148" s="86" t="str">
        <f aca="false">IF(IFERROR(INDEX(tsk_Name,GanttView[[#This Row],[_Row]])="",TRUE()),"",INDEX(tsk_Progress,GanttView[[#This Row],[_Row]]))</f>
        <v/>
      </c>
      <c r="J148" s="84" t="str">
        <f aca="false">IF(IFERROR(INDEX(tsk_Name,GanttView[[#This Row],[_Row]])="",TRUE()),"",INDEX(tsk_Resource,GanttView[[#This Row],[_Row]])&amp;"")</f>
        <v/>
      </c>
      <c r="K148" s="83" t="str">
        <f aca="false">IF(IFERROR(INDEX(tsk_Name,GanttView[[#This Row],[_Row]])="",TRUE()),"",INDEX(tsk_Status,GanttView[[#This Row],[_Row]]))</f>
        <v/>
      </c>
      <c r="L148" s="87" t="n">
        <f aca="false">ROW()-ROW(GanttView[[#Headers],[ID]])</f>
        <v>143</v>
      </c>
      <c r="M148" s="88" t="b">
        <f aca="false">IF(IFERROR(INDEX(tsk_Name,GanttView[[#This Row],[_Row]])="",TRUE()),FALSE(),INDEX(tsk_IsSummary,GanttView[[#This Row],[_Row]]))</f>
        <v>0</v>
      </c>
      <c r="N148" s="88" t="b">
        <f aca="false">IF(IFERROR(INDEX(tsk_Name,GanttView[[#This Row],[_Row]])="",TRUE()),FALSE(),AND(INDEX(tsk_IsLeaf,GanttView[[#This Row],[_Row]])=1,N(INDEX(tsk_Duration,GanttView[[#This Row],[_Row]]))=0))</f>
        <v>0</v>
      </c>
      <c r="O14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89" t="n">
        <f aca="false">IF(GanttView[[#This Row],[_RemFrom]]=0,0,GanttView[[#This Row],[Forecast Finish]])</f>
        <v>0</v>
      </c>
      <c r="S148" s="88" t="b">
        <f aca="false">IF(IFERROR(INDEX(tsk_Name,GanttView[[#This Row],[_Row]])="",TRUE()),FALSE(),N(INDEX(tsk_Variance,GanttView[[#This Row],[_Row]]))&gt;0)</f>
        <v>0</v>
      </c>
      <c r="T148" s="89" t="n">
        <f aca="false">IF(IFERROR(INDEX(tsk_Name,GanttView[[#This Row],[_Row]])="",TRUE()),0,N(INDEX(tsk_Deadline,GanttView[[#This Row],[_Row]])))</f>
        <v>0</v>
      </c>
      <c r="U148" s="88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83" t="str">
        <f aca="false">IF(IFERROR(INDEX(tsk_Name,GanttView[[#This Row],[_Row]])="",TRUE()),"",INDEX(tsk_ID,GanttView[[#This Row],[_Row]]))</f>
        <v/>
      </c>
      <c r="B149" s="83" t="str">
        <f aca="false">IF(IFERROR(INDEX(tsk_Name,GanttView[[#This Row],[_Row]])="",TRUE()),"",INDEX(tsk_WBS,GanttView[[#This Row],[_Row]]))</f>
        <v/>
      </c>
      <c r="C149" s="84" t="str">
        <f aca="false">IF(IFERROR(INDEX(tsk_Name,GanttView[[#This Row],[_Row]])="",TRUE()),"",REPT("    ",INDEX(tsk_Level,GanttView[[#This Row],[_Row]])-1)&amp;INDEX(tsk_Name,GanttView[[#This Row],[_Row]]))</f>
        <v/>
      </c>
      <c r="D14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85" t="str">
        <f aca="false">IF(IFERROR(INDEX(tsk_Name,GanttView[[#This Row],[_Row]])="",TRUE()),"",INDEX(tsk_PlanStart,GanttView[[#This Row],[_Row]]))</f>
        <v/>
      </c>
      <c r="F149" s="85" t="str">
        <f aca="false">IF(IFERROR(INDEX(tsk_Name,GanttView[[#This Row],[_Row]])="",TRUE()),"",INDEX(tsk_PlanFinish,GanttView[[#This Row],[_Row]]))</f>
        <v/>
      </c>
      <c r="G149" s="85" t="str">
        <f aca="false">IF(IFERROR(INDEX(tsk_Name,GanttView[[#This Row],[_Row]])="",TRUE()),"",INDEX(tsk_FcStart,GanttView[[#This Row],[_Row]]))</f>
        <v/>
      </c>
      <c r="H149" s="85" t="str">
        <f aca="false">IF(IFERROR(INDEX(tsk_Name,GanttView[[#This Row],[_Row]])="",TRUE()),"",INDEX(tsk_FcFinish,GanttView[[#This Row],[_Row]]))</f>
        <v/>
      </c>
      <c r="I149" s="86" t="str">
        <f aca="false">IF(IFERROR(INDEX(tsk_Name,GanttView[[#This Row],[_Row]])="",TRUE()),"",INDEX(tsk_Progress,GanttView[[#This Row],[_Row]]))</f>
        <v/>
      </c>
      <c r="J149" s="84" t="str">
        <f aca="false">IF(IFERROR(INDEX(tsk_Name,GanttView[[#This Row],[_Row]])="",TRUE()),"",INDEX(tsk_Resource,GanttView[[#This Row],[_Row]])&amp;"")</f>
        <v/>
      </c>
      <c r="K149" s="83" t="str">
        <f aca="false">IF(IFERROR(INDEX(tsk_Name,GanttView[[#This Row],[_Row]])="",TRUE()),"",INDEX(tsk_Status,GanttView[[#This Row],[_Row]]))</f>
        <v/>
      </c>
      <c r="L149" s="87" t="n">
        <f aca="false">ROW()-ROW(GanttView[[#Headers],[ID]])</f>
        <v>144</v>
      </c>
      <c r="M149" s="88" t="b">
        <f aca="false">IF(IFERROR(INDEX(tsk_Name,GanttView[[#This Row],[_Row]])="",TRUE()),FALSE(),INDEX(tsk_IsSummary,GanttView[[#This Row],[_Row]]))</f>
        <v>0</v>
      </c>
      <c r="N149" s="88" t="b">
        <f aca="false">IF(IFERROR(INDEX(tsk_Name,GanttView[[#This Row],[_Row]])="",TRUE()),FALSE(),AND(INDEX(tsk_IsLeaf,GanttView[[#This Row],[_Row]])=1,N(INDEX(tsk_Duration,GanttView[[#This Row],[_Row]]))=0))</f>
        <v>0</v>
      </c>
      <c r="O14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89" t="n">
        <f aca="false">IF(GanttView[[#This Row],[_RemFrom]]=0,0,GanttView[[#This Row],[Forecast Finish]])</f>
        <v>0</v>
      </c>
      <c r="S149" s="88" t="b">
        <f aca="false">IF(IFERROR(INDEX(tsk_Name,GanttView[[#This Row],[_Row]])="",TRUE()),FALSE(),N(INDEX(tsk_Variance,GanttView[[#This Row],[_Row]]))&gt;0)</f>
        <v>0</v>
      </c>
      <c r="T149" s="89" t="n">
        <f aca="false">IF(IFERROR(INDEX(tsk_Name,GanttView[[#This Row],[_Row]])="",TRUE()),0,N(INDEX(tsk_Deadline,GanttView[[#This Row],[_Row]])))</f>
        <v>0</v>
      </c>
      <c r="U149" s="88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83" t="str">
        <f aca="false">IF(IFERROR(INDEX(tsk_Name,GanttView[[#This Row],[_Row]])="",TRUE()),"",INDEX(tsk_ID,GanttView[[#This Row],[_Row]]))</f>
        <v/>
      </c>
      <c r="B150" s="83" t="str">
        <f aca="false">IF(IFERROR(INDEX(tsk_Name,GanttView[[#This Row],[_Row]])="",TRUE()),"",INDEX(tsk_WBS,GanttView[[#This Row],[_Row]]))</f>
        <v/>
      </c>
      <c r="C150" s="84" t="str">
        <f aca="false">IF(IFERROR(INDEX(tsk_Name,GanttView[[#This Row],[_Row]])="",TRUE()),"",REPT("    ",INDEX(tsk_Level,GanttView[[#This Row],[_Row]])-1)&amp;INDEX(tsk_Name,GanttView[[#This Row],[_Row]]))</f>
        <v/>
      </c>
      <c r="D15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85" t="str">
        <f aca="false">IF(IFERROR(INDEX(tsk_Name,GanttView[[#This Row],[_Row]])="",TRUE()),"",INDEX(tsk_PlanStart,GanttView[[#This Row],[_Row]]))</f>
        <v/>
      </c>
      <c r="F150" s="85" t="str">
        <f aca="false">IF(IFERROR(INDEX(tsk_Name,GanttView[[#This Row],[_Row]])="",TRUE()),"",INDEX(tsk_PlanFinish,GanttView[[#This Row],[_Row]]))</f>
        <v/>
      </c>
      <c r="G150" s="85" t="str">
        <f aca="false">IF(IFERROR(INDEX(tsk_Name,GanttView[[#This Row],[_Row]])="",TRUE()),"",INDEX(tsk_FcStart,GanttView[[#This Row],[_Row]]))</f>
        <v/>
      </c>
      <c r="H150" s="85" t="str">
        <f aca="false">IF(IFERROR(INDEX(tsk_Name,GanttView[[#This Row],[_Row]])="",TRUE()),"",INDEX(tsk_FcFinish,GanttView[[#This Row],[_Row]]))</f>
        <v/>
      </c>
      <c r="I150" s="86" t="str">
        <f aca="false">IF(IFERROR(INDEX(tsk_Name,GanttView[[#This Row],[_Row]])="",TRUE()),"",INDEX(tsk_Progress,GanttView[[#This Row],[_Row]]))</f>
        <v/>
      </c>
      <c r="J150" s="84" t="str">
        <f aca="false">IF(IFERROR(INDEX(tsk_Name,GanttView[[#This Row],[_Row]])="",TRUE()),"",INDEX(tsk_Resource,GanttView[[#This Row],[_Row]])&amp;"")</f>
        <v/>
      </c>
      <c r="K150" s="83" t="str">
        <f aca="false">IF(IFERROR(INDEX(tsk_Name,GanttView[[#This Row],[_Row]])="",TRUE()),"",INDEX(tsk_Status,GanttView[[#This Row],[_Row]]))</f>
        <v/>
      </c>
      <c r="L150" s="87" t="n">
        <f aca="false">ROW()-ROW(GanttView[[#Headers],[ID]])</f>
        <v>145</v>
      </c>
      <c r="M150" s="88" t="b">
        <f aca="false">IF(IFERROR(INDEX(tsk_Name,GanttView[[#This Row],[_Row]])="",TRUE()),FALSE(),INDEX(tsk_IsSummary,GanttView[[#This Row],[_Row]]))</f>
        <v>0</v>
      </c>
      <c r="N150" s="88" t="b">
        <f aca="false">IF(IFERROR(INDEX(tsk_Name,GanttView[[#This Row],[_Row]])="",TRUE()),FALSE(),AND(INDEX(tsk_IsLeaf,GanttView[[#This Row],[_Row]])=1,N(INDEX(tsk_Duration,GanttView[[#This Row],[_Row]]))=0))</f>
        <v>0</v>
      </c>
      <c r="O15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89" t="n">
        <f aca="false">IF(GanttView[[#This Row],[_RemFrom]]=0,0,GanttView[[#This Row],[Forecast Finish]])</f>
        <v>0</v>
      </c>
      <c r="S150" s="88" t="b">
        <f aca="false">IF(IFERROR(INDEX(tsk_Name,GanttView[[#This Row],[_Row]])="",TRUE()),FALSE(),N(INDEX(tsk_Variance,GanttView[[#This Row],[_Row]]))&gt;0)</f>
        <v>0</v>
      </c>
      <c r="T150" s="89" t="n">
        <f aca="false">IF(IFERROR(INDEX(tsk_Name,GanttView[[#This Row],[_Row]])="",TRUE()),0,N(INDEX(tsk_Deadline,GanttView[[#This Row],[_Row]])))</f>
        <v>0</v>
      </c>
      <c r="U150" s="88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83" t="str">
        <f aca="false">IF(IFERROR(INDEX(tsk_Name,GanttView[[#This Row],[_Row]])="",TRUE()),"",INDEX(tsk_ID,GanttView[[#This Row],[_Row]]))</f>
        <v/>
      </c>
      <c r="B151" s="83" t="str">
        <f aca="false">IF(IFERROR(INDEX(tsk_Name,GanttView[[#This Row],[_Row]])="",TRUE()),"",INDEX(tsk_WBS,GanttView[[#This Row],[_Row]]))</f>
        <v/>
      </c>
      <c r="C151" s="84" t="str">
        <f aca="false">IF(IFERROR(INDEX(tsk_Name,GanttView[[#This Row],[_Row]])="",TRUE()),"",REPT("    ",INDEX(tsk_Level,GanttView[[#This Row],[_Row]])-1)&amp;INDEX(tsk_Name,GanttView[[#This Row],[_Row]]))</f>
        <v/>
      </c>
      <c r="D15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85" t="str">
        <f aca="false">IF(IFERROR(INDEX(tsk_Name,GanttView[[#This Row],[_Row]])="",TRUE()),"",INDEX(tsk_PlanStart,GanttView[[#This Row],[_Row]]))</f>
        <v/>
      </c>
      <c r="F151" s="85" t="str">
        <f aca="false">IF(IFERROR(INDEX(tsk_Name,GanttView[[#This Row],[_Row]])="",TRUE()),"",INDEX(tsk_PlanFinish,GanttView[[#This Row],[_Row]]))</f>
        <v/>
      </c>
      <c r="G151" s="85" t="str">
        <f aca="false">IF(IFERROR(INDEX(tsk_Name,GanttView[[#This Row],[_Row]])="",TRUE()),"",INDEX(tsk_FcStart,GanttView[[#This Row],[_Row]]))</f>
        <v/>
      </c>
      <c r="H151" s="85" t="str">
        <f aca="false">IF(IFERROR(INDEX(tsk_Name,GanttView[[#This Row],[_Row]])="",TRUE()),"",INDEX(tsk_FcFinish,GanttView[[#This Row],[_Row]]))</f>
        <v/>
      </c>
      <c r="I151" s="86" t="str">
        <f aca="false">IF(IFERROR(INDEX(tsk_Name,GanttView[[#This Row],[_Row]])="",TRUE()),"",INDEX(tsk_Progress,GanttView[[#This Row],[_Row]]))</f>
        <v/>
      </c>
      <c r="J151" s="84" t="str">
        <f aca="false">IF(IFERROR(INDEX(tsk_Name,GanttView[[#This Row],[_Row]])="",TRUE()),"",INDEX(tsk_Resource,GanttView[[#This Row],[_Row]])&amp;"")</f>
        <v/>
      </c>
      <c r="K151" s="83" t="str">
        <f aca="false">IF(IFERROR(INDEX(tsk_Name,GanttView[[#This Row],[_Row]])="",TRUE()),"",INDEX(tsk_Status,GanttView[[#This Row],[_Row]]))</f>
        <v/>
      </c>
      <c r="L151" s="87" t="n">
        <f aca="false">ROW()-ROW(GanttView[[#Headers],[ID]])</f>
        <v>146</v>
      </c>
      <c r="M151" s="88" t="b">
        <f aca="false">IF(IFERROR(INDEX(tsk_Name,GanttView[[#This Row],[_Row]])="",TRUE()),FALSE(),INDEX(tsk_IsSummary,GanttView[[#This Row],[_Row]]))</f>
        <v>0</v>
      </c>
      <c r="N151" s="88" t="b">
        <f aca="false">IF(IFERROR(INDEX(tsk_Name,GanttView[[#This Row],[_Row]])="",TRUE()),FALSE(),AND(INDEX(tsk_IsLeaf,GanttView[[#This Row],[_Row]])=1,N(INDEX(tsk_Duration,GanttView[[#This Row],[_Row]]))=0))</f>
        <v>0</v>
      </c>
      <c r="O15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89" t="n">
        <f aca="false">IF(GanttView[[#This Row],[_RemFrom]]=0,0,GanttView[[#This Row],[Forecast Finish]])</f>
        <v>0</v>
      </c>
      <c r="S151" s="88" t="b">
        <f aca="false">IF(IFERROR(INDEX(tsk_Name,GanttView[[#This Row],[_Row]])="",TRUE()),FALSE(),N(INDEX(tsk_Variance,GanttView[[#This Row],[_Row]]))&gt;0)</f>
        <v>0</v>
      </c>
      <c r="T151" s="89" t="n">
        <f aca="false">IF(IFERROR(INDEX(tsk_Name,GanttView[[#This Row],[_Row]])="",TRUE()),0,N(INDEX(tsk_Deadline,GanttView[[#This Row],[_Row]])))</f>
        <v>0</v>
      </c>
      <c r="U151" s="88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83" t="str">
        <f aca="false">IF(IFERROR(INDEX(tsk_Name,GanttView[[#This Row],[_Row]])="",TRUE()),"",INDEX(tsk_ID,GanttView[[#This Row],[_Row]]))</f>
        <v/>
      </c>
      <c r="B152" s="83" t="str">
        <f aca="false">IF(IFERROR(INDEX(tsk_Name,GanttView[[#This Row],[_Row]])="",TRUE()),"",INDEX(tsk_WBS,GanttView[[#This Row],[_Row]]))</f>
        <v/>
      </c>
      <c r="C152" s="84" t="str">
        <f aca="false">IF(IFERROR(INDEX(tsk_Name,GanttView[[#This Row],[_Row]])="",TRUE()),"",REPT("    ",INDEX(tsk_Level,GanttView[[#This Row],[_Row]])-1)&amp;INDEX(tsk_Name,GanttView[[#This Row],[_Row]]))</f>
        <v/>
      </c>
      <c r="D15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85" t="str">
        <f aca="false">IF(IFERROR(INDEX(tsk_Name,GanttView[[#This Row],[_Row]])="",TRUE()),"",INDEX(tsk_PlanStart,GanttView[[#This Row],[_Row]]))</f>
        <v/>
      </c>
      <c r="F152" s="85" t="str">
        <f aca="false">IF(IFERROR(INDEX(tsk_Name,GanttView[[#This Row],[_Row]])="",TRUE()),"",INDEX(tsk_PlanFinish,GanttView[[#This Row],[_Row]]))</f>
        <v/>
      </c>
      <c r="G152" s="85" t="str">
        <f aca="false">IF(IFERROR(INDEX(tsk_Name,GanttView[[#This Row],[_Row]])="",TRUE()),"",INDEX(tsk_FcStart,GanttView[[#This Row],[_Row]]))</f>
        <v/>
      </c>
      <c r="H152" s="85" t="str">
        <f aca="false">IF(IFERROR(INDEX(tsk_Name,GanttView[[#This Row],[_Row]])="",TRUE()),"",INDEX(tsk_FcFinish,GanttView[[#This Row],[_Row]]))</f>
        <v/>
      </c>
      <c r="I152" s="86" t="str">
        <f aca="false">IF(IFERROR(INDEX(tsk_Name,GanttView[[#This Row],[_Row]])="",TRUE()),"",INDEX(tsk_Progress,GanttView[[#This Row],[_Row]]))</f>
        <v/>
      </c>
      <c r="J152" s="84" t="str">
        <f aca="false">IF(IFERROR(INDEX(tsk_Name,GanttView[[#This Row],[_Row]])="",TRUE()),"",INDEX(tsk_Resource,GanttView[[#This Row],[_Row]])&amp;"")</f>
        <v/>
      </c>
      <c r="K152" s="83" t="str">
        <f aca="false">IF(IFERROR(INDEX(tsk_Name,GanttView[[#This Row],[_Row]])="",TRUE()),"",INDEX(tsk_Status,GanttView[[#This Row],[_Row]]))</f>
        <v/>
      </c>
      <c r="L152" s="87" t="n">
        <f aca="false">ROW()-ROW(GanttView[[#Headers],[ID]])</f>
        <v>147</v>
      </c>
      <c r="M152" s="88" t="b">
        <f aca="false">IF(IFERROR(INDEX(tsk_Name,GanttView[[#This Row],[_Row]])="",TRUE()),FALSE(),INDEX(tsk_IsSummary,GanttView[[#This Row],[_Row]]))</f>
        <v>0</v>
      </c>
      <c r="N152" s="88" t="b">
        <f aca="false">IF(IFERROR(INDEX(tsk_Name,GanttView[[#This Row],[_Row]])="",TRUE()),FALSE(),AND(INDEX(tsk_IsLeaf,GanttView[[#This Row],[_Row]])=1,N(INDEX(tsk_Duration,GanttView[[#This Row],[_Row]]))=0))</f>
        <v>0</v>
      </c>
      <c r="O15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89" t="n">
        <f aca="false">IF(GanttView[[#This Row],[_RemFrom]]=0,0,GanttView[[#This Row],[Forecast Finish]])</f>
        <v>0</v>
      </c>
      <c r="S152" s="88" t="b">
        <f aca="false">IF(IFERROR(INDEX(tsk_Name,GanttView[[#This Row],[_Row]])="",TRUE()),FALSE(),N(INDEX(tsk_Variance,GanttView[[#This Row],[_Row]]))&gt;0)</f>
        <v>0</v>
      </c>
      <c r="T152" s="89" t="n">
        <f aca="false">IF(IFERROR(INDEX(tsk_Name,GanttView[[#This Row],[_Row]])="",TRUE()),0,N(INDEX(tsk_Deadline,GanttView[[#This Row],[_Row]])))</f>
        <v>0</v>
      </c>
      <c r="U152" s="88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83" t="str">
        <f aca="false">IF(IFERROR(INDEX(tsk_Name,GanttView[[#This Row],[_Row]])="",TRUE()),"",INDEX(tsk_ID,GanttView[[#This Row],[_Row]]))</f>
        <v/>
      </c>
      <c r="B153" s="83" t="str">
        <f aca="false">IF(IFERROR(INDEX(tsk_Name,GanttView[[#This Row],[_Row]])="",TRUE()),"",INDEX(tsk_WBS,GanttView[[#This Row],[_Row]]))</f>
        <v/>
      </c>
      <c r="C153" s="84" t="str">
        <f aca="false">IF(IFERROR(INDEX(tsk_Name,GanttView[[#This Row],[_Row]])="",TRUE()),"",REPT("    ",INDEX(tsk_Level,GanttView[[#This Row],[_Row]])-1)&amp;INDEX(tsk_Name,GanttView[[#This Row],[_Row]]))</f>
        <v/>
      </c>
      <c r="D15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85" t="str">
        <f aca="false">IF(IFERROR(INDEX(tsk_Name,GanttView[[#This Row],[_Row]])="",TRUE()),"",INDEX(tsk_PlanStart,GanttView[[#This Row],[_Row]]))</f>
        <v/>
      </c>
      <c r="F153" s="85" t="str">
        <f aca="false">IF(IFERROR(INDEX(tsk_Name,GanttView[[#This Row],[_Row]])="",TRUE()),"",INDEX(tsk_PlanFinish,GanttView[[#This Row],[_Row]]))</f>
        <v/>
      </c>
      <c r="G153" s="85" t="str">
        <f aca="false">IF(IFERROR(INDEX(tsk_Name,GanttView[[#This Row],[_Row]])="",TRUE()),"",INDEX(tsk_FcStart,GanttView[[#This Row],[_Row]]))</f>
        <v/>
      </c>
      <c r="H153" s="85" t="str">
        <f aca="false">IF(IFERROR(INDEX(tsk_Name,GanttView[[#This Row],[_Row]])="",TRUE()),"",INDEX(tsk_FcFinish,GanttView[[#This Row],[_Row]]))</f>
        <v/>
      </c>
      <c r="I153" s="86" t="str">
        <f aca="false">IF(IFERROR(INDEX(tsk_Name,GanttView[[#This Row],[_Row]])="",TRUE()),"",INDEX(tsk_Progress,GanttView[[#This Row],[_Row]]))</f>
        <v/>
      </c>
      <c r="J153" s="84" t="str">
        <f aca="false">IF(IFERROR(INDEX(tsk_Name,GanttView[[#This Row],[_Row]])="",TRUE()),"",INDEX(tsk_Resource,GanttView[[#This Row],[_Row]])&amp;"")</f>
        <v/>
      </c>
      <c r="K153" s="83" t="str">
        <f aca="false">IF(IFERROR(INDEX(tsk_Name,GanttView[[#This Row],[_Row]])="",TRUE()),"",INDEX(tsk_Status,GanttView[[#This Row],[_Row]]))</f>
        <v/>
      </c>
      <c r="L153" s="87" t="n">
        <f aca="false">ROW()-ROW(GanttView[[#Headers],[ID]])</f>
        <v>148</v>
      </c>
      <c r="M153" s="88" t="b">
        <f aca="false">IF(IFERROR(INDEX(tsk_Name,GanttView[[#This Row],[_Row]])="",TRUE()),FALSE(),INDEX(tsk_IsSummary,GanttView[[#This Row],[_Row]]))</f>
        <v>0</v>
      </c>
      <c r="N153" s="88" t="b">
        <f aca="false">IF(IFERROR(INDEX(tsk_Name,GanttView[[#This Row],[_Row]])="",TRUE()),FALSE(),AND(INDEX(tsk_IsLeaf,GanttView[[#This Row],[_Row]])=1,N(INDEX(tsk_Duration,GanttView[[#This Row],[_Row]]))=0))</f>
        <v>0</v>
      </c>
      <c r="O15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89" t="n">
        <f aca="false">IF(GanttView[[#This Row],[_RemFrom]]=0,0,GanttView[[#This Row],[Forecast Finish]])</f>
        <v>0</v>
      </c>
      <c r="S153" s="88" t="b">
        <f aca="false">IF(IFERROR(INDEX(tsk_Name,GanttView[[#This Row],[_Row]])="",TRUE()),FALSE(),N(INDEX(tsk_Variance,GanttView[[#This Row],[_Row]]))&gt;0)</f>
        <v>0</v>
      </c>
      <c r="T153" s="89" t="n">
        <f aca="false">IF(IFERROR(INDEX(tsk_Name,GanttView[[#This Row],[_Row]])="",TRUE()),0,N(INDEX(tsk_Deadline,GanttView[[#This Row],[_Row]])))</f>
        <v>0</v>
      </c>
      <c r="U153" s="88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83" t="str">
        <f aca="false">IF(IFERROR(INDEX(tsk_Name,GanttView[[#This Row],[_Row]])="",TRUE()),"",INDEX(tsk_ID,GanttView[[#This Row],[_Row]]))</f>
        <v/>
      </c>
      <c r="B154" s="83" t="str">
        <f aca="false">IF(IFERROR(INDEX(tsk_Name,GanttView[[#This Row],[_Row]])="",TRUE()),"",INDEX(tsk_WBS,GanttView[[#This Row],[_Row]]))</f>
        <v/>
      </c>
      <c r="C154" s="84" t="str">
        <f aca="false">IF(IFERROR(INDEX(tsk_Name,GanttView[[#This Row],[_Row]])="",TRUE()),"",REPT("    ",INDEX(tsk_Level,GanttView[[#This Row],[_Row]])-1)&amp;INDEX(tsk_Name,GanttView[[#This Row],[_Row]]))</f>
        <v/>
      </c>
      <c r="D15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85" t="str">
        <f aca="false">IF(IFERROR(INDEX(tsk_Name,GanttView[[#This Row],[_Row]])="",TRUE()),"",INDEX(tsk_PlanStart,GanttView[[#This Row],[_Row]]))</f>
        <v/>
      </c>
      <c r="F154" s="85" t="str">
        <f aca="false">IF(IFERROR(INDEX(tsk_Name,GanttView[[#This Row],[_Row]])="",TRUE()),"",INDEX(tsk_PlanFinish,GanttView[[#This Row],[_Row]]))</f>
        <v/>
      </c>
      <c r="G154" s="85" t="str">
        <f aca="false">IF(IFERROR(INDEX(tsk_Name,GanttView[[#This Row],[_Row]])="",TRUE()),"",INDEX(tsk_FcStart,GanttView[[#This Row],[_Row]]))</f>
        <v/>
      </c>
      <c r="H154" s="85" t="str">
        <f aca="false">IF(IFERROR(INDEX(tsk_Name,GanttView[[#This Row],[_Row]])="",TRUE()),"",INDEX(tsk_FcFinish,GanttView[[#This Row],[_Row]]))</f>
        <v/>
      </c>
      <c r="I154" s="86" t="str">
        <f aca="false">IF(IFERROR(INDEX(tsk_Name,GanttView[[#This Row],[_Row]])="",TRUE()),"",INDEX(tsk_Progress,GanttView[[#This Row],[_Row]]))</f>
        <v/>
      </c>
      <c r="J154" s="84" t="str">
        <f aca="false">IF(IFERROR(INDEX(tsk_Name,GanttView[[#This Row],[_Row]])="",TRUE()),"",INDEX(tsk_Resource,GanttView[[#This Row],[_Row]])&amp;"")</f>
        <v/>
      </c>
      <c r="K154" s="83" t="str">
        <f aca="false">IF(IFERROR(INDEX(tsk_Name,GanttView[[#This Row],[_Row]])="",TRUE()),"",INDEX(tsk_Status,GanttView[[#This Row],[_Row]]))</f>
        <v/>
      </c>
      <c r="L154" s="87" t="n">
        <f aca="false">ROW()-ROW(GanttView[[#Headers],[ID]])</f>
        <v>149</v>
      </c>
      <c r="M154" s="88" t="b">
        <f aca="false">IF(IFERROR(INDEX(tsk_Name,GanttView[[#This Row],[_Row]])="",TRUE()),FALSE(),INDEX(tsk_IsSummary,GanttView[[#This Row],[_Row]]))</f>
        <v>0</v>
      </c>
      <c r="N154" s="88" t="b">
        <f aca="false">IF(IFERROR(INDEX(tsk_Name,GanttView[[#This Row],[_Row]])="",TRUE()),FALSE(),AND(INDEX(tsk_IsLeaf,GanttView[[#This Row],[_Row]])=1,N(INDEX(tsk_Duration,GanttView[[#This Row],[_Row]]))=0))</f>
        <v>0</v>
      </c>
      <c r="O15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89" t="n">
        <f aca="false">IF(GanttView[[#This Row],[_RemFrom]]=0,0,GanttView[[#This Row],[Forecast Finish]])</f>
        <v>0</v>
      </c>
      <c r="S154" s="88" t="b">
        <f aca="false">IF(IFERROR(INDEX(tsk_Name,GanttView[[#This Row],[_Row]])="",TRUE()),FALSE(),N(INDEX(tsk_Variance,GanttView[[#This Row],[_Row]]))&gt;0)</f>
        <v>0</v>
      </c>
      <c r="T154" s="89" t="n">
        <f aca="false">IF(IFERROR(INDEX(tsk_Name,GanttView[[#This Row],[_Row]])="",TRUE()),0,N(INDEX(tsk_Deadline,GanttView[[#This Row],[_Row]])))</f>
        <v>0</v>
      </c>
      <c r="U154" s="88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83" t="str">
        <f aca="false">IF(IFERROR(INDEX(tsk_Name,GanttView[[#This Row],[_Row]])="",TRUE()),"",INDEX(tsk_ID,GanttView[[#This Row],[_Row]]))</f>
        <v/>
      </c>
      <c r="B155" s="83" t="str">
        <f aca="false">IF(IFERROR(INDEX(tsk_Name,GanttView[[#This Row],[_Row]])="",TRUE()),"",INDEX(tsk_WBS,GanttView[[#This Row],[_Row]]))</f>
        <v/>
      </c>
      <c r="C155" s="84" t="str">
        <f aca="false">IF(IFERROR(INDEX(tsk_Name,GanttView[[#This Row],[_Row]])="",TRUE()),"",REPT("    ",INDEX(tsk_Level,GanttView[[#This Row],[_Row]])-1)&amp;INDEX(tsk_Name,GanttView[[#This Row],[_Row]]))</f>
        <v/>
      </c>
      <c r="D15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85" t="str">
        <f aca="false">IF(IFERROR(INDEX(tsk_Name,GanttView[[#This Row],[_Row]])="",TRUE()),"",INDEX(tsk_PlanStart,GanttView[[#This Row],[_Row]]))</f>
        <v/>
      </c>
      <c r="F155" s="85" t="str">
        <f aca="false">IF(IFERROR(INDEX(tsk_Name,GanttView[[#This Row],[_Row]])="",TRUE()),"",INDEX(tsk_PlanFinish,GanttView[[#This Row],[_Row]]))</f>
        <v/>
      </c>
      <c r="G155" s="85" t="str">
        <f aca="false">IF(IFERROR(INDEX(tsk_Name,GanttView[[#This Row],[_Row]])="",TRUE()),"",INDEX(tsk_FcStart,GanttView[[#This Row],[_Row]]))</f>
        <v/>
      </c>
      <c r="H155" s="85" t="str">
        <f aca="false">IF(IFERROR(INDEX(tsk_Name,GanttView[[#This Row],[_Row]])="",TRUE()),"",INDEX(tsk_FcFinish,GanttView[[#This Row],[_Row]]))</f>
        <v/>
      </c>
      <c r="I155" s="86" t="str">
        <f aca="false">IF(IFERROR(INDEX(tsk_Name,GanttView[[#This Row],[_Row]])="",TRUE()),"",INDEX(tsk_Progress,GanttView[[#This Row],[_Row]]))</f>
        <v/>
      </c>
      <c r="J155" s="84" t="str">
        <f aca="false">IF(IFERROR(INDEX(tsk_Name,GanttView[[#This Row],[_Row]])="",TRUE()),"",INDEX(tsk_Resource,GanttView[[#This Row],[_Row]])&amp;"")</f>
        <v/>
      </c>
      <c r="K155" s="83" t="str">
        <f aca="false">IF(IFERROR(INDEX(tsk_Name,GanttView[[#This Row],[_Row]])="",TRUE()),"",INDEX(tsk_Status,GanttView[[#This Row],[_Row]]))</f>
        <v/>
      </c>
      <c r="L155" s="87" t="n">
        <f aca="false">ROW()-ROW(GanttView[[#Headers],[ID]])</f>
        <v>150</v>
      </c>
      <c r="M155" s="88" t="b">
        <f aca="false">IF(IFERROR(INDEX(tsk_Name,GanttView[[#This Row],[_Row]])="",TRUE()),FALSE(),INDEX(tsk_IsSummary,GanttView[[#This Row],[_Row]]))</f>
        <v>0</v>
      </c>
      <c r="N155" s="88" t="b">
        <f aca="false">IF(IFERROR(INDEX(tsk_Name,GanttView[[#This Row],[_Row]])="",TRUE()),FALSE(),AND(INDEX(tsk_IsLeaf,GanttView[[#This Row],[_Row]])=1,N(INDEX(tsk_Duration,GanttView[[#This Row],[_Row]]))=0))</f>
        <v>0</v>
      </c>
      <c r="O15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89" t="n">
        <f aca="false">IF(GanttView[[#This Row],[_RemFrom]]=0,0,GanttView[[#This Row],[Forecast Finish]])</f>
        <v>0</v>
      </c>
      <c r="S155" s="88" t="b">
        <f aca="false">IF(IFERROR(INDEX(tsk_Name,GanttView[[#This Row],[_Row]])="",TRUE()),FALSE(),N(INDEX(tsk_Variance,GanttView[[#This Row],[_Row]]))&gt;0)</f>
        <v>0</v>
      </c>
      <c r="T155" s="89" t="n">
        <f aca="false">IF(IFERROR(INDEX(tsk_Name,GanttView[[#This Row],[_Row]])="",TRUE()),0,N(INDEX(tsk_Deadline,GanttView[[#This Row],[_Row]])))</f>
        <v>0</v>
      </c>
      <c r="U155" s="88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83" t="str">
        <f aca="false">IF(IFERROR(INDEX(tsk_Name,GanttView[[#This Row],[_Row]])="",TRUE()),"",INDEX(tsk_ID,GanttView[[#This Row],[_Row]]))</f>
        <v/>
      </c>
      <c r="B156" s="83" t="str">
        <f aca="false">IF(IFERROR(INDEX(tsk_Name,GanttView[[#This Row],[_Row]])="",TRUE()),"",INDEX(tsk_WBS,GanttView[[#This Row],[_Row]]))</f>
        <v/>
      </c>
      <c r="C156" s="84" t="str">
        <f aca="false">IF(IFERROR(INDEX(tsk_Name,GanttView[[#This Row],[_Row]])="",TRUE()),"",REPT("    ",INDEX(tsk_Level,GanttView[[#This Row],[_Row]])-1)&amp;INDEX(tsk_Name,GanttView[[#This Row],[_Row]]))</f>
        <v/>
      </c>
      <c r="D15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85" t="str">
        <f aca="false">IF(IFERROR(INDEX(tsk_Name,GanttView[[#This Row],[_Row]])="",TRUE()),"",INDEX(tsk_PlanStart,GanttView[[#This Row],[_Row]]))</f>
        <v/>
      </c>
      <c r="F156" s="85" t="str">
        <f aca="false">IF(IFERROR(INDEX(tsk_Name,GanttView[[#This Row],[_Row]])="",TRUE()),"",INDEX(tsk_PlanFinish,GanttView[[#This Row],[_Row]]))</f>
        <v/>
      </c>
      <c r="G156" s="85" t="str">
        <f aca="false">IF(IFERROR(INDEX(tsk_Name,GanttView[[#This Row],[_Row]])="",TRUE()),"",INDEX(tsk_FcStart,GanttView[[#This Row],[_Row]]))</f>
        <v/>
      </c>
      <c r="H156" s="85" t="str">
        <f aca="false">IF(IFERROR(INDEX(tsk_Name,GanttView[[#This Row],[_Row]])="",TRUE()),"",INDEX(tsk_FcFinish,GanttView[[#This Row],[_Row]]))</f>
        <v/>
      </c>
      <c r="I156" s="86" t="str">
        <f aca="false">IF(IFERROR(INDEX(tsk_Name,GanttView[[#This Row],[_Row]])="",TRUE()),"",INDEX(tsk_Progress,GanttView[[#This Row],[_Row]]))</f>
        <v/>
      </c>
      <c r="J156" s="84" t="str">
        <f aca="false">IF(IFERROR(INDEX(tsk_Name,GanttView[[#This Row],[_Row]])="",TRUE()),"",INDEX(tsk_Resource,GanttView[[#This Row],[_Row]])&amp;"")</f>
        <v/>
      </c>
      <c r="K156" s="83" t="str">
        <f aca="false">IF(IFERROR(INDEX(tsk_Name,GanttView[[#This Row],[_Row]])="",TRUE()),"",INDEX(tsk_Status,GanttView[[#This Row],[_Row]]))</f>
        <v/>
      </c>
      <c r="L156" s="87" t="n">
        <f aca="false">ROW()-ROW(GanttView[[#Headers],[ID]])</f>
        <v>151</v>
      </c>
      <c r="M156" s="88" t="b">
        <f aca="false">IF(IFERROR(INDEX(tsk_Name,GanttView[[#This Row],[_Row]])="",TRUE()),FALSE(),INDEX(tsk_IsSummary,GanttView[[#This Row],[_Row]]))</f>
        <v>0</v>
      </c>
      <c r="N156" s="88" t="b">
        <f aca="false">IF(IFERROR(INDEX(tsk_Name,GanttView[[#This Row],[_Row]])="",TRUE()),FALSE(),AND(INDEX(tsk_IsLeaf,GanttView[[#This Row],[_Row]])=1,N(INDEX(tsk_Duration,GanttView[[#This Row],[_Row]]))=0))</f>
        <v>0</v>
      </c>
      <c r="O15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89" t="n">
        <f aca="false">IF(GanttView[[#This Row],[_RemFrom]]=0,0,GanttView[[#This Row],[Forecast Finish]])</f>
        <v>0</v>
      </c>
      <c r="S156" s="88" t="b">
        <f aca="false">IF(IFERROR(INDEX(tsk_Name,GanttView[[#This Row],[_Row]])="",TRUE()),FALSE(),N(INDEX(tsk_Variance,GanttView[[#This Row],[_Row]]))&gt;0)</f>
        <v>0</v>
      </c>
      <c r="T156" s="89" t="n">
        <f aca="false">IF(IFERROR(INDEX(tsk_Name,GanttView[[#This Row],[_Row]])="",TRUE()),0,N(INDEX(tsk_Deadline,GanttView[[#This Row],[_Row]])))</f>
        <v>0</v>
      </c>
      <c r="U156" s="88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83" t="str">
        <f aca="false">IF(IFERROR(INDEX(tsk_Name,GanttView[[#This Row],[_Row]])="",TRUE()),"",INDEX(tsk_ID,GanttView[[#This Row],[_Row]]))</f>
        <v/>
      </c>
      <c r="B157" s="83" t="str">
        <f aca="false">IF(IFERROR(INDEX(tsk_Name,GanttView[[#This Row],[_Row]])="",TRUE()),"",INDEX(tsk_WBS,GanttView[[#This Row],[_Row]]))</f>
        <v/>
      </c>
      <c r="C157" s="84" t="str">
        <f aca="false">IF(IFERROR(INDEX(tsk_Name,GanttView[[#This Row],[_Row]])="",TRUE()),"",REPT("    ",INDEX(tsk_Level,GanttView[[#This Row],[_Row]])-1)&amp;INDEX(tsk_Name,GanttView[[#This Row],[_Row]]))</f>
        <v/>
      </c>
      <c r="D15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85" t="str">
        <f aca="false">IF(IFERROR(INDEX(tsk_Name,GanttView[[#This Row],[_Row]])="",TRUE()),"",INDEX(tsk_PlanStart,GanttView[[#This Row],[_Row]]))</f>
        <v/>
      </c>
      <c r="F157" s="85" t="str">
        <f aca="false">IF(IFERROR(INDEX(tsk_Name,GanttView[[#This Row],[_Row]])="",TRUE()),"",INDEX(tsk_PlanFinish,GanttView[[#This Row],[_Row]]))</f>
        <v/>
      </c>
      <c r="G157" s="85" t="str">
        <f aca="false">IF(IFERROR(INDEX(tsk_Name,GanttView[[#This Row],[_Row]])="",TRUE()),"",INDEX(tsk_FcStart,GanttView[[#This Row],[_Row]]))</f>
        <v/>
      </c>
      <c r="H157" s="85" t="str">
        <f aca="false">IF(IFERROR(INDEX(tsk_Name,GanttView[[#This Row],[_Row]])="",TRUE()),"",INDEX(tsk_FcFinish,GanttView[[#This Row],[_Row]]))</f>
        <v/>
      </c>
      <c r="I157" s="86" t="str">
        <f aca="false">IF(IFERROR(INDEX(tsk_Name,GanttView[[#This Row],[_Row]])="",TRUE()),"",INDEX(tsk_Progress,GanttView[[#This Row],[_Row]]))</f>
        <v/>
      </c>
      <c r="J157" s="84" t="str">
        <f aca="false">IF(IFERROR(INDEX(tsk_Name,GanttView[[#This Row],[_Row]])="",TRUE()),"",INDEX(tsk_Resource,GanttView[[#This Row],[_Row]])&amp;"")</f>
        <v/>
      </c>
      <c r="K157" s="83" t="str">
        <f aca="false">IF(IFERROR(INDEX(tsk_Name,GanttView[[#This Row],[_Row]])="",TRUE()),"",INDEX(tsk_Status,GanttView[[#This Row],[_Row]]))</f>
        <v/>
      </c>
      <c r="L157" s="87" t="n">
        <f aca="false">ROW()-ROW(GanttView[[#Headers],[ID]])</f>
        <v>152</v>
      </c>
      <c r="M157" s="88" t="b">
        <f aca="false">IF(IFERROR(INDEX(tsk_Name,GanttView[[#This Row],[_Row]])="",TRUE()),FALSE(),INDEX(tsk_IsSummary,GanttView[[#This Row],[_Row]]))</f>
        <v>0</v>
      </c>
      <c r="N157" s="88" t="b">
        <f aca="false">IF(IFERROR(INDEX(tsk_Name,GanttView[[#This Row],[_Row]])="",TRUE()),FALSE(),AND(INDEX(tsk_IsLeaf,GanttView[[#This Row],[_Row]])=1,N(INDEX(tsk_Duration,GanttView[[#This Row],[_Row]]))=0))</f>
        <v>0</v>
      </c>
      <c r="O15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89" t="n">
        <f aca="false">IF(GanttView[[#This Row],[_RemFrom]]=0,0,GanttView[[#This Row],[Forecast Finish]])</f>
        <v>0</v>
      </c>
      <c r="S157" s="88" t="b">
        <f aca="false">IF(IFERROR(INDEX(tsk_Name,GanttView[[#This Row],[_Row]])="",TRUE()),FALSE(),N(INDEX(tsk_Variance,GanttView[[#This Row],[_Row]]))&gt;0)</f>
        <v>0</v>
      </c>
      <c r="T157" s="89" t="n">
        <f aca="false">IF(IFERROR(INDEX(tsk_Name,GanttView[[#This Row],[_Row]])="",TRUE()),0,N(INDEX(tsk_Deadline,GanttView[[#This Row],[_Row]])))</f>
        <v>0</v>
      </c>
      <c r="U157" s="88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83" t="str">
        <f aca="false">IF(IFERROR(INDEX(tsk_Name,GanttView[[#This Row],[_Row]])="",TRUE()),"",INDEX(tsk_ID,GanttView[[#This Row],[_Row]]))</f>
        <v/>
      </c>
      <c r="B158" s="83" t="str">
        <f aca="false">IF(IFERROR(INDEX(tsk_Name,GanttView[[#This Row],[_Row]])="",TRUE()),"",INDEX(tsk_WBS,GanttView[[#This Row],[_Row]]))</f>
        <v/>
      </c>
      <c r="C158" s="84" t="str">
        <f aca="false">IF(IFERROR(INDEX(tsk_Name,GanttView[[#This Row],[_Row]])="",TRUE()),"",REPT("    ",INDEX(tsk_Level,GanttView[[#This Row],[_Row]])-1)&amp;INDEX(tsk_Name,GanttView[[#This Row],[_Row]]))</f>
        <v/>
      </c>
      <c r="D15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85" t="str">
        <f aca="false">IF(IFERROR(INDEX(tsk_Name,GanttView[[#This Row],[_Row]])="",TRUE()),"",INDEX(tsk_PlanStart,GanttView[[#This Row],[_Row]]))</f>
        <v/>
      </c>
      <c r="F158" s="85" t="str">
        <f aca="false">IF(IFERROR(INDEX(tsk_Name,GanttView[[#This Row],[_Row]])="",TRUE()),"",INDEX(tsk_PlanFinish,GanttView[[#This Row],[_Row]]))</f>
        <v/>
      </c>
      <c r="G158" s="85" t="str">
        <f aca="false">IF(IFERROR(INDEX(tsk_Name,GanttView[[#This Row],[_Row]])="",TRUE()),"",INDEX(tsk_FcStart,GanttView[[#This Row],[_Row]]))</f>
        <v/>
      </c>
      <c r="H158" s="85" t="str">
        <f aca="false">IF(IFERROR(INDEX(tsk_Name,GanttView[[#This Row],[_Row]])="",TRUE()),"",INDEX(tsk_FcFinish,GanttView[[#This Row],[_Row]]))</f>
        <v/>
      </c>
      <c r="I158" s="86" t="str">
        <f aca="false">IF(IFERROR(INDEX(tsk_Name,GanttView[[#This Row],[_Row]])="",TRUE()),"",INDEX(tsk_Progress,GanttView[[#This Row],[_Row]]))</f>
        <v/>
      </c>
      <c r="J158" s="84" t="str">
        <f aca="false">IF(IFERROR(INDEX(tsk_Name,GanttView[[#This Row],[_Row]])="",TRUE()),"",INDEX(tsk_Resource,GanttView[[#This Row],[_Row]])&amp;"")</f>
        <v/>
      </c>
      <c r="K158" s="83" t="str">
        <f aca="false">IF(IFERROR(INDEX(tsk_Name,GanttView[[#This Row],[_Row]])="",TRUE()),"",INDEX(tsk_Status,GanttView[[#This Row],[_Row]]))</f>
        <v/>
      </c>
      <c r="L158" s="87" t="n">
        <f aca="false">ROW()-ROW(GanttView[[#Headers],[ID]])</f>
        <v>153</v>
      </c>
      <c r="M158" s="88" t="b">
        <f aca="false">IF(IFERROR(INDEX(tsk_Name,GanttView[[#This Row],[_Row]])="",TRUE()),FALSE(),INDEX(tsk_IsSummary,GanttView[[#This Row],[_Row]]))</f>
        <v>0</v>
      </c>
      <c r="N158" s="88" t="b">
        <f aca="false">IF(IFERROR(INDEX(tsk_Name,GanttView[[#This Row],[_Row]])="",TRUE()),FALSE(),AND(INDEX(tsk_IsLeaf,GanttView[[#This Row],[_Row]])=1,N(INDEX(tsk_Duration,GanttView[[#This Row],[_Row]]))=0))</f>
        <v>0</v>
      </c>
      <c r="O15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89" t="n">
        <f aca="false">IF(GanttView[[#This Row],[_RemFrom]]=0,0,GanttView[[#This Row],[Forecast Finish]])</f>
        <v>0</v>
      </c>
      <c r="S158" s="88" t="b">
        <f aca="false">IF(IFERROR(INDEX(tsk_Name,GanttView[[#This Row],[_Row]])="",TRUE()),FALSE(),N(INDEX(tsk_Variance,GanttView[[#This Row],[_Row]]))&gt;0)</f>
        <v>0</v>
      </c>
      <c r="T158" s="89" t="n">
        <f aca="false">IF(IFERROR(INDEX(tsk_Name,GanttView[[#This Row],[_Row]])="",TRUE()),0,N(INDEX(tsk_Deadline,GanttView[[#This Row],[_Row]])))</f>
        <v>0</v>
      </c>
      <c r="U158" s="88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83" t="str">
        <f aca="false">IF(IFERROR(INDEX(tsk_Name,GanttView[[#This Row],[_Row]])="",TRUE()),"",INDEX(tsk_ID,GanttView[[#This Row],[_Row]]))</f>
        <v/>
      </c>
      <c r="B159" s="83" t="str">
        <f aca="false">IF(IFERROR(INDEX(tsk_Name,GanttView[[#This Row],[_Row]])="",TRUE()),"",INDEX(tsk_WBS,GanttView[[#This Row],[_Row]]))</f>
        <v/>
      </c>
      <c r="C159" s="84" t="str">
        <f aca="false">IF(IFERROR(INDEX(tsk_Name,GanttView[[#This Row],[_Row]])="",TRUE()),"",REPT("    ",INDEX(tsk_Level,GanttView[[#This Row],[_Row]])-1)&amp;INDEX(tsk_Name,GanttView[[#This Row],[_Row]]))</f>
        <v/>
      </c>
      <c r="D15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85" t="str">
        <f aca="false">IF(IFERROR(INDEX(tsk_Name,GanttView[[#This Row],[_Row]])="",TRUE()),"",INDEX(tsk_PlanStart,GanttView[[#This Row],[_Row]]))</f>
        <v/>
      </c>
      <c r="F159" s="85" t="str">
        <f aca="false">IF(IFERROR(INDEX(tsk_Name,GanttView[[#This Row],[_Row]])="",TRUE()),"",INDEX(tsk_PlanFinish,GanttView[[#This Row],[_Row]]))</f>
        <v/>
      </c>
      <c r="G159" s="85" t="str">
        <f aca="false">IF(IFERROR(INDEX(tsk_Name,GanttView[[#This Row],[_Row]])="",TRUE()),"",INDEX(tsk_FcStart,GanttView[[#This Row],[_Row]]))</f>
        <v/>
      </c>
      <c r="H159" s="85" t="str">
        <f aca="false">IF(IFERROR(INDEX(tsk_Name,GanttView[[#This Row],[_Row]])="",TRUE()),"",INDEX(tsk_FcFinish,GanttView[[#This Row],[_Row]]))</f>
        <v/>
      </c>
      <c r="I159" s="86" t="str">
        <f aca="false">IF(IFERROR(INDEX(tsk_Name,GanttView[[#This Row],[_Row]])="",TRUE()),"",INDEX(tsk_Progress,GanttView[[#This Row],[_Row]]))</f>
        <v/>
      </c>
      <c r="J159" s="84" t="str">
        <f aca="false">IF(IFERROR(INDEX(tsk_Name,GanttView[[#This Row],[_Row]])="",TRUE()),"",INDEX(tsk_Resource,GanttView[[#This Row],[_Row]])&amp;"")</f>
        <v/>
      </c>
      <c r="K159" s="83" t="str">
        <f aca="false">IF(IFERROR(INDEX(tsk_Name,GanttView[[#This Row],[_Row]])="",TRUE()),"",INDEX(tsk_Status,GanttView[[#This Row],[_Row]]))</f>
        <v/>
      </c>
      <c r="L159" s="87" t="n">
        <f aca="false">ROW()-ROW(GanttView[[#Headers],[ID]])</f>
        <v>154</v>
      </c>
      <c r="M159" s="88" t="b">
        <f aca="false">IF(IFERROR(INDEX(tsk_Name,GanttView[[#This Row],[_Row]])="",TRUE()),FALSE(),INDEX(tsk_IsSummary,GanttView[[#This Row],[_Row]]))</f>
        <v>0</v>
      </c>
      <c r="N159" s="88" t="b">
        <f aca="false">IF(IFERROR(INDEX(tsk_Name,GanttView[[#This Row],[_Row]])="",TRUE()),FALSE(),AND(INDEX(tsk_IsLeaf,GanttView[[#This Row],[_Row]])=1,N(INDEX(tsk_Duration,GanttView[[#This Row],[_Row]]))=0))</f>
        <v>0</v>
      </c>
      <c r="O15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89" t="n">
        <f aca="false">IF(GanttView[[#This Row],[_RemFrom]]=0,0,GanttView[[#This Row],[Forecast Finish]])</f>
        <v>0</v>
      </c>
      <c r="S159" s="88" t="b">
        <f aca="false">IF(IFERROR(INDEX(tsk_Name,GanttView[[#This Row],[_Row]])="",TRUE()),FALSE(),N(INDEX(tsk_Variance,GanttView[[#This Row],[_Row]]))&gt;0)</f>
        <v>0</v>
      </c>
      <c r="T159" s="89" t="n">
        <f aca="false">IF(IFERROR(INDEX(tsk_Name,GanttView[[#This Row],[_Row]])="",TRUE()),0,N(INDEX(tsk_Deadline,GanttView[[#This Row],[_Row]])))</f>
        <v>0</v>
      </c>
      <c r="U159" s="88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83" t="str">
        <f aca="false">IF(IFERROR(INDEX(tsk_Name,GanttView[[#This Row],[_Row]])="",TRUE()),"",INDEX(tsk_ID,GanttView[[#This Row],[_Row]]))</f>
        <v/>
      </c>
      <c r="B160" s="83" t="str">
        <f aca="false">IF(IFERROR(INDEX(tsk_Name,GanttView[[#This Row],[_Row]])="",TRUE()),"",INDEX(tsk_WBS,GanttView[[#This Row],[_Row]]))</f>
        <v/>
      </c>
      <c r="C160" s="84" t="str">
        <f aca="false">IF(IFERROR(INDEX(tsk_Name,GanttView[[#This Row],[_Row]])="",TRUE()),"",REPT("    ",INDEX(tsk_Level,GanttView[[#This Row],[_Row]])-1)&amp;INDEX(tsk_Name,GanttView[[#This Row],[_Row]]))</f>
        <v/>
      </c>
      <c r="D16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85" t="str">
        <f aca="false">IF(IFERROR(INDEX(tsk_Name,GanttView[[#This Row],[_Row]])="",TRUE()),"",INDEX(tsk_PlanStart,GanttView[[#This Row],[_Row]]))</f>
        <v/>
      </c>
      <c r="F160" s="85" t="str">
        <f aca="false">IF(IFERROR(INDEX(tsk_Name,GanttView[[#This Row],[_Row]])="",TRUE()),"",INDEX(tsk_PlanFinish,GanttView[[#This Row],[_Row]]))</f>
        <v/>
      </c>
      <c r="G160" s="85" t="str">
        <f aca="false">IF(IFERROR(INDEX(tsk_Name,GanttView[[#This Row],[_Row]])="",TRUE()),"",INDEX(tsk_FcStart,GanttView[[#This Row],[_Row]]))</f>
        <v/>
      </c>
      <c r="H160" s="85" t="str">
        <f aca="false">IF(IFERROR(INDEX(tsk_Name,GanttView[[#This Row],[_Row]])="",TRUE()),"",INDEX(tsk_FcFinish,GanttView[[#This Row],[_Row]]))</f>
        <v/>
      </c>
      <c r="I160" s="86" t="str">
        <f aca="false">IF(IFERROR(INDEX(tsk_Name,GanttView[[#This Row],[_Row]])="",TRUE()),"",INDEX(tsk_Progress,GanttView[[#This Row],[_Row]]))</f>
        <v/>
      </c>
      <c r="J160" s="84" t="str">
        <f aca="false">IF(IFERROR(INDEX(tsk_Name,GanttView[[#This Row],[_Row]])="",TRUE()),"",INDEX(tsk_Resource,GanttView[[#This Row],[_Row]])&amp;"")</f>
        <v/>
      </c>
      <c r="K160" s="83" t="str">
        <f aca="false">IF(IFERROR(INDEX(tsk_Name,GanttView[[#This Row],[_Row]])="",TRUE()),"",INDEX(tsk_Status,GanttView[[#This Row],[_Row]]))</f>
        <v/>
      </c>
      <c r="L160" s="87" t="n">
        <f aca="false">ROW()-ROW(GanttView[[#Headers],[ID]])</f>
        <v>155</v>
      </c>
      <c r="M160" s="88" t="b">
        <f aca="false">IF(IFERROR(INDEX(tsk_Name,GanttView[[#This Row],[_Row]])="",TRUE()),FALSE(),INDEX(tsk_IsSummary,GanttView[[#This Row],[_Row]]))</f>
        <v>0</v>
      </c>
      <c r="N160" s="88" t="b">
        <f aca="false">IF(IFERROR(INDEX(tsk_Name,GanttView[[#This Row],[_Row]])="",TRUE()),FALSE(),AND(INDEX(tsk_IsLeaf,GanttView[[#This Row],[_Row]])=1,N(INDEX(tsk_Duration,GanttView[[#This Row],[_Row]]))=0))</f>
        <v>0</v>
      </c>
      <c r="O16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89" t="n">
        <f aca="false">IF(GanttView[[#This Row],[_RemFrom]]=0,0,GanttView[[#This Row],[Forecast Finish]])</f>
        <v>0</v>
      </c>
      <c r="S160" s="88" t="b">
        <f aca="false">IF(IFERROR(INDEX(tsk_Name,GanttView[[#This Row],[_Row]])="",TRUE()),FALSE(),N(INDEX(tsk_Variance,GanttView[[#This Row],[_Row]]))&gt;0)</f>
        <v>0</v>
      </c>
      <c r="T160" s="89" t="n">
        <f aca="false">IF(IFERROR(INDEX(tsk_Name,GanttView[[#This Row],[_Row]])="",TRUE()),0,N(INDEX(tsk_Deadline,GanttView[[#This Row],[_Row]])))</f>
        <v>0</v>
      </c>
      <c r="U160" s="88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83" t="str">
        <f aca="false">IF(IFERROR(INDEX(tsk_Name,GanttView[[#This Row],[_Row]])="",TRUE()),"",INDEX(tsk_ID,GanttView[[#This Row],[_Row]]))</f>
        <v/>
      </c>
      <c r="B161" s="83" t="str">
        <f aca="false">IF(IFERROR(INDEX(tsk_Name,GanttView[[#This Row],[_Row]])="",TRUE()),"",INDEX(tsk_WBS,GanttView[[#This Row],[_Row]]))</f>
        <v/>
      </c>
      <c r="C161" s="84" t="str">
        <f aca="false">IF(IFERROR(INDEX(tsk_Name,GanttView[[#This Row],[_Row]])="",TRUE()),"",REPT("    ",INDEX(tsk_Level,GanttView[[#This Row],[_Row]])-1)&amp;INDEX(tsk_Name,GanttView[[#This Row],[_Row]]))</f>
        <v/>
      </c>
      <c r="D16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85" t="str">
        <f aca="false">IF(IFERROR(INDEX(tsk_Name,GanttView[[#This Row],[_Row]])="",TRUE()),"",INDEX(tsk_PlanStart,GanttView[[#This Row],[_Row]]))</f>
        <v/>
      </c>
      <c r="F161" s="85" t="str">
        <f aca="false">IF(IFERROR(INDEX(tsk_Name,GanttView[[#This Row],[_Row]])="",TRUE()),"",INDEX(tsk_PlanFinish,GanttView[[#This Row],[_Row]]))</f>
        <v/>
      </c>
      <c r="G161" s="85" t="str">
        <f aca="false">IF(IFERROR(INDEX(tsk_Name,GanttView[[#This Row],[_Row]])="",TRUE()),"",INDEX(tsk_FcStart,GanttView[[#This Row],[_Row]]))</f>
        <v/>
      </c>
      <c r="H161" s="85" t="str">
        <f aca="false">IF(IFERROR(INDEX(tsk_Name,GanttView[[#This Row],[_Row]])="",TRUE()),"",INDEX(tsk_FcFinish,GanttView[[#This Row],[_Row]]))</f>
        <v/>
      </c>
      <c r="I161" s="86" t="str">
        <f aca="false">IF(IFERROR(INDEX(tsk_Name,GanttView[[#This Row],[_Row]])="",TRUE()),"",INDEX(tsk_Progress,GanttView[[#This Row],[_Row]]))</f>
        <v/>
      </c>
      <c r="J161" s="84" t="str">
        <f aca="false">IF(IFERROR(INDEX(tsk_Name,GanttView[[#This Row],[_Row]])="",TRUE()),"",INDEX(tsk_Resource,GanttView[[#This Row],[_Row]])&amp;"")</f>
        <v/>
      </c>
      <c r="K161" s="83" t="str">
        <f aca="false">IF(IFERROR(INDEX(tsk_Name,GanttView[[#This Row],[_Row]])="",TRUE()),"",INDEX(tsk_Status,GanttView[[#This Row],[_Row]]))</f>
        <v/>
      </c>
      <c r="L161" s="87" t="n">
        <f aca="false">ROW()-ROW(GanttView[[#Headers],[ID]])</f>
        <v>156</v>
      </c>
      <c r="M161" s="88" t="b">
        <f aca="false">IF(IFERROR(INDEX(tsk_Name,GanttView[[#This Row],[_Row]])="",TRUE()),FALSE(),INDEX(tsk_IsSummary,GanttView[[#This Row],[_Row]]))</f>
        <v>0</v>
      </c>
      <c r="N161" s="88" t="b">
        <f aca="false">IF(IFERROR(INDEX(tsk_Name,GanttView[[#This Row],[_Row]])="",TRUE()),FALSE(),AND(INDEX(tsk_IsLeaf,GanttView[[#This Row],[_Row]])=1,N(INDEX(tsk_Duration,GanttView[[#This Row],[_Row]]))=0))</f>
        <v>0</v>
      </c>
      <c r="O16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89" t="n">
        <f aca="false">IF(GanttView[[#This Row],[_RemFrom]]=0,0,GanttView[[#This Row],[Forecast Finish]])</f>
        <v>0</v>
      </c>
      <c r="S161" s="88" t="b">
        <f aca="false">IF(IFERROR(INDEX(tsk_Name,GanttView[[#This Row],[_Row]])="",TRUE()),FALSE(),N(INDEX(tsk_Variance,GanttView[[#This Row],[_Row]]))&gt;0)</f>
        <v>0</v>
      </c>
      <c r="T161" s="89" t="n">
        <f aca="false">IF(IFERROR(INDEX(tsk_Name,GanttView[[#This Row],[_Row]])="",TRUE()),0,N(INDEX(tsk_Deadline,GanttView[[#This Row],[_Row]])))</f>
        <v>0</v>
      </c>
      <c r="U161" s="88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83" t="str">
        <f aca="false">IF(IFERROR(INDEX(tsk_Name,GanttView[[#This Row],[_Row]])="",TRUE()),"",INDEX(tsk_ID,GanttView[[#This Row],[_Row]]))</f>
        <v/>
      </c>
      <c r="B162" s="83" t="str">
        <f aca="false">IF(IFERROR(INDEX(tsk_Name,GanttView[[#This Row],[_Row]])="",TRUE()),"",INDEX(tsk_WBS,GanttView[[#This Row],[_Row]]))</f>
        <v/>
      </c>
      <c r="C162" s="84" t="str">
        <f aca="false">IF(IFERROR(INDEX(tsk_Name,GanttView[[#This Row],[_Row]])="",TRUE()),"",REPT("    ",INDEX(tsk_Level,GanttView[[#This Row],[_Row]])-1)&amp;INDEX(tsk_Name,GanttView[[#This Row],[_Row]]))</f>
        <v/>
      </c>
      <c r="D16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85" t="str">
        <f aca="false">IF(IFERROR(INDEX(tsk_Name,GanttView[[#This Row],[_Row]])="",TRUE()),"",INDEX(tsk_PlanStart,GanttView[[#This Row],[_Row]]))</f>
        <v/>
      </c>
      <c r="F162" s="85" t="str">
        <f aca="false">IF(IFERROR(INDEX(tsk_Name,GanttView[[#This Row],[_Row]])="",TRUE()),"",INDEX(tsk_PlanFinish,GanttView[[#This Row],[_Row]]))</f>
        <v/>
      </c>
      <c r="G162" s="85" t="str">
        <f aca="false">IF(IFERROR(INDEX(tsk_Name,GanttView[[#This Row],[_Row]])="",TRUE()),"",INDEX(tsk_FcStart,GanttView[[#This Row],[_Row]]))</f>
        <v/>
      </c>
      <c r="H162" s="85" t="str">
        <f aca="false">IF(IFERROR(INDEX(tsk_Name,GanttView[[#This Row],[_Row]])="",TRUE()),"",INDEX(tsk_FcFinish,GanttView[[#This Row],[_Row]]))</f>
        <v/>
      </c>
      <c r="I162" s="86" t="str">
        <f aca="false">IF(IFERROR(INDEX(tsk_Name,GanttView[[#This Row],[_Row]])="",TRUE()),"",INDEX(tsk_Progress,GanttView[[#This Row],[_Row]]))</f>
        <v/>
      </c>
      <c r="J162" s="84" t="str">
        <f aca="false">IF(IFERROR(INDEX(tsk_Name,GanttView[[#This Row],[_Row]])="",TRUE()),"",INDEX(tsk_Resource,GanttView[[#This Row],[_Row]])&amp;"")</f>
        <v/>
      </c>
      <c r="K162" s="83" t="str">
        <f aca="false">IF(IFERROR(INDEX(tsk_Name,GanttView[[#This Row],[_Row]])="",TRUE()),"",INDEX(tsk_Status,GanttView[[#This Row],[_Row]]))</f>
        <v/>
      </c>
      <c r="L162" s="87" t="n">
        <f aca="false">ROW()-ROW(GanttView[[#Headers],[ID]])</f>
        <v>157</v>
      </c>
      <c r="M162" s="88" t="b">
        <f aca="false">IF(IFERROR(INDEX(tsk_Name,GanttView[[#This Row],[_Row]])="",TRUE()),FALSE(),INDEX(tsk_IsSummary,GanttView[[#This Row],[_Row]]))</f>
        <v>0</v>
      </c>
      <c r="N162" s="88" t="b">
        <f aca="false">IF(IFERROR(INDEX(tsk_Name,GanttView[[#This Row],[_Row]])="",TRUE()),FALSE(),AND(INDEX(tsk_IsLeaf,GanttView[[#This Row],[_Row]])=1,N(INDEX(tsk_Duration,GanttView[[#This Row],[_Row]]))=0))</f>
        <v>0</v>
      </c>
      <c r="O16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89" t="n">
        <f aca="false">IF(GanttView[[#This Row],[_RemFrom]]=0,0,GanttView[[#This Row],[Forecast Finish]])</f>
        <v>0</v>
      </c>
      <c r="S162" s="88" t="b">
        <f aca="false">IF(IFERROR(INDEX(tsk_Name,GanttView[[#This Row],[_Row]])="",TRUE()),FALSE(),N(INDEX(tsk_Variance,GanttView[[#This Row],[_Row]]))&gt;0)</f>
        <v>0</v>
      </c>
      <c r="T162" s="89" t="n">
        <f aca="false">IF(IFERROR(INDEX(tsk_Name,GanttView[[#This Row],[_Row]])="",TRUE()),0,N(INDEX(tsk_Deadline,GanttView[[#This Row],[_Row]])))</f>
        <v>0</v>
      </c>
      <c r="U162" s="88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83" t="str">
        <f aca="false">IF(IFERROR(INDEX(tsk_Name,GanttView[[#This Row],[_Row]])="",TRUE()),"",INDEX(tsk_ID,GanttView[[#This Row],[_Row]]))</f>
        <v/>
      </c>
      <c r="B163" s="83" t="str">
        <f aca="false">IF(IFERROR(INDEX(tsk_Name,GanttView[[#This Row],[_Row]])="",TRUE()),"",INDEX(tsk_WBS,GanttView[[#This Row],[_Row]]))</f>
        <v/>
      </c>
      <c r="C163" s="84" t="str">
        <f aca="false">IF(IFERROR(INDEX(tsk_Name,GanttView[[#This Row],[_Row]])="",TRUE()),"",REPT("    ",INDEX(tsk_Level,GanttView[[#This Row],[_Row]])-1)&amp;INDEX(tsk_Name,GanttView[[#This Row],[_Row]]))</f>
        <v/>
      </c>
      <c r="D16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85" t="str">
        <f aca="false">IF(IFERROR(INDEX(tsk_Name,GanttView[[#This Row],[_Row]])="",TRUE()),"",INDEX(tsk_PlanStart,GanttView[[#This Row],[_Row]]))</f>
        <v/>
      </c>
      <c r="F163" s="85" t="str">
        <f aca="false">IF(IFERROR(INDEX(tsk_Name,GanttView[[#This Row],[_Row]])="",TRUE()),"",INDEX(tsk_PlanFinish,GanttView[[#This Row],[_Row]]))</f>
        <v/>
      </c>
      <c r="G163" s="85" t="str">
        <f aca="false">IF(IFERROR(INDEX(tsk_Name,GanttView[[#This Row],[_Row]])="",TRUE()),"",INDEX(tsk_FcStart,GanttView[[#This Row],[_Row]]))</f>
        <v/>
      </c>
      <c r="H163" s="85" t="str">
        <f aca="false">IF(IFERROR(INDEX(tsk_Name,GanttView[[#This Row],[_Row]])="",TRUE()),"",INDEX(tsk_FcFinish,GanttView[[#This Row],[_Row]]))</f>
        <v/>
      </c>
      <c r="I163" s="86" t="str">
        <f aca="false">IF(IFERROR(INDEX(tsk_Name,GanttView[[#This Row],[_Row]])="",TRUE()),"",INDEX(tsk_Progress,GanttView[[#This Row],[_Row]]))</f>
        <v/>
      </c>
      <c r="J163" s="84" t="str">
        <f aca="false">IF(IFERROR(INDEX(tsk_Name,GanttView[[#This Row],[_Row]])="",TRUE()),"",INDEX(tsk_Resource,GanttView[[#This Row],[_Row]])&amp;"")</f>
        <v/>
      </c>
      <c r="K163" s="83" t="str">
        <f aca="false">IF(IFERROR(INDEX(tsk_Name,GanttView[[#This Row],[_Row]])="",TRUE()),"",INDEX(tsk_Status,GanttView[[#This Row],[_Row]]))</f>
        <v/>
      </c>
      <c r="L163" s="87" t="n">
        <f aca="false">ROW()-ROW(GanttView[[#Headers],[ID]])</f>
        <v>158</v>
      </c>
      <c r="M163" s="88" t="b">
        <f aca="false">IF(IFERROR(INDEX(tsk_Name,GanttView[[#This Row],[_Row]])="",TRUE()),FALSE(),INDEX(tsk_IsSummary,GanttView[[#This Row],[_Row]]))</f>
        <v>0</v>
      </c>
      <c r="N163" s="88" t="b">
        <f aca="false">IF(IFERROR(INDEX(tsk_Name,GanttView[[#This Row],[_Row]])="",TRUE()),FALSE(),AND(INDEX(tsk_IsLeaf,GanttView[[#This Row],[_Row]])=1,N(INDEX(tsk_Duration,GanttView[[#This Row],[_Row]]))=0))</f>
        <v>0</v>
      </c>
      <c r="O16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89" t="n">
        <f aca="false">IF(GanttView[[#This Row],[_RemFrom]]=0,0,GanttView[[#This Row],[Forecast Finish]])</f>
        <v>0</v>
      </c>
      <c r="S163" s="88" t="b">
        <f aca="false">IF(IFERROR(INDEX(tsk_Name,GanttView[[#This Row],[_Row]])="",TRUE()),FALSE(),N(INDEX(tsk_Variance,GanttView[[#This Row],[_Row]]))&gt;0)</f>
        <v>0</v>
      </c>
      <c r="T163" s="89" t="n">
        <f aca="false">IF(IFERROR(INDEX(tsk_Name,GanttView[[#This Row],[_Row]])="",TRUE()),0,N(INDEX(tsk_Deadline,GanttView[[#This Row],[_Row]])))</f>
        <v>0</v>
      </c>
      <c r="U163" s="88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83" t="str">
        <f aca="false">IF(IFERROR(INDEX(tsk_Name,GanttView[[#This Row],[_Row]])="",TRUE()),"",INDEX(tsk_ID,GanttView[[#This Row],[_Row]]))</f>
        <v/>
      </c>
      <c r="B164" s="83" t="str">
        <f aca="false">IF(IFERROR(INDEX(tsk_Name,GanttView[[#This Row],[_Row]])="",TRUE()),"",INDEX(tsk_WBS,GanttView[[#This Row],[_Row]]))</f>
        <v/>
      </c>
      <c r="C164" s="84" t="str">
        <f aca="false">IF(IFERROR(INDEX(tsk_Name,GanttView[[#This Row],[_Row]])="",TRUE()),"",REPT("    ",INDEX(tsk_Level,GanttView[[#This Row],[_Row]])-1)&amp;INDEX(tsk_Name,GanttView[[#This Row],[_Row]]))</f>
        <v/>
      </c>
      <c r="D16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85" t="str">
        <f aca="false">IF(IFERROR(INDEX(tsk_Name,GanttView[[#This Row],[_Row]])="",TRUE()),"",INDEX(tsk_PlanStart,GanttView[[#This Row],[_Row]]))</f>
        <v/>
      </c>
      <c r="F164" s="85" t="str">
        <f aca="false">IF(IFERROR(INDEX(tsk_Name,GanttView[[#This Row],[_Row]])="",TRUE()),"",INDEX(tsk_PlanFinish,GanttView[[#This Row],[_Row]]))</f>
        <v/>
      </c>
      <c r="G164" s="85" t="str">
        <f aca="false">IF(IFERROR(INDEX(tsk_Name,GanttView[[#This Row],[_Row]])="",TRUE()),"",INDEX(tsk_FcStart,GanttView[[#This Row],[_Row]]))</f>
        <v/>
      </c>
      <c r="H164" s="85" t="str">
        <f aca="false">IF(IFERROR(INDEX(tsk_Name,GanttView[[#This Row],[_Row]])="",TRUE()),"",INDEX(tsk_FcFinish,GanttView[[#This Row],[_Row]]))</f>
        <v/>
      </c>
      <c r="I164" s="86" t="str">
        <f aca="false">IF(IFERROR(INDEX(tsk_Name,GanttView[[#This Row],[_Row]])="",TRUE()),"",INDEX(tsk_Progress,GanttView[[#This Row],[_Row]]))</f>
        <v/>
      </c>
      <c r="J164" s="84" t="str">
        <f aca="false">IF(IFERROR(INDEX(tsk_Name,GanttView[[#This Row],[_Row]])="",TRUE()),"",INDEX(tsk_Resource,GanttView[[#This Row],[_Row]])&amp;"")</f>
        <v/>
      </c>
      <c r="K164" s="83" t="str">
        <f aca="false">IF(IFERROR(INDEX(tsk_Name,GanttView[[#This Row],[_Row]])="",TRUE()),"",INDEX(tsk_Status,GanttView[[#This Row],[_Row]]))</f>
        <v/>
      </c>
      <c r="L164" s="87" t="n">
        <f aca="false">ROW()-ROW(GanttView[[#Headers],[ID]])</f>
        <v>159</v>
      </c>
      <c r="M164" s="88" t="b">
        <f aca="false">IF(IFERROR(INDEX(tsk_Name,GanttView[[#This Row],[_Row]])="",TRUE()),FALSE(),INDEX(tsk_IsSummary,GanttView[[#This Row],[_Row]]))</f>
        <v>0</v>
      </c>
      <c r="N164" s="88" t="b">
        <f aca="false">IF(IFERROR(INDEX(tsk_Name,GanttView[[#This Row],[_Row]])="",TRUE()),FALSE(),AND(INDEX(tsk_IsLeaf,GanttView[[#This Row],[_Row]])=1,N(INDEX(tsk_Duration,GanttView[[#This Row],[_Row]]))=0))</f>
        <v>0</v>
      </c>
      <c r="O16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89" t="n">
        <f aca="false">IF(GanttView[[#This Row],[_RemFrom]]=0,0,GanttView[[#This Row],[Forecast Finish]])</f>
        <v>0</v>
      </c>
      <c r="S164" s="88" t="b">
        <f aca="false">IF(IFERROR(INDEX(tsk_Name,GanttView[[#This Row],[_Row]])="",TRUE()),FALSE(),N(INDEX(tsk_Variance,GanttView[[#This Row],[_Row]]))&gt;0)</f>
        <v>0</v>
      </c>
      <c r="T164" s="89" t="n">
        <f aca="false">IF(IFERROR(INDEX(tsk_Name,GanttView[[#This Row],[_Row]])="",TRUE()),0,N(INDEX(tsk_Deadline,GanttView[[#This Row],[_Row]])))</f>
        <v>0</v>
      </c>
      <c r="U164" s="88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83" t="str">
        <f aca="false">IF(IFERROR(INDEX(tsk_Name,GanttView[[#This Row],[_Row]])="",TRUE()),"",INDEX(tsk_ID,GanttView[[#This Row],[_Row]]))</f>
        <v/>
      </c>
      <c r="B165" s="83" t="str">
        <f aca="false">IF(IFERROR(INDEX(tsk_Name,GanttView[[#This Row],[_Row]])="",TRUE()),"",INDEX(tsk_WBS,GanttView[[#This Row],[_Row]]))</f>
        <v/>
      </c>
      <c r="C165" s="84" t="str">
        <f aca="false">IF(IFERROR(INDEX(tsk_Name,GanttView[[#This Row],[_Row]])="",TRUE()),"",REPT("    ",INDEX(tsk_Level,GanttView[[#This Row],[_Row]])-1)&amp;INDEX(tsk_Name,GanttView[[#This Row],[_Row]]))</f>
        <v/>
      </c>
      <c r="D16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85" t="str">
        <f aca="false">IF(IFERROR(INDEX(tsk_Name,GanttView[[#This Row],[_Row]])="",TRUE()),"",INDEX(tsk_PlanStart,GanttView[[#This Row],[_Row]]))</f>
        <v/>
      </c>
      <c r="F165" s="85" t="str">
        <f aca="false">IF(IFERROR(INDEX(tsk_Name,GanttView[[#This Row],[_Row]])="",TRUE()),"",INDEX(tsk_PlanFinish,GanttView[[#This Row],[_Row]]))</f>
        <v/>
      </c>
      <c r="G165" s="85" t="str">
        <f aca="false">IF(IFERROR(INDEX(tsk_Name,GanttView[[#This Row],[_Row]])="",TRUE()),"",INDEX(tsk_FcStart,GanttView[[#This Row],[_Row]]))</f>
        <v/>
      </c>
      <c r="H165" s="85" t="str">
        <f aca="false">IF(IFERROR(INDEX(tsk_Name,GanttView[[#This Row],[_Row]])="",TRUE()),"",INDEX(tsk_FcFinish,GanttView[[#This Row],[_Row]]))</f>
        <v/>
      </c>
      <c r="I165" s="86" t="str">
        <f aca="false">IF(IFERROR(INDEX(tsk_Name,GanttView[[#This Row],[_Row]])="",TRUE()),"",INDEX(tsk_Progress,GanttView[[#This Row],[_Row]]))</f>
        <v/>
      </c>
      <c r="J165" s="84" t="str">
        <f aca="false">IF(IFERROR(INDEX(tsk_Name,GanttView[[#This Row],[_Row]])="",TRUE()),"",INDEX(tsk_Resource,GanttView[[#This Row],[_Row]])&amp;"")</f>
        <v/>
      </c>
      <c r="K165" s="83" t="str">
        <f aca="false">IF(IFERROR(INDEX(tsk_Name,GanttView[[#This Row],[_Row]])="",TRUE()),"",INDEX(tsk_Status,GanttView[[#This Row],[_Row]]))</f>
        <v/>
      </c>
      <c r="L165" s="87" t="n">
        <f aca="false">ROW()-ROW(GanttView[[#Headers],[ID]])</f>
        <v>160</v>
      </c>
      <c r="M165" s="88" t="b">
        <f aca="false">IF(IFERROR(INDEX(tsk_Name,GanttView[[#This Row],[_Row]])="",TRUE()),FALSE(),INDEX(tsk_IsSummary,GanttView[[#This Row],[_Row]]))</f>
        <v>0</v>
      </c>
      <c r="N165" s="88" t="b">
        <f aca="false">IF(IFERROR(INDEX(tsk_Name,GanttView[[#This Row],[_Row]])="",TRUE()),FALSE(),AND(INDEX(tsk_IsLeaf,GanttView[[#This Row],[_Row]])=1,N(INDEX(tsk_Duration,GanttView[[#This Row],[_Row]]))=0))</f>
        <v>0</v>
      </c>
      <c r="O16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89" t="n">
        <f aca="false">IF(GanttView[[#This Row],[_RemFrom]]=0,0,GanttView[[#This Row],[Forecast Finish]])</f>
        <v>0</v>
      </c>
      <c r="S165" s="88" t="b">
        <f aca="false">IF(IFERROR(INDEX(tsk_Name,GanttView[[#This Row],[_Row]])="",TRUE()),FALSE(),N(INDEX(tsk_Variance,GanttView[[#This Row],[_Row]]))&gt;0)</f>
        <v>0</v>
      </c>
      <c r="T165" s="89" t="n">
        <f aca="false">IF(IFERROR(INDEX(tsk_Name,GanttView[[#This Row],[_Row]])="",TRUE()),0,N(INDEX(tsk_Deadline,GanttView[[#This Row],[_Row]])))</f>
        <v>0</v>
      </c>
      <c r="U165" s="88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83" t="str">
        <f aca="false">IF(IFERROR(INDEX(tsk_Name,GanttView[[#This Row],[_Row]])="",TRUE()),"",INDEX(tsk_ID,GanttView[[#This Row],[_Row]]))</f>
        <v/>
      </c>
      <c r="B166" s="83" t="str">
        <f aca="false">IF(IFERROR(INDEX(tsk_Name,GanttView[[#This Row],[_Row]])="",TRUE()),"",INDEX(tsk_WBS,GanttView[[#This Row],[_Row]]))</f>
        <v/>
      </c>
      <c r="C166" s="84" t="str">
        <f aca="false">IF(IFERROR(INDEX(tsk_Name,GanttView[[#This Row],[_Row]])="",TRUE()),"",REPT("    ",INDEX(tsk_Level,GanttView[[#This Row],[_Row]])-1)&amp;INDEX(tsk_Name,GanttView[[#This Row],[_Row]]))</f>
        <v/>
      </c>
      <c r="D16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85" t="str">
        <f aca="false">IF(IFERROR(INDEX(tsk_Name,GanttView[[#This Row],[_Row]])="",TRUE()),"",INDEX(tsk_PlanStart,GanttView[[#This Row],[_Row]]))</f>
        <v/>
      </c>
      <c r="F166" s="85" t="str">
        <f aca="false">IF(IFERROR(INDEX(tsk_Name,GanttView[[#This Row],[_Row]])="",TRUE()),"",INDEX(tsk_PlanFinish,GanttView[[#This Row],[_Row]]))</f>
        <v/>
      </c>
      <c r="G166" s="85" t="str">
        <f aca="false">IF(IFERROR(INDEX(tsk_Name,GanttView[[#This Row],[_Row]])="",TRUE()),"",INDEX(tsk_FcStart,GanttView[[#This Row],[_Row]]))</f>
        <v/>
      </c>
      <c r="H166" s="85" t="str">
        <f aca="false">IF(IFERROR(INDEX(tsk_Name,GanttView[[#This Row],[_Row]])="",TRUE()),"",INDEX(tsk_FcFinish,GanttView[[#This Row],[_Row]]))</f>
        <v/>
      </c>
      <c r="I166" s="86" t="str">
        <f aca="false">IF(IFERROR(INDEX(tsk_Name,GanttView[[#This Row],[_Row]])="",TRUE()),"",INDEX(tsk_Progress,GanttView[[#This Row],[_Row]]))</f>
        <v/>
      </c>
      <c r="J166" s="84" t="str">
        <f aca="false">IF(IFERROR(INDEX(tsk_Name,GanttView[[#This Row],[_Row]])="",TRUE()),"",INDEX(tsk_Resource,GanttView[[#This Row],[_Row]])&amp;"")</f>
        <v/>
      </c>
      <c r="K166" s="83" t="str">
        <f aca="false">IF(IFERROR(INDEX(tsk_Name,GanttView[[#This Row],[_Row]])="",TRUE()),"",INDEX(tsk_Status,GanttView[[#This Row],[_Row]]))</f>
        <v/>
      </c>
      <c r="L166" s="87" t="n">
        <f aca="false">ROW()-ROW(GanttView[[#Headers],[ID]])</f>
        <v>161</v>
      </c>
      <c r="M166" s="88" t="b">
        <f aca="false">IF(IFERROR(INDEX(tsk_Name,GanttView[[#This Row],[_Row]])="",TRUE()),FALSE(),INDEX(tsk_IsSummary,GanttView[[#This Row],[_Row]]))</f>
        <v>0</v>
      </c>
      <c r="N166" s="88" t="b">
        <f aca="false">IF(IFERROR(INDEX(tsk_Name,GanttView[[#This Row],[_Row]])="",TRUE()),FALSE(),AND(INDEX(tsk_IsLeaf,GanttView[[#This Row],[_Row]])=1,N(INDEX(tsk_Duration,GanttView[[#This Row],[_Row]]))=0))</f>
        <v>0</v>
      </c>
      <c r="O16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89" t="n">
        <f aca="false">IF(GanttView[[#This Row],[_RemFrom]]=0,0,GanttView[[#This Row],[Forecast Finish]])</f>
        <v>0</v>
      </c>
      <c r="S166" s="88" t="b">
        <f aca="false">IF(IFERROR(INDEX(tsk_Name,GanttView[[#This Row],[_Row]])="",TRUE()),FALSE(),N(INDEX(tsk_Variance,GanttView[[#This Row],[_Row]]))&gt;0)</f>
        <v>0</v>
      </c>
      <c r="T166" s="89" t="n">
        <f aca="false">IF(IFERROR(INDEX(tsk_Name,GanttView[[#This Row],[_Row]])="",TRUE()),0,N(INDEX(tsk_Deadline,GanttView[[#This Row],[_Row]])))</f>
        <v>0</v>
      </c>
      <c r="U166" s="88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83" t="str">
        <f aca="false">IF(IFERROR(INDEX(tsk_Name,GanttView[[#This Row],[_Row]])="",TRUE()),"",INDEX(tsk_ID,GanttView[[#This Row],[_Row]]))</f>
        <v/>
      </c>
      <c r="B167" s="83" t="str">
        <f aca="false">IF(IFERROR(INDEX(tsk_Name,GanttView[[#This Row],[_Row]])="",TRUE()),"",INDEX(tsk_WBS,GanttView[[#This Row],[_Row]]))</f>
        <v/>
      </c>
      <c r="C167" s="84" t="str">
        <f aca="false">IF(IFERROR(INDEX(tsk_Name,GanttView[[#This Row],[_Row]])="",TRUE()),"",REPT("    ",INDEX(tsk_Level,GanttView[[#This Row],[_Row]])-1)&amp;INDEX(tsk_Name,GanttView[[#This Row],[_Row]]))</f>
        <v/>
      </c>
      <c r="D16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85" t="str">
        <f aca="false">IF(IFERROR(INDEX(tsk_Name,GanttView[[#This Row],[_Row]])="",TRUE()),"",INDEX(tsk_PlanStart,GanttView[[#This Row],[_Row]]))</f>
        <v/>
      </c>
      <c r="F167" s="85" t="str">
        <f aca="false">IF(IFERROR(INDEX(tsk_Name,GanttView[[#This Row],[_Row]])="",TRUE()),"",INDEX(tsk_PlanFinish,GanttView[[#This Row],[_Row]]))</f>
        <v/>
      </c>
      <c r="G167" s="85" t="str">
        <f aca="false">IF(IFERROR(INDEX(tsk_Name,GanttView[[#This Row],[_Row]])="",TRUE()),"",INDEX(tsk_FcStart,GanttView[[#This Row],[_Row]]))</f>
        <v/>
      </c>
      <c r="H167" s="85" t="str">
        <f aca="false">IF(IFERROR(INDEX(tsk_Name,GanttView[[#This Row],[_Row]])="",TRUE()),"",INDEX(tsk_FcFinish,GanttView[[#This Row],[_Row]]))</f>
        <v/>
      </c>
      <c r="I167" s="86" t="str">
        <f aca="false">IF(IFERROR(INDEX(tsk_Name,GanttView[[#This Row],[_Row]])="",TRUE()),"",INDEX(tsk_Progress,GanttView[[#This Row],[_Row]]))</f>
        <v/>
      </c>
      <c r="J167" s="84" t="str">
        <f aca="false">IF(IFERROR(INDEX(tsk_Name,GanttView[[#This Row],[_Row]])="",TRUE()),"",INDEX(tsk_Resource,GanttView[[#This Row],[_Row]])&amp;"")</f>
        <v/>
      </c>
      <c r="K167" s="83" t="str">
        <f aca="false">IF(IFERROR(INDEX(tsk_Name,GanttView[[#This Row],[_Row]])="",TRUE()),"",INDEX(tsk_Status,GanttView[[#This Row],[_Row]]))</f>
        <v/>
      </c>
      <c r="L167" s="87" t="n">
        <f aca="false">ROW()-ROW(GanttView[[#Headers],[ID]])</f>
        <v>162</v>
      </c>
      <c r="M167" s="88" t="b">
        <f aca="false">IF(IFERROR(INDEX(tsk_Name,GanttView[[#This Row],[_Row]])="",TRUE()),FALSE(),INDEX(tsk_IsSummary,GanttView[[#This Row],[_Row]]))</f>
        <v>0</v>
      </c>
      <c r="N167" s="88" t="b">
        <f aca="false">IF(IFERROR(INDEX(tsk_Name,GanttView[[#This Row],[_Row]])="",TRUE()),FALSE(),AND(INDEX(tsk_IsLeaf,GanttView[[#This Row],[_Row]])=1,N(INDEX(tsk_Duration,GanttView[[#This Row],[_Row]]))=0))</f>
        <v>0</v>
      </c>
      <c r="O16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89" t="n">
        <f aca="false">IF(GanttView[[#This Row],[_RemFrom]]=0,0,GanttView[[#This Row],[Forecast Finish]])</f>
        <v>0</v>
      </c>
      <c r="S167" s="88" t="b">
        <f aca="false">IF(IFERROR(INDEX(tsk_Name,GanttView[[#This Row],[_Row]])="",TRUE()),FALSE(),N(INDEX(tsk_Variance,GanttView[[#This Row],[_Row]]))&gt;0)</f>
        <v>0</v>
      </c>
      <c r="T167" s="89" t="n">
        <f aca="false">IF(IFERROR(INDEX(tsk_Name,GanttView[[#This Row],[_Row]])="",TRUE()),0,N(INDEX(tsk_Deadline,GanttView[[#This Row],[_Row]])))</f>
        <v>0</v>
      </c>
      <c r="U167" s="88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83" t="str">
        <f aca="false">IF(IFERROR(INDEX(tsk_Name,GanttView[[#This Row],[_Row]])="",TRUE()),"",INDEX(tsk_ID,GanttView[[#This Row],[_Row]]))</f>
        <v/>
      </c>
      <c r="B168" s="83" t="str">
        <f aca="false">IF(IFERROR(INDEX(tsk_Name,GanttView[[#This Row],[_Row]])="",TRUE()),"",INDEX(tsk_WBS,GanttView[[#This Row],[_Row]]))</f>
        <v/>
      </c>
      <c r="C168" s="84" t="str">
        <f aca="false">IF(IFERROR(INDEX(tsk_Name,GanttView[[#This Row],[_Row]])="",TRUE()),"",REPT("    ",INDEX(tsk_Level,GanttView[[#This Row],[_Row]])-1)&amp;INDEX(tsk_Name,GanttView[[#This Row],[_Row]]))</f>
        <v/>
      </c>
      <c r="D16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85" t="str">
        <f aca="false">IF(IFERROR(INDEX(tsk_Name,GanttView[[#This Row],[_Row]])="",TRUE()),"",INDEX(tsk_PlanStart,GanttView[[#This Row],[_Row]]))</f>
        <v/>
      </c>
      <c r="F168" s="85" t="str">
        <f aca="false">IF(IFERROR(INDEX(tsk_Name,GanttView[[#This Row],[_Row]])="",TRUE()),"",INDEX(tsk_PlanFinish,GanttView[[#This Row],[_Row]]))</f>
        <v/>
      </c>
      <c r="G168" s="85" t="str">
        <f aca="false">IF(IFERROR(INDEX(tsk_Name,GanttView[[#This Row],[_Row]])="",TRUE()),"",INDEX(tsk_FcStart,GanttView[[#This Row],[_Row]]))</f>
        <v/>
      </c>
      <c r="H168" s="85" t="str">
        <f aca="false">IF(IFERROR(INDEX(tsk_Name,GanttView[[#This Row],[_Row]])="",TRUE()),"",INDEX(tsk_FcFinish,GanttView[[#This Row],[_Row]]))</f>
        <v/>
      </c>
      <c r="I168" s="86" t="str">
        <f aca="false">IF(IFERROR(INDEX(tsk_Name,GanttView[[#This Row],[_Row]])="",TRUE()),"",INDEX(tsk_Progress,GanttView[[#This Row],[_Row]]))</f>
        <v/>
      </c>
      <c r="J168" s="84" t="str">
        <f aca="false">IF(IFERROR(INDEX(tsk_Name,GanttView[[#This Row],[_Row]])="",TRUE()),"",INDEX(tsk_Resource,GanttView[[#This Row],[_Row]])&amp;"")</f>
        <v/>
      </c>
      <c r="K168" s="83" t="str">
        <f aca="false">IF(IFERROR(INDEX(tsk_Name,GanttView[[#This Row],[_Row]])="",TRUE()),"",INDEX(tsk_Status,GanttView[[#This Row],[_Row]]))</f>
        <v/>
      </c>
      <c r="L168" s="87" t="n">
        <f aca="false">ROW()-ROW(GanttView[[#Headers],[ID]])</f>
        <v>163</v>
      </c>
      <c r="M168" s="88" t="b">
        <f aca="false">IF(IFERROR(INDEX(tsk_Name,GanttView[[#This Row],[_Row]])="",TRUE()),FALSE(),INDEX(tsk_IsSummary,GanttView[[#This Row],[_Row]]))</f>
        <v>0</v>
      </c>
      <c r="N168" s="88" t="b">
        <f aca="false">IF(IFERROR(INDEX(tsk_Name,GanttView[[#This Row],[_Row]])="",TRUE()),FALSE(),AND(INDEX(tsk_IsLeaf,GanttView[[#This Row],[_Row]])=1,N(INDEX(tsk_Duration,GanttView[[#This Row],[_Row]]))=0))</f>
        <v>0</v>
      </c>
      <c r="O16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89" t="n">
        <f aca="false">IF(GanttView[[#This Row],[_RemFrom]]=0,0,GanttView[[#This Row],[Forecast Finish]])</f>
        <v>0</v>
      </c>
      <c r="S168" s="88" t="b">
        <f aca="false">IF(IFERROR(INDEX(tsk_Name,GanttView[[#This Row],[_Row]])="",TRUE()),FALSE(),N(INDEX(tsk_Variance,GanttView[[#This Row],[_Row]]))&gt;0)</f>
        <v>0</v>
      </c>
      <c r="T168" s="89" t="n">
        <f aca="false">IF(IFERROR(INDEX(tsk_Name,GanttView[[#This Row],[_Row]])="",TRUE()),0,N(INDEX(tsk_Deadline,GanttView[[#This Row],[_Row]])))</f>
        <v>0</v>
      </c>
      <c r="U168" s="88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83" t="str">
        <f aca="false">IF(IFERROR(INDEX(tsk_Name,GanttView[[#This Row],[_Row]])="",TRUE()),"",INDEX(tsk_ID,GanttView[[#This Row],[_Row]]))</f>
        <v/>
      </c>
      <c r="B169" s="83" t="str">
        <f aca="false">IF(IFERROR(INDEX(tsk_Name,GanttView[[#This Row],[_Row]])="",TRUE()),"",INDEX(tsk_WBS,GanttView[[#This Row],[_Row]]))</f>
        <v/>
      </c>
      <c r="C169" s="84" t="str">
        <f aca="false">IF(IFERROR(INDEX(tsk_Name,GanttView[[#This Row],[_Row]])="",TRUE()),"",REPT("    ",INDEX(tsk_Level,GanttView[[#This Row],[_Row]])-1)&amp;INDEX(tsk_Name,GanttView[[#This Row],[_Row]]))</f>
        <v/>
      </c>
      <c r="D16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85" t="str">
        <f aca="false">IF(IFERROR(INDEX(tsk_Name,GanttView[[#This Row],[_Row]])="",TRUE()),"",INDEX(tsk_PlanStart,GanttView[[#This Row],[_Row]]))</f>
        <v/>
      </c>
      <c r="F169" s="85" t="str">
        <f aca="false">IF(IFERROR(INDEX(tsk_Name,GanttView[[#This Row],[_Row]])="",TRUE()),"",INDEX(tsk_PlanFinish,GanttView[[#This Row],[_Row]]))</f>
        <v/>
      </c>
      <c r="G169" s="85" t="str">
        <f aca="false">IF(IFERROR(INDEX(tsk_Name,GanttView[[#This Row],[_Row]])="",TRUE()),"",INDEX(tsk_FcStart,GanttView[[#This Row],[_Row]]))</f>
        <v/>
      </c>
      <c r="H169" s="85" t="str">
        <f aca="false">IF(IFERROR(INDEX(tsk_Name,GanttView[[#This Row],[_Row]])="",TRUE()),"",INDEX(tsk_FcFinish,GanttView[[#This Row],[_Row]]))</f>
        <v/>
      </c>
      <c r="I169" s="86" t="str">
        <f aca="false">IF(IFERROR(INDEX(tsk_Name,GanttView[[#This Row],[_Row]])="",TRUE()),"",INDEX(tsk_Progress,GanttView[[#This Row],[_Row]]))</f>
        <v/>
      </c>
      <c r="J169" s="84" t="str">
        <f aca="false">IF(IFERROR(INDEX(tsk_Name,GanttView[[#This Row],[_Row]])="",TRUE()),"",INDEX(tsk_Resource,GanttView[[#This Row],[_Row]])&amp;"")</f>
        <v/>
      </c>
      <c r="K169" s="83" t="str">
        <f aca="false">IF(IFERROR(INDEX(tsk_Name,GanttView[[#This Row],[_Row]])="",TRUE()),"",INDEX(tsk_Status,GanttView[[#This Row],[_Row]]))</f>
        <v/>
      </c>
      <c r="L169" s="87" t="n">
        <f aca="false">ROW()-ROW(GanttView[[#Headers],[ID]])</f>
        <v>164</v>
      </c>
      <c r="M169" s="88" t="b">
        <f aca="false">IF(IFERROR(INDEX(tsk_Name,GanttView[[#This Row],[_Row]])="",TRUE()),FALSE(),INDEX(tsk_IsSummary,GanttView[[#This Row],[_Row]]))</f>
        <v>0</v>
      </c>
      <c r="N169" s="88" t="b">
        <f aca="false">IF(IFERROR(INDEX(tsk_Name,GanttView[[#This Row],[_Row]])="",TRUE()),FALSE(),AND(INDEX(tsk_IsLeaf,GanttView[[#This Row],[_Row]])=1,N(INDEX(tsk_Duration,GanttView[[#This Row],[_Row]]))=0))</f>
        <v>0</v>
      </c>
      <c r="O16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89" t="n">
        <f aca="false">IF(GanttView[[#This Row],[_RemFrom]]=0,0,GanttView[[#This Row],[Forecast Finish]])</f>
        <v>0</v>
      </c>
      <c r="S169" s="88" t="b">
        <f aca="false">IF(IFERROR(INDEX(tsk_Name,GanttView[[#This Row],[_Row]])="",TRUE()),FALSE(),N(INDEX(tsk_Variance,GanttView[[#This Row],[_Row]]))&gt;0)</f>
        <v>0</v>
      </c>
      <c r="T169" s="89" t="n">
        <f aca="false">IF(IFERROR(INDEX(tsk_Name,GanttView[[#This Row],[_Row]])="",TRUE()),0,N(INDEX(tsk_Deadline,GanttView[[#This Row],[_Row]])))</f>
        <v>0</v>
      </c>
      <c r="U169" s="88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83" t="str">
        <f aca="false">IF(IFERROR(INDEX(tsk_Name,GanttView[[#This Row],[_Row]])="",TRUE()),"",INDEX(tsk_ID,GanttView[[#This Row],[_Row]]))</f>
        <v/>
      </c>
      <c r="B170" s="83" t="str">
        <f aca="false">IF(IFERROR(INDEX(tsk_Name,GanttView[[#This Row],[_Row]])="",TRUE()),"",INDEX(tsk_WBS,GanttView[[#This Row],[_Row]]))</f>
        <v/>
      </c>
      <c r="C170" s="84" t="str">
        <f aca="false">IF(IFERROR(INDEX(tsk_Name,GanttView[[#This Row],[_Row]])="",TRUE()),"",REPT("    ",INDEX(tsk_Level,GanttView[[#This Row],[_Row]])-1)&amp;INDEX(tsk_Name,GanttView[[#This Row],[_Row]]))</f>
        <v/>
      </c>
      <c r="D17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85" t="str">
        <f aca="false">IF(IFERROR(INDEX(tsk_Name,GanttView[[#This Row],[_Row]])="",TRUE()),"",INDEX(tsk_PlanStart,GanttView[[#This Row],[_Row]]))</f>
        <v/>
      </c>
      <c r="F170" s="85" t="str">
        <f aca="false">IF(IFERROR(INDEX(tsk_Name,GanttView[[#This Row],[_Row]])="",TRUE()),"",INDEX(tsk_PlanFinish,GanttView[[#This Row],[_Row]]))</f>
        <v/>
      </c>
      <c r="G170" s="85" t="str">
        <f aca="false">IF(IFERROR(INDEX(tsk_Name,GanttView[[#This Row],[_Row]])="",TRUE()),"",INDEX(tsk_FcStart,GanttView[[#This Row],[_Row]]))</f>
        <v/>
      </c>
      <c r="H170" s="85" t="str">
        <f aca="false">IF(IFERROR(INDEX(tsk_Name,GanttView[[#This Row],[_Row]])="",TRUE()),"",INDEX(tsk_FcFinish,GanttView[[#This Row],[_Row]]))</f>
        <v/>
      </c>
      <c r="I170" s="86" t="str">
        <f aca="false">IF(IFERROR(INDEX(tsk_Name,GanttView[[#This Row],[_Row]])="",TRUE()),"",INDEX(tsk_Progress,GanttView[[#This Row],[_Row]]))</f>
        <v/>
      </c>
      <c r="J170" s="84" t="str">
        <f aca="false">IF(IFERROR(INDEX(tsk_Name,GanttView[[#This Row],[_Row]])="",TRUE()),"",INDEX(tsk_Resource,GanttView[[#This Row],[_Row]])&amp;"")</f>
        <v/>
      </c>
      <c r="K170" s="83" t="str">
        <f aca="false">IF(IFERROR(INDEX(tsk_Name,GanttView[[#This Row],[_Row]])="",TRUE()),"",INDEX(tsk_Status,GanttView[[#This Row],[_Row]]))</f>
        <v/>
      </c>
      <c r="L170" s="87" t="n">
        <f aca="false">ROW()-ROW(GanttView[[#Headers],[ID]])</f>
        <v>165</v>
      </c>
      <c r="M170" s="88" t="b">
        <f aca="false">IF(IFERROR(INDEX(tsk_Name,GanttView[[#This Row],[_Row]])="",TRUE()),FALSE(),INDEX(tsk_IsSummary,GanttView[[#This Row],[_Row]]))</f>
        <v>0</v>
      </c>
      <c r="N170" s="88" t="b">
        <f aca="false">IF(IFERROR(INDEX(tsk_Name,GanttView[[#This Row],[_Row]])="",TRUE()),FALSE(),AND(INDEX(tsk_IsLeaf,GanttView[[#This Row],[_Row]])=1,N(INDEX(tsk_Duration,GanttView[[#This Row],[_Row]]))=0))</f>
        <v>0</v>
      </c>
      <c r="O17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89" t="n">
        <f aca="false">IF(GanttView[[#This Row],[_RemFrom]]=0,0,GanttView[[#This Row],[Forecast Finish]])</f>
        <v>0</v>
      </c>
      <c r="S170" s="88" t="b">
        <f aca="false">IF(IFERROR(INDEX(tsk_Name,GanttView[[#This Row],[_Row]])="",TRUE()),FALSE(),N(INDEX(tsk_Variance,GanttView[[#This Row],[_Row]]))&gt;0)</f>
        <v>0</v>
      </c>
      <c r="T170" s="89" t="n">
        <f aca="false">IF(IFERROR(INDEX(tsk_Name,GanttView[[#This Row],[_Row]])="",TRUE()),0,N(INDEX(tsk_Deadline,GanttView[[#This Row],[_Row]])))</f>
        <v>0</v>
      </c>
      <c r="U170" s="88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83" t="str">
        <f aca="false">IF(IFERROR(INDEX(tsk_Name,GanttView[[#This Row],[_Row]])="",TRUE()),"",INDEX(tsk_ID,GanttView[[#This Row],[_Row]]))</f>
        <v/>
      </c>
      <c r="B171" s="83" t="str">
        <f aca="false">IF(IFERROR(INDEX(tsk_Name,GanttView[[#This Row],[_Row]])="",TRUE()),"",INDEX(tsk_WBS,GanttView[[#This Row],[_Row]]))</f>
        <v/>
      </c>
      <c r="C171" s="84" t="str">
        <f aca="false">IF(IFERROR(INDEX(tsk_Name,GanttView[[#This Row],[_Row]])="",TRUE()),"",REPT("    ",INDEX(tsk_Level,GanttView[[#This Row],[_Row]])-1)&amp;INDEX(tsk_Name,GanttView[[#This Row],[_Row]]))</f>
        <v/>
      </c>
      <c r="D17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85" t="str">
        <f aca="false">IF(IFERROR(INDEX(tsk_Name,GanttView[[#This Row],[_Row]])="",TRUE()),"",INDEX(tsk_PlanStart,GanttView[[#This Row],[_Row]]))</f>
        <v/>
      </c>
      <c r="F171" s="85" t="str">
        <f aca="false">IF(IFERROR(INDEX(tsk_Name,GanttView[[#This Row],[_Row]])="",TRUE()),"",INDEX(tsk_PlanFinish,GanttView[[#This Row],[_Row]]))</f>
        <v/>
      </c>
      <c r="G171" s="85" t="str">
        <f aca="false">IF(IFERROR(INDEX(tsk_Name,GanttView[[#This Row],[_Row]])="",TRUE()),"",INDEX(tsk_FcStart,GanttView[[#This Row],[_Row]]))</f>
        <v/>
      </c>
      <c r="H171" s="85" t="str">
        <f aca="false">IF(IFERROR(INDEX(tsk_Name,GanttView[[#This Row],[_Row]])="",TRUE()),"",INDEX(tsk_FcFinish,GanttView[[#This Row],[_Row]]))</f>
        <v/>
      </c>
      <c r="I171" s="86" t="str">
        <f aca="false">IF(IFERROR(INDEX(tsk_Name,GanttView[[#This Row],[_Row]])="",TRUE()),"",INDEX(tsk_Progress,GanttView[[#This Row],[_Row]]))</f>
        <v/>
      </c>
      <c r="J171" s="84" t="str">
        <f aca="false">IF(IFERROR(INDEX(tsk_Name,GanttView[[#This Row],[_Row]])="",TRUE()),"",INDEX(tsk_Resource,GanttView[[#This Row],[_Row]])&amp;"")</f>
        <v/>
      </c>
      <c r="K171" s="83" t="str">
        <f aca="false">IF(IFERROR(INDEX(tsk_Name,GanttView[[#This Row],[_Row]])="",TRUE()),"",INDEX(tsk_Status,GanttView[[#This Row],[_Row]]))</f>
        <v/>
      </c>
      <c r="L171" s="87" t="n">
        <f aca="false">ROW()-ROW(GanttView[[#Headers],[ID]])</f>
        <v>166</v>
      </c>
      <c r="M171" s="88" t="b">
        <f aca="false">IF(IFERROR(INDEX(tsk_Name,GanttView[[#This Row],[_Row]])="",TRUE()),FALSE(),INDEX(tsk_IsSummary,GanttView[[#This Row],[_Row]]))</f>
        <v>0</v>
      </c>
      <c r="N171" s="88" t="b">
        <f aca="false">IF(IFERROR(INDEX(tsk_Name,GanttView[[#This Row],[_Row]])="",TRUE()),FALSE(),AND(INDEX(tsk_IsLeaf,GanttView[[#This Row],[_Row]])=1,N(INDEX(tsk_Duration,GanttView[[#This Row],[_Row]]))=0))</f>
        <v>0</v>
      </c>
      <c r="O17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89" t="n">
        <f aca="false">IF(GanttView[[#This Row],[_RemFrom]]=0,0,GanttView[[#This Row],[Forecast Finish]])</f>
        <v>0</v>
      </c>
      <c r="S171" s="88" t="b">
        <f aca="false">IF(IFERROR(INDEX(tsk_Name,GanttView[[#This Row],[_Row]])="",TRUE()),FALSE(),N(INDEX(tsk_Variance,GanttView[[#This Row],[_Row]]))&gt;0)</f>
        <v>0</v>
      </c>
      <c r="T171" s="89" t="n">
        <f aca="false">IF(IFERROR(INDEX(tsk_Name,GanttView[[#This Row],[_Row]])="",TRUE()),0,N(INDEX(tsk_Deadline,GanttView[[#This Row],[_Row]])))</f>
        <v>0</v>
      </c>
      <c r="U171" s="88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83" t="str">
        <f aca="false">IF(IFERROR(INDEX(tsk_Name,GanttView[[#This Row],[_Row]])="",TRUE()),"",INDEX(tsk_ID,GanttView[[#This Row],[_Row]]))</f>
        <v/>
      </c>
      <c r="B172" s="83" t="str">
        <f aca="false">IF(IFERROR(INDEX(tsk_Name,GanttView[[#This Row],[_Row]])="",TRUE()),"",INDEX(tsk_WBS,GanttView[[#This Row],[_Row]]))</f>
        <v/>
      </c>
      <c r="C172" s="84" t="str">
        <f aca="false">IF(IFERROR(INDEX(tsk_Name,GanttView[[#This Row],[_Row]])="",TRUE()),"",REPT("    ",INDEX(tsk_Level,GanttView[[#This Row],[_Row]])-1)&amp;INDEX(tsk_Name,GanttView[[#This Row],[_Row]]))</f>
        <v/>
      </c>
      <c r="D17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85" t="str">
        <f aca="false">IF(IFERROR(INDEX(tsk_Name,GanttView[[#This Row],[_Row]])="",TRUE()),"",INDEX(tsk_PlanStart,GanttView[[#This Row],[_Row]]))</f>
        <v/>
      </c>
      <c r="F172" s="85" t="str">
        <f aca="false">IF(IFERROR(INDEX(tsk_Name,GanttView[[#This Row],[_Row]])="",TRUE()),"",INDEX(tsk_PlanFinish,GanttView[[#This Row],[_Row]]))</f>
        <v/>
      </c>
      <c r="G172" s="85" t="str">
        <f aca="false">IF(IFERROR(INDEX(tsk_Name,GanttView[[#This Row],[_Row]])="",TRUE()),"",INDEX(tsk_FcStart,GanttView[[#This Row],[_Row]]))</f>
        <v/>
      </c>
      <c r="H172" s="85" t="str">
        <f aca="false">IF(IFERROR(INDEX(tsk_Name,GanttView[[#This Row],[_Row]])="",TRUE()),"",INDEX(tsk_FcFinish,GanttView[[#This Row],[_Row]]))</f>
        <v/>
      </c>
      <c r="I172" s="86" t="str">
        <f aca="false">IF(IFERROR(INDEX(tsk_Name,GanttView[[#This Row],[_Row]])="",TRUE()),"",INDEX(tsk_Progress,GanttView[[#This Row],[_Row]]))</f>
        <v/>
      </c>
      <c r="J172" s="84" t="str">
        <f aca="false">IF(IFERROR(INDEX(tsk_Name,GanttView[[#This Row],[_Row]])="",TRUE()),"",INDEX(tsk_Resource,GanttView[[#This Row],[_Row]])&amp;"")</f>
        <v/>
      </c>
      <c r="K172" s="83" t="str">
        <f aca="false">IF(IFERROR(INDEX(tsk_Name,GanttView[[#This Row],[_Row]])="",TRUE()),"",INDEX(tsk_Status,GanttView[[#This Row],[_Row]]))</f>
        <v/>
      </c>
      <c r="L172" s="87" t="n">
        <f aca="false">ROW()-ROW(GanttView[[#Headers],[ID]])</f>
        <v>167</v>
      </c>
      <c r="M172" s="88" t="b">
        <f aca="false">IF(IFERROR(INDEX(tsk_Name,GanttView[[#This Row],[_Row]])="",TRUE()),FALSE(),INDEX(tsk_IsSummary,GanttView[[#This Row],[_Row]]))</f>
        <v>0</v>
      </c>
      <c r="N172" s="88" t="b">
        <f aca="false">IF(IFERROR(INDEX(tsk_Name,GanttView[[#This Row],[_Row]])="",TRUE()),FALSE(),AND(INDEX(tsk_IsLeaf,GanttView[[#This Row],[_Row]])=1,N(INDEX(tsk_Duration,GanttView[[#This Row],[_Row]]))=0))</f>
        <v>0</v>
      </c>
      <c r="O17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89" t="n">
        <f aca="false">IF(GanttView[[#This Row],[_RemFrom]]=0,0,GanttView[[#This Row],[Forecast Finish]])</f>
        <v>0</v>
      </c>
      <c r="S172" s="88" t="b">
        <f aca="false">IF(IFERROR(INDEX(tsk_Name,GanttView[[#This Row],[_Row]])="",TRUE()),FALSE(),N(INDEX(tsk_Variance,GanttView[[#This Row],[_Row]]))&gt;0)</f>
        <v>0</v>
      </c>
      <c r="T172" s="89" t="n">
        <f aca="false">IF(IFERROR(INDEX(tsk_Name,GanttView[[#This Row],[_Row]])="",TRUE()),0,N(INDEX(tsk_Deadline,GanttView[[#This Row],[_Row]])))</f>
        <v>0</v>
      </c>
      <c r="U172" s="88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83" t="str">
        <f aca="false">IF(IFERROR(INDEX(tsk_Name,GanttView[[#This Row],[_Row]])="",TRUE()),"",INDEX(tsk_ID,GanttView[[#This Row],[_Row]]))</f>
        <v/>
      </c>
      <c r="B173" s="83" t="str">
        <f aca="false">IF(IFERROR(INDEX(tsk_Name,GanttView[[#This Row],[_Row]])="",TRUE()),"",INDEX(tsk_WBS,GanttView[[#This Row],[_Row]]))</f>
        <v/>
      </c>
      <c r="C173" s="84" t="str">
        <f aca="false">IF(IFERROR(INDEX(tsk_Name,GanttView[[#This Row],[_Row]])="",TRUE()),"",REPT("    ",INDEX(tsk_Level,GanttView[[#This Row],[_Row]])-1)&amp;INDEX(tsk_Name,GanttView[[#This Row],[_Row]]))</f>
        <v/>
      </c>
      <c r="D17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85" t="str">
        <f aca="false">IF(IFERROR(INDEX(tsk_Name,GanttView[[#This Row],[_Row]])="",TRUE()),"",INDEX(tsk_PlanStart,GanttView[[#This Row],[_Row]]))</f>
        <v/>
      </c>
      <c r="F173" s="85" t="str">
        <f aca="false">IF(IFERROR(INDEX(tsk_Name,GanttView[[#This Row],[_Row]])="",TRUE()),"",INDEX(tsk_PlanFinish,GanttView[[#This Row],[_Row]]))</f>
        <v/>
      </c>
      <c r="G173" s="85" t="str">
        <f aca="false">IF(IFERROR(INDEX(tsk_Name,GanttView[[#This Row],[_Row]])="",TRUE()),"",INDEX(tsk_FcStart,GanttView[[#This Row],[_Row]]))</f>
        <v/>
      </c>
      <c r="H173" s="85" t="str">
        <f aca="false">IF(IFERROR(INDEX(tsk_Name,GanttView[[#This Row],[_Row]])="",TRUE()),"",INDEX(tsk_FcFinish,GanttView[[#This Row],[_Row]]))</f>
        <v/>
      </c>
      <c r="I173" s="86" t="str">
        <f aca="false">IF(IFERROR(INDEX(tsk_Name,GanttView[[#This Row],[_Row]])="",TRUE()),"",INDEX(tsk_Progress,GanttView[[#This Row],[_Row]]))</f>
        <v/>
      </c>
      <c r="J173" s="84" t="str">
        <f aca="false">IF(IFERROR(INDEX(tsk_Name,GanttView[[#This Row],[_Row]])="",TRUE()),"",INDEX(tsk_Resource,GanttView[[#This Row],[_Row]])&amp;"")</f>
        <v/>
      </c>
      <c r="K173" s="83" t="str">
        <f aca="false">IF(IFERROR(INDEX(tsk_Name,GanttView[[#This Row],[_Row]])="",TRUE()),"",INDEX(tsk_Status,GanttView[[#This Row],[_Row]]))</f>
        <v/>
      </c>
      <c r="L173" s="87" t="n">
        <f aca="false">ROW()-ROW(GanttView[[#Headers],[ID]])</f>
        <v>168</v>
      </c>
      <c r="M173" s="88" t="b">
        <f aca="false">IF(IFERROR(INDEX(tsk_Name,GanttView[[#This Row],[_Row]])="",TRUE()),FALSE(),INDEX(tsk_IsSummary,GanttView[[#This Row],[_Row]]))</f>
        <v>0</v>
      </c>
      <c r="N173" s="88" t="b">
        <f aca="false">IF(IFERROR(INDEX(tsk_Name,GanttView[[#This Row],[_Row]])="",TRUE()),FALSE(),AND(INDEX(tsk_IsLeaf,GanttView[[#This Row],[_Row]])=1,N(INDEX(tsk_Duration,GanttView[[#This Row],[_Row]]))=0))</f>
        <v>0</v>
      </c>
      <c r="O17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89" t="n">
        <f aca="false">IF(GanttView[[#This Row],[_RemFrom]]=0,0,GanttView[[#This Row],[Forecast Finish]])</f>
        <v>0</v>
      </c>
      <c r="S173" s="88" t="b">
        <f aca="false">IF(IFERROR(INDEX(tsk_Name,GanttView[[#This Row],[_Row]])="",TRUE()),FALSE(),N(INDEX(tsk_Variance,GanttView[[#This Row],[_Row]]))&gt;0)</f>
        <v>0</v>
      </c>
      <c r="T173" s="89" t="n">
        <f aca="false">IF(IFERROR(INDEX(tsk_Name,GanttView[[#This Row],[_Row]])="",TRUE()),0,N(INDEX(tsk_Deadline,GanttView[[#This Row],[_Row]])))</f>
        <v>0</v>
      </c>
      <c r="U173" s="88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83" t="str">
        <f aca="false">IF(IFERROR(INDEX(tsk_Name,GanttView[[#This Row],[_Row]])="",TRUE()),"",INDEX(tsk_ID,GanttView[[#This Row],[_Row]]))</f>
        <v/>
      </c>
      <c r="B174" s="83" t="str">
        <f aca="false">IF(IFERROR(INDEX(tsk_Name,GanttView[[#This Row],[_Row]])="",TRUE()),"",INDEX(tsk_WBS,GanttView[[#This Row],[_Row]]))</f>
        <v/>
      </c>
      <c r="C174" s="84" t="str">
        <f aca="false">IF(IFERROR(INDEX(tsk_Name,GanttView[[#This Row],[_Row]])="",TRUE()),"",REPT("    ",INDEX(tsk_Level,GanttView[[#This Row],[_Row]])-1)&amp;INDEX(tsk_Name,GanttView[[#This Row],[_Row]]))</f>
        <v/>
      </c>
      <c r="D17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85" t="str">
        <f aca="false">IF(IFERROR(INDEX(tsk_Name,GanttView[[#This Row],[_Row]])="",TRUE()),"",INDEX(tsk_PlanStart,GanttView[[#This Row],[_Row]]))</f>
        <v/>
      </c>
      <c r="F174" s="85" t="str">
        <f aca="false">IF(IFERROR(INDEX(tsk_Name,GanttView[[#This Row],[_Row]])="",TRUE()),"",INDEX(tsk_PlanFinish,GanttView[[#This Row],[_Row]]))</f>
        <v/>
      </c>
      <c r="G174" s="85" t="str">
        <f aca="false">IF(IFERROR(INDEX(tsk_Name,GanttView[[#This Row],[_Row]])="",TRUE()),"",INDEX(tsk_FcStart,GanttView[[#This Row],[_Row]]))</f>
        <v/>
      </c>
      <c r="H174" s="85" t="str">
        <f aca="false">IF(IFERROR(INDEX(tsk_Name,GanttView[[#This Row],[_Row]])="",TRUE()),"",INDEX(tsk_FcFinish,GanttView[[#This Row],[_Row]]))</f>
        <v/>
      </c>
      <c r="I174" s="86" t="str">
        <f aca="false">IF(IFERROR(INDEX(tsk_Name,GanttView[[#This Row],[_Row]])="",TRUE()),"",INDEX(tsk_Progress,GanttView[[#This Row],[_Row]]))</f>
        <v/>
      </c>
      <c r="J174" s="84" t="str">
        <f aca="false">IF(IFERROR(INDEX(tsk_Name,GanttView[[#This Row],[_Row]])="",TRUE()),"",INDEX(tsk_Resource,GanttView[[#This Row],[_Row]])&amp;"")</f>
        <v/>
      </c>
      <c r="K174" s="83" t="str">
        <f aca="false">IF(IFERROR(INDEX(tsk_Name,GanttView[[#This Row],[_Row]])="",TRUE()),"",INDEX(tsk_Status,GanttView[[#This Row],[_Row]]))</f>
        <v/>
      </c>
      <c r="L174" s="87" t="n">
        <f aca="false">ROW()-ROW(GanttView[[#Headers],[ID]])</f>
        <v>169</v>
      </c>
      <c r="M174" s="88" t="b">
        <f aca="false">IF(IFERROR(INDEX(tsk_Name,GanttView[[#This Row],[_Row]])="",TRUE()),FALSE(),INDEX(tsk_IsSummary,GanttView[[#This Row],[_Row]]))</f>
        <v>0</v>
      </c>
      <c r="N174" s="88" t="b">
        <f aca="false">IF(IFERROR(INDEX(tsk_Name,GanttView[[#This Row],[_Row]])="",TRUE()),FALSE(),AND(INDEX(tsk_IsLeaf,GanttView[[#This Row],[_Row]])=1,N(INDEX(tsk_Duration,GanttView[[#This Row],[_Row]]))=0))</f>
        <v>0</v>
      </c>
      <c r="O17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89" t="n">
        <f aca="false">IF(GanttView[[#This Row],[_RemFrom]]=0,0,GanttView[[#This Row],[Forecast Finish]])</f>
        <v>0</v>
      </c>
      <c r="S174" s="88" t="b">
        <f aca="false">IF(IFERROR(INDEX(tsk_Name,GanttView[[#This Row],[_Row]])="",TRUE()),FALSE(),N(INDEX(tsk_Variance,GanttView[[#This Row],[_Row]]))&gt;0)</f>
        <v>0</v>
      </c>
      <c r="T174" s="89" t="n">
        <f aca="false">IF(IFERROR(INDEX(tsk_Name,GanttView[[#This Row],[_Row]])="",TRUE()),0,N(INDEX(tsk_Deadline,GanttView[[#This Row],[_Row]])))</f>
        <v>0</v>
      </c>
      <c r="U174" s="88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83" t="str">
        <f aca="false">IF(IFERROR(INDEX(tsk_Name,GanttView[[#This Row],[_Row]])="",TRUE()),"",INDEX(tsk_ID,GanttView[[#This Row],[_Row]]))</f>
        <v/>
      </c>
      <c r="B175" s="83" t="str">
        <f aca="false">IF(IFERROR(INDEX(tsk_Name,GanttView[[#This Row],[_Row]])="",TRUE()),"",INDEX(tsk_WBS,GanttView[[#This Row],[_Row]]))</f>
        <v/>
      </c>
      <c r="C175" s="84" t="str">
        <f aca="false">IF(IFERROR(INDEX(tsk_Name,GanttView[[#This Row],[_Row]])="",TRUE()),"",REPT("    ",INDEX(tsk_Level,GanttView[[#This Row],[_Row]])-1)&amp;INDEX(tsk_Name,GanttView[[#This Row],[_Row]]))</f>
        <v/>
      </c>
      <c r="D17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85" t="str">
        <f aca="false">IF(IFERROR(INDEX(tsk_Name,GanttView[[#This Row],[_Row]])="",TRUE()),"",INDEX(tsk_PlanStart,GanttView[[#This Row],[_Row]]))</f>
        <v/>
      </c>
      <c r="F175" s="85" t="str">
        <f aca="false">IF(IFERROR(INDEX(tsk_Name,GanttView[[#This Row],[_Row]])="",TRUE()),"",INDEX(tsk_PlanFinish,GanttView[[#This Row],[_Row]]))</f>
        <v/>
      </c>
      <c r="G175" s="85" t="str">
        <f aca="false">IF(IFERROR(INDEX(tsk_Name,GanttView[[#This Row],[_Row]])="",TRUE()),"",INDEX(tsk_FcStart,GanttView[[#This Row],[_Row]]))</f>
        <v/>
      </c>
      <c r="H175" s="85" t="str">
        <f aca="false">IF(IFERROR(INDEX(tsk_Name,GanttView[[#This Row],[_Row]])="",TRUE()),"",INDEX(tsk_FcFinish,GanttView[[#This Row],[_Row]]))</f>
        <v/>
      </c>
      <c r="I175" s="86" t="str">
        <f aca="false">IF(IFERROR(INDEX(tsk_Name,GanttView[[#This Row],[_Row]])="",TRUE()),"",INDEX(tsk_Progress,GanttView[[#This Row],[_Row]]))</f>
        <v/>
      </c>
      <c r="J175" s="84" t="str">
        <f aca="false">IF(IFERROR(INDEX(tsk_Name,GanttView[[#This Row],[_Row]])="",TRUE()),"",INDEX(tsk_Resource,GanttView[[#This Row],[_Row]])&amp;"")</f>
        <v/>
      </c>
      <c r="K175" s="83" t="str">
        <f aca="false">IF(IFERROR(INDEX(tsk_Name,GanttView[[#This Row],[_Row]])="",TRUE()),"",INDEX(tsk_Status,GanttView[[#This Row],[_Row]]))</f>
        <v/>
      </c>
      <c r="L175" s="87" t="n">
        <f aca="false">ROW()-ROW(GanttView[[#Headers],[ID]])</f>
        <v>170</v>
      </c>
      <c r="M175" s="88" t="b">
        <f aca="false">IF(IFERROR(INDEX(tsk_Name,GanttView[[#This Row],[_Row]])="",TRUE()),FALSE(),INDEX(tsk_IsSummary,GanttView[[#This Row],[_Row]]))</f>
        <v>0</v>
      </c>
      <c r="N175" s="88" t="b">
        <f aca="false">IF(IFERROR(INDEX(tsk_Name,GanttView[[#This Row],[_Row]])="",TRUE()),FALSE(),AND(INDEX(tsk_IsLeaf,GanttView[[#This Row],[_Row]])=1,N(INDEX(tsk_Duration,GanttView[[#This Row],[_Row]]))=0))</f>
        <v>0</v>
      </c>
      <c r="O17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89" t="n">
        <f aca="false">IF(GanttView[[#This Row],[_RemFrom]]=0,0,GanttView[[#This Row],[Forecast Finish]])</f>
        <v>0</v>
      </c>
      <c r="S175" s="88" t="b">
        <f aca="false">IF(IFERROR(INDEX(tsk_Name,GanttView[[#This Row],[_Row]])="",TRUE()),FALSE(),N(INDEX(tsk_Variance,GanttView[[#This Row],[_Row]]))&gt;0)</f>
        <v>0</v>
      </c>
      <c r="T175" s="89" t="n">
        <f aca="false">IF(IFERROR(INDEX(tsk_Name,GanttView[[#This Row],[_Row]])="",TRUE()),0,N(INDEX(tsk_Deadline,GanttView[[#This Row],[_Row]])))</f>
        <v>0</v>
      </c>
      <c r="U175" s="88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83" t="str">
        <f aca="false">IF(IFERROR(INDEX(tsk_Name,GanttView[[#This Row],[_Row]])="",TRUE()),"",INDEX(tsk_ID,GanttView[[#This Row],[_Row]]))</f>
        <v/>
      </c>
      <c r="B176" s="83" t="str">
        <f aca="false">IF(IFERROR(INDEX(tsk_Name,GanttView[[#This Row],[_Row]])="",TRUE()),"",INDEX(tsk_WBS,GanttView[[#This Row],[_Row]]))</f>
        <v/>
      </c>
      <c r="C176" s="84" t="str">
        <f aca="false">IF(IFERROR(INDEX(tsk_Name,GanttView[[#This Row],[_Row]])="",TRUE()),"",REPT("    ",INDEX(tsk_Level,GanttView[[#This Row],[_Row]])-1)&amp;INDEX(tsk_Name,GanttView[[#This Row],[_Row]]))</f>
        <v/>
      </c>
      <c r="D17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85" t="str">
        <f aca="false">IF(IFERROR(INDEX(tsk_Name,GanttView[[#This Row],[_Row]])="",TRUE()),"",INDEX(tsk_PlanStart,GanttView[[#This Row],[_Row]]))</f>
        <v/>
      </c>
      <c r="F176" s="85" t="str">
        <f aca="false">IF(IFERROR(INDEX(tsk_Name,GanttView[[#This Row],[_Row]])="",TRUE()),"",INDEX(tsk_PlanFinish,GanttView[[#This Row],[_Row]]))</f>
        <v/>
      </c>
      <c r="G176" s="85" t="str">
        <f aca="false">IF(IFERROR(INDEX(tsk_Name,GanttView[[#This Row],[_Row]])="",TRUE()),"",INDEX(tsk_FcStart,GanttView[[#This Row],[_Row]]))</f>
        <v/>
      </c>
      <c r="H176" s="85" t="str">
        <f aca="false">IF(IFERROR(INDEX(tsk_Name,GanttView[[#This Row],[_Row]])="",TRUE()),"",INDEX(tsk_FcFinish,GanttView[[#This Row],[_Row]]))</f>
        <v/>
      </c>
      <c r="I176" s="86" t="str">
        <f aca="false">IF(IFERROR(INDEX(tsk_Name,GanttView[[#This Row],[_Row]])="",TRUE()),"",INDEX(tsk_Progress,GanttView[[#This Row],[_Row]]))</f>
        <v/>
      </c>
      <c r="J176" s="84" t="str">
        <f aca="false">IF(IFERROR(INDEX(tsk_Name,GanttView[[#This Row],[_Row]])="",TRUE()),"",INDEX(tsk_Resource,GanttView[[#This Row],[_Row]])&amp;"")</f>
        <v/>
      </c>
      <c r="K176" s="83" t="str">
        <f aca="false">IF(IFERROR(INDEX(tsk_Name,GanttView[[#This Row],[_Row]])="",TRUE()),"",INDEX(tsk_Status,GanttView[[#This Row],[_Row]]))</f>
        <v/>
      </c>
      <c r="L176" s="87" t="n">
        <f aca="false">ROW()-ROW(GanttView[[#Headers],[ID]])</f>
        <v>171</v>
      </c>
      <c r="M176" s="88" t="b">
        <f aca="false">IF(IFERROR(INDEX(tsk_Name,GanttView[[#This Row],[_Row]])="",TRUE()),FALSE(),INDEX(tsk_IsSummary,GanttView[[#This Row],[_Row]]))</f>
        <v>0</v>
      </c>
      <c r="N176" s="88" t="b">
        <f aca="false">IF(IFERROR(INDEX(tsk_Name,GanttView[[#This Row],[_Row]])="",TRUE()),FALSE(),AND(INDEX(tsk_IsLeaf,GanttView[[#This Row],[_Row]])=1,N(INDEX(tsk_Duration,GanttView[[#This Row],[_Row]]))=0))</f>
        <v>0</v>
      </c>
      <c r="O17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89" t="n">
        <f aca="false">IF(GanttView[[#This Row],[_RemFrom]]=0,0,GanttView[[#This Row],[Forecast Finish]])</f>
        <v>0</v>
      </c>
      <c r="S176" s="88" t="b">
        <f aca="false">IF(IFERROR(INDEX(tsk_Name,GanttView[[#This Row],[_Row]])="",TRUE()),FALSE(),N(INDEX(tsk_Variance,GanttView[[#This Row],[_Row]]))&gt;0)</f>
        <v>0</v>
      </c>
      <c r="T176" s="89" t="n">
        <f aca="false">IF(IFERROR(INDEX(tsk_Name,GanttView[[#This Row],[_Row]])="",TRUE()),0,N(INDEX(tsk_Deadline,GanttView[[#This Row],[_Row]])))</f>
        <v>0</v>
      </c>
      <c r="U176" s="88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83" t="str">
        <f aca="false">IF(IFERROR(INDEX(tsk_Name,GanttView[[#This Row],[_Row]])="",TRUE()),"",INDEX(tsk_ID,GanttView[[#This Row],[_Row]]))</f>
        <v/>
      </c>
      <c r="B177" s="83" t="str">
        <f aca="false">IF(IFERROR(INDEX(tsk_Name,GanttView[[#This Row],[_Row]])="",TRUE()),"",INDEX(tsk_WBS,GanttView[[#This Row],[_Row]]))</f>
        <v/>
      </c>
      <c r="C177" s="84" t="str">
        <f aca="false">IF(IFERROR(INDEX(tsk_Name,GanttView[[#This Row],[_Row]])="",TRUE()),"",REPT("    ",INDEX(tsk_Level,GanttView[[#This Row],[_Row]])-1)&amp;INDEX(tsk_Name,GanttView[[#This Row],[_Row]]))</f>
        <v/>
      </c>
      <c r="D17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85" t="str">
        <f aca="false">IF(IFERROR(INDEX(tsk_Name,GanttView[[#This Row],[_Row]])="",TRUE()),"",INDEX(tsk_PlanStart,GanttView[[#This Row],[_Row]]))</f>
        <v/>
      </c>
      <c r="F177" s="85" t="str">
        <f aca="false">IF(IFERROR(INDEX(tsk_Name,GanttView[[#This Row],[_Row]])="",TRUE()),"",INDEX(tsk_PlanFinish,GanttView[[#This Row],[_Row]]))</f>
        <v/>
      </c>
      <c r="G177" s="85" t="str">
        <f aca="false">IF(IFERROR(INDEX(tsk_Name,GanttView[[#This Row],[_Row]])="",TRUE()),"",INDEX(tsk_FcStart,GanttView[[#This Row],[_Row]]))</f>
        <v/>
      </c>
      <c r="H177" s="85" t="str">
        <f aca="false">IF(IFERROR(INDEX(tsk_Name,GanttView[[#This Row],[_Row]])="",TRUE()),"",INDEX(tsk_FcFinish,GanttView[[#This Row],[_Row]]))</f>
        <v/>
      </c>
      <c r="I177" s="86" t="str">
        <f aca="false">IF(IFERROR(INDEX(tsk_Name,GanttView[[#This Row],[_Row]])="",TRUE()),"",INDEX(tsk_Progress,GanttView[[#This Row],[_Row]]))</f>
        <v/>
      </c>
      <c r="J177" s="84" t="str">
        <f aca="false">IF(IFERROR(INDEX(tsk_Name,GanttView[[#This Row],[_Row]])="",TRUE()),"",INDEX(tsk_Resource,GanttView[[#This Row],[_Row]])&amp;"")</f>
        <v/>
      </c>
      <c r="K177" s="83" t="str">
        <f aca="false">IF(IFERROR(INDEX(tsk_Name,GanttView[[#This Row],[_Row]])="",TRUE()),"",INDEX(tsk_Status,GanttView[[#This Row],[_Row]]))</f>
        <v/>
      </c>
      <c r="L177" s="87" t="n">
        <f aca="false">ROW()-ROW(GanttView[[#Headers],[ID]])</f>
        <v>172</v>
      </c>
      <c r="M177" s="88" t="b">
        <f aca="false">IF(IFERROR(INDEX(tsk_Name,GanttView[[#This Row],[_Row]])="",TRUE()),FALSE(),INDEX(tsk_IsSummary,GanttView[[#This Row],[_Row]]))</f>
        <v>0</v>
      </c>
      <c r="N177" s="88" t="b">
        <f aca="false">IF(IFERROR(INDEX(tsk_Name,GanttView[[#This Row],[_Row]])="",TRUE()),FALSE(),AND(INDEX(tsk_IsLeaf,GanttView[[#This Row],[_Row]])=1,N(INDEX(tsk_Duration,GanttView[[#This Row],[_Row]]))=0))</f>
        <v>0</v>
      </c>
      <c r="O17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89" t="n">
        <f aca="false">IF(GanttView[[#This Row],[_RemFrom]]=0,0,GanttView[[#This Row],[Forecast Finish]])</f>
        <v>0</v>
      </c>
      <c r="S177" s="88" t="b">
        <f aca="false">IF(IFERROR(INDEX(tsk_Name,GanttView[[#This Row],[_Row]])="",TRUE()),FALSE(),N(INDEX(tsk_Variance,GanttView[[#This Row],[_Row]]))&gt;0)</f>
        <v>0</v>
      </c>
      <c r="T177" s="89" t="n">
        <f aca="false">IF(IFERROR(INDEX(tsk_Name,GanttView[[#This Row],[_Row]])="",TRUE()),0,N(INDEX(tsk_Deadline,GanttView[[#This Row],[_Row]])))</f>
        <v>0</v>
      </c>
      <c r="U177" s="88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83" t="str">
        <f aca="false">IF(IFERROR(INDEX(tsk_Name,GanttView[[#This Row],[_Row]])="",TRUE()),"",INDEX(tsk_ID,GanttView[[#This Row],[_Row]]))</f>
        <v/>
      </c>
      <c r="B178" s="83" t="str">
        <f aca="false">IF(IFERROR(INDEX(tsk_Name,GanttView[[#This Row],[_Row]])="",TRUE()),"",INDEX(tsk_WBS,GanttView[[#This Row],[_Row]]))</f>
        <v/>
      </c>
      <c r="C178" s="84" t="str">
        <f aca="false">IF(IFERROR(INDEX(tsk_Name,GanttView[[#This Row],[_Row]])="",TRUE()),"",REPT("    ",INDEX(tsk_Level,GanttView[[#This Row],[_Row]])-1)&amp;INDEX(tsk_Name,GanttView[[#This Row],[_Row]]))</f>
        <v/>
      </c>
      <c r="D17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85" t="str">
        <f aca="false">IF(IFERROR(INDEX(tsk_Name,GanttView[[#This Row],[_Row]])="",TRUE()),"",INDEX(tsk_PlanStart,GanttView[[#This Row],[_Row]]))</f>
        <v/>
      </c>
      <c r="F178" s="85" t="str">
        <f aca="false">IF(IFERROR(INDEX(tsk_Name,GanttView[[#This Row],[_Row]])="",TRUE()),"",INDEX(tsk_PlanFinish,GanttView[[#This Row],[_Row]]))</f>
        <v/>
      </c>
      <c r="G178" s="85" t="str">
        <f aca="false">IF(IFERROR(INDEX(tsk_Name,GanttView[[#This Row],[_Row]])="",TRUE()),"",INDEX(tsk_FcStart,GanttView[[#This Row],[_Row]]))</f>
        <v/>
      </c>
      <c r="H178" s="85" t="str">
        <f aca="false">IF(IFERROR(INDEX(tsk_Name,GanttView[[#This Row],[_Row]])="",TRUE()),"",INDEX(tsk_FcFinish,GanttView[[#This Row],[_Row]]))</f>
        <v/>
      </c>
      <c r="I178" s="86" t="str">
        <f aca="false">IF(IFERROR(INDEX(tsk_Name,GanttView[[#This Row],[_Row]])="",TRUE()),"",INDEX(tsk_Progress,GanttView[[#This Row],[_Row]]))</f>
        <v/>
      </c>
      <c r="J178" s="84" t="str">
        <f aca="false">IF(IFERROR(INDEX(tsk_Name,GanttView[[#This Row],[_Row]])="",TRUE()),"",INDEX(tsk_Resource,GanttView[[#This Row],[_Row]])&amp;"")</f>
        <v/>
      </c>
      <c r="K178" s="83" t="str">
        <f aca="false">IF(IFERROR(INDEX(tsk_Name,GanttView[[#This Row],[_Row]])="",TRUE()),"",INDEX(tsk_Status,GanttView[[#This Row],[_Row]]))</f>
        <v/>
      </c>
      <c r="L178" s="87" t="n">
        <f aca="false">ROW()-ROW(GanttView[[#Headers],[ID]])</f>
        <v>173</v>
      </c>
      <c r="M178" s="88" t="b">
        <f aca="false">IF(IFERROR(INDEX(tsk_Name,GanttView[[#This Row],[_Row]])="",TRUE()),FALSE(),INDEX(tsk_IsSummary,GanttView[[#This Row],[_Row]]))</f>
        <v>0</v>
      </c>
      <c r="N178" s="88" t="b">
        <f aca="false">IF(IFERROR(INDEX(tsk_Name,GanttView[[#This Row],[_Row]])="",TRUE()),FALSE(),AND(INDEX(tsk_IsLeaf,GanttView[[#This Row],[_Row]])=1,N(INDEX(tsk_Duration,GanttView[[#This Row],[_Row]]))=0))</f>
        <v>0</v>
      </c>
      <c r="O17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89" t="n">
        <f aca="false">IF(GanttView[[#This Row],[_RemFrom]]=0,0,GanttView[[#This Row],[Forecast Finish]])</f>
        <v>0</v>
      </c>
      <c r="S178" s="88" t="b">
        <f aca="false">IF(IFERROR(INDEX(tsk_Name,GanttView[[#This Row],[_Row]])="",TRUE()),FALSE(),N(INDEX(tsk_Variance,GanttView[[#This Row],[_Row]]))&gt;0)</f>
        <v>0</v>
      </c>
      <c r="T178" s="89" t="n">
        <f aca="false">IF(IFERROR(INDEX(tsk_Name,GanttView[[#This Row],[_Row]])="",TRUE()),0,N(INDEX(tsk_Deadline,GanttView[[#This Row],[_Row]])))</f>
        <v>0</v>
      </c>
      <c r="U178" s="88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83" t="str">
        <f aca="false">IF(IFERROR(INDEX(tsk_Name,GanttView[[#This Row],[_Row]])="",TRUE()),"",INDEX(tsk_ID,GanttView[[#This Row],[_Row]]))</f>
        <v/>
      </c>
      <c r="B179" s="83" t="str">
        <f aca="false">IF(IFERROR(INDEX(tsk_Name,GanttView[[#This Row],[_Row]])="",TRUE()),"",INDEX(tsk_WBS,GanttView[[#This Row],[_Row]]))</f>
        <v/>
      </c>
      <c r="C179" s="84" t="str">
        <f aca="false">IF(IFERROR(INDEX(tsk_Name,GanttView[[#This Row],[_Row]])="",TRUE()),"",REPT("    ",INDEX(tsk_Level,GanttView[[#This Row],[_Row]])-1)&amp;INDEX(tsk_Name,GanttView[[#This Row],[_Row]]))</f>
        <v/>
      </c>
      <c r="D17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85" t="str">
        <f aca="false">IF(IFERROR(INDEX(tsk_Name,GanttView[[#This Row],[_Row]])="",TRUE()),"",INDEX(tsk_PlanStart,GanttView[[#This Row],[_Row]]))</f>
        <v/>
      </c>
      <c r="F179" s="85" t="str">
        <f aca="false">IF(IFERROR(INDEX(tsk_Name,GanttView[[#This Row],[_Row]])="",TRUE()),"",INDEX(tsk_PlanFinish,GanttView[[#This Row],[_Row]]))</f>
        <v/>
      </c>
      <c r="G179" s="85" t="str">
        <f aca="false">IF(IFERROR(INDEX(tsk_Name,GanttView[[#This Row],[_Row]])="",TRUE()),"",INDEX(tsk_FcStart,GanttView[[#This Row],[_Row]]))</f>
        <v/>
      </c>
      <c r="H179" s="85" t="str">
        <f aca="false">IF(IFERROR(INDEX(tsk_Name,GanttView[[#This Row],[_Row]])="",TRUE()),"",INDEX(tsk_FcFinish,GanttView[[#This Row],[_Row]]))</f>
        <v/>
      </c>
      <c r="I179" s="86" t="str">
        <f aca="false">IF(IFERROR(INDEX(tsk_Name,GanttView[[#This Row],[_Row]])="",TRUE()),"",INDEX(tsk_Progress,GanttView[[#This Row],[_Row]]))</f>
        <v/>
      </c>
      <c r="J179" s="84" t="str">
        <f aca="false">IF(IFERROR(INDEX(tsk_Name,GanttView[[#This Row],[_Row]])="",TRUE()),"",INDEX(tsk_Resource,GanttView[[#This Row],[_Row]])&amp;"")</f>
        <v/>
      </c>
      <c r="K179" s="83" t="str">
        <f aca="false">IF(IFERROR(INDEX(tsk_Name,GanttView[[#This Row],[_Row]])="",TRUE()),"",INDEX(tsk_Status,GanttView[[#This Row],[_Row]]))</f>
        <v/>
      </c>
      <c r="L179" s="87" t="n">
        <f aca="false">ROW()-ROW(GanttView[[#Headers],[ID]])</f>
        <v>174</v>
      </c>
      <c r="M179" s="88" t="b">
        <f aca="false">IF(IFERROR(INDEX(tsk_Name,GanttView[[#This Row],[_Row]])="",TRUE()),FALSE(),INDEX(tsk_IsSummary,GanttView[[#This Row],[_Row]]))</f>
        <v>0</v>
      </c>
      <c r="N179" s="88" t="b">
        <f aca="false">IF(IFERROR(INDEX(tsk_Name,GanttView[[#This Row],[_Row]])="",TRUE()),FALSE(),AND(INDEX(tsk_IsLeaf,GanttView[[#This Row],[_Row]])=1,N(INDEX(tsk_Duration,GanttView[[#This Row],[_Row]]))=0))</f>
        <v>0</v>
      </c>
      <c r="O17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89" t="n">
        <f aca="false">IF(GanttView[[#This Row],[_RemFrom]]=0,0,GanttView[[#This Row],[Forecast Finish]])</f>
        <v>0</v>
      </c>
      <c r="S179" s="88" t="b">
        <f aca="false">IF(IFERROR(INDEX(tsk_Name,GanttView[[#This Row],[_Row]])="",TRUE()),FALSE(),N(INDEX(tsk_Variance,GanttView[[#This Row],[_Row]]))&gt;0)</f>
        <v>0</v>
      </c>
      <c r="T179" s="89" t="n">
        <f aca="false">IF(IFERROR(INDEX(tsk_Name,GanttView[[#This Row],[_Row]])="",TRUE()),0,N(INDEX(tsk_Deadline,GanttView[[#This Row],[_Row]])))</f>
        <v>0</v>
      </c>
      <c r="U179" s="88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83" t="str">
        <f aca="false">IF(IFERROR(INDEX(tsk_Name,GanttView[[#This Row],[_Row]])="",TRUE()),"",INDEX(tsk_ID,GanttView[[#This Row],[_Row]]))</f>
        <v/>
      </c>
      <c r="B180" s="83" t="str">
        <f aca="false">IF(IFERROR(INDEX(tsk_Name,GanttView[[#This Row],[_Row]])="",TRUE()),"",INDEX(tsk_WBS,GanttView[[#This Row],[_Row]]))</f>
        <v/>
      </c>
      <c r="C180" s="84" t="str">
        <f aca="false">IF(IFERROR(INDEX(tsk_Name,GanttView[[#This Row],[_Row]])="",TRUE()),"",REPT("    ",INDEX(tsk_Level,GanttView[[#This Row],[_Row]])-1)&amp;INDEX(tsk_Name,GanttView[[#This Row],[_Row]]))</f>
        <v/>
      </c>
      <c r="D18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85" t="str">
        <f aca="false">IF(IFERROR(INDEX(tsk_Name,GanttView[[#This Row],[_Row]])="",TRUE()),"",INDEX(tsk_PlanStart,GanttView[[#This Row],[_Row]]))</f>
        <v/>
      </c>
      <c r="F180" s="85" t="str">
        <f aca="false">IF(IFERROR(INDEX(tsk_Name,GanttView[[#This Row],[_Row]])="",TRUE()),"",INDEX(tsk_PlanFinish,GanttView[[#This Row],[_Row]]))</f>
        <v/>
      </c>
      <c r="G180" s="85" t="str">
        <f aca="false">IF(IFERROR(INDEX(tsk_Name,GanttView[[#This Row],[_Row]])="",TRUE()),"",INDEX(tsk_FcStart,GanttView[[#This Row],[_Row]]))</f>
        <v/>
      </c>
      <c r="H180" s="85" t="str">
        <f aca="false">IF(IFERROR(INDEX(tsk_Name,GanttView[[#This Row],[_Row]])="",TRUE()),"",INDEX(tsk_FcFinish,GanttView[[#This Row],[_Row]]))</f>
        <v/>
      </c>
      <c r="I180" s="86" t="str">
        <f aca="false">IF(IFERROR(INDEX(tsk_Name,GanttView[[#This Row],[_Row]])="",TRUE()),"",INDEX(tsk_Progress,GanttView[[#This Row],[_Row]]))</f>
        <v/>
      </c>
      <c r="J180" s="84" t="str">
        <f aca="false">IF(IFERROR(INDEX(tsk_Name,GanttView[[#This Row],[_Row]])="",TRUE()),"",INDEX(tsk_Resource,GanttView[[#This Row],[_Row]])&amp;"")</f>
        <v/>
      </c>
      <c r="K180" s="83" t="str">
        <f aca="false">IF(IFERROR(INDEX(tsk_Name,GanttView[[#This Row],[_Row]])="",TRUE()),"",INDEX(tsk_Status,GanttView[[#This Row],[_Row]]))</f>
        <v/>
      </c>
      <c r="L180" s="87" t="n">
        <f aca="false">ROW()-ROW(GanttView[[#Headers],[ID]])</f>
        <v>175</v>
      </c>
      <c r="M180" s="88" t="b">
        <f aca="false">IF(IFERROR(INDEX(tsk_Name,GanttView[[#This Row],[_Row]])="",TRUE()),FALSE(),INDEX(tsk_IsSummary,GanttView[[#This Row],[_Row]]))</f>
        <v>0</v>
      </c>
      <c r="N180" s="88" t="b">
        <f aca="false">IF(IFERROR(INDEX(tsk_Name,GanttView[[#This Row],[_Row]])="",TRUE()),FALSE(),AND(INDEX(tsk_IsLeaf,GanttView[[#This Row],[_Row]])=1,N(INDEX(tsk_Duration,GanttView[[#This Row],[_Row]]))=0))</f>
        <v>0</v>
      </c>
      <c r="O18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89" t="n">
        <f aca="false">IF(GanttView[[#This Row],[_RemFrom]]=0,0,GanttView[[#This Row],[Forecast Finish]])</f>
        <v>0</v>
      </c>
      <c r="S180" s="88" t="b">
        <f aca="false">IF(IFERROR(INDEX(tsk_Name,GanttView[[#This Row],[_Row]])="",TRUE()),FALSE(),N(INDEX(tsk_Variance,GanttView[[#This Row],[_Row]]))&gt;0)</f>
        <v>0</v>
      </c>
      <c r="T180" s="89" t="n">
        <f aca="false">IF(IFERROR(INDEX(tsk_Name,GanttView[[#This Row],[_Row]])="",TRUE()),0,N(INDEX(tsk_Deadline,GanttView[[#This Row],[_Row]])))</f>
        <v>0</v>
      </c>
      <c r="U180" s="88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83" t="str">
        <f aca="false">IF(IFERROR(INDEX(tsk_Name,GanttView[[#This Row],[_Row]])="",TRUE()),"",INDEX(tsk_ID,GanttView[[#This Row],[_Row]]))</f>
        <v/>
      </c>
      <c r="B181" s="83" t="str">
        <f aca="false">IF(IFERROR(INDEX(tsk_Name,GanttView[[#This Row],[_Row]])="",TRUE()),"",INDEX(tsk_WBS,GanttView[[#This Row],[_Row]]))</f>
        <v/>
      </c>
      <c r="C181" s="84" t="str">
        <f aca="false">IF(IFERROR(INDEX(tsk_Name,GanttView[[#This Row],[_Row]])="",TRUE()),"",REPT("    ",INDEX(tsk_Level,GanttView[[#This Row],[_Row]])-1)&amp;INDEX(tsk_Name,GanttView[[#This Row],[_Row]]))</f>
        <v/>
      </c>
      <c r="D18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85" t="str">
        <f aca="false">IF(IFERROR(INDEX(tsk_Name,GanttView[[#This Row],[_Row]])="",TRUE()),"",INDEX(tsk_PlanStart,GanttView[[#This Row],[_Row]]))</f>
        <v/>
      </c>
      <c r="F181" s="85" t="str">
        <f aca="false">IF(IFERROR(INDEX(tsk_Name,GanttView[[#This Row],[_Row]])="",TRUE()),"",INDEX(tsk_PlanFinish,GanttView[[#This Row],[_Row]]))</f>
        <v/>
      </c>
      <c r="G181" s="85" t="str">
        <f aca="false">IF(IFERROR(INDEX(tsk_Name,GanttView[[#This Row],[_Row]])="",TRUE()),"",INDEX(tsk_FcStart,GanttView[[#This Row],[_Row]]))</f>
        <v/>
      </c>
      <c r="H181" s="85" t="str">
        <f aca="false">IF(IFERROR(INDEX(tsk_Name,GanttView[[#This Row],[_Row]])="",TRUE()),"",INDEX(tsk_FcFinish,GanttView[[#This Row],[_Row]]))</f>
        <v/>
      </c>
      <c r="I181" s="86" t="str">
        <f aca="false">IF(IFERROR(INDEX(tsk_Name,GanttView[[#This Row],[_Row]])="",TRUE()),"",INDEX(tsk_Progress,GanttView[[#This Row],[_Row]]))</f>
        <v/>
      </c>
      <c r="J181" s="84" t="str">
        <f aca="false">IF(IFERROR(INDEX(tsk_Name,GanttView[[#This Row],[_Row]])="",TRUE()),"",INDEX(tsk_Resource,GanttView[[#This Row],[_Row]])&amp;"")</f>
        <v/>
      </c>
      <c r="K181" s="83" t="str">
        <f aca="false">IF(IFERROR(INDEX(tsk_Name,GanttView[[#This Row],[_Row]])="",TRUE()),"",INDEX(tsk_Status,GanttView[[#This Row],[_Row]]))</f>
        <v/>
      </c>
      <c r="L181" s="87" t="n">
        <f aca="false">ROW()-ROW(GanttView[[#Headers],[ID]])</f>
        <v>176</v>
      </c>
      <c r="M181" s="88" t="b">
        <f aca="false">IF(IFERROR(INDEX(tsk_Name,GanttView[[#This Row],[_Row]])="",TRUE()),FALSE(),INDEX(tsk_IsSummary,GanttView[[#This Row],[_Row]]))</f>
        <v>0</v>
      </c>
      <c r="N181" s="88" t="b">
        <f aca="false">IF(IFERROR(INDEX(tsk_Name,GanttView[[#This Row],[_Row]])="",TRUE()),FALSE(),AND(INDEX(tsk_IsLeaf,GanttView[[#This Row],[_Row]])=1,N(INDEX(tsk_Duration,GanttView[[#This Row],[_Row]]))=0))</f>
        <v>0</v>
      </c>
      <c r="O18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89" t="n">
        <f aca="false">IF(GanttView[[#This Row],[_RemFrom]]=0,0,GanttView[[#This Row],[Forecast Finish]])</f>
        <v>0</v>
      </c>
      <c r="S181" s="88" t="b">
        <f aca="false">IF(IFERROR(INDEX(tsk_Name,GanttView[[#This Row],[_Row]])="",TRUE()),FALSE(),N(INDEX(tsk_Variance,GanttView[[#This Row],[_Row]]))&gt;0)</f>
        <v>0</v>
      </c>
      <c r="T181" s="89" t="n">
        <f aca="false">IF(IFERROR(INDEX(tsk_Name,GanttView[[#This Row],[_Row]])="",TRUE()),0,N(INDEX(tsk_Deadline,GanttView[[#This Row],[_Row]])))</f>
        <v>0</v>
      </c>
      <c r="U181" s="88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83" t="str">
        <f aca="false">IF(IFERROR(INDEX(tsk_Name,GanttView[[#This Row],[_Row]])="",TRUE()),"",INDEX(tsk_ID,GanttView[[#This Row],[_Row]]))</f>
        <v/>
      </c>
      <c r="B182" s="83" t="str">
        <f aca="false">IF(IFERROR(INDEX(tsk_Name,GanttView[[#This Row],[_Row]])="",TRUE()),"",INDEX(tsk_WBS,GanttView[[#This Row],[_Row]]))</f>
        <v/>
      </c>
      <c r="C182" s="84" t="str">
        <f aca="false">IF(IFERROR(INDEX(tsk_Name,GanttView[[#This Row],[_Row]])="",TRUE()),"",REPT("    ",INDEX(tsk_Level,GanttView[[#This Row],[_Row]])-1)&amp;INDEX(tsk_Name,GanttView[[#This Row],[_Row]]))</f>
        <v/>
      </c>
      <c r="D18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85" t="str">
        <f aca="false">IF(IFERROR(INDEX(tsk_Name,GanttView[[#This Row],[_Row]])="",TRUE()),"",INDEX(tsk_PlanStart,GanttView[[#This Row],[_Row]]))</f>
        <v/>
      </c>
      <c r="F182" s="85" t="str">
        <f aca="false">IF(IFERROR(INDEX(tsk_Name,GanttView[[#This Row],[_Row]])="",TRUE()),"",INDEX(tsk_PlanFinish,GanttView[[#This Row],[_Row]]))</f>
        <v/>
      </c>
      <c r="G182" s="85" t="str">
        <f aca="false">IF(IFERROR(INDEX(tsk_Name,GanttView[[#This Row],[_Row]])="",TRUE()),"",INDEX(tsk_FcStart,GanttView[[#This Row],[_Row]]))</f>
        <v/>
      </c>
      <c r="H182" s="85" t="str">
        <f aca="false">IF(IFERROR(INDEX(tsk_Name,GanttView[[#This Row],[_Row]])="",TRUE()),"",INDEX(tsk_FcFinish,GanttView[[#This Row],[_Row]]))</f>
        <v/>
      </c>
      <c r="I182" s="86" t="str">
        <f aca="false">IF(IFERROR(INDEX(tsk_Name,GanttView[[#This Row],[_Row]])="",TRUE()),"",INDEX(tsk_Progress,GanttView[[#This Row],[_Row]]))</f>
        <v/>
      </c>
      <c r="J182" s="84" t="str">
        <f aca="false">IF(IFERROR(INDEX(tsk_Name,GanttView[[#This Row],[_Row]])="",TRUE()),"",INDEX(tsk_Resource,GanttView[[#This Row],[_Row]])&amp;"")</f>
        <v/>
      </c>
      <c r="K182" s="83" t="str">
        <f aca="false">IF(IFERROR(INDEX(tsk_Name,GanttView[[#This Row],[_Row]])="",TRUE()),"",INDEX(tsk_Status,GanttView[[#This Row],[_Row]]))</f>
        <v/>
      </c>
      <c r="L182" s="87" t="n">
        <f aca="false">ROW()-ROW(GanttView[[#Headers],[ID]])</f>
        <v>177</v>
      </c>
      <c r="M182" s="88" t="b">
        <f aca="false">IF(IFERROR(INDEX(tsk_Name,GanttView[[#This Row],[_Row]])="",TRUE()),FALSE(),INDEX(tsk_IsSummary,GanttView[[#This Row],[_Row]]))</f>
        <v>0</v>
      </c>
      <c r="N182" s="88" t="b">
        <f aca="false">IF(IFERROR(INDEX(tsk_Name,GanttView[[#This Row],[_Row]])="",TRUE()),FALSE(),AND(INDEX(tsk_IsLeaf,GanttView[[#This Row],[_Row]])=1,N(INDEX(tsk_Duration,GanttView[[#This Row],[_Row]]))=0))</f>
        <v>0</v>
      </c>
      <c r="O18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89" t="n">
        <f aca="false">IF(GanttView[[#This Row],[_RemFrom]]=0,0,GanttView[[#This Row],[Forecast Finish]])</f>
        <v>0</v>
      </c>
      <c r="S182" s="88" t="b">
        <f aca="false">IF(IFERROR(INDEX(tsk_Name,GanttView[[#This Row],[_Row]])="",TRUE()),FALSE(),N(INDEX(tsk_Variance,GanttView[[#This Row],[_Row]]))&gt;0)</f>
        <v>0</v>
      </c>
      <c r="T182" s="89" t="n">
        <f aca="false">IF(IFERROR(INDEX(tsk_Name,GanttView[[#This Row],[_Row]])="",TRUE()),0,N(INDEX(tsk_Deadline,GanttView[[#This Row],[_Row]])))</f>
        <v>0</v>
      </c>
      <c r="U182" s="88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83" t="str">
        <f aca="false">IF(IFERROR(INDEX(tsk_Name,GanttView[[#This Row],[_Row]])="",TRUE()),"",INDEX(tsk_ID,GanttView[[#This Row],[_Row]]))</f>
        <v/>
      </c>
      <c r="B183" s="83" t="str">
        <f aca="false">IF(IFERROR(INDEX(tsk_Name,GanttView[[#This Row],[_Row]])="",TRUE()),"",INDEX(tsk_WBS,GanttView[[#This Row],[_Row]]))</f>
        <v/>
      </c>
      <c r="C183" s="84" t="str">
        <f aca="false">IF(IFERROR(INDEX(tsk_Name,GanttView[[#This Row],[_Row]])="",TRUE()),"",REPT("    ",INDEX(tsk_Level,GanttView[[#This Row],[_Row]])-1)&amp;INDEX(tsk_Name,GanttView[[#This Row],[_Row]]))</f>
        <v/>
      </c>
      <c r="D18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85" t="str">
        <f aca="false">IF(IFERROR(INDEX(tsk_Name,GanttView[[#This Row],[_Row]])="",TRUE()),"",INDEX(tsk_PlanStart,GanttView[[#This Row],[_Row]]))</f>
        <v/>
      </c>
      <c r="F183" s="85" t="str">
        <f aca="false">IF(IFERROR(INDEX(tsk_Name,GanttView[[#This Row],[_Row]])="",TRUE()),"",INDEX(tsk_PlanFinish,GanttView[[#This Row],[_Row]]))</f>
        <v/>
      </c>
      <c r="G183" s="85" t="str">
        <f aca="false">IF(IFERROR(INDEX(tsk_Name,GanttView[[#This Row],[_Row]])="",TRUE()),"",INDEX(tsk_FcStart,GanttView[[#This Row],[_Row]]))</f>
        <v/>
      </c>
      <c r="H183" s="85" t="str">
        <f aca="false">IF(IFERROR(INDEX(tsk_Name,GanttView[[#This Row],[_Row]])="",TRUE()),"",INDEX(tsk_FcFinish,GanttView[[#This Row],[_Row]]))</f>
        <v/>
      </c>
      <c r="I183" s="86" t="str">
        <f aca="false">IF(IFERROR(INDEX(tsk_Name,GanttView[[#This Row],[_Row]])="",TRUE()),"",INDEX(tsk_Progress,GanttView[[#This Row],[_Row]]))</f>
        <v/>
      </c>
      <c r="J183" s="84" t="str">
        <f aca="false">IF(IFERROR(INDEX(tsk_Name,GanttView[[#This Row],[_Row]])="",TRUE()),"",INDEX(tsk_Resource,GanttView[[#This Row],[_Row]])&amp;"")</f>
        <v/>
      </c>
      <c r="K183" s="83" t="str">
        <f aca="false">IF(IFERROR(INDEX(tsk_Name,GanttView[[#This Row],[_Row]])="",TRUE()),"",INDEX(tsk_Status,GanttView[[#This Row],[_Row]]))</f>
        <v/>
      </c>
      <c r="L183" s="87" t="n">
        <f aca="false">ROW()-ROW(GanttView[[#Headers],[ID]])</f>
        <v>178</v>
      </c>
      <c r="M183" s="88" t="b">
        <f aca="false">IF(IFERROR(INDEX(tsk_Name,GanttView[[#This Row],[_Row]])="",TRUE()),FALSE(),INDEX(tsk_IsSummary,GanttView[[#This Row],[_Row]]))</f>
        <v>0</v>
      </c>
      <c r="N183" s="88" t="b">
        <f aca="false">IF(IFERROR(INDEX(tsk_Name,GanttView[[#This Row],[_Row]])="",TRUE()),FALSE(),AND(INDEX(tsk_IsLeaf,GanttView[[#This Row],[_Row]])=1,N(INDEX(tsk_Duration,GanttView[[#This Row],[_Row]]))=0))</f>
        <v>0</v>
      </c>
      <c r="O18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89" t="n">
        <f aca="false">IF(GanttView[[#This Row],[_RemFrom]]=0,0,GanttView[[#This Row],[Forecast Finish]])</f>
        <v>0</v>
      </c>
      <c r="S183" s="88" t="b">
        <f aca="false">IF(IFERROR(INDEX(tsk_Name,GanttView[[#This Row],[_Row]])="",TRUE()),FALSE(),N(INDEX(tsk_Variance,GanttView[[#This Row],[_Row]]))&gt;0)</f>
        <v>0</v>
      </c>
      <c r="T183" s="89" t="n">
        <f aca="false">IF(IFERROR(INDEX(tsk_Name,GanttView[[#This Row],[_Row]])="",TRUE()),0,N(INDEX(tsk_Deadline,GanttView[[#This Row],[_Row]])))</f>
        <v>0</v>
      </c>
      <c r="U183" s="88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83" t="str">
        <f aca="false">IF(IFERROR(INDEX(tsk_Name,GanttView[[#This Row],[_Row]])="",TRUE()),"",INDEX(tsk_ID,GanttView[[#This Row],[_Row]]))</f>
        <v/>
      </c>
      <c r="B184" s="83" t="str">
        <f aca="false">IF(IFERROR(INDEX(tsk_Name,GanttView[[#This Row],[_Row]])="",TRUE()),"",INDEX(tsk_WBS,GanttView[[#This Row],[_Row]]))</f>
        <v/>
      </c>
      <c r="C184" s="84" t="str">
        <f aca="false">IF(IFERROR(INDEX(tsk_Name,GanttView[[#This Row],[_Row]])="",TRUE()),"",REPT("    ",INDEX(tsk_Level,GanttView[[#This Row],[_Row]])-1)&amp;INDEX(tsk_Name,GanttView[[#This Row],[_Row]]))</f>
        <v/>
      </c>
      <c r="D18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85" t="str">
        <f aca="false">IF(IFERROR(INDEX(tsk_Name,GanttView[[#This Row],[_Row]])="",TRUE()),"",INDEX(tsk_PlanStart,GanttView[[#This Row],[_Row]]))</f>
        <v/>
      </c>
      <c r="F184" s="85" t="str">
        <f aca="false">IF(IFERROR(INDEX(tsk_Name,GanttView[[#This Row],[_Row]])="",TRUE()),"",INDEX(tsk_PlanFinish,GanttView[[#This Row],[_Row]]))</f>
        <v/>
      </c>
      <c r="G184" s="85" t="str">
        <f aca="false">IF(IFERROR(INDEX(tsk_Name,GanttView[[#This Row],[_Row]])="",TRUE()),"",INDEX(tsk_FcStart,GanttView[[#This Row],[_Row]]))</f>
        <v/>
      </c>
      <c r="H184" s="85" t="str">
        <f aca="false">IF(IFERROR(INDEX(tsk_Name,GanttView[[#This Row],[_Row]])="",TRUE()),"",INDEX(tsk_FcFinish,GanttView[[#This Row],[_Row]]))</f>
        <v/>
      </c>
      <c r="I184" s="86" t="str">
        <f aca="false">IF(IFERROR(INDEX(tsk_Name,GanttView[[#This Row],[_Row]])="",TRUE()),"",INDEX(tsk_Progress,GanttView[[#This Row],[_Row]]))</f>
        <v/>
      </c>
      <c r="J184" s="84" t="str">
        <f aca="false">IF(IFERROR(INDEX(tsk_Name,GanttView[[#This Row],[_Row]])="",TRUE()),"",INDEX(tsk_Resource,GanttView[[#This Row],[_Row]])&amp;"")</f>
        <v/>
      </c>
      <c r="K184" s="83" t="str">
        <f aca="false">IF(IFERROR(INDEX(tsk_Name,GanttView[[#This Row],[_Row]])="",TRUE()),"",INDEX(tsk_Status,GanttView[[#This Row],[_Row]]))</f>
        <v/>
      </c>
      <c r="L184" s="87" t="n">
        <f aca="false">ROW()-ROW(GanttView[[#Headers],[ID]])</f>
        <v>179</v>
      </c>
      <c r="M184" s="88" t="b">
        <f aca="false">IF(IFERROR(INDEX(tsk_Name,GanttView[[#This Row],[_Row]])="",TRUE()),FALSE(),INDEX(tsk_IsSummary,GanttView[[#This Row],[_Row]]))</f>
        <v>0</v>
      </c>
      <c r="N184" s="88" t="b">
        <f aca="false">IF(IFERROR(INDEX(tsk_Name,GanttView[[#This Row],[_Row]])="",TRUE()),FALSE(),AND(INDEX(tsk_IsLeaf,GanttView[[#This Row],[_Row]])=1,N(INDEX(tsk_Duration,GanttView[[#This Row],[_Row]]))=0))</f>
        <v>0</v>
      </c>
      <c r="O18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89" t="n">
        <f aca="false">IF(GanttView[[#This Row],[_RemFrom]]=0,0,GanttView[[#This Row],[Forecast Finish]])</f>
        <v>0</v>
      </c>
      <c r="S184" s="88" t="b">
        <f aca="false">IF(IFERROR(INDEX(tsk_Name,GanttView[[#This Row],[_Row]])="",TRUE()),FALSE(),N(INDEX(tsk_Variance,GanttView[[#This Row],[_Row]]))&gt;0)</f>
        <v>0</v>
      </c>
      <c r="T184" s="89" t="n">
        <f aca="false">IF(IFERROR(INDEX(tsk_Name,GanttView[[#This Row],[_Row]])="",TRUE()),0,N(INDEX(tsk_Deadline,GanttView[[#This Row],[_Row]])))</f>
        <v>0</v>
      </c>
      <c r="U184" s="88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83" t="str">
        <f aca="false">IF(IFERROR(INDEX(tsk_Name,GanttView[[#This Row],[_Row]])="",TRUE()),"",INDEX(tsk_ID,GanttView[[#This Row],[_Row]]))</f>
        <v/>
      </c>
      <c r="B185" s="83" t="str">
        <f aca="false">IF(IFERROR(INDEX(tsk_Name,GanttView[[#This Row],[_Row]])="",TRUE()),"",INDEX(tsk_WBS,GanttView[[#This Row],[_Row]]))</f>
        <v/>
      </c>
      <c r="C185" s="84" t="str">
        <f aca="false">IF(IFERROR(INDEX(tsk_Name,GanttView[[#This Row],[_Row]])="",TRUE()),"",REPT("    ",INDEX(tsk_Level,GanttView[[#This Row],[_Row]])-1)&amp;INDEX(tsk_Name,GanttView[[#This Row],[_Row]]))</f>
        <v/>
      </c>
      <c r="D18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85" t="str">
        <f aca="false">IF(IFERROR(INDEX(tsk_Name,GanttView[[#This Row],[_Row]])="",TRUE()),"",INDEX(tsk_PlanStart,GanttView[[#This Row],[_Row]]))</f>
        <v/>
      </c>
      <c r="F185" s="85" t="str">
        <f aca="false">IF(IFERROR(INDEX(tsk_Name,GanttView[[#This Row],[_Row]])="",TRUE()),"",INDEX(tsk_PlanFinish,GanttView[[#This Row],[_Row]]))</f>
        <v/>
      </c>
      <c r="G185" s="85" t="str">
        <f aca="false">IF(IFERROR(INDEX(tsk_Name,GanttView[[#This Row],[_Row]])="",TRUE()),"",INDEX(tsk_FcStart,GanttView[[#This Row],[_Row]]))</f>
        <v/>
      </c>
      <c r="H185" s="85" t="str">
        <f aca="false">IF(IFERROR(INDEX(tsk_Name,GanttView[[#This Row],[_Row]])="",TRUE()),"",INDEX(tsk_FcFinish,GanttView[[#This Row],[_Row]]))</f>
        <v/>
      </c>
      <c r="I185" s="86" t="str">
        <f aca="false">IF(IFERROR(INDEX(tsk_Name,GanttView[[#This Row],[_Row]])="",TRUE()),"",INDEX(tsk_Progress,GanttView[[#This Row],[_Row]]))</f>
        <v/>
      </c>
      <c r="J185" s="84" t="str">
        <f aca="false">IF(IFERROR(INDEX(tsk_Name,GanttView[[#This Row],[_Row]])="",TRUE()),"",INDEX(tsk_Resource,GanttView[[#This Row],[_Row]])&amp;"")</f>
        <v/>
      </c>
      <c r="K185" s="83" t="str">
        <f aca="false">IF(IFERROR(INDEX(tsk_Name,GanttView[[#This Row],[_Row]])="",TRUE()),"",INDEX(tsk_Status,GanttView[[#This Row],[_Row]]))</f>
        <v/>
      </c>
      <c r="L185" s="87" t="n">
        <f aca="false">ROW()-ROW(GanttView[[#Headers],[ID]])</f>
        <v>180</v>
      </c>
      <c r="M185" s="88" t="b">
        <f aca="false">IF(IFERROR(INDEX(tsk_Name,GanttView[[#This Row],[_Row]])="",TRUE()),FALSE(),INDEX(tsk_IsSummary,GanttView[[#This Row],[_Row]]))</f>
        <v>0</v>
      </c>
      <c r="N185" s="88" t="b">
        <f aca="false">IF(IFERROR(INDEX(tsk_Name,GanttView[[#This Row],[_Row]])="",TRUE()),FALSE(),AND(INDEX(tsk_IsLeaf,GanttView[[#This Row],[_Row]])=1,N(INDEX(tsk_Duration,GanttView[[#This Row],[_Row]]))=0))</f>
        <v>0</v>
      </c>
      <c r="O18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89" t="n">
        <f aca="false">IF(GanttView[[#This Row],[_RemFrom]]=0,0,GanttView[[#This Row],[Forecast Finish]])</f>
        <v>0</v>
      </c>
      <c r="S185" s="88" t="b">
        <f aca="false">IF(IFERROR(INDEX(tsk_Name,GanttView[[#This Row],[_Row]])="",TRUE()),FALSE(),N(INDEX(tsk_Variance,GanttView[[#This Row],[_Row]]))&gt;0)</f>
        <v>0</v>
      </c>
      <c r="T185" s="89" t="n">
        <f aca="false">IF(IFERROR(INDEX(tsk_Name,GanttView[[#This Row],[_Row]])="",TRUE()),0,N(INDEX(tsk_Deadline,GanttView[[#This Row],[_Row]])))</f>
        <v>0</v>
      </c>
      <c r="U185" s="88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83" t="str">
        <f aca="false">IF(IFERROR(INDEX(tsk_Name,GanttView[[#This Row],[_Row]])="",TRUE()),"",INDEX(tsk_ID,GanttView[[#This Row],[_Row]]))</f>
        <v/>
      </c>
      <c r="B186" s="83" t="str">
        <f aca="false">IF(IFERROR(INDEX(tsk_Name,GanttView[[#This Row],[_Row]])="",TRUE()),"",INDEX(tsk_WBS,GanttView[[#This Row],[_Row]]))</f>
        <v/>
      </c>
      <c r="C186" s="84" t="str">
        <f aca="false">IF(IFERROR(INDEX(tsk_Name,GanttView[[#This Row],[_Row]])="",TRUE()),"",REPT("    ",INDEX(tsk_Level,GanttView[[#This Row],[_Row]])-1)&amp;INDEX(tsk_Name,GanttView[[#This Row],[_Row]]))</f>
        <v/>
      </c>
      <c r="D18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85" t="str">
        <f aca="false">IF(IFERROR(INDEX(tsk_Name,GanttView[[#This Row],[_Row]])="",TRUE()),"",INDEX(tsk_PlanStart,GanttView[[#This Row],[_Row]]))</f>
        <v/>
      </c>
      <c r="F186" s="85" t="str">
        <f aca="false">IF(IFERROR(INDEX(tsk_Name,GanttView[[#This Row],[_Row]])="",TRUE()),"",INDEX(tsk_PlanFinish,GanttView[[#This Row],[_Row]]))</f>
        <v/>
      </c>
      <c r="G186" s="85" t="str">
        <f aca="false">IF(IFERROR(INDEX(tsk_Name,GanttView[[#This Row],[_Row]])="",TRUE()),"",INDEX(tsk_FcStart,GanttView[[#This Row],[_Row]]))</f>
        <v/>
      </c>
      <c r="H186" s="85" t="str">
        <f aca="false">IF(IFERROR(INDEX(tsk_Name,GanttView[[#This Row],[_Row]])="",TRUE()),"",INDEX(tsk_FcFinish,GanttView[[#This Row],[_Row]]))</f>
        <v/>
      </c>
      <c r="I186" s="86" t="str">
        <f aca="false">IF(IFERROR(INDEX(tsk_Name,GanttView[[#This Row],[_Row]])="",TRUE()),"",INDEX(tsk_Progress,GanttView[[#This Row],[_Row]]))</f>
        <v/>
      </c>
      <c r="J186" s="84" t="str">
        <f aca="false">IF(IFERROR(INDEX(tsk_Name,GanttView[[#This Row],[_Row]])="",TRUE()),"",INDEX(tsk_Resource,GanttView[[#This Row],[_Row]])&amp;"")</f>
        <v/>
      </c>
      <c r="K186" s="83" t="str">
        <f aca="false">IF(IFERROR(INDEX(tsk_Name,GanttView[[#This Row],[_Row]])="",TRUE()),"",INDEX(tsk_Status,GanttView[[#This Row],[_Row]]))</f>
        <v/>
      </c>
      <c r="L186" s="87" t="n">
        <f aca="false">ROW()-ROW(GanttView[[#Headers],[ID]])</f>
        <v>181</v>
      </c>
      <c r="M186" s="88" t="b">
        <f aca="false">IF(IFERROR(INDEX(tsk_Name,GanttView[[#This Row],[_Row]])="",TRUE()),FALSE(),INDEX(tsk_IsSummary,GanttView[[#This Row],[_Row]]))</f>
        <v>0</v>
      </c>
      <c r="N186" s="88" t="b">
        <f aca="false">IF(IFERROR(INDEX(tsk_Name,GanttView[[#This Row],[_Row]])="",TRUE()),FALSE(),AND(INDEX(tsk_IsLeaf,GanttView[[#This Row],[_Row]])=1,N(INDEX(tsk_Duration,GanttView[[#This Row],[_Row]]))=0))</f>
        <v>0</v>
      </c>
      <c r="O18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89" t="n">
        <f aca="false">IF(GanttView[[#This Row],[_RemFrom]]=0,0,GanttView[[#This Row],[Forecast Finish]])</f>
        <v>0</v>
      </c>
      <c r="S186" s="88" t="b">
        <f aca="false">IF(IFERROR(INDEX(tsk_Name,GanttView[[#This Row],[_Row]])="",TRUE()),FALSE(),N(INDEX(tsk_Variance,GanttView[[#This Row],[_Row]]))&gt;0)</f>
        <v>0</v>
      </c>
      <c r="T186" s="89" t="n">
        <f aca="false">IF(IFERROR(INDEX(tsk_Name,GanttView[[#This Row],[_Row]])="",TRUE()),0,N(INDEX(tsk_Deadline,GanttView[[#This Row],[_Row]])))</f>
        <v>0</v>
      </c>
      <c r="U186" s="88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83" t="str">
        <f aca="false">IF(IFERROR(INDEX(tsk_Name,GanttView[[#This Row],[_Row]])="",TRUE()),"",INDEX(tsk_ID,GanttView[[#This Row],[_Row]]))</f>
        <v/>
      </c>
      <c r="B187" s="83" t="str">
        <f aca="false">IF(IFERROR(INDEX(tsk_Name,GanttView[[#This Row],[_Row]])="",TRUE()),"",INDEX(tsk_WBS,GanttView[[#This Row],[_Row]]))</f>
        <v/>
      </c>
      <c r="C187" s="84" t="str">
        <f aca="false">IF(IFERROR(INDEX(tsk_Name,GanttView[[#This Row],[_Row]])="",TRUE()),"",REPT("    ",INDEX(tsk_Level,GanttView[[#This Row],[_Row]])-1)&amp;INDEX(tsk_Name,GanttView[[#This Row],[_Row]]))</f>
        <v/>
      </c>
      <c r="D18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85" t="str">
        <f aca="false">IF(IFERROR(INDEX(tsk_Name,GanttView[[#This Row],[_Row]])="",TRUE()),"",INDEX(tsk_PlanStart,GanttView[[#This Row],[_Row]]))</f>
        <v/>
      </c>
      <c r="F187" s="85" t="str">
        <f aca="false">IF(IFERROR(INDEX(tsk_Name,GanttView[[#This Row],[_Row]])="",TRUE()),"",INDEX(tsk_PlanFinish,GanttView[[#This Row],[_Row]]))</f>
        <v/>
      </c>
      <c r="G187" s="85" t="str">
        <f aca="false">IF(IFERROR(INDEX(tsk_Name,GanttView[[#This Row],[_Row]])="",TRUE()),"",INDEX(tsk_FcStart,GanttView[[#This Row],[_Row]]))</f>
        <v/>
      </c>
      <c r="H187" s="85" t="str">
        <f aca="false">IF(IFERROR(INDEX(tsk_Name,GanttView[[#This Row],[_Row]])="",TRUE()),"",INDEX(tsk_FcFinish,GanttView[[#This Row],[_Row]]))</f>
        <v/>
      </c>
      <c r="I187" s="86" t="str">
        <f aca="false">IF(IFERROR(INDEX(tsk_Name,GanttView[[#This Row],[_Row]])="",TRUE()),"",INDEX(tsk_Progress,GanttView[[#This Row],[_Row]]))</f>
        <v/>
      </c>
      <c r="J187" s="84" t="str">
        <f aca="false">IF(IFERROR(INDEX(tsk_Name,GanttView[[#This Row],[_Row]])="",TRUE()),"",INDEX(tsk_Resource,GanttView[[#This Row],[_Row]])&amp;"")</f>
        <v/>
      </c>
      <c r="K187" s="83" t="str">
        <f aca="false">IF(IFERROR(INDEX(tsk_Name,GanttView[[#This Row],[_Row]])="",TRUE()),"",INDEX(tsk_Status,GanttView[[#This Row],[_Row]]))</f>
        <v/>
      </c>
      <c r="L187" s="87" t="n">
        <f aca="false">ROW()-ROW(GanttView[[#Headers],[ID]])</f>
        <v>182</v>
      </c>
      <c r="M187" s="88" t="b">
        <f aca="false">IF(IFERROR(INDEX(tsk_Name,GanttView[[#This Row],[_Row]])="",TRUE()),FALSE(),INDEX(tsk_IsSummary,GanttView[[#This Row],[_Row]]))</f>
        <v>0</v>
      </c>
      <c r="N187" s="88" t="b">
        <f aca="false">IF(IFERROR(INDEX(tsk_Name,GanttView[[#This Row],[_Row]])="",TRUE()),FALSE(),AND(INDEX(tsk_IsLeaf,GanttView[[#This Row],[_Row]])=1,N(INDEX(tsk_Duration,GanttView[[#This Row],[_Row]]))=0))</f>
        <v>0</v>
      </c>
      <c r="O18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89" t="n">
        <f aca="false">IF(GanttView[[#This Row],[_RemFrom]]=0,0,GanttView[[#This Row],[Forecast Finish]])</f>
        <v>0</v>
      </c>
      <c r="S187" s="88" t="b">
        <f aca="false">IF(IFERROR(INDEX(tsk_Name,GanttView[[#This Row],[_Row]])="",TRUE()),FALSE(),N(INDEX(tsk_Variance,GanttView[[#This Row],[_Row]]))&gt;0)</f>
        <v>0</v>
      </c>
      <c r="T187" s="89" t="n">
        <f aca="false">IF(IFERROR(INDEX(tsk_Name,GanttView[[#This Row],[_Row]])="",TRUE()),0,N(INDEX(tsk_Deadline,GanttView[[#This Row],[_Row]])))</f>
        <v>0</v>
      </c>
      <c r="U187" s="88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83" t="str">
        <f aca="false">IF(IFERROR(INDEX(tsk_Name,GanttView[[#This Row],[_Row]])="",TRUE()),"",INDEX(tsk_ID,GanttView[[#This Row],[_Row]]))</f>
        <v/>
      </c>
      <c r="B188" s="83" t="str">
        <f aca="false">IF(IFERROR(INDEX(tsk_Name,GanttView[[#This Row],[_Row]])="",TRUE()),"",INDEX(tsk_WBS,GanttView[[#This Row],[_Row]]))</f>
        <v/>
      </c>
      <c r="C188" s="84" t="str">
        <f aca="false">IF(IFERROR(INDEX(tsk_Name,GanttView[[#This Row],[_Row]])="",TRUE()),"",REPT("    ",INDEX(tsk_Level,GanttView[[#This Row],[_Row]])-1)&amp;INDEX(tsk_Name,GanttView[[#This Row],[_Row]]))</f>
        <v/>
      </c>
      <c r="D18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85" t="str">
        <f aca="false">IF(IFERROR(INDEX(tsk_Name,GanttView[[#This Row],[_Row]])="",TRUE()),"",INDEX(tsk_PlanStart,GanttView[[#This Row],[_Row]]))</f>
        <v/>
      </c>
      <c r="F188" s="85" t="str">
        <f aca="false">IF(IFERROR(INDEX(tsk_Name,GanttView[[#This Row],[_Row]])="",TRUE()),"",INDEX(tsk_PlanFinish,GanttView[[#This Row],[_Row]]))</f>
        <v/>
      </c>
      <c r="G188" s="85" t="str">
        <f aca="false">IF(IFERROR(INDEX(tsk_Name,GanttView[[#This Row],[_Row]])="",TRUE()),"",INDEX(tsk_FcStart,GanttView[[#This Row],[_Row]]))</f>
        <v/>
      </c>
      <c r="H188" s="85" t="str">
        <f aca="false">IF(IFERROR(INDEX(tsk_Name,GanttView[[#This Row],[_Row]])="",TRUE()),"",INDEX(tsk_FcFinish,GanttView[[#This Row],[_Row]]))</f>
        <v/>
      </c>
      <c r="I188" s="86" t="str">
        <f aca="false">IF(IFERROR(INDEX(tsk_Name,GanttView[[#This Row],[_Row]])="",TRUE()),"",INDEX(tsk_Progress,GanttView[[#This Row],[_Row]]))</f>
        <v/>
      </c>
      <c r="J188" s="84" t="str">
        <f aca="false">IF(IFERROR(INDEX(tsk_Name,GanttView[[#This Row],[_Row]])="",TRUE()),"",INDEX(tsk_Resource,GanttView[[#This Row],[_Row]])&amp;"")</f>
        <v/>
      </c>
      <c r="K188" s="83" t="str">
        <f aca="false">IF(IFERROR(INDEX(tsk_Name,GanttView[[#This Row],[_Row]])="",TRUE()),"",INDEX(tsk_Status,GanttView[[#This Row],[_Row]]))</f>
        <v/>
      </c>
      <c r="L188" s="87" t="n">
        <f aca="false">ROW()-ROW(GanttView[[#Headers],[ID]])</f>
        <v>183</v>
      </c>
      <c r="M188" s="88" t="b">
        <f aca="false">IF(IFERROR(INDEX(tsk_Name,GanttView[[#This Row],[_Row]])="",TRUE()),FALSE(),INDEX(tsk_IsSummary,GanttView[[#This Row],[_Row]]))</f>
        <v>0</v>
      </c>
      <c r="N188" s="88" t="b">
        <f aca="false">IF(IFERROR(INDEX(tsk_Name,GanttView[[#This Row],[_Row]])="",TRUE()),FALSE(),AND(INDEX(tsk_IsLeaf,GanttView[[#This Row],[_Row]])=1,N(INDEX(tsk_Duration,GanttView[[#This Row],[_Row]]))=0))</f>
        <v>0</v>
      </c>
      <c r="O18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89" t="n">
        <f aca="false">IF(GanttView[[#This Row],[_RemFrom]]=0,0,GanttView[[#This Row],[Forecast Finish]])</f>
        <v>0</v>
      </c>
      <c r="S188" s="88" t="b">
        <f aca="false">IF(IFERROR(INDEX(tsk_Name,GanttView[[#This Row],[_Row]])="",TRUE()),FALSE(),N(INDEX(tsk_Variance,GanttView[[#This Row],[_Row]]))&gt;0)</f>
        <v>0</v>
      </c>
      <c r="T188" s="89" t="n">
        <f aca="false">IF(IFERROR(INDEX(tsk_Name,GanttView[[#This Row],[_Row]])="",TRUE()),0,N(INDEX(tsk_Deadline,GanttView[[#This Row],[_Row]])))</f>
        <v>0</v>
      </c>
      <c r="U188" s="88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83" t="str">
        <f aca="false">IF(IFERROR(INDEX(tsk_Name,GanttView[[#This Row],[_Row]])="",TRUE()),"",INDEX(tsk_ID,GanttView[[#This Row],[_Row]]))</f>
        <v/>
      </c>
      <c r="B189" s="83" t="str">
        <f aca="false">IF(IFERROR(INDEX(tsk_Name,GanttView[[#This Row],[_Row]])="",TRUE()),"",INDEX(tsk_WBS,GanttView[[#This Row],[_Row]]))</f>
        <v/>
      </c>
      <c r="C189" s="84" t="str">
        <f aca="false">IF(IFERROR(INDEX(tsk_Name,GanttView[[#This Row],[_Row]])="",TRUE()),"",REPT("    ",INDEX(tsk_Level,GanttView[[#This Row],[_Row]])-1)&amp;INDEX(tsk_Name,GanttView[[#This Row],[_Row]]))</f>
        <v/>
      </c>
      <c r="D18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85" t="str">
        <f aca="false">IF(IFERROR(INDEX(tsk_Name,GanttView[[#This Row],[_Row]])="",TRUE()),"",INDEX(tsk_PlanStart,GanttView[[#This Row],[_Row]]))</f>
        <v/>
      </c>
      <c r="F189" s="85" t="str">
        <f aca="false">IF(IFERROR(INDEX(tsk_Name,GanttView[[#This Row],[_Row]])="",TRUE()),"",INDEX(tsk_PlanFinish,GanttView[[#This Row],[_Row]]))</f>
        <v/>
      </c>
      <c r="G189" s="85" t="str">
        <f aca="false">IF(IFERROR(INDEX(tsk_Name,GanttView[[#This Row],[_Row]])="",TRUE()),"",INDEX(tsk_FcStart,GanttView[[#This Row],[_Row]]))</f>
        <v/>
      </c>
      <c r="H189" s="85" t="str">
        <f aca="false">IF(IFERROR(INDEX(tsk_Name,GanttView[[#This Row],[_Row]])="",TRUE()),"",INDEX(tsk_FcFinish,GanttView[[#This Row],[_Row]]))</f>
        <v/>
      </c>
      <c r="I189" s="86" t="str">
        <f aca="false">IF(IFERROR(INDEX(tsk_Name,GanttView[[#This Row],[_Row]])="",TRUE()),"",INDEX(tsk_Progress,GanttView[[#This Row],[_Row]]))</f>
        <v/>
      </c>
      <c r="J189" s="84" t="str">
        <f aca="false">IF(IFERROR(INDEX(tsk_Name,GanttView[[#This Row],[_Row]])="",TRUE()),"",INDEX(tsk_Resource,GanttView[[#This Row],[_Row]])&amp;"")</f>
        <v/>
      </c>
      <c r="K189" s="83" t="str">
        <f aca="false">IF(IFERROR(INDEX(tsk_Name,GanttView[[#This Row],[_Row]])="",TRUE()),"",INDEX(tsk_Status,GanttView[[#This Row],[_Row]]))</f>
        <v/>
      </c>
      <c r="L189" s="87" t="n">
        <f aca="false">ROW()-ROW(GanttView[[#Headers],[ID]])</f>
        <v>184</v>
      </c>
      <c r="M189" s="88" t="b">
        <f aca="false">IF(IFERROR(INDEX(tsk_Name,GanttView[[#This Row],[_Row]])="",TRUE()),FALSE(),INDEX(tsk_IsSummary,GanttView[[#This Row],[_Row]]))</f>
        <v>0</v>
      </c>
      <c r="N189" s="88" t="b">
        <f aca="false">IF(IFERROR(INDEX(tsk_Name,GanttView[[#This Row],[_Row]])="",TRUE()),FALSE(),AND(INDEX(tsk_IsLeaf,GanttView[[#This Row],[_Row]])=1,N(INDEX(tsk_Duration,GanttView[[#This Row],[_Row]]))=0))</f>
        <v>0</v>
      </c>
      <c r="O18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89" t="n">
        <f aca="false">IF(GanttView[[#This Row],[_RemFrom]]=0,0,GanttView[[#This Row],[Forecast Finish]])</f>
        <v>0</v>
      </c>
      <c r="S189" s="88" t="b">
        <f aca="false">IF(IFERROR(INDEX(tsk_Name,GanttView[[#This Row],[_Row]])="",TRUE()),FALSE(),N(INDEX(tsk_Variance,GanttView[[#This Row],[_Row]]))&gt;0)</f>
        <v>0</v>
      </c>
      <c r="T189" s="89" t="n">
        <f aca="false">IF(IFERROR(INDEX(tsk_Name,GanttView[[#This Row],[_Row]])="",TRUE()),0,N(INDEX(tsk_Deadline,GanttView[[#This Row],[_Row]])))</f>
        <v>0</v>
      </c>
      <c r="U189" s="88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83" t="str">
        <f aca="false">IF(IFERROR(INDEX(tsk_Name,GanttView[[#This Row],[_Row]])="",TRUE()),"",INDEX(tsk_ID,GanttView[[#This Row],[_Row]]))</f>
        <v/>
      </c>
      <c r="B190" s="83" t="str">
        <f aca="false">IF(IFERROR(INDEX(tsk_Name,GanttView[[#This Row],[_Row]])="",TRUE()),"",INDEX(tsk_WBS,GanttView[[#This Row],[_Row]]))</f>
        <v/>
      </c>
      <c r="C190" s="84" t="str">
        <f aca="false">IF(IFERROR(INDEX(tsk_Name,GanttView[[#This Row],[_Row]])="",TRUE()),"",REPT("    ",INDEX(tsk_Level,GanttView[[#This Row],[_Row]])-1)&amp;INDEX(tsk_Name,GanttView[[#This Row],[_Row]]))</f>
        <v/>
      </c>
      <c r="D19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85" t="str">
        <f aca="false">IF(IFERROR(INDEX(tsk_Name,GanttView[[#This Row],[_Row]])="",TRUE()),"",INDEX(tsk_PlanStart,GanttView[[#This Row],[_Row]]))</f>
        <v/>
      </c>
      <c r="F190" s="85" t="str">
        <f aca="false">IF(IFERROR(INDEX(tsk_Name,GanttView[[#This Row],[_Row]])="",TRUE()),"",INDEX(tsk_PlanFinish,GanttView[[#This Row],[_Row]]))</f>
        <v/>
      </c>
      <c r="G190" s="85" t="str">
        <f aca="false">IF(IFERROR(INDEX(tsk_Name,GanttView[[#This Row],[_Row]])="",TRUE()),"",INDEX(tsk_FcStart,GanttView[[#This Row],[_Row]]))</f>
        <v/>
      </c>
      <c r="H190" s="85" t="str">
        <f aca="false">IF(IFERROR(INDEX(tsk_Name,GanttView[[#This Row],[_Row]])="",TRUE()),"",INDEX(tsk_FcFinish,GanttView[[#This Row],[_Row]]))</f>
        <v/>
      </c>
      <c r="I190" s="86" t="str">
        <f aca="false">IF(IFERROR(INDEX(tsk_Name,GanttView[[#This Row],[_Row]])="",TRUE()),"",INDEX(tsk_Progress,GanttView[[#This Row],[_Row]]))</f>
        <v/>
      </c>
      <c r="J190" s="84" t="str">
        <f aca="false">IF(IFERROR(INDEX(tsk_Name,GanttView[[#This Row],[_Row]])="",TRUE()),"",INDEX(tsk_Resource,GanttView[[#This Row],[_Row]])&amp;"")</f>
        <v/>
      </c>
      <c r="K190" s="83" t="str">
        <f aca="false">IF(IFERROR(INDEX(tsk_Name,GanttView[[#This Row],[_Row]])="",TRUE()),"",INDEX(tsk_Status,GanttView[[#This Row],[_Row]]))</f>
        <v/>
      </c>
      <c r="L190" s="87" t="n">
        <f aca="false">ROW()-ROW(GanttView[[#Headers],[ID]])</f>
        <v>185</v>
      </c>
      <c r="M190" s="88" t="b">
        <f aca="false">IF(IFERROR(INDEX(tsk_Name,GanttView[[#This Row],[_Row]])="",TRUE()),FALSE(),INDEX(tsk_IsSummary,GanttView[[#This Row],[_Row]]))</f>
        <v>0</v>
      </c>
      <c r="N190" s="88" t="b">
        <f aca="false">IF(IFERROR(INDEX(tsk_Name,GanttView[[#This Row],[_Row]])="",TRUE()),FALSE(),AND(INDEX(tsk_IsLeaf,GanttView[[#This Row],[_Row]])=1,N(INDEX(tsk_Duration,GanttView[[#This Row],[_Row]]))=0))</f>
        <v>0</v>
      </c>
      <c r="O19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89" t="n">
        <f aca="false">IF(GanttView[[#This Row],[_RemFrom]]=0,0,GanttView[[#This Row],[Forecast Finish]])</f>
        <v>0</v>
      </c>
      <c r="S190" s="88" t="b">
        <f aca="false">IF(IFERROR(INDEX(tsk_Name,GanttView[[#This Row],[_Row]])="",TRUE()),FALSE(),N(INDEX(tsk_Variance,GanttView[[#This Row],[_Row]]))&gt;0)</f>
        <v>0</v>
      </c>
      <c r="T190" s="89" t="n">
        <f aca="false">IF(IFERROR(INDEX(tsk_Name,GanttView[[#This Row],[_Row]])="",TRUE()),0,N(INDEX(tsk_Deadline,GanttView[[#This Row],[_Row]])))</f>
        <v>0</v>
      </c>
      <c r="U190" s="88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83" t="str">
        <f aca="false">IF(IFERROR(INDEX(tsk_Name,GanttView[[#This Row],[_Row]])="",TRUE()),"",INDEX(tsk_ID,GanttView[[#This Row],[_Row]]))</f>
        <v/>
      </c>
      <c r="B191" s="83" t="str">
        <f aca="false">IF(IFERROR(INDEX(tsk_Name,GanttView[[#This Row],[_Row]])="",TRUE()),"",INDEX(tsk_WBS,GanttView[[#This Row],[_Row]]))</f>
        <v/>
      </c>
      <c r="C191" s="84" t="str">
        <f aca="false">IF(IFERROR(INDEX(tsk_Name,GanttView[[#This Row],[_Row]])="",TRUE()),"",REPT("    ",INDEX(tsk_Level,GanttView[[#This Row],[_Row]])-1)&amp;INDEX(tsk_Name,GanttView[[#This Row],[_Row]]))</f>
        <v/>
      </c>
      <c r="D19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85" t="str">
        <f aca="false">IF(IFERROR(INDEX(tsk_Name,GanttView[[#This Row],[_Row]])="",TRUE()),"",INDEX(tsk_PlanStart,GanttView[[#This Row],[_Row]]))</f>
        <v/>
      </c>
      <c r="F191" s="85" t="str">
        <f aca="false">IF(IFERROR(INDEX(tsk_Name,GanttView[[#This Row],[_Row]])="",TRUE()),"",INDEX(tsk_PlanFinish,GanttView[[#This Row],[_Row]]))</f>
        <v/>
      </c>
      <c r="G191" s="85" t="str">
        <f aca="false">IF(IFERROR(INDEX(tsk_Name,GanttView[[#This Row],[_Row]])="",TRUE()),"",INDEX(tsk_FcStart,GanttView[[#This Row],[_Row]]))</f>
        <v/>
      </c>
      <c r="H191" s="85" t="str">
        <f aca="false">IF(IFERROR(INDEX(tsk_Name,GanttView[[#This Row],[_Row]])="",TRUE()),"",INDEX(tsk_FcFinish,GanttView[[#This Row],[_Row]]))</f>
        <v/>
      </c>
      <c r="I191" s="86" t="str">
        <f aca="false">IF(IFERROR(INDEX(tsk_Name,GanttView[[#This Row],[_Row]])="",TRUE()),"",INDEX(tsk_Progress,GanttView[[#This Row],[_Row]]))</f>
        <v/>
      </c>
      <c r="J191" s="84" t="str">
        <f aca="false">IF(IFERROR(INDEX(tsk_Name,GanttView[[#This Row],[_Row]])="",TRUE()),"",INDEX(tsk_Resource,GanttView[[#This Row],[_Row]])&amp;"")</f>
        <v/>
      </c>
      <c r="K191" s="83" t="str">
        <f aca="false">IF(IFERROR(INDEX(tsk_Name,GanttView[[#This Row],[_Row]])="",TRUE()),"",INDEX(tsk_Status,GanttView[[#This Row],[_Row]]))</f>
        <v/>
      </c>
      <c r="L191" s="87" t="n">
        <f aca="false">ROW()-ROW(GanttView[[#Headers],[ID]])</f>
        <v>186</v>
      </c>
      <c r="M191" s="88" t="b">
        <f aca="false">IF(IFERROR(INDEX(tsk_Name,GanttView[[#This Row],[_Row]])="",TRUE()),FALSE(),INDEX(tsk_IsSummary,GanttView[[#This Row],[_Row]]))</f>
        <v>0</v>
      </c>
      <c r="N191" s="88" t="b">
        <f aca="false">IF(IFERROR(INDEX(tsk_Name,GanttView[[#This Row],[_Row]])="",TRUE()),FALSE(),AND(INDEX(tsk_IsLeaf,GanttView[[#This Row],[_Row]])=1,N(INDEX(tsk_Duration,GanttView[[#This Row],[_Row]]))=0))</f>
        <v>0</v>
      </c>
      <c r="O19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89" t="n">
        <f aca="false">IF(GanttView[[#This Row],[_RemFrom]]=0,0,GanttView[[#This Row],[Forecast Finish]])</f>
        <v>0</v>
      </c>
      <c r="S191" s="88" t="b">
        <f aca="false">IF(IFERROR(INDEX(tsk_Name,GanttView[[#This Row],[_Row]])="",TRUE()),FALSE(),N(INDEX(tsk_Variance,GanttView[[#This Row],[_Row]]))&gt;0)</f>
        <v>0</v>
      </c>
      <c r="T191" s="89" t="n">
        <f aca="false">IF(IFERROR(INDEX(tsk_Name,GanttView[[#This Row],[_Row]])="",TRUE()),0,N(INDEX(tsk_Deadline,GanttView[[#This Row],[_Row]])))</f>
        <v>0</v>
      </c>
      <c r="U191" s="88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83" t="str">
        <f aca="false">IF(IFERROR(INDEX(tsk_Name,GanttView[[#This Row],[_Row]])="",TRUE()),"",INDEX(tsk_ID,GanttView[[#This Row],[_Row]]))</f>
        <v/>
      </c>
      <c r="B192" s="83" t="str">
        <f aca="false">IF(IFERROR(INDEX(tsk_Name,GanttView[[#This Row],[_Row]])="",TRUE()),"",INDEX(tsk_WBS,GanttView[[#This Row],[_Row]]))</f>
        <v/>
      </c>
      <c r="C192" s="84" t="str">
        <f aca="false">IF(IFERROR(INDEX(tsk_Name,GanttView[[#This Row],[_Row]])="",TRUE()),"",REPT("    ",INDEX(tsk_Level,GanttView[[#This Row],[_Row]])-1)&amp;INDEX(tsk_Name,GanttView[[#This Row],[_Row]]))</f>
        <v/>
      </c>
      <c r="D19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85" t="str">
        <f aca="false">IF(IFERROR(INDEX(tsk_Name,GanttView[[#This Row],[_Row]])="",TRUE()),"",INDEX(tsk_PlanStart,GanttView[[#This Row],[_Row]]))</f>
        <v/>
      </c>
      <c r="F192" s="85" t="str">
        <f aca="false">IF(IFERROR(INDEX(tsk_Name,GanttView[[#This Row],[_Row]])="",TRUE()),"",INDEX(tsk_PlanFinish,GanttView[[#This Row],[_Row]]))</f>
        <v/>
      </c>
      <c r="G192" s="85" t="str">
        <f aca="false">IF(IFERROR(INDEX(tsk_Name,GanttView[[#This Row],[_Row]])="",TRUE()),"",INDEX(tsk_FcStart,GanttView[[#This Row],[_Row]]))</f>
        <v/>
      </c>
      <c r="H192" s="85" t="str">
        <f aca="false">IF(IFERROR(INDEX(tsk_Name,GanttView[[#This Row],[_Row]])="",TRUE()),"",INDEX(tsk_FcFinish,GanttView[[#This Row],[_Row]]))</f>
        <v/>
      </c>
      <c r="I192" s="86" t="str">
        <f aca="false">IF(IFERROR(INDEX(tsk_Name,GanttView[[#This Row],[_Row]])="",TRUE()),"",INDEX(tsk_Progress,GanttView[[#This Row],[_Row]]))</f>
        <v/>
      </c>
      <c r="J192" s="84" t="str">
        <f aca="false">IF(IFERROR(INDEX(tsk_Name,GanttView[[#This Row],[_Row]])="",TRUE()),"",INDEX(tsk_Resource,GanttView[[#This Row],[_Row]])&amp;"")</f>
        <v/>
      </c>
      <c r="K192" s="83" t="str">
        <f aca="false">IF(IFERROR(INDEX(tsk_Name,GanttView[[#This Row],[_Row]])="",TRUE()),"",INDEX(tsk_Status,GanttView[[#This Row],[_Row]]))</f>
        <v/>
      </c>
      <c r="L192" s="87" t="n">
        <f aca="false">ROW()-ROW(GanttView[[#Headers],[ID]])</f>
        <v>187</v>
      </c>
      <c r="M192" s="88" t="b">
        <f aca="false">IF(IFERROR(INDEX(tsk_Name,GanttView[[#This Row],[_Row]])="",TRUE()),FALSE(),INDEX(tsk_IsSummary,GanttView[[#This Row],[_Row]]))</f>
        <v>0</v>
      </c>
      <c r="N192" s="88" t="b">
        <f aca="false">IF(IFERROR(INDEX(tsk_Name,GanttView[[#This Row],[_Row]])="",TRUE()),FALSE(),AND(INDEX(tsk_IsLeaf,GanttView[[#This Row],[_Row]])=1,N(INDEX(tsk_Duration,GanttView[[#This Row],[_Row]]))=0))</f>
        <v>0</v>
      </c>
      <c r="O19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89" t="n">
        <f aca="false">IF(GanttView[[#This Row],[_RemFrom]]=0,0,GanttView[[#This Row],[Forecast Finish]])</f>
        <v>0</v>
      </c>
      <c r="S192" s="88" t="b">
        <f aca="false">IF(IFERROR(INDEX(tsk_Name,GanttView[[#This Row],[_Row]])="",TRUE()),FALSE(),N(INDEX(tsk_Variance,GanttView[[#This Row],[_Row]]))&gt;0)</f>
        <v>0</v>
      </c>
      <c r="T192" s="89" t="n">
        <f aca="false">IF(IFERROR(INDEX(tsk_Name,GanttView[[#This Row],[_Row]])="",TRUE()),0,N(INDEX(tsk_Deadline,GanttView[[#This Row],[_Row]])))</f>
        <v>0</v>
      </c>
      <c r="U192" s="88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83" t="str">
        <f aca="false">IF(IFERROR(INDEX(tsk_Name,GanttView[[#This Row],[_Row]])="",TRUE()),"",INDEX(tsk_ID,GanttView[[#This Row],[_Row]]))</f>
        <v/>
      </c>
      <c r="B193" s="83" t="str">
        <f aca="false">IF(IFERROR(INDEX(tsk_Name,GanttView[[#This Row],[_Row]])="",TRUE()),"",INDEX(tsk_WBS,GanttView[[#This Row],[_Row]]))</f>
        <v/>
      </c>
      <c r="C193" s="84" t="str">
        <f aca="false">IF(IFERROR(INDEX(tsk_Name,GanttView[[#This Row],[_Row]])="",TRUE()),"",REPT("    ",INDEX(tsk_Level,GanttView[[#This Row],[_Row]])-1)&amp;INDEX(tsk_Name,GanttView[[#This Row],[_Row]]))</f>
        <v/>
      </c>
      <c r="D19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85" t="str">
        <f aca="false">IF(IFERROR(INDEX(tsk_Name,GanttView[[#This Row],[_Row]])="",TRUE()),"",INDEX(tsk_PlanStart,GanttView[[#This Row],[_Row]]))</f>
        <v/>
      </c>
      <c r="F193" s="85" t="str">
        <f aca="false">IF(IFERROR(INDEX(tsk_Name,GanttView[[#This Row],[_Row]])="",TRUE()),"",INDEX(tsk_PlanFinish,GanttView[[#This Row],[_Row]]))</f>
        <v/>
      </c>
      <c r="G193" s="85" t="str">
        <f aca="false">IF(IFERROR(INDEX(tsk_Name,GanttView[[#This Row],[_Row]])="",TRUE()),"",INDEX(tsk_FcStart,GanttView[[#This Row],[_Row]]))</f>
        <v/>
      </c>
      <c r="H193" s="85" t="str">
        <f aca="false">IF(IFERROR(INDEX(tsk_Name,GanttView[[#This Row],[_Row]])="",TRUE()),"",INDEX(tsk_FcFinish,GanttView[[#This Row],[_Row]]))</f>
        <v/>
      </c>
      <c r="I193" s="86" t="str">
        <f aca="false">IF(IFERROR(INDEX(tsk_Name,GanttView[[#This Row],[_Row]])="",TRUE()),"",INDEX(tsk_Progress,GanttView[[#This Row],[_Row]]))</f>
        <v/>
      </c>
      <c r="J193" s="84" t="str">
        <f aca="false">IF(IFERROR(INDEX(tsk_Name,GanttView[[#This Row],[_Row]])="",TRUE()),"",INDEX(tsk_Resource,GanttView[[#This Row],[_Row]])&amp;"")</f>
        <v/>
      </c>
      <c r="K193" s="83" t="str">
        <f aca="false">IF(IFERROR(INDEX(tsk_Name,GanttView[[#This Row],[_Row]])="",TRUE()),"",INDEX(tsk_Status,GanttView[[#This Row],[_Row]]))</f>
        <v/>
      </c>
      <c r="L193" s="87" t="n">
        <f aca="false">ROW()-ROW(GanttView[[#Headers],[ID]])</f>
        <v>188</v>
      </c>
      <c r="M193" s="88" t="b">
        <f aca="false">IF(IFERROR(INDEX(tsk_Name,GanttView[[#This Row],[_Row]])="",TRUE()),FALSE(),INDEX(tsk_IsSummary,GanttView[[#This Row],[_Row]]))</f>
        <v>0</v>
      </c>
      <c r="N193" s="88" t="b">
        <f aca="false">IF(IFERROR(INDEX(tsk_Name,GanttView[[#This Row],[_Row]])="",TRUE()),FALSE(),AND(INDEX(tsk_IsLeaf,GanttView[[#This Row],[_Row]])=1,N(INDEX(tsk_Duration,GanttView[[#This Row],[_Row]]))=0))</f>
        <v>0</v>
      </c>
      <c r="O19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89" t="n">
        <f aca="false">IF(GanttView[[#This Row],[_RemFrom]]=0,0,GanttView[[#This Row],[Forecast Finish]])</f>
        <v>0</v>
      </c>
      <c r="S193" s="88" t="b">
        <f aca="false">IF(IFERROR(INDEX(tsk_Name,GanttView[[#This Row],[_Row]])="",TRUE()),FALSE(),N(INDEX(tsk_Variance,GanttView[[#This Row],[_Row]]))&gt;0)</f>
        <v>0</v>
      </c>
      <c r="T193" s="89" t="n">
        <f aca="false">IF(IFERROR(INDEX(tsk_Name,GanttView[[#This Row],[_Row]])="",TRUE()),0,N(INDEX(tsk_Deadline,GanttView[[#This Row],[_Row]])))</f>
        <v>0</v>
      </c>
      <c r="U193" s="88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83" t="str">
        <f aca="false">IF(IFERROR(INDEX(tsk_Name,GanttView[[#This Row],[_Row]])="",TRUE()),"",INDEX(tsk_ID,GanttView[[#This Row],[_Row]]))</f>
        <v/>
      </c>
      <c r="B194" s="83" t="str">
        <f aca="false">IF(IFERROR(INDEX(tsk_Name,GanttView[[#This Row],[_Row]])="",TRUE()),"",INDEX(tsk_WBS,GanttView[[#This Row],[_Row]]))</f>
        <v/>
      </c>
      <c r="C194" s="84" t="str">
        <f aca="false">IF(IFERROR(INDEX(tsk_Name,GanttView[[#This Row],[_Row]])="",TRUE()),"",REPT("    ",INDEX(tsk_Level,GanttView[[#This Row],[_Row]])-1)&amp;INDEX(tsk_Name,GanttView[[#This Row],[_Row]]))</f>
        <v/>
      </c>
      <c r="D19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85" t="str">
        <f aca="false">IF(IFERROR(INDEX(tsk_Name,GanttView[[#This Row],[_Row]])="",TRUE()),"",INDEX(tsk_PlanStart,GanttView[[#This Row],[_Row]]))</f>
        <v/>
      </c>
      <c r="F194" s="85" t="str">
        <f aca="false">IF(IFERROR(INDEX(tsk_Name,GanttView[[#This Row],[_Row]])="",TRUE()),"",INDEX(tsk_PlanFinish,GanttView[[#This Row],[_Row]]))</f>
        <v/>
      </c>
      <c r="G194" s="85" t="str">
        <f aca="false">IF(IFERROR(INDEX(tsk_Name,GanttView[[#This Row],[_Row]])="",TRUE()),"",INDEX(tsk_FcStart,GanttView[[#This Row],[_Row]]))</f>
        <v/>
      </c>
      <c r="H194" s="85" t="str">
        <f aca="false">IF(IFERROR(INDEX(tsk_Name,GanttView[[#This Row],[_Row]])="",TRUE()),"",INDEX(tsk_FcFinish,GanttView[[#This Row],[_Row]]))</f>
        <v/>
      </c>
      <c r="I194" s="86" t="str">
        <f aca="false">IF(IFERROR(INDEX(tsk_Name,GanttView[[#This Row],[_Row]])="",TRUE()),"",INDEX(tsk_Progress,GanttView[[#This Row],[_Row]]))</f>
        <v/>
      </c>
      <c r="J194" s="84" t="str">
        <f aca="false">IF(IFERROR(INDEX(tsk_Name,GanttView[[#This Row],[_Row]])="",TRUE()),"",INDEX(tsk_Resource,GanttView[[#This Row],[_Row]])&amp;"")</f>
        <v/>
      </c>
      <c r="K194" s="83" t="str">
        <f aca="false">IF(IFERROR(INDEX(tsk_Name,GanttView[[#This Row],[_Row]])="",TRUE()),"",INDEX(tsk_Status,GanttView[[#This Row],[_Row]]))</f>
        <v/>
      </c>
      <c r="L194" s="87" t="n">
        <f aca="false">ROW()-ROW(GanttView[[#Headers],[ID]])</f>
        <v>189</v>
      </c>
      <c r="M194" s="88" t="b">
        <f aca="false">IF(IFERROR(INDEX(tsk_Name,GanttView[[#This Row],[_Row]])="",TRUE()),FALSE(),INDEX(tsk_IsSummary,GanttView[[#This Row],[_Row]]))</f>
        <v>0</v>
      </c>
      <c r="N194" s="88" t="b">
        <f aca="false">IF(IFERROR(INDEX(tsk_Name,GanttView[[#This Row],[_Row]])="",TRUE()),FALSE(),AND(INDEX(tsk_IsLeaf,GanttView[[#This Row],[_Row]])=1,N(INDEX(tsk_Duration,GanttView[[#This Row],[_Row]]))=0))</f>
        <v>0</v>
      </c>
      <c r="O19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89" t="n">
        <f aca="false">IF(GanttView[[#This Row],[_RemFrom]]=0,0,GanttView[[#This Row],[Forecast Finish]])</f>
        <v>0</v>
      </c>
      <c r="S194" s="88" t="b">
        <f aca="false">IF(IFERROR(INDEX(tsk_Name,GanttView[[#This Row],[_Row]])="",TRUE()),FALSE(),N(INDEX(tsk_Variance,GanttView[[#This Row],[_Row]]))&gt;0)</f>
        <v>0</v>
      </c>
      <c r="T194" s="89" t="n">
        <f aca="false">IF(IFERROR(INDEX(tsk_Name,GanttView[[#This Row],[_Row]])="",TRUE()),0,N(INDEX(tsk_Deadline,GanttView[[#This Row],[_Row]])))</f>
        <v>0</v>
      </c>
      <c r="U194" s="88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83" t="str">
        <f aca="false">IF(IFERROR(INDEX(tsk_Name,GanttView[[#This Row],[_Row]])="",TRUE()),"",INDEX(tsk_ID,GanttView[[#This Row],[_Row]]))</f>
        <v/>
      </c>
      <c r="B195" s="83" t="str">
        <f aca="false">IF(IFERROR(INDEX(tsk_Name,GanttView[[#This Row],[_Row]])="",TRUE()),"",INDEX(tsk_WBS,GanttView[[#This Row],[_Row]]))</f>
        <v/>
      </c>
      <c r="C195" s="84" t="str">
        <f aca="false">IF(IFERROR(INDEX(tsk_Name,GanttView[[#This Row],[_Row]])="",TRUE()),"",REPT("    ",INDEX(tsk_Level,GanttView[[#This Row],[_Row]])-1)&amp;INDEX(tsk_Name,GanttView[[#This Row],[_Row]]))</f>
        <v/>
      </c>
      <c r="D19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85" t="str">
        <f aca="false">IF(IFERROR(INDEX(tsk_Name,GanttView[[#This Row],[_Row]])="",TRUE()),"",INDEX(tsk_PlanStart,GanttView[[#This Row],[_Row]]))</f>
        <v/>
      </c>
      <c r="F195" s="85" t="str">
        <f aca="false">IF(IFERROR(INDEX(tsk_Name,GanttView[[#This Row],[_Row]])="",TRUE()),"",INDEX(tsk_PlanFinish,GanttView[[#This Row],[_Row]]))</f>
        <v/>
      </c>
      <c r="G195" s="85" t="str">
        <f aca="false">IF(IFERROR(INDEX(tsk_Name,GanttView[[#This Row],[_Row]])="",TRUE()),"",INDEX(tsk_FcStart,GanttView[[#This Row],[_Row]]))</f>
        <v/>
      </c>
      <c r="H195" s="85" t="str">
        <f aca="false">IF(IFERROR(INDEX(tsk_Name,GanttView[[#This Row],[_Row]])="",TRUE()),"",INDEX(tsk_FcFinish,GanttView[[#This Row],[_Row]]))</f>
        <v/>
      </c>
      <c r="I195" s="86" t="str">
        <f aca="false">IF(IFERROR(INDEX(tsk_Name,GanttView[[#This Row],[_Row]])="",TRUE()),"",INDEX(tsk_Progress,GanttView[[#This Row],[_Row]]))</f>
        <v/>
      </c>
      <c r="J195" s="84" t="str">
        <f aca="false">IF(IFERROR(INDEX(tsk_Name,GanttView[[#This Row],[_Row]])="",TRUE()),"",INDEX(tsk_Resource,GanttView[[#This Row],[_Row]])&amp;"")</f>
        <v/>
      </c>
      <c r="K195" s="83" t="str">
        <f aca="false">IF(IFERROR(INDEX(tsk_Name,GanttView[[#This Row],[_Row]])="",TRUE()),"",INDEX(tsk_Status,GanttView[[#This Row],[_Row]]))</f>
        <v/>
      </c>
      <c r="L195" s="87" t="n">
        <f aca="false">ROW()-ROW(GanttView[[#Headers],[ID]])</f>
        <v>190</v>
      </c>
      <c r="M195" s="88" t="b">
        <f aca="false">IF(IFERROR(INDEX(tsk_Name,GanttView[[#This Row],[_Row]])="",TRUE()),FALSE(),INDEX(tsk_IsSummary,GanttView[[#This Row],[_Row]]))</f>
        <v>0</v>
      </c>
      <c r="N195" s="88" t="b">
        <f aca="false">IF(IFERROR(INDEX(tsk_Name,GanttView[[#This Row],[_Row]])="",TRUE()),FALSE(),AND(INDEX(tsk_IsLeaf,GanttView[[#This Row],[_Row]])=1,N(INDEX(tsk_Duration,GanttView[[#This Row],[_Row]]))=0))</f>
        <v>0</v>
      </c>
      <c r="O19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89" t="n">
        <f aca="false">IF(GanttView[[#This Row],[_RemFrom]]=0,0,GanttView[[#This Row],[Forecast Finish]])</f>
        <v>0</v>
      </c>
      <c r="S195" s="88" t="b">
        <f aca="false">IF(IFERROR(INDEX(tsk_Name,GanttView[[#This Row],[_Row]])="",TRUE()),FALSE(),N(INDEX(tsk_Variance,GanttView[[#This Row],[_Row]]))&gt;0)</f>
        <v>0</v>
      </c>
      <c r="T195" s="89" t="n">
        <f aca="false">IF(IFERROR(INDEX(tsk_Name,GanttView[[#This Row],[_Row]])="",TRUE()),0,N(INDEX(tsk_Deadline,GanttView[[#This Row],[_Row]])))</f>
        <v>0</v>
      </c>
      <c r="U195" s="88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83" t="str">
        <f aca="false">IF(IFERROR(INDEX(tsk_Name,GanttView[[#This Row],[_Row]])="",TRUE()),"",INDEX(tsk_ID,GanttView[[#This Row],[_Row]]))</f>
        <v/>
      </c>
      <c r="B196" s="83" t="str">
        <f aca="false">IF(IFERROR(INDEX(tsk_Name,GanttView[[#This Row],[_Row]])="",TRUE()),"",INDEX(tsk_WBS,GanttView[[#This Row],[_Row]]))</f>
        <v/>
      </c>
      <c r="C196" s="84" t="str">
        <f aca="false">IF(IFERROR(INDEX(tsk_Name,GanttView[[#This Row],[_Row]])="",TRUE()),"",REPT("    ",INDEX(tsk_Level,GanttView[[#This Row],[_Row]])-1)&amp;INDEX(tsk_Name,GanttView[[#This Row],[_Row]]))</f>
        <v/>
      </c>
      <c r="D196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85" t="str">
        <f aca="false">IF(IFERROR(INDEX(tsk_Name,GanttView[[#This Row],[_Row]])="",TRUE()),"",INDEX(tsk_PlanStart,GanttView[[#This Row],[_Row]]))</f>
        <v/>
      </c>
      <c r="F196" s="85" t="str">
        <f aca="false">IF(IFERROR(INDEX(tsk_Name,GanttView[[#This Row],[_Row]])="",TRUE()),"",INDEX(tsk_PlanFinish,GanttView[[#This Row],[_Row]]))</f>
        <v/>
      </c>
      <c r="G196" s="85" t="str">
        <f aca="false">IF(IFERROR(INDEX(tsk_Name,GanttView[[#This Row],[_Row]])="",TRUE()),"",INDEX(tsk_FcStart,GanttView[[#This Row],[_Row]]))</f>
        <v/>
      </c>
      <c r="H196" s="85" t="str">
        <f aca="false">IF(IFERROR(INDEX(tsk_Name,GanttView[[#This Row],[_Row]])="",TRUE()),"",INDEX(tsk_FcFinish,GanttView[[#This Row],[_Row]]))</f>
        <v/>
      </c>
      <c r="I196" s="86" t="str">
        <f aca="false">IF(IFERROR(INDEX(tsk_Name,GanttView[[#This Row],[_Row]])="",TRUE()),"",INDEX(tsk_Progress,GanttView[[#This Row],[_Row]]))</f>
        <v/>
      </c>
      <c r="J196" s="84" t="str">
        <f aca="false">IF(IFERROR(INDEX(tsk_Name,GanttView[[#This Row],[_Row]])="",TRUE()),"",INDEX(tsk_Resource,GanttView[[#This Row],[_Row]])&amp;"")</f>
        <v/>
      </c>
      <c r="K196" s="83" t="str">
        <f aca="false">IF(IFERROR(INDEX(tsk_Name,GanttView[[#This Row],[_Row]])="",TRUE()),"",INDEX(tsk_Status,GanttView[[#This Row],[_Row]]))</f>
        <v/>
      </c>
      <c r="L196" s="87" t="n">
        <f aca="false">ROW()-ROW(GanttView[[#Headers],[ID]])</f>
        <v>191</v>
      </c>
      <c r="M196" s="88" t="b">
        <f aca="false">IF(IFERROR(INDEX(tsk_Name,GanttView[[#This Row],[_Row]])="",TRUE()),FALSE(),INDEX(tsk_IsSummary,GanttView[[#This Row],[_Row]]))</f>
        <v>0</v>
      </c>
      <c r="N196" s="88" t="b">
        <f aca="false">IF(IFERROR(INDEX(tsk_Name,GanttView[[#This Row],[_Row]])="",TRUE()),FALSE(),AND(INDEX(tsk_IsLeaf,GanttView[[#This Row],[_Row]])=1,N(INDEX(tsk_Duration,GanttView[[#This Row],[_Row]]))=0))</f>
        <v>0</v>
      </c>
      <c r="O196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89" t="n">
        <f aca="false">IF(GanttView[[#This Row],[_RemFrom]]=0,0,GanttView[[#This Row],[Forecast Finish]])</f>
        <v>0</v>
      </c>
      <c r="S196" s="88" t="b">
        <f aca="false">IF(IFERROR(INDEX(tsk_Name,GanttView[[#This Row],[_Row]])="",TRUE()),FALSE(),N(INDEX(tsk_Variance,GanttView[[#This Row],[_Row]]))&gt;0)</f>
        <v>0</v>
      </c>
      <c r="T196" s="89" t="n">
        <f aca="false">IF(IFERROR(INDEX(tsk_Name,GanttView[[#This Row],[_Row]])="",TRUE()),0,N(INDEX(tsk_Deadline,GanttView[[#This Row],[_Row]])))</f>
        <v>0</v>
      </c>
      <c r="U196" s="88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83" t="str">
        <f aca="false">IF(IFERROR(INDEX(tsk_Name,GanttView[[#This Row],[_Row]])="",TRUE()),"",INDEX(tsk_ID,GanttView[[#This Row],[_Row]]))</f>
        <v/>
      </c>
      <c r="B197" s="83" t="str">
        <f aca="false">IF(IFERROR(INDEX(tsk_Name,GanttView[[#This Row],[_Row]])="",TRUE()),"",INDEX(tsk_WBS,GanttView[[#This Row],[_Row]]))</f>
        <v/>
      </c>
      <c r="C197" s="84" t="str">
        <f aca="false">IF(IFERROR(INDEX(tsk_Name,GanttView[[#This Row],[_Row]])="",TRUE()),"",REPT("    ",INDEX(tsk_Level,GanttView[[#This Row],[_Row]])-1)&amp;INDEX(tsk_Name,GanttView[[#This Row],[_Row]]))</f>
        <v/>
      </c>
      <c r="D197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85" t="str">
        <f aca="false">IF(IFERROR(INDEX(tsk_Name,GanttView[[#This Row],[_Row]])="",TRUE()),"",INDEX(tsk_PlanStart,GanttView[[#This Row],[_Row]]))</f>
        <v/>
      </c>
      <c r="F197" s="85" t="str">
        <f aca="false">IF(IFERROR(INDEX(tsk_Name,GanttView[[#This Row],[_Row]])="",TRUE()),"",INDEX(tsk_PlanFinish,GanttView[[#This Row],[_Row]]))</f>
        <v/>
      </c>
      <c r="G197" s="85" t="str">
        <f aca="false">IF(IFERROR(INDEX(tsk_Name,GanttView[[#This Row],[_Row]])="",TRUE()),"",INDEX(tsk_FcStart,GanttView[[#This Row],[_Row]]))</f>
        <v/>
      </c>
      <c r="H197" s="85" t="str">
        <f aca="false">IF(IFERROR(INDEX(tsk_Name,GanttView[[#This Row],[_Row]])="",TRUE()),"",INDEX(tsk_FcFinish,GanttView[[#This Row],[_Row]]))</f>
        <v/>
      </c>
      <c r="I197" s="86" t="str">
        <f aca="false">IF(IFERROR(INDEX(tsk_Name,GanttView[[#This Row],[_Row]])="",TRUE()),"",INDEX(tsk_Progress,GanttView[[#This Row],[_Row]]))</f>
        <v/>
      </c>
      <c r="J197" s="84" t="str">
        <f aca="false">IF(IFERROR(INDEX(tsk_Name,GanttView[[#This Row],[_Row]])="",TRUE()),"",INDEX(tsk_Resource,GanttView[[#This Row],[_Row]])&amp;"")</f>
        <v/>
      </c>
      <c r="K197" s="83" t="str">
        <f aca="false">IF(IFERROR(INDEX(tsk_Name,GanttView[[#This Row],[_Row]])="",TRUE()),"",INDEX(tsk_Status,GanttView[[#This Row],[_Row]]))</f>
        <v/>
      </c>
      <c r="L197" s="87" t="n">
        <f aca="false">ROW()-ROW(GanttView[[#Headers],[ID]])</f>
        <v>192</v>
      </c>
      <c r="M197" s="88" t="b">
        <f aca="false">IF(IFERROR(INDEX(tsk_Name,GanttView[[#This Row],[_Row]])="",TRUE()),FALSE(),INDEX(tsk_IsSummary,GanttView[[#This Row],[_Row]]))</f>
        <v>0</v>
      </c>
      <c r="N197" s="88" t="b">
        <f aca="false">IF(IFERROR(INDEX(tsk_Name,GanttView[[#This Row],[_Row]])="",TRUE()),FALSE(),AND(INDEX(tsk_IsLeaf,GanttView[[#This Row],[_Row]])=1,N(INDEX(tsk_Duration,GanttView[[#This Row],[_Row]]))=0))</f>
        <v>0</v>
      </c>
      <c r="O197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89" t="n">
        <f aca="false">IF(GanttView[[#This Row],[_RemFrom]]=0,0,GanttView[[#This Row],[Forecast Finish]])</f>
        <v>0</v>
      </c>
      <c r="S197" s="88" t="b">
        <f aca="false">IF(IFERROR(INDEX(tsk_Name,GanttView[[#This Row],[_Row]])="",TRUE()),FALSE(),N(INDEX(tsk_Variance,GanttView[[#This Row],[_Row]]))&gt;0)</f>
        <v>0</v>
      </c>
      <c r="T197" s="89" t="n">
        <f aca="false">IF(IFERROR(INDEX(tsk_Name,GanttView[[#This Row],[_Row]])="",TRUE()),0,N(INDEX(tsk_Deadline,GanttView[[#This Row],[_Row]])))</f>
        <v>0</v>
      </c>
      <c r="U197" s="88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83" t="str">
        <f aca="false">IF(IFERROR(INDEX(tsk_Name,GanttView[[#This Row],[_Row]])="",TRUE()),"",INDEX(tsk_ID,GanttView[[#This Row],[_Row]]))</f>
        <v/>
      </c>
      <c r="B198" s="83" t="str">
        <f aca="false">IF(IFERROR(INDEX(tsk_Name,GanttView[[#This Row],[_Row]])="",TRUE()),"",INDEX(tsk_WBS,GanttView[[#This Row],[_Row]]))</f>
        <v/>
      </c>
      <c r="C198" s="84" t="str">
        <f aca="false">IF(IFERROR(INDEX(tsk_Name,GanttView[[#This Row],[_Row]])="",TRUE()),"",REPT("    ",INDEX(tsk_Level,GanttView[[#This Row],[_Row]])-1)&amp;INDEX(tsk_Name,GanttView[[#This Row],[_Row]]))</f>
        <v/>
      </c>
      <c r="D198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85" t="str">
        <f aca="false">IF(IFERROR(INDEX(tsk_Name,GanttView[[#This Row],[_Row]])="",TRUE()),"",INDEX(tsk_PlanStart,GanttView[[#This Row],[_Row]]))</f>
        <v/>
      </c>
      <c r="F198" s="85" t="str">
        <f aca="false">IF(IFERROR(INDEX(tsk_Name,GanttView[[#This Row],[_Row]])="",TRUE()),"",INDEX(tsk_PlanFinish,GanttView[[#This Row],[_Row]]))</f>
        <v/>
      </c>
      <c r="G198" s="85" t="str">
        <f aca="false">IF(IFERROR(INDEX(tsk_Name,GanttView[[#This Row],[_Row]])="",TRUE()),"",INDEX(tsk_FcStart,GanttView[[#This Row],[_Row]]))</f>
        <v/>
      </c>
      <c r="H198" s="85" t="str">
        <f aca="false">IF(IFERROR(INDEX(tsk_Name,GanttView[[#This Row],[_Row]])="",TRUE()),"",INDEX(tsk_FcFinish,GanttView[[#This Row],[_Row]]))</f>
        <v/>
      </c>
      <c r="I198" s="86" t="str">
        <f aca="false">IF(IFERROR(INDEX(tsk_Name,GanttView[[#This Row],[_Row]])="",TRUE()),"",INDEX(tsk_Progress,GanttView[[#This Row],[_Row]]))</f>
        <v/>
      </c>
      <c r="J198" s="84" t="str">
        <f aca="false">IF(IFERROR(INDEX(tsk_Name,GanttView[[#This Row],[_Row]])="",TRUE()),"",INDEX(tsk_Resource,GanttView[[#This Row],[_Row]])&amp;"")</f>
        <v/>
      </c>
      <c r="K198" s="83" t="str">
        <f aca="false">IF(IFERROR(INDEX(tsk_Name,GanttView[[#This Row],[_Row]])="",TRUE()),"",INDEX(tsk_Status,GanttView[[#This Row],[_Row]]))</f>
        <v/>
      </c>
      <c r="L198" s="87" t="n">
        <f aca="false">ROW()-ROW(GanttView[[#Headers],[ID]])</f>
        <v>193</v>
      </c>
      <c r="M198" s="88" t="b">
        <f aca="false">IF(IFERROR(INDEX(tsk_Name,GanttView[[#This Row],[_Row]])="",TRUE()),FALSE(),INDEX(tsk_IsSummary,GanttView[[#This Row],[_Row]]))</f>
        <v>0</v>
      </c>
      <c r="N198" s="88" t="b">
        <f aca="false">IF(IFERROR(INDEX(tsk_Name,GanttView[[#This Row],[_Row]])="",TRUE()),FALSE(),AND(INDEX(tsk_IsLeaf,GanttView[[#This Row],[_Row]])=1,N(INDEX(tsk_Duration,GanttView[[#This Row],[_Row]]))=0))</f>
        <v>0</v>
      </c>
      <c r="O198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89" t="n">
        <f aca="false">IF(GanttView[[#This Row],[_RemFrom]]=0,0,GanttView[[#This Row],[Forecast Finish]])</f>
        <v>0</v>
      </c>
      <c r="S198" s="88" t="b">
        <f aca="false">IF(IFERROR(INDEX(tsk_Name,GanttView[[#This Row],[_Row]])="",TRUE()),FALSE(),N(INDEX(tsk_Variance,GanttView[[#This Row],[_Row]]))&gt;0)</f>
        <v>0</v>
      </c>
      <c r="T198" s="89" t="n">
        <f aca="false">IF(IFERROR(INDEX(tsk_Name,GanttView[[#This Row],[_Row]])="",TRUE()),0,N(INDEX(tsk_Deadline,GanttView[[#This Row],[_Row]])))</f>
        <v>0</v>
      </c>
      <c r="U198" s="88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83" t="str">
        <f aca="false">IF(IFERROR(INDEX(tsk_Name,GanttView[[#This Row],[_Row]])="",TRUE()),"",INDEX(tsk_ID,GanttView[[#This Row],[_Row]]))</f>
        <v/>
      </c>
      <c r="B199" s="83" t="str">
        <f aca="false">IF(IFERROR(INDEX(tsk_Name,GanttView[[#This Row],[_Row]])="",TRUE()),"",INDEX(tsk_WBS,GanttView[[#This Row],[_Row]]))</f>
        <v/>
      </c>
      <c r="C199" s="84" t="str">
        <f aca="false">IF(IFERROR(INDEX(tsk_Name,GanttView[[#This Row],[_Row]])="",TRUE()),"",REPT("    ",INDEX(tsk_Level,GanttView[[#This Row],[_Row]])-1)&amp;INDEX(tsk_Name,GanttView[[#This Row],[_Row]]))</f>
        <v/>
      </c>
      <c r="D199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85" t="str">
        <f aca="false">IF(IFERROR(INDEX(tsk_Name,GanttView[[#This Row],[_Row]])="",TRUE()),"",INDEX(tsk_PlanStart,GanttView[[#This Row],[_Row]]))</f>
        <v/>
      </c>
      <c r="F199" s="85" t="str">
        <f aca="false">IF(IFERROR(INDEX(tsk_Name,GanttView[[#This Row],[_Row]])="",TRUE()),"",INDEX(tsk_PlanFinish,GanttView[[#This Row],[_Row]]))</f>
        <v/>
      </c>
      <c r="G199" s="85" t="str">
        <f aca="false">IF(IFERROR(INDEX(tsk_Name,GanttView[[#This Row],[_Row]])="",TRUE()),"",INDEX(tsk_FcStart,GanttView[[#This Row],[_Row]]))</f>
        <v/>
      </c>
      <c r="H199" s="85" t="str">
        <f aca="false">IF(IFERROR(INDEX(tsk_Name,GanttView[[#This Row],[_Row]])="",TRUE()),"",INDEX(tsk_FcFinish,GanttView[[#This Row],[_Row]]))</f>
        <v/>
      </c>
      <c r="I199" s="86" t="str">
        <f aca="false">IF(IFERROR(INDEX(tsk_Name,GanttView[[#This Row],[_Row]])="",TRUE()),"",INDEX(tsk_Progress,GanttView[[#This Row],[_Row]]))</f>
        <v/>
      </c>
      <c r="J199" s="84" t="str">
        <f aca="false">IF(IFERROR(INDEX(tsk_Name,GanttView[[#This Row],[_Row]])="",TRUE()),"",INDEX(tsk_Resource,GanttView[[#This Row],[_Row]])&amp;"")</f>
        <v/>
      </c>
      <c r="K199" s="83" t="str">
        <f aca="false">IF(IFERROR(INDEX(tsk_Name,GanttView[[#This Row],[_Row]])="",TRUE()),"",INDEX(tsk_Status,GanttView[[#This Row],[_Row]]))</f>
        <v/>
      </c>
      <c r="L199" s="87" t="n">
        <f aca="false">ROW()-ROW(GanttView[[#Headers],[ID]])</f>
        <v>194</v>
      </c>
      <c r="M199" s="88" t="b">
        <f aca="false">IF(IFERROR(INDEX(tsk_Name,GanttView[[#This Row],[_Row]])="",TRUE()),FALSE(),INDEX(tsk_IsSummary,GanttView[[#This Row],[_Row]]))</f>
        <v>0</v>
      </c>
      <c r="N199" s="88" t="b">
        <f aca="false">IF(IFERROR(INDEX(tsk_Name,GanttView[[#This Row],[_Row]])="",TRUE()),FALSE(),AND(INDEX(tsk_IsLeaf,GanttView[[#This Row],[_Row]])=1,N(INDEX(tsk_Duration,GanttView[[#This Row],[_Row]]))=0))</f>
        <v>0</v>
      </c>
      <c r="O199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89" t="n">
        <f aca="false">IF(GanttView[[#This Row],[_RemFrom]]=0,0,GanttView[[#This Row],[Forecast Finish]])</f>
        <v>0</v>
      </c>
      <c r="S199" s="88" t="b">
        <f aca="false">IF(IFERROR(INDEX(tsk_Name,GanttView[[#This Row],[_Row]])="",TRUE()),FALSE(),N(INDEX(tsk_Variance,GanttView[[#This Row],[_Row]]))&gt;0)</f>
        <v>0</v>
      </c>
      <c r="T199" s="89" t="n">
        <f aca="false">IF(IFERROR(INDEX(tsk_Name,GanttView[[#This Row],[_Row]])="",TRUE()),0,N(INDEX(tsk_Deadline,GanttView[[#This Row],[_Row]])))</f>
        <v>0</v>
      </c>
      <c r="U199" s="88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83" t="str">
        <f aca="false">IF(IFERROR(INDEX(tsk_Name,GanttView[[#This Row],[_Row]])="",TRUE()),"",INDEX(tsk_ID,GanttView[[#This Row],[_Row]]))</f>
        <v/>
      </c>
      <c r="B200" s="83" t="str">
        <f aca="false">IF(IFERROR(INDEX(tsk_Name,GanttView[[#This Row],[_Row]])="",TRUE()),"",INDEX(tsk_WBS,GanttView[[#This Row],[_Row]]))</f>
        <v/>
      </c>
      <c r="C200" s="84" t="str">
        <f aca="false">IF(IFERROR(INDEX(tsk_Name,GanttView[[#This Row],[_Row]])="",TRUE()),"",REPT("    ",INDEX(tsk_Level,GanttView[[#This Row],[_Row]])-1)&amp;INDEX(tsk_Name,GanttView[[#This Row],[_Row]]))</f>
        <v/>
      </c>
      <c r="D200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85" t="str">
        <f aca="false">IF(IFERROR(INDEX(tsk_Name,GanttView[[#This Row],[_Row]])="",TRUE()),"",INDEX(tsk_PlanStart,GanttView[[#This Row],[_Row]]))</f>
        <v/>
      </c>
      <c r="F200" s="85" t="str">
        <f aca="false">IF(IFERROR(INDEX(tsk_Name,GanttView[[#This Row],[_Row]])="",TRUE()),"",INDEX(tsk_PlanFinish,GanttView[[#This Row],[_Row]]))</f>
        <v/>
      </c>
      <c r="G200" s="85" t="str">
        <f aca="false">IF(IFERROR(INDEX(tsk_Name,GanttView[[#This Row],[_Row]])="",TRUE()),"",INDEX(tsk_FcStart,GanttView[[#This Row],[_Row]]))</f>
        <v/>
      </c>
      <c r="H200" s="85" t="str">
        <f aca="false">IF(IFERROR(INDEX(tsk_Name,GanttView[[#This Row],[_Row]])="",TRUE()),"",INDEX(tsk_FcFinish,GanttView[[#This Row],[_Row]]))</f>
        <v/>
      </c>
      <c r="I200" s="86" t="str">
        <f aca="false">IF(IFERROR(INDEX(tsk_Name,GanttView[[#This Row],[_Row]])="",TRUE()),"",INDEX(tsk_Progress,GanttView[[#This Row],[_Row]]))</f>
        <v/>
      </c>
      <c r="J200" s="84" t="str">
        <f aca="false">IF(IFERROR(INDEX(tsk_Name,GanttView[[#This Row],[_Row]])="",TRUE()),"",INDEX(tsk_Resource,GanttView[[#This Row],[_Row]])&amp;"")</f>
        <v/>
      </c>
      <c r="K200" s="83" t="str">
        <f aca="false">IF(IFERROR(INDEX(tsk_Name,GanttView[[#This Row],[_Row]])="",TRUE()),"",INDEX(tsk_Status,GanttView[[#This Row],[_Row]]))</f>
        <v/>
      </c>
      <c r="L200" s="87" t="n">
        <f aca="false">ROW()-ROW(GanttView[[#Headers],[ID]])</f>
        <v>195</v>
      </c>
      <c r="M200" s="88" t="b">
        <f aca="false">IF(IFERROR(INDEX(tsk_Name,GanttView[[#This Row],[_Row]])="",TRUE()),FALSE(),INDEX(tsk_IsSummary,GanttView[[#This Row],[_Row]]))</f>
        <v>0</v>
      </c>
      <c r="N200" s="88" t="b">
        <f aca="false">IF(IFERROR(INDEX(tsk_Name,GanttView[[#This Row],[_Row]])="",TRUE()),FALSE(),AND(INDEX(tsk_IsLeaf,GanttView[[#This Row],[_Row]])=1,N(INDEX(tsk_Duration,GanttView[[#This Row],[_Row]]))=0))</f>
        <v>0</v>
      </c>
      <c r="O200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89" t="n">
        <f aca="false">IF(GanttView[[#This Row],[_RemFrom]]=0,0,GanttView[[#This Row],[Forecast Finish]])</f>
        <v>0</v>
      </c>
      <c r="S200" s="88" t="b">
        <f aca="false">IF(IFERROR(INDEX(tsk_Name,GanttView[[#This Row],[_Row]])="",TRUE()),FALSE(),N(INDEX(tsk_Variance,GanttView[[#This Row],[_Row]]))&gt;0)</f>
        <v>0</v>
      </c>
      <c r="T200" s="89" t="n">
        <f aca="false">IF(IFERROR(INDEX(tsk_Name,GanttView[[#This Row],[_Row]])="",TRUE()),0,N(INDEX(tsk_Deadline,GanttView[[#This Row],[_Row]])))</f>
        <v>0</v>
      </c>
      <c r="U200" s="88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83" t="str">
        <f aca="false">IF(IFERROR(INDEX(tsk_Name,GanttView[[#This Row],[_Row]])="",TRUE()),"",INDEX(tsk_ID,GanttView[[#This Row],[_Row]]))</f>
        <v/>
      </c>
      <c r="B201" s="83" t="str">
        <f aca="false">IF(IFERROR(INDEX(tsk_Name,GanttView[[#This Row],[_Row]])="",TRUE()),"",INDEX(tsk_WBS,GanttView[[#This Row],[_Row]]))</f>
        <v/>
      </c>
      <c r="C201" s="84" t="str">
        <f aca="false">IF(IFERROR(INDEX(tsk_Name,GanttView[[#This Row],[_Row]])="",TRUE()),"",REPT("    ",INDEX(tsk_Level,GanttView[[#This Row],[_Row]])-1)&amp;INDEX(tsk_Name,GanttView[[#This Row],[_Row]]))</f>
        <v/>
      </c>
      <c r="D201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85" t="str">
        <f aca="false">IF(IFERROR(INDEX(tsk_Name,GanttView[[#This Row],[_Row]])="",TRUE()),"",INDEX(tsk_PlanStart,GanttView[[#This Row],[_Row]]))</f>
        <v/>
      </c>
      <c r="F201" s="85" t="str">
        <f aca="false">IF(IFERROR(INDEX(tsk_Name,GanttView[[#This Row],[_Row]])="",TRUE()),"",INDEX(tsk_PlanFinish,GanttView[[#This Row],[_Row]]))</f>
        <v/>
      </c>
      <c r="G201" s="85" t="str">
        <f aca="false">IF(IFERROR(INDEX(tsk_Name,GanttView[[#This Row],[_Row]])="",TRUE()),"",INDEX(tsk_FcStart,GanttView[[#This Row],[_Row]]))</f>
        <v/>
      </c>
      <c r="H201" s="85" t="str">
        <f aca="false">IF(IFERROR(INDEX(tsk_Name,GanttView[[#This Row],[_Row]])="",TRUE()),"",INDEX(tsk_FcFinish,GanttView[[#This Row],[_Row]]))</f>
        <v/>
      </c>
      <c r="I201" s="86" t="str">
        <f aca="false">IF(IFERROR(INDEX(tsk_Name,GanttView[[#This Row],[_Row]])="",TRUE()),"",INDEX(tsk_Progress,GanttView[[#This Row],[_Row]]))</f>
        <v/>
      </c>
      <c r="J201" s="84" t="str">
        <f aca="false">IF(IFERROR(INDEX(tsk_Name,GanttView[[#This Row],[_Row]])="",TRUE()),"",INDEX(tsk_Resource,GanttView[[#This Row],[_Row]])&amp;"")</f>
        <v/>
      </c>
      <c r="K201" s="83" t="str">
        <f aca="false">IF(IFERROR(INDEX(tsk_Name,GanttView[[#This Row],[_Row]])="",TRUE()),"",INDEX(tsk_Status,GanttView[[#This Row],[_Row]]))</f>
        <v/>
      </c>
      <c r="L201" s="87" t="n">
        <f aca="false">ROW()-ROW(GanttView[[#Headers],[ID]])</f>
        <v>196</v>
      </c>
      <c r="M201" s="88" t="b">
        <f aca="false">IF(IFERROR(INDEX(tsk_Name,GanttView[[#This Row],[_Row]])="",TRUE()),FALSE(),INDEX(tsk_IsSummary,GanttView[[#This Row],[_Row]]))</f>
        <v>0</v>
      </c>
      <c r="N201" s="88" t="b">
        <f aca="false">IF(IFERROR(INDEX(tsk_Name,GanttView[[#This Row],[_Row]])="",TRUE()),FALSE(),AND(INDEX(tsk_IsLeaf,GanttView[[#This Row],[_Row]])=1,N(INDEX(tsk_Duration,GanttView[[#This Row],[_Row]]))=0))</f>
        <v>0</v>
      </c>
      <c r="O201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89" t="n">
        <f aca="false">IF(GanttView[[#This Row],[_RemFrom]]=0,0,GanttView[[#This Row],[Forecast Finish]])</f>
        <v>0</v>
      </c>
      <c r="S201" s="88" t="b">
        <f aca="false">IF(IFERROR(INDEX(tsk_Name,GanttView[[#This Row],[_Row]])="",TRUE()),FALSE(),N(INDEX(tsk_Variance,GanttView[[#This Row],[_Row]]))&gt;0)</f>
        <v>0</v>
      </c>
      <c r="T201" s="89" t="n">
        <f aca="false">IF(IFERROR(INDEX(tsk_Name,GanttView[[#This Row],[_Row]])="",TRUE()),0,N(INDEX(tsk_Deadline,GanttView[[#This Row],[_Row]])))</f>
        <v>0</v>
      </c>
      <c r="U201" s="88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83" t="str">
        <f aca="false">IF(IFERROR(INDEX(tsk_Name,GanttView[[#This Row],[_Row]])="",TRUE()),"",INDEX(tsk_ID,GanttView[[#This Row],[_Row]]))</f>
        <v/>
      </c>
      <c r="B202" s="83" t="str">
        <f aca="false">IF(IFERROR(INDEX(tsk_Name,GanttView[[#This Row],[_Row]])="",TRUE()),"",INDEX(tsk_WBS,GanttView[[#This Row],[_Row]]))</f>
        <v/>
      </c>
      <c r="C202" s="84" t="str">
        <f aca="false">IF(IFERROR(INDEX(tsk_Name,GanttView[[#This Row],[_Row]])="",TRUE()),"",REPT("    ",INDEX(tsk_Level,GanttView[[#This Row],[_Row]])-1)&amp;INDEX(tsk_Name,GanttView[[#This Row],[_Row]]))</f>
        <v/>
      </c>
      <c r="D202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85" t="str">
        <f aca="false">IF(IFERROR(INDEX(tsk_Name,GanttView[[#This Row],[_Row]])="",TRUE()),"",INDEX(tsk_PlanStart,GanttView[[#This Row],[_Row]]))</f>
        <v/>
      </c>
      <c r="F202" s="85" t="str">
        <f aca="false">IF(IFERROR(INDEX(tsk_Name,GanttView[[#This Row],[_Row]])="",TRUE()),"",INDEX(tsk_PlanFinish,GanttView[[#This Row],[_Row]]))</f>
        <v/>
      </c>
      <c r="G202" s="85" t="str">
        <f aca="false">IF(IFERROR(INDEX(tsk_Name,GanttView[[#This Row],[_Row]])="",TRUE()),"",INDEX(tsk_FcStart,GanttView[[#This Row],[_Row]]))</f>
        <v/>
      </c>
      <c r="H202" s="85" t="str">
        <f aca="false">IF(IFERROR(INDEX(tsk_Name,GanttView[[#This Row],[_Row]])="",TRUE()),"",INDEX(tsk_FcFinish,GanttView[[#This Row],[_Row]]))</f>
        <v/>
      </c>
      <c r="I202" s="86" t="str">
        <f aca="false">IF(IFERROR(INDEX(tsk_Name,GanttView[[#This Row],[_Row]])="",TRUE()),"",INDEX(tsk_Progress,GanttView[[#This Row],[_Row]]))</f>
        <v/>
      </c>
      <c r="J202" s="84" t="str">
        <f aca="false">IF(IFERROR(INDEX(tsk_Name,GanttView[[#This Row],[_Row]])="",TRUE()),"",INDEX(tsk_Resource,GanttView[[#This Row],[_Row]])&amp;"")</f>
        <v/>
      </c>
      <c r="K202" s="83" t="str">
        <f aca="false">IF(IFERROR(INDEX(tsk_Name,GanttView[[#This Row],[_Row]])="",TRUE()),"",INDEX(tsk_Status,GanttView[[#This Row],[_Row]]))</f>
        <v/>
      </c>
      <c r="L202" s="87" t="n">
        <f aca="false">ROW()-ROW(GanttView[[#Headers],[ID]])</f>
        <v>197</v>
      </c>
      <c r="M202" s="88" t="b">
        <f aca="false">IF(IFERROR(INDEX(tsk_Name,GanttView[[#This Row],[_Row]])="",TRUE()),FALSE(),INDEX(tsk_IsSummary,GanttView[[#This Row],[_Row]]))</f>
        <v>0</v>
      </c>
      <c r="N202" s="88" t="b">
        <f aca="false">IF(IFERROR(INDEX(tsk_Name,GanttView[[#This Row],[_Row]])="",TRUE()),FALSE(),AND(INDEX(tsk_IsLeaf,GanttView[[#This Row],[_Row]])=1,N(INDEX(tsk_Duration,GanttView[[#This Row],[_Row]]))=0))</f>
        <v>0</v>
      </c>
      <c r="O202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89" t="n">
        <f aca="false">IF(GanttView[[#This Row],[_RemFrom]]=0,0,GanttView[[#This Row],[Forecast Finish]])</f>
        <v>0</v>
      </c>
      <c r="S202" s="88" t="b">
        <f aca="false">IF(IFERROR(INDEX(tsk_Name,GanttView[[#This Row],[_Row]])="",TRUE()),FALSE(),N(INDEX(tsk_Variance,GanttView[[#This Row],[_Row]]))&gt;0)</f>
        <v>0</v>
      </c>
      <c r="T202" s="89" t="n">
        <f aca="false">IF(IFERROR(INDEX(tsk_Name,GanttView[[#This Row],[_Row]])="",TRUE()),0,N(INDEX(tsk_Deadline,GanttView[[#This Row],[_Row]])))</f>
        <v>0</v>
      </c>
      <c r="U202" s="88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83" t="str">
        <f aca="false">IF(IFERROR(INDEX(tsk_Name,GanttView[[#This Row],[_Row]])="",TRUE()),"",INDEX(tsk_ID,GanttView[[#This Row],[_Row]]))</f>
        <v/>
      </c>
      <c r="B203" s="83" t="str">
        <f aca="false">IF(IFERROR(INDEX(tsk_Name,GanttView[[#This Row],[_Row]])="",TRUE()),"",INDEX(tsk_WBS,GanttView[[#This Row],[_Row]]))</f>
        <v/>
      </c>
      <c r="C203" s="84" t="str">
        <f aca="false">IF(IFERROR(INDEX(tsk_Name,GanttView[[#This Row],[_Row]])="",TRUE()),"",REPT("    ",INDEX(tsk_Level,GanttView[[#This Row],[_Row]])-1)&amp;INDEX(tsk_Name,GanttView[[#This Row],[_Row]]))</f>
        <v/>
      </c>
      <c r="D203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85" t="str">
        <f aca="false">IF(IFERROR(INDEX(tsk_Name,GanttView[[#This Row],[_Row]])="",TRUE()),"",INDEX(tsk_PlanStart,GanttView[[#This Row],[_Row]]))</f>
        <v/>
      </c>
      <c r="F203" s="85" t="str">
        <f aca="false">IF(IFERROR(INDEX(tsk_Name,GanttView[[#This Row],[_Row]])="",TRUE()),"",INDEX(tsk_PlanFinish,GanttView[[#This Row],[_Row]]))</f>
        <v/>
      </c>
      <c r="G203" s="85" t="str">
        <f aca="false">IF(IFERROR(INDEX(tsk_Name,GanttView[[#This Row],[_Row]])="",TRUE()),"",INDEX(tsk_FcStart,GanttView[[#This Row],[_Row]]))</f>
        <v/>
      </c>
      <c r="H203" s="85" t="str">
        <f aca="false">IF(IFERROR(INDEX(tsk_Name,GanttView[[#This Row],[_Row]])="",TRUE()),"",INDEX(tsk_FcFinish,GanttView[[#This Row],[_Row]]))</f>
        <v/>
      </c>
      <c r="I203" s="86" t="str">
        <f aca="false">IF(IFERROR(INDEX(tsk_Name,GanttView[[#This Row],[_Row]])="",TRUE()),"",INDEX(tsk_Progress,GanttView[[#This Row],[_Row]]))</f>
        <v/>
      </c>
      <c r="J203" s="84" t="str">
        <f aca="false">IF(IFERROR(INDEX(tsk_Name,GanttView[[#This Row],[_Row]])="",TRUE()),"",INDEX(tsk_Resource,GanttView[[#This Row],[_Row]])&amp;"")</f>
        <v/>
      </c>
      <c r="K203" s="83" t="str">
        <f aca="false">IF(IFERROR(INDEX(tsk_Name,GanttView[[#This Row],[_Row]])="",TRUE()),"",INDEX(tsk_Status,GanttView[[#This Row],[_Row]]))</f>
        <v/>
      </c>
      <c r="L203" s="87" t="n">
        <f aca="false">ROW()-ROW(GanttView[[#Headers],[ID]])</f>
        <v>198</v>
      </c>
      <c r="M203" s="88" t="b">
        <f aca="false">IF(IFERROR(INDEX(tsk_Name,GanttView[[#This Row],[_Row]])="",TRUE()),FALSE(),INDEX(tsk_IsSummary,GanttView[[#This Row],[_Row]]))</f>
        <v>0</v>
      </c>
      <c r="N203" s="88" t="b">
        <f aca="false">IF(IFERROR(INDEX(tsk_Name,GanttView[[#This Row],[_Row]])="",TRUE()),FALSE(),AND(INDEX(tsk_IsLeaf,GanttView[[#This Row],[_Row]])=1,N(INDEX(tsk_Duration,GanttView[[#This Row],[_Row]]))=0))</f>
        <v>0</v>
      </c>
      <c r="O203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89" t="n">
        <f aca="false">IF(GanttView[[#This Row],[_RemFrom]]=0,0,GanttView[[#This Row],[Forecast Finish]])</f>
        <v>0</v>
      </c>
      <c r="S203" s="88" t="b">
        <f aca="false">IF(IFERROR(INDEX(tsk_Name,GanttView[[#This Row],[_Row]])="",TRUE()),FALSE(),N(INDEX(tsk_Variance,GanttView[[#This Row],[_Row]]))&gt;0)</f>
        <v>0</v>
      </c>
      <c r="T203" s="89" t="n">
        <f aca="false">IF(IFERROR(INDEX(tsk_Name,GanttView[[#This Row],[_Row]])="",TRUE()),0,N(INDEX(tsk_Deadline,GanttView[[#This Row],[_Row]])))</f>
        <v>0</v>
      </c>
      <c r="U203" s="88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83" t="str">
        <f aca="false">IF(IFERROR(INDEX(tsk_Name,GanttView[[#This Row],[_Row]])="",TRUE()),"",INDEX(tsk_ID,GanttView[[#This Row],[_Row]]))</f>
        <v/>
      </c>
      <c r="B204" s="83" t="str">
        <f aca="false">IF(IFERROR(INDEX(tsk_Name,GanttView[[#This Row],[_Row]])="",TRUE()),"",INDEX(tsk_WBS,GanttView[[#This Row],[_Row]]))</f>
        <v/>
      </c>
      <c r="C204" s="84" t="str">
        <f aca="false">IF(IFERROR(INDEX(tsk_Name,GanttView[[#This Row],[_Row]])="",TRUE()),"",REPT("    ",INDEX(tsk_Level,GanttView[[#This Row],[_Row]])-1)&amp;INDEX(tsk_Name,GanttView[[#This Row],[_Row]]))</f>
        <v/>
      </c>
      <c r="D204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85" t="str">
        <f aca="false">IF(IFERROR(INDEX(tsk_Name,GanttView[[#This Row],[_Row]])="",TRUE()),"",INDEX(tsk_PlanStart,GanttView[[#This Row],[_Row]]))</f>
        <v/>
      </c>
      <c r="F204" s="85" t="str">
        <f aca="false">IF(IFERROR(INDEX(tsk_Name,GanttView[[#This Row],[_Row]])="",TRUE()),"",INDEX(tsk_PlanFinish,GanttView[[#This Row],[_Row]]))</f>
        <v/>
      </c>
      <c r="G204" s="85" t="str">
        <f aca="false">IF(IFERROR(INDEX(tsk_Name,GanttView[[#This Row],[_Row]])="",TRUE()),"",INDEX(tsk_FcStart,GanttView[[#This Row],[_Row]]))</f>
        <v/>
      </c>
      <c r="H204" s="85" t="str">
        <f aca="false">IF(IFERROR(INDEX(tsk_Name,GanttView[[#This Row],[_Row]])="",TRUE()),"",INDEX(tsk_FcFinish,GanttView[[#This Row],[_Row]]))</f>
        <v/>
      </c>
      <c r="I204" s="86" t="str">
        <f aca="false">IF(IFERROR(INDEX(tsk_Name,GanttView[[#This Row],[_Row]])="",TRUE()),"",INDEX(tsk_Progress,GanttView[[#This Row],[_Row]]))</f>
        <v/>
      </c>
      <c r="J204" s="84" t="str">
        <f aca="false">IF(IFERROR(INDEX(tsk_Name,GanttView[[#This Row],[_Row]])="",TRUE()),"",INDEX(tsk_Resource,GanttView[[#This Row],[_Row]])&amp;"")</f>
        <v/>
      </c>
      <c r="K204" s="83" t="str">
        <f aca="false">IF(IFERROR(INDEX(tsk_Name,GanttView[[#This Row],[_Row]])="",TRUE()),"",INDEX(tsk_Status,GanttView[[#This Row],[_Row]]))</f>
        <v/>
      </c>
      <c r="L204" s="87" t="n">
        <f aca="false">ROW()-ROW(GanttView[[#Headers],[ID]])</f>
        <v>199</v>
      </c>
      <c r="M204" s="88" t="b">
        <f aca="false">IF(IFERROR(INDEX(tsk_Name,GanttView[[#This Row],[_Row]])="",TRUE()),FALSE(),INDEX(tsk_IsSummary,GanttView[[#This Row],[_Row]]))</f>
        <v>0</v>
      </c>
      <c r="N204" s="88" t="b">
        <f aca="false">IF(IFERROR(INDEX(tsk_Name,GanttView[[#This Row],[_Row]])="",TRUE()),FALSE(),AND(INDEX(tsk_IsLeaf,GanttView[[#This Row],[_Row]])=1,N(INDEX(tsk_Duration,GanttView[[#This Row],[_Row]]))=0))</f>
        <v>0</v>
      </c>
      <c r="O204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89" t="n">
        <f aca="false">IF(GanttView[[#This Row],[_RemFrom]]=0,0,GanttView[[#This Row],[Forecast Finish]])</f>
        <v>0</v>
      </c>
      <c r="S204" s="88" t="b">
        <f aca="false">IF(IFERROR(INDEX(tsk_Name,GanttView[[#This Row],[_Row]])="",TRUE()),FALSE(),N(INDEX(tsk_Variance,GanttView[[#This Row],[_Row]]))&gt;0)</f>
        <v>0</v>
      </c>
      <c r="T204" s="89" t="n">
        <f aca="false">IF(IFERROR(INDEX(tsk_Name,GanttView[[#This Row],[_Row]])="",TRUE()),0,N(INDEX(tsk_Deadline,GanttView[[#This Row],[_Row]])))</f>
        <v>0</v>
      </c>
      <c r="U204" s="88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83" t="str">
        <f aca="false">IF(IFERROR(INDEX(tsk_Name,GanttView[[#This Row],[_Row]])="",TRUE()),"",INDEX(tsk_ID,GanttView[[#This Row],[_Row]]))</f>
        <v/>
      </c>
      <c r="B205" s="83" t="str">
        <f aca="false">IF(IFERROR(INDEX(tsk_Name,GanttView[[#This Row],[_Row]])="",TRUE()),"",INDEX(tsk_WBS,GanttView[[#This Row],[_Row]]))</f>
        <v/>
      </c>
      <c r="C205" s="84" t="str">
        <f aca="false">IF(IFERROR(INDEX(tsk_Name,GanttView[[#This Row],[_Row]])="",TRUE()),"",REPT("    ",INDEX(tsk_Level,GanttView[[#This Row],[_Row]])-1)&amp;INDEX(tsk_Name,GanttView[[#This Row],[_Row]]))</f>
        <v/>
      </c>
      <c r="D205" s="8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85" t="str">
        <f aca="false">IF(IFERROR(INDEX(tsk_Name,GanttView[[#This Row],[_Row]])="",TRUE()),"",INDEX(tsk_PlanStart,GanttView[[#This Row],[_Row]]))</f>
        <v/>
      </c>
      <c r="F205" s="85" t="str">
        <f aca="false">IF(IFERROR(INDEX(tsk_Name,GanttView[[#This Row],[_Row]])="",TRUE()),"",INDEX(tsk_PlanFinish,GanttView[[#This Row],[_Row]]))</f>
        <v/>
      </c>
      <c r="G205" s="85" t="str">
        <f aca="false">IF(IFERROR(INDEX(tsk_Name,GanttView[[#This Row],[_Row]])="",TRUE()),"",INDEX(tsk_FcStart,GanttView[[#This Row],[_Row]]))</f>
        <v/>
      </c>
      <c r="H205" s="85" t="str">
        <f aca="false">IF(IFERROR(INDEX(tsk_Name,GanttView[[#This Row],[_Row]])="",TRUE()),"",INDEX(tsk_FcFinish,GanttView[[#This Row],[_Row]]))</f>
        <v/>
      </c>
      <c r="I205" s="86" t="str">
        <f aca="false">IF(IFERROR(INDEX(tsk_Name,GanttView[[#This Row],[_Row]])="",TRUE()),"",INDEX(tsk_Progress,GanttView[[#This Row],[_Row]]))</f>
        <v/>
      </c>
      <c r="J205" s="84" t="str">
        <f aca="false">IF(IFERROR(INDEX(tsk_Name,GanttView[[#This Row],[_Row]])="",TRUE()),"",INDEX(tsk_Resource,GanttView[[#This Row],[_Row]])&amp;"")</f>
        <v/>
      </c>
      <c r="K205" s="83" t="str">
        <f aca="false">IF(IFERROR(INDEX(tsk_Name,GanttView[[#This Row],[_Row]])="",TRUE()),"",INDEX(tsk_Status,GanttView[[#This Row],[_Row]]))</f>
        <v/>
      </c>
      <c r="L205" s="87" t="n">
        <f aca="false">ROW()-ROW(GanttView[[#Headers],[ID]])</f>
        <v>200</v>
      </c>
      <c r="M205" s="88" t="b">
        <f aca="false">IF(IFERROR(INDEX(tsk_Name,GanttView[[#This Row],[_Row]])="",TRUE()),FALSE(),INDEX(tsk_IsSummary,GanttView[[#This Row],[_Row]]))</f>
        <v>0</v>
      </c>
      <c r="N205" s="88" t="b">
        <f aca="false">IF(IFERROR(INDEX(tsk_Name,GanttView[[#This Row],[_Row]])="",TRUE()),FALSE(),AND(INDEX(tsk_IsLeaf,GanttView[[#This Row],[_Row]])=1,N(INDEX(tsk_Duration,GanttView[[#This Row],[_Row]]))=0))</f>
        <v>0</v>
      </c>
      <c r="O205" s="8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8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8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89" t="n">
        <f aca="false">IF(GanttView[[#This Row],[_RemFrom]]=0,0,GanttView[[#This Row],[Forecast Finish]])</f>
        <v>0</v>
      </c>
      <c r="S205" s="88" t="b">
        <f aca="false">IF(IFERROR(INDEX(tsk_Name,GanttView[[#This Row],[_Row]])="",TRUE()),FALSE(),N(INDEX(tsk_Variance,GanttView[[#This Row],[_Row]]))&gt;0)</f>
        <v>0</v>
      </c>
      <c r="T205" s="89" t="n">
        <f aca="false">IF(IFERROR(INDEX(tsk_Name,GanttView[[#This Row],[_Row]])="",TRUE()),0,N(INDEX(tsk_Deadline,GanttView[[#This Row],[_Row]])))</f>
        <v>0</v>
      </c>
      <c r="U205" s="88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31">
      <formula>AND($T6&gt;0,$T6&gt;=W$5,$T6&lt;W$5+GanttPeriod)</formula>
    </cfRule>
    <cfRule type="expression" priority="3" aboveAverage="0" equalAverage="0" bottom="0" percent="0" rank="0" text="" dxfId="32">
      <formula>AND($M6,AND($G6&gt;0,W$5&lt;=$H6,W$5+GanttPeriod-1&gt;=$G6))</formula>
    </cfRule>
    <cfRule type="expression" priority="4" aboveAverage="0" equalAverage="0" bottom="0" percent="0" rank="0" text="" dxfId="33">
      <formula>AND($N6,AND($G6&gt;0,$G6&gt;=W$5,$G6&lt;W$5+GanttPeriod))</formula>
    </cfRule>
    <cfRule type="expression" priority="5" aboveAverage="0" equalAverage="0" bottom="0" percent="0" rank="0" text="" dxfId="34">
      <formula>AND($O6&gt;0,W$5&lt;=$P6,W$5+GanttPeriod-1&gt;=$O6)</formula>
    </cfRule>
    <cfRule type="expression" priority="6" aboveAverage="0" equalAverage="0" bottom="0" percent="0" rank="0" text="" dxfId="35">
      <formula>AND($U6,AND($Q6&gt;0,W$5&lt;=$R6,W$5+GanttPeriod-1&gt;=$Q6))</formula>
    </cfRule>
    <cfRule type="expression" priority="7" aboveAverage="0" equalAverage="0" bottom="0" percent="0" rank="0" text="" dxfId="36">
      <formula>AND($S6,AND($Q6&gt;0,W$5&lt;=$R6,W$5+GanttPeriod-1&gt;=$Q6))</formula>
    </cfRule>
    <cfRule type="expression" priority="8" aboveAverage="0" equalAverage="0" bottom="0" percent="0" rank="0" text="" dxfId="37">
      <formula>AND($Q6&gt;0,W$5&lt;=$R6,W$5+GanttPeriod-1&gt;=$Q6)</formula>
    </cfRule>
    <cfRule type="expression" priority="9" aboveAverage="0" equalAverage="0" bottom="0" percent="0" rank="0" text="" dxfId="38">
      <formula>AND(ISNUMBER($E6),AND($E6&gt;0,W$5&lt;=$F6,W$5+GanttPeriod-1&gt;=$E6))</formula>
    </cfRule>
    <cfRule type="expression" priority="10" aboveAverage="0" equalAverage="0" bottom="0" percent="0" rank="0" text="" dxfId="39">
      <formula>AND(StatusDate&gt;0,StatusDate&gt;=W$5,StatusDate&lt;W$5+GanttPeriod)</formula>
    </cfRule>
    <cfRule type="expression" priority="11" aboveAverage="0" equalAverage="0" bottom="0" percent="0" rank="0" text="" dxfId="40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31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23">
      <formula>$M6</formula>
    </cfRule>
  </conditionalFormatting>
  <conditionalFormatting sqref="K6:K205">
    <cfRule type="expression" priority="14" aboveAverage="0" equalAverage="0" bottom="0" percent="0" rank="0" text="" dxfId="12">
      <formula>$K6="Complete"</formula>
    </cfRule>
    <cfRule type="expression" priority="15" aboveAverage="0" equalAverage="0" bottom="0" percent="0" rank="0" text="" dxfId="25">
      <formula>$K6="In Progress"</formula>
    </cfRule>
    <cfRule type="expression" priority="16" aboveAverage="0" equalAverage="0" bottom="0" percent="0" rank="0" text="" dxfId="20">
      <formula>$K6="Behind"</formula>
    </cfRule>
    <cfRule type="expression" priority="17" aboveAverage="0" equalAverage="0" bottom="0" percent="0" rank="0" text="" dxfId="26">
      <formula>$K6="Late Start"</formula>
    </cfRule>
    <cfRule type="expression" priority="18" aboveAverage="0" equalAverage="0" bottom="0" percent="0" rank="0" text="" dxfId="27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26" t="s">
        <v>419</v>
      </c>
    </row>
    <row r="2" customFormat="false" ht="15" hidden="false" customHeight="false" outlineLevel="0" collapsed="false">
      <c r="A2" s="8" t="s">
        <v>420</v>
      </c>
    </row>
    <row r="5" customFormat="false" ht="15" hidden="false" customHeight="false" outlineLevel="0" collapsed="false">
      <c r="B5" s="27" t="s">
        <v>421</v>
      </c>
      <c r="C5" s="27" t="s">
        <v>422</v>
      </c>
      <c r="D5" s="27" t="s">
        <v>423</v>
      </c>
      <c r="E5" s="27" t="s">
        <v>424</v>
      </c>
      <c r="F5" s="27" t="s">
        <v>425</v>
      </c>
      <c r="G5" s="27" t="s">
        <v>426</v>
      </c>
      <c r="H5" s="27" t="s">
        <v>427</v>
      </c>
      <c r="I5" s="9" t="s">
        <v>428</v>
      </c>
      <c r="J5" s="9" t="s">
        <v>325</v>
      </c>
      <c r="K5" s="9" t="s">
        <v>326</v>
      </c>
      <c r="L5" s="9" t="s">
        <v>327</v>
      </c>
      <c r="M5" s="27" t="s">
        <v>156</v>
      </c>
    </row>
    <row r="6" customFormat="false" ht="15" hidden="false" customHeight="false" outlineLevel="0" collapsed="false">
      <c r="B6" s="30"/>
      <c r="C6" s="30"/>
      <c r="D6" s="30"/>
      <c r="E6" s="30"/>
      <c r="F6" s="55"/>
      <c r="G6" s="64"/>
      <c r="H6" s="30"/>
      <c r="I6" s="60" t="str">
        <f aca="false">IF(ResourceTable[[#This Row],[Resource Name]]="","",COUNTIFS(tsk_Resource,ResourceTable[[#This Row],[Resource Name]],tsk_IsLeaf,1))</f>
        <v/>
      </c>
      <c r="J6" s="62" t="str">
        <f aca="false">IF(ResourceTable[[#This Row],[Resource Name]]="","",SUMIFS(tsk_Work,tsk_Resource,ResourceTable[[#This Row],[Resource Name]],tsk_IsLeaf,1))</f>
        <v/>
      </c>
      <c r="K6" s="63" t="str">
        <f aca="false">IF(ResourceTable[[#This Row],[Resource Name]]="","",SUMIFS(tsk_Cost,tsk_Resource,ResourceTable[[#This Row],[Resource Name]],tsk_IsLeaf,1))</f>
        <v/>
      </c>
      <c r="L6" s="63" t="str">
        <f aca="false">IF(ResourceTable[[#This Row],[Resource Name]]="","",SUMIFS(tsk_LeafAC,tsk_Resource,ResourceTable[[#This Row],[Resource Name]]))</f>
        <v/>
      </c>
      <c r="M6" s="30"/>
    </row>
    <row r="7" customFormat="false" ht="15" hidden="false" customHeight="false" outlineLevel="0" collapsed="false">
      <c r="B7" s="30"/>
      <c r="C7" s="30"/>
      <c r="D7" s="30"/>
      <c r="E7" s="30"/>
      <c r="F7" s="55"/>
      <c r="G7" s="64"/>
      <c r="H7" s="30"/>
      <c r="I7" s="60" t="str">
        <f aca="false">IF(ResourceTable[[#This Row],[Resource Name]]="","",COUNTIFS(tsk_Resource,ResourceTable[[#This Row],[Resource Name]],tsk_IsLeaf,1))</f>
        <v/>
      </c>
      <c r="J7" s="62" t="str">
        <f aca="false">IF(ResourceTable[[#This Row],[Resource Name]]="","",SUMIFS(tsk_Work,tsk_Resource,ResourceTable[[#This Row],[Resource Name]],tsk_IsLeaf,1))</f>
        <v/>
      </c>
      <c r="K7" s="63" t="str">
        <f aca="false">IF(ResourceTable[[#This Row],[Resource Name]]="","",SUMIFS(tsk_Cost,tsk_Resource,ResourceTable[[#This Row],[Resource Name]],tsk_IsLeaf,1))</f>
        <v/>
      </c>
      <c r="L7" s="63" t="str">
        <f aca="false">IF(ResourceTable[[#This Row],[Resource Name]]="","",SUMIFS(tsk_LeafAC,tsk_Resource,ResourceTable[[#This Row],[Resource Name]]))</f>
        <v/>
      </c>
      <c r="M7" s="30"/>
    </row>
    <row r="8" customFormat="false" ht="15" hidden="false" customHeight="false" outlineLevel="0" collapsed="false">
      <c r="B8" s="30"/>
      <c r="C8" s="30"/>
      <c r="D8" s="30"/>
      <c r="E8" s="30"/>
      <c r="F8" s="55"/>
      <c r="G8" s="64"/>
      <c r="H8" s="30"/>
      <c r="I8" s="60" t="str">
        <f aca="false">IF(ResourceTable[[#This Row],[Resource Name]]="","",COUNTIFS(tsk_Resource,ResourceTable[[#This Row],[Resource Name]],tsk_IsLeaf,1))</f>
        <v/>
      </c>
      <c r="J8" s="62" t="str">
        <f aca="false">IF(ResourceTable[[#This Row],[Resource Name]]="","",SUMIFS(tsk_Work,tsk_Resource,ResourceTable[[#This Row],[Resource Name]],tsk_IsLeaf,1))</f>
        <v/>
      </c>
      <c r="K8" s="63" t="str">
        <f aca="false">IF(ResourceTable[[#This Row],[Resource Name]]="","",SUMIFS(tsk_Cost,tsk_Resource,ResourceTable[[#This Row],[Resource Name]],tsk_IsLeaf,1))</f>
        <v/>
      </c>
      <c r="L8" s="63" t="str">
        <f aca="false">IF(ResourceTable[[#This Row],[Resource Name]]="","",SUMIFS(tsk_LeafAC,tsk_Resource,ResourceTable[[#This Row],[Resource Name]]))</f>
        <v/>
      </c>
      <c r="M8" s="30"/>
    </row>
    <row r="9" customFormat="false" ht="15" hidden="false" customHeight="false" outlineLevel="0" collapsed="false">
      <c r="B9" s="30"/>
      <c r="C9" s="30"/>
      <c r="D9" s="30"/>
      <c r="E9" s="30"/>
      <c r="F9" s="55"/>
      <c r="G9" s="64"/>
      <c r="H9" s="30"/>
      <c r="I9" s="60" t="str">
        <f aca="false">IF(ResourceTable[[#This Row],[Resource Name]]="","",COUNTIFS(tsk_Resource,ResourceTable[[#This Row],[Resource Name]],tsk_IsLeaf,1))</f>
        <v/>
      </c>
      <c r="J9" s="62" t="str">
        <f aca="false">IF(ResourceTable[[#This Row],[Resource Name]]="","",SUMIFS(tsk_Work,tsk_Resource,ResourceTable[[#This Row],[Resource Name]],tsk_IsLeaf,1))</f>
        <v/>
      </c>
      <c r="K9" s="63" t="str">
        <f aca="false">IF(ResourceTable[[#This Row],[Resource Name]]="","",SUMIFS(tsk_Cost,tsk_Resource,ResourceTable[[#This Row],[Resource Name]],tsk_IsLeaf,1))</f>
        <v/>
      </c>
      <c r="L9" s="63" t="str">
        <f aca="false">IF(ResourceTable[[#This Row],[Resource Name]]="","",SUMIFS(tsk_LeafAC,tsk_Resource,ResourceTable[[#This Row],[Resource Name]]))</f>
        <v/>
      </c>
      <c r="M9" s="30"/>
    </row>
    <row r="10" customFormat="false" ht="15" hidden="false" customHeight="false" outlineLevel="0" collapsed="false">
      <c r="B10" s="30"/>
      <c r="C10" s="30"/>
      <c r="D10" s="30"/>
      <c r="E10" s="30"/>
      <c r="F10" s="55"/>
      <c r="G10" s="64"/>
      <c r="H10" s="30"/>
      <c r="I10" s="60" t="str">
        <f aca="false">IF(ResourceTable[[#This Row],[Resource Name]]="","",COUNTIFS(tsk_Resource,ResourceTable[[#This Row],[Resource Name]],tsk_IsLeaf,1))</f>
        <v/>
      </c>
      <c r="J10" s="62" t="str">
        <f aca="false">IF(ResourceTable[[#This Row],[Resource Name]]="","",SUMIFS(tsk_Work,tsk_Resource,ResourceTable[[#This Row],[Resource Name]],tsk_IsLeaf,1))</f>
        <v/>
      </c>
      <c r="K10" s="63" t="str">
        <f aca="false">IF(ResourceTable[[#This Row],[Resource Name]]="","",SUMIFS(tsk_Cost,tsk_Resource,ResourceTable[[#This Row],[Resource Name]],tsk_IsLeaf,1))</f>
        <v/>
      </c>
      <c r="L10" s="63" t="str">
        <f aca="false">IF(ResourceTable[[#This Row],[Resource Name]]="","",SUMIFS(tsk_LeafAC,tsk_Resource,ResourceTable[[#This Row],[Resource Name]]))</f>
        <v/>
      </c>
      <c r="M10" s="30"/>
    </row>
    <row r="11" customFormat="false" ht="15" hidden="false" customHeight="false" outlineLevel="0" collapsed="false">
      <c r="B11" s="30"/>
      <c r="C11" s="30"/>
      <c r="D11" s="30"/>
      <c r="E11" s="30"/>
      <c r="F11" s="55"/>
      <c r="G11" s="64"/>
      <c r="H11" s="30"/>
      <c r="I11" s="60" t="str">
        <f aca="false">IF(ResourceTable[[#This Row],[Resource Name]]="","",COUNTIFS(tsk_Resource,ResourceTable[[#This Row],[Resource Name]],tsk_IsLeaf,1))</f>
        <v/>
      </c>
      <c r="J11" s="62" t="str">
        <f aca="false">IF(ResourceTable[[#This Row],[Resource Name]]="","",SUMIFS(tsk_Work,tsk_Resource,ResourceTable[[#This Row],[Resource Name]],tsk_IsLeaf,1))</f>
        <v/>
      </c>
      <c r="K11" s="63" t="str">
        <f aca="false">IF(ResourceTable[[#This Row],[Resource Name]]="","",SUMIFS(tsk_Cost,tsk_Resource,ResourceTable[[#This Row],[Resource Name]],tsk_IsLeaf,1))</f>
        <v/>
      </c>
      <c r="L11" s="63" t="str">
        <f aca="false">IF(ResourceTable[[#This Row],[Resource Name]]="","",SUMIFS(tsk_LeafAC,tsk_Resource,ResourceTable[[#This Row],[Resource Name]]))</f>
        <v/>
      </c>
      <c r="M11" s="30"/>
    </row>
    <row r="12" customFormat="false" ht="15" hidden="false" customHeight="false" outlineLevel="0" collapsed="false">
      <c r="B12" s="30"/>
      <c r="C12" s="30"/>
      <c r="D12" s="30"/>
      <c r="E12" s="30"/>
      <c r="F12" s="55"/>
      <c r="G12" s="64"/>
      <c r="H12" s="30"/>
      <c r="I12" s="60" t="str">
        <f aca="false">IF(ResourceTable[[#This Row],[Resource Name]]="","",COUNTIFS(tsk_Resource,ResourceTable[[#This Row],[Resource Name]],tsk_IsLeaf,1))</f>
        <v/>
      </c>
      <c r="J12" s="62" t="str">
        <f aca="false">IF(ResourceTable[[#This Row],[Resource Name]]="","",SUMIFS(tsk_Work,tsk_Resource,ResourceTable[[#This Row],[Resource Name]],tsk_IsLeaf,1))</f>
        <v/>
      </c>
      <c r="K12" s="63" t="str">
        <f aca="false">IF(ResourceTable[[#This Row],[Resource Name]]="","",SUMIFS(tsk_Cost,tsk_Resource,ResourceTable[[#This Row],[Resource Name]],tsk_IsLeaf,1))</f>
        <v/>
      </c>
      <c r="L12" s="63" t="str">
        <f aca="false">IF(ResourceTable[[#This Row],[Resource Name]]="","",SUMIFS(tsk_LeafAC,tsk_Resource,ResourceTable[[#This Row],[Resource Name]]))</f>
        <v/>
      </c>
      <c r="M12" s="30"/>
    </row>
    <row r="13" customFormat="false" ht="15" hidden="false" customHeight="false" outlineLevel="0" collapsed="false">
      <c r="B13" s="30"/>
      <c r="C13" s="30"/>
      <c r="D13" s="30"/>
      <c r="E13" s="30"/>
      <c r="F13" s="55"/>
      <c r="G13" s="64"/>
      <c r="H13" s="30"/>
      <c r="I13" s="60" t="str">
        <f aca="false">IF(ResourceTable[[#This Row],[Resource Name]]="","",COUNTIFS(tsk_Resource,ResourceTable[[#This Row],[Resource Name]],tsk_IsLeaf,1))</f>
        <v/>
      </c>
      <c r="J13" s="62" t="str">
        <f aca="false">IF(ResourceTable[[#This Row],[Resource Name]]="","",SUMIFS(tsk_Work,tsk_Resource,ResourceTable[[#This Row],[Resource Name]],tsk_IsLeaf,1))</f>
        <v/>
      </c>
      <c r="K13" s="63" t="str">
        <f aca="false">IF(ResourceTable[[#This Row],[Resource Name]]="","",SUMIFS(tsk_Cost,tsk_Resource,ResourceTable[[#This Row],[Resource Name]],tsk_IsLeaf,1))</f>
        <v/>
      </c>
      <c r="L13" s="63" t="str">
        <f aca="false">IF(ResourceTable[[#This Row],[Resource Name]]="","",SUMIFS(tsk_LeafAC,tsk_Resource,ResourceTable[[#This Row],[Resource Name]]))</f>
        <v/>
      </c>
      <c r="M13" s="30"/>
    </row>
    <row r="14" customFormat="false" ht="15" hidden="false" customHeight="false" outlineLevel="0" collapsed="false">
      <c r="B14" s="30"/>
      <c r="C14" s="30"/>
      <c r="D14" s="30"/>
      <c r="E14" s="30"/>
      <c r="F14" s="55"/>
      <c r="G14" s="64"/>
      <c r="H14" s="30"/>
      <c r="I14" s="60" t="str">
        <f aca="false">IF(ResourceTable[[#This Row],[Resource Name]]="","",COUNTIFS(tsk_Resource,ResourceTable[[#This Row],[Resource Name]],tsk_IsLeaf,1))</f>
        <v/>
      </c>
      <c r="J14" s="62" t="str">
        <f aca="false">IF(ResourceTable[[#This Row],[Resource Name]]="","",SUMIFS(tsk_Work,tsk_Resource,ResourceTable[[#This Row],[Resource Name]],tsk_IsLeaf,1))</f>
        <v/>
      </c>
      <c r="K14" s="63" t="str">
        <f aca="false">IF(ResourceTable[[#This Row],[Resource Name]]="","",SUMIFS(tsk_Cost,tsk_Resource,ResourceTable[[#This Row],[Resource Name]],tsk_IsLeaf,1))</f>
        <v/>
      </c>
      <c r="L14" s="63" t="str">
        <f aca="false">IF(ResourceTable[[#This Row],[Resource Name]]="","",SUMIFS(tsk_LeafAC,tsk_Resource,ResourceTable[[#This Row],[Resource Name]]))</f>
        <v/>
      </c>
      <c r="M14" s="30"/>
    </row>
    <row r="15" customFormat="false" ht="15" hidden="false" customHeight="false" outlineLevel="0" collapsed="false">
      <c r="B15" s="30"/>
      <c r="C15" s="30"/>
      <c r="D15" s="30"/>
      <c r="E15" s="30"/>
      <c r="F15" s="55"/>
      <c r="G15" s="64"/>
      <c r="H15" s="30"/>
      <c r="I15" s="60" t="str">
        <f aca="false">IF(ResourceTable[[#This Row],[Resource Name]]="","",COUNTIFS(tsk_Resource,ResourceTable[[#This Row],[Resource Name]],tsk_IsLeaf,1))</f>
        <v/>
      </c>
      <c r="J15" s="62" t="str">
        <f aca="false">IF(ResourceTable[[#This Row],[Resource Name]]="","",SUMIFS(tsk_Work,tsk_Resource,ResourceTable[[#This Row],[Resource Name]],tsk_IsLeaf,1))</f>
        <v/>
      </c>
      <c r="K15" s="63" t="str">
        <f aca="false">IF(ResourceTable[[#This Row],[Resource Name]]="","",SUMIFS(tsk_Cost,tsk_Resource,ResourceTable[[#This Row],[Resource Name]],tsk_IsLeaf,1))</f>
        <v/>
      </c>
      <c r="L15" s="63" t="str">
        <f aca="false">IF(ResourceTable[[#This Row],[Resource Name]]="","",SUMIFS(tsk_LeafAC,tsk_Resource,ResourceTable[[#This Row],[Resource Name]]))</f>
        <v/>
      </c>
      <c r="M15" s="30"/>
    </row>
    <row r="16" customFormat="false" ht="15" hidden="false" customHeight="false" outlineLevel="0" collapsed="false">
      <c r="B16" s="30"/>
      <c r="C16" s="30"/>
      <c r="D16" s="30"/>
      <c r="E16" s="30"/>
      <c r="F16" s="55"/>
      <c r="G16" s="64"/>
      <c r="H16" s="30"/>
      <c r="I16" s="60" t="str">
        <f aca="false">IF(ResourceTable[[#This Row],[Resource Name]]="","",COUNTIFS(tsk_Resource,ResourceTable[[#This Row],[Resource Name]],tsk_IsLeaf,1))</f>
        <v/>
      </c>
      <c r="J16" s="62" t="str">
        <f aca="false">IF(ResourceTable[[#This Row],[Resource Name]]="","",SUMIFS(tsk_Work,tsk_Resource,ResourceTable[[#This Row],[Resource Name]],tsk_IsLeaf,1))</f>
        <v/>
      </c>
      <c r="K16" s="63" t="str">
        <f aca="false">IF(ResourceTable[[#This Row],[Resource Name]]="","",SUMIFS(tsk_Cost,tsk_Resource,ResourceTable[[#This Row],[Resource Name]],tsk_IsLeaf,1))</f>
        <v/>
      </c>
      <c r="L16" s="63" t="str">
        <f aca="false">IF(ResourceTable[[#This Row],[Resource Name]]="","",SUMIFS(tsk_LeafAC,tsk_Resource,ResourceTable[[#This Row],[Resource Name]]))</f>
        <v/>
      </c>
      <c r="M16" s="30"/>
    </row>
    <row r="17" customFormat="false" ht="15" hidden="false" customHeight="false" outlineLevel="0" collapsed="false">
      <c r="B17" s="30"/>
      <c r="C17" s="30"/>
      <c r="D17" s="30"/>
      <c r="E17" s="30"/>
      <c r="F17" s="55"/>
      <c r="G17" s="64"/>
      <c r="H17" s="30"/>
      <c r="I17" s="60" t="str">
        <f aca="false">IF(ResourceTable[[#This Row],[Resource Name]]="","",COUNTIFS(tsk_Resource,ResourceTable[[#This Row],[Resource Name]],tsk_IsLeaf,1))</f>
        <v/>
      </c>
      <c r="J17" s="62" t="str">
        <f aca="false">IF(ResourceTable[[#This Row],[Resource Name]]="","",SUMIFS(tsk_Work,tsk_Resource,ResourceTable[[#This Row],[Resource Name]],tsk_IsLeaf,1))</f>
        <v/>
      </c>
      <c r="K17" s="63" t="str">
        <f aca="false">IF(ResourceTable[[#This Row],[Resource Name]]="","",SUMIFS(tsk_Cost,tsk_Resource,ResourceTable[[#This Row],[Resource Name]],tsk_IsLeaf,1))</f>
        <v/>
      </c>
      <c r="L17" s="63" t="str">
        <f aca="false">IF(ResourceTable[[#This Row],[Resource Name]]="","",SUMIFS(tsk_LeafAC,tsk_Resource,ResourceTable[[#This Row],[Resource Name]]))</f>
        <v/>
      </c>
      <c r="M17" s="30"/>
    </row>
    <row r="18" customFormat="false" ht="15" hidden="false" customHeight="false" outlineLevel="0" collapsed="false">
      <c r="B18" s="30"/>
      <c r="C18" s="30"/>
      <c r="D18" s="30"/>
      <c r="E18" s="30"/>
      <c r="F18" s="55"/>
      <c r="G18" s="64"/>
      <c r="H18" s="30"/>
      <c r="I18" s="60" t="str">
        <f aca="false">IF(ResourceTable[[#This Row],[Resource Name]]="","",COUNTIFS(tsk_Resource,ResourceTable[[#This Row],[Resource Name]],tsk_IsLeaf,1))</f>
        <v/>
      </c>
      <c r="J18" s="62" t="str">
        <f aca="false">IF(ResourceTable[[#This Row],[Resource Name]]="","",SUMIFS(tsk_Work,tsk_Resource,ResourceTable[[#This Row],[Resource Name]],tsk_IsLeaf,1))</f>
        <v/>
      </c>
      <c r="K18" s="63" t="str">
        <f aca="false">IF(ResourceTable[[#This Row],[Resource Name]]="","",SUMIFS(tsk_Cost,tsk_Resource,ResourceTable[[#This Row],[Resource Name]],tsk_IsLeaf,1))</f>
        <v/>
      </c>
      <c r="L18" s="63" t="str">
        <f aca="false">IF(ResourceTable[[#This Row],[Resource Name]]="","",SUMIFS(tsk_LeafAC,tsk_Resource,ResourceTable[[#This Row],[Resource Name]]))</f>
        <v/>
      </c>
      <c r="M18" s="30"/>
    </row>
    <row r="19" customFormat="false" ht="15" hidden="false" customHeight="false" outlineLevel="0" collapsed="false">
      <c r="B19" s="30"/>
      <c r="C19" s="30"/>
      <c r="D19" s="30"/>
      <c r="E19" s="30"/>
      <c r="F19" s="55"/>
      <c r="G19" s="64"/>
      <c r="H19" s="30"/>
      <c r="I19" s="60" t="str">
        <f aca="false">IF(ResourceTable[[#This Row],[Resource Name]]="","",COUNTIFS(tsk_Resource,ResourceTable[[#This Row],[Resource Name]],tsk_IsLeaf,1))</f>
        <v/>
      </c>
      <c r="J19" s="62" t="str">
        <f aca="false">IF(ResourceTable[[#This Row],[Resource Name]]="","",SUMIFS(tsk_Work,tsk_Resource,ResourceTable[[#This Row],[Resource Name]],tsk_IsLeaf,1))</f>
        <v/>
      </c>
      <c r="K19" s="63" t="str">
        <f aca="false">IF(ResourceTable[[#This Row],[Resource Name]]="","",SUMIFS(tsk_Cost,tsk_Resource,ResourceTable[[#This Row],[Resource Name]],tsk_IsLeaf,1))</f>
        <v/>
      </c>
      <c r="L19" s="63" t="str">
        <f aca="false">IF(ResourceTable[[#This Row],[Resource Name]]="","",SUMIFS(tsk_LeafAC,tsk_Resource,ResourceTable[[#This Row],[Resource Name]]))</f>
        <v/>
      </c>
      <c r="M19" s="30"/>
    </row>
    <row r="20" customFormat="false" ht="15" hidden="false" customHeight="false" outlineLevel="0" collapsed="false">
      <c r="B20" s="30"/>
      <c r="C20" s="30"/>
      <c r="D20" s="30"/>
      <c r="E20" s="30"/>
      <c r="F20" s="55"/>
      <c r="G20" s="64"/>
      <c r="H20" s="30"/>
      <c r="I20" s="60" t="str">
        <f aca="false">IF(ResourceTable[[#This Row],[Resource Name]]="","",COUNTIFS(tsk_Resource,ResourceTable[[#This Row],[Resource Name]],tsk_IsLeaf,1))</f>
        <v/>
      </c>
      <c r="J20" s="62" t="str">
        <f aca="false">IF(ResourceTable[[#This Row],[Resource Name]]="","",SUMIFS(tsk_Work,tsk_Resource,ResourceTable[[#This Row],[Resource Name]],tsk_IsLeaf,1))</f>
        <v/>
      </c>
      <c r="K20" s="63" t="str">
        <f aca="false">IF(ResourceTable[[#This Row],[Resource Name]]="","",SUMIFS(tsk_Cost,tsk_Resource,ResourceTable[[#This Row],[Resource Name]],tsk_IsLeaf,1))</f>
        <v/>
      </c>
      <c r="L20" s="63" t="str">
        <f aca="false">IF(ResourceTable[[#This Row],[Resource Name]]="","",SUMIFS(tsk_LeafAC,tsk_Resource,ResourceTable[[#This Row],[Resource Name]]))</f>
        <v/>
      </c>
      <c r="M20" s="30"/>
    </row>
    <row r="21" customFormat="false" ht="15" hidden="false" customHeight="false" outlineLevel="0" collapsed="false">
      <c r="B21" s="30"/>
      <c r="C21" s="30"/>
      <c r="D21" s="30"/>
      <c r="E21" s="30"/>
      <c r="F21" s="55"/>
      <c r="G21" s="64"/>
      <c r="H21" s="30"/>
      <c r="I21" s="60" t="str">
        <f aca="false">IF(ResourceTable[[#This Row],[Resource Name]]="","",COUNTIFS(tsk_Resource,ResourceTable[[#This Row],[Resource Name]],tsk_IsLeaf,1))</f>
        <v/>
      </c>
      <c r="J21" s="62" t="str">
        <f aca="false">IF(ResourceTable[[#This Row],[Resource Name]]="","",SUMIFS(tsk_Work,tsk_Resource,ResourceTable[[#This Row],[Resource Name]],tsk_IsLeaf,1))</f>
        <v/>
      </c>
      <c r="K21" s="63" t="str">
        <f aca="false">IF(ResourceTable[[#This Row],[Resource Name]]="","",SUMIFS(tsk_Cost,tsk_Resource,ResourceTable[[#This Row],[Resource Name]],tsk_IsLeaf,1))</f>
        <v/>
      </c>
      <c r="L21" s="63" t="str">
        <f aca="false">IF(ResourceTable[[#This Row],[Resource Name]]="","",SUMIFS(tsk_LeafAC,tsk_Resource,ResourceTable[[#This Row],[Resource Name]]))</f>
        <v/>
      </c>
      <c r="M21" s="30"/>
    </row>
    <row r="22" customFormat="false" ht="15" hidden="false" customHeight="false" outlineLevel="0" collapsed="false">
      <c r="B22" s="30"/>
      <c r="C22" s="30"/>
      <c r="D22" s="30"/>
      <c r="E22" s="30"/>
      <c r="F22" s="55"/>
      <c r="G22" s="64"/>
      <c r="H22" s="30"/>
      <c r="I22" s="60" t="str">
        <f aca="false">IF(ResourceTable[[#This Row],[Resource Name]]="","",COUNTIFS(tsk_Resource,ResourceTable[[#This Row],[Resource Name]],tsk_IsLeaf,1))</f>
        <v/>
      </c>
      <c r="J22" s="62" t="str">
        <f aca="false">IF(ResourceTable[[#This Row],[Resource Name]]="","",SUMIFS(tsk_Work,tsk_Resource,ResourceTable[[#This Row],[Resource Name]],tsk_IsLeaf,1))</f>
        <v/>
      </c>
      <c r="K22" s="63" t="str">
        <f aca="false">IF(ResourceTable[[#This Row],[Resource Name]]="","",SUMIFS(tsk_Cost,tsk_Resource,ResourceTable[[#This Row],[Resource Name]],tsk_IsLeaf,1))</f>
        <v/>
      </c>
      <c r="L22" s="63" t="str">
        <f aca="false">IF(ResourceTable[[#This Row],[Resource Name]]="","",SUMIFS(tsk_LeafAC,tsk_Resource,ResourceTable[[#This Row],[Resource Name]]))</f>
        <v/>
      </c>
      <c r="M22" s="30"/>
    </row>
    <row r="23" customFormat="false" ht="15" hidden="false" customHeight="false" outlineLevel="0" collapsed="false">
      <c r="B23" s="30"/>
      <c r="C23" s="30"/>
      <c r="D23" s="30"/>
      <c r="E23" s="30"/>
      <c r="F23" s="55"/>
      <c r="G23" s="64"/>
      <c r="H23" s="30"/>
      <c r="I23" s="60" t="str">
        <f aca="false">IF(ResourceTable[[#This Row],[Resource Name]]="","",COUNTIFS(tsk_Resource,ResourceTable[[#This Row],[Resource Name]],tsk_IsLeaf,1))</f>
        <v/>
      </c>
      <c r="J23" s="62" t="str">
        <f aca="false">IF(ResourceTable[[#This Row],[Resource Name]]="","",SUMIFS(tsk_Work,tsk_Resource,ResourceTable[[#This Row],[Resource Name]],tsk_IsLeaf,1))</f>
        <v/>
      </c>
      <c r="K23" s="63" t="str">
        <f aca="false">IF(ResourceTable[[#This Row],[Resource Name]]="","",SUMIFS(tsk_Cost,tsk_Resource,ResourceTable[[#This Row],[Resource Name]],tsk_IsLeaf,1))</f>
        <v/>
      </c>
      <c r="L23" s="63" t="str">
        <f aca="false">IF(ResourceTable[[#This Row],[Resource Name]]="","",SUMIFS(tsk_LeafAC,tsk_Resource,ResourceTable[[#This Row],[Resource Name]]))</f>
        <v/>
      </c>
      <c r="M23" s="30"/>
    </row>
    <row r="24" customFormat="false" ht="15" hidden="false" customHeight="false" outlineLevel="0" collapsed="false">
      <c r="B24" s="30"/>
      <c r="C24" s="30"/>
      <c r="D24" s="30"/>
      <c r="E24" s="30"/>
      <c r="F24" s="55"/>
      <c r="G24" s="64"/>
      <c r="H24" s="30"/>
      <c r="I24" s="60" t="str">
        <f aca="false">IF(ResourceTable[[#This Row],[Resource Name]]="","",COUNTIFS(tsk_Resource,ResourceTable[[#This Row],[Resource Name]],tsk_IsLeaf,1))</f>
        <v/>
      </c>
      <c r="J24" s="62" t="str">
        <f aca="false">IF(ResourceTable[[#This Row],[Resource Name]]="","",SUMIFS(tsk_Work,tsk_Resource,ResourceTable[[#This Row],[Resource Name]],tsk_IsLeaf,1))</f>
        <v/>
      </c>
      <c r="K24" s="63" t="str">
        <f aca="false">IF(ResourceTable[[#This Row],[Resource Name]]="","",SUMIFS(tsk_Cost,tsk_Resource,ResourceTable[[#This Row],[Resource Name]],tsk_IsLeaf,1))</f>
        <v/>
      </c>
      <c r="L24" s="63" t="str">
        <f aca="false">IF(ResourceTable[[#This Row],[Resource Name]]="","",SUMIFS(tsk_LeafAC,tsk_Resource,ResourceTable[[#This Row],[Resource Name]]))</f>
        <v/>
      </c>
      <c r="M24" s="30"/>
    </row>
    <row r="25" customFormat="false" ht="15" hidden="false" customHeight="false" outlineLevel="0" collapsed="false">
      <c r="B25" s="30"/>
      <c r="C25" s="30"/>
      <c r="D25" s="30"/>
      <c r="E25" s="30"/>
      <c r="F25" s="55"/>
      <c r="G25" s="64"/>
      <c r="H25" s="30"/>
      <c r="I25" s="60" t="str">
        <f aca="false">IF(ResourceTable[[#This Row],[Resource Name]]="","",COUNTIFS(tsk_Resource,ResourceTable[[#This Row],[Resource Name]],tsk_IsLeaf,1))</f>
        <v/>
      </c>
      <c r="J25" s="62" t="str">
        <f aca="false">IF(ResourceTable[[#This Row],[Resource Name]]="","",SUMIFS(tsk_Work,tsk_Resource,ResourceTable[[#This Row],[Resource Name]],tsk_IsLeaf,1))</f>
        <v/>
      </c>
      <c r="K25" s="63" t="str">
        <f aca="false">IF(ResourceTable[[#This Row],[Resource Name]]="","",SUMIFS(tsk_Cost,tsk_Resource,ResourceTable[[#This Row],[Resource Name]],tsk_IsLeaf,1))</f>
        <v/>
      </c>
      <c r="L25" s="63" t="str">
        <f aca="false">IF(ResourceTable[[#This Row],[Resource Name]]="","",SUMIFS(tsk_LeafAC,tsk_Resource,ResourceTable[[#This Row],[Resource Name]]))</f>
        <v/>
      </c>
      <c r="M25" s="30"/>
    </row>
    <row r="26" customFormat="false" ht="15" hidden="false" customHeight="false" outlineLevel="0" collapsed="false">
      <c r="B26" s="30"/>
      <c r="C26" s="30"/>
      <c r="D26" s="30"/>
      <c r="E26" s="30"/>
      <c r="F26" s="55"/>
      <c r="G26" s="64"/>
      <c r="H26" s="30"/>
      <c r="I26" s="60" t="str">
        <f aca="false">IF(ResourceTable[[#This Row],[Resource Name]]="","",COUNTIFS(tsk_Resource,ResourceTable[[#This Row],[Resource Name]],tsk_IsLeaf,1))</f>
        <v/>
      </c>
      <c r="J26" s="62" t="str">
        <f aca="false">IF(ResourceTable[[#This Row],[Resource Name]]="","",SUMIFS(tsk_Work,tsk_Resource,ResourceTable[[#This Row],[Resource Name]],tsk_IsLeaf,1))</f>
        <v/>
      </c>
      <c r="K26" s="63" t="str">
        <f aca="false">IF(ResourceTable[[#This Row],[Resource Name]]="","",SUMIFS(tsk_Cost,tsk_Resource,ResourceTable[[#This Row],[Resource Name]],tsk_IsLeaf,1))</f>
        <v/>
      </c>
      <c r="L26" s="63" t="str">
        <f aca="false">IF(ResourceTable[[#This Row],[Resource Name]]="","",SUMIFS(tsk_LeafAC,tsk_Resource,ResourceTable[[#This Row],[Resource Name]]))</f>
        <v/>
      </c>
      <c r="M26" s="30"/>
    </row>
    <row r="27" customFormat="false" ht="15" hidden="false" customHeight="false" outlineLevel="0" collapsed="false">
      <c r="B27" s="30"/>
      <c r="C27" s="30"/>
      <c r="D27" s="30"/>
      <c r="E27" s="30"/>
      <c r="F27" s="55"/>
      <c r="G27" s="64"/>
      <c r="H27" s="30"/>
      <c r="I27" s="60" t="str">
        <f aca="false">IF(ResourceTable[[#This Row],[Resource Name]]="","",COUNTIFS(tsk_Resource,ResourceTable[[#This Row],[Resource Name]],tsk_IsLeaf,1))</f>
        <v/>
      </c>
      <c r="J27" s="62" t="str">
        <f aca="false">IF(ResourceTable[[#This Row],[Resource Name]]="","",SUMIFS(tsk_Work,tsk_Resource,ResourceTable[[#This Row],[Resource Name]],tsk_IsLeaf,1))</f>
        <v/>
      </c>
      <c r="K27" s="63" t="str">
        <f aca="false">IF(ResourceTable[[#This Row],[Resource Name]]="","",SUMIFS(tsk_Cost,tsk_Resource,ResourceTable[[#This Row],[Resource Name]],tsk_IsLeaf,1))</f>
        <v/>
      </c>
      <c r="L27" s="63" t="str">
        <f aca="false">IF(ResourceTable[[#This Row],[Resource Name]]="","",SUMIFS(tsk_LeafAC,tsk_Resource,ResourceTable[[#This Row],[Resource Name]]))</f>
        <v/>
      </c>
      <c r="M27" s="30"/>
    </row>
    <row r="28" customFormat="false" ht="15" hidden="false" customHeight="false" outlineLevel="0" collapsed="false">
      <c r="B28" s="30"/>
      <c r="C28" s="30"/>
      <c r="D28" s="30"/>
      <c r="E28" s="30"/>
      <c r="F28" s="55"/>
      <c r="G28" s="64"/>
      <c r="H28" s="30"/>
      <c r="I28" s="60" t="str">
        <f aca="false">IF(ResourceTable[[#This Row],[Resource Name]]="","",COUNTIFS(tsk_Resource,ResourceTable[[#This Row],[Resource Name]],tsk_IsLeaf,1))</f>
        <v/>
      </c>
      <c r="J28" s="62" t="str">
        <f aca="false">IF(ResourceTable[[#This Row],[Resource Name]]="","",SUMIFS(tsk_Work,tsk_Resource,ResourceTable[[#This Row],[Resource Name]],tsk_IsLeaf,1))</f>
        <v/>
      </c>
      <c r="K28" s="63" t="str">
        <f aca="false">IF(ResourceTable[[#This Row],[Resource Name]]="","",SUMIFS(tsk_Cost,tsk_Resource,ResourceTable[[#This Row],[Resource Name]],tsk_IsLeaf,1))</f>
        <v/>
      </c>
      <c r="L28" s="63" t="str">
        <f aca="false">IF(ResourceTable[[#This Row],[Resource Name]]="","",SUMIFS(tsk_LeafAC,tsk_Resource,ResourceTable[[#This Row],[Resource Name]]))</f>
        <v/>
      </c>
      <c r="M28" s="30"/>
    </row>
    <row r="29" customFormat="false" ht="15" hidden="false" customHeight="false" outlineLevel="0" collapsed="false">
      <c r="B29" s="30"/>
      <c r="C29" s="30"/>
      <c r="D29" s="30"/>
      <c r="E29" s="30"/>
      <c r="F29" s="55"/>
      <c r="G29" s="64"/>
      <c r="H29" s="30"/>
      <c r="I29" s="60" t="str">
        <f aca="false">IF(ResourceTable[[#This Row],[Resource Name]]="","",COUNTIFS(tsk_Resource,ResourceTable[[#This Row],[Resource Name]],tsk_IsLeaf,1))</f>
        <v/>
      </c>
      <c r="J29" s="62" t="str">
        <f aca="false">IF(ResourceTable[[#This Row],[Resource Name]]="","",SUMIFS(tsk_Work,tsk_Resource,ResourceTable[[#This Row],[Resource Name]],tsk_IsLeaf,1))</f>
        <v/>
      </c>
      <c r="K29" s="63" t="str">
        <f aca="false">IF(ResourceTable[[#This Row],[Resource Name]]="","",SUMIFS(tsk_Cost,tsk_Resource,ResourceTable[[#This Row],[Resource Name]],tsk_IsLeaf,1))</f>
        <v/>
      </c>
      <c r="L29" s="63" t="str">
        <f aca="false">IF(ResourceTable[[#This Row],[Resource Name]]="","",SUMIFS(tsk_LeafAC,tsk_Resource,ResourceTable[[#This Row],[Resource Name]]))</f>
        <v/>
      </c>
      <c r="M29" s="30"/>
    </row>
    <row r="30" customFormat="false" ht="15" hidden="false" customHeight="false" outlineLevel="0" collapsed="false">
      <c r="B30" s="30"/>
      <c r="C30" s="30"/>
      <c r="D30" s="30"/>
      <c r="E30" s="30"/>
      <c r="F30" s="55"/>
      <c r="G30" s="64"/>
      <c r="H30" s="30"/>
      <c r="I30" s="60" t="str">
        <f aca="false">IF(ResourceTable[[#This Row],[Resource Name]]="","",COUNTIFS(tsk_Resource,ResourceTable[[#This Row],[Resource Name]],tsk_IsLeaf,1))</f>
        <v/>
      </c>
      <c r="J30" s="62" t="str">
        <f aca="false">IF(ResourceTable[[#This Row],[Resource Name]]="","",SUMIFS(tsk_Work,tsk_Resource,ResourceTable[[#This Row],[Resource Name]],tsk_IsLeaf,1))</f>
        <v/>
      </c>
      <c r="K30" s="63" t="str">
        <f aca="false">IF(ResourceTable[[#This Row],[Resource Name]]="","",SUMIFS(tsk_Cost,tsk_Resource,ResourceTable[[#This Row],[Resource Name]],tsk_IsLeaf,1))</f>
        <v/>
      </c>
      <c r="L30" s="63" t="str">
        <f aca="false">IF(ResourceTable[[#This Row],[Resource Name]]="","",SUMIFS(tsk_LeafAC,tsk_Resource,ResourceTable[[#This Row],[Resource Name]]))</f>
        <v/>
      </c>
      <c r="M30" s="30"/>
    </row>
    <row r="31" customFormat="false" ht="15" hidden="false" customHeight="false" outlineLevel="0" collapsed="false">
      <c r="B31" s="30"/>
      <c r="C31" s="30"/>
      <c r="D31" s="30"/>
      <c r="E31" s="30"/>
      <c r="F31" s="55"/>
      <c r="G31" s="64"/>
      <c r="H31" s="30"/>
      <c r="I31" s="60" t="str">
        <f aca="false">IF(ResourceTable[[#This Row],[Resource Name]]="","",COUNTIFS(tsk_Resource,ResourceTable[[#This Row],[Resource Name]],tsk_IsLeaf,1))</f>
        <v/>
      </c>
      <c r="J31" s="62" t="str">
        <f aca="false">IF(ResourceTable[[#This Row],[Resource Name]]="","",SUMIFS(tsk_Work,tsk_Resource,ResourceTable[[#This Row],[Resource Name]],tsk_IsLeaf,1))</f>
        <v/>
      </c>
      <c r="K31" s="63" t="str">
        <f aca="false">IF(ResourceTable[[#This Row],[Resource Name]]="","",SUMIFS(tsk_Cost,tsk_Resource,ResourceTable[[#This Row],[Resource Name]],tsk_IsLeaf,1))</f>
        <v/>
      </c>
      <c r="L31" s="63" t="str">
        <f aca="false">IF(ResourceTable[[#This Row],[Resource Name]]="","",SUMIFS(tsk_LeafAC,tsk_Resource,ResourceTable[[#This Row],[Resource Name]]))</f>
        <v/>
      </c>
      <c r="M31" s="30"/>
    </row>
    <row r="32" customFormat="false" ht="15" hidden="false" customHeight="false" outlineLevel="0" collapsed="false">
      <c r="B32" s="30"/>
      <c r="C32" s="30"/>
      <c r="D32" s="30"/>
      <c r="E32" s="30"/>
      <c r="F32" s="55"/>
      <c r="G32" s="64"/>
      <c r="H32" s="30"/>
      <c r="I32" s="60" t="str">
        <f aca="false">IF(ResourceTable[[#This Row],[Resource Name]]="","",COUNTIFS(tsk_Resource,ResourceTable[[#This Row],[Resource Name]],tsk_IsLeaf,1))</f>
        <v/>
      </c>
      <c r="J32" s="62" t="str">
        <f aca="false">IF(ResourceTable[[#This Row],[Resource Name]]="","",SUMIFS(tsk_Work,tsk_Resource,ResourceTable[[#This Row],[Resource Name]],tsk_IsLeaf,1))</f>
        <v/>
      </c>
      <c r="K32" s="63" t="str">
        <f aca="false">IF(ResourceTable[[#This Row],[Resource Name]]="","",SUMIFS(tsk_Cost,tsk_Resource,ResourceTable[[#This Row],[Resource Name]],tsk_IsLeaf,1))</f>
        <v/>
      </c>
      <c r="L32" s="63" t="str">
        <f aca="false">IF(ResourceTable[[#This Row],[Resource Name]]="","",SUMIFS(tsk_LeafAC,tsk_Resource,ResourceTable[[#This Row],[Resource Name]]))</f>
        <v/>
      </c>
      <c r="M32" s="30"/>
    </row>
    <row r="33" customFormat="false" ht="15" hidden="false" customHeight="false" outlineLevel="0" collapsed="false">
      <c r="B33" s="30"/>
      <c r="C33" s="30"/>
      <c r="D33" s="30"/>
      <c r="E33" s="30"/>
      <c r="F33" s="55"/>
      <c r="G33" s="64"/>
      <c r="H33" s="30"/>
      <c r="I33" s="60" t="str">
        <f aca="false">IF(ResourceTable[[#This Row],[Resource Name]]="","",COUNTIFS(tsk_Resource,ResourceTable[[#This Row],[Resource Name]],tsk_IsLeaf,1))</f>
        <v/>
      </c>
      <c r="J33" s="62" t="str">
        <f aca="false">IF(ResourceTable[[#This Row],[Resource Name]]="","",SUMIFS(tsk_Work,tsk_Resource,ResourceTable[[#This Row],[Resource Name]],tsk_IsLeaf,1))</f>
        <v/>
      </c>
      <c r="K33" s="63" t="str">
        <f aca="false">IF(ResourceTable[[#This Row],[Resource Name]]="","",SUMIFS(tsk_Cost,tsk_Resource,ResourceTable[[#This Row],[Resource Name]],tsk_IsLeaf,1))</f>
        <v/>
      </c>
      <c r="L33" s="63" t="str">
        <f aca="false">IF(ResourceTable[[#This Row],[Resource Name]]="","",SUMIFS(tsk_LeafAC,tsk_Resource,ResourceTable[[#This Row],[Resource Name]]))</f>
        <v/>
      </c>
      <c r="M33" s="30"/>
    </row>
    <row r="34" customFormat="false" ht="15" hidden="false" customHeight="false" outlineLevel="0" collapsed="false">
      <c r="B34" s="30"/>
      <c r="C34" s="30"/>
      <c r="D34" s="30"/>
      <c r="E34" s="30"/>
      <c r="F34" s="55"/>
      <c r="G34" s="64"/>
      <c r="H34" s="30"/>
      <c r="I34" s="60" t="str">
        <f aca="false">IF(ResourceTable[[#This Row],[Resource Name]]="","",COUNTIFS(tsk_Resource,ResourceTable[[#This Row],[Resource Name]],tsk_IsLeaf,1))</f>
        <v/>
      </c>
      <c r="J34" s="62" t="str">
        <f aca="false">IF(ResourceTable[[#This Row],[Resource Name]]="","",SUMIFS(tsk_Work,tsk_Resource,ResourceTable[[#This Row],[Resource Name]],tsk_IsLeaf,1))</f>
        <v/>
      </c>
      <c r="K34" s="63" t="str">
        <f aca="false">IF(ResourceTable[[#This Row],[Resource Name]]="","",SUMIFS(tsk_Cost,tsk_Resource,ResourceTable[[#This Row],[Resource Name]],tsk_IsLeaf,1))</f>
        <v/>
      </c>
      <c r="L34" s="63" t="str">
        <f aca="false">IF(ResourceTable[[#This Row],[Resource Name]]="","",SUMIFS(tsk_LeafAC,tsk_Resource,ResourceTable[[#This Row],[Resource Name]]))</f>
        <v/>
      </c>
      <c r="M34" s="30"/>
    </row>
    <row r="35" customFormat="false" ht="15" hidden="false" customHeight="false" outlineLevel="0" collapsed="false">
      <c r="B35" s="30"/>
      <c r="C35" s="30"/>
      <c r="D35" s="30"/>
      <c r="E35" s="30"/>
      <c r="F35" s="55"/>
      <c r="G35" s="64"/>
      <c r="H35" s="30"/>
      <c r="I35" s="60" t="str">
        <f aca="false">IF(ResourceTable[[#This Row],[Resource Name]]="","",COUNTIFS(tsk_Resource,ResourceTable[[#This Row],[Resource Name]],tsk_IsLeaf,1))</f>
        <v/>
      </c>
      <c r="J35" s="62" t="str">
        <f aca="false">IF(ResourceTable[[#This Row],[Resource Name]]="","",SUMIFS(tsk_Work,tsk_Resource,ResourceTable[[#This Row],[Resource Name]],tsk_IsLeaf,1))</f>
        <v/>
      </c>
      <c r="K35" s="63" t="str">
        <f aca="false">IF(ResourceTable[[#This Row],[Resource Name]]="","",SUMIFS(tsk_Cost,tsk_Resource,ResourceTable[[#This Row],[Resource Name]],tsk_IsLeaf,1))</f>
        <v/>
      </c>
      <c r="L35" s="63" t="str">
        <f aca="false">IF(ResourceTable[[#This Row],[Resource Name]]="","",SUMIFS(tsk_LeafAC,tsk_Resource,ResourceTable[[#This Row],[Resource Name]]))</f>
        <v/>
      </c>
      <c r="M35" s="30"/>
    </row>
    <row r="36" customFormat="false" ht="15" hidden="false" customHeight="false" outlineLevel="0" collapsed="false">
      <c r="B36" s="30"/>
      <c r="C36" s="30"/>
      <c r="D36" s="30"/>
      <c r="E36" s="30"/>
      <c r="F36" s="55"/>
      <c r="G36" s="64"/>
      <c r="H36" s="30"/>
      <c r="I36" s="60" t="str">
        <f aca="false">IF(ResourceTable[[#This Row],[Resource Name]]="","",COUNTIFS(tsk_Resource,ResourceTable[[#This Row],[Resource Name]],tsk_IsLeaf,1))</f>
        <v/>
      </c>
      <c r="J36" s="62" t="str">
        <f aca="false">IF(ResourceTable[[#This Row],[Resource Name]]="","",SUMIFS(tsk_Work,tsk_Resource,ResourceTable[[#This Row],[Resource Name]],tsk_IsLeaf,1))</f>
        <v/>
      </c>
      <c r="K36" s="63" t="str">
        <f aca="false">IF(ResourceTable[[#This Row],[Resource Name]]="","",SUMIFS(tsk_Cost,tsk_Resource,ResourceTable[[#This Row],[Resource Name]],tsk_IsLeaf,1))</f>
        <v/>
      </c>
      <c r="L36" s="63" t="str">
        <f aca="false">IF(ResourceTable[[#This Row],[Resource Name]]="","",SUMIFS(tsk_LeafAC,tsk_Resource,ResourceTable[[#This Row],[Resource Name]]))</f>
        <v/>
      </c>
      <c r="M36" s="30"/>
    </row>
    <row r="37" customFormat="false" ht="15" hidden="false" customHeight="false" outlineLevel="0" collapsed="false">
      <c r="B37" s="30"/>
      <c r="C37" s="30"/>
      <c r="D37" s="30"/>
      <c r="E37" s="30"/>
      <c r="F37" s="55"/>
      <c r="G37" s="64"/>
      <c r="H37" s="30"/>
      <c r="I37" s="60" t="str">
        <f aca="false">IF(ResourceTable[[#This Row],[Resource Name]]="","",COUNTIFS(tsk_Resource,ResourceTable[[#This Row],[Resource Name]],tsk_IsLeaf,1))</f>
        <v/>
      </c>
      <c r="J37" s="62" t="str">
        <f aca="false">IF(ResourceTable[[#This Row],[Resource Name]]="","",SUMIFS(tsk_Work,tsk_Resource,ResourceTable[[#This Row],[Resource Name]],tsk_IsLeaf,1))</f>
        <v/>
      </c>
      <c r="K37" s="63" t="str">
        <f aca="false">IF(ResourceTable[[#This Row],[Resource Name]]="","",SUMIFS(tsk_Cost,tsk_Resource,ResourceTable[[#This Row],[Resource Name]],tsk_IsLeaf,1))</f>
        <v/>
      </c>
      <c r="L37" s="63" t="str">
        <f aca="false">IF(ResourceTable[[#This Row],[Resource Name]]="","",SUMIFS(tsk_LeafAC,tsk_Resource,ResourceTable[[#This Row],[Resource Name]]))</f>
        <v/>
      </c>
      <c r="M37" s="30"/>
    </row>
    <row r="38" customFormat="false" ht="15" hidden="false" customHeight="false" outlineLevel="0" collapsed="false">
      <c r="B38" s="30"/>
      <c r="C38" s="30"/>
      <c r="D38" s="30"/>
      <c r="E38" s="30"/>
      <c r="F38" s="55"/>
      <c r="G38" s="64"/>
      <c r="H38" s="30"/>
      <c r="I38" s="60" t="str">
        <f aca="false">IF(ResourceTable[[#This Row],[Resource Name]]="","",COUNTIFS(tsk_Resource,ResourceTable[[#This Row],[Resource Name]],tsk_IsLeaf,1))</f>
        <v/>
      </c>
      <c r="J38" s="62" t="str">
        <f aca="false">IF(ResourceTable[[#This Row],[Resource Name]]="","",SUMIFS(tsk_Work,tsk_Resource,ResourceTable[[#This Row],[Resource Name]],tsk_IsLeaf,1))</f>
        <v/>
      </c>
      <c r="K38" s="63" t="str">
        <f aca="false">IF(ResourceTable[[#This Row],[Resource Name]]="","",SUMIFS(tsk_Cost,tsk_Resource,ResourceTable[[#This Row],[Resource Name]],tsk_IsLeaf,1))</f>
        <v/>
      </c>
      <c r="L38" s="63" t="str">
        <f aca="false">IF(ResourceTable[[#This Row],[Resource Name]]="","",SUMIFS(tsk_LeafAC,tsk_Resource,ResourceTable[[#This Row],[Resource Name]]))</f>
        <v/>
      </c>
      <c r="M38" s="30"/>
    </row>
    <row r="39" customFormat="false" ht="15" hidden="false" customHeight="false" outlineLevel="0" collapsed="false">
      <c r="B39" s="30"/>
      <c r="C39" s="30"/>
      <c r="D39" s="30"/>
      <c r="E39" s="30"/>
      <c r="F39" s="55"/>
      <c r="G39" s="64"/>
      <c r="H39" s="30"/>
      <c r="I39" s="60" t="str">
        <f aca="false">IF(ResourceTable[[#This Row],[Resource Name]]="","",COUNTIFS(tsk_Resource,ResourceTable[[#This Row],[Resource Name]],tsk_IsLeaf,1))</f>
        <v/>
      </c>
      <c r="J39" s="62" t="str">
        <f aca="false">IF(ResourceTable[[#This Row],[Resource Name]]="","",SUMIFS(tsk_Work,tsk_Resource,ResourceTable[[#This Row],[Resource Name]],tsk_IsLeaf,1))</f>
        <v/>
      </c>
      <c r="K39" s="63" t="str">
        <f aca="false">IF(ResourceTable[[#This Row],[Resource Name]]="","",SUMIFS(tsk_Cost,tsk_Resource,ResourceTable[[#This Row],[Resource Name]],tsk_IsLeaf,1))</f>
        <v/>
      </c>
      <c r="L39" s="63" t="str">
        <f aca="false">IF(ResourceTable[[#This Row],[Resource Name]]="","",SUMIFS(tsk_LeafAC,tsk_Resource,ResourceTable[[#This Row],[Resource Name]]))</f>
        <v/>
      </c>
      <c r="M39" s="30"/>
    </row>
    <row r="40" customFormat="false" ht="15" hidden="false" customHeight="false" outlineLevel="0" collapsed="false">
      <c r="B40" s="30"/>
      <c r="C40" s="30"/>
      <c r="D40" s="30"/>
      <c r="E40" s="30"/>
      <c r="F40" s="55"/>
      <c r="G40" s="64"/>
      <c r="H40" s="30"/>
      <c r="I40" s="60" t="str">
        <f aca="false">IF(ResourceTable[[#This Row],[Resource Name]]="","",COUNTIFS(tsk_Resource,ResourceTable[[#This Row],[Resource Name]],tsk_IsLeaf,1))</f>
        <v/>
      </c>
      <c r="J40" s="62" t="str">
        <f aca="false">IF(ResourceTable[[#This Row],[Resource Name]]="","",SUMIFS(tsk_Work,tsk_Resource,ResourceTable[[#This Row],[Resource Name]],tsk_IsLeaf,1))</f>
        <v/>
      </c>
      <c r="K40" s="63" t="str">
        <f aca="false">IF(ResourceTable[[#This Row],[Resource Name]]="","",SUMIFS(tsk_Cost,tsk_Resource,ResourceTable[[#This Row],[Resource Name]],tsk_IsLeaf,1))</f>
        <v/>
      </c>
      <c r="L40" s="63" t="str">
        <f aca="false">IF(ResourceTable[[#This Row],[Resource Name]]="","",SUMIFS(tsk_LeafAC,tsk_Resource,ResourceTable[[#This Row],[Resource Name]]))</f>
        <v/>
      </c>
      <c r="M40" s="30"/>
    </row>
    <row r="41" customFormat="false" ht="15" hidden="false" customHeight="false" outlineLevel="0" collapsed="false">
      <c r="B41" s="30"/>
      <c r="C41" s="30"/>
      <c r="D41" s="30"/>
      <c r="E41" s="30"/>
      <c r="F41" s="55"/>
      <c r="G41" s="64"/>
      <c r="H41" s="30"/>
      <c r="I41" s="60" t="str">
        <f aca="false">IF(ResourceTable[[#This Row],[Resource Name]]="","",COUNTIFS(tsk_Resource,ResourceTable[[#This Row],[Resource Name]],tsk_IsLeaf,1))</f>
        <v/>
      </c>
      <c r="J41" s="62" t="str">
        <f aca="false">IF(ResourceTable[[#This Row],[Resource Name]]="","",SUMIFS(tsk_Work,tsk_Resource,ResourceTable[[#This Row],[Resource Name]],tsk_IsLeaf,1))</f>
        <v/>
      </c>
      <c r="K41" s="63" t="str">
        <f aca="false">IF(ResourceTable[[#This Row],[Resource Name]]="","",SUMIFS(tsk_Cost,tsk_Resource,ResourceTable[[#This Row],[Resource Name]],tsk_IsLeaf,1))</f>
        <v/>
      </c>
      <c r="L41" s="63" t="str">
        <f aca="false">IF(ResourceTable[[#This Row],[Resource Name]]="","",SUMIFS(tsk_LeafAC,tsk_Resource,ResourceTable[[#This Row],[Resource Name]]))</f>
        <v/>
      </c>
      <c r="M41" s="30"/>
    </row>
    <row r="42" customFormat="false" ht="15" hidden="false" customHeight="false" outlineLevel="0" collapsed="false">
      <c r="B42" s="30"/>
      <c r="C42" s="30"/>
      <c r="D42" s="30"/>
      <c r="E42" s="30"/>
      <c r="F42" s="55"/>
      <c r="G42" s="64"/>
      <c r="H42" s="30"/>
      <c r="I42" s="60" t="str">
        <f aca="false">IF(ResourceTable[[#This Row],[Resource Name]]="","",COUNTIFS(tsk_Resource,ResourceTable[[#This Row],[Resource Name]],tsk_IsLeaf,1))</f>
        <v/>
      </c>
      <c r="J42" s="62" t="str">
        <f aca="false">IF(ResourceTable[[#This Row],[Resource Name]]="","",SUMIFS(tsk_Work,tsk_Resource,ResourceTable[[#This Row],[Resource Name]],tsk_IsLeaf,1))</f>
        <v/>
      </c>
      <c r="K42" s="63" t="str">
        <f aca="false">IF(ResourceTable[[#This Row],[Resource Name]]="","",SUMIFS(tsk_Cost,tsk_Resource,ResourceTable[[#This Row],[Resource Name]],tsk_IsLeaf,1))</f>
        <v/>
      </c>
      <c r="L42" s="63" t="str">
        <f aca="false">IF(ResourceTable[[#This Row],[Resource Name]]="","",SUMIFS(tsk_LeafAC,tsk_Resource,ResourceTable[[#This Row],[Resource Name]]))</f>
        <v/>
      </c>
      <c r="M42" s="30"/>
    </row>
    <row r="43" customFormat="false" ht="15" hidden="false" customHeight="false" outlineLevel="0" collapsed="false">
      <c r="B43" s="30"/>
      <c r="C43" s="30"/>
      <c r="D43" s="30"/>
      <c r="E43" s="30"/>
      <c r="F43" s="55"/>
      <c r="G43" s="64"/>
      <c r="H43" s="30"/>
      <c r="I43" s="60" t="str">
        <f aca="false">IF(ResourceTable[[#This Row],[Resource Name]]="","",COUNTIFS(tsk_Resource,ResourceTable[[#This Row],[Resource Name]],tsk_IsLeaf,1))</f>
        <v/>
      </c>
      <c r="J43" s="62" t="str">
        <f aca="false">IF(ResourceTable[[#This Row],[Resource Name]]="","",SUMIFS(tsk_Work,tsk_Resource,ResourceTable[[#This Row],[Resource Name]],tsk_IsLeaf,1))</f>
        <v/>
      </c>
      <c r="K43" s="63" t="str">
        <f aca="false">IF(ResourceTable[[#This Row],[Resource Name]]="","",SUMIFS(tsk_Cost,tsk_Resource,ResourceTable[[#This Row],[Resource Name]],tsk_IsLeaf,1))</f>
        <v/>
      </c>
      <c r="L43" s="63" t="str">
        <f aca="false">IF(ResourceTable[[#This Row],[Resource Name]]="","",SUMIFS(tsk_LeafAC,tsk_Resource,ResourceTable[[#This Row],[Resource Name]]))</f>
        <v/>
      </c>
      <c r="M43" s="30"/>
    </row>
    <row r="44" customFormat="false" ht="15" hidden="false" customHeight="false" outlineLevel="0" collapsed="false">
      <c r="B44" s="30"/>
      <c r="C44" s="30"/>
      <c r="D44" s="30"/>
      <c r="E44" s="30"/>
      <c r="F44" s="55"/>
      <c r="G44" s="64"/>
      <c r="H44" s="30"/>
      <c r="I44" s="60" t="str">
        <f aca="false">IF(ResourceTable[[#This Row],[Resource Name]]="","",COUNTIFS(tsk_Resource,ResourceTable[[#This Row],[Resource Name]],tsk_IsLeaf,1))</f>
        <v/>
      </c>
      <c r="J44" s="62" t="str">
        <f aca="false">IF(ResourceTable[[#This Row],[Resource Name]]="","",SUMIFS(tsk_Work,tsk_Resource,ResourceTable[[#This Row],[Resource Name]],tsk_IsLeaf,1))</f>
        <v/>
      </c>
      <c r="K44" s="63" t="str">
        <f aca="false">IF(ResourceTable[[#This Row],[Resource Name]]="","",SUMIFS(tsk_Cost,tsk_Resource,ResourceTable[[#This Row],[Resource Name]],tsk_IsLeaf,1))</f>
        <v/>
      </c>
      <c r="L44" s="63" t="str">
        <f aca="false">IF(ResourceTable[[#This Row],[Resource Name]]="","",SUMIFS(tsk_LeafAC,tsk_Resource,ResourceTable[[#This Row],[Resource Name]]))</f>
        <v/>
      </c>
      <c r="M44" s="30"/>
    </row>
    <row r="45" customFormat="false" ht="15" hidden="false" customHeight="false" outlineLevel="0" collapsed="false">
      <c r="B45" s="30"/>
      <c r="C45" s="30"/>
      <c r="D45" s="30"/>
      <c r="E45" s="30"/>
      <c r="F45" s="55"/>
      <c r="G45" s="64"/>
      <c r="H45" s="30"/>
      <c r="I45" s="60" t="str">
        <f aca="false">IF(ResourceTable[[#This Row],[Resource Name]]="","",COUNTIFS(tsk_Resource,ResourceTable[[#This Row],[Resource Name]],tsk_IsLeaf,1))</f>
        <v/>
      </c>
      <c r="J45" s="62" t="str">
        <f aca="false">IF(ResourceTable[[#This Row],[Resource Name]]="","",SUMIFS(tsk_Work,tsk_Resource,ResourceTable[[#This Row],[Resource Name]],tsk_IsLeaf,1))</f>
        <v/>
      </c>
      <c r="K45" s="63" t="str">
        <f aca="false">IF(ResourceTable[[#This Row],[Resource Name]]="","",SUMIFS(tsk_Cost,tsk_Resource,ResourceTable[[#This Row],[Resource Name]],tsk_IsLeaf,1))</f>
        <v/>
      </c>
      <c r="L45" s="63" t="str">
        <f aca="false">IF(ResourceTable[[#This Row],[Resource Name]]="","",SUMIFS(tsk_LeafAC,tsk_Resource,ResourceTable[[#This Row],[Resource Name]]))</f>
        <v/>
      </c>
      <c r="M45" s="30"/>
    </row>
    <row r="46" customFormat="false" ht="15" hidden="false" customHeight="false" outlineLevel="0" collapsed="false">
      <c r="B46" s="30"/>
      <c r="C46" s="30"/>
      <c r="D46" s="30"/>
      <c r="E46" s="30"/>
      <c r="F46" s="55"/>
      <c r="G46" s="64"/>
      <c r="H46" s="30"/>
      <c r="I46" s="60" t="str">
        <f aca="false">IF(ResourceTable[[#This Row],[Resource Name]]="","",COUNTIFS(tsk_Resource,ResourceTable[[#This Row],[Resource Name]],tsk_IsLeaf,1))</f>
        <v/>
      </c>
      <c r="J46" s="62" t="str">
        <f aca="false">IF(ResourceTable[[#This Row],[Resource Name]]="","",SUMIFS(tsk_Work,tsk_Resource,ResourceTable[[#This Row],[Resource Name]],tsk_IsLeaf,1))</f>
        <v/>
      </c>
      <c r="K46" s="63" t="str">
        <f aca="false">IF(ResourceTable[[#This Row],[Resource Name]]="","",SUMIFS(tsk_Cost,tsk_Resource,ResourceTable[[#This Row],[Resource Name]],tsk_IsLeaf,1))</f>
        <v/>
      </c>
      <c r="L46" s="63" t="str">
        <f aca="false">IF(ResourceTable[[#This Row],[Resource Name]]="","",SUMIFS(tsk_LeafAC,tsk_Resource,ResourceTable[[#This Row],[Resource Name]]))</f>
        <v/>
      </c>
      <c r="M46" s="30"/>
    </row>
    <row r="47" customFormat="false" ht="15" hidden="false" customHeight="false" outlineLevel="0" collapsed="false">
      <c r="B47" s="30"/>
      <c r="C47" s="30"/>
      <c r="D47" s="30"/>
      <c r="E47" s="30"/>
      <c r="F47" s="55"/>
      <c r="G47" s="64"/>
      <c r="H47" s="30"/>
      <c r="I47" s="60" t="str">
        <f aca="false">IF(ResourceTable[[#This Row],[Resource Name]]="","",COUNTIFS(tsk_Resource,ResourceTable[[#This Row],[Resource Name]],tsk_IsLeaf,1))</f>
        <v/>
      </c>
      <c r="J47" s="62" t="str">
        <f aca="false">IF(ResourceTable[[#This Row],[Resource Name]]="","",SUMIFS(tsk_Work,tsk_Resource,ResourceTable[[#This Row],[Resource Name]],tsk_IsLeaf,1))</f>
        <v/>
      </c>
      <c r="K47" s="63" t="str">
        <f aca="false">IF(ResourceTable[[#This Row],[Resource Name]]="","",SUMIFS(tsk_Cost,tsk_Resource,ResourceTable[[#This Row],[Resource Name]],tsk_IsLeaf,1))</f>
        <v/>
      </c>
      <c r="L47" s="63" t="str">
        <f aca="false">IF(ResourceTable[[#This Row],[Resource Name]]="","",SUMIFS(tsk_LeafAC,tsk_Resource,ResourceTable[[#This Row],[Resource Name]]))</f>
        <v/>
      </c>
      <c r="M47" s="30"/>
    </row>
    <row r="48" customFormat="false" ht="15" hidden="false" customHeight="false" outlineLevel="0" collapsed="false">
      <c r="B48" s="30"/>
      <c r="C48" s="30"/>
      <c r="D48" s="30"/>
      <c r="E48" s="30"/>
      <c r="F48" s="55"/>
      <c r="G48" s="64"/>
      <c r="H48" s="30"/>
      <c r="I48" s="60" t="str">
        <f aca="false">IF(ResourceTable[[#This Row],[Resource Name]]="","",COUNTIFS(tsk_Resource,ResourceTable[[#This Row],[Resource Name]],tsk_IsLeaf,1))</f>
        <v/>
      </c>
      <c r="J48" s="62" t="str">
        <f aca="false">IF(ResourceTable[[#This Row],[Resource Name]]="","",SUMIFS(tsk_Work,tsk_Resource,ResourceTable[[#This Row],[Resource Name]],tsk_IsLeaf,1))</f>
        <v/>
      </c>
      <c r="K48" s="63" t="str">
        <f aca="false">IF(ResourceTable[[#This Row],[Resource Name]]="","",SUMIFS(tsk_Cost,tsk_Resource,ResourceTable[[#This Row],[Resource Name]],tsk_IsLeaf,1))</f>
        <v/>
      </c>
      <c r="L48" s="63" t="str">
        <f aca="false">IF(ResourceTable[[#This Row],[Resource Name]]="","",SUMIFS(tsk_LeafAC,tsk_Resource,ResourceTable[[#This Row],[Resource Name]]))</f>
        <v/>
      </c>
      <c r="M48" s="30"/>
    </row>
    <row r="49" customFormat="false" ht="15" hidden="false" customHeight="false" outlineLevel="0" collapsed="false">
      <c r="B49" s="30"/>
      <c r="C49" s="30"/>
      <c r="D49" s="30"/>
      <c r="E49" s="30"/>
      <c r="F49" s="55"/>
      <c r="G49" s="64"/>
      <c r="H49" s="30"/>
      <c r="I49" s="60" t="str">
        <f aca="false">IF(ResourceTable[[#This Row],[Resource Name]]="","",COUNTIFS(tsk_Resource,ResourceTable[[#This Row],[Resource Name]],tsk_IsLeaf,1))</f>
        <v/>
      </c>
      <c r="J49" s="62" t="str">
        <f aca="false">IF(ResourceTable[[#This Row],[Resource Name]]="","",SUMIFS(tsk_Work,tsk_Resource,ResourceTable[[#This Row],[Resource Name]],tsk_IsLeaf,1))</f>
        <v/>
      </c>
      <c r="K49" s="63" t="str">
        <f aca="false">IF(ResourceTable[[#This Row],[Resource Name]]="","",SUMIFS(tsk_Cost,tsk_Resource,ResourceTable[[#This Row],[Resource Name]],tsk_IsLeaf,1))</f>
        <v/>
      </c>
      <c r="L49" s="63" t="str">
        <f aca="false">IF(ResourceTable[[#This Row],[Resource Name]]="","",SUMIFS(tsk_LeafAC,tsk_Resource,ResourceTable[[#This Row],[Resource Name]]))</f>
        <v/>
      </c>
      <c r="M49" s="30"/>
    </row>
    <row r="50" customFormat="false" ht="15" hidden="false" customHeight="false" outlineLevel="0" collapsed="false">
      <c r="B50" s="30"/>
      <c r="C50" s="30"/>
      <c r="D50" s="30"/>
      <c r="E50" s="30"/>
      <c r="F50" s="55"/>
      <c r="G50" s="64"/>
      <c r="H50" s="30"/>
      <c r="I50" s="60" t="str">
        <f aca="false">IF(ResourceTable[[#This Row],[Resource Name]]="","",COUNTIFS(tsk_Resource,ResourceTable[[#This Row],[Resource Name]],tsk_IsLeaf,1))</f>
        <v/>
      </c>
      <c r="J50" s="62" t="str">
        <f aca="false">IF(ResourceTable[[#This Row],[Resource Name]]="","",SUMIFS(tsk_Work,tsk_Resource,ResourceTable[[#This Row],[Resource Name]],tsk_IsLeaf,1))</f>
        <v/>
      </c>
      <c r="K50" s="63" t="str">
        <f aca="false">IF(ResourceTable[[#This Row],[Resource Name]]="","",SUMIFS(tsk_Cost,tsk_Resource,ResourceTable[[#This Row],[Resource Name]],tsk_IsLeaf,1))</f>
        <v/>
      </c>
      <c r="L50" s="63" t="str">
        <f aca="false">IF(ResourceTable[[#This Row],[Resource Name]]="","",SUMIFS(tsk_LeafAC,tsk_Resource,ResourceTable[[#This Row],[Resource Name]]))</f>
        <v/>
      </c>
      <c r="M50" s="30"/>
    </row>
    <row r="51" customFormat="false" ht="15" hidden="false" customHeight="false" outlineLevel="0" collapsed="false">
      <c r="B51" s="30"/>
      <c r="C51" s="30"/>
      <c r="D51" s="30"/>
      <c r="E51" s="30"/>
      <c r="F51" s="55"/>
      <c r="G51" s="64"/>
      <c r="H51" s="30"/>
      <c r="I51" s="60" t="str">
        <f aca="false">IF(ResourceTable[[#This Row],[Resource Name]]="","",COUNTIFS(tsk_Resource,ResourceTable[[#This Row],[Resource Name]],tsk_IsLeaf,1))</f>
        <v/>
      </c>
      <c r="J51" s="62" t="str">
        <f aca="false">IF(ResourceTable[[#This Row],[Resource Name]]="","",SUMIFS(tsk_Work,tsk_Resource,ResourceTable[[#This Row],[Resource Name]],tsk_IsLeaf,1))</f>
        <v/>
      </c>
      <c r="K51" s="63" t="str">
        <f aca="false">IF(ResourceTable[[#This Row],[Resource Name]]="","",SUMIFS(tsk_Cost,tsk_Resource,ResourceTable[[#This Row],[Resource Name]],tsk_IsLeaf,1))</f>
        <v/>
      </c>
      <c r="L51" s="63" t="str">
        <f aca="false">IF(ResourceTable[[#This Row],[Resource Name]]="","",SUMIFS(tsk_LeafAC,tsk_Resource,ResourceTable[[#This Row],[Resource Name]]))</f>
        <v/>
      </c>
      <c r="M51" s="30"/>
    </row>
    <row r="52" customFormat="false" ht="15" hidden="false" customHeight="false" outlineLevel="0" collapsed="false">
      <c r="B52" s="30"/>
      <c r="C52" s="30"/>
      <c r="D52" s="30"/>
      <c r="E52" s="30"/>
      <c r="F52" s="55"/>
      <c r="G52" s="64"/>
      <c r="H52" s="30"/>
      <c r="I52" s="60" t="str">
        <f aca="false">IF(ResourceTable[[#This Row],[Resource Name]]="","",COUNTIFS(tsk_Resource,ResourceTable[[#This Row],[Resource Name]],tsk_IsLeaf,1))</f>
        <v/>
      </c>
      <c r="J52" s="62" t="str">
        <f aca="false">IF(ResourceTable[[#This Row],[Resource Name]]="","",SUMIFS(tsk_Work,tsk_Resource,ResourceTable[[#This Row],[Resource Name]],tsk_IsLeaf,1))</f>
        <v/>
      </c>
      <c r="K52" s="63" t="str">
        <f aca="false">IF(ResourceTable[[#This Row],[Resource Name]]="","",SUMIFS(tsk_Cost,tsk_Resource,ResourceTable[[#This Row],[Resource Name]],tsk_IsLeaf,1))</f>
        <v/>
      </c>
      <c r="L52" s="63" t="str">
        <f aca="false">IF(ResourceTable[[#This Row],[Resource Name]]="","",SUMIFS(tsk_LeafAC,tsk_Resource,ResourceTable[[#This Row],[Resource Name]]))</f>
        <v/>
      </c>
      <c r="M52" s="30"/>
    </row>
    <row r="53" customFormat="false" ht="15" hidden="false" customHeight="false" outlineLevel="0" collapsed="false">
      <c r="B53" s="30"/>
      <c r="C53" s="30"/>
      <c r="D53" s="30"/>
      <c r="E53" s="30"/>
      <c r="F53" s="55"/>
      <c r="G53" s="64"/>
      <c r="H53" s="30"/>
      <c r="I53" s="60" t="str">
        <f aca="false">IF(ResourceTable[[#This Row],[Resource Name]]="","",COUNTIFS(tsk_Resource,ResourceTable[[#This Row],[Resource Name]],tsk_IsLeaf,1))</f>
        <v/>
      </c>
      <c r="J53" s="62" t="str">
        <f aca="false">IF(ResourceTable[[#This Row],[Resource Name]]="","",SUMIFS(tsk_Work,tsk_Resource,ResourceTable[[#This Row],[Resource Name]],tsk_IsLeaf,1))</f>
        <v/>
      </c>
      <c r="K53" s="63" t="str">
        <f aca="false">IF(ResourceTable[[#This Row],[Resource Name]]="","",SUMIFS(tsk_Cost,tsk_Resource,ResourceTable[[#This Row],[Resource Name]],tsk_IsLeaf,1))</f>
        <v/>
      </c>
      <c r="L53" s="63" t="str">
        <f aca="false">IF(ResourceTable[[#This Row],[Resource Name]]="","",SUMIFS(tsk_LeafAC,tsk_Resource,ResourceTable[[#This Row],[Resource Name]]))</f>
        <v/>
      </c>
      <c r="M53" s="30"/>
    </row>
    <row r="54" customFormat="false" ht="15" hidden="false" customHeight="false" outlineLevel="0" collapsed="false">
      <c r="B54" s="30"/>
      <c r="C54" s="30"/>
      <c r="D54" s="30"/>
      <c r="E54" s="30"/>
      <c r="F54" s="55"/>
      <c r="G54" s="64"/>
      <c r="H54" s="30"/>
      <c r="I54" s="60" t="str">
        <f aca="false">IF(ResourceTable[[#This Row],[Resource Name]]="","",COUNTIFS(tsk_Resource,ResourceTable[[#This Row],[Resource Name]],tsk_IsLeaf,1))</f>
        <v/>
      </c>
      <c r="J54" s="62" t="str">
        <f aca="false">IF(ResourceTable[[#This Row],[Resource Name]]="","",SUMIFS(tsk_Work,tsk_Resource,ResourceTable[[#This Row],[Resource Name]],tsk_IsLeaf,1))</f>
        <v/>
      </c>
      <c r="K54" s="63" t="str">
        <f aca="false">IF(ResourceTable[[#This Row],[Resource Name]]="","",SUMIFS(tsk_Cost,tsk_Resource,ResourceTable[[#This Row],[Resource Name]],tsk_IsLeaf,1))</f>
        <v/>
      </c>
      <c r="L54" s="63" t="str">
        <f aca="false">IF(ResourceTable[[#This Row],[Resource Name]]="","",SUMIFS(tsk_LeafAC,tsk_Resource,ResourceTable[[#This Row],[Resource Name]]))</f>
        <v/>
      </c>
      <c r="M54" s="30"/>
    </row>
    <row r="55" customFormat="false" ht="15" hidden="false" customHeight="false" outlineLevel="0" collapsed="false">
      <c r="B55" s="30"/>
      <c r="C55" s="30"/>
      <c r="D55" s="30"/>
      <c r="E55" s="30"/>
      <c r="F55" s="55"/>
      <c r="G55" s="64"/>
      <c r="H55" s="30"/>
      <c r="I55" s="60" t="str">
        <f aca="false">IF(ResourceTable[[#This Row],[Resource Name]]="","",COUNTIFS(tsk_Resource,ResourceTable[[#This Row],[Resource Name]],tsk_IsLeaf,1))</f>
        <v/>
      </c>
      <c r="J55" s="62" t="str">
        <f aca="false">IF(ResourceTable[[#This Row],[Resource Name]]="","",SUMIFS(tsk_Work,tsk_Resource,ResourceTable[[#This Row],[Resource Name]],tsk_IsLeaf,1))</f>
        <v/>
      </c>
      <c r="K55" s="63" t="str">
        <f aca="false">IF(ResourceTable[[#This Row],[Resource Name]]="","",SUMIFS(tsk_Cost,tsk_Resource,ResourceTable[[#This Row],[Resource Name]],tsk_IsLeaf,1))</f>
        <v/>
      </c>
      <c r="L55" s="63" t="str">
        <f aca="false">IF(ResourceTable[[#This Row],[Resource Name]]="","",SUMIFS(tsk_LeafAC,tsk_Resource,ResourceTable[[#This Row],[Resource Name]]))</f>
        <v/>
      </c>
      <c r="M55" s="3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6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429</v>
      </c>
    </row>
    <row r="5" customFormat="false" ht="23.85" hidden="false" customHeight="false" outlineLevel="0" collapsed="false">
      <c r="A5" s="9" t="s">
        <v>234</v>
      </c>
      <c r="B5" s="9" t="s">
        <v>328</v>
      </c>
      <c r="C5" s="9" t="s">
        <v>430</v>
      </c>
      <c r="D5" s="9" t="s">
        <v>431</v>
      </c>
      <c r="E5" s="9" t="s">
        <v>432</v>
      </c>
      <c r="F5" s="27" t="s">
        <v>433</v>
      </c>
      <c r="G5" s="9" t="s">
        <v>434</v>
      </c>
      <c r="H5" s="9" t="s">
        <v>435</v>
      </c>
      <c r="I5" s="9" t="s">
        <v>49</v>
      </c>
      <c r="J5" s="9" t="s">
        <v>436</v>
      </c>
      <c r="K5" s="9" t="s">
        <v>77</v>
      </c>
    </row>
    <row r="6" customFormat="false" ht="15" hidden="false" customHeight="false" outlineLevel="0" collapsed="false">
      <c r="A6" s="28" t="n">
        <f aca="false">ROW()-ROW(SprintTable[[#Headers],[No]])</f>
        <v>1</v>
      </c>
      <c r="B6" s="24" t="str">
        <f aca="false">IF(SprintTable[[#This Row],[No]]&lt;=SprintCount,SprintPrefix&amp;SprintTable[[#This Row],[No]],"")</f>
        <v>Sprint 1</v>
      </c>
      <c r="C6" s="25" t="n">
        <f aca="false">Sprint1Start+(SprintTable[[#This Row],[No]]-1)*SprintLength</f>
        <v>1</v>
      </c>
      <c r="D6" s="25" t="n">
        <f aca="false">SprintTable[[#This Row],[Start]]+SprintLength-1</f>
        <v>14</v>
      </c>
      <c r="E6" s="28" t="n">
        <f aca="false">NETWORKDAYS.INTL(SprintTable[[#This Row],[Start]],SprintTable[[#This Row],[End]],WorkWeek,Holidays)</f>
        <v>10</v>
      </c>
      <c r="F6" s="30"/>
      <c r="G6" s="28" t="n">
        <f aca="false">IF(SprintTable[[#This Row],[Sprint]]="","",COUNTIF(tsk_Sprint,SprintTable[[#This Row],[Sprint]]))</f>
        <v>0</v>
      </c>
      <c r="H6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62" t="n">
        <f aca="false">IF(SprintTable[[#This Row],[Sprint]]="","",SUMIFS(res_MaxUnits,res_Type,"Work")*HoursPerDay*SprintTable[[#This Row],[Working Days]])</f>
        <v>0</v>
      </c>
      <c r="J6" s="61" t="str">
        <f aca="false">IF(OR(SprintTable[[#This Row],[Sprint]]="",N(SprintTable[[#This Row],[Capacity]])=0),"",SprintTable[[#This Row],[Planned Work]]/SprintTable[[#This Row],[Capacity]])</f>
        <v/>
      </c>
      <c r="K6" s="28" t="str">
        <f aca="false">IF(SprintTable[[#This Row],[Sprint]]="","",IF(StatusDate&gt;SprintTable[[#This Row],[End]],"Closed",IF(StatusDate&gt;=SprintTable[[#This Row],[Start]],"Active","Future")))</f>
        <v>Active</v>
      </c>
    </row>
    <row r="7" customFormat="false" ht="15" hidden="false" customHeight="false" outlineLevel="0" collapsed="false">
      <c r="A7" s="28" t="n">
        <f aca="false">ROW()-ROW(SprintTable[[#Headers],[No]])</f>
        <v>2</v>
      </c>
      <c r="B7" s="24" t="str">
        <f aca="false">IF(SprintTable[[#This Row],[No]]&lt;=SprintCount,SprintPrefix&amp;SprintTable[[#This Row],[No]],"")</f>
        <v>Sprint 2</v>
      </c>
      <c r="C7" s="25" t="n">
        <f aca="false">Sprint1Start+(SprintTable[[#This Row],[No]]-1)*SprintLength</f>
        <v>15</v>
      </c>
      <c r="D7" s="25" t="n">
        <f aca="false">SprintTable[[#This Row],[Start]]+SprintLength-1</f>
        <v>28</v>
      </c>
      <c r="E7" s="28" t="n">
        <f aca="false">NETWORKDAYS.INTL(SprintTable[[#This Row],[Start]],SprintTable[[#This Row],[End]],WorkWeek,Holidays)</f>
        <v>10</v>
      </c>
      <c r="F7" s="30"/>
      <c r="G7" s="28" t="n">
        <f aca="false">IF(SprintTable[[#This Row],[Sprint]]="","",COUNTIF(tsk_Sprint,SprintTable[[#This Row],[Sprint]]))</f>
        <v>0</v>
      </c>
      <c r="H7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62" t="n">
        <f aca="false">IF(SprintTable[[#This Row],[Sprint]]="","",SUMIFS(res_MaxUnits,res_Type,"Work")*HoursPerDay*SprintTable[[#This Row],[Working Days]])</f>
        <v>0</v>
      </c>
      <c r="J7" s="61" t="str">
        <f aca="false">IF(OR(SprintTable[[#This Row],[Sprint]]="",N(SprintTable[[#This Row],[Capacity]])=0),"",SprintTable[[#This Row],[Planned Work]]/SprintTable[[#This Row],[Capacity]])</f>
        <v/>
      </c>
      <c r="K7" s="28" t="str">
        <f aca="false">IF(SprintTable[[#This Row],[Sprint]]="","",IF(StatusDate&gt;SprintTable[[#This Row],[End]],"Closed",IF(StatusDate&gt;=SprintTable[[#This Row],[Start]],"Active","Future")))</f>
        <v>Future</v>
      </c>
    </row>
    <row r="8" customFormat="false" ht="15" hidden="false" customHeight="false" outlineLevel="0" collapsed="false">
      <c r="A8" s="28" t="n">
        <f aca="false">ROW()-ROW(SprintTable[[#Headers],[No]])</f>
        <v>3</v>
      </c>
      <c r="B8" s="24" t="str">
        <f aca="false">IF(SprintTable[[#This Row],[No]]&lt;=SprintCount,SprintPrefix&amp;SprintTable[[#This Row],[No]],"")</f>
        <v>Sprint 3</v>
      </c>
      <c r="C8" s="25" t="n">
        <f aca="false">Sprint1Start+(SprintTable[[#This Row],[No]]-1)*SprintLength</f>
        <v>29</v>
      </c>
      <c r="D8" s="25" t="n">
        <f aca="false">SprintTable[[#This Row],[Start]]+SprintLength-1</f>
        <v>42</v>
      </c>
      <c r="E8" s="28" t="n">
        <f aca="false">NETWORKDAYS.INTL(SprintTable[[#This Row],[Start]],SprintTable[[#This Row],[End]],WorkWeek,Holidays)</f>
        <v>10</v>
      </c>
      <c r="F8" s="30"/>
      <c r="G8" s="28" t="n">
        <f aca="false">IF(SprintTable[[#This Row],[Sprint]]="","",COUNTIF(tsk_Sprint,SprintTable[[#This Row],[Sprint]]))</f>
        <v>0</v>
      </c>
      <c r="H8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62" t="n">
        <f aca="false">IF(SprintTable[[#This Row],[Sprint]]="","",SUMIFS(res_MaxUnits,res_Type,"Work")*HoursPerDay*SprintTable[[#This Row],[Working Days]])</f>
        <v>0</v>
      </c>
      <c r="J8" s="61" t="str">
        <f aca="false">IF(OR(SprintTable[[#This Row],[Sprint]]="",N(SprintTable[[#This Row],[Capacity]])=0),"",SprintTable[[#This Row],[Planned Work]]/SprintTable[[#This Row],[Capacity]])</f>
        <v/>
      </c>
      <c r="K8" s="28" t="str">
        <f aca="false">IF(SprintTable[[#This Row],[Sprint]]="","",IF(StatusDate&gt;SprintTable[[#This Row],[End]],"Closed",IF(StatusDate&gt;=SprintTable[[#This Row],[Start]],"Active","Future")))</f>
        <v>Future</v>
      </c>
    </row>
    <row r="9" customFormat="false" ht="15" hidden="false" customHeight="false" outlineLevel="0" collapsed="false">
      <c r="A9" s="28" t="n">
        <f aca="false">ROW()-ROW(SprintTable[[#Headers],[No]])</f>
        <v>4</v>
      </c>
      <c r="B9" s="24" t="str">
        <f aca="false">IF(SprintTable[[#This Row],[No]]&lt;=SprintCount,SprintPrefix&amp;SprintTable[[#This Row],[No]],"")</f>
        <v>Sprint 4</v>
      </c>
      <c r="C9" s="25" t="n">
        <f aca="false">Sprint1Start+(SprintTable[[#This Row],[No]]-1)*SprintLength</f>
        <v>43</v>
      </c>
      <c r="D9" s="25" t="n">
        <f aca="false">SprintTable[[#This Row],[Start]]+SprintLength-1</f>
        <v>56</v>
      </c>
      <c r="E9" s="28" t="n">
        <f aca="false">NETWORKDAYS.INTL(SprintTable[[#This Row],[Start]],SprintTable[[#This Row],[End]],WorkWeek,Holidays)</f>
        <v>10</v>
      </c>
      <c r="F9" s="30"/>
      <c r="G9" s="28" t="n">
        <f aca="false">IF(SprintTable[[#This Row],[Sprint]]="","",COUNTIF(tsk_Sprint,SprintTable[[#This Row],[Sprint]]))</f>
        <v>0</v>
      </c>
      <c r="H9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62" t="n">
        <f aca="false">IF(SprintTable[[#This Row],[Sprint]]="","",SUMIFS(res_MaxUnits,res_Type,"Work")*HoursPerDay*SprintTable[[#This Row],[Working Days]])</f>
        <v>0</v>
      </c>
      <c r="J9" s="61" t="str">
        <f aca="false">IF(OR(SprintTable[[#This Row],[Sprint]]="",N(SprintTable[[#This Row],[Capacity]])=0),"",SprintTable[[#This Row],[Planned Work]]/SprintTable[[#This Row],[Capacity]])</f>
        <v/>
      </c>
      <c r="K9" s="28" t="str">
        <f aca="false">IF(SprintTable[[#This Row],[Sprint]]="","",IF(StatusDate&gt;SprintTable[[#This Row],[End]],"Closed",IF(StatusDate&gt;=SprintTable[[#This Row],[Start]],"Active","Future")))</f>
        <v>Future</v>
      </c>
    </row>
    <row r="10" customFormat="false" ht="15" hidden="false" customHeight="false" outlineLevel="0" collapsed="false">
      <c r="A10" s="28" t="n">
        <f aca="false">ROW()-ROW(SprintTable[[#Headers],[No]])</f>
        <v>5</v>
      </c>
      <c r="B10" s="24" t="str">
        <f aca="false">IF(SprintTable[[#This Row],[No]]&lt;=SprintCount,SprintPrefix&amp;SprintTable[[#This Row],[No]],"")</f>
        <v>Sprint 5</v>
      </c>
      <c r="C10" s="25" t="n">
        <f aca="false">Sprint1Start+(SprintTable[[#This Row],[No]]-1)*SprintLength</f>
        <v>57</v>
      </c>
      <c r="D10" s="25" t="n">
        <f aca="false">SprintTable[[#This Row],[Start]]+SprintLength-1</f>
        <v>70</v>
      </c>
      <c r="E10" s="28" t="n">
        <f aca="false">NETWORKDAYS.INTL(SprintTable[[#This Row],[Start]],SprintTable[[#This Row],[End]],WorkWeek,Holidays)</f>
        <v>10</v>
      </c>
      <c r="F10" s="30"/>
      <c r="G10" s="28" t="n">
        <f aca="false">IF(SprintTable[[#This Row],[Sprint]]="","",COUNTIF(tsk_Sprint,SprintTable[[#This Row],[Sprint]]))</f>
        <v>0</v>
      </c>
      <c r="H10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62" t="n">
        <f aca="false">IF(SprintTable[[#This Row],[Sprint]]="","",SUMIFS(res_MaxUnits,res_Type,"Work")*HoursPerDay*SprintTable[[#This Row],[Working Days]])</f>
        <v>0</v>
      </c>
      <c r="J10" s="61" t="str">
        <f aca="false">IF(OR(SprintTable[[#This Row],[Sprint]]="",N(SprintTable[[#This Row],[Capacity]])=0),"",SprintTable[[#This Row],[Planned Work]]/SprintTable[[#This Row],[Capacity]])</f>
        <v/>
      </c>
      <c r="K10" s="2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28" t="n">
        <f aca="false">ROW()-ROW(SprintTable[[#Headers],[No]])</f>
        <v>6</v>
      </c>
      <c r="B11" s="24" t="str">
        <f aca="false">IF(SprintTable[[#This Row],[No]]&lt;=SprintCount,SprintPrefix&amp;SprintTable[[#This Row],[No]],"")</f>
        <v>Sprint 6</v>
      </c>
      <c r="C11" s="25" t="n">
        <f aca="false">Sprint1Start+(SprintTable[[#This Row],[No]]-1)*SprintLength</f>
        <v>71</v>
      </c>
      <c r="D11" s="25" t="n">
        <f aca="false">SprintTable[[#This Row],[Start]]+SprintLength-1</f>
        <v>84</v>
      </c>
      <c r="E11" s="28" t="n">
        <f aca="false">NETWORKDAYS.INTL(SprintTable[[#This Row],[Start]],SprintTable[[#This Row],[End]],WorkWeek,Holidays)</f>
        <v>10</v>
      </c>
      <c r="F11" s="30"/>
      <c r="G11" s="28" t="n">
        <f aca="false">IF(SprintTable[[#This Row],[Sprint]]="","",COUNTIF(tsk_Sprint,SprintTable[[#This Row],[Sprint]]))</f>
        <v>0</v>
      </c>
      <c r="H11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62" t="n">
        <f aca="false">IF(SprintTable[[#This Row],[Sprint]]="","",SUMIFS(res_MaxUnits,res_Type,"Work")*HoursPerDay*SprintTable[[#This Row],[Working Days]])</f>
        <v>0</v>
      </c>
      <c r="J11" s="61" t="str">
        <f aca="false">IF(OR(SprintTable[[#This Row],[Sprint]]="",N(SprintTable[[#This Row],[Capacity]])=0),"",SprintTable[[#This Row],[Planned Work]]/SprintTable[[#This Row],[Capacity]])</f>
        <v/>
      </c>
      <c r="K11" s="2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28" t="n">
        <f aca="false">ROW()-ROW(SprintTable[[#Headers],[No]])</f>
        <v>7</v>
      </c>
      <c r="B12" s="24" t="str">
        <f aca="false">IF(SprintTable[[#This Row],[No]]&lt;=SprintCount,SprintPrefix&amp;SprintTable[[#This Row],[No]],"")</f>
        <v>Sprint 7</v>
      </c>
      <c r="C12" s="25" t="n">
        <f aca="false">Sprint1Start+(SprintTable[[#This Row],[No]]-1)*SprintLength</f>
        <v>85</v>
      </c>
      <c r="D12" s="25" t="n">
        <f aca="false">SprintTable[[#This Row],[Start]]+SprintLength-1</f>
        <v>98</v>
      </c>
      <c r="E12" s="28" t="n">
        <f aca="false">NETWORKDAYS.INTL(SprintTable[[#This Row],[Start]],SprintTable[[#This Row],[End]],WorkWeek,Holidays)</f>
        <v>10</v>
      </c>
      <c r="F12" s="30"/>
      <c r="G12" s="28" t="n">
        <f aca="false">IF(SprintTable[[#This Row],[Sprint]]="","",COUNTIF(tsk_Sprint,SprintTable[[#This Row],[Sprint]]))</f>
        <v>0</v>
      </c>
      <c r="H12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62" t="n">
        <f aca="false">IF(SprintTable[[#This Row],[Sprint]]="","",SUMIFS(res_MaxUnits,res_Type,"Work")*HoursPerDay*SprintTable[[#This Row],[Working Days]])</f>
        <v>0</v>
      </c>
      <c r="J12" s="61" t="str">
        <f aca="false">IF(OR(SprintTable[[#This Row],[Sprint]]="",N(SprintTable[[#This Row],[Capacity]])=0),"",SprintTable[[#This Row],[Planned Work]]/SprintTable[[#This Row],[Capacity]])</f>
        <v/>
      </c>
      <c r="K12" s="2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28" t="n">
        <f aca="false">ROW()-ROW(SprintTable[[#Headers],[No]])</f>
        <v>8</v>
      </c>
      <c r="B13" s="24" t="str">
        <f aca="false">IF(SprintTable[[#This Row],[No]]&lt;=SprintCount,SprintPrefix&amp;SprintTable[[#This Row],[No]],"")</f>
        <v>Sprint 8</v>
      </c>
      <c r="C13" s="25" t="n">
        <f aca="false">Sprint1Start+(SprintTable[[#This Row],[No]]-1)*SprintLength</f>
        <v>99</v>
      </c>
      <c r="D13" s="25" t="n">
        <f aca="false">SprintTable[[#This Row],[Start]]+SprintLength-1</f>
        <v>112</v>
      </c>
      <c r="E13" s="28" t="n">
        <f aca="false">NETWORKDAYS.INTL(SprintTable[[#This Row],[Start]],SprintTable[[#This Row],[End]],WorkWeek,Holidays)</f>
        <v>10</v>
      </c>
      <c r="F13" s="30"/>
      <c r="G13" s="28" t="n">
        <f aca="false">IF(SprintTable[[#This Row],[Sprint]]="","",COUNTIF(tsk_Sprint,SprintTable[[#This Row],[Sprint]]))</f>
        <v>0</v>
      </c>
      <c r="H13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62" t="n">
        <f aca="false">IF(SprintTable[[#This Row],[Sprint]]="","",SUMIFS(res_MaxUnits,res_Type,"Work")*HoursPerDay*SprintTable[[#This Row],[Working Days]])</f>
        <v>0</v>
      </c>
      <c r="J13" s="61" t="str">
        <f aca="false">IF(OR(SprintTable[[#This Row],[Sprint]]="",N(SprintTable[[#This Row],[Capacity]])=0),"",SprintTable[[#This Row],[Planned Work]]/SprintTable[[#This Row],[Capacity]])</f>
        <v/>
      </c>
      <c r="K13" s="2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28" t="n">
        <f aca="false">ROW()-ROW(SprintTable[[#Headers],[No]])</f>
        <v>9</v>
      </c>
      <c r="B14" s="24" t="str">
        <f aca="false">IF(SprintTable[[#This Row],[No]]&lt;=SprintCount,SprintPrefix&amp;SprintTable[[#This Row],[No]],"")</f>
        <v>Sprint 9</v>
      </c>
      <c r="C14" s="25" t="n">
        <f aca="false">Sprint1Start+(SprintTable[[#This Row],[No]]-1)*SprintLength</f>
        <v>113</v>
      </c>
      <c r="D14" s="25" t="n">
        <f aca="false">SprintTable[[#This Row],[Start]]+SprintLength-1</f>
        <v>126</v>
      </c>
      <c r="E14" s="28" t="n">
        <f aca="false">NETWORKDAYS.INTL(SprintTable[[#This Row],[Start]],SprintTable[[#This Row],[End]],WorkWeek,Holidays)</f>
        <v>10</v>
      </c>
      <c r="F14" s="30"/>
      <c r="G14" s="28" t="n">
        <f aca="false">IF(SprintTable[[#This Row],[Sprint]]="","",COUNTIF(tsk_Sprint,SprintTable[[#This Row],[Sprint]]))</f>
        <v>0</v>
      </c>
      <c r="H14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62" t="n">
        <f aca="false">IF(SprintTable[[#This Row],[Sprint]]="","",SUMIFS(res_MaxUnits,res_Type,"Work")*HoursPerDay*SprintTable[[#This Row],[Working Days]])</f>
        <v>0</v>
      </c>
      <c r="J14" s="61" t="str">
        <f aca="false">IF(OR(SprintTable[[#This Row],[Sprint]]="",N(SprintTable[[#This Row],[Capacity]])=0),"",SprintTable[[#This Row],[Planned Work]]/SprintTable[[#This Row],[Capacity]])</f>
        <v/>
      </c>
      <c r="K14" s="2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28" t="n">
        <f aca="false">ROW()-ROW(SprintTable[[#Headers],[No]])</f>
        <v>10</v>
      </c>
      <c r="B15" s="24" t="str">
        <f aca="false">IF(SprintTable[[#This Row],[No]]&lt;=SprintCount,SprintPrefix&amp;SprintTable[[#This Row],[No]],"")</f>
        <v>Sprint 10</v>
      </c>
      <c r="C15" s="25" t="n">
        <f aca="false">Sprint1Start+(SprintTable[[#This Row],[No]]-1)*SprintLength</f>
        <v>127</v>
      </c>
      <c r="D15" s="25" t="n">
        <f aca="false">SprintTable[[#This Row],[Start]]+SprintLength-1</f>
        <v>140</v>
      </c>
      <c r="E15" s="28" t="n">
        <f aca="false">NETWORKDAYS.INTL(SprintTable[[#This Row],[Start]],SprintTable[[#This Row],[End]],WorkWeek,Holidays)</f>
        <v>10</v>
      </c>
      <c r="F15" s="30"/>
      <c r="G15" s="28" t="n">
        <f aca="false">IF(SprintTable[[#This Row],[Sprint]]="","",COUNTIF(tsk_Sprint,SprintTable[[#This Row],[Sprint]]))</f>
        <v>0</v>
      </c>
      <c r="H15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62" t="n">
        <f aca="false">IF(SprintTable[[#This Row],[Sprint]]="","",SUMIFS(res_MaxUnits,res_Type,"Work")*HoursPerDay*SprintTable[[#This Row],[Working Days]])</f>
        <v>0</v>
      </c>
      <c r="J15" s="61" t="str">
        <f aca="false">IF(OR(SprintTable[[#This Row],[Sprint]]="",N(SprintTable[[#This Row],[Capacity]])=0),"",SprintTable[[#This Row],[Planned Work]]/SprintTable[[#This Row],[Capacity]])</f>
        <v/>
      </c>
      <c r="K15" s="2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28" t="n">
        <f aca="false">ROW()-ROW(SprintTable[[#Headers],[No]])</f>
        <v>11</v>
      </c>
      <c r="B16" s="24" t="str">
        <f aca="false">IF(SprintTable[[#This Row],[No]]&lt;=SprintCount,SprintPrefix&amp;SprintTable[[#This Row],[No]],"")</f>
        <v>Sprint 11</v>
      </c>
      <c r="C16" s="25" t="n">
        <f aca="false">Sprint1Start+(SprintTable[[#This Row],[No]]-1)*SprintLength</f>
        <v>141</v>
      </c>
      <c r="D16" s="25" t="n">
        <f aca="false">SprintTable[[#This Row],[Start]]+SprintLength-1</f>
        <v>154</v>
      </c>
      <c r="E16" s="28" t="n">
        <f aca="false">NETWORKDAYS.INTL(SprintTable[[#This Row],[Start]],SprintTable[[#This Row],[End]],WorkWeek,Holidays)</f>
        <v>10</v>
      </c>
      <c r="F16" s="30"/>
      <c r="G16" s="28" t="n">
        <f aca="false">IF(SprintTable[[#This Row],[Sprint]]="","",COUNTIF(tsk_Sprint,SprintTable[[#This Row],[Sprint]]))</f>
        <v>0</v>
      </c>
      <c r="H16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62" t="n">
        <f aca="false">IF(SprintTable[[#This Row],[Sprint]]="","",SUMIFS(res_MaxUnits,res_Type,"Work")*HoursPerDay*SprintTable[[#This Row],[Working Days]])</f>
        <v>0</v>
      </c>
      <c r="J16" s="61" t="str">
        <f aca="false">IF(OR(SprintTable[[#This Row],[Sprint]]="",N(SprintTable[[#This Row],[Capacity]])=0),"",SprintTable[[#This Row],[Planned Work]]/SprintTable[[#This Row],[Capacity]])</f>
        <v/>
      </c>
      <c r="K16" s="2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28" t="n">
        <f aca="false">ROW()-ROW(SprintTable[[#Headers],[No]])</f>
        <v>12</v>
      </c>
      <c r="B17" s="24" t="str">
        <f aca="false">IF(SprintTable[[#This Row],[No]]&lt;=SprintCount,SprintPrefix&amp;SprintTable[[#This Row],[No]],"")</f>
        <v>Sprint 12</v>
      </c>
      <c r="C17" s="25" t="n">
        <f aca="false">Sprint1Start+(SprintTable[[#This Row],[No]]-1)*SprintLength</f>
        <v>155</v>
      </c>
      <c r="D17" s="25" t="n">
        <f aca="false">SprintTable[[#This Row],[Start]]+SprintLength-1</f>
        <v>168</v>
      </c>
      <c r="E17" s="28" t="n">
        <f aca="false">NETWORKDAYS.INTL(SprintTable[[#This Row],[Start]],SprintTable[[#This Row],[End]],WorkWeek,Holidays)</f>
        <v>10</v>
      </c>
      <c r="F17" s="30"/>
      <c r="G17" s="28" t="n">
        <f aca="false">IF(SprintTable[[#This Row],[Sprint]]="","",COUNTIF(tsk_Sprint,SprintTable[[#This Row],[Sprint]]))</f>
        <v>0</v>
      </c>
      <c r="H17" s="62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62" t="n">
        <f aca="false">IF(SprintTable[[#This Row],[Sprint]]="","",SUMIFS(res_MaxUnits,res_Type,"Work")*HoursPerDay*SprintTable[[#This Row],[Working Days]])</f>
        <v>0</v>
      </c>
      <c r="J17" s="61" t="str">
        <f aca="false">IF(OR(SprintTable[[#This Row],[Sprint]]="",N(SprintTable[[#This Row],[Capacity]])=0),"",SprintTable[[#This Row],[Planned Work]]/SprintTable[[#This Row],[Capacity]])</f>
        <v/>
      </c>
      <c r="K17" s="2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28" t="n">
        <f aca="false">ROW()-ROW(SprintTable[[#Headers],[No]])</f>
        <v>13</v>
      </c>
      <c r="B18" s="24" t="str">
        <f aca="false">IF(SprintTable[[#This Row],[No]]&lt;=SprintCount,SprintPrefix&amp;SprintTable[[#This Row],[No]],"")</f>
        <v/>
      </c>
      <c r="C18" s="25" t="n">
        <f aca="false">Sprint1Start+(SprintTable[[#This Row],[No]]-1)*SprintLength</f>
        <v>169</v>
      </c>
      <c r="D18" s="25" t="n">
        <f aca="false">SprintTable[[#This Row],[Start]]+SprintLength-1</f>
        <v>182</v>
      </c>
      <c r="E18" s="28" t="n">
        <f aca="false">NETWORKDAYS.INTL(SprintTable[[#This Row],[Start]],SprintTable[[#This Row],[End]],WorkWeek,Holidays)</f>
        <v>10</v>
      </c>
      <c r="F18" s="30"/>
      <c r="G18" s="28" t="str">
        <f aca="false">IF(SprintTable[[#This Row],[Sprint]]="","",COUNTIF(tsk_Sprint,SprintTable[[#This Row],[Sprint]]))</f>
        <v/>
      </c>
      <c r="H18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62" t="str">
        <f aca="false">IF(SprintTable[[#This Row],[Sprint]]="","",SUMIFS(res_MaxUnits,res_Type,"Work")*HoursPerDay*SprintTable[[#This Row],[Working Days]])</f>
        <v/>
      </c>
      <c r="J18" s="61" t="str">
        <f aca="false">IF(OR(SprintTable[[#This Row],[Sprint]]="",N(SprintTable[[#This Row],[Capacity]])=0),"",SprintTable[[#This Row],[Planned Work]]/SprintTable[[#This Row],[Capacity]])</f>
        <v/>
      </c>
      <c r="K18" s="2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28" t="n">
        <f aca="false">ROW()-ROW(SprintTable[[#Headers],[No]])</f>
        <v>14</v>
      </c>
      <c r="B19" s="24" t="str">
        <f aca="false">IF(SprintTable[[#This Row],[No]]&lt;=SprintCount,SprintPrefix&amp;SprintTable[[#This Row],[No]],"")</f>
        <v/>
      </c>
      <c r="C19" s="25" t="n">
        <f aca="false">Sprint1Start+(SprintTable[[#This Row],[No]]-1)*SprintLength</f>
        <v>183</v>
      </c>
      <c r="D19" s="25" t="n">
        <f aca="false">SprintTable[[#This Row],[Start]]+SprintLength-1</f>
        <v>196</v>
      </c>
      <c r="E19" s="28" t="n">
        <f aca="false">NETWORKDAYS.INTL(SprintTable[[#This Row],[Start]],SprintTable[[#This Row],[End]],WorkWeek,Holidays)</f>
        <v>10</v>
      </c>
      <c r="F19" s="30"/>
      <c r="G19" s="28" t="str">
        <f aca="false">IF(SprintTable[[#This Row],[Sprint]]="","",COUNTIF(tsk_Sprint,SprintTable[[#This Row],[Sprint]]))</f>
        <v/>
      </c>
      <c r="H19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62" t="str">
        <f aca="false">IF(SprintTable[[#This Row],[Sprint]]="","",SUMIFS(res_MaxUnits,res_Type,"Work")*HoursPerDay*SprintTable[[#This Row],[Working Days]])</f>
        <v/>
      </c>
      <c r="J19" s="61" t="str">
        <f aca="false">IF(OR(SprintTable[[#This Row],[Sprint]]="",N(SprintTable[[#This Row],[Capacity]])=0),"",SprintTable[[#This Row],[Planned Work]]/SprintTable[[#This Row],[Capacity]])</f>
        <v/>
      </c>
      <c r="K19" s="2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28" t="n">
        <f aca="false">ROW()-ROW(SprintTable[[#Headers],[No]])</f>
        <v>15</v>
      </c>
      <c r="B20" s="24" t="str">
        <f aca="false">IF(SprintTable[[#This Row],[No]]&lt;=SprintCount,SprintPrefix&amp;SprintTable[[#This Row],[No]],"")</f>
        <v/>
      </c>
      <c r="C20" s="25" t="n">
        <f aca="false">Sprint1Start+(SprintTable[[#This Row],[No]]-1)*SprintLength</f>
        <v>197</v>
      </c>
      <c r="D20" s="25" t="n">
        <f aca="false">SprintTable[[#This Row],[Start]]+SprintLength-1</f>
        <v>210</v>
      </c>
      <c r="E20" s="28" t="n">
        <f aca="false">NETWORKDAYS.INTL(SprintTable[[#This Row],[Start]],SprintTable[[#This Row],[End]],WorkWeek,Holidays)</f>
        <v>10</v>
      </c>
      <c r="F20" s="30"/>
      <c r="G20" s="28" t="str">
        <f aca="false">IF(SprintTable[[#This Row],[Sprint]]="","",COUNTIF(tsk_Sprint,SprintTable[[#This Row],[Sprint]]))</f>
        <v/>
      </c>
      <c r="H20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62" t="str">
        <f aca="false">IF(SprintTable[[#This Row],[Sprint]]="","",SUMIFS(res_MaxUnits,res_Type,"Work")*HoursPerDay*SprintTable[[#This Row],[Working Days]])</f>
        <v/>
      </c>
      <c r="J20" s="61" t="str">
        <f aca="false">IF(OR(SprintTable[[#This Row],[Sprint]]="",N(SprintTable[[#This Row],[Capacity]])=0),"",SprintTable[[#This Row],[Planned Work]]/SprintTable[[#This Row],[Capacity]])</f>
        <v/>
      </c>
      <c r="K20" s="2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28" t="n">
        <f aca="false">ROW()-ROW(SprintTable[[#Headers],[No]])</f>
        <v>16</v>
      </c>
      <c r="B21" s="24" t="str">
        <f aca="false">IF(SprintTable[[#This Row],[No]]&lt;=SprintCount,SprintPrefix&amp;SprintTable[[#This Row],[No]],"")</f>
        <v/>
      </c>
      <c r="C21" s="25" t="n">
        <f aca="false">Sprint1Start+(SprintTable[[#This Row],[No]]-1)*SprintLength</f>
        <v>211</v>
      </c>
      <c r="D21" s="25" t="n">
        <f aca="false">SprintTable[[#This Row],[Start]]+SprintLength-1</f>
        <v>224</v>
      </c>
      <c r="E21" s="28" t="n">
        <f aca="false">NETWORKDAYS.INTL(SprintTable[[#This Row],[Start]],SprintTable[[#This Row],[End]],WorkWeek,Holidays)</f>
        <v>10</v>
      </c>
      <c r="F21" s="30"/>
      <c r="G21" s="28" t="str">
        <f aca="false">IF(SprintTable[[#This Row],[Sprint]]="","",COUNTIF(tsk_Sprint,SprintTable[[#This Row],[Sprint]]))</f>
        <v/>
      </c>
      <c r="H21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62" t="str">
        <f aca="false">IF(SprintTable[[#This Row],[Sprint]]="","",SUMIFS(res_MaxUnits,res_Type,"Work")*HoursPerDay*SprintTable[[#This Row],[Working Days]])</f>
        <v/>
      </c>
      <c r="J21" s="61" t="str">
        <f aca="false">IF(OR(SprintTable[[#This Row],[Sprint]]="",N(SprintTable[[#This Row],[Capacity]])=0),"",SprintTable[[#This Row],[Planned Work]]/SprintTable[[#This Row],[Capacity]])</f>
        <v/>
      </c>
      <c r="K21" s="2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28" t="n">
        <f aca="false">ROW()-ROW(SprintTable[[#Headers],[No]])</f>
        <v>17</v>
      </c>
      <c r="B22" s="24" t="str">
        <f aca="false">IF(SprintTable[[#This Row],[No]]&lt;=SprintCount,SprintPrefix&amp;SprintTable[[#This Row],[No]],"")</f>
        <v/>
      </c>
      <c r="C22" s="25" t="n">
        <f aca="false">Sprint1Start+(SprintTable[[#This Row],[No]]-1)*SprintLength</f>
        <v>225</v>
      </c>
      <c r="D22" s="25" t="n">
        <f aca="false">SprintTable[[#This Row],[Start]]+SprintLength-1</f>
        <v>238</v>
      </c>
      <c r="E22" s="28" t="n">
        <f aca="false">NETWORKDAYS.INTL(SprintTable[[#This Row],[Start]],SprintTable[[#This Row],[End]],WorkWeek,Holidays)</f>
        <v>10</v>
      </c>
      <c r="F22" s="30"/>
      <c r="G22" s="28" t="str">
        <f aca="false">IF(SprintTable[[#This Row],[Sprint]]="","",COUNTIF(tsk_Sprint,SprintTable[[#This Row],[Sprint]]))</f>
        <v/>
      </c>
      <c r="H22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62" t="str">
        <f aca="false">IF(SprintTable[[#This Row],[Sprint]]="","",SUMIFS(res_MaxUnits,res_Type,"Work")*HoursPerDay*SprintTable[[#This Row],[Working Days]])</f>
        <v/>
      </c>
      <c r="J22" s="61" t="str">
        <f aca="false">IF(OR(SprintTable[[#This Row],[Sprint]]="",N(SprintTable[[#This Row],[Capacity]])=0),"",SprintTable[[#This Row],[Planned Work]]/SprintTable[[#This Row],[Capacity]])</f>
        <v/>
      </c>
      <c r="K22" s="2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28" t="n">
        <f aca="false">ROW()-ROW(SprintTable[[#Headers],[No]])</f>
        <v>18</v>
      </c>
      <c r="B23" s="24" t="str">
        <f aca="false">IF(SprintTable[[#This Row],[No]]&lt;=SprintCount,SprintPrefix&amp;SprintTable[[#This Row],[No]],"")</f>
        <v/>
      </c>
      <c r="C23" s="25" t="n">
        <f aca="false">Sprint1Start+(SprintTable[[#This Row],[No]]-1)*SprintLength</f>
        <v>239</v>
      </c>
      <c r="D23" s="25" t="n">
        <f aca="false">SprintTable[[#This Row],[Start]]+SprintLength-1</f>
        <v>252</v>
      </c>
      <c r="E23" s="28" t="n">
        <f aca="false">NETWORKDAYS.INTL(SprintTable[[#This Row],[Start]],SprintTable[[#This Row],[End]],WorkWeek,Holidays)</f>
        <v>10</v>
      </c>
      <c r="F23" s="30"/>
      <c r="G23" s="28" t="str">
        <f aca="false">IF(SprintTable[[#This Row],[Sprint]]="","",COUNTIF(tsk_Sprint,SprintTable[[#This Row],[Sprint]]))</f>
        <v/>
      </c>
      <c r="H23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62" t="str">
        <f aca="false">IF(SprintTable[[#This Row],[Sprint]]="","",SUMIFS(res_MaxUnits,res_Type,"Work")*HoursPerDay*SprintTable[[#This Row],[Working Days]])</f>
        <v/>
      </c>
      <c r="J23" s="61" t="str">
        <f aca="false">IF(OR(SprintTable[[#This Row],[Sprint]]="",N(SprintTable[[#This Row],[Capacity]])=0),"",SprintTable[[#This Row],[Planned Work]]/SprintTable[[#This Row],[Capacity]])</f>
        <v/>
      </c>
      <c r="K23" s="2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28" t="n">
        <f aca="false">ROW()-ROW(SprintTable[[#Headers],[No]])</f>
        <v>19</v>
      </c>
      <c r="B24" s="24" t="str">
        <f aca="false">IF(SprintTable[[#This Row],[No]]&lt;=SprintCount,SprintPrefix&amp;SprintTable[[#This Row],[No]],"")</f>
        <v/>
      </c>
      <c r="C24" s="25" t="n">
        <f aca="false">Sprint1Start+(SprintTable[[#This Row],[No]]-1)*SprintLength</f>
        <v>253</v>
      </c>
      <c r="D24" s="25" t="n">
        <f aca="false">SprintTable[[#This Row],[Start]]+SprintLength-1</f>
        <v>266</v>
      </c>
      <c r="E24" s="28" t="n">
        <f aca="false">NETWORKDAYS.INTL(SprintTable[[#This Row],[Start]],SprintTable[[#This Row],[End]],WorkWeek,Holidays)</f>
        <v>10</v>
      </c>
      <c r="F24" s="30"/>
      <c r="G24" s="28" t="str">
        <f aca="false">IF(SprintTable[[#This Row],[Sprint]]="","",COUNTIF(tsk_Sprint,SprintTable[[#This Row],[Sprint]]))</f>
        <v/>
      </c>
      <c r="H24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62" t="str">
        <f aca="false">IF(SprintTable[[#This Row],[Sprint]]="","",SUMIFS(res_MaxUnits,res_Type,"Work")*HoursPerDay*SprintTable[[#This Row],[Working Days]])</f>
        <v/>
      </c>
      <c r="J24" s="61" t="str">
        <f aca="false">IF(OR(SprintTable[[#This Row],[Sprint]]="",N(SprintTable[[#This Row],[Capacity]])=0),"",SprintTable[[#This Row],[Planned Work]]/SprintTable[[#This Row],[Capacity]])</f>
        <v/>
      </c>
      <c r="K24" s="2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28" t="n">
        <f aca="false">ROW()-ROW(SprintTable[[#Headers],[No]])</f>
        <v>20</v>
      </c>
      <c r="B25" s="24" t="str">
        <f aca="false">IF(SprintTable[[#This Row],[No]]&lt;=SprintCount,SprintPrefix&amp;SprintTable[[#This Row],[No]],"")</f>
        <v/>
      </c>
      <c r="C25" s="25" t="n">
        <f aca="false">Sprint1Start+(SprintTable[[#This Row],[No]]-1)*SprintLength</f>
        <v>267</v>
      </c>
      <c r="D25" s="25" t="n">
        <f aca="false">SprintTable[[#This Row],[Start]]+SprintLength-1</f>
        <v>280</v>
      </c>
      <c r="E25" s="28" t="n">
        <f aca="false">NETWORKDAYS.INTL(SprintTable[[#This Row],[Start]],SprintTable[[#This Row],[End]],WorkWeek,Holidays)</f>
        <v>10</v>
      </c>
      <c r="F25" s="30"/>
      <c r="G25" s="28" t="str">
        <f aca="false">IF(SprintTable[[#This Row],[Sprint]]="","",COUNTIF(tsk_Sprint,SprintTable[[#This Row],[Sprint]]))</f>
        <v/>
      </c>
      <c r="H25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62" t="str">
        <f aca="false">IF(SprintTable[[#This Row],[Sprint]]="","",SUMIFS(res_MaxUnits,res_Type,"Work")*HoursPerDay*SprintTable[[#This Row],[Working Days]])</f>
        <v/>
      </c>
      <c r="J25" s="61" t="str">
        <f aca="false">IF(OR(SprintTable[[#This Row],[Sprint]]="",N(SprintTable[[#This Row],[Capacity]])=0),"",SprintTable[[#This Row],[Planned Work]]/SprintTable[[#This Row],[Capacity]])</f>
        <v/>
      </c>
      <c r="K25" s="2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28" t="n">
        <f aca="false">ROW()-ROW(SprintTable[[#Headers],[No]])</f>
        <v>21</v>
      </c>
      <c r="B26" s="24" t="str">
        <f aca="false">IF(SprintTable[[#This Row],[No]]&lt;=SprintCount,SprintPrefix&amp;SprintTable[[#This Row],[No]],"")</f>
        <v/>
      </c>
      <c r="C26" s="25" t="n">
        <f aca="false">Sprint1Start+(SprintTable[[#This Row],[No]]-1)*SprintLength</f>
        <v>281</v>
      </c>
      <c r="D26" s="25" t="n">
        <f aca="false">SprintTable[[#This Row],[Start]]+SprintLength-1</f>
        <v>294</v>
      </c>
      <c r="E26" s="28" t="n">
        <f aca="false">NETWORKDAYS.INTL(SprintTable[[#This Row],[Start]],SprintTable[[#This Row],[End]],WorkWeek,Holidays)</f>
        <v>10</v>
      </c>
      <c r="F26" s="30"/>
      <c r="G26" s="28" t="str">
        <f aca="false">IF(SprintTable[[#This Row],[Sprint]]="","",COUNTIF(tsk_Sprint,SprintTable[[#This Row],[Sprint]]))</f>
        <v/>
      </c>
      <c r="H26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62" t="str">
        <f aca="false">IF(SprintTable[[#This Row],[Sprint]]="","",SUMIFS(res_MaxUnits,res_Type,"Work")*HoursPerDay*SprintTable[[#This Row],[Working Days]])</f>
        <v/>
      </c>
      <c r="J26" s="61" t="str">
        <f aca="false">IF(OR(SprintTable[[#This Row],[Sprint]]="",N(SprintTable[[#This Row],[Capacity]])=0),"",SprintTable[[#This Row],[Planned Work]]/SprintTable[[#This Row],[Capacity]])</f>
        <v/>
      </c>
      <c r="K26" s="2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28" t="n">
        <f aca="false">ROW()-ROW(SprintTable[[#Headers],[No]])</f>
        <v>22</v>
      </c>
      <c r="B27" s="24" t="str">
        <f aca="false">IF(SprintTable[[#This Row],[No]]&lt;=SprintCount,SprintPrefix&amp;SprintTable[[#This Row],[No]],"")</f>
        <v/>
      </c>
      <c r="C27" s="25" t="n">
        <f aca="false">Sprint1Start+(SprintTable[[#This Row],[No]]-1)*SprintLength</f>
        <v>295</v>
      </c>
      <c r="D27" s="25" t="n">
        <f aca="false">SprintTable[[#This Row],[Start]]+SprintLength-1</f>
        <v>308</v>
      </c>
      <c r="E27" s="28" t="n">
        <f aca="false">NETWORKDAYS.INTL(SprintTable[[#This Row],[Start]],SprintTable[[#This Row],[End]],WorkWeek,Holidays)</f>
        <v>10</v>
      </c>
      <c r="F27" s="30"/>
      <c r="G27" s="28" t="str">
        <f aca="false">IF(SprintTable[[#This Row],[Sprint]]="","",COUNTIF(tsk_Sprint,SprintTable[[#This Row],[Sprint]]))</f>
        <v/>
      </c>
      <c r="H27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62" t="str">
        <f aca="false">IF(SprintTable[[#This Row],[Sprint]]="","",SUMIFS(res_MaxUnits,res_Type,"Work")*HoursPerDay*SprintTable[[#This Row],[Working Days]])</f>
        <v/>
      </c>
      <c r="J27" s="61" t="str">
        <f aca="false">IF(OR(SprintTable[[#This Row],[Sprint]]="",N(SprintTable[[#This Row],[Capacity]])=0),"",SprintTable[[#This Row],[Planned Work]]/SprintTable[[#This Row],[Capacity]])</f>
        <v/>
      </c>
      <c r="K27" s="2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28" t="n">
        <f aca="false">ROW()-ROW(SprintTable[[#Headers],[No]])</f>
        <v>23</v>
      </c>
      <c r="B28" s="24" t="str">
        <f aca="false">IF(SprintTable[[#This Row],[No]]&lt;=SprintCount,SprintPrefix&amp;SprintTable[[#This Row],[No]],"")</f>
        <v/>
      </c>
      <c r="C28" s="25" t="n">
        <f aca="false">Sprint1Start+(SprintTable[[#This Row],[No]]-1)*SprintLength</f>
        <v>309</v>
      </c>
      <c r="D28" s="25" t="n">
        <f aca="false">SprintTable[[#This Row],[Start]]+SprintLength-1</f>
        <v>322</v>
      </c>
      <c r="E28" s="28" t="n">
        <f aca="false">NETWORKDAYS.INTL(SprintTable[[#This Row],[Start]],SprintTable[[#This Row],[End]],WorkWeek,Holidays)</f>
        <v>10</v>
      </c>
      <c r="F28" s="30"/>
      <c r="G28" s="28" t="str">
        <f aca="false">IF(SprintTable[[#This Row],[Sprint]]="","",COUNTIF(tsk_Sprint,SprintTable[[#This Row],[Sprint]]))</f>
        <v/>
      </c>
      <c r="H28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62" t="str">
        <f aca="false">IF(SprintTable[[#This Row],[Sprint]]="","",SUMIFS(res_MaxUnits,res_Type,"Work")*HoursPerDay*SprintTable[[#This Row],[Working Days]])</f>
        <v/>
      </c>
      <c r="J28" s="61" t="str">
        <f aca="false">IF(OR(SprintTable[[#This Row],[Sprint]]="",N(SprintTable[[#This Row],[Capacity]])=0),"",SprintTable[[#This Row],[Planned Work]]/SprintTable[[#This Row],[Capacity]])</f>
        <v/>
      </c>
      <c r="K28" s="2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28" t="n">
        <f aca="false">ROW()-ROW(SprintTable[[#Headers],[No]])</f>
        <v>24</v>
      </c>
      <c r="B29" s="24" t="str">
        <f aca="false">IF(SprintTable[[#This Row],[No]]&lt;=SprintCount,SprintPrefix&amp;SprintTable[[#This Row],[No]],"")</f>
        <v/>
      </c>
      <c r="C29" s="25" t="n">
        <f aca="false">Sprint1Start+(SprintTable[[#This Row],[No]]-1)*SprintLength</f>
        <v>323</v>
      </c>
      <c r="D29" s="25" t="n">
        <f aca="false">SprintTable[[#This Row],[Start]]+SprintLength-1</f>
        <v>336</v>
      </c>
      <c r="E29" s="28" t="n">
        <f aca="false">NETWORKDAYS.INTL(SprintTable[[#This Row],[Start]],SprintTable[[#This Row],[End]],WorkWeek,Holidays)</f>
        <v>10</v>
      </c>
      <c r="F29" s="30"/>
      <c r="G29" s="28" t="str">
        <f aca="false">IF(SprintTable[[#This Row],[Sprint]]="","",COUNTIF(tsk_Sprint,SprintTable[[#This Row],[Sprint]]))</f>
        <v/>
      </c>
      <c r="H29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62" t="str">
        <f aca="false">IF(SprintTable[[#This Row],[Sprint]]="","",SUMIFS(res_MaxUnits,res_Type,"Work")*HoursPerDay*SprintTable[[#This Row],[Working Days]])</f>
        <v/>
      </c>
      <c r="J29" s="61" t="str">
        <f aca="false">IF(OR(SprintTable[[#This Row],[Sprint]]="",N(SprintTable[[#This Row],[Capacity]])=0),"",SprintTable[[#This Row],[Planned Work]]/SprintTable[[#This Row],[Capacity]])</f>
        <v/>
      </c>
      <c r="K29" s="2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28" t="n">
        <f aca="false">ROW()-ROW(SprintTable[[#Headers],[No]])</f>
        <v>25</v>
      </c>
      <c r="B30" s="24" t="str">
        <f aca="false">IF(SprintTable[[#This Row],[No]]&lt;=SprintCount,SprintPrefix&amp;SprintTable[[#This Row],[No]],"")</f>
        <v/>
      </c>
      <c r="C30" s="25" t="n">
        <f aca="false">Sprint1Start+(SprintTable[[#This Row],[No]]-1)*SprintLength</f>
        <v>337</v>
      </c>
      <c r="D30" s="25" t="n">
        <f aca="false">SprintTable[[#This Row],[Start]]+SprintLength-1</f>
        <v>350</v>
      </c>
      <c r="E30" s="28" t="n">
        <f aca="false">NETWORKDAYS.INTL(SprintTable[[#This Row],[Start]],SprintTable[[#This Row],[End]],WorkWeek,Holidays)</f>
        <v>10</v>
      </c>
      <c r="F30" s="30"/>
      <c r="G30" s="28" t="str">
        <f aca="false">IF(SprintTable[[#This Row],[Sprint]]="","",COUNTIF(tsk_Sprint,SprintTable[[#This Row],[Sprint]]))</f>
        <v/>
      </c>
      <c r="H30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62" t="str">
        <f aca="false">IF(SprintTable[[#This Row],[Sprint]]="","",SUMIFS(res_MaxUnits,res_Type,"Work")*HoursPerDay*SprintTable[[#This Row],[Working Days]])</f>
        <v/>
      </c>
      <c r="J30" s="61" t="str">
        <f aca="false">IF(OR(SprintTable[[#This Row],[Sprint]]="",N(SprintTable[[#This Row],[Capacity]])=0),"",SprintTable[[#This Row],[Planned Work]]/SprintTable[[#This Row],[Capacity]])</f>
        <v/>
      </c>
      <c r="K30" s="2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28" t="n">
        <f aca="false">ROW()-ROW(SprintTable[[#Headers],[No]])</f>
        <v>26</v>
      </c>
      <c r="B31" s="24" t="str">
        <f aca="false">IF(SprintTable[[#This Row],[No]]&lt;=SprintCount,SprintPrefix&amp;SprintTable[[#This Row],[No]],"")</f>
        <v/>
      </c>
      <c r="C31" s="25" t="n">
        <f aca="false">Sprint1Start+(SprintTable[[#This Row],[No]]-1)*SprintLength</f>
        <v>351</v>
      </c>
      <c r="D31" s="25" t="n">
        <f aca="false">SprintTable[[#This Row],[Start]]+SprintLength-1</f>
        <v>364</v>
      </c>
      <c r="E31" s="28" t="n">
        <f aca="false">NETWORKDAYS.INTL(SprintTable[[#This Row],[Start]],SprintTable[[#This Row],[End]],WorkWeek,Holidays)</f>
        <v>10</v>
      </c>
      <c r="F31" s="30"/>
      <c r="G31" s="28" t="str">
        <f aca="false">IF(SprintTable[[#This Row],[Sprint]]="","",COUNTIF(tsk_Sprint,SprintTable[[#This Row],[Sprint]]))</f>
        <v/>
      </c>
      <c r="H31" s="62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62" t="str">
        <f aca="false">IF(SprintTable[[#This Row],[Sprint]]="","",SUMIFS(res_MaxUnits,res_Type,"Work")*HoursPerDay*SprintTable[[#This Row],[Working Days]])</f>
        <v/>
      </c>
      <c r="J31" s="61" t="str">
        <f aca="false">IF(OR(SprintTable[[#This Row],[Sprint]]="",N(SprintTable[[#This Row],[Capacity]])=0),"",SprintTable[[#This Row],[Planned Work]]/SprintTable[[#This Row],[Capacity]])</f>
        <v/>
      </c>
      <c r="K31" s="2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90" t="s">
        <v>437</v>
      </c>
    </row>
    <row r="34" customFormat="false" ht="15" hidden="false" customHeight="false" outlineLevel="0" collapsed="false">
      <c r="B34" s="9" t="s">
        <v>183</v>
      </c>
      <c r="C34" s="9" t="s">
        <v>425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91" t="s">
        <v>438</v>
      </c>
      <c r="D35" s="92" t="n">
        <f aca="false">IFERROR(IF(INDEX(spr_Name,(COLUMN()-COLUMN(load_Origin)-1))="","",INDEX(spr_Start,(COLUMN()-COLUMN(load_Origin)-1))),"")</f>
        <v>1</v>
      </c>
      <c r="E35" s="92" t="n">
        <f aca="false">IFERROR(IF(INDEX(spr_Name,(COLUMN()-COLUMN(load_Origin)-1))="","",INDEX(spr_Start,(COLUMN()-COLUMN(load_Origin)-1))),"")</f>
        <v>15</v>
      </c>
      <c r="F35" s="92" t="n">
        <f aca="false">IFERROR(IF(INDEX(spr_Name,(COLUMN()-COLUMN(load_Origin)-1))="","",INDEX(spr_Start,(COLUMN()-COLUMN(load_Origin)-1))),"")</f>
        <v>29</v>
      </c>
      <c r="G35" s="92" t="n">
        <f aca="false">IFERROR(IF(INDEX(spr_Name,(COLUMN()-COLUMN(load_Origin)-1))="","",INDEX(spr_Start,(COLUMN()-COLUMN(load_Origin)-1))),"")</f>
        <v>43</v>
      </c>
      <c r="H35" s="92" t="n">
        <f aca="false">IFERROR(IF(INDEX(spr_Name,(COLUMN()-COLUMN(load_Origin)-1))="","",INDEX(spr_Start,(COLUMN()-COLUMN(load_Origin)-1))),"")</f>
        <v>57</v>
      </c>
      <c r="I35" s="92" t="n">
        <f aca="false">IFERROR(IF(INDEX(spr_Name,(COLUMN()-COLUMN(load_Origin)-1))="","",INDEX(spr_Start,(COLUMN()-COLUMN(load_Origin)-1))),"")</f>
        <v>71</v>
      </c>
      <c r="J35" s="92" t="n">
        <f aca="false">IFERROR(IF(INDEX(spr_Name,(COLUMN()-COLUMN(load_Origin)-1))="","",INDEX(spr_Start,(COLUMN()-COLUMN(load_Origin)-1))),"")</f>
        <v>85</v>
      </c>
      <c r="K35" s="92" t="n">
        <f aca="false">IFERROR(IF(INDEX(spr_Name,(COLUMN()-COLUMN(load_Origin)-1))="","",INDEX(spr_Start,(COLUMN()-COLUMN(load_Origin)-1))),"")</f>
        <v>99</v>
      </c>
      <c r="L35" s="92" t="n">
        <f aca="false">IFERROR(IF(INDEX(spr_Name,(COLUMN()-COLUMN(load_Origin)-1))="","",INDEX(spr_Start,(COLUMN()-COLUMN(load_Origin)-1))),"")</f>
        <v>113</v>
      </c>
      <c r="M35" s="92" t="n">
        <f aca="false">IFERROR(IF(INDEX(spr_Name,(COLUMN()-COLUMN(load_Origin)-1))="","",INDEX(spr_Start,(COLUMN()-COLUMN(load_Origin)-1))),"")</f>
        <v>127</v>
      </c>
      <c r="N35" s="92" t="n">
        <f aca="false">IFERROR(IF(INDEX(spr_Name,(COLUMN()-COLUMN(load_Origin)-1))="","",INDEX(spr_Start,(COLUMN()-COLUMN(load_Origin)-1))),"")</f>
        <v>141</v>
      </c>
      <c r="O35" s="92" t="n">
        <f aca="false">IFERROR(IF(INDEX(spr_Name,(COLUMN()-COLUMN(load_Origin)-1))="","",INDEX(spr_Start,(COLUMN()-COLUMN(load_Origin)-1))),"")</f>
        <v>155</v>
      </c>
      <c r="P35" s="92" t="str">
        <f aca="false">IFERROR(IF(INDEX(spr_Name,(COLUMN()-COLUMN(load_Origin)-1))="","",INDEX(spr_Start,(COLUMN()-COLUMN(load_Origin)-1))),"")</f>
        <v/>
      </c>
      <c r="Q35" s="92" t="str">
        <f aca="false">IFERROR(IF(INDEX(spr_Name,(COLUMN()-COLUMN(load_Origin)-1))="","",INDEX(spr_Start,(COLUMN()-COLUMN(load_Origin)-1))),"")</f>
        <v/>
      </c>
      <c r="R35" s="92" t="str">
        <f aca="false">IFERROR(IF(INDEX(spr_Name,(COLUMN()-COLUMN(load_Origin)-1))="","",INDEX(spr_Start,(COLUMN()-COLUMN(load_Origin)-1))),"")</f>
        <v/>
      </c>
      <c r="S35" s="92" t="str">
        <f aca="false">IFERROR(IF(INDEX(spr_Name,(COLUMN()-COLUMN(load_Origin)-1))="","",INDEX(spr_Start,(COLUMN()-COLUMN(load_Origin)-1))),"")</f>
        <v/>
      </c>
      <c r="T35" s="92" t="str">
        <f aca="false">IFERROR(IF(INDEX(spr_Name,(COLUMN()-COLUMN(load_Origin)-1))="","",INDEX(spr_Start,(COLUMN()-COLUMN(load_Origin)-1))),"")</f>
        <v/>
      </c>
      <c r="U35" s="92" t="str">
        <f aca="false">IFERROR(IF(INDEX(spr_Name,(COLUMN()-COLUMN(load_Origin)-1))="","",INDEX(spr_Start,(COLUMN()-COLUMN(load_Origin)-1))),"")</f>
        <v/>
      </c>
      <c r="V35" s="92" t="str">
        <f aca="false">IFERROR(IF(INDEX(spr_Name,(COLUMN()-COLUMN(load_Origin)-1))="","",INDEX(spr_Start,(COLUMN()-COLUMN(load_Origin)-1))),"")</f>
        <v/>
      </c>
      <c r="W35" s="92" t="str">
        <f aca="false">IFERROR(IF(INDEX(spr_Name,(COLUMN()-COLUMN(load_Origin)-1))="","",INDEX(spr_Start,(COLUMN()-COLUMN(load_Origin)-1))),"")</f>
        <v/>
      </c>
      <c r="X35" s="92" t="str">
        <f aca="false">IFERROR(IF(INDEX(spr_Name,(COLUMN()-COLUMN(load_Origin)-1))="","",INDEX(spr_Start,(COLUMN()-COLUMN(load_Origin)-1))),"")</f>
        <v/>
      </c>
      <c r="Y35" s="92" t="str">
        <f aca="false">IFERROR(IF(INDEX(spr_Name,(COLUMN()-COLUMN(load_Origin)-1))="","",INDEX(spr_Start,(COLUMN()-COLUMN(load_Origin)-1))),"")</f>
        <v/>
      </c>
      <c r="Z35" s="92" t="str">
        <f aca="false">IFERROR(IF(INDEX(spr_Name,(COLUMN()-COLUMN(load_Origin)-1))="","",INDEX(spr_Start,(COLUMN()-COLUMN(load_Origin)-1))),"")</f>
        <v/>
      </c>
      <c r="AA35" s="92" t="str">
        <f aca="false">IFERROR(IF(INDEX(spr_Name,(COLUMN()-COLUMN(load_Origin)-1))="","",INDEX(spr_Start,(COLUMN()-COLUMN(load_Origin)-1))),"")</f>
        <v/>
      </c>
      <c r="AB35" s="92" t="str">
        <f aca="false">IFERROR(IF(INDEX(spr_Name,(COLUMN()-COLUMN(load_Origin)-1))="","",INDEX(spr_Start,(COLUMN()-COLUMN(load_Origin)-1))),"")</f>
        <v/>
      </c>
      <c r="AC35" s="92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31" t="str">
        <f aca="false">IFERROR(INDEX(res_Name,(ROW()-ROW(load_Origin)-1))&amp;"","")</f>
        <v/>
      </c>
      <c r="C36" s="93" t="str">
        <f aca="false">IFERROR(IF(INDEX(res_Name,(ROW()-ROW(load_Origin)-1))="","",INDEX(res_MaxUnits,(ROW()-ROW(load_Origin)-1))),"")</f>
        <v/>
      </c>
      <c r="D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31" t="str">
        <f aca="false">IFERROR(INDEX(res_Name,(ROW()-ROW(load_Origin)-1))&amp;"","")</f>
        <v/>
      </c>
      <c r="C37" s="93" t="str">
        <f aca="false">IFERROR(IF(INDEX(res_Name,(ROW()-ROW(load_Origin)-1))="","",INDEX(res_MaxUnits,(ROW()-ROW(load_Origin)-1))),"")</f>
        <v/>
      </c>
      <c r="D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31" t="str">
        <f aca="false">IFERROR(INDEX(res_Name,(ROW()-ROW(load_Origin)-1))&amp;"","")</f>
        <v/>
      </c>
      <c r="C38" s="93" t="str">
        <f aca="false">IFERROR(IF(INDEX(res_Name,(ROW()-ROW(load_Origin)-1))="","",INDEX(res_MaxUnits,(ROW()-ROW(load_Origin)-1))),"")</f>
        <v/>
      </c>
      <c r="D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31" t="str">
        <f aca="false">IFERROR(INDEX(res_Name,(ROW()-ROW(load_Origin)-1))&amp;"","")</f>
        <v/>
      </c>
      <c r="C39" s="93" t="str">
        <f aca="false">IFERROR(IF(INDEX(res_Name,(ROW()-ROW(load_Origin)-1))="","",INDEX(res_MaxUnits,(ROW()-ROW(load_Origin)-1))),"")</f>
        <v/>
      </c>
      <c r="D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31" t="str">
        <f aca="false">IFERROR(INDEX(res_Name,(ROW()-ROW(load_Origin)-1))&amp;"","")</f>
        <v/>
      </c>
      <c r="C40" s="93" t="str">
        <f aca="false">IFERROR(IF(INDEX(res_Name,(ROW()-ROW(load_Origin)-1))="","",INDEX(res_MaxUnits,(ROW()-ROW(load_Origin)-1))),"")</f>
        <v/>
      </c>
      <c r="D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31" t="str">
        <f aca="false">IFERROR(INDEX(res_Name,(ROW()-ROW(load_Origin)-1))&amp;"","")</f>
        <v/>
      </c>
      <c r="C41" s="93" t="str">
        <f aca="false">IFERROR(IF(INDEX(res_Name,(ROW()-ROW(load_Origin)-1))="","",INDEX(res_MaxUnits,(ROW()-ROW(load_Origin)-1))),"")</f>
        <v/>
      </c>
      <c r="D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31" t="str">
        <f aca="false">IFERROR(INDEX(res_Name,(ROW()-ROW(load_Origin)-1))&amp;"","")</f>
        <v/>
      </c>
      <c r="C42" s="93" t="str">
        <f aca="false">IFERROR(IF(INDEX(res_Name,(ROW()-ROW(load_Origin)-1))="","",INDEX(res_MaxUnits,(ROW()-ROW(load_Origin)-1))),"")</f>
        <v/>
      </c>
      <c r="D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31" t="str">
        <f aca="false">IFERROR(INDEX(res_Name,(ROW()-ROW(load_Origin)-1))&amp;"","")</f>
        <v/>
      </c>
      <c r="C43" s="93" t="str">
        <f aca="false">IFERROR(IF(INDEX(res_Name,(ROW()-ROW(load_Origin)-1))="","",INDEX(res_MaxUnits,(ROW()-ROW(load_Origin)-1))),"")</f>
        <v/>
      </c>
      <c r="D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31" t="str">
        <f aca="false">IFERROR(INDEX(res_Name,(ROW()-ROW(load_Origin)-1))&amp;"","")</f>
        <v/>
      </c>
      <c r="C44" s="93" t="str">
        <f aca="false">IFERROR(IF(INDEX(res_Name,(ROW()-ROW(load_Origin)-1))="","",INDEX(res_MaxUnits,(ROW()-ROW(load_Origin)-1))),"")</f>
        <v/>
      </c>
      <c r="D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31" t="str">
        <f aca="false">IFERROR(INDEX(res_Name,(ROW()-ROW(load_Origin)-1))&amp;"","")</f>
        <v/>
      </c>
      <c r="C45" s="93" t="str">
        <f aca="false">IFERROR(IF(INDEX(res_Name,(ROW()-ROW(load_Origin)-1))="","",INDEX(res_MaxUnits,(ROW()-ROW(load_Origin)-1))),"")</f>
        <v/>
      </c>
      <c r="D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31" t="str">
        <f aca="false">IFERROR(INDEX(res_Name,(ROW()-ROW(load_Origin)-1))&amp;"","")</f>
        <v/>
      </c>
      <c r="C46" s="93" t="str">
        <f aca="false">IFERROR(IF(INDEX(res_Name,(ROW()-ROW(load_Origin)-1))="","",INDEX(res_MaxUnits,(ROW()-ROW(load_Origin)-1))),"")</f>
        <v/>
      </c>
      <c r="D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31" t="str">
        <f aca="false">IFERROR(INDEX(res_Name,(ROW()-ROW(load_Origin)-1))&amp;"","")</f>
        <v/>
      </c>
      <c r="C47" s="93" t="str">
        <f aca="false">IFERROR(IF(INDEX(res_Name,(ROW()-ROW(load_Origin)-1))="","",INDEX(res_MaxUnits,(ROW()-ROW(load_Origin)-1))),"")</f>
        <v/>
      </c>
      <c r="D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31" t="str">
        <f aca="false">IFERROR(INDEX(res_Name,(ROW()-ROW(load_Origin)-1))&amp;"","")</f>
        <v/>
      </c>
      <c r="C48" s="93" t="str">
        <f aca="false">IFERROR(IF(INDEX(res_Name,(ROW()-ROW(load_Origin)-1))="","",INDEX(res_MaxUnits,(ROW()-ROW(load_Origin)-1))),"")</f>
        <v/>
      </c>
      <c r="D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31" t="str">
        <f aca="false">IFERROR(INDEX(res_Name,(ROW()-ROW(load_Origin)-1))&amp;"","")</f>
        <v/>
      </c>
      <c r="C49" s="93" t="str">
        <f aca="false">IFERROR(IF(INDEX(res_Name,(ROW()-ROW(load_Origin)-1))="","",INDEX(res_MaxUnits,(ROW()-ROW(load_Origin)-1))),"")</f>
        <v/>
      </c>
      <c r="D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31" t="str">
        <f aca="false">IFERROR(INDEX(res_Name,(ROW()-ROW(load_Origin)-1))&amp;"","")</f>
        <v/>
      </c>
      <c r="C50" s="93" t="str">
        <f aca="false">IFERROR(IF(INDEX(res_Name,(ROW()-ROW(load_Origin)-1))="","",INDEX(res_MaxUnits,(ROW()-ROW(load_Origin)-1))),"")</f>
        <v/>
      </c>
      <c r="D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31" t="str">
        <f aca="false">IFERROR(INDEX(res_Name,(ROW()-ROW(load_Origin)-1))&amp;"","")</f>
        <v/>
      </c>
      <c r="C51" s="93" t="str">
        <f aca="false">IFERROR(IF(INDEX(res_Name,(ROW()-ROW(load_Origin)-1))="","",INDEX(res_MaxUnits,(ROW()-ROW(load_Origin)-1))),"")</f>
        <v/>
      </c>
      <c r="D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31" t="str">
        <f aca="false">IFERROR(INDEX(res_Name,(ROW()-ROW(load_Origin)-1))&amp;"","")</f>
        <v/>
      </c>
      <c r="C52" s="93" t="str">
        <f aca="false">IFERROR(IF(INDEX(res_Name,(ROW()-ROW(load_Origin)-1))="","",INDEX(res_MaxUnits,(ROW()-ROW(load_Origin)-1))),"")</f>
        <v/>
      </c>
      <c r="D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31" t="str">
        <f aca="false">IFERROR(INDEX(res_Name,(ROW()-ROW(load_Origin)-1))&amp;"","")</f>
        <v/>
      </c>
      <c r="C53" s="93" t="str">
        <f aca="false">IFERROR(IF(INDEX(res_Name,(ROW()-ROW(load_Origin)-1))="","",INDEX(res_MaxUnits,(ROW()-ROW(load_Origin)-1))),"")</f>
        <v/>
      </c>
      <c r="D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31" t="str">
        <f aca="false">IFERROR(INDEX(res_Name,(ROW()-ROW(load_Origin)-1))&amp;"","")</f>
        <v/>
      </c>
      <c r="C54" s="93" t="str">
        <f aca="false">IFERROR(IF(INDEX(res_Name,(ROW()-ROW(load_Origin)-1))="","",INDEX(res_MaxUnits,(ROW()-ROW(load_Origin)-1))),"")</f>
        <v/>
      </c>
      <c r="D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31" t="str">
        <f aca="false">IFERROR(INDEX(res_Name,(ROW()-ROW(load_Origin)-1))&amp;"","")</f>
        <v/>
      </c>
      <c r="C55" s="93" t="str">
        <f aca="false">IFERROR(IF(INDEX(res_Name,(ROW()-ROW(load_Origin)-1))="","",INDEX(res_MaxUnits,(ROW()-ROW(load_Origin)-1))),"")</f>
        <v/>
      </c>
      <c r="D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31" t="str">
        <f aca="false">IFERROR(INDEX(res_Name,(ROW()-ROW(load_Origin)-1))&amp;"","")</f>
        <v/>
      </c>
      <c r="C56" s="93" t="str">
        <f aca="false">IFERROR(IF(INDEX(res_Name,(ROW()-ROW(load_Origin)-1))="","",INDEX(res_MaxUnits,(ROW()-ROW(load_Origin)-1))),"")</f>
        <v/>
      </c>
      <c r="D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31" t="str">
        <f aca="false">IFERROR(INDEX(res_Name,(ROW()-ROW(load_Origin)-1))&amp;"","")</f>
        <v/>
      </c>
      <c r="C57" s="93" t="str">
        <f aca="false">IFERROR(IF(INDEX(res_Name,(ROW()-ROW(load_Origin)-1))="","",INDEX(res_MaxUnits,(ROW()-ROW(load_Origin)-1))),"")</f>
        <v/>
      </c>
      <c r="D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31" t="str">
        <f aca="false">IFERROR(INDEX(res_Name,(ROW()-ROW(load_Origin)-1))&amp;"","")</f>
        <v/>
      </c>
      <c r="C58" s="93" t="str">
        <f aca="false">IFERROR(IF(INDEX(res_Name,(ROW()-ROW(load_Origin)-1))="","",INDEX(res_MaxUnits,(ROW()-ROW(load_Origin)-1))),"")</f>
        <v/>
      </c>
      <c r="D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31" t="str">
        <f aca="false">IFERROR(INDEX(res_Name,(ROW()-ROW(load_Origin)-1))&amp;"","")</f>
        <v/>
      </c>
      <c r="C59" s="93" t="str">
        <f aca="false">IFERROR(IF(INDEX(res_Name,(ROW()-ROW(load_Origin)-1))="","",INDEX(res_MaxUnits,(ROW()-ROW(load_Origin)-1))),"")</f>
        <v/>
      </c>
      <c r="D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31" t="str">
        <f aca="false">IFERROR(INDEX(res_Name,(ROW()-ROW(load_Origin)-1))&amp;"","")</f>
        <v/>
      </c>
      <c r="C60" s="93" t="str">
        <f aca="false">IFERROR(IF(INDEX(res_Name,(ROW()-ROW(load_Origin)-1))="","",INDEX(res_MaxUnits,(ROW()-ROW(load_Origin)-1))),"")</f>
        <v/>
      </c>
      <c r="D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94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90" t="s">
        <v>439</v>
      </c>
    </row>
    <row r="64" customFormat="false" ht="15" hidden="false" customHeight="false" outlineLevel="0" collapsed="false">
      <c r="B64" s="9" t="s">
        <v>183</v>
      </c>
      <c r="C64" s="9" t="s">
        <v>425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91" t="s">
        <v>438</v>
      </c>
      <c r="D65" s="92" t="n">
        <f aca="false">IFERROR(IF(INDEX(spr_Name,(COLUMN()-COLUMN(util_Origin)-1))="","",INDEX(spr_Start,(COLUMN()-COLUMN(util_Origin)-1))),"")</f>
        <v>1</v>
      </c>
      <c r="E65" s="92" t="n">
        <f aca="false">IFERROR(IF(INDEX(spr_Name,(COLUMN()-COLUMN(util_Origin)-1))="","",INDEX(spr_Start,(COLUMN()-COLUMN(util_Origin)-1))),"")</f>
        <v>15</v>
      </c>
      <c r="F65" s="92" t="n">
        <f aca="false">IFERROR(IF(INDEX(spr_Name,(COLUMN()-COLUMN(util_Origin)-1))="","",INDEX(spr_Start,(COLUMN()-COLUMN(util_Origin)-1))),"")</f>
        <v>29</v>
      </c>
      <c r="G65" s="92" t="n">
        <f aca="false">IFERROR(IF(INDEX(spr_Name,(COLUMN()-COLUMN(util_Origin)-1))="","",INDEX(spr_Start,(COLUMN()-COLUMN(util_Origin)-1))),"")</f>
        <v>43</v>
      </c>
      <c r="H65" s="92" t="n">
        <f aca="false">IFERROR(IF(INDEX(spr_Name,(COLUMN()-COLUMN(util_Origin)-1))="","",INDEX(spr_Start,(COLUMN()-COLUMN(util_Origin)-1))),"")</f>
        <v>57</v>
      </c>
      <c r="I65" s="92" t="n">
        <f aca="false">IFERROR(IF(INDEX(spr_Name,(COLUMN()-COLUMN(util_Origin)-1))="","",INDEX(spr_Start,(COLUMN()-COLUMN(util_Origin)-1))),"")</f>
        <v>71</v>
      </c>
      <c r="J65" s="92" t="n">
        <f aca="false">IFERROR(IF(INDEX(spr_Name,(COLUMN()-COLUMN(util_Origin)-1))="","",INDEX(spr_Start,(COLUMN()-COLUMN(util_Origin)-1))),"")</f>
        <v>85</v>
      </c>
      <c r="K65" s="92" t="n">
        <f aca="false">IFERROR(IF(INDEX(spr_Name,(COLUMN()-COLUMN(util_Origin)-1))="","",INDEX(spr_Start,(COLUMN()-COLUMN(util_Origin)-1))),"")</f>
        <v>99</v>
      </c>
      <c r="L65" s="92" t="n">
        <f aca="false">IFERROR(IF(INDEX(spr_Name,(COLUMN()-COLUMN(util_Origin)-1))="","",INDEX(spr_Start,(COLUMN()-COLUMN(util_Origin)-1))),"")</f>
        <v>113</v>
      </c>
      <c r="M65" s="92" t="n">
        <f aca="false">IFERROR(IF(INDEX(spr_Name,(COLUMN()-COLUMN(util_Origin)-1))="","",INDEX(spr_Start,(COLUMN()-COLUMN(util_Origin)-1))),"")</f>
        <v>127</v>
      </c>
      <c r="N65" s="92" t="n">
        <f aca="false">IFERROR(IF(INDEX(spr_Name,(COLUMN()-COLUMN(util_Origin)-1))="","",INDEX(spr_Start,(COLUMN()-COLUMN(util_Origin)-1))),"")</f>
        <v>141</v>
      </c>
      <c r="O65" s="92" t="n">
        <f aca="false">IFERROR(IF(INDEX(spr_Name,(COLUMN()-COLUMN(util_Origin)-1))="","",INDEX(spr_Start,(COLUMN()-COLUMN(util_Origin)-1))),"")</f>
        <v>155</v>
      </c>
      <c r="P65" s="92" t="str">
        <f aca="false">IFERROR(IF(INDEX(spr_Name,(COLUMN()-COLUMN(util_Origin)-1))="","",INDEX(spr_Start,(COLUMN()-COLUMN(util_Origin)-1))),"")</f>
        <v/>
      </c>
      <c r="Q65" s="92" t="str">
        <f aca="false">IFERROR(IF(INDEX(spr_Name,(COLUMN()-COLUMN(util_Origin)-1))="","",INDEX(spr_Start,(COLUMN()-COLUMN(util_Origin)-1))),"")</f>
        <v/>
      </c>
      <c r="R65" s="92" t="str">
        <f aca="false">IFERROR(IF(INDEX(spr_Name,(COLUMN()-COLUMN(util_Origin)-1))="","",INDEX(spr_Start,(COLUMN()-COLUMN(util_Origin)-1))),"")</f>
        <v/>
      </c>
      <c r="S65" s="92" t="str">
        <f aca="false">IFERROR(IF(INDEX(spr_Name,(COLUMN()-COLUMN(util_Origin)-1))="","",INDEX(spr_Start,(COLUMN()-COLUMN(util_Origin)-1))),"")</f>
        <v/>
      </c>
      <c r="T65" s="92" t="str">
        <f aca="false">IFERROR(IF(INDEX(spr_Name,(COLUMN()-COLUMN(util_Origin)-1))="","",INDEX(spr_Start,(COLUMN()-COLUMN(util_Origin)-1))),"")</f>
        <v/>
      </c>
      <c r="U65" s="92" t="str">
        <f aca="false">IFERROR(IF(INDEX(spr_Name,(COLUMN()-COLUMN(util_Origin)-1))="","",INDEX(spr_Start,(COLUMN()-COLUMN(util_Origin)-1))),"")</f>
        <v/>
      </c>
      <c r="V65" s="92" t="str">
        <f aca="false">IFERROR(IF(INDEX(spr_Name,(COLUMN()-COLUMN(util_Origin)-1))="","",INDEX(spr_Start,(COLUMN()-COLUMN(util_Origin)-1))),"")</f>
        <v/>
      </c>
      <c r="W65" s="92" t="str">
        <f aca="false">IFERROR(IF(INDEX(spr_Name,(COLUMN()-COLUMN(util_Origin)-1))="","",INDEX(spr_Start,(COLUMN()-COLUMN(util_Origin)-1))),"")</f>
        <v/>
      </c>
      <c r="X65" s="92" t="str">
        <f aca="false">IFERROR(IF(INDEX(spr_Name,(COLUMN()-COLUMN(util_Origin)-1))="","",INDEX(spr_Start,(COLUMN()-COLUMN(util_Origin)-1))),"")</f>
        <v/>
      </c>
      <c r="Y65" s="92" t="str">
        <f aca="false">IFERROR(IF(INDEX(spr_Name,(COLUMN()-COLUMN(util_Origin)-1))="","",INDEX(spr_Start,(COLUMN()-COLUMN(util_Origin)-1))),"")</f>
        <v/>
      </c>
      <c r="Z65" s="92" t="str">
        <f aca="false">IFERROR(IF(INDEX(spr_Name,(COLUMN()-COLUMN(util_Origin)-1))="","",INDEX(spr_Start,(COLUMN()-COLUMN(util_Origin)-1))),"")</f>
        <v/>
      </c>
      <c r="AA65" s="92" t="str">
        <f aca="false">IFERROR(IF(INDEX(spr_Name,(COLUMN()-COLUMN(util_Origin)-1))="","",INDEX(spr_Start,(COLUMN()-COLUMN(util_Origin)-1))),"")</f>
        <v/>
      </c>
      <c r="AB65" s="92" t="str">
        <f aca="false">IFERROR(IF(INDEX(spr_Name,(COLUMN()-COLUMN(util_Origin)-1))="","",INDEX(spr_Start,(COLUMN()-COLUMN(util_Origin)-1))),"")</f>
        <v/>
      </c>
      <c r="AC65" s="92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31" t="str">
        <f aca="false">IFERROR(INDEX(res_Name,(ROW()-ROW(util_Origin)-1))&amp;"","")</f>
        <v/>
      </c>
      <c r="C66" s="93" t="str">
        <f aca="false">IFERROR(IF(INDEX(res_Name,(ROW()-ROW(util_Origin)-1))="","",INDEX(res_MaxUnits,(ROW()-ROW(util_Origin)-1))),"")</f>
        <v/>
      </c>
      <c r="D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31" t="str">
        <f aca="false">IFERROR(INDEX(res_Name,(ROW()-ROW(util_Origin)-1))&amp;"","")</f>
        <v/>
      </c>
      <c r="C67" s="93" t="str">
        <f aca="false">IFERROR(IF(INDEX(res_Name,(ROW()-ROW(util_Origin)-1))="","",INDEX(res_MaxUnits,(ROW()-ROW(util_Origin)-1))),"")</f>
        <v/>
      </c>
      <c r="D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31" t="str">
        <f aca="false">IFERROR(INDEX(res_Name,(ROW()-ROW(util_Origin)-1))&amp;"","")</f>
        <v/>
      </c>
      <c r="C68" s="93" t="str">
        <f aca="false">IFERROR(IF(INDEX(res_Name,(ROW()-ROW(util_Origin)-1))="","",INDEX(res_MaxUnits,(ROW()-ROW(util_Origin)-1))),"")</f>
        <v/>
      </c>
      <c r="D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31" t="str">
        <f aca="false">IFERROR(INDEX(res_Name,(ROW()-ROW(util_Origin)-1))&amp;"","")</f>
        <v/>
      </c>
      <c r="C69" s="93" t="str">
        <f aca="false">IFERROR(IF(INDEX(res_Name,(ROW()-ROW(util_Origin)-1))="","",INDEX(res_MaxUnits,(ROW()-ROW(util_Origin)-1))),"")</f>
        <v/>
      </c>
      <c r="D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31" t="str">
        <f aca="false">IFERROR(INDEX(res_Name,(ROW()-ROW(util_Origin)-1))&amp;"","")</f>
        <v/>
      </c>
      <c r="C70" s="93" t="str">
        <f aca="false">IFERROR(IF(INDEX(res_Name,(ROW()-ROW(util_Origin)-1))="","",INDEX(res_MaxUnits,(ROW()-ROW(util_Origin)-1))),"")</f>
        <v/>
      </c>
      <c r="D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31" t="str">
        <f aca="false">IFERROR(INDEX(res_Name,(ROW()-ROW(util_Origin)-1))&amp;"","")</f>
        <v/>
      </c>
      <c r="C71" s="93" t="str">
        <f aca="false">IFERROR(IF(INDEX(res_Name,(ROW()-ROW(util_Origin)-1))="","",INDEX(res_MaxUnits,(ROW()-ROW(util_Origin)-1))),"")</f>
        <v/>
      </c>
      <c r="D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31" t="str">
        <f aca="false">IFERROR(INDEX(res_Name,(ROW()-ROW(util_Origin)-1))&amp;"","")</f>
        <v/>
      </c>
      <c r="C72" s="93" t="str">
        <f aca="false">IFERROR(IF(INDEX(res_Name,(ROW()-ROW(util_Origin)-1))="","",INDEX(res_MaxUnits,(ROW()-ROW(util_Origin)-1))),"")</f>
        <v/>
      </c>
      <c r="D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31" t="str">
        <f aca="false">IFERROR(INDEX(res_Name,(ROW()-ROW(util_Origin)-1))&amp;"","")</f>
        <v/>
      </c>
      <c r="C73" s="93" t="str">
        <f aca="false">IFERROR(IF(INDEX(res_Name,(ROW()-ROW(util_Origin)-1))="","",INDEX(res_MaxUnits,(ROW()-ROW(util_Origin)-1))),"")</f>
        <v/>
      </c>
      <c r="D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31" t="str">
        <f aca="false">IFERROR(INDEX(res_Name,(ROW()-ROW(util_Origin)-1))&amp;"","")</f>
        <v/>
      </c>
      <c r="C74" s="93" t="str">
        <f aca="false">IFERROR(IF(INDEX(res_Name,(ROW()-ROW(util_Origin)-1))="","",INDEX(res_MaxUnits,(ROW()-ROW(util_Origin)-1))),"")</f>
        <v/>
      </c>
      <c r="D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31" t="str">
        <f aca="false">IFERROR(INDEX(res_Name,(ROW()-ROW(util_Origin)-1))&amp;"","")</f>
        <v/>
      </c>
      <c r="C75" s="93" t="str">
        <f aca="false">IFERROR(IF(INDEX(res_Name,(ROW()-ROW(util_Origin)-1))="","",INDEX(res_MaxUnits,(ROW()-ROW(util_Origin)-1))),"")</f>
        <v/>
      </c>
      <c r="D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31" t="str">
        <f aca="false">IFERROR(INDEX(res_Name,(ROW()-ROW(util_Origin)-1))&amp;"","")</f>
        <v/>
      </c>
      <c r="C76" s="93" t="str">
        <f aca="false">IFERROR(IF(INDEX(res_Name,(ROW()-ROW(util_Origin)-1))="","",INDEX(res_MaxUnits,(ROW()-ROW(util_Origin)-1))),"")</f>
        <v/>
      </c>
      <c r="D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31" t="str">
        <f aca="false">IFERROR(INDEX(res_Name,(ROW()-ROW(util_Origin)-1))&amp;"","")</f>
        <v/>
      </c>
      <c r="C77" s="93" t="str">
        <f aca="false">IFERROR(IF(INDEX(res_Name,(ROW()-ROW(util_Origin)-1))="","",INDEX(res_MaxUnits,(ROW()-ROW(util_Origin)-1))),"")</f>
        <v/>
      </c>
      <c r="D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31" t="str">
        <f aca="false">IFERROR(INDEX(res_Name,(ROW()-ROW(util_Origin)-1))&amp;"","")</f>
        <v/>
      </c>
      <c r="C78" s="93" t="str">
        <f aca="false">IFERROR(IF(INDEX(res_Name,(ROW()-ROW(util_Origin)-1))="","",INDEX(res_MaxUnits,(ROW()-ROW(util_Origin)-1))),"")</f>
        <v/>
      </c>
      <c r="D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31" t="str">
        <f aca="false">IFERROR(INDEX(res_Name,(ROW()-ROW(util_Origin)-1))&amp;"","")</f>
        <v/>
      </c>
      <c r="C79" s="93" t="str">
        <f aca="false">IFERROR(IF(INDEX(res_Name,(ROW()-ROW(util_Origin)-1))="","",INDEX(res_MaxUnits,(ROW()-ROW(util_Origin)-1))),"")</f>
        <v/>
      </c>
      <c r="D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31" t="str">
        <f aca="false">IFERROR(INDEX(res_Name,(ROW()-ROW(util_Origin)-1))&amp;"","")</f>
        <v/>
      </c>
      <c r="C80" s="93" t="str">
        <f aca="false">IFERROR(IF(INDEX(res_Name,(ROW()-ROW(util_Origin)-1))="","",INDEX(res_MaxUnits,(ROW()-ROW(util_Origin)-1))),"")</f>
        <v/>
      </c>
      <c r="D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31" t="str">
        <f aca="false">IFERROR(INDEX(res_Name,(ROW()-ROW(util_Origin)-1))&amp;"","")</f>
        <v/>
      </c>
      <c r="C81" s="93" t="str">
        <f aca="false">IFERROR(IF(INDEX(res_Name,(ROW()-ROW(util_Origin)-1))="","",INDEX(res_MaxUnits,(ROW()-ROW(util_Origin)-1))),"")</f>
        <v/>
      </c>
      <c r="D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31" t="str">
        <f aca="false">IFERROR(INDEX(res_Name,(ROW()-ROW(util_Origin)-1))&amp;"","")</f>
        <v/>
      </c>
      <c r="C82" s="93" t="str">
        <f aca="false">IFERROR(IF(INDEX(res_Name,(ROW()-ROW(util_Origin)-1))="","",INDEX(res_MaxUnits,(ROW()-ROW(util_Origin)-1))),"")</f>
        <v/>
      </c>
      <c r="D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31" t="str">
        <f aca="false">IFERROR(INDEX(res_Name,(ROW()-ROW(util_Origin)-1))&amp;"","")</f>
        <v/>
      </c>
      <c r="C83" s="93" t="str">
        <f aca="false">IFERROR(IF(INDEX(res_Name,(ROW()-ROW(util_Origin)-1))="","",INDEX(res_MaxUnits,(ROW()-ROW(util_Origin)-1))),"")</f>
        <v/>
      </c>
      <c r="D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31" t="str">
        <f aca="false">IFERROR(INDEX(res_Name,(ROW()-ROW(util_Origin)-1))&amp;"","")</f>
        <v/>
      </c>
      <c r="C84" s="93" t="str">
        <f aca="false">IFERROR(IF(INDEX(res_Name,(ROW()-ROW(util_Origin)-1))="","",INDEX(res_MaxUnits,(ROW()-ROW(util_Origin)-1))),"")</f>
        <v/>
      </c>
      <c r="D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31" t="str">
        <f aca="false">IFERROR(INDEX(res_Name,(ROW()-ROW(util_Origin)-1))&amp;"","")</f>
        <v/>
      </c>
      <c r="C85" s="93" t="str">
        <f aca="false">IFERROR(IF(INDEX(res_Name,(ROW()-ROW(util_Origin)-1))="","",INDEX(res_MaxUnits,(ROW()-ROW(util_Origin)-1))),"")</f>
        <v/>
      </c>
      <c r="D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31" t="str">
        <f aca="false">IFERROR(INDEX(res_Name,(ROW()-ROW(util_Origin)-1))&amp;"","")</f>
        <v/>
      </c>
      <c r="C86" s="93" t="str">
        <f aca="false">IFERROR(IF(INDEX(res_Name,(ROW()-ROW(util_Origin)-1))="","",INDEX(res_MaxUnits,(ROW()-ROW(util_Origin)-1))),"")</f>
        <v/>
      </c>
      <c r="D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31" t="str">
        <f aca="false">IFERROR(INDEX(res_Name,(ROW()-ROW(util_Origin)-1))&amp;"","")</f>
        <v/>
      </c>
      <c r="C87" s="93" t="str">
        <f aca="false">IFERROR(IF(INDEX(res_Name,(ROW()-ROW(util_Origin)-1))="","",INDEX(res_MaxUnits,(ROW()-ROW(util_Origin)-1))),"")</f>
        <v/>
      </c>
      <c r="D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31" t="str">
        <f aca="false">IFERROR(INDEX(res_Name,(ROW()-ROW(util_Origin)-1))&amp;"","")</f>
        <v/>
      </c>
      <c r="C88" s="93" t="str">
        <f aca="false">IFERROR(IF(INDEX(res_Name,(ROW()-ROW(util_Origin)-1))="","",INDEX(res_MaxUnits,(ROW()-ROW(util_Origin)-1))),"")</f>
        <v/>
      </c>
      <c r="D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31" t="str">
        <f aca="false">IFERROR(INDEX(res_Name,(ROW()-ROW(util_Origin)-1))&amp;"","")</f>
        <v/>
      </c>
      <c r="C89" s="93" t="str">
        <f aca="false">IFERROR(IF(INDEX(res_Name,(ROW()-ROW(util_Origin)-1))="","",INDEX(res_MaxUnits,(ROW()-ROW(util_Origin)-1))),"")</f>
        <v/>
      </c>
      <c r="D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31" t="str">
        <f aca="false">IFERROR(INDEX(res_Name,(ROW()-ROW(util_Origin)-1))&amp;"","")</f>
        <v/>
      </c>
      <c r="C90" s="93" t="str">
        <f aca="false">IFERROR(IF(INDEX(res_Name,(ROW()-ROW(util_Origin)-1))="","",INDEX(res_MaxUnits,(ROW()-ROW(util_Origin)-1))),"")</f>
        <v/>
      </c>
      <c r="D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95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3">
      <formula>$B6=""</formula>
    </cfRule>
    <cfRule type="expression" priority="3" aboveAverage="0" equalAverage="0" bottom="0" percent="0" rank="0" text="" dxfId="44">
      <formula>$K6="Active"</formula>
    </cfRule>
  </conditionalFormatting>
  <conditionalFormatting sqref="J6:J31">
    <cfRule type="expression" priority="4" aboveAverage="0" equalAverage="0" bottom="0" percent="0" rank="0" text="" dxfId="11">
      <formula>AND(ISNUMBER($J6),$J6&gt;1)</formula>
    </cfRule>
  </conditionalFormatting>
  <conditionalFormatting sqref="D36:AC60">
    <cfRule type="expression" priority="5" aboveAverage="0" equalAverage="0" bottom="0" percent="0" rank="0" text="" dxfId="15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6" t="s">
        <v>440</v>
      </c>
    </row>
    <row r="2" customFormat="false" ht="15" hidden="false" customHeight="false" outlineLevel="0" collapsed="false">
      <c r="A2" s="8" t="s">
        <v>441</v>
      </c>
    </row>
    <row r="4" customFormat="false" ht="15" hidden="false" customHeight="false" outlineLevel="0" collapsed="false">
      <c r="B4" s="27" t="s">
        <v>442</v>
      </c>
      <c r="C4" s="27" t="s">
        <v>443</v>
      </c>
    </row>
    <row r="5" customFormat="false" ht="15" hidden="false" customHeight="false" outlineLevel="0" collapsed="false">
      <c r="B5" s="53"/>
      <c r="C5" s="30"/>
    </row>
    <row r="6" customFormat="false" ht="15" hidden="false" customHeight="false" outlineLevel="0" collapsed="false">
      <c r="B6" s="53"/>
      <c r="C6" s="30"/>
    </row>
    <row r="7" customFormat="false" ht="15" hidden="false" customHeight="false" outlineLevel="0" collapsed="false">
      <c r="B7" s="53"/>
      <c r="C7" s="30"/>
    </row>
    <row r="8" customFormat="false" ht="15" hidden="false" customHeight="false" outlineLevel="0" collapsed="false">
      <c r="B8" s="53"/>
      <c r="C8" s="30"/>
    </row>
    <row r="9" customFormat="false" ht="15" hidden="false" customHeight="false" outlineLevel="0" collapsed="false">
      <c r="B9" s="53"/>
      <c r="C9" s="30"/>
    </row>
    <row r="10" customFormat="false" ht="15" hidden="false" customHeight="false" outlineLevel="0" collapsed="false">
      <c r="B10" s="53"/>
      <c r="C10" s="30"/>
    </row>
    <row r="11" customFormat="false" ht="15" hidden="false" customHeight="false" outlineLevel="0" collapsed="false">
      <c r="B11" s="53"/>
      <c r="C11" s="30"/>
    </row>
    <row r="12" customFormat="false" ht="15" hidden="false" customHeight="false" outlineLevel="0" collapsed="false">
      <c r="B12" s="53"/>
      <c r="C12" s="30"/>
    </row>
    <row r="13" customFormat="false" ht="15" hidden="false" customHeight="false" outlineLevel="0" collapsed="false">
      <c r="B13" s="53"/>
      <c r="C13" s="30"/>
    </row>
    <row r="14" customFormat="false" ht="15" hidden="false" customHeight="false" outlineLevel="0" collapsed="false">
      <c r="B14" s="53"/>
      <c r="C14" s="30"/>
    </row>
    <row r="15" customFormat="false" ht="15" hidden="false" customHeight="false" outlineLevel="0" collapsed="false">
      <c r="B15" s="53"/>
      <c r="C15" s="30"/>
    </row>
    <row r="16" customFormat="false" ht="15" hidden="false" customHeight="false" outlineLevel="0" collapsed="false">
      <c r="B16" s="53"/>
      <c r="C16" s="30"/>
    </row>
    <row r="17" customFormat="false" ht="15" hidden="false" customHeight="false" outlineLevel="0" collapsed="false">
      <c r="B17" s="53"/>
      <c r="C17" s="30"/>
    </row>
    <row r="18" customFormat="false" ht="15" hidden="false" customHeight="false" outlineLevel="0" collapsed="false">
      <c r="B18" s="53"/>
      <c r="C18" s="30"/>
    </row>
    <row r="19" customFormat="false" ht="15" hidden="false" customHeight="false" outlineLevel="0" collapsed="false">
      <c r="B19" s="53"/>
      <c r="C19" s="30"/>
    </row>
    <row r="20" customFormat="false" ht="15" hidden="false" customHeight="false" outlineLevel="0" collapsed="false">
      <c r="B20" s="53"/>
      <c r="C20" s="30"/>
    </row>
    <row r="21" customFormat="false" ht="15" hidden="false" customHeight="false" outlineLevel="0" collapsed="false">
      <c r="B21" s="53"/>
      <c r="C21" s="30"/>
    </row>
    <row r="22" customFormat="false" ht="15" hidden="false" customHeight="false" outlineLevel="0" collapsed="false">
      <c r="B22" s="53"/>
      <c r="C22" s="30"/>
    </row>
    <row r="23" customFormat="false" ht="15" hidden="false" customHeight="false" outlineLevel="0" collapsed="false">
      <c r="B23" s="53"/>
      <c r="C23" s="30"/>
    </row>
    <row r="24" customFormat="false" ht="15" hidden="false" customHeight="false" outlineLevel="0" collapsed="false">
      <c r="B24" s="53"/>
      <c r="C24" s="30"/>
    </row>
    <row r="25" customFormat="false" ht="15" hidden="false" customHeight="false" outlineLevel="0" collapsed="false">
      <c r="B25" s="53"/>
      <c r="C25" s="30"/>
    </row>
    <row r="26" customFormat="false" ht="15" hidden="false" customHeight="false" outlineLevel="0" collapsed="false">
      <c r="B26" s="53"/>
      <c r="C26" s="30"/>
    </row>
    <row r="27" customFormat="false" ht="15" hidden="false" customHeight="false" outlineLevel="0" collapsed="false">
      <c r="B27" s="53"/>
      <c r="C27" s="30"/>
    </row>
    <row r="28" customFormat="false" ht="15" hidden="false" customHeight="false" outlineLevel="0" collapsed="false">
      <c r="B28" s="53"/>
      <c r="C28" s="30"/>
    </row>
    <row r="29" customFormat="false" ht="15" hidden="false" customHeight="false" outlineLevel="0" collapsed="false">
      <c r="B29" s="53"/>
      <c r="C29" s="30"/>
    </row>
    <row r="30" customFormat="false" ht="15" hidden="false" customHeight="false" outlineLevel="0" collapsed="false">
      <c r="B30" s="53"/>
      <c r="C30" s="30"/>
    </row>
    <row r="31" customFormat="false" ht="15" hidden="false" customHeight="false" outlineLevel="0" collapsed="false">
      <c r="B31" s="53"/>
      <c r="C31" s="30"/>
    </row>
    <row r="32" customFormat="false" ht="15" hidden="false" customHeight="false" outlineLevel="0" collapsed="false">
      <c r="B32" s="53"/>
      <c r="C32" s="30"/>
    </row>
    <row r="33" customFormat="false" ht="15" hidden="false" customHeight="false" outlineLevel="0" collapsed="false">
      <c r="B33" s="53"/>
      <c r="C33" s="30"/>
    </row>
    <row r="34" customFormat="false" ht="15" hidden="false" customHeight="false" outlineLevel="0" collapsed="false">
      <c r="B34" s="53"/>
      <c r="C34" s="30"/>
    </row>
    <row r="35" customFormat="false" ht="15" hidden="false" customHeight="false" outlineLevel="0" collapsed="false">
      <c r="B35" s="53"/>
      <c r="C35" s="30"/>
    </row>
    <row r="36" customFormat="false" ht="15" hidden="false" customHeight="false" outlineLevel="0" collapsed="false">
      <c r="B36" s="53"/>
      <c r="C36" s="30"/>
    </row>
    <row r="37" customFormat="false" ht="15" hidden="false" customHeight="false" outlineLevel="0" collapsed="false">
      <c r="B37" s="53"/>
      <c r="C37" s="30"/>
    </row>
    <row r="38" customFormat="false" ht="15" hidden="false" customHeight="false" outlineLevel="0" collapsed="false">
      <c r="B38" s="53"/>
      <c r="C38" s="30"/>
    </row>
    <row r="39" customFormat="false" ht="15" hidden="false" customHeight="false" outlineLevel="0" collapsed="false">
      <c r="B39" s="53"/>
      <c r="C39" s="30"/>
    </row>
    <row r="40" customFormat="false" ht="15" hidden="false" customHeight="false" outlineLevel="0" collapsed="false">
      <c r="B40" s="53"/>
      <c r="C40" s="30"/>
    </row>
    <row r="41" customFormat="false" ht="15" hidden="false" customHeight="false" outlineLevel="0" collapsed="false">
      <c r="B41" s="53"/>
      <c r="C41" s="30"/>
    </row>
    <row r="42" customFormat="false" ht="15" hidden="false" customHeight="false" outlineLevel="0" collapsed="false">
      <c r="B42" s="53"/>
      <c r="C42" s="30"/>
    </row>
    <row r="43" customFormat="false" ht="15" hidden="false" customHeight="false" outlineLevel="0" collapsed="false">
      <c r="B43" s="53"/>
      <c r="C43" s="30"/>
    </row>
    <row r="44" customFormat="false" ht="15" hidden="false" customHeight="false" outlineLevel="0" collapsed="false">
      <c r="B44" s="53"/>
      <c r="C44" s="30"/>
    </row>
    <row r="45" customFormat="false" ht="15" hidden="false" customHeight="false" outlineLevel="0" collapsed="false">
      <c r="B45" s="53"/>
      <c r="C45" s="30"/>
    </row>
    <row r="46" customFormat="false" ht="15" hidden="false" customHeight="false" outlineLevel="0" collapsed="false">
      <c r="B46" s="53"/>
      <c r="C46" s="30"/>
    </row>
    <row r="47" customFormat="false" ht="15" hidden="false" customHeight="false" outlineLevel="0" collapsed="false">
      <c r="B47" s="53"/>
      <c r="C47" s="30"/>
    </row>
    <row r="48" customFormat="false" ht="15" hidden="false" customHeight="false" outlineLevel="0" collapsed="false">
      <c r="B48" s="53"/>
      <c r="C48" s="30"/>
    </row>
    <row r="49" customFormat="false" ht="15" hidden="false" customHeight="false" outlineLevel="0" collapsed="false">
      <c r="B49" s="53"/>
      <c r="C49" s="30"/>
    </row>
    <row r="50" customFormat="false" ht="15" hidden="false" customHeight="false" outlineLevel="0" collapsed="false">
      <c r="B50" s="53"/>
      <c r="C50" s="30"/>
    </row>
    <row r="51" customFormat="false" ht="15" hidden="false" customHeight="false" outlineLevel="0" collapsed="false">
      <c r="B51" s="53"/>
      <c r="C51" s="30"/>
    </row>
    <row r="52" customFormat="false" ht="15" hidden="false" customHeight="false" outlineLevel="0" collapsed="false">
      <c r="B52" s="53"/>
      <c r="C52" s="30"/>
    </row>
    <row r="53" customFormat="false" ht="15" hidden="false" customHeight="false" outlineLevel="0" collapsed="false">
      <c r="B53" s="53"/>
      <c r="C53" s="30"/>
    </row>
    <row r="54" customFormat="false" ht="15" hidden="false" customHeight="false" outlineLevel="0" collapsed="false">
      <c r="B54" s="53"/>
      <c r="C54" s="30"/>
    </row>
    <row r="55" customFormat="false" ht="15" hidden="false" customHeight="false" outlineLevel="0" collapsed="false">
      <c r="B55" s="53"/>
      <c r="C55" s="30"/>
    </row>
    <row r="56" customFormat="false" ht="15" hidden="false" customHeight="false" outlineLevel="0" collapsed="false">
      <c r="B56" s="53"/>
      <c r="C56" s="30"/>
    </row>
    <row r="57" customFormat="false" ht="15" hidden="false" customHeight="false" outlineLevel="0" collapsed="false">
      <c r="B57" s="53"/>
      <c r="C57" s="30"/>
    </row>
    <row r="58" customFormat="false" ht="15" hidden="false" customHeight="false" outlineLevel="0" collapsed="false">
      <c r="B58" s="53"/>
      <c r="C58" s="30"/>
    </row>
    <row r="59" customFormat="false" ht="15" hidden="false" customHeight="false" outlineLevel="0" collapsed="false">
      <c r="B59" s="53"/>
      <c r="C59" s="30"/>
    </row>
    <row r="60" customFormat="false" ht="15" hidden="false" customHeight="false" outlineLevel="0" collapsed="false">
      <c r="B60" s="53"/>
      <c r="C60" s="30"/>
    </row>
    <row r="61" customFormat="false" ht="15" hidden="false" customHeight="false" outlineLevel="0" collapsed="false">
      <c r="B61" s="53"/>
      <c r="C61" s="30"/>
    </row>
    <row r="62" customFormat="false" ht="15" hidden="false" customHeight="false" outlineLevel="0" collapsed="false">
      <c r="B62" s="53"/>
      <c r="C62" s="30"/>
    </row>
    <row r="63" customFormat="false" ht="15" hidden="false" customHeight="false" outlineLevel="0" collapsed="false">
      <c r="B63" s="53"/>
      <c r="C63" s="30"/>
    </row>
    <row r="64" customFormat="false" ht="15" hidden="false" customHeight="false" outlineLevel="0" collapsed="false">
      <c r="B64" s="53"/>
      <c r="C64" s="30"/>
    </row>
    <row r="65" customFormat="false" ht="15" hidden="false" customHeight="false" outlineLevel="0" collapsed="false">
      <c r="B65" s="53"/>
      <c r="C65" s="30"/>
    </row>
    <row r="66" customFormat="false" ht="15" hidden="false" customHeight="false" outlineLevel="0" collapsed="false">
      <c r="B66" s="53"/>
      <c r="C66" s="30"/>
    </row>
    <row r="67" customFormat="false" ht="15" hidden="false" customHeight="false" outlineLevel="0" collapsed="false">
      <c r="B67" s="53"/>
      <c r="C67" s="30"/>
    </row>
    <row r="68" customFormat="false" ht="15" hidden="false" customHeight="false" outlineLevel="0" collapsed="false">
      <c r="B68" s="53"/>
      <c r="C68" s="30"/>
    </row>
    <row r="69" customFormat="false" ht="15" hidden="false" customHeight="false" outlineLevel="0" collapsed="false">
      <c r="B69" s="53"/>
      <c r="C69" s="30"/>
    </row>
    <row r="70" customFormat="false" ht="15" hidden="false" customHeight="false" outlineLevel="0" collapsed="false">
      <c r="B70" s="53"/>
      <c r="C70" s="30"/>
    </row>
    <row r="71" customFormat="false" ht="15" hidden="false" customHeight="false" outlineLevel="0" collapsed="false">
      <c r="B71" s="53"/>
      <c r="C71" s="30"/>
    </row>
    <row r="72" customFormat="false" ht="15" hidden="false" customHeight="false" outlineLevel="0" collapsed="false">
      <c r="B72" s="53"/>
      <c r="C72" s="30"/>
    </row>
    <row r="73" customFormat="false" ht="15" hidden="false" customHeight="false" outlineLevel="0" collapsed="false">
      <c r="B73" s="53"/>
      <c r="C73" s="30"/>
    </row>
    <row r="74" customFormat="false" ht="15" hidden="false" customHeight="false" outlineLevel="0" collapsed="false">
      <c r="B74" s="53"/>
      <c r="C74" s="30"/>
    </row>
    <row r="75" customFormat="false" ht="15" hidden="false" customHeight="false" outlineLevel="0" collapsed="false">
      <c r="B75" s="53"/>
      <c r="C75" s="30"/>
    </row>
    <row r="76" customFormat="false" ht="15" hidden="false" customHeight="false" outlineLevel="0" collapsed="false">
      <c r="B76" s="53"/>
      <c r="C76" s="30"/>
    </row>
    <row r="77" customFormat="false" ht="15" hidden="false" customHeight="false" outlineLevel="0" collapsed="false">
      <c r="B77" s="53"/>
      <c r="C77" s="30"/>
    </row>
    <row r="78" customFormat="false" ht="15" hidden="false" customHeight="false" outlineLevel="0" collapsed="false">
      <c r="B78" s="53"/>
      <c r="C78" s="30"/>
    </row>
    <row r="79" customFormat="false" ht="15" hidden="false" customHeight="false" outlineLevel="0" collapsed="false">
      <c r="B79" s="53"/>
      <c r="C79" s="30"/>
    </row>
    <row r="80" customFormat="false" ht="15" hidden="false" customHeight="false" outlineLevel="0" collapsed="false">
      <c r="B80" s="53"/>
      <c r="C80" s="30"/>
    </row>
    <row r="81" customFormat="false" ht="15" hidden="false" customHeight="false" outlineLevel="0" collapsed="false">
      <c r="B81" s="53"/>
      <c r="C81" s="30"/>
    </row>
    <row r="82" customFormat="false" ht="15" hidden="false" customHeight="false" outlineLevel="0" collapsed="false">
      <c r="B82" s="53"/>
      <c r="C82" s="30"/>
    </row>
    <row r="83" customFormat="false" ht="15" hidden="false" customHeight="false" outlineLevel="0" collapsed="false">
      <c r="B83" s="53"/>
      <c r="C83" s="30"/>
    </row>
    <row r="84" customFormat="false" ht="15" hidden="false" customHeight="false" outlineLevel="0" collapsed="false">
      <c r="B84" s="53"/>
      <c r="C84" s="30"/>
    </row>
    <row r="85" customFormat="false" ht="15" hidden="false" customHeight="false" outlineLevel="0" collapsed="false">
      <c r="B85" s="53"/>
      <c r="C85" s="30"/>
    </row>
    <row r="86" customFormat="false" ht="15" hidden="false" customHeight="false" outlineLevel="0" collapsed="false">
      <c r="B86" s="53"/>
      <c r="C86" s="30"/>
    </row>
    <row r="87" customFormat="false" ht="15" hidden="false" customHeight="false" outlineLevel="0" collapsed="false">
      <c r="B87" s="53"/>
      <c r="C87" s="30"/>
    </row>
    <row r="88" customFormat="false" ht="15" hidden="false" customHeight="false" outlineLevel="0" collapsed="false">
      <c r="B88" s="53"/>
      <c r="C88" s="30"/>
    </row>
    <row r="89" customFormat="false" ht="15" hidden="false" customHeight="false" outlineLevel="0" collapsed="false">
      <c r="B89" s="53"/>
      <c r="C89" s="30"/>
    </row>
    <row r="90" customFormat="false" ht="15" hidden="false" customHeight="false" outlineLevel="0" collapsed="false">
      <c r="B90" s="53"/>
      <c r="C90" s="30"/>
    </row>
    <row r="91" customFormat="false" ht="15" hidden="false" customHeight="false" outlineLevel="0" collapsed="false">
      <c r="B91" s="53"/>
      <c r="C91" s="30"/>
    </row>
    <row r="92" customFormat="false" ht="15" hidden="false" customHeight="false" outlineLevel="0" collapsed="false">
      <c r="B92" s="53"/>
      <c r="C92" s="30"/>
    </row>
    <row r="93" customFormat="false" ht="15" hidden="false" customHeight="false" outlineLevel="0" collapsed="false">
      <c r="B93" s="53"/>
      <c r="C93" s="30"/>
    </row>
    <row r="94" customFormat="false" ht="15" hidden="false" customHeight="false" outlineLevel="0" collapsed="false">
      <c r="B94" s="53"/>
      <c r="C94" s="30"/>
    </row>
    <row r="95" customFormat="false" ht="15" hidden="false" customHeight="false" outlineLevel="0" collapsed="false">
      <c r="B95" s="53"/>
      <c r="C95" s="30"/>
    </row>
    <row r="96" customFormat="false" ht="15" hidden="false" customHeight="false" outlineLevel="0" collapsed="false">
      <c r="B96" s="53"/>
      <c r="C96" s="30"/>
    </row>
    <row r="97" customFormat="false" ht="15" hidden="false" customHeight="false" outlineLevel="0" collapsed="false">
      <c r="B97" s="53"/>
      <c r="C97" s="30"/>
    </row>
    <row r="98" customFormat="false" ht="15" hidden="false" customHeight="false" outlineLevel="0" collapsed="false">
      <c r="B98" s="53"/>
      <c r="C98" s="30"/>
    </row>
    <row r="99" customFormat="false" ht="15" hidden="false" customHeight="false" outlineLevel="0" collapsed="false">
      <c r="B99" s="53"/>
      <c r="C99" s="30"/>
    </row>
    <row r="100" customFormat="false" ht="15" hidden="false" customHeight="false" outlineLevel="0" collapsed="false">
      <c r="B100" s="53"/>
      <c r="C100" s="30"/>
    </row>
    <row r="101" customFormat="false" ht="15" hidden="false" customHeight="false" outlineLevel="0" collapsed="false">
      <c r="B101" s="53"/>
      <c r="C101" s="30"/>
    </row>
    <row r="102" customFormat="false" ht="15" hidden="false" customHeight="false" outlineLevel="0" collapsed="false">
      <c r="B102" s="53"/>
      <c r="C102" s="30"/>
    </row>
    <row r="103" customFormat="false" ht="15" hidden="false" customHeight="false" outlineLevel="0" collapsed="false">
      <c r="B103" s="53"/>
      <c r="C103" s="30"/>
    </row>
    <row r="104" customFormat="false" ht="15" hidden="false" customHeight="false" outlineLevel="0" collapsed="false">
      <c r="B104" s="53"/>
      <c r="C10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X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12"/>
    <col collapsed="false" customWidth="true" hidden="false" outlineLevel="0" max="24" min="24" style="0" width="40"/>
  </cols>
  <sheetData>
    <row r="1" customFormat="false" ht="46.25" hidden="false" customHeight="false" outlineLevel="0" collapsed="false">
      <c r="A1" s="9" t="s">
        <v>305</v>
      </c>
      <c r="B1" s="9" t="s">
        <v>444</v>
      </c>
      <c r="C1" s="9" t="s">
        <v>445</v>
      </c>
      <c r="D1" s="9" t="s">
        <v>446</v>
      </c>
      <c r="E1" s="9" t="s">
        <v>447</v>
      </c>
      <c r="F1" s="9" t="s">
        <v>186</v>
      </c>
      <c r="G1" s="9" t="s">
        <v>430</v>
      </c>
      <c r="H1" s="9" t="s">
        <v>448</v>
      </c>
      <c r="I1" s="9" t="s">
        <v>43</v>
      </c>
      <c r="J1" s="9" t="s">
        <v>449</v>
      </c>
      <c r="K1" s="9" t="s">
        <v>450</v>
      </c>
      <c r="L1" s="9" t="s">
        <v>323</v>
      </c>
      <c r="M1" s="9" t="s">
        <v>317</v>
      </c>
      <c r="N1" s="9" t="s">
        <v>318</v>
      </c>
      <c r="O1" s="9" t="s">
        <v>334</v>
      </c>
      <c r="P1" s="9" t="s">
        <v>335</v>
      </c>
      <c r="Q1" s="9" t="s">
        <v>336</v>
      </c>
      <c r="R1" s="9" t="s">
        <v>337</v>
      </c>
      <c r="S1" s="9" t="s">
        <v>338</v>
      </c>
      <c r="T1" s="9" t="s">
        <v>327</v>
      </c>
      <c r="U1" s="9" t="s">
        <v>451</v>
      </c>
      <c r="V1" s="9" t="s">
        <v>452</v>
      </c>
      <c r="W1" s="9" t="s">
        <v>180</v>
      </c>
      <c r="X1" s="9" t="s">
        <v>156</v>
      </c>
    </row>
    <row r="2" customFormat="false" ht="15" hidden="false" customHeight="false" outlineLevel="0" collapsed="false">
      <c r="A2" s="24" t="str">
        <f aca="false">IF(IFERROR(INDEX(tsk_Name,(ROW()-ROW(MSPTasks[[#Headers],[ID]])))="",TRUE()),"",INDEX(tsk_ID,(ROW()-ROW(MSPTasks[[#Headers],[ID]]))))</f>
        <v/>
      </c>
      <c r="B2" s="24" t="str">
        <f aca="false">IF(IFERROR(INDEX(tsk_Name,(ROW()-ROW(MSPTasks[[#Headers],[ID]])))="",TRUE()),"",INDEX(tsk_UID,(ROW()-ROW(MSPTasks[[#Headers],[ID]]))))</f>
        <v/>
      </c>
      <c r="C2" s="24" t="str">
        <f aca="false">IF(IFERROR(INDEX(tsk_Name,(ROW()-ROW(MSPTasks[[#Headers],[ID]])))="",TRUE()),"",INDEX(tsk_Name,(ROW()-ROW(MSPTasks[[#Headers],[ID]]))))</f>
        <v/>
      </c>
      <c r="D2" s="24" t="str">
        <f aca="false">IF(IFERROR(INDEX(tsk_Name,(ROW()-ROW(MSPTasks[[#Headers],[ID]])))="",TRUE()),"",INDEX(tsk_Level,(ROW()-ROW(MSPTasks[[#Headers],[ID]]))))</f>
        <v/>
      </c>
      <c r="E2" s="24" t="str">
        <f aca="false">IF(IFERROR(INDEX(tsk_Name,(ROW()-ROW(MSPTasks[[#Headers],[ID]])))="",TRUE()),"",IF(INDEX(tsk_Mode,(ROW()-ROW(MSPTasks[[#Headers],[ID]])))="Manual","Manually Scheduled","Auto Scheduled"))</f>
        <v/>
      </c>
      <c r="F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96" t="str">
        <f aca="false">IF(IFERROR(INDEX(tsk_Name,(ROW()-ROW(MSPTasks[[#Headers],[ID]])))="",TRUE()),"",INDEX(tsk_FcStart,(ROW()-ROW(MSPTasks[[#Headers],[ID]]))))</f>
        <v/>
      </c>
      <c r="H2" s="96" t="str">
        <f aca="false">IF(IFERROR(INDEX(tsk_Name,(ROW()-ROW(MSPTasks[[#Headers],[ID]])))="",TRUE()),"",INDEX(tsk_FcFinish,(ROW()-ROW(MSPTasks[[#Headers],[ID]]))))</f>
        <v/>
      </c>
      <c r="I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96" t="str">
        <f aca="false">IF(IFERROR(INDEX(tsk_Name,(ROW()-ROW(MSPTasks[[#Headers],[ID]])))="",TRUE()),"",INDEX(tsk_PlanStart,(ROW()-ROW(MSPTasks[[#Headers],[ID]]))))</f>
        <v/>
      </c>
      <c r="P2" s="96" t="str">
        <f aca="false">IF(IFERROR(INDEX(tsk_Name,(ROW()-ROW(MSPTasks[[#Headers],[ID]])))="",TRUE()),"",INDEX(tsk_PlanFinish,(ROW()-ROW(MSPTasks[[#Headers],[ID]]))))</f>
        <v/>
      </c>
      <c r="Q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" s="24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4" t="str">
        <f aca="false">IF(IFERROR(INDEX(tsk_Name,(ROW()-ROW(MSPTasks[[#Headers],[ID]])))="",TRUE()),"",INDEX(tsk_ID,(ROW()-ROW(MSPTasks[[#Headers],[ID]]))))</f>
        <v/>
      </c>
      <c r="B3" s="24" t="str">
        <f aca="false">IF(IFERROR(INDEX(tsk_Name,(ROW()-ROW(MSPTasks[[#Headers],[ID]])))="",TRUE()),"",INDEX(tsk_UID,(ROW()-ROW(MSPTasks[[#Headers],[ID]]))))</f>
        <v/>
      </c>
      <c r="C3" s="24" t="str">
        <f aca="false">IF(IFERROR(INDEX(tsk_Name,(ROW()-ROW(MSPTasks[[#Headers],[ID]])))="",TRUE()),"",INDEX(tsk_Name,(ROW()-ROW(MSPTasks[[#Headers],[ID]]))))</f>
        <v/>
      </c>
      <c r="D3" s="24" t="str">
        <f aca="false">IF(IFERROR(INDEX(tsk_Name,(ROW()-ROW(MSPTasks[[#Headers],[ID]])))="",TRUE()),"",INDEX(tsk_Level,(ROW()-ROW(MSPTasks[[#Headers],[ID]]))))</f>
        <v/>
      </c>
      <c r="E3" s="24" t="str">
        <f aca="false">IF(IFERROR(INDEX(tsk_Name,(ROW()-ROW(MSPTasks[[#Headers],[ID]])))="",TRUE()),"",IF(INDEX(tsk_Mode,(ROW()-ROW(MSPTasks[[#Headers],[ID]])))="Manual","Manually Scheduled","Auto Scheduled"))</f>
        <v/>
      </c>
      <c r="F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" s="96" t="str">
        <f aca="false">IF(IFERROR(INDEX(tsk_Name,(ROW()-ROW(MSPTasks[[#Headers],[ID]])))="",TRUE()),"",INDEX(tsk_FcStart,(ROW()-ROW(MSPTasks[[#Headers],[ID]]))))</f>
        <v/>
      </c>
      <c r="H3" s="96" t="str">
        <f aca="false">IF(IFERROR(INDEX(tsk_Name,(ROW()-ROW(MSPTasks[[#Headers],[ID]])))="",TRUE()),"",INDEX(tsk_FcFinish,(ROW()-ROW(MSPTasks[[#Headers],[ID]]))))</f>
        <v/>
      </c>
      <c r="I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96" t="str">
        <f aca="false">IF(IFERROR(INDEX(tsk_Name,(ROW()-ROW(MSPTasks[[#Headers],[ID]])))="",TRUE()),"",INDEX(tsk_PlanStart,(ROW()-ROW(MSPTasks[[#Headers],[ID]]))))</f>
        <v/>
      </c>
      <c r="P3" s="96" t="str">
        <f aca="false">IF(IFERROR(INDEX(tsk_Name,(ROW()-ROW(MSPTasks[[#Headers],[ID]])))="",TRUE()),"",INDEX(tsk_PlanFinish,(ROW()-ROW(MSPTasks[[#Headers],[ID]]))))</f>
        <v/>
      </c>
      <c r="Q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" s="24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4" t="str">
        <f aca="false">IF(IFERROR(INDEX(tsk_Name,(ROW()-ROW(MSPTasks[[#Headers],[ID]])))="",TRUE()),"",INDEX(tsk_ID,(ROW()-ROW(MSPTasks[[#Headers],[ID]]))))</f>
        <v/>
      </c>
      <c r="B4" s="24" t="str">
        <f aca="false">IF(IFERROR(INDEX(tsk_Name,(ROW()-ROW(MSPTasks[[#Headers],[ID]])))="",TRUE()),"",INDEX(tsk_UID,(ROW()-ROW(MSPTasks[[#Headers],[ID]]))))</f>
        <v/>
      </c>
      <c r="C4" s="24" t="str">
        <f aca="false">IF(IFERROR(INDEX(tsk_Name,(ROW()-ROW(MSPTasks[[#Headers],[ID]])))="",TRUE()),"",INDEX(tsk_Name,(ROW()-ROW(MSPTasks[[#Headers],[ID]]))))</f>
        <v/>
      </c>
      <c r="D4" s="24" t="str">
        <f aca="false">IF(IFERROR(INDEX(tsk_Name,(ROW()-ROW(MSPTasks[[#Headers],[ID]])))="",TRUE()),"",INDEX(tsk_Level,(ROW()-ROW(MSPTasks[[#Headers],[ID]]))))</f>
        <v/>
      </c>
      <c r="E4" s="24" t="str">
        <f aca="false">IF(IFERROR(INDEX(tsk_Name,(ROW()-ROW(MSPTasks[[#Headers],[ID]])))="",TRUE()),"",IF(INDEX(tsk_Mode,(ROW()-ROW(MSPTasks[[#Headers],[ID]])))="Manual","Manually Scheduled","Auto Scheduled"))</f>
        <v/>
      </c>
      <c r="F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" s="96" t="str">
        <f aca="false">IF(IFERROR(INDEX(tsk_Name,(ROW()-ROW(MSPTasks[[#Headers],[ID]])))="",TRUE()),"",INDEX(tsk_FcStart,(ROW()-ROW(MSPTasks[[#Headers],[ID]]))))</f>
        <v/>
      </c>
      <c r="H4" s="96" t="str">
        <f aca="false">IF(IFERROR(INDEX(tsk_Name,(ROW()-ROW(MSPTasks[[#Headers],[ID]])))="",TRUE()),"",INDEX(tsk_FcFinish,(ROW()-ROW(MSPTasks[[#Headers],[ID]]))))</f>
        <v/>
      </c>
      <c r="I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96" t="str">
        <f aca="false">IF(IFERROR(INDEX(tsk_Name,(ROW()-ROW(MSPTasks[[#Headers],[ID]])))="",TRUE()),"",INDEX(tsk_PlanStart,(ROW()-ROW(MSPTasks[[#Headers],[ID]]))))</f>
        <v/>
      </c>
      <c r="P4" s="96" t="str">
        <f aca="false">IF(IFERROR(INDEX(tsk_Name,(ROW()-ROW(MSPTasks[[#Headers],[ID]])))="",TRUE()),"",INDEX(tsk_PlanFinish,(ROW()-ROW(MSPTasks[[#Headers],[ID]]))))</f>
        <v/>
      </c>
      <c r="Q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" s="24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4" t="str">
        <f aca="false">IF(IFERROR(INDEX(tsk_Name,(ROW()-ROW(MSPTasks[[#Headers],[ID]])))="",TRUE()),"",INDEX(tsk_ID,(ROW()-ROW(MSPTasks[[#Headers],[ID]]))))</f>
        <v/>
      </c>
      <c r="B5" s="24" t="str">
        <f aca="false">IF(IFERROR(INDEX(tsk_Name,(ROW()-ROW(MSPTasks[[#Headers],[ID]])))="",TRUE()),"",INDEX(tsk_UID,(ROW()-ROW(MSPTasks[[#Headers],[ID]]))))</f>
        <v/>
      </c>
      <c r="C5" s="24" t="str">
        <f aca="false">IF(IFERROR(INDEX(tsk_Name,(ROW()-ROW(MSPTasks[[#Headers],[ID]])))="",TRUE()),"",INDEX(tsk_Name,(ROW()-ROW(MSPTasks[[#Headers],[ID]]))))</f>
        <v/>
      </c>
      <c r="D5" s="24" t="str">
        <f aca="false">IF(IFERROR(INDEX(tsk_Name,(ROW()-ROW(MSPTasks[[#Headers],[ID]])))="",TRUE()),"",INDEX(tsk_Level,(ROW()-ROW(MSPTasks[[#Headers],[ID]]))))</f>
        <v/>
      </c>
      <c r="E5" s="24" t="str">
        <f aca="false">IF(IFERROR(INDEX(tsk_Name,(ROW()-ROW(MSPTasks[[#Headers],[ID]])))="",TRUE()),"",IF(INDEX(tsk_Mode,(ROW()-ROW(MSPTasks[[#Headers],[ID]])))="Manual","Manually Scheduled","Auto Scheduled"))</f>
        <v/>
      </c>
      <c r="F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" s="96" t="str">
        <f aca="false">IF(IFERROR(INDEX(tsk_Name,(ROW()-ROW(MSPTasks[[#Headers],[ID]])))="",TRUE()),"",INDEX(tsk_FcStart,(ROW()-ROW(MSPTasks[[#Headers],[ID]]))))</f>
        <v/>
      </c>
      <c r="H5" s="96" t="str">
        <f aca="false">IF(IFERROR(INDEX(tsk_Name,(ROW()-ROW(MSPTasks[[#Headers],[ID]])))="",TRUE()),"",INDEX(tsk_FcFinish,(ROW()-ROW(MSPTasks[[#Headers],[ID]]))))</f>
        <v/>
      </c>
      <c r="I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96" t="str">
        <f aca="false">IF(IFERROR(INDEX(tsk_Name,(ROW()-ROW(MSPTasks[[#Headers],[ID]])))="",TRUE()),"",INDEX(tsk_PlanStart,(ROW()-ROW(MSPTasks[[#Headers],[ID]]))))</f>
        <v/>
      </c>
      <c r="P5" s="96" t="str">
        <f aca="false">IF(IFERROR(INDEX(tsk_Name,(ROW()-ROW(MSPTasks[[#Headers],[ID]])))="",TRUE()),"",INDEX(tsk_PlanFinish,(ROW()-ROW(MSPTasks[[#Headers],[ID]]))))</f>
        <v/>
      </c>
      <c r="Q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" s="24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4" t="str">
        <f aca="false">IF(IFERROR(INDEX(tsk_Name,(ROW()-ROW(MSPTasks[[#Headers],[ID]])))="",TRUE()),"",INDEX(tsk_ID,(ROW()-ROW(MSPTasks[[#Headers],[ID]]))))</f>
        <v/>
      </c>
      <c r="B6" s="24" t="str">
        <f aca="false">IF(IFERROR(INDEX(tsk_Name,(ROW()-ROW(MSPTasks[[#Headers],[ID]])))="",TRUE()),"",INDEX(tsk_UID,(ROW()-ROW(MSPTasks[[#Headers],[ID]]))))</f>
        <v/>
      </c>
      <c r="C6" s="24" t="str">
        <f aca="false">IF(IFERROR(INDEX(tsk_Name,(ROW()-ROW(MSPTasks[[#Headers],[ID]])))="",TRUE()),"",INDEX(tsk_Name,(ROW()-ROW(MSPTasks[[#Headers],[ID]]))))</f>
        <v/>
      </c>
      <c r="D6" s="24" t="str">
        <f aca="false">IF(IFERROR(INDEX(tsk_Name,(ROW()-ROW(MSPTasks[[#Headers],[ID]])))="",TRUE()),"",INDEX(tsk_Level,(ROW()-ROW(MSPTasks[[#Headers],[ID]]))))</f>
        <v/>
      </c>
      <c r="E6" s="24" t="str">
        <f aca="false">IF(IFERROR(INDEX(tsk_Name,(ROW()-ROW(MSPTasks[[#Headers],[ID]])))="",TRUE()),"",IF(INDEX(tsk_Mode,(ROW()-ROW(MSPTasks[[#Headers],[ID]])))="Manual","Manually Scheduled","Auto Scheduled"))</f>
        <v/>
      </c>
      <c r="F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96" t="str">
        <f aca="false">IF(IFERROR(INDEX(tsk_Name,(ROW()-ROW(MSPTasks[[#Headers],[ID]])))="",TRUE()),"",INDEX(tsk_FcStart,(ROW()-ROW(MSPTasks[[#Headers],[ID]]))))</f>
        <v/>
      </c>
      <c r="H6" s="96" t="str">
        <f aca="false">IF(IFERROR(INDEX(tsk_Name,(ROW()-ROW(MSPTasks[[#Headers],[ID]])))="",TRUE()),"",INDEX(tsk_FcFinish,(ROW()-ROW(MSPTasks[[#Headers],[ID]]))))</f>
        <v/>
      </c>
      <c r="I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96" t="str">
        <f aca="false">IF(IFERROR(INDEX(tsk_Name,(ROW()-ROW(MSPTasks[[#Headers],[ID]])))="",TRUE()),"",INDEX(tsk_PlanStart,(ROW()-ROW(MSPTasks[[#Headers],[ID]]))))</f>
        <v/>
      </c>
      <c r="P6" s="96" t="str">
        <f aca="false">IF(IFERROR(INDEX(tsk_Name,(ROW()-ROW(MSPTasks[[#Headers],[ID]])))="",TRUE()),"",INDEX(tsk_PlanFinish,(ROW()-ROW(MSPTasks[[#Headers],[ID]]))))</f>
        <v/>
      </c>
      <c r="Q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" s="24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4" t="str">
        <f aca="false">IF(IFERROR(INDEX(tsk_Name,(ROW()-ROW(MSPTasks[[#Headers],[ID]])))="",TRUE()),"",INDEX(tsk_ID,(ROW()-ROW(MSPTasks[[#Headers],[ID]]))))</f>
        <v/>
      </c>
      <c r="B7" s="24" t="str">
        <f aca="false">IF(IFERROR(INDEX(tsk_Name,(ROW()-ROW(MSPTasks[[#Headers],[ID]])))="",TRUE()),"",INDEX(tsk_UID,(ROW()-ROW(MSPTasks[[#Headers],[ID]]))))</f>
        <v/>
      </c>
      <c r="C7" s="24" t="str">
        <f aca="false">IF(IFERROR(INDEX(tsk_Name,(ROW()-ROW(MSPTasks[[#Headers],[ID]])))="",TRUE()),"",INDEX(tsk_Name,(ROW()-ROW(MSPTasks[[#Headers],[ID]]))))</f>
        <v/>
      </c>
      <c r="D7" s="24" t="str">
        <f aca="false">IF(IFERROR(INDEX(tsk_Name,(ROW()-ROW(MSPTasks[[#Headers],[ID]])))="",TRUE()),"",INDEX(tsk_Level,(ROW()-ROW(MSPTasks[[#Headers],[ID]]))))</f>
        <v/>
      </c>
      <c r="E7" s="24" t="str">
        <f aca="false">IF(IFERROR(INDEX(tsk_Name,(ROW()-ROW(MSPTasks[[#Headers],[ID]])))="",TRUE()),"",IF(INDEX(tsk_Mode,(ROW()-ROW(MSPTasks[[#Headers],[ID]])))="Manual","Manually Scheduled","Auto Scheduled"))</f>
        <v/>
      </c>
      <c r="F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" s="96" t="str">
        <f aca="false">IF(IFERROR(INDEX(tsk_Name,(ROW()-ROW(MSPTasks[[#Headers],[ID]])))="",TRUE()),"",INDEX(tsk_FcStart,(ROW()-ROW(MSPTasks[[#Headers],[ID]]))))</f>
        <v/>
      </c>
      <c r="H7" s="96" t="str">
        <f aca="false">IF(IFERROR(INDEX(tsk_Name,(ROW()-ROW(MSPTasks[[#Headers],[ID]])))="",TRUE()),"",INDEX(tsk_FcFinish,(ROW()-ROW(MSPTasks[[#Headers],[ID]]))))</f>
        <v/>
      </c>
      <c r="I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96" t="str">
        <f aca="false">IF(IFERROR(INDEX(tsk_Name,(ROW()-ROW(MSPTasks[[#Headers],[ID]])))="",TRUE()),"",INDEX(tsk_PlanStart,(ROW()-ROW(MSPTasks[[#Headers],[ID]]))))</f>
        <v/>
      </c>
      <c r="P7" s="96" t="str">
        <f aca="false">IF(IFERROR(INDEX(tsk_Name,(ROW()-ROW(MSPTasks[[#Headers],[ID]])))="",TRUE()),"",INDEX(tsk_PlanFinish,(ROW()-ROW(MSPTasks[[#Headers],[ID]]))))</f>
        <v/>
      </c>
      <c r="Q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" s="24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4" t="str">
        <f aca="false">IF(IFERROR(INDEX(tsk_Name,(ROW()-ROW(MSPTasks[[#Headers],[ID]])))="",TRUE()),"",INDEX(tsk_ID,(ROW()-ROW(MSPTasks[[#Headers],[ID]]))))</f>
        <v/>
      </c>
      <c r="B8" s="24" t="str">
        <f aca="false">IF(IFERROR(INDEX(tsk_Name,(ROW()-ROW(MSPTasks[[#Headers],[ID]])))="",TRUE()),"",INDEX(tsk_UID,(ROW()-ROW(MSPTasks[[#Headers],[ID]]))))</f>
        <v/>
      </c>
      <c r="C8" s="24" t="str">
        <f aca="false">IF(IFERROR(INDEX(tsk_Name,(ROW()-ROW(MSPTasks[[#Headers],[ID]])))="",TRUE()),"",INDEX(tsk_Name,(ROW()-ROW(MSPTasks[[#Headers],[ID]]))))</f>
        <v/>
      </c>
      <c r="D8" s="24" t="str">
        <f aca="false">IF(IFERROR(INDEX(tsk_Name,(ROW()-ROW(MSPTasks[[#Headers],[ID]])))="",TRUE()),"",INDEX(tsk_Level,(ROW()-ROW(MSPTasks[[#Headers],[ID]]))))</f>
        <v/>
      </c>
      <c r="E8" s="24" t="str">
        <f aca="false">IF(IFERROR(INDEX(tsk_Name,(ROW()-ROW(MSPTasks[[#Headers],[ID]])))="",TRUE()),"",IF(INDEX(tsk_Mode,(ROW()-ROW(MSPTasks[[#Headers],[ID]])))="Manual","Manually Scheduled","Auto Scheduled"))</f>
        <v/>
      </c>
      <c r="F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" s="96" t="str">
        <f aca="false">IF(IFERROR(INDEX(tsk_Name,(ROW()-ROW(MSPTasks[[#Headers],[ID]])))="",TRUE()),"",INDEX(tsk_FcStart,(ROW()-ROW(MSPTasks[[#Headers],[ID]]))))</f>
        <v/>
      </c>
      <c r="H8" s="96" t="str">
        <f aca="false">IF(IFERROR(INDEX(tsk_Name,(ROW()-ROW(MSPTasks[[#Headers],[ID]])))="",TRUE()),"",INDEX(tsk_FcFinish,(ROW()-ROW(MSPTasks[[#Headers],[ID]]))))</f>
        <v/>
      </c>
      <c r="I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96" t="str">
        <f aca="false">IF(IFERROR(INDEX(tsk_Name,(ROW()-ROW(MSPTasks[[#Headers],[ID]])))="",TRUE()),"",INDEX(tsk_PlanStart,(ROW()-ROW(MSPTasks[[#Headers],[ID]]))))</f>
        <v/>
      </c>
      <c r="P8" s="96" t="str">
        <f aca="false">IF(IFERROR(INDEX(tsk_Name,(ROW()-ROW(MSPTasks[[#Headers],[ID]])))="",TRUE()),"",INDEX(tsk_PlanFinish,(ROW()-ROW(MSPTasks[[#Headers],[ID]]))))</f>
        <v/>
      </c>
      <c r="Q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" s="24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4" t="str">
        <f aca="false">IF(IFERROR(INDEX(tsk_Name,(ROW()-ROW(MSPTasks[[#Headers],[ID]])))="",TRUE()),"",INDEX(tsk_ID,(ROW()-ROW(MSPTasks[[#Headers],[ID]]))))</f>
        <v/>
      </c>
      <c r="B9" s="24" t="str">
        <f aca="false">IF(IFERROR(INDEX(tsk_Name,(ROW()-ROW(MSPTasks[[#Headers],[ID]])))="",TRUE()),"",INDEX(tsk_UID,(ROW()-ROW(MSPTasks[[#Headers],[ID]]))))</f>
        <v/>
      </c>
      <c r="C9" s="24" t="str">
        <f aca="false">IF(IFERROR(INDEX(tsk_Name,(ROW()-ROW(MSPTasks[[#Headers],[ID]])))="",TRUE()),"",INDEX(tsk_Name,(ROW()-ROW(MSPTasks[[#Headers],[ID]]))))</f>
        <v/>
      </c>
      <c r="D9" s="24" t="str">
        <f aca="false">IF(IFERROR(INDEX(tsk_Name,(ROW()-ROW(MSPTasks[[#Headers],[ID]])))="",TRUE()),"",INDEX(tsk_Level,(ROW()-ROW(MSPTasks[[#Headers],[ID]]))))</f>
        <v/>
      </c>
      <c r="E9" s="24" t="str">
        <f aca="false">IF(IFERROR(INDEX(tsk_Name,(ROW()-ROW(MSPTasks[[#Headers],[ID]])))="",TRUE()),"",IF(INDEX(tsk_Mode,(ROW()-ROW(MSPTasks[[#Headers],[ID]])))="Manual","Manually Scheduled","Auto Scheduled"))</f>
        <v/>
      </c>
      <c r="F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" s="96" t="str">
        <f aca="false">IF(IFERROR(INDEX(tsk_Name,(ROW()-ROW(MSPTasks[[#Headers],[ID]])))="",TRUE()),"",INDEX(tsk_FcStart,(ROW()-ROW(MSPTasks[[#Headers],[ID]]))))</f>
        <v/>
      </c>
      <c r="H9" s="96" t="str">
        <f aca="false">IF(IFERROR(INDEX(tsk_Name,(ROW()-ROW(MSPTasks[[#Headers],[ID]])))="",TRUE()),"",INDEX(tsk_FcFinish,(ROW()-ROW(MSPTasks[[#Headers],[ID]]))))</f>
        <v/>
      </c>
      <c r="I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96" t="str">
        <f aca="false">IF(IFERROR(INDEX(tsk_Name,(ROW()-ROW(MSPTasks[[#Headers],[ID]])))="",TRUE()),"",INDEX(tsk_PlanStart,(ROW()-ROW(MSPTasks[[#Headers],[ID]]))))</f>
        <v/>
      </c>
      <c r="P9" s="96" t="str">
        <f aca="false">IF(IFERROR(INDEX(tsk_Name,(ROW()-ROW(MSPTasks[[#Headers],[ID]])))="",TRUE()),"",INDEX(tsk_PlanFinish,(ROW()-ROW(MSPTasks[[#Headers],[ID]]))))</f>
        <v/>
      </c>
      <c r="Q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" s="24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4" t="str">
        <f aca="false">IF(IFERROR(INDEX(tsk_Name,(ROW()-ROW(MSPTasks[[#Headers],[ID]])))="",TRUE()),"",INDEX(tsk_ID,(ROW()-ROW(MSPTasks[[#Headers],[ID]]))))</f>
        <v/>
      </c>
      <c r="B10" s="24" t="str">
        <f aca="false">IF(IFERROR(INDEX(tsk_Name,(ROW()-ROW(MSPTasks[[#Headers],[ID]])))="",TRUE()),"",INDEX(tsk_UID,(ROW()-ROW(MSPTasks[[#Headers],[ID]]))))</f>
        <v/>
      </c>
      <c r="C10" s="24" t="str">
        <f aca="false">IF(IFERROR(INDEX(tsk_Name,(ROW()-ROW(MSPTasks[[#Headers],[ID]])))="",TRUE()),"",INDEX(tsk_Name,(ROW()-ROW(MSPTasks[[#Headers],[ID]]))))</f>
        <v/>
      </c>
      <c r="D10" s="24" t="str">
        <f aca="false">IF(IFERROR(INDEX(tsk_Name,(ROW()-ROW(MSPTasks[[#Headers],[ID]])))="",TRUE()),"",INDEX(tsk_Level,(ROW()-ROW(MSPTasks[[#Headers],[ID]]))))</f>
        <v/>
      </c>
      <c r="E10" s="24" t="str">
        <f aca="false">IF(IFERROR(INDEX(tsk_Name,(ROW()-ROW(MSPTasks[[#Headers],[ID]])))="",TRUE()),"",IF(INDEX(tsk_Mode,(ROW()-ROW(MSPTasks[[#Headers],[ID]])))="Manual","Manually Scheduled","Auto Scheduled"))</f>
        <v/>
      </c>
      <c r="F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" s="96" t="str">
        <f aca="false">IF(IFERROR(INDEX(tsk_Name,(ROW()-ROW(MSPTasks[[#Headers],[ID]])))="",TRUE()),"",INDEX(tsk_FcStart,(ROW()-ROW(MSPTasks[[#Headers],[ID]]))))</f>
        <v/>
      </c>
      <c r="H10" s="96" t="str">
        <f aca="false">IF(IFERROR(INDEX(tsk_Name,(ROW()-ROW(MSPTasks[[#Headers],[ID]])))="",TRUE()),"",INDEX(tsk_FcFinish,(ROW()-ROW(MSPTasks[[#Headers],[ID]]))))</f>
        <v/>
      </c>
      <c r="I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96" t="str">
        <f aca="false">IF(IFERROR(INDEX(tsk_Name,(ROW()-ROW(MSPTasks[[#Headers],[ID]])))="",TRUE()),"",INDEX(tsk_PlanStart,(ROW()-ROW(MSPTasks[[#Headers],[ID]]))))</f>
        <v/>
      </c>
      <c r="P10" s="96" t="str">
        <f aca="false">IF(IFERROR(INDEX(tsk_Name,(ROW()-ROW(MSPTasks[[#Headers],[ID]])))="",TRUE()),"",INDEX(tsk_PlanFinish,(ROW()-ROW(MSPTasks[[#Headers],[ID]]))))</f>
        <v/>
      </c>
      <c r="Q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" s="24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4" t="str">
        <f aca="false">IF(IFERROR(INDEX(tsk_Name,(ROW()-ROW(MSPTasks[[#Headers],[ID]])))="",TRUE()),"",INDEX(tsk_ID,(ROW()-ROW(MSPTasks[[#Headers],[ID]]))))</f>
        <v/>
      </c>
      <c r="B11" s="24" t="str">
        <f aca="false">IF(IFERROR(INDEX(tsk_Name,(ROW()-ROW(MSPTasks[[#Headers],[ID]])))="",TRUE()),"",INDEX(tsk_UID,(ROW()-ROW(MSPTasks[[#Headers],[ID]]))))</f>
        <v/>
      </c>
      <c r="C11" s="24" t="str">
        <f aca="false">IF(IFERROR(INDEX(tsk_Name,(ROW()-ROW(MSPTasks[[#Headers],[ID]])))="",TRUE()),"",INDEX(tsk_Name,(ROW()-ROW(MSPTasks[[#Headers],[ID]]))))</f>
        <v/>
      </c>
      <c r="D11" s="24" t="str">
        <f aca="false">IF(IFERROR(INDEX(tsk_Name,(ROW()-ROW(MSPTasks[[#Headers],[ID]])))="",TRUE()),"",INDEX(tsk_Level,(ROW()-ROW(MSPTasks[[#Headers],[ID]]))))</f>
        <v/>
      </c>
      <c r="E11" s="24" t="str">
        <f aca="false">IF(IFERROR(INDEX(tsk_Name,(ROW()-ROW(MSPTasks[[#Headers],[ID]])))="",TRUE()),"",IF(INDEX(tsk_Mode,(ROW()-ROW(MSPTasks[[#Headers],[ID]])))="Manual","Manually Scheduled","Auto Scheduled"))</f>
        <v/>
      </c>
      <c r="F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96" t="str">
        <f aca="false">IF(IFERROR(INDEX(tsk_Name,(ROW()-ROW(MSPTasks[[#Headers],[ID]])))="",TRUE()),"",INDEX(tsk_FcStart,(ROW()-ROW(MSPTasks[[#Headers],[ID]]))))</f>
        <v/>
      </c>
      <c r="H11" s="96" t="str">
        <f aca="false">IF(IFERROR(INDEX(tsk_Name,(ROW()-ROW(MSPTasks[[#Headers],[ID]])))="",TRUE()),"",INDEX(tsk_FcFinish,(ROW()-ROW(MSPTasks[[#Headers],[ID]]))))</f>
        <v/>
      </c>
      <c r="I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96" t="str">
        <f aca="false">IF(IFERROR(INDEX(tsk_Name,(ROW()-ROW(MSPTasks[[#Headers],[ID]])))="",TRUE()),"",INDEX(tsk_PlanStart,(ROW()-ROW(MSPTasks[[#Headers],[ID]]))))</f>
        <v/>
      </c>
      <c r="P11" s="96" t="str">
        <f aca="false">IF(IFERROR(INDEX(tsk_Name,(ROW()-ROW(MSPTasks[[#Headers],[ID]])))="",TRUE()),"",INDEX(tsk_PlanFinish,(ROW()-ROW(MSPTasks[[#Headers],[ID]]))))</f>
        <v/>
      </c>
      <c r="Q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" s="24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4" t="str">
        <f aca="false">IF(IFERROR(INDEX(tsk_Name,(ROW()-ROW(MSPTasks[[#Headers],[ID]])))="",TRUE()),"",INDEX(tsk_ID,(ROW()-ROW(MSPTasks[[#Headers],[ID]]))))</f>
        <v/>
      </c>
      <c r="B12" s="24" t="str">
        <f aca="false">IF(IFERROR(INDEX(tsk_Name,(ROW()-ROW(MSPTasks[[#Headers],[ID]])))="",TRUE()),"",INDEX(tsk_UID,(ROW()-ROW(MSPTasks[[#Headers],[ID]]))))</f>
        <v/>
      </c>
      <c r="C12" s="24" t="str">
        <f aca="false">IF(IFERROR(INDEX(tsk_Name,(ROW()-ROW(MSPTasks[[#Headers],[ID]])))="",TRUE()),"",INDEX(tsk_Name,(ROW()-ROW(MSPTasks[[#Headers],[ID]]))))</f>
        <v/>
      </c>
      <c r="D12" s="24" t="str">
        <f aca="false">IF(IFERROR(INDEX(tsk_Name,(ROW()-ROW(MSPTasks[[#Headers],[ID]])))="",TRUE()),"",INDEX(tsk_Level,(ROW()-ROW(MSPTasks[[#Headers],[ID]]))))</f>
        <v/>
      </c>
      <c r="E12" s="24" t="str">
        <f aca="false">IF(IFERROR(INDEX(tsk_Name,(ROW()-ROW(MSPTasks[[#Headers],[ID]])))="",TRUE()),"",IF(INDEX(tsk_Mode,(ROW()-ROW(MSPTasks[[#Headers],[ID]])))="Manual","Manually Scheduled","Auto Scheduled"))</f>
        <v/>
      </c>
      <c r="F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96" t="str">
        <f aca="false">IF(IFERROR(INDEX(tsk_Name,(ROW()-ROW(MSPTasks[[#Headers],[ID]])))="",TRUE()),"",INDEX(tsk_FcStart,(ROW()-ROW(MSPTasks[[#Headers],[ID]]))))</f>
        <v/>
      </c>
      <c r="H12" s="96" t="str">
        <f aca="false">IF(IFERROR(INDEX(tsk_Name,(ROW()-ROW(MSPTasks[[#Headers],[ID]])))="",TRUE()),"",INDEX(tsk_FcFinish,(ROW()-ROW(MSPTasks[[#Headers],[ID]]))))</f>
        <v/>
      </c>
      <c r="I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96" t="str">
        <f aca="false">IF(IFERROR(INDEX(tsk_Name,(ROW()-ROW(MSPTasks[[#Headers],[ID]])))="",TRUE()),"",INDEX(tsk_PlanStart,(ROW()-ROW(MSPTasks[[#Headers],[ID]]))))</f>
        <v/>
      </c>
      <c r="P12" s="96" t="str">
        <f aca="false">IF(IFERROR(INDEX(tsk_Name,(ROW()-ROW(MSPTasks[[#Headers],[ID]])))="",TRUE()),"",INDEX(tsk_PlanFinish,(ROW()-ROW(MSPTasks[[#Headers],[ID]]))))</f>
        <v/>
      </c>
      <c r="Q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" s="24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4" t="str">
        <f aca="false">IF(IFERROR(INDEX(tsk_Name,(ROW()-ROW(MSPTasks[[#Headers],[ID]])))="",TRUE()),"",INDEX(tsk_ID,(ROW()-ROW(MSPTasks[[#Headers],[ID]]))))</f>
        <v/>
      </c>
      <c r="B13" s="24" t="str">
        <f aca="false">IF(IFERROR(INDEX(tsk_Name,(ROW()-ROW(MSPTasks[[#Headers],[ID]])))="",TRUE()),"",INDEX(tsk_UID,(ROW()-ROW(MSPTasks[[#Headers],[ID]]))))</f>
        <v/>
      </c>
      <c r="C13" s="24" t="str">
        <f aca="false">IF(IFERROR(INDEX(tsk_Name,(ROW()-ROW(MSPTasks[[#Headers],[ID]])))="",TRUE()),"",INDEX(tsk_Name,(ROW()-ROW(MSPTasks[[#Headers],[ID]]))))</f>
        <v/>
      </c>
      <c r="D13" s="24" t="str">
        <f aca="false">IF(IFERROR(INDEX(tsk_Name,(ROW()-ROW(MSPTasks[[#Headers],[ID]])))="",TRUE()),"",INDEX(tsk_Level,(ROW()-ROW(MSPTasks[[#Headers],[ID]]))))</f>
        <v/>
      </c>
      <c r="E13" s="24" t="str">
        <f aca="false">IF(IFERROR(INDEX(tsk_Name,(ROW()-ROW(MSPTasks[[#Headers],[ID]])))="",TRUE()),"",IF(INDEX(tsk_Mode,(ROW()-ROW(MSPTasks[[#Headers],[ID]])))="Manual","Manually Scheduled","Auto Scheduled"))</f>
        <v/>
      </c>
      <c r="F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" s="96" t="str">
        <f aca="false">IF(IFERROR(INDEX(tsk_Name,(ROW()-ROW(MSPTasks[[#Headers],[ID]])))="",TRUE()),"",INDEX(tsk_FcStart,(ROW()-ROW(MSPTasks[[#Headers],[ID]]))))</f>
        <v/>
      </c>
      <c r="H13" s="96" t="str">
        <f aca="false">IF(IFERROR(INDEX(tsk_Name,(ROW()-ROW(MSPTasks[[#Headers],[ID]])))="",TRUE()),"",INDEX(tsk_FcFinish,(ROW()-ROW(MSPTasks[[#Headers],[ID]]))))</f>
        <v/>
      </c>
      <c r="I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96" t="str">
        <f aca="false">IF(IFERROR(INDEX(tsk_Name,(ROW()-ROW(MSPTasks[[#Headers],[ID]])))="",TRUE()),"",INDEX(tsk_PlanStart,(ROW()-ROW(MSPTasks[[#Headers],[ID]]))))</f>
        <v/>
      </c>
      <c r="P13" s="96" t="str">
        <f aca="false">IF(IFERROR(INDEX(tsk_Name,(ROW()-ROW(MSPTasks[[#Headers],[ID]])))="",TRUE()),"",INDEX(tsk_PlanFinish,(ROW()-ROW(MSPTasks[[#Headers],[ID]]))))</f>
        <v/>
      </c>
      <c r="Q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" s="24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4" t="str">
        <f aca="false">IF(IFERROR(INDEX(tsk_Name,(ROW()-ROW(MSPTasks[[#Headers],[ID]])))="",TRUE()),"",INDEX(tsk_ID,(ROW()-ROW(MSPTasks[[#Headers],[ID]]))))</f>
        <v/>
      </c>
      <c r="B14" s="24" t="str">
        <f aca="false">IF(IFERROR(INDEX(tsk_Name,(ROW()-ROW(MSPTasks[[#Headers],[ID]])))="",TRUE()),"",INDEX(tsk_UID,(ROW()-ROW(MSPTasks[[#Headers],[ID]]))))</f>
        <v/>
      </c>
      <c r="C14" s="24" t="str">
        <f aca="false">IF(IFERROR(INDEX(tsk_Name,(ROW()-ROW(MSPTasks[[#Headers],[ID]])))="",TRUE()),"",INDEX(tsk_Name,(ROW()-ROW(MSPTasks[[#Headers],[ID]]))))</f>
        <v/>
      </c>
      <c r="D14" s="24" t="str">
        <f aca="false">IF(IFERROR(INDEX(tsk_Name,(ROW()-ROW(MSPTasks[[#Headers],[ID]])))="",TRUE()),"",INDEX(tsk_Level,(ROW()-ROW(MSPTasks[[#Headers],[ID]]))))</f>
        <v/>
      </c>
      <c r="E14" s="24" t="str">
        <f aca="false">IF(IFERROR(INDEX(tsk_Name,(ROW()-ROW(MSPTasks[[#Headers],[ID]])))="",TRUE()),"",IF(INDEX(tsk_Mode,(ROW()-ROW(MSPTasks[[#Headers],[ID]])))="Manual","Manually Scheduled","Auto Scheduled"))</f>
        <v/>
      </c>
      <c r="F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" s="96" t="str">
        <f aca="false">IF(IFERROR(INDEX(tsk_Name,(ROW()-ROW(MSPTasks[[#Headers],[ID]])))="",TRUE()),"",INDEX(tsk_FcStart,(ROW()-ROW(MSPTasks[[#Headers],[ID]]))))</f>
        <v/>
      </c>
      <c r="H14" s="96" t="str">
        <f aca="false">IF(IFERROR(INDEX(tsk_Name,(ROW()-ROW(MSPTasks[[#Headers],[ID]])))="",TRUE()),"",INDEX(tsk_FcFinish,(ROW()-ROW(MSPTasks[[#Headers],[ID]]))))</f>
        <v/>
      </c>
      <c r="I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96" t="str">
        <f aca="false">IF(IFERROR(INDEX(tsk_Name,(ROW()-ROW(MSPTasks[[#Headers],[ID]])))="",TRUE()),"",INDEX(tsk_PlanStart,(ROW()-ROW(MSPTasks[[#Headers],[ID]]))))</f>
        <v/>
      </c>
      <c r="P14" s="96" t="str">
        <f aca="false">IF(IFERROR(INDEX(tsk_Name,(ROW()-ROW(MSPTasks[[#Headers],[ID]])))="",TRUE()),"",INDEX(tsk_PlanFinish,(ROW()-ROW(MSPTasks[[#Headers],[ID]]))))</f>
        <v/>
      </c>
      <c r="Q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" s="24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4" t="str">
        <f aca="false">IF(IFERROR(INDEX(tsk_Name,(ROW()-ROW(MSPTasks[[#Headers],[ID]])))="",TRUE()),"",INDEX(tsk_ID,(ROW()-ROW(MSPTasks[[#Headers],[ID]]))))</f>
        <v/>
      </c>
      <c r="B15" s="24" t="str">
        <f aca="false">IF(IFERROR(INDEX(tsk_Name,(ROW()-ROW(MSPTasks[[#Headers],[ID]])))="",TRUE()),"",INDEX(tsk_UID,(ROW()-ROW(MSPTasks[[#Headers],[ID]]))))</f>
        <v/>
      </c>
      <c r="C15" s="24" t="str">
        <f aca="false">IF(IFERROR(INDEX(tsk_Name,(ROW()-ROW(MSPTasks[[#Headers],[ID]])))="",TRUE()),"",INDEX(tsk_Name,(ROW()-ROW(MSPTasks[[#Headers],[ID]]))))</f>
        <v/>
      </c>
      <c r="D15" s="24" t="str">
        <f aca="false">IF(IFERROR(INDEX(tsk_Name,(ROW()-ROW(MSPTasks[[#Headers],[ID]])))="",TRUE()),"",INDEX(tsk_Level,(ROW()-ROW(MSPTasks[[#Headers],[ID]]))))</f>
        <v/>
      </c>
      <c r="E15" s="24" t="str">
        <f aca="false">IF(IFERROR(INDEX(tsk_Name,(ROW()-ROW(MSPTasks[[#Headers],[ID]])))="",TRUE()),"",IF(INDEX(tsk_Mode,(ROW()-ROW(MSPTasks[[#Headers],[ID]])))="Manual","Manually Scheduled","Auto Scheduled"))</f>
        <v/>
      </c>
      <c r="F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" s="96" t="str">
        <f aca="false">IF(IFERROR(INDEX(tsk_Name,(ROW()-ROW(MSPTasks[[#Headers],[ID]])))="",TRUE()),"",INDEX(tsk_FcStart,(ROW()-ROW(MSPTasks[[#Headers],[ID]]))))</f>
        <v/>
      </c>
      <c r="H15" s="96" t="str">
        <f aca="false">IF(IFERROR(INDEX(tsk_Name,(ROW()-ROW(MSPTasks[[#Headers],[ID]])))="",TRUE()),"",INDEX(tsk_FcFinish,(ROW()-ROW(MSPTasks[[#Headers],[ID]]))))</f>
        <v/>
      </c>
      <c r="I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96" t="str">
        <f aca="false">IF(IFERROR(INDEX(tsk_Name,(ROW()-ROW(MSPTasks[[#Headers],[ID]])))="",TRUE()),"",INDEX(tsk_PlanStart,(ROW()-ROW(MSPTasks[[#Headers],[ID]]))))</f>
        <v/>
      </c>
      <c r="P15" s="96" t="str">
        <f aca="false">IF(IFERROR(INDEX(tsk_Name,(ROW()-ROW(MSPTasks[[#Headers],[ID]])))="",TRUE()),"",INDEX(tsk_PlanFinish,(ROW()-ROW(MSPTasks[[#Headers],[ID]]))))</f>
        <v/>
      </c>
      <c r="Q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" s="24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4" t="str">
        <f aca="false">IF(IFERROR(INDEX(tsk_Name,(ROW()-ROW(MSPTasks[[#Headers],[ID]])))="",TRUE()),"",INDEX(tsk_ID,(ROW()-ROW(MSPTasks[[#Headers],[ID]]))))</f>
        <v/>
      </c>
      <c r="B16" s="24" t="str">
        <f aca="false">IF(IFERROR(INDEX(tsk_Name,(ROW()-ROW(MSPTasks[[#Headers],[ID]])))="",TRUE()),"",INDEX(tsk_UID,(ROW()-ROW(MSPTasks[[#Headers],[ID]]))))</f>
        <v/>
      </c>
      <c r="C16" s="24" t="str">
        <f aca="false">IF(IFERROR(INDEX(tsk_Name,(ROW()-ROW(MSPTasks[[#Headers],[ID]])))="",TRUE()),"",INDEX(tsk_Name,(ROW()-ROW(MSPTasks[[#Headers],[ID]]))))</f>
        <v/>
      </c>
      <c r="D16" s="24" t="str">
        <f aca="false">IF(IFERROR(INDEX(tsk_Name,(ROW()-ROW(MSPTasks[[#Headers],[ID]])))="",TRUE()),"",INDEX(tsk_Level,(ROW()-ROW(MSPTasks[[#Headers],[ID]]))))</f>
        <v/>
      </c>
      <c r="E16" s="24" t="str">
        <f aca="false">IF(IFERROR(INDEX(tsk_Name,(ROW()-ROW(MSPTasks[[#Headers],[ID]])))="",TRUE()),"",IF(INDEX(tsk_Mode,(ROW()-ROW(MSPTasks[[#Headers],[ID]])))="Manual","Manually Scheduled","Auto Scheduled"))</f>
        <v/>
      </c>
      <c r="F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96" t="str">
        <f aca="false">IF(IFERROR(INDEX(tsk_Name,(ROW()-ROW(MSPTasks[[#Headers],[ID]])))="",TRUE()),"",INDEX(tsk_FcStart,(ROW()-ROW(MSPTasks[[#Headers],[ID]]))))</f>
        <v/>
      </c>
      <c r="H16" s="96" t="str">
        <f aca="false">IF(IFERROR(INDEX(tsk_Name,(ROW()-ROW(MSPTasks[[#Headers],[ID]])))="",TRUE()),"",INDEX(tsk_FcFinish,(ROW()-ROW(MSPTasks[[#Headers],[ID]]))))</f>
        <v/>
      </c>
      <c r="I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96" t="str">
        <f aca="false">IF(IFERROR(INDEX(tsk_Name,(ROW()-ROW(MSPTasks[[#Headers],[ID]])))="",TRUE()),"",INDEX(tsk_PlanStart,(ROW()-ROW(MSPTasks[[#Headers],[ID]]))))</f>
        <v/>
      </c>
      <c r="P16" s="96" t="str">
        <f aca="false">IF(IFERROR(INDEX(tsk_Name,(ROW()-ROW(MSPTasks[[#Headers],[ID]])))="",TRUE()),"",INDEX(tsk_PlanFinish,(ROW()-ROW(MSPTasks[[#Headers],[ID]]))))</f>
        <v/>
      </c>
      <c r="Q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" s="24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4" t="str">
        <f aca="false">IF(IFERROR(INDEX(tsk_Name,(ROW()-ROW(MSPTasks[[#Headers],[ID]])))="",TRUE()),"",INDEX(tsk_ID,(ROW()-ROW(MSPTasks[[#Headers],[ID]]))))</f>
        <v/>
      </c>
      <c r="B17" s="24" t="str">
        <f aca="false">IF(IFERROR(INDEX(tsk_Name,(ROW()-ROW(MSPTasks[[#Headers],[ID]])))="",TRUE()),"",INDEX(tsk_UID,(ROW()-ROW(MSPTasks[[#Headers],[ID]]))))</f>
        <v/>
      </c>
      <c r="C17" s="24" t="str">
        <f aca="false">IF(IFERROR(INDEX(tsk_Name,(ROW()-ROW(MSPTasks[[#Headers],[ID]])))="",TRUE()),"",INDEX(tsk_Name,(ROW()-ROW(MSPTasks[[#Headers],[ID]]))))</f>
        <v/>
      </c>
      <c r="D17" s="24" t="str">
        <f aca="false">IF(IFERROR(INDEX(tsk_Name,(ROW()-ROW(MSPTasks[[#Headers],[ID]])))="",TRUE()),"",INDEX(tsk_Level,(ROW()-ROW(MSPTasks[[#Headers],[ID]]))))</f>
        <v/>
      </c>
      <c r="E17" s="24" t="str">
        <f aca="false">IF(IFERROR(INDEX(tsk_Name,(ROW()-ROW(MSPTasks[[#Headers],[ID]])))="",TRUE()),"",IF(INDEX(tsk_Mode,(ROW()-ROW(MSPTasks[[#Headers],[ID]])))="Manual","Manually Scheduled","Auto Scheduled"))</f>
        <v/>
      </c>
      <c r="F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" s="96" t="str">
        <f aca="false">IF(IFERROR(INDEX(tsk_Name,(ROW()-ROW(MSPTasks[[#Headers],[ID]])))="",TRUE()),"",INDEX(tsk_FcStart,(ROW()-ROW(MSPTasks[[#Headers],[ID]]))))</f>
        <v/>
      </c>
      <c r="H17" s="96" t="str">
        <f aca="false">IF(IFERROR(INDEX(tsk_Name,(ROW()-ROW(MSPTasks[[#Headers],[ID]])))="",TRUE()),"",INDEX(tsk_FcFinish,(ROW()-ROW(MSPTasks[[#Headers],[ID]]))))</f>
        <v/>
      </c>
      <c r="I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96" t="str">
        <f aca="false">IF(IFERROR(INDEX(tsk_Name,(ROW()-ROW(MSPTasks[[#Headers],[ID]])))="",TRUE()),"",INDEX(tsk_PlanStart,(ROW()-ROW(MSPTasks[[#Headers],[ID]]))))</f>
        <v/>
      </c>
      <c r="P17" s="96" t="str">
        <f aca="false">IF(IFERROR(INDEX(tsk_Name,(ROW()-ROW(MSPTasks[[#Headers],[ID]])))="",TRUE()),"",INDEX(tsk_PlanFinish,(ROW()-ROW(MSPTasks[[#Headers],[ID]]))))</f>
        <v/>
      </c>
      <c r="Q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" s="24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4" t="str">
        <f aca="false">IF(IFERROR(INDEX(tsk_Name,(ROW()-ROW(MSPTasks[[#Headers],[ID]])))="",TRUE()),"",INDEX(tsk_ID,(ROW()-ROW(MSPTasks[[#Headers],[ID]]))))</f>
        <v/>
      </c>
      <c r="B18" s="24" t="str">
        <f aca="false">IF(IFERROR(INDEX(tsk_Name,(ROW()-ROW(MSPTasks[[#Headers],[ID]])))="",TRUE()),"",INDEX(tsk_UID,(ROW()-ROW(MSPTasks[[#Headers],[ID]]))))</f>
        <v/>
      </c>
      <c r="C18" s="24" t="str">
        <f aca="false">IF(IFERROR(INDEX(tsk_Name,(ROW()-ROW(MSPTasks[[#Headers],[ID]])))="",TRUE()),"",INDEX(tsk_Name,(ROW()-ROW(MSPTasks[[#Headers],[ID]]))))</f>
        <v/>
      </c>
      <c r="D18" s="24" t="str">
        <f aca="false">IF(IFERROR(INDEX(tsk_Name,(ROW()-ROW(MSPTasks[[#Headers],[ID]])))="",TRUE()),"",INDEX(tsk_Level,(ROW()-ROW(MSPTasks[[#Headers],[ID]]))))</f>
        <v/>
      </c>
      <c r="E18" s="24" t="str">
        <f aca="false">IF(IFERROR(INDEX(tsk_Name,(ROW()-ROW(MSPTasks[[#Headers],[ID]])))="",TRUE()),"",IF(INDEX(tsk_Mode,(ROW()-ROW(MSPTasks[[#Headers],[ID]])))="Manual","Manually Scheduled","Auto Scheduled"))</f>
        <v/>
      </c>
      <c r="F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" s="96" t="str">
        <f aca="false">IF(IFERROR(INDEX(tsk_Name,(ROW()-ROW(MSPTasks[[#Headers],[ID]])))="",TRUE()),"",INDEX(tsk_FcStart,(ROW()-ROW(MSPTasks[[#Headers],[ID]]))))</f>
        <v/>
      </c>
      <c r="H18" s="96" t="str">
        <f aca="false">IF(IFERROR(INDEX(tsk_Name,(ROW()-ROW(MSPTasks[[#Headers],[ID]])))="",TRUE()),"",INDEX(tsk_FcFinish,(ROW()-ROW(MSPTasks[[#Headers],[ID]]))))</f>
        <v/>
      </c>
      <c r="I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96" t="str">
        <f aca="false">IF(IFERROR(INDEX(tsk_Name,(ROW()-ROW(MSPTasks[[#Headers],[ID]])))="",TRUE()),"",INDEX(tsk_PlanStart,(ROW()-ROW(MSPTasks[[#Headers],[ID]]))))</f>
        <v/>
      </c>
      <c r="P18" s="96" t="str">
        <f aca="false">IF(IFERROR(INDEX(tsk_Name,(ROW()-ROW(MSPTasks[[#Headers],[ID]])))="",TRUE()),"",INDEX(tsk_PlanFinish,(ROW()-ROW(MSPTasks[[#Headers],[ID]]))))</f>
        <v/>
      </c>
      <c r="Q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" s="24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4" t="str">
        <f aca="false">IF(IFERROR(INDEX(tsk_Name,(ROW()-ROW(MSPTasks[[#Headers],[ID]])))="",TRUE()),"",INDEX(tsk_ID,(ROW()-ROW(MSPTasks[[#Headers],[ID]]))))</f>
        <v/>
      </c>
      <c r="B19" s="24" t="str">
        <f aca="false">IF(IFERROR(INDEX(tsk_Name,(ROW()-ROW(MSPTasks[[#Headers],[ID]])))="",TRUE()),"",INDEX(tsk_UID,(ROW()-ROW(MSPTasks[[#Headers],[ID]]))))</f>
        <v/>
      </c>
      <c r="C19" s="24" t="str">
        <f aca="false">IF(IFERROR(INDEX(tsk_Name,(ROW()-ROW(MSPTasks[[#Headers],[ID]])))="",TRUE()),"",INDEX(tsk_Name,(ROW()-ROW(MSPTasks[[#Headers],[ID]]))))</f>
        <v/>
      </c>
      <c r="D19" s="24" t="str">
        <f aca="false">IF(IFERROR(INDEX(tsk_Name,(ROW()-ROW(MSPTasks[[#Headers],[ID]])))="",TRUE()),"",INDEX(tsk_Level,(ROW()-ROW(MSPTasks[[#Headers],[ID]]))))</f>
        <v/>
      </c>
      <c r="E19" s="24" t="str">
        <f aca="false">IF(IFERROR(INDEX(tsk_Name,(ROW()-ROW(MSPTasks[[#Headers],[ID]])))="",TRUE()),"",IF(INDEX(tsk_Mode,(ROW()-ROW(MSPTasks[[#Headers],[ID]])))="Manual","Manually Scheduled","Auto Scheduled"))</f>
        <v/>
      </c>
      <c r="F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" s="96" t="str">
        <f aca="false">IF(IFERROR(INDEX(tsk_Name,(ROW()-ROW(MSPTasks[[#Headers],[ID]])))="",TRUE()),"",INDEX(tsk_FcStart,(ROW()-ROW(MSPTasks[[#Headers],[ID]]))))</f>
        <v/>
      </c>
      <c r="H19" s="96" t="str">
        <f aca="false">IF(IFERROR(INDEX(tsk_Name,(ROW()-ROW(MSPTasks[[#Headers],[ID]])))="",TRUE()),"",INDEX(tsk_FcFinish,(ROW()-ROW(MSPTasks[[#Headers],[ID]]))))</f>
        <v/>
      </c>
      <c r="I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96" t="str">
        <f aca="false">IF(IFERROR(INDEX(tsk_Name,(ROW()-ROW(MSPTasks[[#Headers],[ID]])))="",TRUE()),"",INDEX(tsk_PlanStart,(ROW()-ROW(MSPTasks[[#Headers],[ID]]))))</f>
        <v/>
      </c>
      <c r="P19" s="96" t="str">
        <f aca="false">IF(IFERROR(INDEX(tsk_Name,(ROW()-ROW(MSPTasks[[#Headers],[ID]])))="",TRUE()),"",INDEX(tsk_PlanFinish,(ROW()-ROW(MSPTasks[[#Headers],[ID]]))))</f>
        <v/>
      </c>
      <c r="Q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" s="24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4" t="str">
        <f aca="false">IF(IFERROR(INDEX(tsk_Name,(ROW()-ROW(MSPTasks[[#Headers],[ID]])))="",TRUE()),"",INDEX(tsk_ID,(ROW()-ROW(MSPTasks[[#Headers],[ID]]))))</f>
        <v/>
      </c>
      <c r="B20" s="24" t="str">
        <f aca="false">IF(IFERROR(INDEX(tsk_Name,(ROW()-ROW(MSPTasks[[#Headers],[ID]])))="",TRUE()),"",INDEX(tsk_UID,(ROW()-ROW(MSPTasks[[#Headers],[ID]]))))</f>
        <v/>
      </c>
      <c r="C20" s="24" t="str">
        <f aca="false">IF(IFERROR(INDEX(tsk_Name,(ROW()-ROW(MSPTasks[[#Headers],[ID]])))="",TRUE()),"",INDEX(tsk_Name,(ROW()-ROW(MSPTasks[[#Headers],[ID]]))))</f>
        <v/>
      </c>
      <c r="D20" s="24" t="str">
        <f aca="false">IF(IFERROR(INDEX(tsk_Name,(ROW()-ROW(MSPTasks[[#Headers],[ID]])))="",TRUE()),"",INDEX(tsk_Level,(ROW()-ROW(MSPTasks[[#Headers],[ID]]))))</f>
        <v/>
      </c>
      <c r="E20" s="24" t="str">
        <f aca="false">IF(IFERROR(INDEX(tsk_Name,(ROW()-ROW(MSPTasks[[#Headers],[ID]])))="",TRUE()),"",IF(INDEX(tsk_Mode,(ROW()-ROW(MSPTasks[[#Headers],[ID]])))="Manual","Manually Scheduled","Auto Scheduled"))</f>
        <v/>
      </c>
      <c r="F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" s="96" t="str">
        <f aca="false">IF(IFERROR(INDEX(tsk_Name,(ROW()-ROW(MSPTasks[[#Headers],[ID]])))="",TRUE()),"",INDEX(tsk_FcStart,(ROW()-ROW(MSPTasks[[#Headers],[ID]]))))</f>
        <v/>
      </c>
      <c r="H20" s="96" t="str">
        <f aca="false">IF(IFERROR(INDEX(tsk_Name,(ROW()-ROW(MSPTasks[[#Headers],[ID]])))="",TRUE()),"",INDEX(tsk_FcFinish,(ROW()-ROW(MSPTasks[[#Headers],[ID]]))))</f>
        <v/>
      </c>
      <c r="I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96" t="str">
        <f aca="false">IF(IFERROR(INDEX(tsk_Name,(ROW()-ROW(MSPTasks[[#Headers],[ID]])))="",TRUE()),"",INDEX(tsk_PlanStart,(ROW()-ROW(MSPTasks[[#Headers],[ID]]))))</f>
        <v/>
      </c>
      <c r="P20" s="96" t="str">
        <f aca="false">IF(IFERROR(INDEX(tsk_Name,(ROW()-ROW(MSPTasks[[#Headers],[ID]])))="",TRUE()),"",INDEX(tsk_PlanFinish,(ROW()-ROW(MSPTasks[[#Headers],[ID]]))))</f>
        <v/>
      </c>
      <c r="Q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" s="24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4" t="str">
        <f aca="false">IF(IFERROR(INDEX(tsk_Name,(ROW()-ROW(MSPTasks[[#Headers],[ID]])))="",TRUE()),"",INDEX(tsk_ID,(ROW()-ROW(MSPTasks[[#Headers],[ID]]))))</f>
        <v/>
      </c>
      <c r="B21" s="24" t="str">
        <f aca="false">IF(IFERROR(INDEX(tsk_Name,(ROW()-ROW(MSPTasks[[#Headers],[ID]])))="",TRUE()),"",INDEX(tsk_UID,(ROW()-ROW(MSPTasks[[#Headers],[ID]]))))</f>
        <v/>
      </c>
      <c r="C21" s="24" t="str">
        <f aca="false">IF(IFERROR(INDEX(tsk_Name,(ROW()-ROW(MSPTasks[[#Headers],[ID]])))="",TRUE()),"",INDEX(tsk_Name,(ROW()-ROW(MSPTasks[[#Headers],[ID]]))))</f>
        <v/>
      </c>
      <c r="D21" s="24" t="str">
        <f aca="false">IF(IFERROR(INDEX(tsk_Name,(ROW()-ROW(MSPTasks[[#Headers],[ID]])))="",TRUE()),"",INDEX(tsk_Level,(ROW()-ROW(MSPTasks[[#Headers],[ID]]))))</f>
        <v/>
      </c>
      <c r="E21" s="24" t="str">
        <f aca="false">IF(IFERROR(INDEX(tsk_Name,(ROW()-ROW(MSPTasks[[#Headers],[ID]])))="",TRUE()),"",IF(INDEX(tsk_Mode,(ROW()-ROW(MSPTasks[[#Headers],[ID]])))="Manual","Manually Scheduled","Auto Scheduled"))</f>
        <v/>
      </c>
      <c r="F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96" t="str">
        <f aca="false">IF(IFERROR(INDEX(tsk_Name,(ROW()-ROW(MSPTasks[[#Headers],[ID]])))="",TRUE()),"",INDEX(tsk_FcStart,(ROW()-ROW(MSPTasks[[#Headers],[ID]]))))</f>
        <v/>
      </c>
      <c r="H21" s="96" t="str">
        <f aca="false">IF(IFERROR(INDEX(tsk_Name,(ROW()-ROW(MSPTasks[[#Headers],[ID]])))="",TRUE()),"",INDEX(tsk_FcFinish,(ROW()-ROW(MSPTasks[[#Headers],[ID]]))))</f>
        <v/>
      </c>
      <c r="I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96" t="str">
        <f aca="false">IF(IFERROR(INDEX(tsk_Name,(ROW()-ROW(MSPTasks[[#Headers],[ID]])))="",TRUE()),"",INDEX(tsk_PlanStart,(ROW()-ROW(MSPTasks[[#Headers],[ID]]))))</f>
        <v/>
      </c>
      <c r="P21" s="96" t="str">
        <f aca="false">IF(IFERROR(INDEX(tsk_Name,(ROW()-ROW(MSPTasks[[#Headers],[ID]])))="",TRUE()),"",INDEX(tsk_PlanFinish,(ROW()-ROW(MSPTasks[[#Headers],[ID]]))))</f>
        <v/>
      </c>
      <c r="Q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1" s="24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4" t="str">
        <f aca="false">IF(IFERROR(INDEX(tsk_Name,(ROW()-ROW(MSPTasks[[#Headers],[ID]])))="",TRUE()),"",INDEX(tsk_ID,(ROW()-ROW(MSPTasks[[#Headers],[ID]]))))</f>
        <v/>
      </c>
      <c r="B22" s="24" t="str">
        <f aca="false">IF(IFERROR(INDEX(tsk_Name,(ROW()-ROW(MSPTasks[[#Headers],[ID]])))="",TRUE()),"",INDEX(tsk_UID,(ROW()-ROW(MSPTasks[[#Headers],[ID]]))))</f>
        <v/>
      </c>
      <c r="C22" s="24" t="str">
        <f aca="false">IF(IFERROR(INDEX(tsk_Name,(ROW()-ROW(MSPTasks[[#Headers],[ID]])))="",TRUE()),"",INDEX(tsk_Name,(ROW()-ROW(MSPTasks[[#Headers],[ID]]))))</f>
        <v/>
      </c>
      <c r="D22" s="24" t="str">
        <f aca="false">IF(IFERROR(INDEX(tsk_Name,(ROW()-ROW(MSPTasks[[#Headers],[ID]])))="",TRUE()),"",INDEX(tsk_Level,(ROW()-ROW(MSPTasks[[#Headers],[ID]]))))</f>
        <v/>
      </c>
      <c r="E22" s="24" t="str">
        <f aca="false">IF(IFERROR(INDEX(tsk_Name,(ROW()-ROW(MSPTasks[[#Headers],[ID]])))="",TRUE()),"",IF(INDEX(tsk_Mode,(ROW()-ROW(MSPTasks[[#Headers],[ID]])))="Manual","Manually Scheduled","Auto Scheduled"))</f>
        <v/>
      </c>
      <c r="F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2" s="96" t="str">
        <f aca="false">IF(IFERROR(INDEX(tsk_Name,(ROW()-ROW(MSPTasks[[#Headers],[ID]])))="",TRUE()),"",INDEX(tsk_FcStart,(ROW()-ROW(MSPTasks[[#Headers],[ID]]))))</f>
        <v/>
      </c>
      <c r="H22" s="96" t="str">
        <f aca="false">IF(IFERROR(INDEX(tsk_Name,(ROW()-ROW(MSPTasks[[#Headers],[ID]])))="",TRUE()),"",INDEX(tsk_FcFinish,(ROW()-ROW(MSPTasks[[#Headers],[ID]]))))</f>
        <v/>
      </c>
      <c r="I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96" t="str">
        <f aca="false">IF(IFERROR(INDEX(tsk_Name,(ROW()-ROW(MSPTasks[[#Headers],[ID]])))="",TRUE()),"",INDEX(tsk_PlanStart,(ROW()-ROW(MSPTasks[[#Headers],[ID]]))))</f>
        <v/>
      </c>
      <c r="P22" s="96" t="str">
        <f aca="false">IF(IFERROR(INDEX(tsk_Name,(ROW()-ROW(MSPTasks[[#Headers],[ID]])))="",TRUE()),"",INDEX(tsk_PlanFinish,(ROW()-ROW(MSPTasks[[#Headers],[ID]]))))</f>
        <v/>
      </c>
      <c r="Q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2" s="24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4" t="str">
        <f aca="false">IF(IFERROR(INDEX(tsk_Name,(ROW()-ROW(MSPTasks[[#Headers],[ID]])))="",TRUE()),"",INDEX(tsk_ID,(ROW()-ROW(MSPTasks[[#Headers],[ID]]))))</f>
        <v/>
      </c>
      <c r="B23" s="24" t="str">
        <f aca="false">IF(IFERROR(INDEX(tsk_Name,(ROW()-ROW(MSPTasks[[#Headers],[ID]])))="",TRUE()),"",INDEX(tsk_UID,(ROW()-ROW(MSPTasks[[#Headers],[ID]]))))</f>
        <v/>
      </c>
      <c r="C23" s="24" t="str">
        <f aca="false">IF(IFERROR(INDEX(tsk_Name,(ROW()-ROW(MSPTasks[[#Headers],[ID]])))="",TRUE()),"",INDEX(tsk_Name,(ROW()-ROW(MSPTasks[[#Headers],[ID]]))))</f>
        <v/>
      </c>
      <c r="D23" s="24" t="str">
        <f aca="false">IF(IFERROR(INDEX(tsk_Name,(ROW()-ROW(MSPTasks[[#Headers],[ID]])))="",TRUE()),"",INDEX(tsk_Level,(ROW()-ROW(MSPTasks[[#Headers],[ID]]))))</f>
        <v/>
      </c>
      <c r="E23" s="24" t="str">
        <f aca="false">IF(IFERROR(INDEX(tsk_Name,(ROW()-ROW(MSPTasks[[#Headers],[ID]])))="",TRUE()),"",IF(INDEX(tsk_Mode,(ROW()-ROW(MSPTasks[[#Headers],[ID]])))="Manual","Manually Scheduled","Auto Scheduled"))</f>
        <v/>
      </c>
      <c r="F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3" s="96" t="str">
        <f aca="false">IF(IFERROR(INDEX(tsk_Name,(ROW()-ROW(MSPTasks[[#Headers],[ID]])))="",TRUE()),"",INDEX(tsk_FcStart,(ROW()-ROW(MSPTasks[[#Headers],[ID]]))))</f>
        <v/>
      </c>
      <c r="H23" s="96" t="str">
        <f aca="false">IF(IFERROR(INDEX(tsk_Name,(ROW()-ROW(MSPTasks[[#Headers],[ID]])))="",TRUE()),"",INDEX(tsk_FcFinish,(ROW()-ROW(MSPTasks[[#Headers],[ID]]))))</f>
        <v/>
      </c>
      <c r="I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96" t="str">
        <f aca="false">IF(IFERROR(INDEX(tsk_Name,(ROW()-ROW(MSPTasks[[#Headers],[ID]])))="",TRUE()),"",INDEX(tsk_PlanStart,(ROW()-ROW(MSPTasks[[#Headers],[ID]]))))</f>
        <v/>
      </c>
      <c r="P23" s="96" t="str">
        <f aca="false">IF(IFERROR(INDEX(tsk_Name,(ROW()-ROW(MSPTasks[[#Headers],[ID]])))="",TRUE()),"",INDEX(tsk_PlanFinish,(ROW()-ROW(MSPTasks[[#Headers],[ID]]))))</f>
        <v/>
      </c>
      <c r="Q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3" s="24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4" t="str">
        <f aca="false">IF(IFERROR(INDEX(tsk_Name,(ROW()-ROW(MSPTasks[[#Headers],[ID]])))="",TRUE()),"",INDEX(tsk_ID,(ROW()-ROW(MSPTasks[[#Headers],[ID]]))))</f>
        <v/>
      </c>
      <c r="B24" s="24" t="str">
        <f aca="false">IF(IFERROR(INDEX(tsk_Name,(ROW()-ROW(MSPTasks[[#Headers],[ID]])))="",TRUE()),"",INDEX(tsk_UID,(ROW()-ROW(MSPTasks[[#Headers],[ID]]))))</f>
        <v/>
      </c>
      <c r="C24" s="24" t="str">
        <f aca="false">IF(IFERROR(INDEX(tsk_Name,(ROW()-ROW(MSPTasks[[#Headers],[ID]])))="",TRUE()),"",INDEX(tsk_Name,(ROW()-ROW(MSPTasks[[#Headers],[ID]]))))</f>
        <v/>
      </c>
      <c r="D24" s="24" t="str">
        <f aca="false">IF(IFERROR(INDEX(tsk_Name,(ROW()-ROW(MSPTasks[[#Headers],[ID]])))="",TRUE()),"",INDEX(tsk_Level,(ROW()-ROW(MSPTasks[[#Headers],[ID]]))))</f>
        <v/>
      </c>
      <c r="E24" s="24" t="str">
        <f aca="false">IF(IFERROR(INDEX(tsk_Name,(ROW()-ROW(MSPTasks[[#Headers],[ID]])))="",TRUE()),"",IF(INDEX(tsk_Mode,(ROW()-ROW(MSPTasks[[#Headers],[ID]])))="Manual","Manually Scheduled","Auto Scheduled"))</f>
        <v/>
      </c>
      <c r="F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4" s="96" t="str">
        <f aca="false">IF(IFERROR(INDEX(tsk_Name,(ROW()-ROW(MSPTasks[[#Headers],[ID]])))="",TRUE()),"",INDEX(tsk_FcStart,(ROW()-ROW(MSPTasks[[#Headers],[ID]]))))</f>
        <v/>
      </c>
      <c r="H24" s="96" t="str">
        <f aca="false">IF(IFERROR(INDEX(tsk_Name,(ROW()-ROW(MSPTasks[[#Headers],[ID]])))="",TRUE()),"",INDEX(tsk_FcFinish,(ROW()-ROW(MSPTasks[[#Headers],[ID]]))))</f>
        <v/>
      </c>
      <c r="I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96" t="str">
        <f aca="false">IF(IFERROR(INDEX(tsk_Name,(ROW()-ROW(MSPTasks[[#Headers],[ID]])))="",TRUE()),"",INDEX(tsk_PlanStart,(ROW()-ROW(MSPTasks[[#Headers],[ID]]))))</f>
        <v/>
      </c>
      <c r="P24" s="96" t="str">
        <f aca="false">IF(IFERROR(INDEX(tsk_Name,(ROW()-ROW(MSPTasks[[#Headers],[ID]])))="",TRUE()),"",INDEX(tsk_PlanFinish,(ROW()-ROW(MSPTasks[[#Headers],[ID]]))))</f>
        <v/>
      </c>
      <c r="Q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4" s="24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4" t="str">
        <f aca="false">IF(IFERROR(INDEX(tsk_Name,(ROW()-ROW(MSPTasks[[#Headers],[ID]])))="",TRUE()),"",INDEX(tsk_ID,(ROW()-ROW(MSPTasks[[#Headers],[ID]]))))</f>
        <v/>
      </c>
      <c r="B25" s="24" t="str">
        <f aca="false">IF(IFERROR(INDEX(tsk_Name,(ROW()-ROW(MSPTasks[[#Headers],[ID]])))="",TRUE()),"",INDEX(tsk_UID,(ROW()-ROW(MSPTasks[[#Headers],[ID]]))))</f>
        <v/>
      </c>
      <c r="C25" s="24" t="str">
        <f aca="false">IF(IFERROR(INDEX(tsk_Name,(ROW()-ROW(MSPTasks[[#Headers],[ID]])))="",TRUE()),"",INDEX(tsk_Name,(ROW()-ROW(MSPTasks[[#Headers],[ID]]))))</f>
        <v/>
      </c>
      <c r="D25" s="24" t="str">
        <f aca="false">IF(IFERROR(INDEX(tsk_Name,(ROW()-ROW(MSPTasks[[#Headers],[ID]])))="",TRUE()),"",INDEX(tsk_Level,(ROW()-ROW(MSPTasks[[#Headers],[ID]]))))</f>
        <v/>
      </c>
      <c r="E25" s="24" t="str">
        <f aca="false">IF(IFERROR(INDEX(tsk_Name,(ROW()-ROW(MSPTasks[[#Headers],[ID]])))="",TRUE()),"",IF(INDEX(tsk_Mode,(ROW()-ROW(MSPTasks[[#Headers],[ID]])))="Manual","Manually Scheduled","Auto Scheduled"))</f>
        <v/>
      </c>
      <c r="F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5" s="96" t="str">
        <f aca="false">IF(IFERROR(INDEX(tsk_Name,(ROW()-ROW(MSPTasks[[#Headers],[ID]])))="",TRUE()),"",INDEX(tsk_FcStart,(ROW()-ROW(MSPTasks[[#Headers],[ID]]))))</f>
        <v/>
      </c>
      <c r="H25" s="96" t="str">
        <f aca="false">IF(IFERROR(INDEX(tsk_Name,(ROW()-ROW(MSPTasks[[#Headers],[ID]])))="",TRUE()),"",INDEX(tsk_FcFinish,(ROW()-ROW(MSPTasks[[#Headers],[ID]]))))</f>
        <v/>
      </c>
      <c r="I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96" t="str">
        <f aca="false">IF(IFERROR(INDEX(tsk_Name,(ROW()-ROW(MSPTasks[[#Headers],[ID]])))="",TRUE()),"",INDEX(tsk_PlanStart,(ROW()-ROW(MSPTasks[[#Headers],[ID]]))))</f>
        <v/>
      </c>
      <c r="P25" s="96" t="str">
        <f aca="false">IF(IFERROR(INDEX(tsk_Name,(ROW()-ROW(MSPTasks[[#Headers],[ID]])))="",TRUE()),"",INDEX(tsk_PlanFinish,(ROW()-ROW(MSPTasks[[#Headers],[ID]]))))</f>
        <v/>
      </c>
      <c r="Q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5" s="24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4" t="str">
        <f aca="false">IF(IFERROR(INDEX(tsk_Name,(ROW()-ROW(MSPTasks[[#Headers],[ID]])))="",TRUE()),"",INDEX(tsk_ID,(ROW()-ROW(MSPTasks[[#Headers],[ID]]))))</f>
        <v/>
      </c>
      <c r="B26" s="24" t="str">
        <f aca="false">IF(IFERROR(INDEX(tsk_Name,(ROW()-ROW(MSPTasks[[#Headers],[ID]])))="",TRUE()),"",INDEX(tsk_UID,(ROW()-ROW(MSPTasks[[#Headers],[ID]]))))</f>
        <v/>
      </c>
      <c r="C26" s="24" t="str">
        <f aca="false">IF(IFERROR(INDEX(tsk_Name,(ROW()-ROW(MSPTasks[[#Headers],[ID]])))="",TRUE()),"",INDEX(tsk_Name,(ROW()-ROW(MSPTasks[[#Headers],[ID]]))))</f>
        <v/>
      </c>
      <c r="D26" s="24" t="str">
        <f aca="false">IF(IFERROR(INDEX(tsk_Name,(ROW()-ROW(MSPTasks[[#Headers],[ID]])))="",TRUE()),"",INDEX(tsk_Level,(ROW()-ROW(MSPTasks[[#Headers],[ID]]))))</f>
        <v/>
      </c>
      <c r="E26" s="24" t="str">
        <f aca="false">IF(IFERROR(INDEX(tsk_Name,(ROW()-ROW(MSPTasks[[#Headers],[ID]])))="",TRUE()),"",IF(INDEX(tsk_Mode,(ROW()-ROW(MSPTasks[[#Headers],[ID]])))="Manual","Manually Scheduled","Auto Scheduled"))</f>
        <v/>
      </c>
      <c r="F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6" s="96" t="str">
        <f aca="false">IF(IFERROR(INDEX(tsk_Name,(ROW()-ROW(MSPTasks[[#Headers],[ID]])))="",TRUE()),"",INDEX(tsk_FcStart,(ROW()-ROW(MSPTasks[[#Headers],[ID]]))))</f>
        <v/>
      </c>
      <c r="H26" s="96" t="str">
        <f aca="false">IF(IFERROR(INDEX(tsk_Name,(ROW()-ROW(MSPTasks[[#Headers],[ID]])))="",TRUE()),"",INDEX(tsk_FcFinish,(ROW()-ROW(MSPTasks[[#Headers],[ID]]))))</f>
        <v/>
      </c>
      <c r="I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96" t="str">
        <f aca="false">IF(IFERROR(INDEX(tsk_Name,(ROW()-ROW(MSPTasks[[#Headers],[ID]])))="",TRUE()),"",INDEX(tsk_PlanStart,(ROW()-ROW(MSPTasks[[#Headers],[ID]]))))</f>
        <v/>
      </c>
      <c r="P26" s="96" t="str">
        <f aca="false">IF(IFERROR(INDEX(tsk_Name,(ROW()-ROW(MSPTasks[[#Headers],[ID]])))="",TRUE()),"",INDEX(tsk_PlanFinish,(ROW()-ROW(MSPTasks[[#Headers],[ID]]))))</f>
        <v/>
      </c>
      <c r="Q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6" s="24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4" t="str">
        <f aca="false">IF(IFERROR(INDEX(tsk_Name,(ROW()-ROW(MSPTasks[[#Headers],[ID]])))="",TRUE()),"",INDEX(tsk_ID,(ROW()-ROW(MSPTasks[[#Headers],[ID]]))))</f>
        <v/>
      </c>
      <c r="B27" s="24" t="str">
        <f aca="false">IF(IFERROR(INDEX(tsk_Name,(ROW()-ROW(MSPTasks[[#Headers],[ID]])))="",TRUE()),"",INDEX(tsk_UID,(ROW()-ROW(MSPTasks[[#Headers],[ID]]))))</f>
        <v/>
      </c>
      <c r="C27" s="24" t="str">
        <f aca="false">IF(IFERROR(INDEX(tsk_Name,(ROW()-ROW(MSPTasks[[#Headers],[ID]])))="",TRUE()),"",INDEX(tsk_Name,(ROW()-ROW(MSPTasks[[#Headers],[ID]]))))</f>
        <v/>
      </c>
      <c r="D27" s="24" t="str">
        <f aca="false">IF(IFERROR(INDEX(tsk_Name,(ROW()-ROW(MSPTasks[[#Headers],[ID]])))="",TRUE()),"",INDEX(tsk_Level,(ROW()-ROW(MSPTasks[[#Headers],[ID]]))))</f>
        <v/>
      </c>
      <c r="E27" s="24" t="str">
        <f aca="false">IF(IFERROR(INDEX(tsk_Name,(ROW()-ROW(MSPTasks[[#Headers],[ID]])))="",TRUE()),"",IF(INDEX(tsk_Mode,(ROW()-ROW(MSPTasks[[#Headers],[ID]])))="Manual","Manually Scheduled","Auto Scheduled"))</f>
        <v/>
      </c>
      <c r="F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7" s="96" t="str">
        <f aca="false">IF(IFERROR(INDEX(tsk_Name,(ROW()-ROW(MSPTasks[[#Headers],[ID]])))="",TRUE()),"",INDEX(tsk_FcStart,(ROW()-ROW(MSPTasks[[#Headers],[ID]]))))</f>
        <v/>
      </c>
      <c r="H27" s="96" t="str">
        <f aca="false">IF(IFERROR(INDEX(tsk_Name,(ROW()-ROW(MSPTasks[[#Headers],[ID]])))="",TRUE()),"",INDEX(tsk_FcFinish,(ROW()-ROW(MSPTasks[[#Headers],[ID]]))))</f>
        <v/>
      </c>
      <c r="I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96" t="str">
        <f aca="false">IF(IFERROR(INDEX(tsk_Name,(ROW()-ROW(MSPTasks[[#Headers],[ID]])))="",TRUE()),"",INDEX(tsk_PlanStart,(ROW()-ROW(MSPTasks[[#Headers],[ID]]))))</f>
        <v/>
      </c>
      <c r="P27" s="96" t="str">
        <f aca="false">IF(IFERROR(INDEX(tsk_Name,(ROW()-ROW(MSPTasks[[#Headers],[ID]])))="",TRUE()),"",INDEX(tsk_PlanFinish,(ROW()-ROW(MSPTasks[[#Headers],[ID]]))))</f>
        <v/>
      </c>
      <c r="Q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7" s="24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4" t="str">
        <f aca="false">IF(IFERROR(INDEX(tsk_Name,(ROW()-ROW(MSPTasks[[#Headers],[ID]])))="",TRUE()),"",INDEX(tsk_ID,(ROW()-ROW(MSPTasks[[#Headers],[ID]]))))</f>
        <v/>
      </c>
      <c r="B28" s="24" t="str">
        <f aca="false">IF(IFERROR(INDEX(tsk_Name,(ROW()-ROW(MSPTasks[[#Headers],[ID]])))="",TRUE()),"",INDEX(tsk_UID,(ROW()-ROW(MSPTasks[[#Headers],[ID]]))))</f>
        <v/>
      </c>
      <c r="C28" s="24" t="str">
        <f aca="false">IF(IFERROR(INDEX(tsk_Name,(ROW()-ROW(MSPTasks[[#Headers],[ID]])))="",TRUE()),"",INDEX(tsk_Name,(ROW()-ROW(MSPTasks[[#Headers],[ID]]))))</f>
        <v/>
      </c>
      <c r="D28" s="24" t="str">
        <f aca="false">IF(IFERROR(INDEX(tsk_Name,(ROW()-ROW(MSPTasks[[#Headers],[ID]])))="",TRUE()),"",INDEX(tsk_Level,(ROW()-ROW(MSPTasks[[#Headers],[ID]]))))</f>
        <v/>
      </c>
      <c r="E28" s="24" t="str">
        <f aca="false">IF(IFERROR(INDEX(tsk_Name,(ROW()-ROW(MSPTasks[[#Headers],[ID]])))="",TRUE()),"",IF(INDEX(tsk_Mode,(ROW()-ROW(MSPTasks[[#Headers],[ID]])))="Manual","Manually Scheduled","Auto Scheduled"))</f>
        <v/>
      </c>
      <c r="F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96" t="str">
        <f aca="false">IF(IFERROR(INDEX(tsk_Name,(ROW()-ROW(MSPTasks[[#Headers],[ID]])))="",TRUE()),"",INDEX(tsk_FcStart,(ROW()-ROW(MSPTasks[[#Headers],[ID]]))))</f>
        <v/>
      </c>
      <c r="H28" s="96" t="str">
        <f aca="false">IF(IFERROR(INDEX(tsk_Name,(ROW()-ROW(MSPTasks[[#Headers],[ID]])))="",TRUE()),"",INDEX(tsk_FcFinish,(ROW()-ROW(MSPTasks[[#Headers],[ID]]))))</f>
        <v/>
      </c>
      <c r="I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96" t="str">
        <f aca="false">IF(IFERROR(INDEX(tsk_Name,(ROW()-ROW(MSPTasks[[#Headers],[ID]])))="",TRUE()),"",INDEX(tsk_PlanStart,(ROW()-ROW(MSPTasks[[#Headers],[ID]]))))</f>
        <v/>
      </c>
      <c r="P28" s="96" t="str">
        <f aca="false">IF(IFERROR(INDEX(tsk_Name,(ROW()-ROW(MSPTasks[[#Headers],[ID]])))="",TRUE()),"",INDEX(tsk_PlanFinish,(ROW()-ROW(MSPTasks[[#Headers],[ID]]))))</f>
        <v/>
      </c>
      <c r="Q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8" s="24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4" t="str">
        <f aca="false">IF(IFERROR(INDEX(tsk_Name,(ROW()-ROW(MSPTasks[[#Headers],[ID]])))="",TRUE()),"",INDEX(tsk_ID,(ROW()-ROW(MSPTasks[[#Headers],[ID]]))))</f>
        <v/>
      </c>
      <c r="B29" s="24" t="str">
        <f aca="false">IF(IFERROR(INDEX(tsk_Name,(ROW()-ROW(MSPTasks[[#Headers],[ID]])))="",TRUE()),"",INDEX(tsk_UID,(ROW()-ROW(MSPTasks[[#Headers],[ID]]))))</f>
        <v/>
      </c>
      <c r="C29" s="24" t="str">
        <f aca="false">IF(IFERROR(INDEX(tsk_Name,(ROW()-ROW(MSPTasks[[#Headers],[ID]])))="",TRUE()),"",INDEX(tsk_Name,(ROW()-ROW(MSPTasks[[#Headers],[ID]]))))</f>
        <v/>
      </c>
      <c r="D29" s="24" t="str">
        <f aca="false">IF(IFERROR(INDEX(tsk_Name,(ROW()-ROW(MSPTasks[[#Headers],[ID]])))="",TRUE()),"",INDEX(tsk_Level,(ROW()-ROW(MSPTasks[[#Headers],[ID]]))))</f>
        <v/>
      </c>
      <c r="E29" s="24" t="str">
        <f aca="false">IF(IFERROR(INDEX(tsk_Name,(ROW()-ROW(MSPTasks[[#Headers],[ID]])))="",TRUE()),"",IF(INDEX(tsk_Mode,(ROW()-ROW(MSPTasks[[#Headers],[ID]])))="Manual","Manually Scheduled","Auto Scheduled"))</f>
        <v/>
      </c>
      <c r="F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9" s="96" t="str">
        <f aca="false">IF(IFERROR(INDEX(tsk_Name,(ROW()-ROW(MSPTasks[[#Headers],[ID]])))="",TRUE()),"",INDEX(tsk_FcStart,(ROW()-ROW(MSPTasks[[#Headers],[ID]]))))</f>
        <v/>
      </c>
      <c r="H29" s="96" t="str">
        <f aca="false">IF(IFERROR(INDEX(tsk_Name,(ROW()-ROW(MSPTasks[[#Headers],[ID]])))="",TRUE()),"",INDEX(tsk_FcFinish,(ROW()-ROW(MSPTasks[[#Headers],[ID]]))))</f>
        <v/>
      </c>
      <c r="I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96" t="str">
        <f aca="false">IF(IFERROR(INDEX(tsk_Name,(ROW()-ROW(MSPTasks[[#Headers],[ID]])))="",TRUE()),"",INDEX(tsk_PlanStart,(ROW()-ROW(MSPTasks[[#Headers],[ID]]))))</f>
        <v/>
      </c>
      <c r="P29" s="96" t="str">
        <f aca="false">IF(IFERROR(INDEX(tsk_Name,(ROW()-ROW(MSPTasks[[#Headers],[ID]])))="",TRUE()),"",INDEX(tsk_PlanFinish,(ROW()-ROW(MSPTasks[[#Headers],[ID]]))))</f>
        <v/>
      </c>
      <c r="Q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9" s="24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4" t="str">
        <f aca="false">IF(IFERROR(INDEX(tsk_Name,(ROW()-ROW(MSPTasks[[#Headers],[ID]])))="",TRUE()),"",INDEX(tsk_ID,(ROW()-ROW(MSPTasks[[#Headers],[ID]]))))</f>
        <v/>
      </c>
      <c r="B30" s="24" t="str">
        <f aca="false">IF(IFERROR(INDEX(tsk_Name,(ROW()-ROW(MSPTasks[[#Headers],[ID]])))="",TRUE()),"",INDEX(tsk_UID,(ROW()-ROW(MSPTasks[[#Headers],[ID]]))))</f>
        <v/>
      </c>
      <c r="C30" s="24" t="str">
        <f aca="false">IF(IFERROR(INDEX(tsk_Name,(ROW()-ROW(MSPTasks[[#Headers],[ID]])))="",TRUE()),"",INDEX(tsk_Name,(ROW()-ROW(MSPTasks[[#Headers],[ID]]))))</f>
        <v/>
      </c>
      <c r="D30" s="24" t="str">
        <f aca="false">IF(IFERROR(INDEX(tsk_Name,(ROW()-ROW(MSPTasks[[#Headers],[ID]])))="",TRUE()),"",INDEX(tsk_Level,(ROW()-ROW(MSPTasks[[#Headers],[ID]]))))</f>
        <v/>
      </c>
      <c r="E30" s="24" t="str">
        <f aca="false">IF(IFERROR(INDEX(tsk_Name,(ROW()-ROW(MSPTasks[[#Headers],[ID]])))="",TRUE()),"",IF(INDEX(tsk_Mode,(ROW()-ROW(MSPTasks[[#Headers],[ID]])))="Manual","Manually Scheduled","Auto Scheduled"))</f>
        <v/>
      </c>
      <c r="F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0" s="96" t="str">
        <f aca="false">IF(IFERROR(INDEX(tsk_Name,(ROW()-ROW(MSPTasks[[#Headers],[ID]])))="",TRUE()),"",INDEX(tsk_FcStart,(ROW()-ROW(MSPTasks[[#Headers],[ID]]))))</f>
        <v/>
      </c>
      <c r="H30" s="96" t="str">
        <f aca="false">IF(IFERROR(INDEX(tsk_Name,(ROW()-ROW(MSPTasks[[#Headers],[ID]])))="",TRUE()),"",INDEX(tsk_FcFinish,(ROW()-ROW(MSPTasks[[#Headers],[ID]]))))</f>
        <v/>
      </c>
      <c r="I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96" t="str">
        <f aca="false">IF(IFERROR(INDEX(tsk_Name,(ROW()-ROW(MSPTasks[[#Headers],[ID]])))="",TRUE()),"",INDEX(tsk_PlanStart,(ROW()-ROW(MSPTasks[[#Headers],[ID]]))))</f>
        <v/>
      </c>
      <c r="P30" s="96" t="str">
        <f aca="false">IF(IFERROR(INDEX(tsk_Name,(ROW()-ROW(MSPTasks[[#Headers],[ID]])))="",TRUE()),"",INDEX(tsk_PlanFinish,(ROW()-ROW(MSPTasks[[#Headers],[ID]]))))</f>
        <v/>
      </c>
      <c r="Q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0" s="24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4" t="str">
        <f aca="false">IF(IFERROR(INDEX(tsk_Name,(ROW()-ROW(MSPTasks[[#Headers],[ID]])))="",TRUE()),"",INDEX(tsk_ID,(ROW()-ROW(MSPTasks[[#Headers],[ID]]))))</f>
        <v/>
      </c>
      <c r="B31" s="24" t="str">
        <f aca="false">IF(IFERROR(INDEX(tsk_Name,(ROW()-ROW(MSPTasks[[#Headers],[ID]])))="",TRUE()),"",INDEX(tsk_UID,(ROW()-ROW(MSPTasks[[#Headers],[ID]]))))</f>
        <v/>
      </c>
      <c r="C31" s="24" t="str">
        <f aca="false">IF(IFERROR(INDEX(tsk_Name,(ROW()-ROW(MSPTasks[[#Headers],[ID]])))="",TRUE()),"",INDEX(tsk_Name,(ROW()-ROW(MSPTasks[[#Headers],[ID]]))))</f>
        <v/>
      </c>
      <c r="D31" s="24" t="str">
        <f aca="false">IF(IFERROR(INDEX(tsk_Name,(ROW()-ROW(MSPTasks[[#Headers],[ID]])))="",TRUE()),"",INDEX(tsk_Level,(ROW()-ROW(MSPTasks[[#Headers],[ID]]))))</f>
        <v/>
      </c>
      <c r="E31" s="24" t="str">
        <f aca="false">IF(IFERROR(INDEX(tsk_Name,(ROW()-ROW(MSPTasks[[#Headers],[ID]])))="",TRUE()),"",IF(INDEX(tsk_Mode,(ROW()-ROW(MSPTasks[[#Headers],[ID]])))="Manual","Manually Scheduled","Auto Scheduled"))</f>
        <v/>
      </c>
      <c r="F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1" s="96" t="str">
        <f aca="false">IF(IFERROR(INDEX(tsk_Name,(ROW()-ROW(MSPTasks[[#Headers],[ID]])))="",TRUE()),"",INDEX(tsk_FcStart,(ROW()-ROW(MSPTasks[[#Headers],[ID]]))))</f>
        <v/>
      </c>
      <c r="H31" s="96" t="str">
        <f aca="false">IF(IFERROR(INDEX(tsk_Name,(ROW()-ROW(MSPTasks[[#Headers],[ID]])))="",TRUE()),"",INDEX(tsk_FcFinish,(ROW()-ROW(MSPTasks[[#Headers],[ID]]))))</f>
        <v/>
      </c>
      <c r="I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96" t="str">
        <f aca="false">IF(IFERROR(INDEX(tsk_Name,(ROW()-ROW(MSPTasks[[#Headers],[ID]])))="",TRUE()),"",INDEX(tsk_PlanStart,(ROW()-ROW(MSPTasks[[#Headers],[ID]]))))</f>
        <v/>
      </c>
      <c r="P31" s="96" t="str">
        <f aca="false">IF(IFERROR(INDEX(tsk_Name,(ROW()-ROW(MSPTasks[[#Headers],[ID]])))="",TRUE()),"",INDEX(tsk_PlanFinish,(ROW()-ROW(MSPTasks[[#Headers],[ID]]))))</f>
        <v/>
      </c>
      <c r="Q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1" s="24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4" t="str">
        <f aca="false">IF(IFERROR(INDEX(tsk_Name,(ROW()-ROW(MSPTasks[[#Headers],[ID]])))="",TRUE()),"",INDEX(tsk_ID,(ROW()-ROW(MSPTasks[[#Headers],[ID]]))))</f>
        <v/>
      </c>
      <c r="B32" s="24" t="str">
        <f aca="false">IF(IFERROR(INDEX(tsk_Name,(ROW()-ROW(MSPTasks[[#Headers],[ID]])))="",TRUE()),"",INDEX(tsk_UID,(ROW()-ROW(MSPTasks[[#Headers],[ID]]))))</f>
        <v/>
      </c>
      <c r="C32" s="24" t="str">
        <f aca="false">IF(IFERROR(INDEX(tsk_Name,(ROW()-ROW(MSPTasks[[#Headers],[ID]])))="",TRUE()),"",INDEX(tsk_Name,(ROW()-ROW(MSPTasks[[#Headers],[ID]]))))</f>
        <v/>
      </c>
      <c r="D32" s="24" t="str">
        <f aca="false">IF(IFERROR(INDEX(tsk_Name,(ROW()-ROW(MSPTasks[[#Headers],[ID]])))="",TRUE()),"",INDEX(tsk_Level,(ROW()-ROW(MSPTasks[[#Headers],[ID]]))))</f>
        <v/>
      </c>
      <c r="E32" s="24" t="str">
        <f aca="false">IF(IFERROR(INDEX(tsk_Name,(ROW()-ROW(MSPTasks[[#Headers],[ID]])))="",TRUE()),"",IF(INDEX(tsk_Mode,(ROW()-ROW(MSPTasks[[#Headers],[ID]])))="Manual","Manually Scheduled","Auto Scheduled"))</f>
        <v/>
      </c>
      <c r="F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96" t="str">
        <f aca="false">IF(IFERROR(INDEX(tsk_Name,(ROW()-ROW(MSPTasks[[#Headers],[ID]])))="",TRUE()),"",INDEX(tsk_FcStart,(ROW()-ROW(MSPTasks[[#Headers],[ID]]))))</f>
        <v/>
      </c>
      <c r="H32" s="96" t="str">
        <f aca="false">IF(IFERROR(INDEX(tsk_Name,(ROW()-ROW(MSPTasks[[#Headers],[ID]])))="",TRUE()),"",INDEX(tsk_FcFinish,(ROW()-ROW(MSPTasks[[#Headers],[ID]]))))</f>
        <v/>
      </c>
      <c r="I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96" t="str">
        <f aca="false">IF(IFERROR(INDEX(tsk_Name,(ROW()-ROW(MSPTasks[[#Headers],[ID]])))="",TRUE()),"",INDEX(tsk_PlanStart,(ROW()-ROW(MSPTasks[[#Headers],[ID]]))))</f>
        <v/>
      </c>
      <c r="P32" s="96" t="str">
        <f aca="false">IF(IFERROR(INDEX(tsk_Name,(ROW()-ROW(MSPTasks[[#Headers],[ID]])))="",TRUE()),"",INDEX(tsk_PlanFinish,(ROW()-ROW(MSPTasks[[#Headers],[ID]]))))</f>
        <v/>
      </c>
      <c r="Q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2" s="24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4" t="str">
        <f aca="false">IF(IFERROR(INDEX(tsk_Name,(ROW()-ROW(MSPTasks[[#Headers],[ID]])))="",TRUE()),"",INDEX(tsk_ID,(ROW()-ROW(MSPTasks[[#Headers],[ID]]))))</f>
        <v/>
      </c>
      <c r="B33" s="24" t="str">
        <f aca="false">IF(IFERROR(INDEX(tsk_Name,(ROW()-ROW(MSPTasks[[#Headers],[ID]])))="",TRUE()),"",INDEX(tsk_UID,(ROW()-ROW(MSPTasks[[#Headers],[ID]]))))</f>
        <v/>
      </c>
      <c r="C33" s="24" t="str">
        <f aca="false">IF(IFERROR(INDEX(tsk_Name,(ROW()-ROW(MSPTasks[[#Headers],[ID]])))="",TRUE()),"",INDEX(tsk_Name,(ROW()-ROW(MSPTasks[[#Headers],[ID]]))))</f>
        <v/>
      </c>
      <c r="D33" s="24" t="str">
        <f aca="false">IF(IFERROR(INDEX(tsk_Name,(ROW()-ROW(MSPTasks[[#Headers],[ID]])))="",TRUE()),"",INDEX(tsk_Level,(ROW()-ROW(MSPTasks[[#Headers],[ID]]))))</f>
        <v/>
      </c>
      <c r="E33" s="24" t="str">
        <f aca="false">IF(IFERROR(INDEX(tsk_Name,(ROW()-ROW(MSPTasks[[#Headers],[ID]])))="",TRUE()),"",IF(INDEX(tsk_Mode,(ROW()-ROW(MSPTasks[[#Headers],[ID]])))="Manual","Manually Scheduled","Auto Scheduled"))</f>
        <v/>
      </c>
      <c r="F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96" t="str">
        <f aca="false">IF(IFERROR(INDEX(tsk_Name,(ROW()-ROW(MSPTasks[[#Headers],[ID]])))="",TRUE()),"",INDEX(tsk_FcStart,(ROW()-ROW(MSPTasks[[#Headers],[ID]]))))</f>
        <v/>
      </c>
      <c r="H33" s="96" t="str">
        <f aca="false">IF(IFERROR(INDEX(tsk_Name,(ROW()-ROW(MSPTasks[[#Headers],[ID]])))="",TRUE()),"",INDEX(tsk_FcFinish,(ROW()-ROW(MSPTasks[[#Headers],[ID]]))))</f>
        <v/>
      </c>
      <c r="I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96" t="str">
        <f aca="false">IF(IFERROR(INDEX(tsk_Name,(ROW()-ROW(MSPTasks[[#Headers],[ID]])))="",TRUE()),"",INDEX(tsk_PlanStart,(ROW()-ROW(MSPTasks[[#Headers],[ID]]))))</f>
        <v/>
      </c>
      <c r="P33" s="96" t="str">
        <f aca="false">IF(IFERROR(INDEX(tsk_Name,(ROW()-ROW(MSPTasks[[#Headers],[ID]])))="",TRUE()),"",INDEX(tsk_PlanFinish,(ROW()-ROW(MSPTasks[[#Headers],[ID]]))))</f>
        <v/>
      </c>
      <c r="Q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3" s="24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4" t="str">
        <f aca="false">IF(IFERROR(INDEX(tsk_Name,(ROW()-ROW(MSPTasks[[#Headers],[ID]])))="",TRUE()),"",INDEX(tsk_ID,(ROW()-ROW(MSPTasks[[#Headers],[ID]]))))</f>
        <v/>
      </c>
      <c r="B34" s="24" t="str">
        <f aca="false">IF(IFERROR(INDEX(tsk_Name,(ROW()-ROW(MSPTasks[[#Headers],[ID]])))="",TRUE()),"",INDEX(tsk_UID,(ROW()-ROW(MSPTasks[[#Headers],[ID]]))))</f>
        <v/>
      </c>
      <c r="C34" s="24" t="str">
        <f aca="false">IF(IFERROR(INDEX(tsk_Name,(ROW()-ROW(MSPTasks[[#Headers],[ID]])))="",TRUE()),"",INDEX(tsk_Name,(ROW()-ROW(MSPTasks[[#Headers],[ID]]))))</f>
        <v/>
      </c>
      <c r="D34" s="24" t="str">
        <f aca="false">IF(IFERROR(INDEX(tsk_Name,(ROW()-ROW(MSPTasks[[#Headers],[ID]])))="",TRUE()),"",INDEX(tsk_Level,(ROW()-ROW(MSPTasks[[#Headers],[ID]]))))</f>
        <v/>
      </c>
      <c r="E34" s="24" t="str">
        <f aca="false">IF(IFERROR(INDEX(tsk_Name,(ROW()-ROW(MSPTasks[[#Headers],[ID]])))="",TRUE()),"",IF(INDEX(tsk_Mode,(ROW()-ROW(MSPTasks[[#Headers],[ID]])))="Manual","Manually Scheduled","Auto Scheduled"))</f>
        <v/>
      </c>
      <c r="F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96" t="str">
        <f aca="false">IF(IFERROR(INDEX(tsk_Name,(ROW()-ROW(MSPTasks[[#Headers],[ID]])))="",TRUE()),"",INDEX(tsk_FcStart,(ROW()-ROW(MSPTasks[[#Headers],[ID]]))))</f>
        <v/>
      </c>
      <c r="H34" s="96" t="str">
        <f aca="false">IF(IFERROR(INDEX(tsk_Name,(ROW()-ROW(MSPTasks[[#Headers],[ID]])))="",TRUE()),"",INDEX(tsk_FcFinish,(ROW()-ROW(MSPTasks[[#Headers],[ID]]))))</f>
        <v/>
      </c>
      <c r="I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96" t="str">
        <f aca="false">IF(IFERROR(INDEX(tsk_Name,(ROW()-ROW(MSPTasks[[#Headers],[ID]])))="",TRUE()),"",INDEX(tsk_PlanStart,(ROW()-ROW(MSPTasks[[#Headers],[ID]]))))</f>
        <v/>
      </c>
      <c r="P34" s="96" t="str">
        <f aca="false">IF(IFERROR(INDEX(tsk_Name,(ROW()-ROW(MSPTasks[[#Headers],[ID]])))="",TRUE()),"",INDEX(tsk_PlanFinish,(ROW()-ROW(MSPTasks[[#Headers],[ID]]))))</f>
        <v/>
      </c>
      <c r="Q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4" s="24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4" t="str">
        <f aca="false">IF(IFERROR(INDEX(tsk_Name,(ROW()-ROW(MSPTasks[[#Headers],[ID]])))="",TRUE()),"",INDEX(tsk_ID,(ROW()-ROW(MSPTasks[[#Headers],[ID]]))))</f>
        <v/>
      </c>
      <c r="B35" s="24" t="str">
        <f aca="false">IF(IFERROR(INDEX(tsk_Name,(ROW()-ROW(MSPTasks[[#Headers],[ID]])))="",TRUE()),"",INDEX(tsk_UID,(ROW()-ROW(MSPTasks[[#Headers],[ID]]))))</f>
        <v/>
      </c>
      <c r="C35" s="24" t="str">
        <f aca="false">IF(IFERROR(INDEX(tsk_Name,(ROW()-ROW(MSPTasks[[#Headers],[ID]])))="",TRUE()),"",INDEX(tsk_Name,(ROW()-ROW(MSPTasks[[#Headers],[ID]]))))</f>
        <v/>
      </c>
      <c r="D35" s="24" t="str">
        <f aca="false">IF(IFERROR(INDEX(tsk_Name,(ROW()-ROW(MSPTasks[[#Headers],[ID]])))="",TRUE()),"",INDEX(tsk_Level,(ROW()-ROW(MSPTasks[[#Headers],[ID]]))))</f>
        <v/>
      </c>
      <c r="E35" s="24" t="str">
        <f aca="false">IF(IFERROR(INDEX(tsk_Name,(ROW()-ROW(MSPTasks[[#Headers],[ID]])))="",TRUE()),"",IF(INDEX(tsk_Mode,(ROW()-ROW(MSPTasks[[#Headers],[ID]])))="Manual","Manually Scheduled","Auto Scheduled"))</f>
        <v/>
      </c>
      <c r="F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96" t="str">
        <f aca="false">IF(IFERROR(INDEX(tsk_Name,(ROW()-ROW(MSPTasks[[#Headers],[ID]])))="",TRUE()),"",INDEX(tsk_FcStart,(ROW()-ROW(MSPTasks[[#Headers],[ID]]))))</f>
        <v/>
      </c>
      <c r="H35" s="96" t="str">
        <f aca="false">IF(IFERROR(INDEX(tsk_Name,(ROW()-ROW(MSPTasks[[#Headers],[ID]])))="",TRUE()),"",INDEX(tsk_FcFinish,(ROW()-ROW(MSPTasks[[#Headers],[ID]]))))</f>
        <v/>
      </c>
      <c r="I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96" t="str">
        <f aca="false">IF(IFERROR(INDEX(tsk_Name,(ROW()-ROW(MSPTasks[[#Headers],[ID]])))="",TRUE()),"",INDEX(tsk_PlanStart,(ROW()-ROW(MSPTasks[[#Headers],[ID]]))))</f>
        <v/>
      </c>
      <c r="P35" s="96" t="str">
        <f aca="false">IF(IFERROR(INDEX(tsk_Name,(ROW()-ROW(MSPTasks[[#Headers],[ID]])))="",TRUE()),"",INDEX(tsk_PlanFinish,(ROW()-ROW(MSPTasks[[#Headers],[ID]]))))</f>
        <v/>
      </c>
      <c r="Q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5" s="24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4" t="str">
        <f aca="false">IF(IFERROR(INDEX(tsk_Name,(ROW()-ROW(MSPTasks[[#Headers],[ID]])))="",TRUE()),"",INDEX(tsk_ID,(ROW()-ROW(MSPTasks[[#Headers],[ID]]))))</f>
        <v/>
      </c>
      <c r="B36" s="24" t="str">
        <f aca="false">IF(IFERROR(INDEX(tsk_Name,(ROW()-ROW(MSPTasks[[#Headers],[ID]])))="",TRUE()),"",INDEX(tsk_UID,(ROW()-ROW(MSPTasks[[#Headers],[ID]]))))</f>
        <v/>
      </c>
      <c r="C36" s="24" t="str">
        <f aca="false">IF(IFERROR(INDEX(tsk_Name,(ROW()-ROW(MSPTasks[[#Headers],[ID]])))="",TRUE()),"",INDEX(tsk_Name,(ROW()-ROW(MSPTasks[[#Headers],[ID]]))))</f>
        <v/>
      </c>
      <c r="D36" s="24" t="str">
        <f aca="false">IF(IFERROR(INDEX(tsk_Name,(ROW()-ROW(MSPTasks[[#Headers],[ID]])))="",TRUE()),"",INDEX(tsk_Level,(ROW()-ROW(MSPTasks[[#Headers],[ID]]))))</f>
        <v/>
      </c>
      <c r="E36" s="24" t="str">
        <f aca="false">IF(IFERROR(INDEX(tsk_Name,(ROW()-ROW(MSPTasks[[#Headers],[ID]])))="",TRUE()),"",IF(INDEX(tsk_Mode,(ROW()-ROW(MSPTasks[[#Headers],[ID]])))="Manual","Manually Scheduled","Auto Scheduled"))</f>
        <v/>
      </c>
      <c r="F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96" t="str">
        <f aca="false">IF(IFERROR(INDEX(tsk_Name,(ROW()-ROW(MSPTasks[[#Headers],[ID]])))="",TRUE()),"",INDEX(tsk_FcStart,(ROW()-ROW(MSPTasks[[#Headers],[ID]]))))</f>
        <v/>
      </c>
      <c r="H36" s="96" t="str">
        <f aca="false">IF(IFERROR(INDEX(tsk_Name,(ROW()-ROW(MSPTasks[[#Headers],[ID]])))="",TRUE()),"",INDEX(tsk_FcFinish,(ROW()-ROW(MSPTasks[[#Headers],[ID]]))))</f>
        <v/>
      </c>
      <c r="I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96" t="str">
        <f aca="false">IF(IFERROR(INDEX(tsk_Name,(ROW()-ROW(MSPTasks[[#Headers],[ID]])))="",TRUE()),"",INDEX(tsk_PlanStart,(ROW()-ROW(MSPTasks[[#Headers],[ID]]))))</f>
        <v/>
      </c>
      <c r="P36" s="96" t="str">
        <f aca="false">IF(IFERROR(INDEX(tsk_Name,(ROW()-ROW(MSPTasks[[#Headers],[ID]])))="",TRUE()),"",INDEX(tsk_PlanFinish,(ROW()-ROW(MSPTasks[[#Headers],[ID]]))))</f>
        <v/>
      </c>
      <c r="Q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6" s="24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4" t="str">
        <f aca="false">IF(IFERROR(INDEX(tsk_Name,(ROW()-ROW(MSPTasks[[#Headers],[ID]])))="",TRUE()),"",INDEX(tsk_ID,(ROW()-ROW(MSPTasks[[#Headers],[ID]]))))</f>
        <v/>
      </c>
      <c r="B37" s="24" t="str">
        <f aca="false">IF(IFERROR(INDEX(tsk_Name,(ROW()-ROW(MSPTasks[[#Headers],[ID]])))="",TRUE()),"",INDEX(tsk_UID,(ROW()-ROW(MSPTasks[[#Headers],[ID]]))))</f>
        <v/>
      </c>
      <c r="C37" s="24" t="str">
        <f aca="false">IF(IFERROR(INDEX(tsk_Name,(ROW()-ROW(MSPTasks[[#Headers],[ID]])))="",TRUE()),"",INDEX(tsk_Name,(ROW()-ROW(MSPTasks[[#Headers],[ID]]))))</f>
        <v/>
      </c>
      <c r="D37" s="24" t="str">
        <f aca="false">IF(IFERROR(INDEX(tsk_Name,(ROW()-ROW(MSPTasks[[#Headers],[ID]])))="",TRUE()),"",INDEX(tsk_Level,(ROW()-ROW(MSPTasks[[#Headers],[ID]]))))</f>
        <v/>
      </c>
      <c r="E37" s="24" t="str">
        <f aca="false">IF(IFERROR(INDEX(tsk_Name,(ROW()-ROW(MSPTasks[[#Headers],[ID]])))="",TRUE()),"",IF(INDEX(tsk_Mode,(ROW()-ROW(MSPTasks[[#Headers],[ID]])))="Manual","Manually Scheduled","Auto Scheduled"))</f>
        <v/>
      </c>
      <c r="F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96" t="str">
        <f aca="false">IF(IFERROR(INDEX(tsk_Name,(ROW()-ROW(MSPTasks[[#Headers],[ID]])))="",TRUE()),"",INDEX(tsk_FcStart,(ROW()-ROW(MSPTasks[[#Headers],[ID]]))))</f>
        <v/>
      </c>
      <c r="H37" s="96" t="str">
        <f aca="false">IF(IFERROR(INDEX(tsk_Name,(ROW()-ROW(MSPTasks[[#Headers],[ID]])))="",TRUE()),"",INDEX(tsk_FcFinish,(ROW()-ROW(MSPTasks[[#Headers],[ID]]))))</f>
        <v/>
      </c>
      <c r="I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96" t="str">
        <f aca="false">IF(IFERROR(INDEX(tsk_Name,(ROW()-ROW(MSPTasks[[#Headers],[ID]])))="",TRUE()),"",INDEX(tsk_PlanStart,(ROW()-ROW(MSPTasks[[#Headers],[ID]]))))</f>
        <v/>
      </c>
      <c r="P37" s="96" t="str">
        <f aca="false">IF(IFERROR(INDEX(tsk_Name,(ROW()-ROW(MSPTasks[[#Headers],[ID]])))="",TRUE()),"",INDEX(tsk_PlanFinish,(ROW()-ROW(MSPTasks[[#Headers],[ID]]))))</f>
        <v/>
      </c>
      <c r="Q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7" s="24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4" t="str">
        <f aca="false">IF(IFERROR(INDEX(tsk_Name,(ROW()-ROW(MSPTasks[[#Headers],[ID]])))="",TRUE()),"",INDEX(tsk_ID,(ROW()-ROW(MSPTasks[[#Headers],[ID]]))))</f>
        <v/>
      </c>
      <c r="B38" s="24" t="str">
        <f aca="false">IF(IFERROR(INDEX(tsk_Name,(ROW()-ROW(MSPTasks[[#Headers],[ID]])))="",TRUE()),"",INDEX(tsk_UID,(ROW()-ROW(MSPTasks[[#Headers],[ID]]))))</f>
        <v/>
      </c>
      <c r="C38" s="24" t="str">
        <f aca="false">IF(IFERROR(INDEX(tsk_Name,(ROW()-ROW(MSPTasks[[#Headers],[ID]])))="",TRUE()),"",INDEX(tsk_Name,(ROW()-ROW(MSPTasks[[#Headers],[ID]]))))</f>
        <v/>
      </c>
      <c r="D38" s="24" t="str">
        <f aca="false">IF(IFERROR(INDEX(tsk_Name,(ROW()-ROW(MSPTasks[[#Headers],[ID]])))="",TRUE()),"",INDEX(tsk_Level,(ROW()-ROW(MSPTasks[[#Headers],[ID]]))))</f>
        <v/>
      </c>
      <c r="E38" s="24" t="str">
        <f aca="false">IF(IFERROR(INDEX(tsk_Name,(ROW()-ROW(MSPTasks[[#Headers],[ID]])))="",TRUE()),"",IF(INDEX(tsk_Mode,(ROW()-ROW(MSPTasks[[#Headers],[ID]])))="Manual","Manually Scheduled","Auto Scheduled"))</f>
        <v/>
      </c>
      <c r="F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96" t="str">
        <f aca="false">IF(IFERROR(INDEX(tsk_Name,(ROW()-ROW(MSPTasks[[#Headers],[ID]])))="",TRUE()),"",INDEX(tsk_FcStart,(ROW()-ROW(MSPTasks[[#Headers],[ID]]))))</f>
        <v/>
      </c>
      <c r="H38" s="96" t="str">
        <f aca="false">IF(IFERROR(INDEX(tsk_Name,(ROW()-ROW(MSPTasks[[#Headers],[ID]])))="",TRUE()),"",INDEX(tsk_FcFinish,(ROW()-ROW(MSPTasks[[#Headers],[ID]]))))</f>
        <v/>
      </c>
      <c r="I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96" t="str">
        <f aca="false">IF(IFERROR(INDEX(tsk_Name,(ROW()-ROW(MSPTasks[[#Headers],[ID]])))="",TRUE()),"",INDEX(tsk_PlanStart,(ROW()-ROW(MSPTasks[[#Headers],[ID]]))))</f>
        <v/>
      </c>
      <c r="P38" s="96" t="str">
        <f aca="false">IF(IFERROR(INDEX(tsk_Name,(ROW()-ROW(MSPTasks[[#Headers],[ID]])))="",TRUE()),"",INDEX(tsk_PlanFinish,(ROW()-ROW(MSPTasks[[#Headers],[ID]]))))</f>
        <v/>
      </c>
      <c r="Q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8" s="24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4" t="str">
        <f aca="false">IF(IFERROR(INDEX(tsk_Name,(ROW()-ROW(MSPTasks[[#Headers],[ID]])))="",TRUE()),"",INDEX(tsk_ID,(ROW()-ROW(MSPTasks[[#Headers],[ID]]))))</f>
        <v/>
      </c>
      <c r="B39" s="24" t="str">
        <f aca="false">IF(IFERROR(INDEX(tsk_Name,(ROW()-ROW(MSPTasks[[#Headers],[ID]])))="",TRUE()),"",INDEX(tsk_UID,(ROW()-ROW(MSPTasks[[#Headers],[ID]]))))</f>
        <v/>
      </c>
      <c r="C39" s="24" t="str">
        <f aca="false">IF(IFERROR(INDEX(tsk_Name,(ROW()-ROW(MSPTasks[[#Headers],[ID]])))="",TRUE()),"",INDEX(tsk_Name,(ROW()-ROW(MSPTasks[[#Headers],[ID]]))))</f>
        <v/>
      </c>
      <c r="D39" s="24" t="str">
        <f aca="false">IF(IFERROR(INDEX(tsk_Name,(ROW()-ROW(MSPTasks[[#Headers],[ID]])))="",TRUE()),"",INDEX(tsk_Level,(ROW()-ROW(MSPTasks[[#Headers],[ID]]))))</f>
        <v/>
      </c>
      <c r="E39" s="24" t="str">
        <f aca="false">IF(IFERROR(INDEX(tsk_Name,(ROW()-ROW(MSPTasks[[#Headers],[ID]])))="",TRUE()),"",IF(INDEX(tsk_Mode,(ROW()-ROW(MSPTasks[[#Headers],[ID]])))="Manual","Manually Scheduled","Auto Scheduled"))</f>
        <v/>
      </c>
      <c r="F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96" t="str">
        <f aca="false">IF(IFERROR(INDEX(tsk_Name,(ROW()-ROW(MSPTasks[[#Headers],[ID]])))="",TRUE()),"",INDEX(tsk_FcStart,(ROW()-ROW(MSPTasks[[#Headers],[ID]]))))</f>
        <v/>
      </c>
      <c r="H39" s="96" t="str">
        <f aca="false">IF(IFERROR(INDEX(tsk_Name,(ROW()-ROW(MSPTasks[[#Headers],[ID]])))="",TRUE()),"",INDEX(tsk_FcFinish,(ROW()-ROW(MSPTasks[[#Headers],[ID]]))))</f>
        <v/>
      </c>
      <c r="I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96" t="str">
        <f aca="false">IF(IFERROR(INDEX(tsk_Name,(ROW()-ROW(MSPTasks[[#Headers],[ID]])))="",TRUE()),"",INDEX(tsk_PlanStart,(ROW()-ROW(MSPTasks[[#Headers],[ID]]))))</f>
        <v/>
      </c>
      <c r="P39" s="96" t="str">
        <f aca="false">IF(IFERROR(INDEX(tsk_Name,(ROW()-ROW(MSPTasks[[#Headers],[ID]])))="",TRUE()),"",INDEX(tsk_PlanFinish,(ROW()-ROW(MSPTasks[[#Headers],[ID]]))))</f>
        <v/>
      </c>
      <c r="Q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9" s="24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4" t="str">
        <f aca="false">IF(IFERROR(INDEX(tsk_Name,(ROW()-ROW(MSPTasks[[#Headers],[ID]])))="",TRUE()),"",INDEX(tsk_ID,(ROW()-ROW(MSPTasks[[#Headers],[ID]]))))</f>
        <v/>
      </c>
      <c r="B40" s="24" t="str">
        <f aca="false">IF(IFERROR(INDEX(tsk_Name,(ROW()-ROW(MSPTasks[[#Headers],[ID]])))="",TRUE()),"",INDEX(tsk_UID,(ROW()-ROW(MSPTasks[[#Headers],[ID]]))))</f>
        <v/>
      </c>
      <c r="C40" s="24" t="str">
        <f aca="false">IF(IFERROR(INDEX(tsk_Name,(ROW()-ROW(MSPTasks[[#Headers],[ID]])))="",TRUE()),"",INDEX(tsk_Name,(ROW()-ROW(MSPTasks[[#Headers],[ID]]))))</f>
        <v/>
      </c>
      <c r="D40" s="24" t="str">
        <f aca="false">IF(IFERROR(INDEX(tsk_Name,(ROW()-ROW(MSPTasks[[#Headers],[ID]])))="",TRUE()),"",INDEX(tsk_Level,(ROW()-ROW(MSPTasks[[#Headers],[ID]]))))</f>
        <v/>
      </c>
      <c r="E40" s="24" t="str">
        <f aca="false">IF(IFERROR(INDEX(tsk_Name,(ROW()-ROW(MSPTasks[[#Headers],[ID]])))="",TRUE()),"",IF(INDEX(tsk_Mode,(ROW()-ROW(MSPTasks[[#Headers],[ID]])))="Manual","Manually Scheduled","Auto Scheduled"))</f>
        <v/>
      </c>
      <c r="F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96" t="str">
        <f aca="false">IF(IFERROR(INDEX(tsk_Name,(ROW()-ROW(MSPTasks[[#Headers],[ID]])))="",TRUE()),"",INDEX(tsk_FcStart,(ROW()-ROW(MSPTasks[[#Headers],[ID]]))))</f>
        <v/>
      </c>
      <c r="H40" s="96" t="str">
        <f aca="false">IF(IFERROR(INDEX(tsk_Name,(ROW()-ROW(MSPTasks[[#Headers],[ID]])))="",TRUE()),"",INDEX(tsk_FcFinish,(ROW()-ROW(MSPTasks[[#Headers],[ID]]))))</f>
        <v/>
      </c>
      <c r="I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96" t="str">
        <f aca="false">IF(IFERROR(INDEX(tsk_Name,(ROW()-ROW(MSPTasks[[#Headers],[ID]])))="",TRUE()),"",INDEX(tsk_PlanStart,(ROW()-ROW(MSPTasks[[#Headers],[ID]]))))</f>
        <v/>
      </c>
      <c r="P40" s="96" t="str">
        <f aca="false">IF(IFERROR(INDEX(tsk_Name,(ROW()-ROW(MSPTasks[[#Headers],[ID]])))="",TRUE()),"",INDEX(tsk_PlanFinish,(ROW()-ROW(MSPTasks[[#Headers],[ID]]))))</f>
        <v/>
      </c>
      <c r="Q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0" s="24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4" t="str">
        <f aca="false">IF(IFERROR(INDEX(tsk_Name,(ROW()-ROW(MSPTasks[[#Headers],[ID]])))="",TRUE()),"",INDEX(tsk_ID,(ROW()-ROW(MSPTasks[[#Headers],[ID]]))))</f>
        <v/>
      </c>
      <c r="B41" s="24" t="str">
        <f aca="false">IF(IFERROR(INDEX(tsk_Name,(ROW()-ROW(MSPTasks[[#Headers],[ID]])))="",TRUE()),"",INDEX(tsk_UID,(ROW()-ROW(MSPTasks[[#Headers],[ID]]))))</f>
        <v/>
      </c>
      <c r="C41" s="24" t="str">
        <f aca="false">IF(IFERROR(INDEX(tsk_Name,(ROW()-ROW(MSPTasks[[#Headers],[ID]])))="",TRUE()),"",INDEX(tsk_Name,(ROW()-ROW(MSPTasks[[#Headers],[ID]]))))</f>
        <v/>
      </c>
      <c r="D41" s="24" t="str">
        <f aca="false">IF(IFERROR(INDEX(tsk_Name,(ROW()-ROW(MSPTasks[[#Headers],[ID]])))="",TRUE()),"",INDEX(tsk_Level,(ROW()-ROW(MSPTasks[[#Headers],[ID]]))))</f>
        <v/>
      </c>
      <c r="E41" s="24" t="str">
        <f aca="false">IF(IFERROR(INDEX(tsk_Name,(ROW()-ROW(MSPTasks[[#Headers],[ID]])))="",TRUE()),"",IF(INDEX(tsk_Mode,(ROW()-ROW(MSPTasks[[#Headers],[ID]])))="Manual","Manually Scheduled","Auto Scheduled"))</f>
        <v/>
      </c>
      <c r="F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96" t="str">
        <f aca="false">IF(IFERROR(INDEX(tsk_Name,(ROW()-ROW(MSPTasks[[#Headers],[ID]])))="",TRUE()),"",INDEX(tsk_FcStart,(ROW()-ROW(MSPTasks[[#Headers],[ID]]))))</f>
        <v/>
      </c>
      <c r="H41" s="96" t="str">
        <f aca="false">IF(IFERROR(INDEX(tsk_Name,(ROW()-ROW(MSPTasks[[#Headers],[ID]])))="",TRUE()),"",INDEX(tsk_FcFinish,(ROW()-ROW(MSPTasks[[#Headers],[ID]]))))</f>
        <v/>
      </c>
      <c r="I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96" t="str">
        <f aca="false">IF(IFERROR(INDEX(tsk_Name,(ROW()-ROW(MSPTasks[[#Headers],[ID]])))="",TRUE()),"",INDEX(tsk_PlanStart,(ROW()-ROW(MSPTasks[[#Headers],[ID]]))))</f>
        <v/>
      </c>
      <c r="P41" s="96" t="str">
        <f aca="false">IF(IFERROR(INDEX(tsk_Name,(ROW()-ROW(MSPTasks[[#Headers],[ID]])))="",TRUE()),"",INDEX(tsk_PlanFinish,(ROW()-ROW(MSPTasks[[#Headers],[ID]]))))</f>
        <v/>
      </c>
      <c r="Q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1" s="24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4" t="str">
        <f aca="false">IF(IFERROR(INDEX(tsk_Name,(ROW()-ROW(MSPTasks[[#Headers],[ID]])))="",TRUE()),"",INDEX(tsk_ID,(ROW()-ROW(MSPTasks[[#Headers],[ID]]))))</f>
        <v/>
      </c>
      <c r="B42" s="24" t="str">
        <f aca="false">IF(IFERROR(INDEX(tsk_Name,(ROW()-ROW(MSPTasks[[#Headers],[ID]])))="",TRUE()),"",INDEX(tsk_UID,(ROW()-ROW(MSPTasks[[#Headers],[ID]]))))</f>
        <v/>
      </c>
      <c r="C42" s="24" t="str">
        <f aca="false">IF(IFERROR(INDEX(tsk_Name,(ROW()-ROW(MSPTasks[[#Headers],[ID]])))="",TRUE()),"",INDEX(tsk_Name,(ROW()-ROW(MSPTasks[[#Headers],[ID]]))))</f>
        <v/>
      </c>
      <c r="D42" s="24" t="str">
        <f aca="false">IF(IFERROR(INDEX(tsk_Name,(ROW()-ROW(MSPTasks[[#Headers],[ID]])))="",TRUE()),"",INDEX(tsk_Level,(ROW()-ROW(MSPTasks[[#Headers],[ID]]))))</f>
        <v/>
      </c>
      <c r="E42" s="24" t="str">
        <f aca="false">IF(IFERROR(INDEX(tsk_Name,(ROW()-ROW(MSPTasks[[#Headers],[ID]])))="",TRUE()),"",IF(INDEX(tsk_Mode,(ROW()-ROW(MSPTasks[[#Headers],[ID]])))="Manual","Manually Scheduled","Auto Scheduled"))</f>
        <v/>
      </c>
      <c r="F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96" t="str">
        <f aca="false">IF(IFERROR(INDEX(tsk_Name,(ROW()-ROW(MSPTasks[[#Headers],[ID]])))="",TRUE()),"",INDEX(tsk_FcStart,(ROW()-ROW(MSPTasks[[#Headers],[ID]]))))</f>
        <v/>
      </c>
      <c r="H42" s="96" t="str">
        <f aca="false">IF(IFERROR(INDEX(tsk_Name,(ROW()-ROW(MSPTasks[[#Headers],[ID]])))="",TRUE()),"",INDEX(tsk_FcFinish,(ROW()-ROW(MSPTasks[[#Headers],[ID]]))))</f>
        <v/>
      </c>
      <c r="I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96" t="str">
        <f aca="false">IF(IFERROR(INDEX(tsk_Name,(ROW()-ROW(MSPTasks[[#Headers],[ID]])))="",TRUE()),"",INDEX(tsk_PlanStart,(ROW()-ROW(MSPTasks[[#Headers],[ID]]))))</f>
        <v/>
      </c>
      <c r="P42" s="96" t="str">
        <f aca="false">IF(IFERROR(INDEX(tsk_Name,(ROW()-ROW(MSPTasks[[#Headers],[ID]])))="",TRUE()),"",INDEX(tsk_PlanFinish,(ROW()-ROW(MSPTasks[[#Headers],[ID]]))))</f>
        <v/>
      </c>
      <c r="Q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2" s="24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4" t="str">
        <f aca="false">IF(IFERROR(INDEX(tsk_Name,(ROW()-ROW(MSPTasks[[#Headers],[ID]])))="",TRUE()),"",INDEX(tsk_ID,(ROW()-ROW(MSPTasks[[#Headers],[ID]]))))</f>
        <v/>
      </c>
      <c r="B43" s="24" t="str">
        <f aca="false">IF(IFERROR(INDEX(tsk_Name,(ROW()-ROW(MSPTasks[[#Headers],[ID]])))="",TRUE()),"",INDEX(tsk_UID,(ROW()-ROW(MSPTasks[[#Headers],[ID]]))))</f>
        <v/>
      </c>
      <c r="C43" s="24" t="str">
        <f aca="false">IF(IFERROR(INDEX(tsk_Name,(ROW()-ROW(MSPTasks[[#Headers],[ID]])))="",TRUE()),"",INDEX(tsk_Name,(ROW()-ROW(MSPTasks[[#Headers],[ID]]))))</f>
        <v/>
      </c>
      <c r="D43" s="24" t="str">
        <f aca="false">IF(IFERROR(INDEX(tsk_Name,(ROW()-ROW(MSPTasks[[#Headers],[ID]])))="",TRUE()),"",INDEX(tsk_Level,(ROW()-ROW(MSPTasks[[#Headers],[ID]]))))</f>
        <v/>
      </c>
      <c r="E43" s="24" t="str">
        <f aca="false">IF(IFERROR(INDEX(tsk_Name,(ROW()-ROW(MSPTasks[[#Headers],[ID]])))="",TRUE()),"",IF(INDEX(tsk_Mode,(ROW()-ROW(MSPTasks[[#Headers],[ID]])))="Manual","Manually Scheduled","Auto Scheduled"))</f>
        <v/>
      </c>
      <c r="F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96" t="str">
        <f aca="false">IF(IFERROR(INDEX(tsk_Name,(ROW()-ROW(MSPTasks[[#Headers],[ID]])))="",TRUE()),"",INDEX(tsk_FcStart,(ROW()-ROW(MSPTasks[[#Headers],[ID]]))))</f>
        <v/>
      </c>
      <c r="H43" s="96" t="str">
        <f aca="false">IF(IFERROR(INDEX(tsk_Name,(ROW()-ROW(MSPTasks[[#Headers],[ID]])))="",TRUE()),"",INDEX(tsk_FcFinish,(ROW()-ROW(MSPTasks[[#Headers],[ID]]))))</f>
        <v/>
      </c>
      <c r="I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96" t="str">
        <f aca="false">IF(IFERROR(INDEX(tsk_Name,(ROW()-ROW(MSPTasks[[#Headers],[ID]])))="",TRUE()),"",INDEX(tsk_PlanStart,(ROW()-ROW(MSPTasks[[#Headers],[ID]]))))</f>
        <v/>
      </c>
      <c r="P43" s="96" t="str">
        <f aca="false">IF(IFERROR(INDEX(tsk_Name,(ROW()-ROW(MSPTasks[[#Headers],[ID]])))="",TRUE()),"",INDEX(tsk_PlanFinish,(ROW()-ROW(MSPTasks[[#Headers],[ID]]))))</f>
        <v/>
      </c>
      <c r="Q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3" s="24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4" t="str">
        <f aca="false">IF(IFERROR(INDEX(tsk_Name,(ROW()-ROW(MSPTasks[[#Headers],[ID]])))="",TRUE()),"",INDEX(tsk_ID,(ROW()-ROW(MSPTasks[[#Headers],[ID]]))))</f>
        <v/>
      </c>
      <c r="B44" s="24" t="str">
        <f aca="false">IF(IFERROR(INDEX(tsk_Name,(ROW()-ROW(MSPTasks[[#Headers],[ID]])))="",TRUE()),"",INDEX(tsk_UID,(ROW()-ROW(MSPTasks[[#Headers],[ID]]))))</f>
        <v/>
      </c>
      <c r="C44" s="24" t="str">
        <f aca="false">IF(IFERROR(INDEX(tsk_Name,(ROW()-ROW(MSPTasks[[#Headers],[ID]])))="",TRUE()),"",INDEX(tsk_Name,(ROW()-ROW(MSPTasks[[#Headers],[ID]]))))</f>
        <v/>
      </c>
      <c r="D44" s="24" t="str">
        <f aca="false">IF(IFERROR(INDEX(tsk_Name,(ROW()-ROW(MSPTasks[[#Headers],[ID]])))="",TRUE()),"",INDEX(tsk_Level,(ROW()-ROW(MSPTasks[[#Headers],[ID]]))))</f>
        <v/>
      </c>
      <c r="E44" s="24" t="str">
        <f aca="false">IF(IFERROR(INDEX(tsk_Name,(ROW()-ROW(MSPTasks[[#Headers],[ID]])))="",TRUE()),"",IF(INDEX(tsk_Mode,(ROW()-ROW(MSPTasks[[#Headers],[ID]])))="Manual","Manually Scheduled","Auto Scheduled"))</f>
        <v/>
      </c>
      <c r="F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96" t="str">
        <f aca="false">IF(IFERROR(INDEX(tsk_Name,(ROW()-ROW(MSPTasks[[#Headers],[ID]])))="",TRUE()),"",INDEX(tsk_FcStart,(ROW()-ROW(MSPTasks[[#Headers],[ID]]))))</f>
        <v/>
      </c>
      <c r="H44" s="96" t="str">
        <f aca="false">IF(IFERROR(INDEX(tsk_Name,(ROW()-ROW(MSPTasks[[#Headers],[ID]])))="",TRUE()),"",INDEX(tsk_FcFinish,(ROW()-ROW(MSPTasks[[#Headers],[ID]]))))</f>
        <v/>
      </c>
      <c r="I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96" t="str">
        <f aca="false">IF(IFERROR(INDEX(tsk_Name,(ROW()-ROW(MSPTasks[[#Headers],[ID]])))="",TRUE()),"",INDEX(tsk_PlanStart,(ROW()-ROW(MSPTasks[[#Headers],[ID]]))))</f>
        <v/>
      </c>
      <c r="P44" s="96" t="str">
        <f aca="false">IF(IFERROR(INDEX(tsk_Name,(ROW()-ROW(MSPTasks[[#Headers],[ID]])))="",TRUE()),"",INDEX(tsk_PlanFinish,(ROW()-ROW(MSPTasks[[#Headers],[ID]]))))</f>
        <v/>
      </c>
      <c r="Q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4" s="24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4" t="str">
        <f aca="false">IF(IFERROR(INDEX(tsk_Name,(ROW()-ROW(MSPTasks[[#Headers],[ID]])))="",TRUE()),"",INDEX(tsk_ID,(ROW()-ROW(MSPTasks[[#Headers],[ID]]))))</f>
        <v/>
      </c>
      <c r="B45" s="24" t="str">
        <f aca="false">IF(IFERROR(INDEX(tsk_Name,(ROW()-ROW(MSPTasks[[#Headers],[ID]])))="",TRUE()),"",INDEX(tsk_UID,(ROW()-ROW(MSPTasks[[#Headers],[ID]]))))</f>
        <v/>
      </c>
      <c r="C45" s="24" t="str">
        <f aca="false">IF(IFERROR(INDEX(tsk_Name,(ROW()-ROW(MSPTasks[[#Headers],[ID]])))="",TRUE()),"",INDEX(tsk_Name,(ROW()-ROW(MSPTasks[[#Headers],[ID]]))))</f>
        <v/>
      </c>
      <c r="D45" s="24" t="str">
        <f aca="false">IF(IFERROR(INDEX(tsk_Name,(ROW()-ROW(MSPTasks[[#Headers],[ID]])))="",TRUE()),"",INDEX(tsk_Level,(ROW()-ROW(MSPTasks[[#Headers],[ID]]))))</f>
        <v/>
      </c>
      <c r="E45" s="24" t="str">
        <f aca="false">IF(IFERROR(INDEX(tsk_Name,(ROW()-ROW(MSPTasks[[#Headers],[ID]])))="",TRUE()),"",IF(INDEX(tsk_Mode,(ROW()-ROW(MSPTasks[[#Headers],[ID]])))="Manual","Manually Scheduled","Auto Scheduled"))</f>
        <v/>
      </c>
      <c r="F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96" t="str">
        <f aca="false">IF(IFERROR(INDEX(tsk_Name,(ROW()-ROW(MSPTasks[[#Headers],[ID]])))="",TRUE()),"",INDEX(tsk_FcStart,(ROW()-ROW(MSPTasks[[#Headers],[ID]]))))</f>
        <v/>
      </c>
      <c r="H45" s="96" t="str">
        <f aca="false">IF(IFERROR(INDEX(tsk_Name,(ROW()-ROW(MSPTasks[[#Headers],[ID]])))="",TRUE()),"",INDEX(tsk_FcFinish,(ROW()-ROW(MSPTasks[[#Headers],[ID]]))))</f>
        <v/>
      </c>
      <c r="I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96" t="str">
        <f aca="false">IF(IFERROR(INDEX(tsk_Name,(ROW()-ROW(MSPTasks[[#Headers],[ID]])))="",TRUE()),"",INDEX(tsk_PlanStart,(ROW()-ROW(MSPTasks[[#Headers],[ID]]))))</f>
        <v/>
      </c>
      <c r="P45" s="96" t="str">
        <f aca="false">IF(IFERROR(INDEX(tsk_Name,(ROW()-ROW(MSPTasks[[#Headers],[ID]])))="",TRUE()),"",INDEX(tsk_PlanFinish,(ROW()-ROW(MSPTasks[[#Headers],[ID]]))))</f>
        <v/>
      </c>
      <c r="Q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5" s="24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4" t="str">
        <f aca="false">IF(IFERROR(INDEX(tsk_Name,(ROW()-ROW(MSPTasks[[#Headers],[ID]])))="",TRUE()),"",INDEX(tsk_ID,(ROW()-ROW(MSPTasks[[#Headers],[ID]]))))</f>
        <v/>
      </c>
      <c r="B46" s="24" t="str">
        <f aca="false">IF(IFERROR(INDEX(tsk_Name,(ROW()-ROW(MSPTasks[[#Headers],[ID]])))="",TRUE()),"",INDEX(tsk_UID,(ROW()-ROW(MSPTasks[[#Headers],[ID]]))))</f>
        <v/>
      </c>
      <c r="C46" s="24" t="str">
        <f aca="false">IF(IFERROR(INDEX(tsk_Name,(ROW()-ROW(MSPTasks[[#Headers],[ID]])))="",TRUE()),"",INDEX(tsk_Name,(ROW()-ROW(MSPTasks[[#Headers],[ID]]))))</f>
        <v/>
      </c>
      <c r="D46" s="24" t="str">
        <f aca="false">IF(IFERROR(INDEX(tsk_Name,(ROW()-ROW(MSPTasks[[#Headers],[ID]])))="",TRUE()),"",INDEX(tsk_Level,(ROW()-ROW(MSPTasks[[#Headers],[ID]]))))</f>
        <v/>
      </c>
      <c r="E46" s="24" t="str">
        <f aca="false">IF(IFERROR(INDEX(tsk_Name,(ROW()-ROW(MSPTasks[[#Headers],[ID]])))="",TRUE()),"",IF(INDEX(tsk_Mode,(ROW()-ROW(MSPTasks[[#Headers],[ID]])))="Manual","Manually Scheduled","Auto Scheduled"))</f>
        <v/>
      </c>
      <c r="F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96" t="str">
        <f aca="false">IF(IFERROR(INDEX(tsk_Name,(ROW()-ROW(MSPTasks[[#Headers],[ID]])))="",TRUE()),"",INDEX(tsk_FcStart,(ROW()-ROW(MSPTasks[[#Headers],[ID]]))))</f>
        <v/>
      </c>
      <c r="H46" s="96" t="str">
        <f aca="false">IF(IFERROR(INDEX(tsk_Name,(ROW()-ROW(MSPTasks[[#Headers],[ID]])))="",TRUE()),"",INDEX(tsk_FcFinish,(ROW()-ROW(MSPTasks[[#Headers],[ID]]))))</f>
        <v/>
      </c>
      <c r="I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96" t="str">
        <f aca="false">IF(IFERROR(INDEX(tsk_Name,(ROW()-ROW(MSPTasks[[#Headers],[ID]])))="",TRUE()),"",INDEX(tsk_PlanStart,(ROW()-ROW(MSPTasks[[#Headers],[ID]]))))</f>
        <v/>
      </c>
      <c r="P46" s="96" t="str">
        <f aca="false">IF(IFERROR(INDEX(tsk_Name,(ROW()-ROW(MSPTasks[[#Headers],[ID]])))="",TRUE()),"",INDEX(tsk_PlanFinish,(ROW()-ROW(MSPTasks[[#Headers],[ID]]))))</f>
        <v/>
      </c>
      <c r="Q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6" s="24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4" t="str">
        <f aca="false">IF(IFERROR(INDEX(tsk_Name,(ROW()-ROW(MSPTasks[[#Headers],[ID]])))="",TRUE()),"",INDEX(tsk_ID,(ROW()-ROW(MSPTasks[[#Headers],[ID]]))))</f>
        <v/>
      </c>
      <c r="B47" s="24" t="str">
        <f aca="false">IF(IFERROR(INDEX(tsk_Name,(ROW()-ROW(MSPTasks[[#Headers],[ID]])))="",TRUE()),"",INDEX(tsk_UID,(ROW()-ROW(MSPTasks[[#Headers],[ID]]))))</f>
        <v/>
      </c>
      <c r="C47" s="24" t="str">
        <f aca="false">IF(IFERROR(INDEX(tsk_Name,(ROW()-ROW(MSPTasks[[#Headers],[ID]])))="",TRUE()),"",INDEX(tsk_Name,(ROW()-ROW(MSPTasks[[#Headers],[ID]]))))</f>
        <v/>
      </c>
      <c r="D47" s="24" t="str">
        <f aca="false">IF(IFERROR(INDEX(tsk_Name,(ROW()-ROW(MSPTasks[[#Headers],[ID]])))="",TRUE()),"",INDEX(tsk_Level,(ROW()-ROW(MSPTasks[[#Headers],[ID]]))))</f>
        <v/>
      </c>
      <c r="E47" s="24" t="str">
        <f aca="false">IF(IFERROR(INDEX(tsk_Name,(ROW()-ROW(MSPTasks[[#Headers],[ID]])))="",TRUE()),"",IF(INDEX(tsk_Mode,(ROW()-ROW(MSPTasks[[#Headers],[ID]])))="Manual","Manually Scheduled","Auto Scheduled"))</f>
        <v/>
      </c>
      <c r="F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96" t="str">
        <f aca="false">IF(IFERROR(INDEX(tsk_Name,(ROW()-ROW(MSPTasks[[#Headers],[ID]])))="",TRUE()),"",INDEX(tsk_FcStart,(ROW()-ROW(MSPTasks[[#Headers],[ID]]))))</f>
        <v/>
      </c>
      <c r="H47" s="96" t="str">
        <f aca="false">IF(IFERROR(INDEX(tsk_Name,(ROW()-ROW(MSPTasks[[#Headers],[ID]])))="",TRUE()),"",INDEX(tsk_FcFinish,(ROW()-ROW(MSPTasks[[#Headers],[ID]]))))</f>
        <v/>
      </c>
      <c r="I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96" t="str">
        <f aca="false">IF(IFERROR(INDEX(tsk_Name,(ROW()-ROW(MSPTasks[[#Headers],[ID]])))="",TRUE()),"",INDEX(tsk_PlanStart,(ROW()-ROW(MSPTasks[[#Headers],[ID]]))))</f>
        <v/>
      </c>
      <c r="P47" s="96" t="str">
        <f aca="false">IF(IFERROR(INDEX(tsk_Name,(ROW()-ROW(MSPTasks[[#Headers],[ID]])))="",TRUE()),"",INDEX(tsk_PlanFinish,(ROW()-ROW(MSPTasks[[#Headers],[ID]]))))</f>
        <v/>
      </c>
      <c r="Q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7" s="24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4" t="str">
        <f aca="false">IF(IFERROR(INDEX(tsk_Name,(ROW()-ROW(MSPTasks[[#Headers],[ID]])))="",TRUE()),"",INDEX(tsk_ID,(ROW()-ROW(MSPTasks[[#Headers],[ID]]))))</f>
        <v/>
      </c>
      <c r="B48" s="24" t="str">
        <f aca="false">IF(IFERROR(INDEX(tsk_Name,(ROW()-ROW(MSPTasks[[#Headers],[ID]])))="",TRUE()),"",INDEX(tsk_UID,(ROW()-ROW(MSPTasks[[#Headers],[ID]]))))</f>
        <v/>
      </c>
      <c r="C48" s="24" t="str">
        <f aca="false">IF(IFERROR(INDEX(tsk_Name,(ROW()-ROW(MSPTasks[[#Headers],[ID]])))="",TRUE()),"",INDEX(tsk_Name,(ROW()-ROW(MSPTasks[[#Headers],[ID]]))))</f>
        <v/>
      </c>
      <c r="D48" s="24" t="str">
        <f aca="false">IF(IFERROR(INDEX(tsk_Name,(ROW()-ROW(MSPTasks[[#Headers],[ID]])))="",TRUE()),"",INDEX(tsk_Level,(ROW()-ROW(MSPTasks[[#Headers],[ID]]))))</f>
        <v/>
      </c>
      <c r="E48" s="24" t="str">
        <f aca="false">IF(IFERROR(INDEX(tsk_Name,(ROW()-ROW(MSPTasks[[#Headers],[ID]])))="",TRUE()),"",IF(INDEX(tsk_Mode,(ROW()-ROW(MSPTasks[[#Headers],[ID]])))="Manual","Manually Scheduled","Auto Scheduled"))</f>
        <v/>
      </c>
      <c r="F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96" t="str">
        <f aca="false">IF(IFERROR(INDEX(tsk_Name,(ROW()-ROW(MSPTasks[[#Headers],[ID]])))="",TRUE()),"",INDEX(tsk_FcStart,(ROW()-ROW(MSPTasks[[#Headers],[ID]]))))</f>
        <v/>
      </c>
      <c r="H48" s="96" t="str">
        <f aca="false">IF(IFERROR(INDEX(tsk_Name,(ROW()-ROW(MSPTasks[[#Headers],[ID]])))="",TRUE()),"",INDEX(tsk_FcFinish,(ROW()-ROW(MSPTasks[[#Headers],[ID]]))))</f>
        <v/>
      </c>
      <c r="I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96" t="str">
        <f aca="false">IF(IFERROR(INDEX(tsk_Name,(ROW()-ROW(MSPTasks[[#Headers],[ID]])))="",TRUE()),"",INDEX(tsk_PlanStart,(ROW()-ROW(MSPTasks[[#Headers],[ID]]))))</f>
        <v/>
      </c>
      <c r="P48" s="96" t="str">
        <f aca="false">IF(IFERROR(INDEX(tsk_Name,(ROW()-ROW(MSPTasks[[#Headers],[ID]])))="",TRUE()),"",INDEX(tsk_PlanFinish,(ROW()-ROW(MSPTasks[[#Headers],[ID]]))))</f>
        <v/>
      </c>
      <c r="Q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8" s="24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4" t="str">
        <f aca="false">IF(IFERROR(INDEX(tsk_Name,(ROW()-ROW(MSPTasks[[#Headers],[ID]])))="",TRUE()),"",INDEX(tsk_ID,(ROW()-ROW(MSPTasks[[#Headers],[ID]]))))</f>
        <v/>
      </c>
      <c r="B49" s="24" t="str">
        <f aca="false">IF(IFERROR(INDEX(tsk_Name,(ROW()-ROW(MSPTasks[[#Headers],[ID]])))="",TRUE()),"",INDEX(tsk_UID,(ROW()-ROW(MSPTasks[[#Headers],[ID]]))))</f>
        <v/>
      </c>
      <c r="C49" s="24" t="str">
        <f aca="false">IF(IFERROR(INDEX(tsk_Name,(ROW()-ROW(MSPTasks[[#Headers],[ID]])))="",TRUE()),"",INDEX(tsk_Name,(ROW()-ROW(MSPTasks[[#Headers],[ID]]))))</f>
        <v/>
      </c>
      <c r="D49" s="24" t="str">
        <f aca="false">IF(IFERROR(INDEX(tsk_Name,(ROW()-ROW(MSPTasks[[#Headers],[ID]])))="",TRUE()),"",INDEX(tsk_Level,(ROW()-ROW(MSPTasks[[#Headers],[ID]]))))</f>
        <v/>
      </c>
      <c r="E49" s="24" t="str">
        <f aca="false">IF(IFERROR(INDEX(tsk_Name,(ROW()-ROW(MSPTasks[[#Headers],[ID]])))="",TRUE()),"",IF(INDEX(tsk_Mode,(ROW()-ROW(MSPTasks[[#Headers],[ID]])))="Manual","Manually Scheduled","Auto Scheduled"))</f>
        <v/>
      </c>
      <c r="F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96" t="str">
        <f aca="false">IF(IFERROR(INDEX(tsk_Name,(ROW()-ROW(MSPTasks[[#Headers],[ID]])))="",TRUE()),"",INDEX(tsk_FcStart,(ROW()-ROW(MSPTasks[[#Headers],[ID]]))))</f>
        <v/>
      </c>
      <c r="H49" s="96" t="str">
        <f aca="false">IF(IFERROR(INDEX(tsk_Name,(ROW()-ROW(MSPTasks[[#Headers],[ID]])))="",TRUE()),"",INDEX(tsk_FcFinish,(ROW()-ROW(MSPTasks[[#Headers],[ID]]))))</f>
        <v/>
      </c>
      <c r="I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96" t="str">
        <f aca="false">IF(IFERROR(INDEX(tsk_Name,(ROW()-ROW(MSPTasks[[#Headers],[ID]])))="",TRUE()),"",INDEX(tsk_PlanStart,(ROW()-ROW(MSPTasks[[#Headers],[ID]]))))</f>
        <v/>
      </c>
      <c r="P49" s="96" t="str">
        <f aca="false">IF(IFERROR(INDEX(tsk_Name,(ROW()-ROW(MSPTasks[[#Headers],[ID]])))="",TRUE()),"",INDEX(tsk_PlanFinish,(ROW()-ROW(MSPTasks[[#Headers],[ID]]))))</f>
        <v/>
      </c>
      <c r="Q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9" s="24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4" t="str">
        <f aca="false">IF(IFERROR(INDEX(tsk_Name,(ROW()-ROW(MSPTasks[[#Headers],[ID]])))="",TRUE()),"",INDEX(tsk_ID,(ROW()-ROW(MSPTasks[[#Headers],[ID]]))))</f>
        <v/>
      </c>
      <c r="B50" s="24" t="str">
        <f aca="false">IF(IFERROR(INDEX(tsk_Name,(ROW()-ROW(MSPTasks[[#Headers],[ID]])))="",TRUE()),"",INDEX(tsk_UID,(ROW()-ROW(MSPTasks[[#Headers],[ID]]))))</f>
        <v/>
      </c>
      <c r="C50" s="24" t="str">
        <f aca="false">IF(IFERROR(INDEX(tsk_Name,(ROW()-ROW(MSPTasks[[#Headers],[ID]])))="",TRUE()),"",INDEX(tsk_Name,(ROW()-ROW(MSPTasks[[#Headers],[ID]]))))</f>
        <v/>
      </c>
      <c r="D50" s="24" t="str">
        <f aca="false">IF(IFERROR(INDEX(tsk_Name,(ROW()-ROW(MSPTasks[[#Headers],[ID]])))="",TRUE()),"",INDEX(tsk_Level,(ROW()-ROW(MSPTasks[[#Headers],[ID]]))))</f>
        <v/>
      </c>
      <c r="E50" s="24" t="str">
        <f aca="false">IF(IFERROR(INDEX(tsk_Name,(ROW()-ROW(MSPTasks[[#Headers],[ID]])))="",TRUE()),"",IF(INDEX(tsk_Mode,(ROW()-ROW(MSPTasks[[#Headers],[ID]])))="Manual","Manually Scheduled","Auto Scheduled"))</f>
        <v/>
      </c>
      <c r="F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96" t="str">
        <f aca="false">IF(IFERROR(INDEX(tsk_Name,(ROW()-ROW(MSPTasks[[#Headers],[ID]])))="",TRUE()),"",INDEX(tsk_FcStart,(ROW()-ROW(MSPTasks[[#Headers],[ID]]))))</f>
        <v/>
      </c>
      <c r="H50" s="96" t="str">
        <f aca="false">IF(IFERROR(INDEX(tsk_Name,(ROW()-ROW(MSPTasks[[#Headers],[ID]])))="",TRUE()),"",INDEX(tsk_FcFinish,(ROW()-ROW(MSPTasks[[#Headers],[ID]]))))</f>
        <v/>
      </c>
      <c r="I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96" t="str">
        <f aca="false">IF(IFERROR(INDEX(tsk_Name,(ROW()-ROW(MSPTasks[[#Headers],[ID]])))="",TRUE()),"",INDEX(tsk_PlanStart,(ROW()-ROW(MSPTasks[[#Headers],[ID]]))))</f>
        <v/>
      </c>
      <c r="P50" s="96" t="str">
        <f aca="false">IF(IFERROR(INDEX(tsk_Name,(ROW()-ROW(MSPTasks[[#Headers],[ID]])))="",TRUE()),"",INDEX(tsk_PlanFinish,(ROW()-ROW(MSPTasks[[#Headers],[ID]]))))</f>
        <v/>
      </c>
      <c r="Q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0" s="24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4" t="str">
        <f aca="false">IF(IFERROR(INDEX(tsk_Name,(ROW()-ROW(MSPTasks[[#Headers],[ID]])))="",TRUE()),"",INDEX(tsk_ID,(ROW()-ROW(MSPTasks[[#Headers],[ID]]))))</f>
        <v/>
      </c>
      <c r="B51" s="24" t="str">
        <f aca="false">IF(IFERROR(INDEX(tsk_Name,(ROW()-ROW(MSPTasks[[#Headers],[ID]])))="",TRUE()),"",INDEX(tsk_UID,(ROW()-ROW(MSPTasks[[#Headers],[ID]]))))</f>
        <v/>
      </c>
      <c r="C51" s="24" t="str">
        <f aca="false">IF(IFERROR(INDEX(tsk_Name,(ROW()-ROW(MSPTasks[[#Headers],[ID]])))="",TRUE()),"",INDEX(tsk_Name,(ROW()-ROW(MSPTasks[[#Headers],[ID]]))))</f>
        <v/>
      </c>
      <c r="D51" s="24" t="str">
        <f aca="false">IF(IFERROR(INDEX(tsk_Name,(ROW()-ROW(MSPTasks[[#Headers],[ID]])))="",TRUE()),"",INDEX(tsk_Level,(ROW()-ROW(MSPTasks[[#Headers],[ID]]))))</f>
        <v/>
      </c>
      <c r="E51" s="24" t="str">
        <f aca="false">IF(IFERROR(INDEX(tsk_Name,(ROW()-ROW(MSPTasks[[#Headers],[ID]])))="",TRUE()),"",IF(INDEX(tsk_Mode,(ROW()-ROW(MSPTasks[[#Headers],[ID]])))="Manual","Manually Scheduled","Auto Scheduled"))</f>
        <v/>
      </c>
      <c r="F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96" t="str">
        <f aca="false">IF(IFERROR(INDEX(tsk_Name,(ROW()-ROW(MSPTasks[[#Headers],[ID]])))="",TRUE()),"",INDEX(tsk_FcStart,(ROW()-ROW(MSPTasks[[#Headers],[ID]]))))</f>
        <v/>
      </c>
      <c r="H51" s="96" t="str">
        <f aca="false">IF(IFERROR(INDEX(tsk_Name,(ROW()-ROW(MSPTasks[[#Headers],[ID]])))="",TRUE()),"",INDEX(tsk_FcFinish,(ROW()-ROW(MSPTasks[[#Headers],[ID]]))))</f>
        <v/>
      </c>
      <c r="I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96" t="str">
        <f aca="false">IF(IFERROR(INDEX(tsk_Name,(ROW()-ROW(MSPTasks[[#Headers],[ID]])))="",TRUE()),"",INDEX(tsk_PlanStart,(ROW()-ROW(MSPTasks[[#Headers],[ID]]))))</f>
        <v/>
      </c>
      <c r="P51" s="96" t="str">
        <f aca="false">IF(IFERROR(INDEX(tsk_Name,(ROW()-ROW(MSPTasks[[#Headers],[ID]])))="",TRUE()),"",INDEX(tsk_PlanFinish,(ROW()-ROW(MSPTasks[[#Headers],[ID]]))))</f>
        <v/>
      </c>
      <c r="Q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1" s="24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4" t="str">
        <f aca="false">IF(IFERROR(INDEX(tsk_Name,(ROW()-ROW(MSPTasks[[#Headers],[ID]])))="",TRUE()),"",INDEX(tsk_ID,(ROW()-ROW(MSPTasks[[#Headers],[ID]]))))</f>
        <v/>
      </c>
      <c r="B52" s="24" t="str">
        <f aca="false">IF(IFERROR(INDEX(tsk_Name,(ROW()-ROW(MSPTasks[[#Headers],[ID]])))="",TRUE()),"",INDEX(tsk_UID,(ROW()-ROW(MSPTasks[[#Headers],[ID]]))))</f>
        <v/>
      </c>
      <c r="C52" s="24" t="str">
        <f aca="false">IF(IFERROR(INDEX(tsk_Name,(ROW()-ROW(MSPTasks[[#Headers],[ID]])))="",TRUE()),"",INDEX(tsk_Name,(ROW()-ROW(MSPTasks[[#Headers],[ID]]))))</f>
        <v/>
      </c>
      <c r="D52" s="24" t="str">
        <f aca="false">IF(IFERROR(INDEX(tsk_Name,(ROW()-ROW(MSPTasks[[#Headers],[ID]])))="",TRUE()),"",INDEX(tsk_Level,(ROW()-ROW(MSPTasks[[#Headers],[ID]]))))</f>
        <v/>
      </c>
      <c r="E52" s="24" t="str">
        <f aca="false">IF(IFERROR(INDEX(tsk_Name,(ROW()-ROW(MSPTasks[[#Headers],[ID]])))="",TRUE()),"",IF(INDEX(tsk_Mode,(ROW()-ROW(MSPTasks[[#Headers],[ID]])))="Manual","Manually Scheduled","Auto Scheduled"))</f>
        <v/>
      </c>
      <c r="F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96" t="str">
        <f aca="false">IF(IFERROR(INDEX(tsk_Name,(ROW()-ROW(MSPTasks[[#Headers],[ID]])))="",TRUE()),"",INDEX(tsk_FcStart,(ROW()-ROW(MSPTasks[[#Headers],[ID]]))))</f>
        <v/>
      </c>
      <c r="H52" s="96" t="str">
        <f aca="false">IF(IFERROR(INDEX(tsk_Name,(ROW()-ROW(MSPTasks[[#Headers],[ID]])))="",TRUE()),"",INDEX(tsk_FcFinish,(ROW()-ROW(MSPTasks[[#Headers],[ID]]))))</f>
        <v/>
      </c>
      <c r="I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96" t="str">
        <f aca="false">IF(IFERROR(INDEX(tsk_Name,(ROW()-ROW(MSPTasks[[#Headers],[ID]])))="",TRUE()),"",INDEX(tsk_PlanStart,(ROW()-ROW(MSPTasks[[#Headers],[ID]]))))</f>
        <v/>
      </c>
      <c r="P52" s="96" t="str">
        <f aca="false">IF(IFERROR(INDEX(tsk_Name,(ROW()-ROW(MSPTasks[[#Headers],[ID]])))="",TRUE()),"",INDEX(tsk_PlanFinish,(ROW()-ROW(MSPTasks[[#Headers],[ID]]))))</f>
        <v/>
      </c>
      <c r="Q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2" s="24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4" t="str">
        <f aca="false">IF(IFERROR(INDEX(tsk_Name,(ROW()-ROW(MSPTasks[[#Headers],[ID]])))="",TRUE()),"",INDEX(tsk_ID,(ROW()-ROW(MSPTasks[[#Headers],[ID]]))))</f>
        <v/>
      </c>
      <c r="B53" s="24" t="str">
        <f aca="false">IF(IFERROR(INDEX(tsk_Name,(ROW()-ROW(MSPTasks[[#Headers],[ID]])))="",TRUE()),"",INDEX(tsk_UID,(ROW()-ROW(MSPTasks[[#Headers],[ID]]))))</f>
        <v/>
      </c>
      <c r="C53" s="24" t="str">
        <f aca="false">IF(IFERROR(INDEX(tsk_Name,(ROW()-ROW(MSPTasks[[#Headers],[ID]])))="",TRUE()),"",INDEX(tsk_Name,(ROW()-ROW(MSPTasks[[#Headers],[ID]]))))</f>
        <v/>
      </c>
      <c r="D53" s="24" t="str">
        <f aca="false">IF(IFERROR(INDEX(tsk_Name,(ROW()-ROW(MSPTasks[[#Headers],[ID]])))="",TRUE()),"",INDEX(tsk_Level,(ROW()-ROW(MSPTasks[[#Headers],[ID]]))))</f>
        <v/>
      </c>
      <c r="E53" s="24" t="str">
        <f aca="false">IF(IFERROR(INDEX(tsk_Name,(ROW()-ROW(MSPTasks[[#Headers],[ID]])))="",TRUE()),"",IF(INDEX(tsk_Mode,(ROW()-ROW(MSPTasks[[#Headers],[ID]])))="Manual","Manually Scheduled","Auto Scheduled"))</f>
        <v/>
      </c>
      <c r="F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96" t="str">
        <f aca="false">IF(IFERROR(INDEX(tsk_Name,(ROW()-ROW(MSPTasks[[#Headers],[ID]])))="",TRUE()),"",INDEX(tsk_FcStart,(ROW()-ROW(MSPTasks[[#Headers],[ID]]))))</f>
        <v/>
      </c>
      <c r="H53" s="96" t="str">
        <f aca="false">IF(IFERROR(INDEX(tsk_Name,(ROW()-ROW(MSPTasks[[#Headers],[ID]])))="",TRUE()),"",INDEX(tsk_FcFinish,(ROW()-ROW(MSPTasks[[#Headers],[ID]]))))</f>
        <v/>
      </c>
      <c r="I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96" t="str">
        <f aca="false">IF(IFERROR(INDEX(tsk_Name,(ROW()-ROW(MSPTasks[[#Headers],[ID]])))="",TRUE()),"",INDEX(tsk_PlanStart,(ROW()-ROW(MSPTasks[[#Headers],[ID]]))))</f>
        <v/>
      </c>
      <c r="P53" s="96" t="str">
        <f aca="false">IF(IFERROR(INDEX(tsk_Name,(ROW()-ROW(MSPTasks[[#Headers],[ID]])))="",TRUE()),"",INDEX(tsk_PlanFinish,(ROW()-ROW(MSPTasks[[#Headers],[ID]]))))</f>
        <v/>
      </c>
      <c r="Q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3" s="24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4" t="str">
        <f aca="false">IF(IFERROR(INDEX(tsk_Name,(ROW()-ROW(MSPTasks[[#Headers],[ID]])))="",TRUE()),"",INDEX(tsk_ID,(ROW()-ROW(MSPTasks[[#Headers],[ID]]))))</f>
        <v/>
      </c>
      <c r="B54" s="24" t="str">
        <f aca="false">IF(IFERROR(INDEX(tsk_Name,(ROW()-ROW(MSPTasks[[#Headers],[ID]])))="",TRUE()),"",INDEX(tsk_UID,(ROW()-ROW(MSPTasks[[#Headers],[ID]]))))</f>
        <v/>
      </c>
      <c r="C54" s="24" t="str">
        <f aca="false">IF(IFERROR(INDEX(tsk_Name,(ROW()-ROW(MSPTasks[[#Headers],[ID]])))="",TRUE()),"",INDEX(tsk_Name,(ROW()-ROW(MSPTasks[[#Headers],[ID]]))))</f>
        <v/>
      </c>
      <c r="D54" s="24" t="str">
        <f aca="false">IF(IFERROR(INDEX(tsk_Name,(ROW()-ROW(MSPTasks[[#Headers],[ID]])))="",TRUE()),"",INDEX(tsk_Level,(ROW()-ROW(MSPTasks[[#Headers],[ID]]))))</f>
        <v/>
      </c>
      <c r="E54" s="24" t="str">
        <f aca="false">IF(IFERROR(INDEX(tsk_Name,(ROW()-ROW(MSPTasks[[#Headers],[ID]])))="",TRUE()),"",IF(INDEX(tsk_Mode,(ROW()-ROW(MSPTasks[[#Headers],[ID]])))="Manual","Manually Scheduled","Auto Scheduled"))</f>
        <v/>
      </c>
      <c r="F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96" t="str">
        <f aca="false">IF(IFERROR(INDEX(tsk_Name,(ROW()-ROW(MSPTasks[[#Headers],[ID]])))="",TRUE()),"",INDEX(tsk_FcStart,(ROW()-ROW(MSPTasks[[#Headers],[ID]]))))</f>
        <v/>
      </c>
      <c r="H54" s="96" t="str">
        <f aca="false">IF(IFERROR(INDEX(tsk_Name,(ROW()-ROW(MSPTasks[[#Headers],[ID]])))="",TRUE()),"",INDEX(tsk_FcFinish,(ROW()-ROW(MSPTasks[[#Headers],[ID]]))))</f>
        <v/>
      </c>
      <c r="I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96" t="str">
        <f aca="false">IF(IFERROR(INDEX(tsk_Name,(ROW()-ROW(MSPTasks[[#Headers],[ID]])))="",TRUE()),"",INDEX(tsk_PlanStart,(ROW()-ROW(MSPTasks[[#Headers],[ID]]))))</f>
        <v/>
      </c>
      <c r="P54" s="96" t="str">
        <f aca="false">IF(IFERROR(INDEX(tsk_Name,(ROW()-ROW(MSPTasks[[#Headers],[ID]])))="",TRUE()),"",INDEX(tsk_PlanFinish,(ROW()-ROW(MSPTasks[[#Headers],[ID]]))))</f>
        <v/>
      </c>
      <c r="Q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4" s="24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4" t="str">
        <f aca="false">IF(IFERROR(INDEX(tsk_Name,(ROW()-ROW(MSPTasks[[#Headers],[ID]])))="",TRUE()),"",INDEX(tsk_ID,(ROW()-ROW(MSPTasks[[#Headers],[ID]]))))</f>
        <v/>
      </c>
      <c r="B55" s="24" t="str">
        <f aca="false">IF(IFERROR(INDEX(tsk_Name,(ROW()-ROW(MSPTasks[[#Headers],[ID]])))="",TRUE()),"",INDEX(tsk_UID,(ROW()-ROW(MSPTasks[[#Headers],[ID]]))))</f>
        <v/>
      </c>
      <c r="C55" s="24" t="str">
        <f aca="false">IF(IFERROR(INDEX(tsk_Name,(ROW()-ROW(MSPTasks[[#Headers],[ID]])))="",TRUE()),"",INDEX(tsk_Name,(ROW()-ROW(MSPTasks[[#Headers],[ID]]))))</f>
        <v/>
      </c>
      <c r="D55" s="24" t="str">
        <f aca="false">IF(IFERROR(INDEX(tsk_Name,(ROW()-ROW(MSPTasks[[#Headers],[ID]])))="",TRUE()),"",INDEX(tsk_Level,(ROW()-ROW(MSPTasks[[#Headers],[ID]]))))</f>
        <v/>
      </c>
      <c r="E55" s="24" t="str">
        <f aca="false">IF(IFERROR(INDEX(tsk_Name,(ROW()-ROW(MSPTasks[[#Headers],[ID]])))="",TRUE()),"",IF(INDEX(tsk_Mode,(ROW()-ROW(MSPTasks[[#Headers],[ID]])))="Manual","Manually Scheduled","Auto Scheduled"))</f>
        <v/>
      </c>
      <c r="F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96" t="str">
        <f aca="false">IF(IFERROR(INDEX(tsk_Name,(ROW()-ROW(MSPTasks[[#Headers],[ID]])))="",TRUE()),"",INDEX(tsk_FcStart,(ROW()-ROW(MSPTasks[[#Headers],[ID]]))))</f>
        <v/>
      </c>
      <c r="H55" s="96" t="str">
        <f aca="false">IF(IFERROR(INDEX(tsk_Name,(ROW()-ROW(MSPTasks[[#Headers],[ID]])))="",TRUE()),"",INDEX(tsk_FcFinish,(ROW()-ROW(MSPTasks[[#Headers],[ID]]))))</f>
        <v/>
      </c>
      <c r="I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96" t="str">
        <f aca="false">IF(IFERROR(INDEX(tsk_Name,(ROW()-ROW(MSPTasks[[#Headers],[ID]])))="",TRUE()),"",INDEX(tsk_PlanStart,(ROW()-ROW(MSPTasks[[#Headers],[ID]]))))</f>
        <v/>
      </c>
      <c r="P55" s="96" t="str">
        <f aca="false">IF(IFERROR(INDEX(tsk_Name,(ROW()-ROW(MSPTasks[[#Headers],[ID]])))="",TRUE()),"",INDEX(tsk_PlanFinish,(ROW()-ROW(MSPTasks[[#Headers],[ID]]))))</f>
        <v/>
      </c>
      <c r="Q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5" s="24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4" t="str">
        <f aca="false">IF(IFERROR(INDEX(tsk_Name,(ROW()-ROW(MSPTasks[[#Headers],[ID]])))="",TRUE()),"",INDEX(tsk_ID,(ROW()-ROW(MSPTasks[[#Headers],[ID]]))))</f>
        <v/>
      </c>
      <c r="B56" s="24" t="str">
        <f aca="false">IF(IFERROR(INDEX(tsk_Name,(ROW()-ROW(MSPTasks[[#Headers],[ID]])))="",TRUE()),"",INDEX(tsk_UID,(ROW()-ROW(MSPTasks[[#Headers],[ID]]))))</f>
        <v/>
      </c>
      <c r="C56" s="24" t="str">
        <f aca="false">IF(IFERROR(INDEX(tsk_Name,(ROW()-ROW(MSPTasks[[#Headers],[ID]])))="",TRUE()),"",INDEX(tsk_Name,(ROW()-ROW(MSPTasks[[#Headers],[ID]]))))</f>
        <v/>
      </c>
      <c r="D56" s="24" t="str">
        <f aca="false">IF(IFERROR(INDEX(tsk_Name,(ROW()-ROW(MSPTasks[[#Headers],[ID]])))="",TRUE()),"",INDEX(tsk_Level,(ROW()-ROW(MSPTasks[[#Headers],[ID]]))))</f>
        <v/>
      </c>
      <c r="E56" s="24" t="str">
        <f aca="false">IF(IFERROR(INDEX(tsk_Name,(ROW()-ROW(MSPTasks[[#Headers],[ID]])))="",TRUE()),"",IF(INDEX(tsk_Mode,(ROW()-ROW(MSPTasks[[#Headers],[ID]])))="Manual","Manually Scheduled","Auto Scheduled"))</f>
        <v/>
      </c>
      <c r="F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96" t="str">
        <f aca="false">IF(IFERROR(INDEX(tsk_Name,(ROW()-ROW(MSPTasks[[#Headers],[ID]])))="",TRUE()),"",INDEX(tsk_FcStart,(ROW()-ROW(MSPTasks[[#Headers],[ID]]))))</f>
        <v/>
      </c>
      <c r="H56" s="96" t="str">
        <f aca="false">IF(IFERROR(INDEX(tsk_Name,(ROW()-ROW(MSPTasks[[#Headers],[ID]])))="",TRUE()),"",INDEX(tsk_FcFinish,(ROW()-ROW(MSPTasks[[#Headers],[ID]]))))</f>
        <v/>
      </c>
      <c r="I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96" t="str">
        <f aca="false">IF(IFERROR(INDEX(tsk_Name,(ROW()-ROW(MSPTasks[[#Headers],[ID]])))="",TRUE()),"",INDEX(tsk_PlanStart,(ROW()-ROW(MSPTasks[[#Headers],[ID]]))))</f>
        <v/>
      </c>
      <c r="P56" s="96" t="str">
        <f aca="false">IF(IFERROR(INDEX(tsk_Name,(ROW()-ROW(MSPTasks[[#Headers],[ID]])))="",TRUE()),"",INDEX(tsk_PlanFinish,(ROW()-ROW(MSPTasks[[#Headers],[ID]]))))</f>
        <v/>
      </c>
      <c r="Q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6" s="24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4" t="str">
        <f aca="false">IF(IFERROR(INDEX(tsk_Name,(ROW()-ROW(MSPTasks[[#Headers],[ID]])))="",TRUE()),"",INDEX(tsk_ID,(ROW()-ROW(MSPTasks[[#Headers],[ID]]))))</f>
        <v/>
      </c>
      <c r="B57" s="24" t="str">
        <f aca="false">IF(IFERROR(INDEX(tsk_Name,(ROW()-ROW(MSPTasks[[#Headers],[ID]])))="",TRUE()),"",INDEX(tsk_UID,(ROW()-ROW(MSPTasks[[#Headers],[ID]]))))</f>
        <v/>
      </c>
      <c r="C57" s="24" t="str">
        <f aca="false">IF(IFERROR(INDEX(tsk_Name,(ROW()-ROW(MSPTasks[[#Headers],[ID]])))="",TRUE()),"",INDEX(tsk_Name,(ROW()-ROW(MSPTasks[[#Headers],[ID]]))))</f>
        <v/>
      </c>
      <c r="D57" s="24" t="str">
        <f aca="false">IF(IFERROR(INDEX(tsk_Name,(ROW()-ROW(MSPTasks[[#Headers],[ID]])))="",TRUE()),"",INDEX(tsk_Level,(ROW()-ROW(MSPTasks[[#Headers],[ID]]))))</f>
        <v/>
      </c>
      <c r="E57" s="24" t="str">
        <f aca="false">IF(IFERROR(INDEX(tsk_Name,(ROW()-ROW(MSPTasks[[#Headers],[ID]])))="",TRUE()),"",IF(INDEX(tsk_Mode,(ROW()-ROW(MSPTasks[[#Headers],[ID]])))="Manual","Manually Scheduled","Auto Scheduled"))</f>
        <v/>
      </c>
      <c r="F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96" t="str">
        <f aca="false">IF(IFERROR(INDEX(tsk_Name,(ROW()-ROW(MSPTasks[[#Headers],[ID]])))="",TRUE()),"",INDEX(tsk_FcStart,(ROW()-ROW(MSPTasks[[#Headers],[ID]]))))</f>
        <v/>
      </c>
      <c r="H57" s="96" t="str">
        <f aca="false">IF(IFERROR(INDEX(tsk_Name,(ROW()-ROW(MSPTasks[[#Headers],[ID]])))="",TRUE()),"",INDEX(tsk_FcFinish,(ROW()-ROW(MSPTasks[[#Headers],[ID]]))))</f>
        <v/>
      </c>
      <c r="I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96" t="str">
        <f aca="false">IF(IFERROR(INDEX(tsk_Name,(ROW()-ROW(MSPTasks[[#Headers],[ID]])))="",TRUE()),"",INDEX(tsk_PlanStart,(ROW()-ROW(MSPTasks[[#Headers],[ID]]))))</f>
        <v/>
      </c>
      <c r="P57" s="96" t="str">
        <f aca="false">IF(IFERROR(INDEX(tsk_Name,(ROW()-ROW(MSPTasks[[#Headers],[ID]])))="",TRUE()),"",INDEX(tsk_PlanFinish,(ROW()-ROW(MSPTasks[[#Headers],[ID]]))))</f>
        <v/>
      </c>
      <c r="Q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7" s="24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4" t="str">
        <f aca="false">IF(IFERROR(INDEX(tsk_Name,(ROW()-ROW(MSPTasks[[#Headers],[ID]])))="",TRUE()),"",INDEX(tsk_ID,(ROW()-ROW(MSPTasks[[#Headers],[ID]]))))</f>
        <v/>
      </c>
      <c r="B58" s="24" t="str">
        <f aca="false">IF(IFERROR(INDEX(tsk_Name,(ROW()-ROW(MSPTasks[[#Headers],[ID]])))="",TRUE()),"",INDEX(tsk_UID,(ROW()-ROW(MSPTasks[[#Headers],[ID]]))))</f>
        <v/>
      </c>
      <c r="C58" s="24" t="str">
        <f aca="false">IF(IFERROR(INDEX(tsk_Name,(ROW()-ROW(MSPTasks[[#Headers],[ID]])))="",TRUE()),"",INDEX(tsk_Name,(ROW()-ROW(MSPTasks[[#Headers],[ID]]))))</f>
        <v/>
      </c>
      <c r="D58" s="24" t="str">
        <f aca="false">IF(IFERROR(INDEX(tsk_Name,(ROW()-ROW(MSPTasks[[#Headers],[ID]])))="",TRUE()),"",INDEX(tsk_Level,(ROW()-ROW(MSPTasks[[#Headers],[ID]]))))</f>
        <v/>
      </c>
      <c r="E58" s="24" t="str">
        <f aca="false">IF(IFERROR(INDEX(tsk_Name,(ROW()-ROW(MSPTasks[[#Headers],[ID]])))="",TRUE()),"",IF(INDEX(tsk_Mode,(ROW()-ROW(MSPTasks[[#Headers],[ID]])))="Manual","Manually Scheduled","Auto Scheduled"))</f>
        <v/>
      </c>
      <c r="F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96" t="str">
        <f aca="false">IF(IFERROR(INDEX(tsk_Name,(ROW()-ROW(MSPTasks[[#Headers],[ID]])))="",TRUE()),"",INDEX(tsk_FcStart,(ROW()-ROW(MSPTasks[[#Headers],[ID]]))))</f>
        <v/>
      </c>
      <c r="H58" s="96" t="str">
        <f aca="false">IF(IFERROR(INDEX(tsk_Name,(ROW()-ROW(MSPTasks[[#Headers],[ID]])))="",TRUE()),"",INDEX(tsk_FcFinish,(ROW()-ROW(MSPTasks[[#Headers],[ID]]))))</f>
        <v/>
      </c>
      <c r="I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96" t="str">
        <f aca="false">IF(IFERROR(INDEX(tsk_Name,(ROW()-ROW(MSPTasks[[#Headers],[ID]])))="",TRUE()),"",INDEX(tsk_PlanStart,(ROW()-ROW(MSPTasks[[#Headers],[ID]]))))</f>
        <v/>
      </c>
      <c r="P58" s="96" t="str">
        <f aca="false">IF(IFERROR(INDEX(tsk_Name,(ROW()-ROW(MSPTasks[[#Headers],[ID]])))="",TRUE()),"",INDEX(tsk_PlanFinish,(ROW()-ROW(MSPTasks[[#Headers],[ID]]))))</f>
        <v/>
      </c>
      <c r="Q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8" s="24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4" t="str">
        <f aca="false">IF(IFERROR(INDEX(tsk_Name,(ROW()-ROW(MSPTasks[[#Headers],[ID]])))="",TRUE()),"",INDEX(tsk_ID,(ROW()-ROW(MSPTasks[[#Headers],[ID]]))))</f>
        <v/>
      </c>
      <c r="B59" s="24" t="str">
        <f aca="false">IF(IFERROR(INDEX(tsk_Name,(ROW()-ROW(MSPTasks[[#Headers],[ID]])))="",TRUE()),"",INDEX(tsk_UID,(ROW()-ROW(MSPTasks[[#Headers],[ID]]))))</f>
        <v/>
      </c>
      <c r="C59" s="24" t="str">
        <f aca="false">IF(IFERROR(INDEX(tsk_Name,(ROW()-ROW(MSPTasks[[#Headers],[ID]])))="",TRUE()),"",INDEX(tsk_Name,(ROW()-ROW(MSPTasks[[#Headers],[ID]]))))</f>
        <v/>
      </c>
      <c r="D59" s="24" t="str">
        <f aca="false">IF(IFERROR(INDEX(tsk_Name,(ROW()-ROW(MSPTasks[[#Headers],[ID]])))="",TRUE()),"",INDEX(tsk_Level,(ROW()-ROW(MSPTasks[[#Headers],[ID]]))))</f>
        <v/>
      </c>
      <c r="E59" s="24" t="str">
        <f aca="false">IF(IFERROR(INDEX(tsk_Name,(ROW()-ROW(MSPTasks[[#Headers],[ID]])))="",TRUE()),"",IF(INDEX(tsk_Mode,(ROW()-ROW(MSPTasks[[#Headers],[ID]])))="Manual","Manually Scheduled","Auto Scheduled"))</f>
        <v/>
      </c>
      <c r="F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96" t="str">
        <f aca="false">IF(IFERROR(INDEX(tsk_Name,(ROW()-ROW(MSPTasks[[#Headers],[ID]])))="",TRUE()),"",INDEX(tsk_FcStart,(ROW()-ROW(MSPTasks[[#Headers],[ID]]))))</f>
        <v/>
      </c>
      <c r="H59" s="96" t="str">
        <f aca="false">IF(IFERROR(INDEX(tsk_Name,(ROW()-ROW(MSPTasks[[#Headers],[ID]])))="",TRUE()),"",INDEX(tsk_FcFinish,(ROW()-ROW(MSPTasks[[#Headers],[ID]]))))</f>
        <v/>
      </c>
      <c r="I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96" t="str">
        <f aca="false">IF(IFERROR(INDEX(tsk_Name,(ROW()-ROW(MSPTasks[[#Headers],[ID]])))="",TRUE()),"",INDEX(tsk_PlanStart,(ROW()-ROW(MSPTasks[[#Headers],[ID]]))))</f>
        <v/>
      </c>
      <c r="P59" s="96" t="str">
        <f aca="false">IF(IFERROR(INDEX(tsk_Name,(ROW()-ROW(MSPTasks[[#Headers],[ID]])))="",TRUE()),"",INDEX(tsk_PlanFinish,(ROW()-ROW(MSPTasks[[#Headers],[ID]]))))</f>
        <v/>
      </c>
      <c r="Q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9" s="24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4" t="str">
        <f aca="false">IF(IFERROR(INDEX(tsk_Name,(ROW()-ROW(MSPTasks[[#Headers],[ID]])))="",TRUE()),"",INDEX(tsk_ID,(ROW()-ROW(MSPTasks[[#Headers],[ID]]))))</f>
        <v/>
      </c>
      <c r="B60" s="24" t="str">
        <f aca="false">IF(IFERROR(INDEX(tsk_Name,(ROW()-ROW(MSPTasks[[#Headers],[ID]])))="",TRUE()),"",INDEX(tsk_UID,(ROW()-ROW(MSPTasks[[#Headers],[ID]]))))</f>
        <v/>
      </c>
      <c r="C60" s="24" t="str">
        <f aca="false">IF(IFERROR(INDEX(tsk_Name,(ROW()-ROW(MSPTasks[[#Headers],[ID]])))="",TRUE()),"",INDEX(tsk_Name,(ROW()-ROW(MSPTasks[[#Headers],[ID]]))))</f>
        <v/>
      </c>
      <c r="D60" s="24" t="str">
        <f aca="false">IF(IFERROR(INDEX(tsk_Name,(ROW()-ROW(MSPTasks[[#Headers],[ID]])))="",TRUE()),"",INDEX(tsk_Level,(ROW()-ROW(MSPTasks[[#Headers],[ID]]))))</f>
        <v/>
      </c>
      <c r="E60" s="24" t="str">
        <f aca="false">IF(IFERROR(INDEX(tsk_Name,(ROW()-ROW(MSPTasks[[#Headers],[ID]])))="",TRUE()),"",IF(INDEX(tsk_Mode,(ROW()-ROW(MSPTasks[[#Headers],[ID]])))="Manual","Manually Scheduled","Auto Scheduled"))</f>
        <v/>
      </c>
      <c r="F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96" t="str">
        <f aca="false">IF(IFERROR(INDEX(tsk_Name,(ROW()-ROW(MSPTasks[[#Headers],[ID]])))="",TRUE()),"",INDEX(tsk_FcStart,(ROW()-ROW(MSPTasks[[#Headers],[ID]]))))</f>
        <v/>
      </c>
      <c r="H60" s="96" t="str">
        <f aca="false">IF(IFERROR(INDEX(tsk_Name,(ROW()-ROW(MSPTasks[[#Headers],[ID]])))="",TRUE()),"",INDEX(tsk_FcFinish,(ROW()-ROW(MSPTasks[[#Headers],[ID]]))))</f>
        <v/>
      </c>
      <c r="I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96" t="str">
        <f aca="false">IF(IFERROR(INDEX(tsk_Name,(ROW()-ROW(MSPTasks[[#Headers],[ID]])))="",TRUE()),"",INDEX(tsk_PlanStart,(ROW()-ROW(MSPTasks[[#Headers],[ID]]))))</f>
        <v/>
      </c>
      <c r="P60" s="96" t="str">
        <f aca="false">IF(IFERROR(INDEX(tsk_Name,(ROW()-ROW(MSPTasks[[#Headers],[ID]])))="",TRUE()),"",INDEX(tsk_PlanFinish,(ROW()-ROW(MSPTasks[[#Headers],[ID]]))))</f>
        <v/>
      </c>
      <c r="Q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0" s="24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4" t="str">
        <f aca="false">IF(IFERROR(INDEX(tsk_Name,(ROW()-ROW(MSPTasks[[#Headers],[ID]])))="",TRUE()),"",INDEX(tsk_ID,(ROW()-ROW(MSPTasks[[#Headers],[ID]]))))</f>
        <v/>
      </c>
      <c r="B61" s="24" t="str">
        <f aca="false">IF(IFERROR(INDEX(tsk_Name,(ROW()-ROW(MSPTasks[[#Headers],[ID]])))="",TRUE()),"",INDEX(tsk_UID,(ROW()-ROW(MSPTasks[[#Headers],[ID]]))))</f>
        <v/>
      </c>
      <c r="C61" s="24" t="str">
        <f aca="false">IF(IFERROR(INDEX(tsk_Name,(ROW()-ROW(MSPTasks[[#Headers],[ID]])))="",TRUE()),"",INDEX(tsk_Name,(ROW()-ROW(MSPTasks[[#Headers],[ID]]))))</f>
        <v/>
      </c>
      <c r="D61" s="24" t="str">
        <f aca="false">IF(IFERROR(INDEX(tsk_Name,(ROW()-ROW(MSPTasks[[#Headers],[ID]])))="",TRUE()),"",INDEX(tsk_Level,(ROW()-ROW(MSPTasks[[#Headers],[ID]]))))</f>
        <v/>
      </c>
      <c r="E61" s="24" t="str">
        <f aca="false">IF(IFERROR(INDEX(tsk_Name,(ROW()-ROW(MSPTasks[[#Headers],[ID]])))="",TRUE()),"",IF(INDEX(tsk_Mode,(ROW()-ROW(MSPTasks[[#Headers],[ID]])))="Manual","Manually Scheduled","Auto Scheduled"))</f>
        <v/>
      </c>
      <c r="F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96" t="str">
        <f aca="false">IF(IFERROR(INDEX(tsk_Name,(ROW()-ROW(MSPTasks[[#Headers],[ID]])))="",TRUE()),"",INDEX(tsk_FcStart,(ROW()-ROW(MSPTasks[[#Headers],[ID]]))))</f>
        <v/>
      </c>
      <c r="H61" s="96" t="str">
        <f aca="false">IF(IFERROR(INDEX(tsk_Name,(ROW()-ROW(MSPTasks[[#Headers],[ID]])))="",TRUE()),"",INDEX(tsk_FcFinish,(ROW()-ROW(MSPTasks[[#Headers],[ID]]))))</f>
        <v/>
      </c>
      <c r="I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96" t="str">
        <f aca="false">IF(IFERROR(INDEX(tsk_Name,(ROW()-ROW(MSPTasks[[#Headers],[ID]])))="",TRUE()),"",INDEX(tsk_PlanStart,(ROW()-ROW(MSPTasks[[#Headers],[ID]]))))</f>
        <v/>
      </c>
      <c r="P61" s="96" t="str">
        <f aca="false">IF(IFERROR(INDEX(tsk_Name,(ROW()-ROW(MSPTasks[[#Headers],[ID]])))="",TRUE()),"",INDEX(tsk_PlanFinish,(ROW()-ROW(MSPTasks[[#Headers],[ID]]))))</f>
        <v/>
      </c>
      <c r="Q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1" s="24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4" t="str">
        <f aca="false">IF(IFERROR(INDEX(tsk_Name,(ROW()-ROW(MSPTasks[[#Headers],[ID]])))="",TRUE()),"",INDEX(tsk_ID,(ROW()-ROW(MSPTasks[[#Headers],[ID]]))))</f>
        <v/>
      </c>
      <c r="B62" s="24" t="str">
        <f aca="false">IF(IFERROR(INDEX(tsk_Name,(ROW()-ROW(MSPTasks[[#Headers],[ID]])))="",TRUE()),"",INDEX(tsk_UID,(ROW()-ROW(MSPTasks[[#Headers],[ID]]))))</f>
        <v/>
      </c>
      <c r="C62" s="24" t="str">
        <f aca="false">IF(IFERROR(INDEX(tsk_Name,(ROW()-ROW(MSPTasks[[#Headers],[ID]])))="",TRUE()),"",INDEX(tsk_Name,(ROW()-ROW(MSPTasks[[#Headers],[ID]]))))</f>
        <v/>
      </c>
      <c r="D62" s="24" t="str">
        <f aca="false">IF(IFERROR(INDEX(tsk_Name,(ROW()-ROW(MSPTasks[[#Headers],[ID]])))="",TRUE()),"",INDEX(tsk_Level,(ROW()-ROW(MSPTasks[[#Headers],[ID]]))))</f>
        <v/>
      </c>
      <c r="E62" s="24" t="str">
        <f aca="false">IF(IFERROR(INDEX(tsk_Name,(ROW()-ROW(MSPTasks[[#Headers],[ID]])))="",TRUE()),"",IF(INDEX(tsk_Mode,(ROW()-ROW(MSPTasks[[#Headers],[ID]])))="Manual","Manually Scheduled","Auto Scheduled"))</f>
        <v/>
      </c>
      <c r="F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96" t="str">
        <f aca="false">IF(IFERROR(INDEX(tsk_Name,(ROW()-ROW(MSPTasks[[#Headers],[ID]])))="",TRUE()),"",INDEX(tsk_FcStart,(ROW()-ROW(MSPTasks[[#Headers],[ID]]))))</f>
        <v/>
      </c>
      <c r="H62" s="96" t="str">
        <f aca="false">IF(IFERROR(INDEX(tsk_Name,(ROW()-ROW(MSPTasks[[#Headers],[ID]])))="",TRUE()),"",INDEX(tsk_FcFinish,(ROW()-ROW(MSPTasks[[#Headers],[ID]]))))</f>
        <v/>
      </c>
      <c r="I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96" t="str">
        <f aca="false">IF(IFERROR(INDEX(tsk_Name,(ROW()-ROW(MSPTasks[[#Headers],[ID]])))="",TRUE()),"",INDEX(tsk_PlanStart,(ROW()-ROW(MSPTasks[[#Headers],[ID]]))))</f>
        <v/>
      </c>
      <c r="P62" s="96" t="str">
        <f aca="false">IF(IFERROR(INDEX(tsk_Name,(ROW()-ROW(MSPTasks[[#Headers],[ID]])))="",TRUE()),"",INDEX(tsk_PlanFinish,(ROW()-ROW(MSPTasks[[#Headers],[ID]]))))</f>
        <v/>
      </c>
      <c r="Q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2" s="24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4" t="str">
        <f aca="false">IF(IFERROR(INDEX(tsk_Name,(ROW()-ROW(MSPTasks[[#Headers],[ID]])))="",TRUE()),"",INDEX(tsk_ID,(ROW()-ROW(MSPTasks[[#Headers],[ID]]))))</f>
        <v/>
      </c>
      <c r="B63" s="24" t="str">
        <f aca="false">IF(IFERROR(INDEX(tsk_Name,(ROW()-ROW(MSPTasks[[#Headers],[ID]])))="",TRUE()),"",INDEX(tsk_UID,(ROW()-ROW(MSPTasks[[#Headers],[ID]]))))</f>
        <v/>
      </c>
      <c r="C63" s="24" t="str">
        <f aca="false">IF(IFERROR(INDEX(tsk_Name,(ROW()-ROW(MSPTasks[[#Headers],[ID]])))="",TRUE()),"",INDEX(tsk_Name,(ROW()-ROW(MSPTasks[[#Headers],[ID]]))))</f>
        <v/>
      </c>
      <c r="D63" s="24" t="str">
        <f aca="false">IF(IFERROR(INDEX(tsk_Name,(ROW()-ROW(MSPTasks[[#Headers],[ID]])))="",TRUE()),"",INDEX(tsk_Level,(ROW()-ROW(MSPTasks[[#Headers],[ID]]))))</f>
        <v/>
      </c>
      <c r="E63" s="24" t="str">
        <f aca="false">IF(IFERROR(INDEX(tsk_Name,(ROW()-ROW(MSPTasks[[#Headers],[ID]])))="",TRUE()),"",IF(INDEX(tsk_Mode,(ROW()-ROW(MSPTasks[[#Headers],[ID]])))="Manual","Manually Scheduled","Auto Scheduled"))</f>
        <v/>
      </c>
      <c r="F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96" t="str">
        <f aca="false">IF(IFERROR(INDEX(tsk_Name,(ROW()-ROW(MSPTasks[[#Headers],[ID]])))="",TRUE()),"",INDEX(tsk_FcStart,(ROW()-ROW(MSPTasks[[#Headers],[ID]]))))</f>
        <v/>
      </c>
      <c r="H63" s="96" t="str">
        <f aca="false">IF(IFERROR(INDEX(tsk_Name,(ROW()-ROW(MSPTasks[[#Headers],[ID]])))="",TRUE()),"",INDEX(tsk_FcFinish,(ROW()-ROW(MSPTasks[[#Headers],[ID]]))))</f>
        <v/>
      </c>
      <c r="I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96" t="str">
        <f aca="false">IF(IFERROR(INDEX(tsk_Name,(ROW()-ROW(MSPTasks[[#Headers],[ID]])))="",TRUE()),"",INDEX(tsk_PlanStart,(ROW()-ROW(MSPTasks[[#Headers],[ID]]))))</f>
        <v/>
      </c>
      <c r="P63" s="96" t="str">
        <f aca="false">IF(IFERROR(INDEX(tsk_Name,(ROW()-ROW(MSPTasks[[#Headers],[ID]])))="",TRUE()),"",INDEX(tsk_PlanFinish,(ROW()-ROW(MSPTasks[[#Headers],[ID]]))))</f>
        <v/>
      </c>
      <c r="Q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3" s="24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4" t="str">
        <f aca="false">IF(IFERROR(INDEX(tsk_Name,(ROW()-ROW(MSPTasks[[#Headers],[ID]])))="",TRUE()),"",INDEX(tsk_ID,(ROW()-ROW(MSPTasks[[#Headers],[ID]]))))</f>
        <v/>
      </c>
      <c r="B64" s="24" t="str">
        <f aca="false">IF(IFERROR(INDEX(tsk_Name,(ROW()-ROW(MSPTasks[[#Headers],[ID]])))="",TRUE()),"",INDEX(tsk_UID,(ROW()-ROW(MSPTasks[[#Headers],[ID]]))))</f>
        <v/>
      </c>
      <c r="C64" s="24" t="str">
        <f aca="false">IF(IFERROR(INDEX(tsk_Name,(ROW()-ROW(MSPTasks[[#Headers],[ID]])))="",TRUE()),"",INDEX(tsk_Name,(ROW()-ROW(MSPTasks[[#Headers],[ID]]))))</f>
        <v/>
      </c>
      <c r="D64" s="24" t="str">
        <f aca="false">IF(IFERROR(INDEX(tsk_Name,(ROW()-ROW(MSPTasks[[#Headers],[ID]])))="",TRUE()),"",INDEX(tsk_Level,(ROW()-ROW(MSPTasks[[#Headers],[ID]]))))</f>
        <v/>
      </c>
      <c r="E64" s="24" t="str">
        <f aca="false">IF(IFERROR(INDEX(tsk_Name,(ROW()-ROW(MSPTasks[[#Headers],[ID]])))="",TRUE()),"",IF(INDEX(tsk_Mode,(ROW()-ROW(MSPTasks[[#Headers],[ID]])))="Manual","Manually Scheduled","Auto Scheduled"))</f>
        <v/>
      </c>
      <c r="F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96" t="str">
        <f aca="false">IF(IFERROR(INDEX(tsk_Name,(ROW()-ROW(MSPTasks[[#Headers],[ID]])))="",TRUE()),"",INDEX(tsk_FcStart,(ROW()-ROW(MSPTasks[[#Headers],[ID]]))))</f>
        <v/>
      </c>
      <c r="H64" s="96" t="str">
        <f aca="false">IF(IFERROR(INDEX(tsk_Name,(ROW()-ROW(MSPTasks[[#Headers],[ID]])))="",TRUE()),"",INDEX(tsk_FcFinish,(ROW()-ROW(MSPTasks[[#Headers],[ID]]))))</f>
        <v/>
      </c>
      <c r="I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96" t="str">
        <f aca="false">IF(IFERROR(INDEX(tsk_Name,(ROW()-ROW(MSPTasks[[#Headers],[ID]])))="",TRUE()),"",INDEX(tsk_PlanStart,(ROW()-ROW(MSPTasks[[#Headers],[ID]]))))</f>
        <v/>
      </c>
      <c r="P64" s="96" t="str">
        <f aca="false">IF(IFERROR(INDEX(tsk_Name,(ROW()-ROW(MSPTasks[[#Headers],[ID]])))="",TRUE()),"",INDEX(tsk_PlanFinish,(ROW()-ROW(MSPTasks[[#Headers],[ID]]))))</f>
        <v/>
      </c>
      <c r="Q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4" s="24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4" t="str">
        <f aca="false">IF(IFERROR(INDEX(tsk_Name,(ROW()-ROW(MSPTasks[[#Headers],[ID]])))="",TRUE()),"",INDEX(tsk_ID,(ROW()-ROW(MSPTasks[[#Headers],[ID]]))))</f>
        <v/>
      </c>
      <c r="B65" s="24" t="str">
        <f aca="false">IF(IFERROR(INDEX(tsk_Name,(ROW()-ROW(MSPTasks[[#Headers],[ID]])))="",TRUE()),"",INDEX(tsk_UID,(ROW()-ROW(MSPTasks[[#Headers],[ID]]))))</f>
        <v/>
      </c>
      <c r="C65" s="24" t="str">
        <f aca="false">IF(IFERROR(INDEX(tsk_Name,(ROW()-ROW(MSPTasks[[#Headers],[ID]])))="",TRUE()),"",INDEX(tsk_Name,(ROW()-ROW(MSPTasks[[#Headers],[ID]]))))</f>
        <v/>
      </c>
      <c r="D65" s="24" t="str">
        <f aca="false">IF(IFERROR(INDEX(tsk_Name,(ROW()-ROW(MSPTasks[[#Headers],[ID]])))="",TRUE()),"",INDEX(tsk_Level,(ROW()-ROW(MSPTasks[[#Headers],[ID]]))))</f>
        <v/>
      </c>
      <c r="E65" s="24" t="str">
        <f aca="false">IF(IFERROR(INDEX(tsk_Name,(ROW()-ROW(MSPTasks[[#Headers],[ID]])))="",TRUE()),"",IF(INDEX(tsk_Mode,(ROW()-ROW(MSPTasks[[#Headers],[ID]])))="Manual","Manually Scheduled","Auto Scheduled"))</f>
        <v/>
      </c>
      <c r="F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96" t="str">
        <f aca="false">IF(IFERROR(INDEX(tsk_Name,(ROW()-ROW(MSPTasks[[#Headers],[ID]])))="",TRUE()),"",INDEX(tsk_FcStart,(ROW()-ROW(MSPTasks[[#Headers],[ID]]))))</f>
        <v/>
      </c>
      <c r="H65" s="96" t="str">
        <f aca="false">IF(IFERROR(INDEX(tsk_Name,(ROW()-ROW(MSPTasks[[#Headers],[ID]])))="",TRUE()),"",INDEX(tsk_FcFinish,(ROW()-ROW(MSPTasks[[#Headers],[ID]]))))</f>
        <v/>
      </c>
      <c r="I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96" t="str">
        <f aca="false">IF(IFERROR(INDEX(tsk_Name,(ROW()-ROW(MSPTasks[[#Headers],[ID]])))="",TRUE()),"",INDEX(tsk_PlanStart,(ROW()-ROW(MSPTasks[[#Headers],[ID]]))))</f>
        <v/>
      </c>
      <c r="P65" s="96" t="str">
        <f aca="false">IF(IFERROR(INDEX(tsk_Name,(ROW()-ROW(MSPTasks[[#Headers],[ID]])))="",TRUE()),"",INDEX(tsk_PlanFinish,(ROW()-ROW(MSPTasks[[#Headers],[ID]]))))</f>
        <v/>
      </c>
      <c r="Q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5" s="24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4" t="str">
        <f aca="false">IF(IFERROR(INDEX(tsk_Name,(ROW()-ROW(MSPTasks[[#Headers],[ID]])))="",TRUE()),"",INDEX(tsk_ID,(ROW()-ROW(MSPTasks[[#Headers],[ID]]))))</f>
        <v/>
      </c>
      <c r="B66" s="24" t="str">
        <f aca="false">IF(IFERROR(INDEX(tsk_Name,(ROW()-ROW(MSPTasks[[#Headers],[ID]])))="",TRUE()),"",INDEX(tsk_UID,(ROW()-ROW(MSPTasks[[#Headers],[ID]]))))</f>
        <v/>
      </c>
      <c r="C66" s="24" t="str">
        <f aca="false">IF(IFERROR(INDEX(tsk_Name,(ROW()-ROW(MSPTasks[[#Headers],[ID]])))="",TRUE()),"",INDEX(tsk_Name,(ROW()-ROW(MSPTasks[[#Headers],[ID]]))))</f>
        <v/>
      </c>
      <c r="D66" s="24" t="str">
        <f aca="false">IF(IFERROR(INDEX(tsk_Name,(ROW()-ROW(MSPTasks[[#Headers],[ID]])))="",TRUE()),"",INDEX(tsk_Level,(ROW()-ROW(MSPTasks[[#Headers],[ID]]))))</f>
        <v/>
      </c>
      <c r="E66" s="24" t="str">
        <f aca="false">IF(IFERROR(INDEX(tsk_Name,(ROW()-ROW(MSPTasks[[#Headers],[ID]])))="",TRUE()),"",IF(INDEX(tsk_Mode,(ROW()-ROW(MSPTasks[[#Headers],[ID]])))="Manual","Manually Scheduled","Auto Scheduled"))</f>
        <v/>
      </c>
      <c r="F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96" t="str">
        <f aca="false">IF(IFERROR(INDEX(tsk_Name,(ROW()-ROW(MSPTasks[[#Headers],[ID]])))="",TRUE()),"",INDEX(tsk_FcStart,(ROW()-ROW(MSPTasks[[#Headers],[ID]]))))</f>
        <v/>
      </c>
      <c r="H66" s="96" t="str">
        <f aca="false">IF(IFERROR(INDEX(tsk_Name,(ROW()-ROW(MSPTasks[[#Headers],[ID]])))="",TRUE()),"",INDEX(tsk_FcFinish,(ROW()-ROW(MSPTasks[[#Headers],[ID]]))))</f>
        <v/>
      </c>
      <c r="I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96" t="str">
        <f aca="false">IF(IFERROR(INDEX(tsk_Name,(ROW()-ROW(MSPTasks[[#Headers],[ID]])))="",TRUE()),"",INDEX(tsk_PlanStart,(ROW()-ROW(MSPTasks[[#Headers],[ID]]))))</f>
        <v/>
      </c>
      <c r="P66" s="96" t="str">
        <f aca="false">IF(IFERROR(INDEX(tsk_Name,(ROW()-ROW(MSPTasks[[#Headers],[ID]])))="",TRUE()),"",INDEX(tsk_PlanFinish,(ROW()-ROW(MSPTasks[[#Headers],[ID]]))))</f>
        <v/>
      </c>
      <c r="Q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6" s="24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4" t="str">
        <f aca="false">IF(IFERROR(INDEX(tsk_Name,(ROW()-ROW(MSPTasks[[#Headers],[ID]])))="",TRUE()),"",INDEX(tsk_ID,(ROW()-ROW(MSPTasks[[#Headers],[ID]]))))</f>
        <v/>
      </c>
      <c r="B67" s="24" t="str">
        <f aca="false">IF(IFERROR(INDEX(tsk_Name,(ROW()-ROW(MSPTasks[[#Headers],[ID]])))="",TRUE()),"",INDEX(tsk_UID,(ROW()-ROW(MSPTasks[[#Headers],[ID]]))))</f>
        <v/>
      </c>
      <c r="C67" s="24" t="str">
        <f aca="false">IF(IFERROR(INDEX(tsk_Name,(ROW()-ROW(MSPTasks[[#Headers],[ID]])))="",TRUE()),"",INDEX(tsk_Name,(ROW()-ROW(MSPTasks[[#Headers],[ID]]))))</f>
        <v/>
      </c>
      <c r="D67" s="24" t="str">
        <f aca="false">IF(IFERROR(INDEX(tsk_Name,(ROW()-ROW(MSPTasks[[#Headers],[ID]])))="",TRUE()),"",INDEX(tsk_Level,(ROW()-ROW(MSPTasks[[#Headers],[ID]]))))</f>
        <v/>
      </c>
      <c r="E67" s="24" t="str">
        <f aca="false">IF(IFERROR(INDEX(tsk_Name,(ROW()-ROW(MSPTasks[[#Headers],[ID]])))="",TRUE()),"",IF(INDEX(tsk_Mode,(ROW()-ROW(MSPTasks[[#Headers],[ID]])))="Manual","Manually Scheduled","Auto Scheduled"))</f>
        <v/>
      </c>
      <c r="F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96" t="str">
        <f aca="false">IF(IFERROR(INDEX(tsk_Name,(ROW()-ROW(MSPTasks[[#Headers],[ID]])))="",TRUE()),"",INDEX(tsk_FcStart,(ROW()-ROW(MSPTasks[[#Headers],[ID]]))))</f>
        <v/>
      </c>
      <c r="H67" s="96" t="str">
        <f aca="false">IF(IFERROR(INDEX(tsk_Name,(ROW()-ROW(MSPTasks[[#Headers],[ID]])))="",TRUE()),"",INDEX(tsk_FcFinish,(ROW()-ROW(MSPTasks[[#Headers],[ID]]))))</f>
        <v/>
      </c>
      <c r="I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96" t="str">
        <f aca="false">IF(IFERROR(INDEX(tsk_Name,(ROW()-ROW(MSPTasks[[#Headers],[ID]])))="",TRUE()),"",INDEX(tsk_PlanStart,(ROW()-ROW(MSPTasks[[#Headers],[ID]]))))</f>
        <v/>
      </c>
      <c r="P67" s="96" t="str">
        <f aca="false">IF(IFERROR(INDEX(tsk_Name,(ROW()-ROW(MSPTasks[[#Headers],[ID]])))="",TRUE()),"",INDEX(tsk_PlanFinish,(ROW()-ROW(MSPTasks[[#Headers],[ID]]))))</f>
        <v/>
      </c>
      <c r="Q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7" s="24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4" t="str">
        <f aca="false">IF(IFERROR(INDEX(tsk_Name,(ROW()-ROW(MSPTasks[[#Headers],[ID]])))="",TRUE()),"",INDEX(tsk_ID,(ROW()-ROW(MSPTasks[[#Headers],[ID]]))))</f>
        <v/>
      </c>
      <c r="B68" s="24" t="str">
        <f aca="false">IF(IFERROR(INDEX(tsk_Name,(ROW()-ROW(MSPTasks[[#Headers],[ID]])))="",TRUE()),"",INDEX(tsk_UID,(ROW()-ROW(MSPTasks[[#Headers],[ID]]))))</f>
        <v/>
      </c>
      <c r="C68" s="24" t="str">
        <f aca="false">IF(IFERROR(INDEX(tsk_Name,(ROW()-ROW(MSPTasks[[#Headers],[ID]])))="",TRUE()),"",INDEX(tsk_Name,(ROW()-ROW(MSPTasks[[#Headers],[ID]]))))</f>
        <v/>
      </c>
      <c r="D68" s="24" t="str">
        <f aca="false">IF(IFERROR(INDEX(tsk_Name,(ROW()-ROW(MSPTasks[[#Headers],[ID]])))="",TRUE()),"",INDEX(tsk_Level,(ROW()-ROW(MSPTasks[[#Headers],[ID]]))))</f>
        <v/>
      </c>
      <c r="E68" s="24" t="str">
        <f aca="false">IF(IFERROR(INDEX(tsk_Name,(ROW()-ROW(MSPTasks[[#Headers],[ID]])))="",TRUE()),"",IF(INDEX(tsk_Mode,(ROW()-ROW(MSPTasks[[#Headers],[ID]])))="Manual","Manually Scheduled","Auto Scheduled"))</f>
        <v/>
      </c>
      <c r="F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96" t="str">
        <f aca="false">IF(IFERROR(INDEX(tsk_Name,(ROW()-ROW(MSPTasks[[#Headers],[ID]])))="",TRUE()),"",INDEX(tsk_FcStart,(ROW()-ROW(MSPTasks[[#Headers],[ID]]))))</f>
        <v/>
      </c>
      <c r="H68" s="96" t="str">
        <f aca="false">IF(IFERROR(INDEX(tsk_Name,(ROW()-ROW(MSPTasks[[#Headers],[ID]])))="",TRUE()),"",INDEX(tsk_FcFinish,(ROW()-ROW(MSPTasks[[#Headers],[ID]]))))</f>
        <v/>
      </c>
      <c r="I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96" t="str">
        <f aca="false">IF(IFERROR(INDEX(tsk_Name,(ROW()-ROW(MSPTasks[[#Headers],[ID]])))="",TRUE()),"",INDEX(tsk_PlanStart,(ROW()-ROW(MSPTasks[[#Headers],[ID]]))))</f>
        <v/>
      </c>
      <c r="P68" s="96" t="str">
        <f aca="false">IF(IFERROR(INDEX(tsk_Name,(ROW()-ROW(MSPTasks[[#Headers],[ID]])))="",TRUE()),"",INDEX(tsk_PlanFinish,(ROW()-ROW(MSPTasks[[#Headers],[ID]]))))</f>
        <v/>
      </c>
      <c r="Q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8" s="24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4" t="str">
        <f aca="false">IF(IFERROR(INDEX(tsk_Name,(ROW()-ROW(MSPTasks[[#Headers],[ID]])))="",TRUE()),"",INDEX(tsk_ID,(ROW()-ROW(MSPTasks[[#Headers],[ID]]))))</f>
        <v/>
      </c>
      <c r="B69" s="24" t="str">
        <f aca="false">IF(IFERROR(INDEX(tsk_Name,(ROW()-ROW(MSPTasks[[#Headers],[ID]])))="",TRUE()),"",INDEX(tsk_UID,(ROW()-ROW(MSPTasks[[#Headers],[ID]]))))</f>
        <v/>
      </c>
      <c r="C69" s="24" t="str">
        <f aca="false">IF(IFERROR(INDEX(tsk_Name,(ROW()-ROW(MSPTasks[[#Headers],[ID]])))="",TRUE()),"",INDEX(tsk_Name,(ROW()-ROW(MSPTasks[[#Headers],[ID]]))))</f>
        <v/>
      </c>
      <c r="D69" s="24" t="str">
        <f aca="false">IF(IFERROR(INDEX(tsk_Name,(ROW()-ROW(MSPTasks[[#Headers],[ID]])))="",TRUE()),"",INDEX(tsk_Level,(ROW()-ROW(MSPTasks[[#Headers],[ID]]))))</f>
        <v/>
      </c>
      <c r="E69" s="24" t="str">
        <f aca="false">IF(IFERROR(INDEX(tsk_Name,(ROW()-ROW(MSPTasks[[#Headers],[ID]])))="",TRUE()),"",IF(INDEX(tsk_Mode,(ROW()-ROW(MSPTasks[[#Headers],[ID]])))="Manual","Manually Scheduled","Auto Scheduled"))</f>
        <v/>
      </c>
      <c r="F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96" t="str">
        <f aca="false">IF(IFERROR(INDEX(tsk_Name,(ROW()-ROW(MSPTasks[[#Headers],[ID]])))="",TRUE()),"",INDEX(tsk_FcStart,(ROW()-ROW(MSPTasks[[#Headers],[ID]]))))</f>
        <v/>
      </c>
      <c r="H69" s="96" t="str">
        <f aca="false">IF(IFERROR(INDEX(tsk_Name,(ROW()-ROW(MSPTasks[[#Headers],[ID]])))="",TRUE()),"",INDEX(tsk_FcFinish,(ROW()-ROW(MSPTasks[[#Headers],[ID]]))))</f>
        <v/>
      </c>
      <c r="I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96" t="str">
        <f aca="false">IF(IFERROR(INDEX(tsk_Name,(ROW()-ROW(MSPTasks[[#Headers],[ID]])))="",TRUE()),"",INDEX(tsk_PlanStart,(ROW()-ROW(MSPTasks[[#Headers],[ID]]))))</f>
        <v/>
      </c>
      <c r="P69" s="96" t="str">
        <f aca="false">IF(IFERROR(INDEX(tsk_Name,(ROW()-ROW(MSPTasks[[#Headers],[ID]])))="",TRUE()),"",INDEX(tsk_PlanFinish,(ROW()-ROW(MSPTasks[[#Headers],[ID]]))))</f>
        <v/>
      </c>
      <c r="Q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9" s="24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4" t="str">
        <f aca="false">IF(IFERROR(INDEX(tsk_Name,(ROW()-ROW(MSPTasks[[#Headers],[ID]])))="",TRUE()),"",INDEX(tsk_ID,(ROW()-ROW(MSPTasks[[#Headers],[ID]]))))</f>
        <v/>
      </c>
      <c r="B70" s="24" t="str">
        <f aca="false">IF(IFERROR(INDEX(tsk_Name,(ROW()-ROW(MSPTasks[[#Headers],[ID]])))="",TRUE()),"",INDEX(tsk_UID,(ROW()-ROW(MSPTasks[[#Headers],[ID]]))))</f>
        <v/>
      </c>
      <c r="C70" s="24" t="str">
        <f aca="false">IF(IFERROR(INDEX(tsk_Name,(ROW()-ROW(MSPTasks[[#Headers],[ID]])))="",TRUE()),"",INDEX(tsk_Name,(ROW()-ROW(MSPTasks[[#Headers],[ID]]))))</f>
        <v/>
      </c>
      <c r="D70" s="24" t="str">
        <f aca="false">IF(IFERROR(INDEX(tsk_Name,(ROW()-ROW(MSPTasks[[#Headers],[ID]])))="",TRUE()),"",INDEX(tsk_Level,(ROW()-ROW(MSPTasks[[#Headers],[ID]]))))</f>
        <v/>
      </c>
      <c r="E70" s="24" t="str">
        <f aca="false">IF(IFERROR(INDEX(tsk_Name,(ROW()-ROW(MSPTasks[[#Headers],[ID]])))="",TRUE()),"",IF(INDEX(tsk_Mode,(ROW()-ROW(MSPTasks[[#Headers],[ID]])))="Manual","Manually Scheduled","Auto Scheduled"))</f>
        <v/>
      </c>
      <c r="F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96" t="str">
        <f aca="false">IF(IFERROR(INDEX(tsk_Name,(ROW()-ROW(MSPTasks[[#Headers],[ID]])))="",TRUE()),"",INDEX(tsk_FcStart,(ROW()-ROW(MSPTasks[[#Headers],[ID]]))))</f>
        <v/>
      </c>
      <c r="H70" s="96" t="str">
        <f aca="false">IF(IFERROR(INDEX(tsk_Name,(ROW()-ROW(MSPTasks[[#Headers],[ID]])))="",TRUE()),"",INDEX(tsk_FcFinish,(ROW()-ROW(MSPTasks[[#Headers],[ID]]))))</f>
        <v/>
      </c>
      <c r="I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96" t="str">
        <f aca="false">IF(IFERROR(INDEX(tsk_Name,(ROW()-ROW(MSPTasks[[#Headers],[ID]])))="",TRUE()),"",INDEX(tsk_PlanStart,(ROW()-ROW(MSPTasks[[#Headers],[ID]]))))</f>
        <v/>
      </c>
      <c r="P70" s="96" t="str">
        <f aca="false">IF(IFERROR(INDEX(tsk_Name,(ROW()-ROW(MSPTasks[[#Headers],[ID]])))="",TRUE()),"",INDEX(tsk_PlanFinish,(ROW()-ROW(MSPTasks[[#Headers],[ID]]))))</f>
        <v/>
      </c>
      <c r="Q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0" s="24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4" t="str">
        <f aca="false">IF(IFERROR(INDEX(tsk_Name,(ROW()-ROW(MSPTasks[[#Headers],[ID]])))="",TRUE()),"",INDEX(tsk_ID,(ROW()-ROW(MSPTasks[[#Headers],[ID]]))))</f>
        <v/>
      </c>
      <c r="B71" s="24" t="str">
        <f aca="false">IF(IFERROR(INDEX(tsk_Name,(ROW()-ROW(MSPTasks[[#Headers],[ID]])))="",TRUE()),"",INDEX(tsk_UID,(ROW()-ROW(MSPTasks[[#Headers],[ID]]))))</f>
        <v/>
      </c>
      <c r="C71" s="24" t="str">
        <f aca="false">IF(IFERROR(INDEX(tsk_Name,(ROW()-ROW(MSPTasks[[#Headers],[ID]])))="",TRUE()),"",INDEX(tsk_Name,(ROW()-ROW(MSPTasks[[#Headers],[ID]]))))</f>
        <v/>
      </c>
      <c r="D71" s="24" t="str">
        <f aca="false">IF(IFERROR(INDEX(tsk_Name,(ROW()-ROW(MSPTasks[[#Headers],[ID]])))="",TRUE()),"",INDEX(tsk_Level,(ROW()-ROW(MSPTasks[[#Headers],[ID]]))))</f>
        <v/>
      </c>
      <c r="E71" s="24" t="str">
        <f aca="false">IF(IFERROR(INDEX(tsk_Name,(ROW()-ROW(MSPTasks[[#Headers],[ID]])))="",TRUE()),"",IF(INDEX(tsk_Mode,(ROW()-ROW(MSPTasks[[#Headers],[ID]])))="Manual","Manually Scheduled","Auto Scheduled"))</f>
        <v/>
      </c>
      <c r="F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96" t="str">
        <f aca="false">IF(IFERROR(INDEX(tsk_Name,(ROW()-ROW(MSPTasks[[#Headers],[ID]])))="",TRUE()),"",INDEX(tsk_FcStart,(ROW()-ROW(MSPTasks[[#Headers],[ID]]))))</f>
        <v/>
      </c>
      <c r="H71" s="96" t="str">
        <f aca="false">IF(IFERROR(INDEX(tsk_Name,(ROW()-ROW(MSPTasks[[#Headers],[ID]])))="",TRUE()),"",INDEX(tsk_FcFinish,(ROW()-ROW(MSPTasks[[#Headers],[ID]]))))</f>
        <v/>
      </c>
      <c r="I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96" t="str">
        <f aca="false">IF(IFERROR(INDEX(tsk_Name,(ROW()-ROW(MSPTasks[[#Headers],[ID]])))="",TRUE()),"",INDEX(tsk_PlanStart,(ROW()-ROW(MSPTasks[[#Headers],[ID]]))))</f>
        <v/>
      </c>
      <c r="P71" s="96" t="str">
        <f aca="false">IF(IFERROR(INDEX(tsk_Name,(ROW()-ROW(MSPTasks[[#Headers],[ID]])))="",TRUE()),"",INDEX(tsk_PlanFinish,(ROW()-ROW(MSPTasks[[#Headers],[ID]]))))</f>
        <v/>
      </c>
      <c r="Q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1" s="24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4" t="str">
        <f aca="false">IF(IFERROR(INDEX(tsk_Name,(ROW()-ROW(MSPTasks[[#Headers],[ID]])))="",TRUE()),"",INDEX(tsk_ID,(ROW()-ROW(MSPTasks[[#Headers],[ID]]))))</f>
        <v/>
      </c>
      <c r="B72" s="24" t="str">
        <f aca="false">IF(IFERROR(INDEX(tsk_Name,(ROW()-ROW(MSPTasks[[#Headers],[ID]])))="",TRUE()),"",INDEX(tsk_UID,(ROW()-ROW(MSPTasks[[#Headers],[ID]]))))</f>
        <v/>
      </c>
      <c r="C72" s="24" t="str">
        <f aca="false">IF(IFERROR(INDEX(tsk_Name,(ROW()-ROW(MSPTasks[[#Headers],[ID]])))="",TRUE()),"",INDEX(tsk_Name,(ROW()-ROW(MSPTasks[[#Headers],[ID]]))))</f>
        <v/>
      </c>
      <c r="D72" s="24" t="str">
        <f aca="false">IF(IFERROR(INDEX(tsk_Name,(ROW()-ROW(MSPTasks[[#Headers],[ID]])))="",TRUE()),"",INDEX(tsk_Level,(ROW()-ROW(MSPTasks[[#Headers],[ID]]))))</f>
        <v/>
      </c>
      <c r="E72" s="24" t="str">
        <f aca="false">IF(IFERROR(INDEX(tsk_Name,(ROW()-ROW(MSPTasks[[#Headers],[ID]])))="",TRUE()),"",IF(INDEX(tsk_Mode,(ROW()-ROW(MSPTasks[[#Headers],[ID]])))="Manual","Manually Scheduled","Auto Scheduled"))</f>
        <v/>
      </c>
      <c r="F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96" t="str">
        <f aca="false">IF(IFERROR(INDEX(tsk_Name,(ROW()-ROW(MSPTasks[[#Headers],[ID]])))="",TRUE()),"",INDEX(tsk_FcStart,(ROW()-ROW(MSPTasks[[#Headers],[ID]]))))</f>
        <v/>
      </c>
      <c r="H72" s="96" t="str">
        <f aca="false">IF(IFERROR(INDEX(tsk_Name,(ROW()-ROW(MSPTasks[[#Headers],[ID]])))="",TRUE()),"",INDEX(tsk_FcFinish,(ROW()-ROW(MSPTasks[[#Headers],[ID]]))))</f>
        <v/>
      </c>
      <c r="I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96" t="str">
        <f aca="false">IF(IFERROR(INDEX(tsk_Name,(ROW()-ROW(MSPTasks[[#Headers],[ID]])))="",TRUE()),"",INDEX(tsk_PlanStart,(ROW()-ROW(MSPTasks[[#Headers],[ID]]))))</f>
        <v/>
      </c>
      <c r="P72" s="96" t="str">
        <f aca="false">IF(IFERROR(INDEX(tsk_Name,(ROW()-ROW(MSPTasks[[#Headers],[ID]])))="",TRUE()),"",INDEX(tsk_PlanFinish,(ROW()-ROW(MSPTasks[[#Headers],[ID]]))))</f>
        <v/>
      </c>
      <c r="Q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2" s="24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4" t="str">
        <f aca="false">IF(IFERROR(INDEX(tsk_Name,(ROW()-ROW(MSPTasks[[#Headers],[ID]])))="",TRUE()),"",INDEX(tsk_ID,(ROW()-ROW(MSPTasks[[#Headers],[ID]]))))</f>
        <v/>
      </c>
      <c r="B73" s="24" t="str">
        <f aca="false">IF(IFERROR(INDEX(tsk_Name,(ROW()-ROW(MSPTasks[[#Headers],[ID]])))="",TRUE()),"",INDEX(tsk_UID,(ROW()-ROW(MSPTasks[[#Headers],[ID]]))))</f>
        <v/>
      </c>
      <c r="C73" s="24" t="str">
        <f aca="false">IF(IFERROR(INDEX(tsk_Name,(ROW()-ROW(MSPTasks[[#Headers],[ID]])))="",TRUE()),"",INDEX(tsk_Name,(ROW()-ROW(MSPTasks[[#Headers],[ID]]))))</f>
        <v/>
      </c>
      <c r="D73" s="24" t="str">
        <f aca="false">IF(IFERROR(INDEX(tsk_Name,(ROW()-ROW(MSPTasks[[#Headers],[ID]])))="",TRUE()),"",INDEX(tsk_Level,(ROW()-ROW(MSPTasks[[#Headers],[ID]]))))</f>
        <v/>
      </c>
      <c r="E73" s="24" t="str">
        <f aca="false">IF(IFERROR(INDEX(tsk_Name,(ROW()-ROW(MSPTasks[[#Headers],[ID]])))="",TRUE()),"",IF(INDEX(tsk_Mode,(ROW()-ROW(MSPTasks[[#Headers],[ID]])))="Manual","Manually Scheduled","Auto Scheduled"))</f>
        <v/>
      </c>
      <c r="F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96" t="str">
        <f aca="false">IF(IFERROR(INDEX(tsk_Name,(ROW()-ROW(MSPTasks[[#Headers],[ID]])))="",TRUE()),"",INDEX(tsk_FcStart,(ROW()-ROW(MSPTasks[[#Headers],[ID]]))))</f>
        <v/>
      </c>
      <c r="H73" s="96" t="str">
        <f aca="false">IF(IFERROR(INDEX(tsk_Name,(ROW()-ROW(MSPTasks[[#Headers],[ID]])))="",TRUE()),"",INDEX(tsk_FcFinish,(ROW()-ROW(MSPTasks[[#Headers],[ID]]))))</f>
        <v/>
      </c>
      <c r="I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96" t="str">
        <f aca="false">IF(IFERROR(INDEX(tsk_Name,(ROW()-ROW(MSPTasks[[#Headers],[ID]])))="",TRUE()),"",INDEX(tsk_PlanStart,(ROW()-ROW(MSPTasks[[#Headers],[ID]]))))</f>
        <v/>
      </c>
      <c r="P73" s="96" t="str">
        <f aca="false">IF(IFERROR(INDEX(tsk_Name,(ROW()-ROW(MSPTasks[[#Headers],[ID]])))="",TRUE()),"",INDEX(tsk_PlanFinish,(ROW()-ROW(MSPTasks[[#Headers],[ID]]))))</f>
        <v/>
      </c>
      <c r="Q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3" s="24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4" t="str">
        <f aca="false">IF(IFERROR(INDEX(tsk_Name,(ROW()-ROW(MSPTasks[[#Headers],[ID]])))="",TRUE()),"",INDEX(tsk_ID,(ROW()-ROW(MSPTasks[[#Headers],[ID]]))))</f>
        <v/>
      </c>
      <c r="B74" s="24" t="str">
        <f aca="false">IF(IFERROR(INDEX(tsk_Name,(ROW()-ROW(MSPTasks[[#Headers],[ID]])))="",TRUE()),"",INDEX(tsk_UID,(ROW()-ROW(MSPTasks[[#Headers],[ID]]))))</f>
        <v/>
      </c>
      <c r="C74" s="24" t="str">
        <f aca="false">IF(IFERROR(INDEX(tsk_Name,(ROW()-ROW(MSPTasks[[#Headers],[ID]])))="",TRUE()),"",INDEX(tsk_Name,(ROW()-ROW(MSPTasks[[#Headers],[ID]]))))</f>
        <v/>
      </c>
      <c r="D74" s="24" t="str">
        <f aca="false">IF(IFERROR(INDEX(tsk_Name,(ROW()-ROW(MSPTasks[[#Headers],[ID]])))="",TRUE()),"",INDEX(tsk_Level,(ROW()-ROW(MSPTasks[[#Headers],[ID]]))))</f>
        <v/>
      </c>
      <c r="E74" s="24" t="str">
        <f aca="false">IF(IFERROR(INDEX(tsk_Name,(ROW()-ROW(MSPTasks[[#Headers],[ID]])))="",TRUE()),"",IF(INDEX(tsk_Mode,(ROW()-ROW(MSPTasks[[#Headers],[ID]])))="Manual","Manually Scheduled","Auto Scheduled"))</f>
        <v/>
      </c>
      <c r="F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96" t="str">
        <f aca="false">IF(IFERROR(INDEX(tsk_Name,(ROW()-ROW(MSPTasks[[#Headers],[ID]])))="",TRUE()),"",INDEX(tsk_FcStart,(ROW()-ROW(MSPTasks[[#Headers],[ID]]))))</f>
        <v/>
      </c>
      <c r="H74" s="96" t="str">
        <f aca="false">IF(IFERROR(INDEX(tsk_Name,(ROW()-ROW(MSPTasks[[#Headers],[ID]])))="",TRUE()),"",INDEX(tsk_FcFinish,(ROW()-ROW(MSPTasks[[#Headers],[ID]]))))</f>
        <v/>
      </c>
      <c r="I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96" t="str">
        <f aca="false">IF(IFERROR(INDEX(tsk_Name,(ROW()-ROW(MSPTasks[[#Headers],[ID]])))="",TRUE()),"",INDEX(tsk_PlanStart,(ROW()-ROW(MSPTasks[[#Headers],[ID]]))))</f>
        <v/>
      </c>
      <c r="P74" s="96" t="str">
        <f aca="false">IF(IFERROR(INDEX(tsk_Name,(ROW()-ROW(MSPTasks[[#Headers],[ID]])))="",TRUE()),"",INDEX(tsk_PlanFinish,(ROW()-ROW(MSPTasks[[#Headers],[ID]]))))</f>
        <v/>
      </c>
      <c r="Q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4" s="24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4" t="str">
        <f aca="false">IF(IFERROR(INDEX(tsk_Name,(ROW()-ROW(MSPTasks[[#Headers],[ID]])))="",TRUE()),"",INDEX(tsk_ID,(ROW()-ROW(MSPTasks[[#Headers],[ID]]))))</f>
        <v/>
      </c>
      <c r="B75" s="24" t="str">
        <f aca="false">IF(IFERROR(INDEX(tsk_Name,(ROW()-ROW(MSPTasks[[#Headers],[ID]])))="",TRUE()),"",INDEX(tsk_UID,(ROW()-ROW(MSPTasks[[#Headers],[ID]]))))</f>
        <v/>
      </c>
      <c r="C75" s="24" t="str">
        <f aca="false">IF(IFERROR(INDEX(tsk_Name,(ROW()-ROW(MSPTasks[[#Headers],[ID]])))="",TRUE()),"",INDEX(tsk_Name,(ROW()-ROW(MSPTasks[[#Headers],[ID]]))))</f>
        <v/>
      </c>
      <c r="D75" s="24" t="str">
        <f aca="false">IF(IFERROR(INDEX(tsk_Name,(ROW()-ROW(MSPTasks[[#Headers],[ID]])))="",TRUE()),"",INDEX(tsk_Level,(ROW()-ROW(MSPTasks[[#Headers],[ID]]))))</f>
        <v/>
      </c>
      <c r="E75" s="24" t="str">
        <f aca="false">IF(IFERROR(INDEX(tsk_Name,(ROW()-ROW(MSPTasks[[#Headers],[ID]])))="",TRUE()),"",IF(INDEX(tsk_Mode,(ROW()-ROW(MSPTasks[[#Headers],[ID]])))="Manual","Manually Scheduled","Auto Scheduled"))</f>
        <v/>
      </c>
      <c r="F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96" t="str">
        <f aca="false">IF(IFERROR(INDEX(tsk_Name,(ROW()-ROW(MSPTasks[[#Headers],[ID]])))="",TRUE()),"",INDEX(tsk_FcStart,(ROW()-ROW(MSPTasks[[#Headers],[ID]]))))</f>
        <v/>
      </c>
      <c r="H75" s="96" t="str">
        <f aca="false">IF(IFERROR(INDEX(tsk_Name,(ROW()-ROW(MSPTasks[[#Headers],[ID]])))="",TRUE()),"",INDEX(tsk_FcFinish,(ROW()-ROW(MSPTasks[[#Headers],[ID]]))))</f>
        <v/>
      </c>
      <c r="I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96" t="str">
        <f aca="false">IF(IFERROR(INDEX(tsk_Name,(ROW()-ROW(MSPTasks[[#Headers],[ID]])))="",TRUE()),"",INDEX(tsk_PlanStart,(ROW()-ROW(MSPTasks[[#Headers],[ID]]))))</f>
        <v/>
      </c>
      <c r="P75" s="96" t="str">
        <f aca="false">IF(IFERROR(INDEX(tsk_Name,(ROW()-ROW(MSPTasks[[#Headers],[ID]])))="",TRUE()),"",INDEX(tsk_PlanFinish,(ROW()-ROW(MSPTasks[[#Headers],[ID]]))))</f>
        <v/>
      </c>
      <c r="Q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5" s="24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4" t="str">
        <f aca="false">IF(IFERROR(INDEX(tsk_Name,(ROW()-ROW(MSPTasks[[#Headers],[ID]])))="",TRUE()),"",INDEX(tsk_ID,(ROW()-ROW(MSPTasks[[#Headers],[ID]]))))</f>
        <v/>
      </c>
      <c r="B76" s="24" t="str">
        <f aca="false">IF(IFERROR(INDEX(tsk_Name,(ROW()-ROW(MSPTasks[[#Headers],[ID]])))="",TRUE()),"",INDEX(tsk_UID,(ROW()-ROW(MSPTasks[[#Headers],[ID]]))))</f>
        <v/>
      </c>
      <c r="C76" s="24" t="str">
        <f aca="false">IF(IFERROR(INDEX(tsk_Name,(ROW()-ROW(MSPTasks[[#Headers],[ID]])))="",TRUE()),"",INDEX(tsk_Name,(ROW()-ROW(MSPTasks[[#Headers],[ID]]))))</f>
        <v/>
      </c>
      <c r="D76" s="24" t="str">
        <f aca="false">IF(IFERROR(INDEX(tsk_Name,(ROW()-ROW(MSPTasks[[#Headers],[ID]])))="",TRUE()),"",INDEX(tsk_Level,(ROW()-ROW(MSPTasks[[#Headers],[ID]]))))</f>
        <v/>
      </c>
      <c r="E76" s="24" t="str">
        <f aca="false">IF(IFERROR(INDEX(tsk_Name,(ROW()-ROW(MSPTasks[[#Headers],[ID]])))="",TRUE()),"",IF(INDEX(tsk_Mode,(ROW()-ROW(MSPTasks[[#Headers],[ID]])))="Manual","Manually Scheduled","Auto Scheduled"))</f>
        <v/>
      </c>
      <c r="F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96" t="str">
        <f aca="false">IF(IFERROR(INDEX(tsk_Name,(ROW()-ROW(MSPTasks[[#Headers],[ID]])))="",TRUE()),"",INDEX(tsk_FcStart,(ROW()-ROW(MSPTasks[[#Headers],[ID]]))))</f>
        <v/>
      </c>
      <c r="H76" s="96" t="str">
        <f aca="false">IF(IFERROR(INDEX(tsk_Name,(ROW()-ROW(MSPTasks[[#Headers],[ID]])))="",TRUE()),"",INDEX(tsk_FcFinish,(ROW()-ROW(MSPTasks[[#Headers],[ID]]))))</f>
        <v/>
      </c>
      <c r="I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96" t="str">
        <f aca="false">IF(IFERROR(INDEX(tsk_Name,(ROW()-ROW(MSPTasks[[#Headers],[ID]])))="",TRUE()),"",INDEX(tsk_PlanStart,(ROW()-ROW(MSPTasks[[#Headers],[ID]]))))</f>
        <v/>
      </c>
      <c r="P76" s="96" t="str">
        <f aca="false">IF(IFERROR(INDEX(tsk_Name,(ROW()-ROW(MSPTasks[[#Headers],[ID]])))="",TRUE()),"",INDEX(tsk_PlanFinish,(ROW()-ROW(MSPTasks[[#Headers],[ID]]))))</f>
        <v/>
      </c>
      <c r="Q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6" s="24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4" t="str">
        <f aca="false">IF(IFERROR(INDEX(tsk_Name,(ROW()-ROW(MSPTasks[[#Headers],[ID]])))="",TRUE()),"",INDEX(tsk_ID,(ROW()-ROW(MSPTasks[[#Headers],[ID]]))))</f>
        <v/>
      </c>
      <c r="B77" s="24" t="str">
        <f aca="false">IF(IFERROR(INDEX(tsk_Name,(ROW()-ROW(MSPTasks[[#Headers],[ID]])))="",TRUE()),"",INDEX(tsk_UID,(ROW()-ROW(MSPTasks[[#Headers],[ID]]))))</f>
        <v/>
      </c>
      <c r="C77" s="24" t="str">
        <f aca="false">IF(IFERROR(INDEX(tsk_Name,(ROW()-ROW(MSPTasks[[#Headers],[ID]])))="",TRUE()),"",INDEX(tsk_Name,(ROW()-ROW(MSPTasks[[#Headers],[ID]]))))</f>
        <v/>
      </c>
      <c r="D77" s="24" t="str">
        <f aca="false">IF(IFERROR(INDEX(tsk_Name,(ROW()-ROW(MSPTasks[[#Headers],[ID]])))="",TRUE()),"",INDEX(tsk_Level,(ROW()-ROW(MSPTasks[[#Headers],[ID]]))))</f>
        <v/>
      </c>
      <c r="E77" s="24" t="str">
        <f aca="false">IF(IFERROR(INDEX(tsk_Name,(ROW()-ROW(MSPTasks[[#Headers],[ID]])))="",TRUE()),"",IF(INDEX(tsk_Mode,(ROW()-ROW(MSPTasks[[#Headers],[ID]])))="Manual","Manually Scheduled","Auto Scheduled"))</f>
        <v/>
      </c>
      <c r="F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96" t="str">
        <f aca="false">IF(IFERROR(INDEX(tsk_Name,(ROW()-ROW(MSPTasks[[#Headers],[ID]])))="",TRUE()),"",INDEX(tsk_FcStart,(ROW()-ROW(MSPTasks[[#Headers],[ID]]))))</f>
        <v/>
      </c>
      <c r="H77" s="96" t="str">
        <f aca="false">IF(IFERROR(INDEX(tsk_Name,(ROW()-ROW(MSPTasks[[#Headers],[ID]])))="",TRUE()),"",INDEX(tsk_FcFinish,(ROW()-ROW(MSPTasks[[#Headers],[ID]]))))</f>
        <v/>
      </c>
      <c r="I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96" t="str">
        <f aca="false">IF(IFERROR(INDEX(tsk_Name,(ROW()-ROW(MSPTasks[[#Headers],[ID]])))="",TRUE()),"",INDEX(tsk_PlanStart,(ROW()-ROW(MSPTasks[[#Headers],[ID]]))))</f>
        <v/>
      </c>
      <c r="P77" s="96" t="str">
        <f aca="false">IF(IFERROR(INDEX(tsk_Name,(ROW()-ROW(MSPTasks[[#Headers],[ID]])))="",TRUE()),"",INDEX(tsk_PlanFinish,(ROW()-ROW(MSPTasks[[#Headers],[ID]]))))</f>
        <v/>
      </c>
      <c r="Q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7" s="24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4" t="str">
        <f aca="false">IF(IFERROR(INDEX(tsk_Name,(ROW()-ROW(MSPTasks[[#Headers],[ID]])))="",TRUE()),"",INDEX(tsk_ID,(ROW()-ROW(MSPTasks[[#Headers],[ID]]))))</f>
        <v/>
      </c>
      <c r="B78" s="24" t="str">
        <f aca="false">IF(IFERROR(INDEX(tsk_Name,(ROW()-ROW(MSPTasks[[#Headers],[ID]])))="",TRUE()),"",INDEX(tsk_UID,(ROW()-ROW(MSPTasks[[#Headers],[ID]]))))</f>
        <v/>
      </c>
      <c r="C78" s="24" t="str">
        <f aca="false">IF(IFERROR(INDEX(tsk_Name,(ROW()-ROW(MSPTasks[[#Headers],[ID]])))="",TRUE()),"",INDEX(tsk_Name,(ROW()-ROW(MSPTasks[[#Headers],[ID]]))))</f>
        <v/>
      </c>
      <c r="D78" s="24" t="str">
        <f aca="false">IF(IFERROR(INDEX(tsk_Name,(ROW()-ROW(MSPTasks[[#Headers],[ID]])))="",TRUE()),"",INDEX(tsk_Level,(ROW()-ROW(MSPTasks[[#Headers],[ID]]))))</f>
        <v/>
      </c>
      <c r="E78" s="24" t="str">
        <f aca="false">IF(IFERROR(INDEX(tsk_Name,(ROW()-ROW(MSPTasks[[#Headers],[ID]])))="",TRUE()),"",IF(INDEX(tsk_Mode,(ROW()-ROW(MSPTasks[[#Headers],[ID]])))="Manual","Manually Scheduled","Auto Scheduled"))</f>
        <v/>
      </c>
      <c r="F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96" t="str">
        <f aca="false">IF(IFERROR(INDEX(tsk_Name,(ROW()-ROW(MSPTasks[[#Headers],[ID]])))="",TRUE()),"",INDEX(tsk_FcStart,(ROW()-ROW(MSPTasks[[#Headers],[ID]]))))</f>
        <v/>
      </c>
      <c r="H78" s="96" t="str">
        <f aca="false">IF(IFERROR(INDEX(tsk_Name,(ROW()-ROW(MSPTasks[[#Headers],[ID]])))="",TRUE()),"",INDEX(tsk_FcFinish,(ROW()-ROW(MSPTasks[[#Headers],[ID]]))))</f>
        <v/>
      </c>
      <c r="I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96" t="str">
        <f aca="false">IF(IFERROR(INDEX(tsk_Name,(ROW()-ROW(MSPTasks[[#Headers],[ID]])))="",TRUE()),"",INDEX(tsk_PlanStart,(ROW()-ROW(MSPTasks[[#Headers],[ID]]))))</f>
        <v/>
      </c>
      <c r="P78" s="96" t="str">
        <f aca="false">IF(IFERROR(INDEX(tsk_Name,(ROW()-ROW(MSPTasks[[#Headers],[ID]])))="",TRUE()),"",INDEX(tsk_PlanFinish,(ROW()-ROW(MSPTasks[[#Headers],[ID]]))))</f>
        <v/>
      </c>
      <c r="Q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8" s="24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4" t="str">
        <f aca="false">IF(IFERROR(INDEX(tsk_Name,(ROW()-ROW(MSPTasks[[#Headers],[ID]])))="",TRUE()),"",INDEX(tsk_ID,(ROW()-ROW(MSPTasks[[#Headers],[ID]]))))</f>
        <v/>
      </c>
      <c r="B79" s="24" t="str">
        <f aca="false">IF(IFERROR(INDEX(tsk_Name,(ROW()-ROW(MSPTasks[[#Headers],[ID]])))="",TRUE()),"",INDEX(tsk_UID,(ROW()-ROW(MSPTasks[[#Headers],[ID]]))))</f>
        <v/>
      </c>
      <c r="C79" s="24" t="str">
        <f aca="false">IF(IFERROR(INDEX(tsk_Name,(ROW()-ROW(MSPTasks[[#Headers],[ID]])))="",TRUE()),"",INDEX(tsk_Name,(ROW()-ROW(MSPTasks[[#Headers],[ID]]))))</f>
        <v/>
      </c>
      <c r="D79" s="24" t="str">
        <f aca="false">IF(IFERROR(INDEX(tsk_Name,(ROW()-ROW(MSPTasks[[#Headers],[ID]])))="",TRUE()),"",INDEX(tsk_Level,(ROW()-ROW(MSPTasks[[#Headers],[ID]]))))</f>
        <v/>
      </c>
      <c r="E79" s="24" t="str">
        <f aca="false">IF(IFERROR(INDEX(tsk_Name,(ROW()-ROW(MSPTasks[[#Headers],[ID]])))="",TRUE()),"",IF(INDEX(tsk_Mode,(ROW()-ROW(MSPTasks[[#Headers],[ID]])))="Manual","Manually Scheduled","Auto Scheduled"))</f>
        <v/>
      </c>
      <c r="F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96" t="str">
        <f aca="false">IF(IFERROR(INDEX(tsk_Name,(ROW()-ROW(MSPTasks[[#Headers],[ID]])))="",TRUE()),"",INDEX(tsk_FcStart,(ROW()-ROW(MSPTasks[[#Headers],[ID]]))))</f>
        <v/>
      </c>
      <c r="H79" s="96" t="str">
        <f aca="false">IF(IFERROR(INDEX(tsk_Name,(ROW()-ROW(MSPTasks[[#Headers],[ID]])))="",TRUE()),"",INDEX(tsk_FcFinish,(ROW()-ROW(MSPTasks[[#Headers],[ID]]))))</f>
        <v/>
      </c>
      <c r="I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96" t="str">
        <f aca="false">IF(IFERROR(INDEX(tsk_Name,(ROW()-ROW(MSPTasks[[#Headers],[ID]])))="",TRUE()),"",INDEX(tsk_PlanStart,(ROW()-ROW(MSPTasks[[#Headers],[ID]]))))</f>
        <v/>
      </c>
      <c r="P79" s="96" t="str">
        <f aca="false">IF(IFERROR(INDEX(tsk_Name,(ROW()-ROW(MSPTasks[[#Headers],[ID]])))="",TRUE()),"",INDEX(tsk_PlanFinish,(ROW()-ROW(MSPTasks[[#Headers],[ID]]))))</f>
        <v/>
      </c>
      <c r="Q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9" s="24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4" t="str">
        <f aca="false">IF(IFERROR(INDEX(tsk_Name,(ROW()-ROW(MSPTasks[[#Headers],[ID]])))="",TRUE()),"",INDEX(tsk_ID,(ROW()-ROW(MSPTasks[[#Headers],[ID]]))))</f>
        <v/>
      </c>
      <c r="B80" s="24" t="str">
        <f aca="false">IF(IFERROR(INDEX(tsk_Name,(ROW()-ROW(MSPTasks[[#Headers],[ID]])))="",TRUE()),"",INDEX(tsk_UID,(ROW()-ROW(MSPTasks[[#Headers],[ID]]))))</f>
        <v/>
      </c>
      <c r="C80" s="24" t="str">
        <f aca="false">IF(IFERROR(INDEX(tsk_Name,(ROW()-ROW(MSPTasks[[#Headers],[ID]])))="",TRUE()),"",INDEX(tsk_Name,(ROW()-ROW(MSPTasks[[#Headers],[ID]]))))</f>
        <v/>
      </c>
      <c r="D80" s="24" t="str">
        <f aca="false">IF(IFERROR(INDEX(tsk_Name,(ROW()-ROW(MSPTasks[[#Headers],[ID]])))="",TRUE()),"",INDEX(tsk_Level,(ROW()-ROW(MSPTasks[[#Headers],[ID]]))))</f>
        <v/>
      </c>
      <c r="E80" s="24" t="str">
        <f aca="false">IF(IFERROR(INDEX(tsk_Name,(ROW()-ROW(MSPTasks[[#Headers],[ID]])))="",TRUE()),"",IF(INDEX(tsk_Mode,(ROW()-ROW(MSPTasks[[#Headers],[ID]])))="Manual","Manually Scheduled","Auto Scheduled"))</f>
        <v/>
      </c>
      <c r="F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96" t="str">
        <f aca="false">IF(IFERROR(INDEX(tsk_Name,(ROW()-ROW(MSPTasks[[#Headers],[ID]])))="",TRUE()),"",INDEX(tsk_FcStart,(ROW()-ROW(MSPTasks[[#Headers],[ID]]))))</f>
        <v/>
      </c>
      <c r="H80" s="96" t="str">
        <f aca="false">IF(IFERROR(INDEX(tsk_Name,(ROW()-ROW(MSPTasks[[#Headers],[ID]])))="",TRUE()),"",INDEX(tsk_FcFinish,(ROW()-ROW(MSPTasks[[#Headers],[ID]]))))</f>
        <v/>
      </c>
      <c r="I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96" t="str">
        <f aca="false">IF(IFERROR(INDEX(tsk_Name,(ROW()-ROW(MSPTasks[[#Headers],[ID]])))="",TRUE()),"",INDEX(tsk_PlanStart,(ROW()-ROW(MSPTasks[[#Headers],[ID]]))))</f>
        <v/>
      </c>
      <c r="P80" s="96" t="str">
        <f aca="false">IF(IFERROR(INDEX(tsk_Name,(ROW()-ROW(MSPTasks[[#Headers],[ID]])))="",TRUE()),"",INDEX(tsk_PlanFinish,(ROW()-ROW(MSPTasks[[#Headers],[ID]]))))</f>
        <v/>
      </c>
      <c r="Q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0" s="24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4" t="str">
        <f aca="false">IF(IFERROR(INDEX(tsk_Name,(ROW()-ROW(MSPTasks[[#Headers],[ID]])))="",TRUE()),"",INDEX(tsk_ID,(ROW()-ROW(MSPTasks[[#Headers],[ID]]))))</f>
        <v/>
      </c>
      <c r="B81" s="24" t="str">
        <f aca="false">IF(IFERROR(INDEX(tsk_Name,(ROW()-ROW(MSPTasks[[#Headers],[ID]])))="",TRUE()),"",INDEX(tsk_UID,(ROW()-ROW(MSPTasks[[#Headers],[ID]]))))</f>
        <v/>
      </c>
      <c r="C81" s="24" t="str">
        <f aca="false">IF(IFERROR(INDEX(tsk_Name,(ROW()-ROW(MSPTasks[[#Headers],[ID]])))="",TRUE()),"",INDEX(tsk_Name,(ROW()-ROW(MSPTasks[[#Headers],[ID]]))))</f>
        <v/>
      </c>
      <c r="D81" s="24" t="str">
        <f aca="false">IF(IFERROR(INDEX(tsk_Name,(ROW()-ROW(MSPTasks[[#Headers],[ID]])))="",TRUE()),"",INDEX(tsk_Level,(ROW()-ROW(MSPTasks[[#Headers],[ID]]))))</f>
        <v/>
      </c>
      <c r="E81" s="24" t="str">
        <f aca="false">IF(IFERROR(INDEX(tsk_Name,(ROW()-ROW(MSPTasks[[#Headers],[ID]])))="",TRUE()),"",IF(INDEX(tsk_Mode,(ROW()-ROW(MSPTasks[[#Headers],[ID]])))="Manual","Manually Scheduled","Auto Scheduled"))</f>
        <v/>
      </c>
      <c r="F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96" t="str">
        <f aca="false">IF(IFERROR(INDEX(tsk_Name,(ROW()-ROW(MSPTasks[[#Headers],[ID]])))="",TRUE()),"",INDEX(tsk_FcStart,(ROW()-ROW(MSPTasks[[#Headers],[ID]]))))</f>
        <v/>
      </c>
      <c r="H81" s="96" t="str">
        <f aca="false">IF(IFERROR(INDEX(tsk_Name,(ROW()-ROW(MSPTasks[[#Headers],[ID]])))="",TRUE()),"",INDEX(tsk_FcFinish,(ROW()-ROW(MSPTasks[[#Headers],[ID]]))))</f>
        <v/>
      </c>
      <c r="I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96" t="str">
        <f aca="false">IF(IFERROR(INDEX(tsk_Name,(ROW()-ROW(MSPTasks[[#Headers],[ID]])))="",TRUE()),"",INDEX(tsk_PlanStart,(ROW()-ROW(MSPTasks[[#Headers],[ID]]))))</f>
        <v/>
      </c>
      <c r="P81" s="96" t="str">
        <f aca="false">IF(IFERROR(INDEX(tsk_Name,(ROW()-ROW(MSPTasks[[#Headers],[ID]])))="",TRUE()),"",INDEX(tsk_PlanFinish,(ROW()-ROW(MSPTasks[[#Headers],[ID]]))))</f>
        <v/>
      </c>
      <c r="Q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1" s="24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4" t="str">
        <f aca="false">IF(IFERROR(INDEX(tsk_Name,(ROW()-ROW(MSPTasks[[#Headers],[ID]])))="",TRUE()),"",INDEX(tsk_ID,(ROW()-ROW(MSPTasks[[#Headers],[ID]]))))</f>
        <v/>
      </c>
      <c r="B82" s="24" t="str">
        <f aca="false">IF(IFERROR(INDEX(tsk_Name,(ROW()-ROW(MSPTasks[[#Headers],[ID]])))="",TRUE()),"",INDEX(tsk_UID,(ROW()-ROW(MSPTasks[[#Headers],[ID]]))))</f>
        <v/>
      </c>
      <c r="C82" s="24" t="str">
        <f aca="false">IF(IFERROR(INDEX(tsk_Name,(ROW()-ROW(MSPTasks[[#Headers],[ID]])))="",TRUE()),"",INDEX(tsk_Name,(ROW()-ROW(MSPTasks[[#Headers],[ID]]))))</f>
        <v/>
      </c>
      <c r="D82" s="24" t="str">
        <f aca="false">IF(IFERROR(INDEX(tsk_Name,(ROW()-ROW(MSPTasks[[#Headers],[ID]])))="",TRUE()),"",INDEX(tsk_Level,(ROW()-ROW(MSPTasks[[#Headers],[ID]]))))</f>
        <v/>
      </c>
      <c r="E82" s="24" t="str">
        <f aca="false">IF(IFERROR(INDEX(tsk_Name,(ROW()-ROW(MSPTasks[[#Headers],[ID]])))="",TRUE()),"",IF(INDEX(tsk_Mode,(ROW()-ROW(MSPTasks[[#Headers],[ID]])))="Manual","Manually Scheduled","Auto Scheduled"))</f>
        <v/>
      </c>
      <c r="F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96" t="str">
        <f aca="false">IF(IFERROR(INDEX(tsk_Name,(ROW()-ROW(MSPTasks[[#Headers],[ID]])))="",TRUE()),"",INDEX(tsk_FcStart,(ROW()-ROW(MSPTasks[[#Headers],[ID]]))))</f>
        <v/>
      </c>
      <c r="H82" s="96" t="str">
        <f aca="false">IF(IFERROR(INDEX(tsk_Name,(ROW()-ROW(MSPTasks[[#Headers],[ID]])))="",TRUE()),"",INDEX(tsk_FcFinish,(ROW()-ROW(MSPTasks[[#Headers],[ID]]))))</f>
        <v/>
      </c>
      <c r="I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96" t="str">
        <f aca="false">IF(IFERROR(INDEX(tsk_Name,(ROW()-ROW(MSPTasks[[#Headers],[ID]])))="",TRUE()),"",INDEX(tsk_PlanStart,(ROW()-ROW(MSPTasks[[#Headers],[ID]]))))</f>
        <v/>
      </c>
      <c r="P82" s="96" t="str">
        <f aca="false">IF(IFERROR(INDEX(tsk_Name,(ROW()-ROW(MSPTasks[[#Headers],[ID]])))="",TRUE()),"",INDEX(tsk_PlanFinish,(ROW()-ROW(MSPTasks[[#Headers],[ID]]))))</f>
        <v/>
      </c>
      <c r="Q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2" s="24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4" t="str">
        <f aca="false">IF(IFERROR(INDEX(tsk_Name,(ROW()-ROW(MSPTasks[[#Headers],[ID]])))="",TRUE()),"",INDEX(tsk_ID,(ROW()-ROW(MSPTasks[[#Headers],[ID]]))))</f>
        <v/>
      </c>
      <c r="B83" s="24" t="str">
        <f aca="false">IF(IFERROR(INDEX(tsk_Name,(ROW()-ROW(MSPTasks[[#Headers],[ID]])))="",TRUE()),"",INDEX(tsk_UID,(ROW()-ROW(MSPTasks[[#Headers],[ID]]))))</f>
        <v/>
      </c>
      <c r="C83" s="24" t="str">
        <f aca="false">IF(IFERROR(INDEX(tsk_Name,(ROW()-ROW(MSPTasks[[#Headers],[ID]])))="",TRUE()),"",INDEX(tsk_Name,(ROW()-ROW(MSPTasks[[#Headers],[ID]]))))</f>
        <v/>
      </c>
      <c r="D83" s="24" t="str">
        <f aca="false">IF(IFERROR(INDEX(tsk_Name,(ROW()-ROW(MSPTasks[[#Headers],[ID]])))="",TRUE()),"",INDEX(tsk_Level,(ROW()-ROW(MSPTasks[[#Headers],[ID]]))))</f>
        <v/>
      </c>
      <c r="E83" s="24" t="str">
        <f aca="false">IF(IFERROR(INDEX(tsk_Name,(ROW()-ROW(MSPTasks[[#Headers],[ID]])))="",TRUE()),"",IF(INDEX(tsk_Mode,(ROW()-ROW(MSPTasks[[#Headers],[ID]])))="Manual","Manually Scheduled","Auto Scheduled"))</f>
        <v/>
      </c>
      <c r="F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96" t="str">
        <f aca="false">IF(IFERROR(INDEX(tsk_Name,(ROW()-ROW(MSPTasks[[#Headers],[ID]])))="",TRUE()),"",INDEX(tsk_FcStart,(ROW()-ROW(MSPTasks[[#Headers],[ID]]))))</f>
        <v/>
      </c>
      <c r="H83" s="96" t="str">
        <f aca="false">IF(IFERROR(INDEX(tsk_Name,(ROW()-ROW(MSPTasks[[#Headers],[ID]])))="",TRUE()),"",INDEX(tsk_FcFinish,(ROW()-ROW(MSPTasks[[#Headers],[ID]]))))</f>
        <v/>
      </c>
      <c r="I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96" t="str">
        <f aca="false">IF(IFERROR(INDEX(tsk_Name,(ROW()-ROW(MSPTasks[[#Headers],[ID]])))="",TRUE()),"",INDEX(tsk_PlanStart,(ROW()-ROW(MSPTasks[[#Headers],[ID]]))))</f>
        <v/>
      </c>
      <c r="P83" s="96" t="str">
        <f aca="false">IF(IFERROR(INDEX(tsk_Name,(ROW()-ROW(MSPTasks[[#Headers],[ID]])))="",TRUE()),"",INDEX(tsk_PlanFinish,(ROW()-ROW(MSPTasks[[#Headers],[ID]]))))</f>
        <v/>
      </c>
      <c r="Q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3" s="24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4" t="str">
        <f aca="false">IF(IFERROR(INDEX(tsk_Name,(ROW()-ROW(MSPTasks[[#Headers],[ID]])))="",TRUE()),"",INDEX(tsk_ID,(ROW()-ROW(MSPTasks[[#Headers],[ID]]))))</f>
        <v/>
      </c>
      <c r="B84" s="24" t="str">
        <f aca="false">IF(IFERROR(INDEX(tsk_Name,(ROW()-ROW(MSPTasks[[#Headers],[ID]])))="",TRUE()),"",INDEX(tsk_UID,(ROW()-ROW(MSPTasks[[#Headers],[ID]]))))</f>
        <v/>
      </c>
      <c r="C84" s="24" t="str">
        <f aca="false">IF(IFERROR(INDEX(tsk_Name,(ROW()-ROW(MSPTasks[[#Headers],[ID]])))="",TRUE()),"",INDEX(tsk_Name,(ROW()-ROW(MSPTasks[[#Headers],[ID]]))))</f>
        <v/>
      </c>
      <c r="D84" s="24" t="str">
        <f aca="false">IF(IFERROR(INDEX(tsk_Name,(ROW()-ROW(MSPTasks[[#Headers],[ID]])))="",TRUE()),"",INDEX(tsk_Level,(ROW()-ROW(MSPTasks[[#Headers],[ID]]))))</f>
        <v/>
      </c>
      <c r="E84" s="24" t="str">
        <f aca="false">IF(IFERROR(INDEX(tsk_Name,(ROW()-ROW(MSPTasks[[#Headers],[ID]])))="",TRUE()),"",IF(INDEX(tsk_Mode,(ROW()-ROW(MSPTasks[[#Headers],[ID]])))="Manual","Manually Scheduled","Auto Scheduled"))</f>
        <v/>
      </c>
      <c r="F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96" t="str">
        <f aca="false">IF(IFERROR(INDEX(tsk_Name,(ROW()-ROW(MSPTasks[[#Headers],[ID]])))="",TRUE()),"",INDEX(tsk_FcStart,(ROW()-ROW(MSPTasks[[#Headers],[ID]]))))</f>
        <v/>
      </c>
      <c r="H84" s="96" t="str">
        <f aca="false">IF(IFERROR(INDEX(tsk_Name,(ROW()-ROW(MSPTasks[[#Headers],[ID]])))="",TRUE()),"",INDEX(tsk_FcFinish,(ROW()-ROW(MSPTasks[[#Headers],[ID]]))))</f>
        <v/>
      </c>
      <c r="I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96" t="str">
        <f aca="false">IF(IFERROR(INDEX(tsk_Name,(ROW()-ROW(MSPTasks[[#Headers],[ID]])))="",TRUE()),"",INDEX(tsk_PlanStart,(ROW()-ROW(MSPTasks[[#Headers],[ID]]))))</f>
        <v/>
      </c>
      <c r="P84" s="96" t="str">
        <f aca="false">IF(IFERROR(INDEX(tsk_Name,(ROW()-ROW(MSPTasks[[#Headers],[ID]])))="",TRUE()),"",INDEX(tsk_PlanFinish,(ROW()-ROW(MSPTasks[[#Headers],[ID]]))))</f>
        <v/>
      </c>
      <c r="Q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4" s="24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4" t="str">
        <f aca="false">IF(IFERROR(INDEX(tsk_Name,(ROW()-ROW(MSPTasks[[#Headers],[ID]])))="",TRUE()),"",INDEX(tsk_ID,(ROW()-ROW(MSPTasks[[#Headers],[ID]]))))</f>
        <v/>
      </c>
      <c r="B85" s="24" t="str">
        <f aca="false">IF(IFERROR(INDEX(tsk_Name,(ROW()-ROW(MSPTasks[[#Headers],[ID]])))="",TRUE()),"",INDEX(tsk_UID,(ROW()-ROW(MSPTasks[[#Headers],[ID]]))))</f>
        <v/>
      </c>
      <c r="C85" s="24" t="str">
        <f aca="false">IF(IFERROR(INDEX(tsk_Name,(ROW()-ROW(MSPTasks[[#Headers],[ID]])))="",TRUE()),"",INDEX(tsk_Name,(ROW()-ROW(MSPTasks[[#Headers],[ID]]))))</f>
        <v/>
      </c>
      <c r="D85" s="24" t="str">
        <f aca="false">IF(IFERROR(INDEX(tsk_Name,(ROW()-ROW(MSPTasks[[#Headers],[ID]])))="",TRUE()),"",INDEX(tsk_Level,(ROW()-ROW(MSPTasks[[#Headers],[ID]]))))</f>
        <v/>
      </c>
      <c r="E85" s="24" t="str">
        <f aca="false">IF(IFERROR(INDEX(tsk_Name,(ROW()-ROW(MSPTasks[[#Headers],[ID]])))="",TRUE()),"",IF(INDEX(tsk_Mode,(ROW()-ROW(MSPTasks[[#Headers],[ID]])))="Manual","Manually Scheduled","Auto Scheduled"))</f>
        <v/>
      </c>
      <c r="F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96" t="str">
        <f aca="false">IF(IFERROR(INDEX(tsk_Name,(ROW()-ROW(MSPTasks[[#Headers],[ID]])))="",TRUE()),"",INDEX(tsk_FcStart,(ROW()-ROW(MSPTasks[[#Headers],[ID]]))))</f>
        <v/>
      </c>
      <c r="H85" s="96" t="str">
        <f aca="false">IF(IFERROR(INDEX(tsk_Name,(ROW()-ROW(MSPTasks[[#Headers],[ID]])))="",TRUE()),"",INDEX(tsk_FcFinish,(ROW()-ROW(MSPTasks[[#Headers],[ID]]))))</f>
        <v/>
      </c>
      <c r="I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96" t="str">
        <f aca="false">IF(IFERROR(INDEX(tsk_Name,(ROW()-ROW(MSPTasks[[#Headers],[ID]])))="",TRUE()),"",INDEX(tsk_PlanStart,(ROW()-ROW(MSPTasks[[#Headers],[ID]]))))</f>
        <v/>
      </c>
      <c r="P85" s="96" t="str">
        <f aca="false">IF(IFERROR(INDEX(tsk_Name,(ROW()-ROW(MSPTasks[[#Headers],[ID]])))="",TRUE()),"",INDEX(tsk_PlanFinish,(ROW()-ROW(MSPTasks[[#Headers],[ID]]))))</f>
        <v/>
      </c>
      <c r="Q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5" s="24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4" t="str">
        <f aca="false">IF(IFERROR(INDEX(tsk_Name,(ROW()-ROW(MSPTasks[[#Headers],[ID]])))="",TRUE()),"",INDEX(tsk_ID,(ROW()-ROW(MSPTasks[[#Headers],[ID]]))))</f>
        <v/>
      </c>
      <c r="B86" s="24" t="str">
        <f aca="false">IF(IFERROR(INDEX(tsk_Name,(ROW()-ROW(MSPTasks[[#Headers],[ID]])))="",TRUE()),"",INDEX(tsk_UID,(ROW()-ROW(MSPTasks[[#Headers],[ID]]))))</f>
        <v/>
      </c>
      <c r="C86" s="24" t="str">
        <f aca="false">IF(IFERROR(INDEX(tsk_Name,(ROW()-ROW(MSPTasks[[#Headers],[ID]])))="",TRUE()),"",INDEX(tsk_Name,(ROW()-ROW(MSPTasks[[#Headers],[ID]]))))</f>
        <v/>
      </c>
      <c r="D86" s="24" t="str">
        <f aca="false">IF(IFERROR(INDEX(tsk_Name,(ROW()-ROW(MSPTasks[[#Headers],[ID]])))="",TRUE()),"",INDEX(tsk_Level,(ROW()-ROW(MSPTasks[[#Headers],[ID]]))))</f>
        <v/>
      </c>
      <c r="E86" s="24" t="str">
        <f aca="false">IF(IFERROR(INDEX(tsk_Name,(ROW()-ROW(MSPTasks[[#Headers],[ID]])))="",TRUE()),"",IF(INDEX(tsk_Mode,(ROW()-ROW(MSPTasks[[#Headers],[ID]])))="Manual","Manually Scheduled","Auto Scheduled"))</f>
        <v/>
      </c>
      <c r="F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96" t="str">
        <f aca="false">IF(IFERROR(INDEX(tsk_Name,(ROW()-ROW(MSPTasks[[#Headers],[ID]])))="",TRUE()),"",INDEX(tsk_FcStart,(ROW()-ROW(MSPTasks[[#Headers],[ID]]))))</f>
        <v/>
      </c>
      <c r="H86" s="96" t="str">
        <f aca="false">IF(IFERROR(INDEX(tsk_Name,(ROW()-ROW(MSPTasks[[#Headers],[ID]])))="",TRUE()),"",INDEX(tsk_FcFinish,(ROW()-ROW(MSPTasks[[#Headers],[ID]]))))</f>
        <v/>
      </c>
      <c r="I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96" t="str">
        <f aca="false">IF(IFERROR(INDEX(tsk_Name,(ROW()-ROW(MSPTasks[[#Headers],[ID]])))="",TRUE()),"",INDEX(tsk_PlanStart,(ROW()-ROW(MSPTasks[[#Headers],[ID]]))))</f>
        <v/>
      </c>
      <c r="P86" s="96" t="str">
        <f aca="false">IF(IFERROR(INDEX(tsk_Name,(ROW()-ROW(MSPTasks[[#Headers],[ID]])))="",TRUE()),"",INDEX(tsk_PlanFinish,(ROW()-ROW(MSPTasks[[#Headers],[ID]]))))</f>
        <v/>
      </c>
      <c r="Q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6" s="24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4" t="str">
        <f aca="false">IF(IFERROR(INDEX(tsk_Name,(ROW()-ROW(MSPTasks[[#Headers],[ID]])))="",TRUE()),"",INDEX(tsk_ID,(ROW()-ROW(MSPTasks[[#Headers],[ID]]))))</f>
        <v/>
      </c>
      <c r="B87" s="24" t="str">
        <f aca="false">IF(IFERROR(INDEX(tsk_Name,(ROW()-ROW(MSPTasks[[#Headers],[ID]])))="",TRUE()),"",INDEX(tsk_UID,(ROW()-ROW(MSPTasks[[#Headers],[ID]]))))</f>
        <v/>
      </c>
      <c r="C87" s="24" t="str">
        <f aca="false">IF(IFERROR(INDEX(tsk_Name,(ROW()-ROW(MSPTasks[[#Headers],[ID]])))="",TRUE()),"",INDEX(tsk_Name,(ROW()-ROW(MSPTasks[[#Headers],[ID]]))))</f>
        <v/>
      </c>
      <c r="D87" s="24" t="str">
        <f aca="false">IF(IFERROR(INDEX(tsk_Name,(ROW()-ROW(MSPTasks[[#Headers],[ID]])))="",TRUE()),"",INDEX(tsk_Level,(ROW()-ROW(MSPTasks[[#Headers],[ID]]))))</f>
        <v/>
      </c>
      <c r="E87" s="24" t="str">
        <f aca="false">IF(IFERROR(INDEX(tsk_Name,(ROW()-ROW(MSPTasks[[#Headers],[ID]])))="",TRUE()),"",IF(INDEX(tsk_Mode,(ROW()-ROW(MSPTasks[[#Headers],[ID]])))="Manual","Manually Scheduled","Auto Scheduled"))</f>
        <v/>
      </c>
      <c r="F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96" t="str">
        <f aca="false">IF(IFERROR(INDEX(tsk_Name,(ROW()-ROW(MSPTasks[[#Headers],[ID]])))="",TRUE()),"",INDEX(tsk_FcStart,(ROW()-ROW(MSPTasks[[#Headers],[ID]]))))</f>
        <v/>
      </c>
      <c r="H87" s="96" t="str">
        <f aca="false">IF(IFERROR(INDEX(tsk_Name,(ROW()-ROW(MSPTasks[[#Headers],[ID]])))="",TRUE()),"",INDEX(tsk_FcFinish,(ROW()-ROW(MSPTasks[[#Headers],[ID]]))))</f>
        <v/>
      </c>
      <c r="I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96" t="str">
        <f aca="false">IF(IFERROR(INDEX(tsk_Name,(ROW()-ROW(MSPTasks[[#Headers],[ID]])))="",TRUE()),"",INDEX(tsk_PlanStart,(ROW()-ROW(MSPTasks[[#Headers],[ID]]))))</f>
        <v/>
      </c>
      <c r="P87" s="96" t="str">
        <f aca="false">IF(IFERROR(INDEX(tsk_Name,(ROW()-ROW(MSPTasks[[#Headers],[ID]])))="",TRUE()),"",INDEX(tsk_PlanFinish,(ROW()-ROW(MSPTasks[[#Headers],[ID]]))))</f>
        <v/>
      </c>
      <c r="Q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7" s="24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4" t="str">
        <f aca="false">IF(IFERROR(INDEX(tsk_Name,(ROW()-ROW(MSPTasks[[#Headers],[ID]])))="",TRUE()),"",INDEX(tsk_ID,(ROW()-ROW(MSPTasks[[#Headers],[ID]]))))</f>
        <v/>
      </c>
      <c r="B88" s="24" t="str">
        <f aca="false">IF(IFERROR(INDEX(tsk_Name,(ROW()-ROW(MSPTasks[[#Headers],[ID]])))="",TRUE()),"",INDEX(tsk_UID,(ROW()-ROW(MSPTasks[[#Headers],[ID]]))))</f>
        <v/>
      </c>
      <c r="C88" s="24" t="str">
        <f aca="false">IF(IFERROR(INDEX(tsk_Name,(ROW()-ROW(MSPTasks[[#Headers],[ID]])))="",TRUE()),"",INDEX(tsk_Name,(ROW()-ROW(MSPTasks[[#Headers],[ID]]))))</f>
        <v/>
      </c>
      <c r="D88" s="24" t="str">
        <f aca="false">IF(IFERROR(INDEX(tsk_Name,(ROW()-ROW(MSPTasks[[#Headers],[ID]])))="",TRUE()),"",INDEX(tsk_Level,(ROW()-ROW(MSPTasks[[#Headers],[ID]]))))</f>
        <v/>
      </c>
      <c r="E88" s="24" t="str">
        <f aca="false">IF(IFERROR(INDEX(tsk_Name,(ROW()-ROW(MSPTasks[[#Headers],[ID]])))="",TRUE()),"",IF(INDEX(tsk_Mode,(ROW()-ROW(MSPTasks[[#Headers],[ID]])))="Manual","Manually Scheduled","Auto Scheduled"))</f>
        <v/>
      </c>
      <c r="F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96" t="str">
        <f aca="false">IF(IFERROR(INDEX(tsk_Name,(ROW()-ROW(MSPTasks[[#Headers],[ID]])))="",TRUE()),"",INDEX(tsk_FcStart,(ROW()-ROW(MSPTasks[[#Headers],[ID]]))))</f>
        <v/>
      </c>
      <c r="H88" s="96" t="str">
        <f aca="false">IF(IFERROR(INDEX(tsk_Name,(ROW()-ROW(MSPTasks[[#Headers],[ID]])))="",TRUE()),"",INDEX(tsk_FcFinish,(ROW()-ROW(MSPTasks[[#Headers],[ID]]))))</f>
        <v/>
      </c>
      <c r="I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96" t="str">
        <f aca="false">IF(IFERROR(INDEX(tsk_Name,(ROW()-ROW(MSPTasks[[#Headers],[ID]])))="",TRUE()),"",INDEX(tsk_PlanStart,(ROW()-ROW(MSPTasks[[#Headers],[ID]]))))</f>
        <v/>
      </c>
      <c r="P88" s="96" t="str">
        <f aca="false">IF(IFERROR(INDEX(tsk_Name,(ROW()-ROW(MSPTasks[[#Headers],[ID]])))="",TRUE()),"",INDEX(tsk_PlanFinish,(ROW()-ROW(MSPTasks[[#Headers],[ID]]))))</f>
        <v/>
      </c>
      <c r="Q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8" s="24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4" t="str">
        <f aca="false">IF(IFERROR(INDEX(tsk_Name,(ROW()-ROW(MSPTasks[[#Headers],[ID]])))="",TRUE()),"",INDEX(tsk_ID,(ROW()-ROW(MSPTasks[[#Headers],[ID]]))))</f>
        <v/>
      </c>
      <c r="B89" s="24" t="str">
        <f aca="false">IF(IFERROR(INDEX(tsk_Name,(ROW()-ROW(MSPTasks[[#Headers],[ID]])))="",TRUE()),"",INDEX(tsk_UID,(ROW()-ROW(MSPTasks[[#Headers],[ID]]))))</f>
        <v/>
      </c>
      <c r="C89" s="24" t="str">
        <f aca="false">IF(IFERROR(INDEX(tsk_Name,(ROW()-ROW(MSPTasks[[#Headers],[ID]])))="",TRUE()),"",INDEX(tsk_Name,(ROW()-ROW(MSPTasks[[#Headers],[ID]]))))</f>
        <v/>
      </c>
      <c r="D89" s="24" t="str">
        <f aca="false">IF(IFERROR(INDEX(tsk_Name,(ROW()-ROW(MSPTasks[[#Headers],[ID]])))="",TRUE()),"",INDEX(tsk_Level,(ROW()-ROW(MSPTasks[[#Headers],[ID]]))))</f>
        <v/>
      </c>
      <c r="E89" s="24" t="str">
        <f aca="false">IF(IFERROR(INDEX(tsk_Name,(ROW()-ROW(MSPTasks[[#Headers],[ID]])))="",TRUE()),"",IF(INDEX(tsk_Mode,(ROW()-ROW(MSPTasks[[#Headers],[ID]])))="Manual","Manually Scheduled","Auto Scheduled"))</f>
        <v/>
      </c>
      <c r="F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96" t="str">
        <f aca="false">IF(IFERROR(INDEX(tsk_Name,(ROW()-ROW(MSPTasks[[#Headers],[ID]])))="",TRUE()),"",INDEX(tsk_FcStart,(ROW()-ROW(MSPTasks[[#Headers],[ID]]))))</f>
        <v/>
      </c>
      <c r="H89" s="96" t="str">
        <f aca="false">IF(IFERROR(INDEX(tsk_Name,(ROW()-ROW(MSPTasks[[#Headers],[ID]])))="",TRUE()),"",INDEX(tsk_FcFinish,(ROW()-ROW(MSPTasks[[#Headers],[ID]]))))</f>
        <v/>
      </c>
      <c r="I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96" t="str">
        <f aca="false">IF(IFERROR(INDEX(tsk_Name,(ROW()-ROW(MSPTasks[[#Headers],[ID]])))="",TRUE()),"",INDEX(tsk_PlanStart,(ROW()-ROW(MSPTasks[[#Headers],[ID]]))))</f>
        <v/>
      </c>
      <c r="P89" s="96" t="str">
        <f aca="false">IF(IFERROR(INDEX(tsk_Name,(ROW()-ROW(MSPTasks[[#Headers],[ID]])))="",TRUE()),"",INDEX(tsk_PlanFinish,(ROW()-ROW(MSPTasks[[#Headers],[ID]]))))</f>
        <v/>
      </c>
      <c r="Q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9" s="24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4" t="str">
        <f aca="false">IF(IFERROR(INDEX(tsk_Name,(ROW()-ROW(MSPTasks[[#Headers],[ID]])))="",TRUE()),"",INDEX(tsk_ID,(ROW()-ROW(MSPTasks[[#Headers],[ID]]))))</f>
        <v/>
      </c>
      <c r="B90" s="24" t="str">
        <f aca="false">IF(IFERROR(INDEX(tsk_Name,(ROW()-ROW(MSPTasks[[#Headers],[ID]])))="",TRUE()),"",INDEX(tsk_UID,(ROW()-ROW(MSPTasks[[#Headers],[ID]]))))</f>
        <v/>
      </c>
      <c r="C90" s="24" t="str">
        <f aca="false">IF(IFERROR(INDEX(tsk_Name,(ROW()-ROW(MSPTasks[[#Headers],[ID]])))="",TRUE()),"",INDEX(tsk_Name,(ROW()-ROW(MSPTasks[[#Headers],[ID]]))))</f>
        <v/>
      </c>
      <c r="D90" s="24" t="str">
        <f aca="false">IF(IFERROR(INDEX(tsk_Name,(ROW()-ROW(MSPTasks[[#Headers],[ID]])))="",TRUE()),"",INDEX(tsk_Level,(ROW()-ROW(MSPTasks[[#Headers],[ID]]))))</f>
        <v/>
      </c>
      <c r="E90" s="24" t="str">
        <f aca="false">IF(IFERROR(INDEX(tsk_Name,(ROW()-ROW(MSPTasks[[#Headers],[ID]])))="",TRUE()),"",IF(INDEX(tsk_Mode,(ROW()-ROW(MSPTasks[[#Headers],[ID]])))="Manual","Manually Scheduled","Auto Scheduled"))</f>
        <v/>
      </c>
      <c r="F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96" t="str">
        <f aca="false">IF(IFERROR(INDEX(tsk_Name,(ROW()-ROW(MSPTasks[[#Headers],[ID]])))="",TRUE()),"",INDEX(tsk_FcStart,(ROW()-ROW(MSPTasks[[#Headers],[ID]]))))</f>
        <v/>
      </c>
      <c r="H90" s="96" t="str">
        <f aca="false">IF(IFERROR(INDEX(tsk_Name,(ROW()-ROW(MSPTasks[[#Headers],[ID]])))="",TRUE()),"",INDEX(tsk_FcFinish,(ROW()-ROW(MSPTasks[[#Headers],[ID]]))))</f>
        <v/>
      </c>
      <c r="I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96" t="str">
        <f aca="false">IF(IFERROR(INDEX(tsk_Name,(ROW()-ROW(MSPTasks[[#Headers],[ID]])))="",TRUE()),"",INDEX(tsk_PlanStart,(ROW()-ROW(MSPTasks[[#Headers],[ID]]))))</f>
        <v/>
      </c>
      <c r="P90" s="96" t="str">
        <f aca="false">IF(IFERROR(INDEX(tsk_Name,(ROW()-ROW(MSPTasks[[#Headers],[ID]])))="",TRUE()),"",INDEX(tsk_PlanFinish,(ROW()-ROW(MSPTasks[[#Headers],[ID]]))))</f>
        <v/>
      </c>
      <c r="Q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0" s="24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4" t="str">
        <f aca="false">IF(IFERROR(INDEX(tsk_Name,(ROW()-ROW(MSPTasks[[#Headers],[ID]])))="",TRUE()),"",INDEX(tsk_ID,(ROW()-ROW(MSPTasks[[#Headers],[ID]]))))</f>
        <v/>
      </c>
      <c r="B91" s="24" t="str">
        <f aca="false">IF(IFERROR(INDEX(tsk_Name,(ROW()-ROW(MSPTasks[[#Headers],[ID]])))="",TRUE()),"",INDEX(tsk_UID,(ROW()-ROW(MSPTasks[[#Headers],[ID]]))))</f>
        <v/>
      </c>
      <c r="C91" s="24" t="str">
        <f aca="false">IF(IFERROR(INDEX(tsk_Name,(ROW()-ROW(MSPTasks[[#Headers],[ID]])))="",TRUE()),"",INDEX(tsk_Name,(ROW()-ROW(MSPTasks[[#Headers],[ID]]))))</f>
        <v/>
      </c>
      <c r="D91" s="24" t="str">
        <f aca="false">IF(IFERROR(INDEX(tsk_Name,(ROW()-ROW(MSPTasks[[#Headers],[ID]])))="",TRUE()),"",INDEX(tsk_Level,(ROW()-ROW(MSPTasks[[#Headers],[ID]]))))</f>
        <v/>
      </c>
      <c r="E91" s="24" t="str">
        <f aca="false">IF(IFERROR(INDEX(tsk_Name,(ROW()-ROW(MSPTasks[[#Headers],[ID]])))="",TRUE()),"",IF(INDEX(tsk_Mode,(ROW()-ROW(MSPTasks[[#Headers],[ID]])))="Manual","Manually Scheduled","Auto Scheduled"))</f>
        <v/>
      </c>
      <c r="F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96" t="str">
        <f aca="false">IF(IFERROR(INDEX(tsk_Name,(ROW()-ROW(MSPTasks[[#Headers],[ID]])))="",TRUE()),"",INDEX(tsk_FcStart,(ROW()-ROW(MSPTasks[[#Headers],[ID]]))))</f>
        <v/>
      </c>
      <c r="H91" s="96" t="str">
        <f aca="false">IF(IFERROR(INDEX(tsk_Name,(ROW()-ROW(MSPTasks[[#Headers],[ID]])))="",TRUE()),"",INDEX(tsk_FcFinish,(ROW()-ROW(MSPTasks[[#Headers],[ID]]))))</f>
        <v/>
      </c>
      <c r="I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96" t="str">
        <f aca="false">IF(IFERROR(INDEX(tsk_Name,(ROW()-ROW(MSPTasks[[#Headers],[ID]])))="",TRUE()),"",INDEX(tsk_PlanStart,(ROW()-ROW(MSPTasks[[#Headers],[ID]]))))</f>
        <v/>
      </c>
      <c r="P91" s="96" t="str">
        <f aca="false">IF(IFERROR(INDEX(tsk_Name,(ROW()-ROW(MSPTasks[[#Headers],[ID]])))="",TRUE()),"",INDEX(tsk_PlanFinish,(ROW()-ROW(MSPTasks[[#Headers],[ID]]))))</f>
        <v/>
      </c>
      <c r="Q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1" s="24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4" t="str">
        <f aca="false">IF(IFERROR(INDEX(tsk_Name,(ROW()-ROW(MSPTasks[[#Headers],[ID]])))="",TRUE()),"",INDEX(tsk_ID,(ROW()-ROW(MSPTasks[[#Headers],[ID]]))))</f>
        <v/>
      </c>
      <c r="B92" s="24" t="str">
        <f aca="false">IF(IFERROR(INDEX(tsk_Name,(ROW()-ROW(MSPTasks[[#Headers],[ID]])))="",TRUE()),"",INDEX(tsk_UID,(ROW()-ROW(MSPTasks[[#Headers],[ID]]))))</f>
        <v/>
      </c>
      <c r="C92" s="24" t="str">
        <f aca="false">IF(IFERROR(INDEX(tsk_Name,(ROW()-ROW(MSPTasks[[#Headers],[ID]])))="",TRUE()),"",INDEX(tsk_Name,(ROW()-ROW(MSPTasks[[#Headers],[ID]]))))</f>
        <v/>
      </c>
      <c r="D92" s="24" t="str">
        <f aca="false">IF(IFERROR(INDEX(tsk_Name,(ROW()-ROW(MSPTasks[[#Headers],[ID]])))="",TRUE()),"",INDEX(tsk_Level,(ROW()-ROW(MSPTasks[[#Headers],[ID]]))))</f>
        <v/>
      </c>
      <c r="E92" s="24" t="str">
        <f aca="false">IF(IFERROR(INDEX(tsk_Name,(ROW()-ROW(MSPTasks[[#Headers],[ID]])))="",TRUE()),"",IF(INDEX(tsk_Mode,(ROW()-ROW(MSPTasks[[#Headers],[ID]])))="Manual","Manually Scheduled","Auto Scheduled"))</f>
        <v/>
      </c>
      <c r="F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96" t="str">
        <f aca="false">IF(IFERROR(INDEX(tsk_Name,(ROW()-ROW(MSPTasks[[#Headers],[ID]])))="",TRUE()),"",INDEX(tsk_FcStart,(ROW()-ROW(MSPTasks[[#Headers],[ID]]))))</f>
        <v/>
      </c>
      <c r="H92" s="96" t="str">
        <f aca="false">IF(IFERROR(INDEX(tsk_Name,(ROW()-ROW(MSPTasks[[#Headers],[ID]])))="",TRUE()),"",INDEX(tsk_FcFinish,(ROW()-ROW(MSPTasks[[#Headers],[ID]]))))</f>
        <v/>
      </c>
      <c r="I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96" t="str">
        <f aca="false">IF(IFERROR(INDEX(tsk_Name,(ROW()-ROW(MSPTasks[[#Headers],[ID]])))="",TRUE()),"",INDEX(tsk_PlanStart,(ROW()-ROW(MSPTasks[[#Headers],[ID]]))))</f>
        <v/>
      </c>
      <c r="P92" s="96" t="str">
        <f aca="false">IF(IFERROR(INDEX(tsk_Name,(ROW()-ROW(MSPTasks[[#Headers],[ID]])))="",TRUE()),"",INDEX(tsk_PlanFinish,(ROW()-ROW(MSPTasks[[#Headers],[ID]]))))</f>
        <v/>
      </c>
      <c r="Q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2" s="24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4" t="str">
        <f aca="false">IF(IFERROR(INDEX(tsk_Name,(ROW()-ROW(MSPTasks[[#Headers],[ID]])))="",TRUE()),"",INDEX(tsk_ID,(ROW()-ROW(MSPTasks[[#Headers],[ID]]))))</f>
        <v/>
      </c>
      <c r="B93" s="24" t="str">
        <f aca="false">IF(IFERROR(INDEX(tsk_Name,(ROW()-ROW(MSPTasks[[#Headers],[ID]])))="",TRUE()),"",INDEX(tsk_UID,(ROW()-ROW(MSPTasks[[#Headers],[ID]]))))</f>
        <v/>
      </c>
      <c r="C93" s="24" t="str">
        <f aca="false">IF(IFERROR(INDEX(tsk_Name,(ROW()-ROW(MSPTasks[[#Headers],[ID]])))="",TRUE()),"",INDEX(tsk_Name,(ROW()-ROW(MSPTasks[[#Headers],[ID]]))))</f>
        <v/>
      </c>
      <c r="D93" s="24" t="str">
        <f aca="false">IF(IFERROR(INDEX(tsk_Name,(ROW()-ROW(MSPTasks[[#Headers],[ID]])))="",TRUE()),"",INDEX(tsk_Level,(ROW()-ROW(MSPTasks[[#Headers],[ID]]))))</f>
        <v/>
      </c>
      <c r="E93" s="24" t="str">
        <f aca="false">IF(IFERROR(INDEX(tsk_Name,(ROW()-ROW(MSPTasks[[#Headers],[ID]])))="",TRUE()),"",IF(INDEX(tsk_Mode,(ROW()-ROW(MSPTasks[[#Headers],[ID]])))="Manual","Manually Scheduled","Auto Scheduled"))</f>
        <v/>
      </c>
      <c r="F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96" t="str">
        <f aca="false">IF(IFERROR(INDEX(tsk_Name,(ROW()-ROW(MSPTasks[[#Headers],[ID]])))="",TRUE()),"",INDEX(tsk_FcStart,(ROW()-ROW(MSPTasks[[#Headers],[ID]]))))</f>
        <v/>
      </c>
      <c r="H93" s="96" t="str">
        <f aca="false">IF(IFERROR(INDEX(tsk_Name,(ROW()-ROW(MSPTasks[[#Headers],[ID]])))="",TRUE()),"",INDEX(tsk_FcFinish,(ROW()-ROW(MSPTasks[[#Headers],[ID]]))))</f>
        <v/>
      </c>
      <c r="I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96" t="str">
        <f aca="false">IF(IFERROR(INDEX(tsk_Name,(ROW()-ROW(MSPTasks[[#Headers],[ID]])))="",TRUE()),"",INDEX(tsk_PlanStart,(ROW()-ROW(MSPTasks[[#Headers],[ID]]))))</f>
        <v/>
      </c>
      <c r="P93" s="96" t="str">
        <f aca="false">IF(IFERROR(INDEX(tsk_Name,(ROW()-ROW(MSPTasks[[#Headers],[ID]])))="",TRUE()),"",INDEX(tsk_PlanFinish,(ROW()-ROW(MSPTasks[[#Headers],[ID]]))))</f>
        <v/>
      </c>
      <c r="Q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3" s="24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4" t="str">
        <f aca="false">IF(IFERROR(INDEX(tsk_Name,(ROW()-ROW(MSPTasks[[#Headers],[ID]])))="",TRUE()),"",INDEX(tsk_ID,(ROW()-ROW(MSPTasks[[#Headers],[ID]]))))</f>
        <v/>
      </c>
      <c r="B94" s="24" t="str">
        <f aca="false">IF(IFERROR(INDEX(tsk_Name,(ROW()-ROW(MSPTasks[[#Headers],[ID]])))="",TRUE()),"",INDEX(tsk_UID,(ROW()-ROW(MSPTasks[[#Headers],[ID]]))))</f>
        <v/>
      </c>
      <c r="C94" s="24" t="str">
        <f aca="false">IF(IFERROR(INDEX(tsk_Name,(ROW()-ROW(MSPTasks[[#Headers],[ID]])))="",TRUE()),"",INDEX(tsk_Name,(ROW()-ROW(MSPTasks[[#Headers],[ID]]))))</f>
        <v/>
      </c>
      <c r="D94" s="24" t="str">
        <f aca="false">IF(IFERROR(INDEX(tsk_Name,(ROW()-ROW(MSPTasks[[#Headers],[ID]])))="",TRUE()),"",INDEX(tsk_Level,(ROW()-ROW(MSPTasks[[#Headers],[ID]]))))</f>
        <v/>
      </c>
      <c r="E94" s="24" t="str">
        <f aca="false">IF(IFERROR(INDEX(tsk_Name,(ROW()-ROW(MSPTasks[[#Headers],[ID]])))="",TRUE()),"",IF(INDEX(tsk_Mode,(ROW()-ROW(MSPTasks[[#Headers],[ID]])))="Manual","Manually Scheduled","Auto Scheduled"))</f>
        <v/>
      </c>
      <c r="F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96" t="str">
        <f aca="false">IF(IFERROR(INDEX(tsk_Name,(ROW()-ROW(MSPTasks[[#Headers],[ID]])))="",TRUE()),"",INDEX(tsk_FcStart,(ROW()-ROW(MSPTasks[[#Headers],[ID]]))))</f>
        <v/>
      </c>
      <c r="H94" s="96" t="str">
        <f aca="false">IF(IFERROR(INDEX(tsk_Name,(ROW()-ROW(MSPTasks[[#Headers],[ID]])))="",TRUE()),"",INDEX(tsk_FcFinish,(ROW()-ROW(MSPTasks[[#Headers],[ID]]))))</f>
        <v/>
      </c>
      <c r="I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96" t="str">
        <f aca="false">IF(IFERROR(INDEX(tsk_Name,(ROW()-ROW(MSPTasks[[#Headers],[ID]])))="",TRUE()),"",INDEX(tsk_PlanStart,(ROW()-ROW(MSPTasks[[#Headers],[ID]]))))</f>
        <v/>
      </c>
      <c r="P94" s="96" t="str">
        <f aca="false">IF(IFERROR(INDEX(tsk_Name,(ROW()-ROW(MSPTasks[[#Headers],[ID]])))="",TRUE()),"",INDEX(tsk_PlanFinish,(ROW()-ROW(MSPTasks[[#Headers],[ID]]))))</f>
        <v/>
      </c>
      <c r="Q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4" s="24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4" t="str">
        <f aca="false">IF(IFERROR(INDEX(tsk_Name,(ROW()-ROW(MSPTasks[[#Headers],[ID]])))="",TRUE()),"",INDEX(tsk_ID,(ROW()-ROW(MSPTasks[[#Headers],[ID]]))))</f>
        <v/>
      </c>
      <c r="B95" s="24" t="str">
        <f aca="false">IF(IFERROR(INDEX(tsk_Name,(ROW()-ROW(MSPTasks[[#Headers],[ID]])))="",TRUE()),"",INDEX(tsk_UID,(ROW()-ROW(MSPTasks[[#Headers],[ID]]))))</f>
        <v/>
      </c>
      <c r="C95" s="24" t="str">
        <f aca="false">IF(IFERROR(INDEX(tsk_Name,(ROW()-ROW(MSPTasks[[#Headers],[ID]])))="",TRUE()),"",INDEX(tsk_Name,(ROW()-ROW(MSPTasks[[#Headers],[ID]]))))</f>
        <v/>
      </c>
      <c r="D95" s="24" t="str">
        <f aca="false">IF(IFERROR(INDEX(tsk_Name,(ROW()-ROW(MSPTasks[[#Headers],[ID]])))="",TRUE()),"",INDEX(tsk_Level,(ROW()-ROW(MSPTasks[[#Headers],[ID]]))))</f>
        <v/>
      </c>
      <c r="E95" s="24" t="str">
        <f aca="false">IF(IFERROR(INDEX(tsk_Name,(ROW()-ROW(MSPTasks[[#Headers],[ID]])))="",TRUE()),"",IF(INDEX(tsk_Mode,(ROW()-ROW(MSPTasks[[#Headers],[ID]])))="Manual","Manually Scheduled","Auto Scheduled"))</f>
        <v/>
      </c>
      <c r="F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96" t="str">
        <f aca="false">IF(IFERROR(INDEX(tsk_Name,(ROW()-ROW(MSPTasks[[#Headers],[ID]])))="",TRUE()),"",INDEX(tsk_FcStart,(ROW()-ROW(MSPTasks[[#Headers],[ID]]))))</f>
        <v/>
      </c>
      <c r="H95" s="96" t="str">
        <f aca="false">IF(IFERROR(INDEX(tsk_Name,(ROW()-ROW(MSPTasks[[#Headers],[ID]])))="",TRUE()),"",INDEX(tsk_FcFinish,(ROW()-ROW(MSPTasks[[#Headers],[ID]]))))</f>
        <v/>
      </c>
      <c r="I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96" t="str">
        <f aca="false">IF(IFERROR(INDEX(tsk_Name,(ROW()-ROW(MSPTasks[[#Headers],[ID]])))="",TRUE()),"",INDEX(tsk_PlanStart,(ROW()-ROW(MSPTasks[[#Headers],[ID]]))))</f>
        <v/>
      </c>
      <c r="P95" s="96" t="str">
        <f aca="false">IF(IFERROR(INDEX(tsk_Name,(ROW()-ROW(MSPTasks[[#Headers],[ID]])))="",TRUE()),"",INDEX(tsk_PlanFinish,(ROW()-ROW(MSPTasks[[#Headers],[ID]]))))</f>
        <v/>
      </c>
      <c r="Q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5" s="24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4" t="str">
        <f aca="false">IF(IFERROR(INDEX(tsk_Name,(ROW()-ROW(MSPTasks[[#Headers],[ID]])))="",TRUE()),"",INDEX(tsk_ID,(ROW()-ROW(MSPTasks[[#Headers],[ID]]))))</f>
        <v/>
      </c>
      <c r="B96" s="24" t="str">
        <f aca="false">IF(IFERROR(INDEX(tsk_Name,(ROW()-ROW(MSPTasks[[#Headers],[ID]])))="",TRUE()),"",INDEX(tsk_UID,(ROW()-ROW(MSPTasks[[#Headers],[ID]]))))</f>
        <v/>
      </c>
      <c r="C96" s="24" t="str">
        <f aca="false">IF(IFERROR(INDEX(tsk_Name,(ROW()-ROW(MSPTasks[[#Headers],[ID]])))="",TRUE()),"",INDEX(tsk_Name,(ROW()-ROW(MSPTasks[[#Headers],[ID]]))))</f>
        <v/>
      </c>
      <c r="D96" s="24" t="str">
        <f aca="false">IF(IFERROR(INDEX(tsk_Name,(ROW()-ROW(MSPTasks[[#Headers],[ID]])))="",TRUE()),"",INDEX(tsk_Level,(ROW()-ROW(MSPTasks[[#Headers],[ID]]))))</f>
        <v/>
      </c>
      <c r="E96" s="24" t="str">
        <f aca="false">IF(IFERROR(INDEX(tsk_Name,(ROW()-ROW(MSPTasks[[#Headers],[ID]])))="",TRUE()),"",IF(INDEX(tsk_Mode,(ROW()-ROW(MSPTasks[[#Headers],[ID]])))="Manual","Manually Scheduled","Auto Scheduled"))</f>
        <v/>
      </c>
      <c r="F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96" t="str">
        <f aca="false">IF(IFERROR(INDEX(tsk_Name,(ROW()-ROW(MSPTasks[[#Headers],[ID]])))="",TRUE()),"",INDEX(tsk_FcStart,(ROW()-ROW(MSPTasks[[#Headers],[ID]]))))</f>
        <v/>
      </c>
      <c r="H96" s="96" t="str">
        <f aca="false">IF(IFERROR(INDEX(tsk_Name,(ROW()-ROW(MSPTasks[[#Headers],[ID]])))="",TRUE()),"",INDEX(tsk_FcFinish,(ROW()-ROW(MSPTasks[[#Headers],[ID]]))))</f>
        <v/>
      </c>
      <c r="I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96" t="str">
        <f aca="false">IF(IFERROR(INDEX(tsk_Name,(ROW()-ROW(MSPTasks[[#Headers],[ID]])))="",TRUE()),"",INDEX(tsk_PlanStart,(ROW()-ROW(MSPTasks[[#Headers],[ID]]))))</f>
        <v/>
      </c>
      <c r="P96" s="96" t="str">
        <f aca="false">IF(IFERROR(INDEX(tsk_Name,(ROW()-ROW(MSPTasks[[#Headers],[ID]])))="",TRUE()),"",INDEX(tsk_PlanFinish,(ROW()-ROW(MSPTasks[[#Headers],[ID]]))))</f>
        <v/>
      </c>
      <c r="Q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6" s="24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4" t="str">
        <f aca="false">IF(IFERROR(INDEX(tsk_Name,(ROW()-ROW(MSPTasks[[#Headers],[ID]])))="",TRUE()),"",INDEX(tsk_ID,(ROW()-ROW(MSPTasks[[#Headers],[ID]]))))</f>
        <v/>
      </c>
      <c r="B97" s="24" t="str">
        <f aca="false">IF(IFERROR(INDEX(tsk_Name,(ROW()-ROW(MSPTasks[[#Headers],[ID]])))="",TRUE()),"",INDEX(tsk_UID,(ROW()-ROW(MSPTasks[[#Headers],[ID]]))))</f>
        <v/>
      </c>
      <c r="C97" s="24" t="str">
        <f aca="false">IF(IFERROR(INDEX(tsk_Name,(ROW()-ROW(MSPTasks[[#Headers],[ID]])))="",TRUE()),"",INDEX(tsk_Name,(ROW()-ROW(MSPTasks[[#Headers],[ID]]))))</f>
        <v/>
      </c>
      <c r="D97" s="24" t="str">
        <f aca="false">IF(IFERROR(INDEX(tsk_Name,(ROW()-ROW(MSPTasks[[#Headers],[ID]])))="",TRUE()),"",INDEX(tsk_Level,(ROW()-ROW(MSPTasks[[#Headers],[ID]]))))</f>
        <v/>
      </c>
      <c r="E97" s="24" t="str">
        <f aca="false">IF(IFERROR(INDEX(tsk_Name,(ROW()-ROW(MSPTasks[[#Headers],[ID]])))="",TRUE()),"",IF(INDEX(tsk_Mode,(ROW()-ROW(MSPTasks[[#Headers],[ID]])))="Manual","Manually Scheduled","Auto Scheduled"))</f>
        <v/>
      </c>
      <c r="F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96" t="str">
        <f aca="false">IF(IFERROR(INDEX(tsk_Name,(ROW()-ROW(MSPTasks[[#Headers],[ID]])))="",TRUE()),"",INDEX(tsk_FcStart,(ROW()-ROW(MSPTasks[[#Headers],[ID]]))))</f>
        <v/>
      </c>
      <c r="H97" s="96" t="str">
        <f aca="false">IF(IFERROR(INDEX(tsk_Name,(ROW()-ROW(MSPTasks[[#Headers],[ID]])))="",TRUE()),"",INDEX(tsk_FcFinish,(ROW()-ROW(MSPTasks[[#Headers],[ID]]))))</f>
        <v/>
      </c>
      <c r="I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96" t="str">
        <f aca="false">IF(IFERROR(INDEX(tsk_Name,(ROW()-ROW(MSPTasks[[#Headers],[ID]])))="",TRUE()),"",INDEX(tsk_PlanStart,(ROW()-ROW(MSPTasks[[#Headers],[ID]]))))</f>
        <v/>
      </c>
      <c r="P97" s="96" t="str">
        <f aca="false">IF(IFERROR(INDEX(tsk_Name,(ROW()-ROW(MSPTasks[[#Headers],[ID]])))="",TRUE()),"",INDEX(tsk_PlanFinish,(ROW()-ROW(MSPTasks[[#Headers],[ID]]))))</f>
        <v/>
      </c>
      <c r="Q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7" s="24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4" t="str">
        <f aca="false">IF(IFERROR(INDEX(tsk_Name,(ROW()-ROW(MSPTasks[[#Headers],[ID]])))="",TRUE()),"",INDEX(tsk_ID,(ROW()-ROW(MSPTasks[[#Headers],[ID]]))))</f>
        <v/>
      </c>
      <c r="B98" s="24" t="str">
        <f aca="false">IF(IFERROR(INDEX(tsk_Name,(ROW()-ROW(MSPTasks[[#Headers],[ID]])))="",TRUE()),"",INDEX(tsk_UID,(ROW()-ROW(MSPTasks[[#Headers],[ID]]))))</f>
        <v/>
      </c>
      <c r="C98" s="24" t="str">
        <f aca="false">IF(IFERROR(INDEX(tsk_Name,(ROW()-ROW(MSPTasks[[#Headers],[ID]])))="",TRUE()),"",INDEX(tsk_Name,(ROW()-ROW(MSPTasks[[#Headers],[ID]]))))</f>
        <v/>
      </c>
      <c r="D98" s="24" t="str">
        <f aca="false">IF(IFERROR(INDEX(tsk_Name,(ROW()-ROW(MSPTasks[[#Headers],[ID]])))="",TRUE()),"",INDEX(tsk_Level,(ROW()-ROW(MSPTasks[[#Headers],[ID]]))))</f>
        <v/>
      </c>
      <c r="E98" s="24" t="str">
        <f aca="false">IF(IFERROR(INDEX(tsk_Name,(ROW()-ROW(MSPTasks[[#Headers],[ID]])))="",TRUE()),"",IF(INDEX(tsk_Mode,(ROW()-ROW(MSPTasks[[#Headers],[ID]])))="Manual","Manually Scheduled","Auto Scheduled"))</f>
        <v/>
      </c>
      <c r="F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96" t="str">
        <f aca="false">IF(IFERROR(INDEX(tsk_Name,(ROW()-ROW(MSPTasks[[#Headers],[ID]])))="",TRUE()),"",INDEX(tsk_FcStart,(ROW()-ROW(MSPTasks[[#Headers],[ID]]))))</f>
        <v/>
      </c>
      <c r="H98" s="96" t="str">
        <f aca="false">IF(IFERROR(INDEX(tsk_Name,(ROW()-ROW(MSPTasks[[#Headers],[ID]])))="",TRUE()),"",INDEX(tsk_FcFinish,(ROW()-ROW(MSPTasks[[#Headers],[ID]]))))</f>
        <v/>
      </c>
      <c r="I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96" t="str">
        <f aca="false">IF(IFERROR(INDEX(tsk_Name,(ROW()-ROW(MSPTasks[[#Headers],[ID]])))="",TRUE()),"",INDEX(tsk_PlanStart,(ROW()-ROW(MSPTasks[[#Headers],[ID]]))))</f>
        <v/>
      </c>
      <c r="P98" s="96" t="str">
        <f aca="false">IF(IFERROR(INDEX(tsk_Name,(ROW()-ROW(MSPTasks[[#Headers],[ID]])))="",TRUE()),"",INDEX(tsk_PlanFinish,(ROW()-ROW(MSPTasks[[#Headers],[ID]]))))</f>
        <v/>
      </c>
      <c r="Q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8" s="24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4" t="str">
        <f aca="false">IF(IFERROR(INDEX(tsk_Name,(ROW()-ROW(MSPTasks[[#Headers],[ID]])))="",TRUE()),"",INDEX(tsk_ID,(ROW()-ROW(MSPTasks[[#Headers],[ID]]))))</f>
        <v/>
      </c>
      <c r="B99" s="24" t="str">
        <f aca="false">IF(IFERROR(INDEX(tsk_Name,(ROW()-ROW(MSPTasks[[#Headers],[ID]])))="",TRUE()),"",INDEX(tsk_UID,(ROW()-ROW(MSPTasks[[#Headers],[ID]]))))</f>
        <v/>
      </c>
      <c r="C99" s="24" t="str">
        <f aca="false">IF(IFERROR(INDEX(tsk_Name,(ROW()-ROW(MSPTasks[[#Headers],[ID]])))="",TRUE()),"",INDEX(tsk_Name,(ROW()-ROW(MSPTasks[[#Headers],[ID]]))))</f>
        <v/>
      </c>
      <c r="D99" s="24" t="str">
        <f aca="false">IF(IFERROR(INDEX(tsk_Name,(ROW()-ROW(MSPTasks[[#Headers],[ID]])))="",TRUE()),"",INDEX(tsk_Level,(ROW()-ROW(MSPTasks[[#Headers],[ID]]))))</f>
        <v/>
      </c>
      <c r="E99" s="24" t="str">
        <f aca="false">IF(IFERROR(INDEX(tsk_Name,(ROW()-ROW(MSPTasks[[#Headers],[ID]])))="",TRUE()),"",IF(INDEX(tsk_Mode,(ROW()-ROW(MSPTasks[[#Headers],[ID]])))="Manual","Manually Scheduled","Auto Scheduled"))</f>
        <v/>
      </c>
      <c r="F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96" t="str">
        <f aca="false">IF(IFERROR(INDEX(tsk_Name,(ROW()-ROW(MSPTasks[[#Headers],[ID]])))="",TRUE()),"",INDEX(tsk_FcStart,(ROW()-ROW(MSPTasks[[#Headers],[ID]]))))</f>
        <v/>
      </c>
      <c r="H99" s="96" t="str">
        <f aca="false">IF(IFERROR(INDEX(tsk_Name,(ROW()-ROW(MSPTasks[[#Headers],[ID]])))="",TRUE()),"",INDEX(tsk_FcFinish,(ROW()-ROW(MSPTasks[[#Headers],[ID]]))))</f>
        <v/>
      </c>
      <c r="I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96" t="str">
        <f aca="false">IF(IFERROR(INDEX(tsk_Name,(ROW()-ROW(MSPTasks[[#Headers],[ID]])))="",TRUE()),"",INDEX(tsk_PlanStart,(ROW()-ROW(MSPTasks[[#Headers],[ID]]))))</f>
        <v/>
      </c>
      <c r="P99" s="96" t="str">
        <f aca="false">IF(IFERROR(INDEX(tsk_Name,(ROW()-ROW(MSPTasks[[#Headers],[ID]])))="",TRUE()),"",INDEX(tsk_PlanFinish,(ROW()-ROW(MSPTasks[[#Headers],[ID]]))))</f>
        <v/>
      </c>
      <c r="Q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9" s="24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4" t="str">
        <f aca="false">IF(IFERROR(INDEX(tsk_Name,(ROW()-ROW(MSPTasks[[#Headers],[ID]])))="",TRUE()),"",INDEX(tsk_ID,(ROW()-ROW(MSPTasks[[#Headers],[ID]]))))</f>
        <v/>
      </c>
      <c r="B100" s="24" t="str">
        <f aca="false">IF(IFERROR(INDEX(tsk_Name,(ROW()-ROW(MSPTasks[[#Headers],[ID]])))="",TRUE()),"",INDEX(tsk_UID,(ROW()-ROW(MSPTasks[[#Headers],[ID]]))))</f>
        <v/>
      </c>
      <c r="C100" s="24" t="str">
        <f aca="false">IF(IFERROR(INDEX(tsk_Name,(ROW()-ROW(MSPTasks[[#Headers],[ID]])))="",TRUE()),"",INDEX(tsk_Name,(ROW()-ROW(MSPTasks[[#Headers],[ID]]))))</f>
        <v/>
      </c>
      <c r="D100" s="24" t="str">
        <f aca="false">IF(IFERROR(INDEX(tsk_Name,(ROW()-ROW(MSPTasks[[#Headers],[ID]])))="",TRUE()),"",INDEX(tsk_Level,(ROW()-ROW(MSPTasks[[#Headers],[ID]]))))</f>
        <v/>
      </c>
      <c r="E100" s="24" t="str">
        <f aca="false">IF(IFERROR(INDEX(tsk_Name,(ROW()-ROW(MSPTasks[[#Headers],[ID]])))="",TRUE()),"",IF(INDEX(tsk_Mode,(ROW()-ROW(MSPTasks[[#Headers],[ID]])))="Manual","Manually Scheduled","Auto Scheduled"))</f>
        <v/>
      </c>
      <c r="F1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96" t="str">
        <f aca="false">IF(IFERROR(INDEX(tsk_Name,(ROW()-ROW(MSPTasks[[#Headers],[ID]])))="",TRUE()),"",INDEX(tsk_FcStart,(ROW()-ROW(MSPTasks[[#Headers],[ID]]))))</f>
        <v/>
      </c>
      <c r="H100" s="96" t="str">
        <f aca="false">IF(IFERROR(INDEX(tsk_Name,(ROW()-ROW(MSPTasks[[#Headers],[ID]])))="",TRUE()),"",INDEX(tsk_FcFinish,(ROW()-ROW(MSPTasks[[#Headers],[ID]]))))</f>
        <v/>
      </c>
      <c r="I1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96" t="str">
        <f aca="false">IF(IFERROR(INDEX(tsk_Name,(ROW()-ROW(MSPTasks[[#Headers],[ID]])))="",TRUE()),"",INDEX(tsk_PlanStart,(ROW()-ROW(MSPTasks[[#Headers],[ID]]))))</f>
        <v/>
      </c>
      <c r="P100" s="96" t="str">
        <f aca="false">IF(IFERROR(INDEX(tsk_Name,(ROW()-ROW(MSPTasks[[#Headers],[ID]])))="",TRUE()),"",INDEX(tsk_PlanFinish,(ROW()-ROW(MSPTasks[[#Headers],[ID]]))))</f>
        <v/>
      </c>
      <c r="Q1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0" s="24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4" t="str">
        <f aca="false">IF(IFERROR(INDEX(tsk_Name,(ROW()-ROW(MSPTasks[[#Headers],[ID]])))="",TRUE()),"",INDEX(tsk_ID,(ROW()-ROW(MSPTasks[[#Headers],[ID]]))))</f>
        <v/>
      </c>
      <c r="B101" s="24" t="str">
        <f aca="false">IF(IFERROR(INDEX(tsk_Name,(ROW()-ROW(MSPTasks[[#Headers],[ID]])))="",TRUE()),"",INDEX(tsk_UID,(ROW()-ROW(MSPTasks[[#Headers],[ID]]))))</f>
        <v/>
      </c>
      <c r="C101" s="24" t="str">
        <f aca="false">IF(IFERROR(INDEX(tsk_Name,(ROW()-ROW(MSPTasks[[#Headers],[ID]])))="",TRUE()),"",INDEX(tsk_Name,(ROW()-ROW(MSPTasks[[#Headers],[ID]]))))</f>
        <v/>
      </c>
      <c r="D101" s="24" t="str">
        <f aca="false">IF(IFERROR(INDEX(tsk_Name,(ROW()-ROW(MSPTasks[[#Headers],[ID]])))="",TRUE()),"",INDEX(tsk_Level,(ROW()-ROW(MSPTasks[[#Headers],[ID]]))))</f>
        <v/>
      </c>
      <c r="E101" s="24" t="str">
        <f aca="false">IF(IFERROR(INDEX(tsk_Name,(ROW()-ROW(MSPTasks[[#Headers],[ID]])))="",TRUE()),"",IF(INDEX(tsk_Mode,(ROW()-ROW(MSPTasks[[#Headers],[ID]])))="Manual","Manually Scheduled","Auto Scheduled"))</f>
        <v/>
      </c>
      <c r="F1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96" t="str">
        <f aca="false">IF(IFERROR(INDEX(tsk_Name,(ROW()-ROW(MSPTasks[[#Headers],[ID]])))="",TRUE()),"",INDEX(tsk_FcStart,(ROW()-ROW(MSPTasks[[#Headers],[ID]]))))</f>
        <v/>
      </c>
      <c r="H101" s="96" t="str">
        <f aca="false">IF(IFERROR(INDEX(tsk_Name,(ROW()-ROW(MSPTasks[[#Headers],[ID]])))="",TRUE()),"",INDEX(tsk_FcFinish,(ROW()-ROW(MSPTasks[[#Headers],[ID]]))))</f>
        <v/>
      </c>
      <c r="I1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96" t="str">
        <f aca="false">IF(IFERROR(INDEX(tsk_Name,(ROW()-ROW(MSPTasks[[#Headers],[ID]])))="",TRUE()),"",INDEX(tsk_PlanStart,(ROW()-ROW(MSPTasks[[#Headers],[ID]]))))</f>
        <v/>
      </c>
      <c r="P101" s="96" t="str">
        <f aca="false">IF(IFERROR(INDEX(tsk_Name,(ROW()-ROW(MSPTasks[[#Headers],[ID]])))="",TRUE()),"",INDEX(tsk_PlanFinish,(ROW()-ROW(MSPTasks[[#Headers],[ID]]))))</f>
        <v/>
      </c>
      <c r="Q1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1" s="24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4" t="str">
        <f aca="false">IF(IFERROR(INDEX(tsk_Name,(ROW()-ROW(MSPTasks[[#Headers],[ID]])))="",TRUE()),"",INDEX(tsk_ID,(ROW()-ROW(MSPTasks[[#Headers],[ID]]))))</f>
        <v/>
      </c>
      <c r="B102" s="24" t="str">
        <f aca="false">IF(IFERROR(INDEX(tsk_Name,(ROW()-ROW(MSPTasks[[#Headers],[ID]])))="",TRUE()),"",INDEX(tsk_UID,(ROW()-ROW(MSPTasks[[#Headers],[ID]]))))</f>
        <v/>
      </c>
      <c r="C102" s="24" t="str">
        <f aca="false">IF(IFERROR(INDEX(tsk_Name,(ROW()-ROW(MSPTasks[[#Headers],[ID]])))="",TRUE()),"",INDEX(tsk_Name,(ROW()-ROW(MSPTasks[[#Headers],[ID]]))))</f>
        <v/>
      </c>
      <c r="D102" s="24" t="str">
        <f aca="false">IF(IFERROR(INDEX(tsk_Name,(ROW()-ROW(MSPTasks[[#Headers],[ID]])))="",TRUE()),"",INDEX(tsk_Level,(ROW()-ROW(MSPTasks[[#Headers],[ID]]))))</f>
        <v/>
      </c>
      <c r="E102" s="24" t="str">
        <f aca="false">IF(IFERROR(INDEX(tsk_Name,(ROW()-ROW(MSPTasks[[#Headers],[ID]])))="",TRUE()),"",IF(INDEX(tsk_Mode,(ROW()-ROW(MSPTasks[[#Headers],[ID]])))="Manual","Manually Scheduled","Auto Scheduled"))</f>
        <v/>
      </c>
      <c r="F10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96" t="str">
        <f aca="false">IF(IFERROR(INDEX(tsk_Name,(ROW()-ROW(MSPTasks[[#Headers],[ID]])))="",TRUE()),"",INDEX(tsk_FcStart,(ROW()-ROW(MSPTasks[[#Headers],[ID]]))))</f>
        <v/>
      </c>
      <c r="H102" s="96" t="str">
        <f aca="false">IF(IFERROR(INDEX(tsk_Name,(ROW()-ROW(MSPTasks[[#Headers],[ID]])))="",TRUE()),"",INDEX(tsk_FcFinish,(ROW()-ROW(MSPTasks[[#Headers],[ID]]))))</f>
        <v/>
      </c>
      <c r="I10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96" t="str">
        <f aca="false">IF(IFERROR(INDEX(tsk_Name,(ROW()-ROW(MSPTasks[[#Headers],[ID]])))="",TRUE()),"",INDEX(tsk_PlanStart,(ROW()-ROW(MSPTasks[[#Headers],[ID]]))))</f>
        <v/>
      </c>
      <c r="P102" s="96" t="str">
        <f aca="false">IF(IFERROR(INDEX(tsk_Name,(ROW()-ROW(MSPTasks[[#Headers],[ID]])))="",TRUE()),"",INDEX(tsk_PlanFinish,(ROW()-ROW(MSPTasks[[#Headers],[ID]]))))</f>
        <v/>
      </c>
      <c r="Q10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2" s="24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4" t="str">
        <f aca="false">IF(IFERROR(INDEX(tsk_Name,(ROW()-ROW(MSPTasks[[#Headers],[ID]])))="",TRUE()),"",INDEX(tsk_ID,(ROW()-ROW(MSPTasks[[#Headers],[ID]]))))</f>
        <v/>
      </c>
      <c r="B103" s="24" t="str">
        <f aca="false">IF(IFERROR(INDEX(tsk_Name,(ROW()-ROW(MSPTasks[[#Headers],[ID]])))="",TRUE()),"",INDEX(tsk_UID,(ROW()-ROW(MSPTasks[[#Headers],[ID]]))))</f>
        <v/>
      </c>
      <c r="C103" s="24" t="str">
        <f aca="false">IF(IFERROR(INDEX(tsk_Name,(ROW()-ROW(MSPTasks[[#Headers],[ID]])))="",TRUE()),"",INDEX(tsk_Name,(ROW()-ROW(MSPTasks[[#Headers],[ID]]))))</f>
        <v/>
      </c>
      <c r="D103" s="24" t="str">
        <f aca="false">IF(IFERROR(INDEX(tsk_Name,(ROW()-ROW(MSPTasks[[#Headers],[ID]])))="",TRUE()),"",INDEX(tsk_Level,(ROW()-ROW(MSPTasks[[#Headers],[ID]]))))</f>
        <v/>
      </c>
      <c r="E103" s="24" t="str">
        <f aca="false">IF(IFERROR(INDEX(tsk_Name,(ROW()-ROW(MSPTasks[[#Headers],[ID]])))="",TRUE()),"",IF(INDEX(tsk_Mode,(ROW()-ROW(MSPTasks[[#Headers],[ID]])))="Manual","Manually Scheduled","Auto Scheduled"))</f>
        <v/>
      </c>
      <c r="F10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96" t="str">
        <f aca="false">IF(IFERROR(INDEX(tsk_Name,(ROW()-ROW(MSPTasks[[#Headers],[ID]])))="",TRUE()),"",INDEX(tsk_FcStart,(ROW()-ROW(MSPTasks[[#Headers],[ID]]))))</f>
        <v/>
      </c>
      <c r="H103" s="96" t="str">
        <f aca="false">IF(IFERROR(INDEX(tsk_Name,(ROW()-ROW(MSPTasks[[#Headers],[ID]])))="",TRUE()),"",INDEX(tsk_FcFinish,(ROW()-ROW(MSPTasks[[#Headers],[ID]]))))</f>
        <v/>
      </c>
      <c r="I10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96" t="str">
        <f aca="false">IF(IFERROR(INDEX(tsk_Name,(ROW()-ROW(MSPTasks[[#Headers],[ID]])))="",TRUE()),"",INDEX(tsk_PlanStart,(ROW()-ROW(MSPTasks[[#Headers],[ID]]))))</f>
        <v/>
      </c>
      <c r="P103" s="96" t="str">
        <f aca="false">IF(IFERROR(INDEX(tsk_Name,(ROW()-ROW(MSPTasks[[#Headers],[ID]])))="",TRUE()),"",INDEX(tsk_PlanFinish,(ROW()-ROW(MSPTasks[[#Headers],[ID]]))))</f>
        <v/>
      </c>
      <c r="Q10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3" s="24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4" t="str">
        <f aca="false">IF(IFERROR(INDEX(tsk_Name,(ROW()-ROW(MSPTasks[[#Headers],[ID]])))="",TRUE()),"",INDEX(tsk_ID,(ROW()-ROW(MSPTasks[[#Headers],[ID]]))))</f>
        <v/>
      </c>
      <c r="B104" s="24" t="str">
        <f aca="false">IF(IFERROR(INDEX(tsk_Name,(ROW()-ROW(MSPTasks[[#Headers],[ID]])))="",TRUE()),"",INDEX(tsk_UID,(ROW()-ROW(MSPTasks[[#Headers],[ID]]))))</f>
        <v/>
      </c>
      <c r="C104" s="24" t="str">
        <f aca="false">IF(IFERROR(INDEX(tsk_Name,(ROW()-ROW(MSPTasks[[#Headers],[ID]])))="",TRUE()),"",INDEX(tsk_Name,(ROW()-ROW(MSPTasks[[#Headers],[ID]]))))</f>
        <v/>
      </c>
      <c r="D104" s="24" t="str">
        <f aca="false">IF(IFERROR(INDEX(tsk_Name,(ROW()-ROW(MSPTasks[[#Headers],[ID]])))="",TRUE()),"",INDEX(tsk_Level,(ROW()-ROW(MSPTasks[[#Headers],[ID]]))))</f>
        <v/>
      </c>
      <c r="E104" s="24" t="str">
        <f aca="false">IF(IFERROR(INDEX(tsk_Name,(ROW()-ROW(MSPTasks[[#Headers],[ID]])))="",TRUE()),"",IF(INDEX(tsk_Mode,(ROW()-ROW(MSPTasks[[#Headers],[ID]])))="Manual","Manually Scheduled","Auto Scheduled"))</f>
        <v/>
      </c>
      <c r="F10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96" t="str">
        <f aca="false">IF(IFERROR(INDEX(tsk_Name,(ROW()-ROW(MSPTasks[[#Headers],[ID]])))="",TRUE()),"",INDEX(tsk_FcStart,(ROW()-ROW(MSPTasks[[#Headers],[ID]]))))</f>
        <v/>
      </c>
      <c r="H104" s="96" t="str">
        <f aca="false">IF(IFERROR(INDEX(tsk_Name,(ROW()-ROW(MSPTasks[[#Headers],[ID]])))="",TRUE()),"",INDEX(tsk_FcFinish,(ROW()-ROW(MSPTasks[[#Headers],[ID]]))))</f>
        <v/>
      </c>
      <c r="I10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96" t="str">
        <f aca="false">IF(IFERROR(INDEX(tsk_Name,(ROW()-ROW(MSPTasks[[#Headers],[ID]])))="",TRUE()),"",INDEX(tsk_PlanStart,(ROW()-ROW(MSPTasks[[#Headers],[ID]]))))</f>
        <v/>
      </c>
      <c r="P104" s="96" t="str">
        <f aca="false">IF(IFERROR(INDEX(tsk_Name,(ROW()-ROW(MSPTasks[[#Headers],[ID]])))="",TRUE()),"",INDEX(tsk_PlanFinish,(ROW()-ROW(MSPTasks[[#Headers],[ID]]))))</f>
        <v/>
      </c>
      <c r="Q10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4" s="24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4" t="str">
        <f aca="false">IF(IFERROR(INDEX(tsk_Name,(ROW()-ROW(MSPTasks[[#Headers],[ID]])))="",TRUE()),"",INDEX(tsk_ID,(ROW()-ROW(MSPTasks[[#Headers],[ID]]))))</f>
        <v/>
      </c>
      <c r="B105" s="24" t="str">
        <f aca="false">IF(IFERROR(INDEX(tsk_Name,(ROW()-ROW(MSPTasks[[#Headers],[ID]])))="",TRUE()),"",INDEX(tsk_UID,(ROW()-ROW(MSPTasks[[#Headers],[ID]]))))</f>
        <v/>
      </c>
      <c r="C105" s="24" t="str">
        <f aca="false">IF(IFERROR(INDEX(tsk_Name,(ROW()-ROW(MSPTasks[[#Headers],[ID]])))="",TRUE()),"",INDEX(tsk_Name,(ROW()-ROW(MSPTasks[[#Headers],[ID]]))))</f>
        <v/>
      </c>
      <c r="D105" s="24" t="str">
        <f aca="false">IF(IFERROR(INDEX(tsk_Name,(ROW()-ROW(MSPTasks[[#Headers],[ID]])))="",TRUE()),"",INDEX(tsk_Level,(ROW()-ROW(MSPTasks[[#Headers],[ID]]))))</f>
        <v/>
      </c>
      <c r="E105" s="24" t="str">
        <f aca="false">IF(IFERROR(INDEX(tsk_Name,(ROW()-ROW(MSPTasks[[#Headers],[ID]])))="",TRUE()),"",IF(INDEX(tsk_Mode,(ROW()-ROW(MSPTasks[[#Headers],[ID]])))="Manual","Manually Scheduled","Auto Scheduled"))</f>
        <v/>
      </c>
      <c r="F10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96" t="str">
        <f aca="false">IF(IFERROR(INDEX(tsk_Name,(ROW()-ROW(MSPTasks[[#Headers],[ID]])))="",TRUE()),"",INDEX(tsk_FcStart,(ROW()-ROW(MSPTasks[[#Headers],[ID]]))))</f>
        <v/>
      </c>
      <c r="H105" s="96" t="str">
        <f aca="false">IF(IFERROR(INDEX(tsk_Name,(ROW()-ROW(MSPTasks[[#Headers],[ID]])))="",TRUE()),"",INDEX(tsk_FcFinish,(ROW()-ROW(MSPTasks[[#Headers],[ID]]))))</f>
        <v/>
      </c>
      <c r="I10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96" t="str">
        <f aca="false">IF(IFERROR(INDEX(tsk_Name,(ROW()-ROW(MSPTasks[[#Headers],[ID]])))="",TRUE()),"",INDEX(tsk_PlanStart,(ROW()-ROW(MSPTasks[[#Headers],[ID]]))))</f>
        <v/>
      </c>
      <c r="P105" s="96" t="str">
        <f aca="false">IF(IFERROR(INDEX(tsk_Name,(ROW()-ROW(MSPTasks[[#Headers],[ID]])))="",TRUE()),"",INDEX(tsk_PlanFinish,(ROW()-ROW(MSPTasks[[#Headers],[ID]]))))</f>
        <v/>
      </c>
      <c r="Q10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5" s="24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4" t="str">
        <f aca="false">IF(IFERROR(INDEX(tsk_Name,(ROW()-ROW(MSPTasks[[#Headers],[ID]])))="",TRUE()),"",INDEX(tsk_ID,(ROW()-ROW(MSPTasks[[#Headers],[ID]]))))</f>
        <v/>
      </c>
      <c r="B106" s="24" t="str">
        <f aca="false">IF(IFERROR(INDEX(tsk_Name,(ROW()-ROW(MSPTasks[[#Headers],[ID]])))="",TRUE()),"",INDEX(tsk_UID,(ROW()-ROW(MSPTasks[[#Headers],[ID]]))))</f>
        <v/>
      </c>
      <c r="C106" s="24" t="str">
        <f aca="false">IF(IFERROR(INDEX(tsk_Name,(ROW()-ROW(MSPTasks[[#Headers],[ID]])))="",TRUE()),"",INDEX(tsk_Name,(ROW()-ROW(MSPTasks[[#Headers],[ID]]))))</f>
        <v/>
      </c>
      <c r="D106" s="24" t="str">
        <f aca="false">IF(IFERROR(INDEX(tsk_Name,(ROW()-ROW(MSPTasks[[#Headers],[ID]])))="",TRUE()),"",INDEX(tsk_Level,(ROW()-ROW(MSPTasks[[#Headers],[ID]]))))</f>
        <v/>
      </c>
      <c r="E106" s="24" t="str">
        <f aca="false">IF(IFERROR(INDEX(tsk_Name,(ROW()-ROW(MSPTasks[[#Headers],[ID]])))="",TRUE()),"",IF(INDEX(tsk_Mode,(ROW()-ROW(MSPTasks[[#Headers],[ID]])))="Manual","Manually Scheduled","Auto Scheduled"))</f>
        <v/>
      </c>
      <c r="F10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96" t="str">
        <f aca="false">IF(IFERROR(INDEX(tsk_Name,(ROW()-ROW(MSPTasks[[#Headers],[ID]])))="",TRUE()),"",INDEX(tsk_FcStart,(ROW()-ROW(MSPTasks[[#Headers],[ID]]))))</f>
        <v/>
      </c>
      <c r="H106" s="96" t="str">
        <f aca="false">IF(IFERROR(INDEX(tsk_Name,(ROW()-ROW(MSPTasks[[#Headers],[ID]])))="",TRUE()),"",INDEX(tsk_FcFinish,(ROW()-ROW(MSPTasks[[#Headers],[ID]]))))</f>
        <v/>
      </c>
      <c r="I10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96" t="str">
        <f aca="false">IF(IFERROR(INDEX(tsk_Name,(ROW()-ROW(MSPTasks[[#Headers],[ID]])))="",TRUE()),"",INDEX(tsk_PlanStart,(ROW()-ROW(MSPTasks[[#Headers],[ID]]))))</f>
        <v/>
      </c>
      <c r="P106" s="96" t="str">
        <f aca="false">IF(IFERROR(INDEX(tsk_Name,(ROW()-ROW(MSPTasks[[#Headers],[ID]])))="",TRUE()),"",INDEX(tsk_PlanFinish,(ROW()-ROW(MSPTasks[[#Headers],[ID]]))))</f>
        <v/>
      </c>
      <c r="Q10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6" s="24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4" t="str">
        <f aca="false">IF(IFERROR(INDEX(tsk_Name,(ROW()-ROW(MSPTasks[[#Headers],[ID]])))="",TRUE()),"",INDEX(tsk_ID,(ROW()-ROW(MSPTasks[[#Headers],[ID]]))))</f>
        <v/>
      </c>
      <c r="B107" s="24" t="str">
        <f aca="false">IF(IFERROR(INDEX(tsk_Name,(ROW()-ROW(MSPTasks[[#Headers],[ID]])))="",TRUE()),"",INDEX(tsk_UID,(ROW()-ROW(MSPTasks[[#Headers],[ID]]))))</f>
        <v/>
      </c>
      <c r="C107" s="24" t="str">
        <f aca="false">IF(IFERROR(INDEX(tsk_Name,(ROW()-ROW(MSPTasks[[#Headers],[ID]])))="",TRUE()),"",INDEX(tsk_Name,(ROW()-ROW(MSPTasks[[#Headers],[ID]]))))</f>
        <v/>
      </c>
      <c r="D107" s="24" t="str">
        <f aca="false">IF(IFERROR(INDEX(tsk_Name,(ROW()-ROW(MSPTasks[[#Headers],[ID]])))="",TRUE()),"",INDEX(tsk_Level,(ROW()-ROW(MSPTasks[[#Headers],[ID]]))))</f>
        <v/>
      </c>
      <c r="E107" s="24" t="str">
        <f aca="false">IF(IFERROR(INDEX(tsk_Name,(ROW()-ROW(MSPTasks[[#Headers],[ID]])))="",TRUE()),"",IF(INDEX(tsk_Mode,(ROW()-ROW(MSPTasks[[#Headers],[ID]])))="Manual","Manually Scheduled","Auto Scheduled"))</f>
        <v/>
      </c>
      <c r="F10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96" t="str">
        <f aca="false">IF(IFERROR(INDEX(tsk_Name,(ROW()-ROW(MSPTasks[[#Headers],[ID]])))="",TRUE()),"",INDEX(tsk_FcStart,(ROW()-ROW(MSPTasks[[#Headers],[ID]]))))</f>
        <v/>
      </c>
      <c r="H107" s="96" t="str">
        <f aca="false">IF(IFERROR(INDEX(tsk_Name,(ROW()-ROW(MSPTasks[[#Headers],[ID]])))="",TRUE()),"",INDEX(tsk_FcFinish,(ROW()-ROW(MSPTasks[[#Headers],[ID]]))))</f>
        <v/>
      </c>
      <c r="I10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96" t="str">
        <f aca="false">IF(IFERROR(INDEX(tsk_Name,(ROW()-ROW(MSPTasks[[#Headers],[ID]])))="",TRUE()),"",INDEX(tsk_PlanStart,(ROW()-ROW(MSPTasks[[#Headers],[ID]]))))</f>
        <v/>
      </c>
      <c r="P107" s="96" t="str">
        <f aca="false">IF(IFERROR(INDEX(tsk_Name,(ROW()-ROW(MSPTasks[[#Headers],[ID]])))="",TRUE()),"",INDEX(tsk_PlanFinish,(ROW()-ROW(MSPTasks[[#Headers],[ID]]))))</f>
        <v/>
      </c>
      <c r="Q10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7" s="24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4" t="str">
        <f aca="false">IF(IFERROR(INDEX(tsk_Name,(ROW()-ROW(MSPTasks[[#Headers],[ID]])))="",TRUE()),"",INDEX(tsk_ID,(ROW()-ROW(MSPTasks[[#Headers],[ID]]))))</f>
        <v/>
      </c>
      <c r="B108" s="24" t="str">
        <f aca="false">IF(IFERROR(INDEX(tsk_Name,(ROW()-ROW(MSPTasks[[#Headers],[ID]])))="",TRUE()),"",INDEX(tsk_UID,(ROW()-ROW(MSPTasks[[#Headers],[ID]]))))</f>
        <v/>
      </c>
      <c r="C108" s="24" t="str">
        <f aca="false">IF(IFERROR(INDEX(tsk_Name,(ROW()-ROW(MSPTasks[[#Headers],[ID]])))="",TRUE()),"",INDEX(tsk_Name,(ROW()-ROW(MSPTasks[[#Headers],[ID]]))))</f>
        <v/>
      </c>
      <c r="D108" s="24" t="str">
        <f aca="false">IF(IFERROR(INDEX(tsk_Name,(ROW()-ROW(MSPTasks[[#Headers],[ID]])))="",TRUE()),"",INDEX(tsk_Level,(ROW()-ROW(MSPTasks[[#Headers],[ID]]))))</f>
        <v/>
      </c>
      <c r="E108" s="24" t="str">
        <f aca="false">IF(IFERROR(INDEX(tsk_Name,(ROW()-ROW(MSPTasks[[#Headers],[ID]])))="",TRUE()),"",IF(INDEX(tsk_Mode,(ROW()-ROW(MSPTasks[[#Headers],[ID]])))="Manual","Manually Scheduled","Auto Scheduled"))</f>
        <v/>
      </c>
      <c r="F10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96" t="str">
        <f aca="false">IF(IFERROR(INDEX(tsk_Name,(ROW()-ROW(MSPTasks[[#Headers],[ID]])))="",TRUE()),"",INDEX(tsk_FcStart,(ROW()-ROW(MSPTasks[[#Headers],[ID]]))))</f>
        <v/>
      </c>
      <c r="H108" s="96" t="str">
        <f aca="false">IF(IFERROR(INDEX(tsk_Name,(ROW()-ROW(MSPTasks[[#Headers],[ID]])))="",TRUE()),"",INDEX(tsk_FcFinish,(ROW()-ROW(MSPTasks[[#Headers],[ID]]))))</f>
        <v/>
      </c>
      <c r="I10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96" t="str">
        <f aca="false">IF(IFERROR(INDEX(tsk_Name,(ROW()-ROW(MSPTasks[[#Headers],[ID]])))="",TRUE()),"",INDEX(tsk_PlanStart,(ROW()-ROW(MSPTasks[[#Headers],[ID]]))))</f>
        <v/>
      </c>
      <c r="P108" s="96" t="str">
        <f aca="false">IF(IFERROR(INDEX(tsk_Name,(ROW()-ROW(MSPTasks[[#Headers],[ID]])))="",TRUE()),"",INDEX(tsk_PlanFinish,(ROW()-ROW(MSPTasks[[#Headers],[ID]]))))</f>
        <v/>
      </c>
      <c r="Q10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8" s="24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4" t="str">
        <f aca="false">IF(IFERROR(INDEX(tsk_Name,(ROW()-ROW(MSPTasks[[#Headers],[ID]])))="",TRUE()),"",INDEX(tsk_ID,(ROW()-ROW(MSPTasks[[#Headers],[ID]]))))</f>
        <v/>
      </c>
      <c r="B109" s="24" t="str">
        <f aca="false">IF(IFERROR(INDEX(tsk_Name,(ROW()-ROW(MSPTasks[[#Headers],[ID]])))="",TRUE()),"",INDEX(tsk_UID,(ROW()-ROW(MSPTasks[[#Headers],[ID]]))))</f>
        <v/>
      </c>
      <c r="C109" s="24" t="str">
        <f aca="false">IF(IFERROR(INDEX(tsk_Name,(ROW()-ROW(MSPTasks[[#Headers],[ID]])))="",TRUE()),"",INDEX(tsk_Name,(ROW()-ROW(MSPTasks[[#Headers],[ID]]))))</f>
        <v/>
      </c>
      <c r="D109" s="24" t="str">
        <f aca="false">IF(IFERROR(INDEX(tsk_Name,(ROW()-ROW(MSPTasks[[#Headers],[ID]])))="",TRUE()),"",INDEX(tsk_Level,(ROW()-ROW(MSPTasks[[#Headers],[ID]]))))</f>
        <v/>
      </c>
      <c r="E109" s="24" t="str">
        <f aca="false">IF(IFERROR(INDEX(tsk_Name,(ROW()-ROW(MSPTasks[[#Headers],[ID]])))="",TRUE()),"",IF(INDEX(tsk_Mode,(ROW()-ROW(MSPTasks[[#Headers],[ID]])))="Manual","Manually Scheduled","Auto Scheduled"))</f>
        <v/>
      </c>
      <c r="F10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96" t="str">
        <f aca="false">IF(IFERROR(INDEX(tsk_Name,(ROW()-ROW(MSPTasks[[#Headers],[ID]])))="",TRUE()),"",INDEX(tsk_FcStart,(ROW()-ROW(MSPTasks[[#Headers],[ID]]))))</f>
        <v/>
      </c>
      <c r="H109" s="96" t="str">
        <f aca="false">IF(IFERROR(INDEX(tsk_Name,(ROW()-ROW(MSPTasks[[#Headers],[ID]])))="",TRUE()),"",INDEX(tsk_FcFinish,(ROW()-ROW(MSPTasks[[#Headers],[ID]]))))</f>
        <v/>
      </c>
      <c r="I10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96" t="str">
        <f aca="false">IF(IFERROR(INDEX(tsk_Name,(ROW()-ROW(MSPTasks[[#Headers],[ID]])))="",TRUE()),"",INDEX(tsk_PlanStart,(ROW()-ROW(MSPTasks[[#Headers],[ID]]))))</f>
        <v/>
      </c>
      <c r="P109" s="96" t="str">
        <f aca="false">IF(IFERROR(INDEX(tsk_Name,(ROW()-ROW(MSPTasks[[#Headers],[ID]])))="",TRUE()),"",INDEX(tsk_PlanFinish,(ROW()-ROW(MSPTasks[[#Headers],[ID]]))))</f>
        <v/>
      </c>
      <c r="Q10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9" s="24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4" t="str">
        <f aca="false">IF(IFERROR(INDEX(tsk_Name,(ROW()-ROW(MSPTasks[[#Headers],[ID]])))="",TRUE()),"",INDEX(tsk_ID,(ROW()-ROW(MSPTasks[[#Headers],[ID]]))))</f>
        <v/>
      </c>
      <c r="B110" s="24" t="str">
        <f aca="false">IF(IFERROR(INDEX(tsk_Name,(ROW()-ROW(MSPTasks[[#Headers],[ID]])))="",TRUE()),"",INDEX(tsk_UID,(ROW()-ROW(MSPTasks[[#Headers],[ID]]))))</f>
        <v/>
      </c>
      <c r="C110" s="24" t="str">
        <f aca="false">IF(IFERROR(INDEX(tsk_Name,(ROW()-ROW(MSPTasks[[#Headers],[ID]])))="",TRUE()),"",INDEX(tsk_Name,(ROW()-ROW(MSPTasks[[#Headers],[ID]]))))</f>
        <v/>
      </c>
      <c r="D110" s="24" t="str">
        <f aca="false">IF(IFERROR(INDEX(tsk_Name,(ROW()-ROW(MSPTasks[[#Headers],[ID]])))="",TRUE()),"",INDEX(tsk_Level,(ROW()-ROW(MSPTasks[[#Headers],[ID]]))))</f>
        <v/>
      </c>
      <c r="E110" s="24" t="str">
        <f aca="false">IF(IFERROR(INDEX(tsk_Name,(ROW()-ROW(MSPTasks[[#Headers],[ID]])))="",TRUE()),"",IF(INDEX(tsk_Mode,(ROW()-ROW(MSPTasks[[#Headers],[ID]])))="Manual","Manually Scheduled","Auto Scheduled"))</f>
        <v/>
      </c>
      <c r="F1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96" t="str">
        <f aca="false">IF(IFERROR(INDEX(tsk_Name,(ROW()-ROW(MSPTasks[[#Headers],[ID]])))="",TRUE()),"",INDEX(tsk_FcStart,(ROW()-ROW(MSPTasks[[#Headers],[ID]]))))</f>
        <v/>
      </c>
      <c r="H110" s="96" t="str">
        <f aca="false">IF(IFERROR(INDEX(tsk_Name,(ROW()-ROW(MSPTasks[[#Headers],[ID]])))="",TRUE()),"",INDEX(tsk_FcFinish,(ROW()-ROW(MSPTasks[[#Headers],[ID]]))))</f>
        <v/>
      </c>
      <c r="I1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96" t="str">
        <f aca="false">IF(IFERROR(INDEX(tsk_Name,(ROW()-ROW(MSPTasks[[#Headers],[ID]])))="",TRUE()),"",INDEX(tsk_PlanStart,(ROW()-ROW(MSPTasks[[#Headers],[ID]]))))</f>
        <v/>
      </c>
      <c r="P110" s="96" t="str">
        <f aca="false">IF(IFERROR(INDEX(tsk_Name,(ROW()-ROW(MSPTasks[[#Headers],[ID]])))="",TRUE()),"",INDEX(tsk_PlanFinish,(ROW()-ROW(MSPTasks[[#Headers],[ID]]))))</f>
        <v/>
      </c>
      <c r="Q1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0" s="24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4" t="str">
        <f aca="false">IF(IFERROR(INDEX(tsk_Name,(ROW()-ROW(MSPTasks[[#Headers],[ID]])))="",TRUE()),"",INDEX(tsk_ID,(ROW()-ROW(MSPTasks[[#Headers],[ID]]))))</f>
        <v/>
      </c>
      <c r="B111" s="24" t="str">
        <f aca="false">IF(IFERROR(INDEX(tsk_Name,(ROW()-ROW(MSPTasks[[#Headers],[ID]])))="",TRUE()),"",INDEX(tsk_UID,(ROW()-ROW(MSPTasks[[#Headers],[ID]]))))</f>
        <v/>
      </c>
      <c r="C111" s="24" t="str">
        <f aca="false">IF(IFERROR(INDEX(tsk_Name,(ROW()-ROW(MSPTasks[[#Headers],[ID]])))="",TRUE()),"",INDEX(tsk_Name,(ROW()-ROW(MSPTasks[[#Headers],[ID]]))))</f>
        <v/>
      </c>
      <c r="D111" s="24" t="str">
        <f aca="false">IF(IFERROR(INDEX(tsk_Name,(ROW()-ROW(MSPTasks[[#Headers],[ID]])))="",TRUE()),"",INDEX(tsk_Level,(ROW()-ROW(MSPTasks[[#Headers],[ID]]))))</f>
        <v/>
      </c>
      <c r="E111" s="24" t="str">
        <f aca="false">IF(IFERROR(INDEX(tsk_Name,(ROW()-ROW(MSPTasks[[#Headers],[ID]])))="",TRUE()),"",IF(INDEX(tsk_Mode,(ROW()-ROW(MSPTasks[[#Headers],[ID]])))="Manual","Manually Scheduled","Auto Scheduled"))</f>
        <v/>
      </c>
      <c r="F1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96" t="str">
        <f aca="false">IF(IFERROR(INDEX(tsk_Name,(ROW()-ROW(MSPTasks[[#Headers],[ID]])))="",TRUE()),"",INDEX(tsk_FcStart,(ROW()-ROW(MSPTasks[[#Headers],[ID]]))))</f>
        <v/>
      </c>
      <c r="H111" s="96" t="str">
        <f aca="false">IF(IFERROR(INDEX(tsk_Name,(ROW()-ROW(MSPTasks[[#Headers],[ID]])))="",TRUE()),"",INDEX(tsk_FcFinish,(ROW()-ROW(MSPTasks[[#Headers],[ID]]))))</f>
        <v/>
      </c>
      <c r="I1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96" t="str">
        <f aca="false">IF(IFERROR(INDEX(tsk_Name,(ROW()-ROW(MSPTasks[[#Headers],[ID]])))="",TRUE()),"",INDEX(tsk_PlanStart,(ROW()-ROW(MSPTasks[[#Headers],[ID]]))))</f>
        <v/>
      </c>
      <c r="P111" s="96" t="str">
        <f aca="false">IF(IFERROR(INDEX(tsk_Name,(ROW()-ROW(MSPTasks[[#Headers],[ID]])))="",TRUE()),"",INDEX(tsk_PlanFinish,(ROW()-ROW(MSPTasks[[#Headers],[ID]]))))</f>
        <v/>
      </c>
      <c r="Q1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1" s="24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4" t="str">
        <f aca="false">IF(IFERROR(INDEX(tsk_Name,(ROW()-ROW(MSPTasks[[#Headers],[ID]])))="",TRUE()),"",INDEX(tsk_ID,(ROW()-ROW(MSPTasks[[#Headers],[ID]]))))</f>
        <v/>
      </c>
      <c r="B112" s="24" t="str">
        <f aca="false">IF(IFERROR(INDEX(tsk_Name,(ROW()-ROW(MSPTasks[[#Headers],[ID]])))="",TRUE()),"",INDEX(tsk_UID,(ROW()-ROW(MSPTasks[[#Headers],[ID]]))))</f>
        <v/>
      </c>
      <c r="C112" s="24" t="str">
        <f aca="false">IF(IFERROR(INDEX(tsk_Name,(ROW()-ROW(MSPTasks[[#Headers],[ID]])))="",TRUE()),"",INDEX(tsk_Name,(ROW()-ROW(MSPTasks[[#Headers],[ID]]))))</f>
        <v/>
      </c>
      <c r="D112" s="24" t="str">
        <f aca="false">IF(IFERROR(INDEX(tsk_Name,(ROW()-ROW(MSPTasks[[#Headers],[ID]])))="",TRUE()),"",INDEX(tsk_Level,(ROW()-ROW(MSPTasks[[#Headers],[ID]]))))</f>
        <v/>
      </c>
      <c r="E112" s="24" t="str">
        <f aca="false">IF(IFERROR(INDEX(tsk_Name,(ROW()-ROW(MSPTasks[[#Headers],[ID]])))="",TRUE()),"",IF(INDEX(tsk_Mode,(ROW()-ROW(MSPTasks[[#Headers],[ID]])))="Manual","Manually Scheduled","Auto Scheduled"))</f>
        <v/>
      </c>
      <c r="F1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96" t="str">
        <f aca="false">IF(IFERROR(INDEX(tsk_Name,(ROW()-ROW(MSPTasks[[#Headers],[ID]])))="",TRUE()),"",INDEX(tsk_FcStart,(ROW()-ROW(MSPTasks[[#Headers],[ID]]))))</f>
        <v/>
      </c>
      <c r="H112" s="96" t="str">
        <f aca="false">IF(IFERROR(INDEX(tsk_Name,(ROW()-ROW(MSPTasks[[#Headers],[ID]])))="",TRUE()),"",INDEX(tsk_FcFinish,(ROW()-ROW(MSPTasks[[#Headers],[ID]]))))</f>
        <v/>
      </c>
      <c r="I1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96" t="str">
        <f aca="false">IF(IFERROR(INDEX(tsk_Name,(ROW()-ROW(MSPTasks[[#Headers],[ID]])))="",TRUE()),"",INDEX(tsk_PlanStart,(ROW()-ROW(MSPTasks[[#Headers],[ID]]))))</f>
        <v/>
      </c>
      <c r="P112" s="96" t="str">
        <f aca="false">IF(IFERROR(INDEX(tsk_Name,(ROW()-ROW(MSPTasks[[#Headers],[ID]])))="",TRUE()),"",INDEX(tsk_PlanFinish,(ROW()-ROW(MSPTasks[[#Headers],[ID]]))))</f>
        <v/>
      </c>
      <c r="Q1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2" s="24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4" t="str">
        <f aca="false">IF(IFERROR(INDEX(tsk_Name,(ROW()-ROW(MSPTasks[[#Headers],[ID]])))="",TRUE()),"",INDEX(tsk_ID,(ROW()-ROW(MSPTasks[[#Headers],[ID]]))))</f>
        <v/>
      </c>
      <c r="B113" s="24" t="str">
        <f aca="false">IF(IFERROR(INDEX(tsk_Name,(ROW()-ROW(MSPTasks[[#Headers],[ID]])))="",TRUE()),"",INDEX(tsk_UID,(ROW()-ROW(MSPTasks[[#Headers],[ID]]))))</f>
        <v/>
      </c>
      <c r="C113" s="24" t="str">
        <f aca="false">IF(IFERROR(INDEX(tsk_Name,(ROW()-ROW(MSPTasks[[#Headers],[ID]])))="",TRUE()),"",INDEX(tsk_Name,(ROW()-ROW(MSPTasks[[#Headers],[ID]]))))</f>
        <v/>
      </c>
      <c r="D113" s="24" t="str">
        <f aca="false">IF(IFERROR(INDEX(tsk_Name,(ROW()-ROW(MSPTasks[[#Headers],[ID]])))="",TRUE()),"",INDEX(tsk_Level,(ROW()-ROW(MSPTasks[[#Headers],[ID]]))))</f>
        <v/>
      </c>
      <c r="E113" s="24" t="str">
        <f aca="false">IF(IFERROR(INDEX(tsk_Name,(ROW()-ROW(MSPTasks[[#Headers],[ID]])))="",TRUE()),"",IF(INDEX(tsk_Mode,(ROW()-ROW(MSPTasks[[#Headers],[ID]])))="Manual","Manually Scheduled","Auto Scheduled"))</f>
        <v/>
      </c>
      <c r="F1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96" t="str">
        <f aca="false">IF(IFERROR(INDEX(tsk_Name,(ROW()-ROW(MSPTasks[[#Headers],[ID]])))="",TRUE()),"",INDEX(tsk_FcStart,(ROW()-ROW(MSPTasks[[#Headers],[ID]]))))</f>
        <v/>
      </c>
      <c r="H113" s="96" t="str">
        <f aca="false">IF(IFERROR(INDEX(tsk_Name,(ROW()-ROW(MSPTasks[[#Headers],[ID]])))="",TRUE()),"",INDEX(tsk_FcFinish,(ROW()-ROW(MSPTasks[[#Headers],[ID]]))))</f>
        <v/>
      </c>
      <c r="I1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96" t="str">
        <f aca="false">IF(IFERROR(INDEX(tsk_Name,(ROW()-ROW(MSPTasks[[#Headers],[ID]])))="",TRUE()),"",INDEX(tsk_PlanStart,(ROW()-ROW(MSPTasks[[#Headers],[ID]]))))</f>
        <v/>
      </c>
      <c r="P113" s="96" t="str">
        <f aca="false">IF(IFERROR(INDEX(tsk_Name,(ROW()-ROW(MSPTasks[[#Headers],[ID]])))="",TRUE()),"",INDEX(tsk_PlanFinish,(ROW()-ROW(MSPTasks[[#Headers],[ID]]))))</f>
        <v/>
      </c>
      <c r="Q1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3" s="24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4" t="str">
        <f aca="false">IF(IFERROR(INDEX(tsk_Name,(ROW()-ROW(MSPTasks[[#Headers],[ID]])))="",TRUE()),"",INDEX(tsk_ID,(ROW()-ROW(MSPTasks[[#Headers],[ID]]))))</f>
        <v/>
      </c>
      <c r="B114" s="24" t="str">
        <f aca="false">IF(IFERROR(INDEX(tsk_Name,(ROW()-ROW(MSPTasks[[#Headers],[ID]])))="",TRUE()),"",INDEX(tsk_UID,(ROW()-ROW(MSPTasks[[#Headers],[ID]]))))</f>
        <v/>
      </c>
      <c r="C114" s="24" t="str">
        <f aca="false">IF(IFERROR(INDEX(tsk_Name,(ROW()-ROW(MSPTasks[[#Headers],[ID]])))="",TRUE()),"",INDEX(tsk_Name,(ROW()-ROW(MSPTasks[[#Headers],[ID]]))))</f>
        <v/>
      </c>
      <c r="D114" s="24" t="str">
        <f aca="false">IF(IFERROR(INDEX(tsk_Name,(ROW()-ROW(MSPTasks[[#Headers],[ID]])))="",TRUE()),"",INDEX(tsk_Level,(ROW()-ROW(MSPTasks[[#Headers],[ID]]))))</f>
        <v/>
      </c>
      <c r="E114" s="24" t="str">
        <f aca="false">IF(IFERROR(INDEX(tsk_Name,(ROW()-ROW(MSPTasks[[#Headers],[ID]])))="",TRUE()),"",IF(INDEX(tsk_Mode,(ROW()-ROW(MSPTasks[[#Headers],[ID]])))="Manual","Manually Scheduled","Auto Scheduled"))</f>
        <v/>
      </c>
      <c r="F1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96" t="str">
        <f aca="false">IF(IFERROR(INDEX(tsk_Name,(ROW()-ROW(MSPTasks[[#Headers],[ID]])))="",TRUE()),"",INDEX(tsk_FcStart,(ROW()-ROW(MSPTasks[[#Headers],[ID]]))))</f>
        <v/>
      </c>
      <c r="H114" s="96" t="str">
        <f aca="false">IF(IFERROR(INDEX(tsk_Name,(ROW()-ROW(MSPTasks[[#Headers],[ID]])))="",TRUE()),"",INDEX(tsk_FcFinish,(ROW()-ROW(MSPTasks[[#Headers],[ID]]))))</f>
        <v/>
      </c>
      <c r="I1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96" t="str">
        <f aca="false">IF(IFERROR(INDEX(tsk_Name,(ROW()-ROW(MSPTasks[[#Headers],[ID]])))="",TRUE()),"",INDEX(tsk_PlanStart,(ROW()-ROW(MSPTasks[[#Headers],[ID]]))))</f>
        <v/>
      </c>
      <c r="P114" s="96" t="str">
        <f aca="false">IF(IFERROR(INDEX(tsk_Name,(ROW()-ROW(MSPTasks[[#Headers],[ID]])))="",TRUE()),"",INDEX(tsk_PlanFinish,(ROW()-ROW(MSPTasks[[#Headers],[ID]]))))</f>
        <v/>
      </c>
      <c r="Q1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4" s="24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4" t="str">
        <f aca="false">IF(IFERROR(INDEX(tsk_Name,(ROW()-ROW(MSPTasks[[#Headers],[ID]])))="",TRUE()),"",INDEX(tsk_ID,(ROW()-ROW(MSPTasks[[#Headers],[ID]]))))</f>
        <v/>
      </c>
      <c r="B115" s="24" t="str">
        <f aca="false">IF(IFERROR(INDEX(tsk_Name,(ROW()-ROW(MSPTasks[[#Headers],[ID]])))="",TRUE()),"",INDEX(tsk_UID,(ROW()-ROW(MSPTasks[[#Headers],[ID]]))))</f>
        <v/>
      </c>
      <c r="C115" s="24" t="str">
        <f aca="false">IF(IFERROR(INDEX(tsk_Name,(ROW()-ROW(MSPTasks[[#Headers],[ID]])))="",TRUE()),"",INDEX(tsk_Name,(ROW()-ROW(MSPTasks[[#Headers],[ID]]))))</f>
        <v/>
      </c>
      <c r="D115" s="24" t="str">
        <f aca="false">IF(IFERROR(INDEX(tsk_Name,(ROW()-ROW(MSPTasks[[#Headers],[ID]])))="",TRUE()),"",INDEX(tsk_Level,(ROW()-ROW(MSPTasks[[#Headers],[ID]]))))</f>
        <v/>
      </c>
      <c r="E115" s="24" t="str">
        <f aca="false">IF(IFERROR(INDEX(tsk_Name,(ROW()-ROW(MSPTasks[[#Headers],[ID]])))="",TRUE()),"",IF(INDEX(tsk_Mode,(ROW()-ROW(MSPTasks[[#Headers],[ID]])))="Manual","Manually Scheduled","Auto Scheduled"))</f>
        <v/>
      </c>
      <c r="F1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96" t="str">
        <f aca="false">IF(IFERROR(INDEX(tsk_Name,(ROW()-ROW(MSPTasks[[#Headers],[ID]])))="",TRUE()),"",INDEX(tsk_FcStart,(ROW()-ROW(MSPTasks[[#Headers],[ID]]))))</f>
        <v/>
      </c>
      <c r="H115" s="96" t="str">
        <f aca="false">IF(IFERROR(INDEX(tsk_Name,(ROW()-ROW(MSPTasks[[#Headers],[ID]])))="",TRUE()),"",INDEX(tsk_FcFinish,(ROW()-ROW(MSPTasks[[#Headers],[ID]]))))</f>
        <v/>
      </c>
      <c r="I1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96" t="str">
        <f aca="false">IF(IFERROR(INDEX(tsk_Name,(ROW()-ROW(MSPTasks[[#Headers],[ID]])))="",TRUE()),"",INDEX(tsk_PlanStart,(ROW()-ROW(MSPTasks[[#Headers],[ID]]))))</f>
        <v/>
      </c>
      <c r="P115" s="96" t="str">
        <f aca="false">IF(IFERROR(INDEX(tsk_Name,(ROW()-ROW(MSPTasks[[#Headers],[ID]])))="",TRUE()),"",INDEX(tsk_PlanFinish,(ROW()-ROW(MSPTasks[[#Headers],[ID]]))))</f>
        <v/>
      </c>
      <c r="Q1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5" s="24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4" t="str">
        <f aca="false">IF(IFERROR(INDEX(tsk_Name,(ROW()-ROW(MSPTasks[[#Headers],[ID]])))="",TRUE()),"",INDEX(tsk_ID,(ROW()-ROW(MSPTasks[[#Headers],[ID]]))))</f>
        <v/>
      </c>
      <c r="B116" s="24" t="str">
        <f aca="false">IF(IFERROR(INDEX(tsk_Name,(ROW()-ROW(MSPTasks[[#Headers],[ID]])))="",TRUE()),"",INDEX(tsk_UID,(ROW()-ROW(MSPTasks[[#Headers],[ID]]))))</f>
        <v/>
      </c>
      <c r="C116" s="24" t="str">
        <f aca="false">IF(IFERROR(INDEX(tsk_Name,(ROW()-ROW(MSPTasks[[#Headers],[ID]])))="",TRUE()),"",INDEX(tsk_Name,(ROW()-ROW(MSPTasks[[#Headers],[ID]]))))</f>
        <v/>
      </c>
      <c r="D116" s="24" t="str">
        <f aca="false">IF(IFERROR(INDEX(tsk_Name,(ROW()-ROW(MSPTasks[[#Headers],[ID]])))="",TRUE()),"",INDEX(tsk_Level,(ROW()-ROW(MSPTasks[[#Headers],[ID]]))))</f>
        <v/>
      </c>
      <c r="E116" s="24" t="str">
        <f aca="false">IF(IFERROR(INDEX(tsk_Name,(ROW()-ROW(MSPTasks[[#Headers],[ID]])))="",TRUE()),"",IF(INDEX(tsk_Mode,(ROW()-ROW(MSPTasks[[#Headers],[ID]])))="Manual","Manually Scheduled","Auto Scheduled"))</f>
        <v/>
      </c>
      <c r="F1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96" t="str">
        <f aca="false">IF(IFERROR(INDEX(tsk_Name,(ROW()-ROW(MSPTasks[[#Headers],[ID]])))="",TRUE()),"",INDEX(tsk_FcStart,(ROW()-ROW(MSPTasks[[#Headers],[ID]]))))</f>
        <v/>
      </c>
      <c r="H116" s="96" t="str">
        <f aca="false">IF(IFERROR(INDEX(tsk_Name,(ROW()-ROW(MSPTasks[[#Headers],[ID]])))="",TRUE()),"",INDEX(tsk_FcFinish,(ROW()-ROW(MSPTasks[[#Headers],[ID]]))))</f>
        <v/>
      </c>
      <c r="I1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96" t="str">
        <f aca="false">IF(IFERROR(INDEX(tsk_Name,(ROW()-ROW(MSPTasks[[#Headers],[ID]])))="",TRUE()),"",INDEX(tsk_PlanStart,(ROW()-ROW(MSPTasks[[#Headers],[ID]]))))</f>
        <v/>
      </c>
      <c r="P116" s="96" t="str">
        <f aca="false">IF(IFERROR(INDEX(tsk_Name,(ROW()-ROW(MSPTasks[[#Headers],[ID]])))="",TRUE()),"",INDEX(tsk_PlanFinish,(ROW()-ROW(MSPTasks[[#Headers],[ID]]))))</f>
        <v/>
      </c>
      <c r="Q1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6" s="24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4" t="str">
        <f aca="false">IF(IFERROR(INDEX(tsk_Name,(ROW()-ROW(MSPTasks[[#Headers],[ID]])))="",TRUE()),"",INDEX(tsk_ID,(ROW()-ROW(MSPTasks[[#Headers],[ID]]))))</f>
        <v/>
      </c>
      <c r="B117" s="24" t="str">
        <f aca="false">IF(IFERROR(INDEX(tsk_Name,(ROW()-ROW(MSPTasks[[#Headers],[ID]])))="",TRUE()),"",INDEX(tsk_UID,(ROW()-ROW(MSPTasks[[#Headers],[ID]]))))</f>
        <v/>
      </c>
      <c r="C117" s="24" t="str">
        <f aca="false">IF(IFERROR(INDEX(tsk_Name,(ROW()-ROW(MSPTasks[[#Headers],[ID]])))="",TRUE()),"",INDEX(tsk_Name,(ROW()-ROW(MSPTasks[[#Headers],[ID]]))))</f>
        <v/>
      </c>
      <c r="D117" s="24" t="str">
        <f aca="false">IF(IFERROR(INDEX(tsk_Name,(ROW()-ROW(MSPTasks[[#Headers],[ID]])))="",TRUE()),"",INDEX(tsk_Level,(ROW()-ROW(MSPTasks[[#Headers],[ID]]))))</f>
        <v/>
      </c>
      <c r="E117" s="24" t="str">
        <f aca="false">IF(IFERROR(INDEX(tsk_Name,(ROW()-ROW(MSPTasks[[#Headers],[ID]])))="",TRUE()),"",IF(INDEX(tsk_Mode,(ROW()-ROW(MSPTasks[[#Headers],[ID]])))="Manual","Manually Scheduled","Auto Scheduled"))</f>
        <v/>
      </c>
      <c r="F1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96" t="str">
        <f aca="false">IF(IFERROR(INDEX(tsk_Name,(ROW()-ROW(MSPTasks[[#Headers],[ID]])))="",TRUE()),"",INDEX(tsk_FcStart,(ROW()-ROW(MSPTasks[[#Headers],[ID]]))))</f>
        <v/>
      </c>
      <c r="H117" s="96" t="str">
        <f aca="false">IF(IFERROR(INDEX(tsk_Name,(ROW()-ROW(MSPTasks[[#Headers],[ID]])))="",TRUE()),"",INDEX(tsk_FcFinish,(ROW()-ROW(MSPTasks[[#Headers],[ID]]))))</f>
        <v/>
      </c>
      <c r="I1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96" t="str">
        <f aca="false">IF(IFERROR(INDEX(tsk_Name,(ROW()-ROW(MSPTasks[[#Headers],[ID]])))="",TRUE()),"",INDEX(tsk_PlanStart,(ROW()-ROW(MSPTasks[[#Headers],[ID]]))))</f>
        <v/>
      </c>
      <c r="P117" s="96" t="str">
        <f aca="false">IF(IFERROR(INDEX(tsk_Name,(ROW()-ROW(MSPTasks[[#Headers],[ID]])))="",TRUE()),"",INDEX(tsk_PlanFinish,(ROW()-ROW(MSPTasks[[#Headers],[ID]]))))</f>
        <v/>
      </c>
      <c r="Q1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7" s="24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4" t="str">
        <f aca="false">IF(IFERROR(INDEX(tsk_Name,(ROW()-ROW(MSPTasks[[#Headers],[ID]])))="",TRUE()),"",INDEX(tsk_ID,(ROW()-ROW(MSPTasks[[#Headers],[ID]]))))</f>
        <v/>
      </c>
      <c r="B118" s="24" t="str">
        <f aca="false">IF(IFERROR(INDEX(tsk_Name,(ROW()-ROW(MSPTasks[[#Headers],[ID]])))="",TRUE()),"",INDEX(tsk_UID,(ROW()-ROW(MSPTasks[[#Headers],[ID]]))))</f>
        <v/>
      </c>
      <c r="C118" s="24" t="str">
        <f aca="false">IF(IFERROR(INDEX(tsk_Name,(ROW()-ROW(MSPTasks[[#Headers],[ID]])))="",TRUE()),"",INDEX(tsk_Name,(ROW()-ROW(MSPTasks[[#Headers],[ID]]))))</f>
        <v/>
      </c>
      <c r="D118" s="24" t="str">
        <f aca="false">IF(IFERROR(INDEX(tsk_Name,(ROW()-ROW(MSPTasks[[#Headers],[ID]])))="",TRUE()),"",INDEX(tsk_Level,(ROW()-ROW(MSPTasks[[#Headers],[ID]]))))</f>
        <v/>
      </c>
      <c r="E118" s="24" t="str">
        <f aca="false">IF(IFERROR(INDEX(tsk_Name,(ROW()-ROW(MSPTasks[[#Headers],[ID]])))="",TRUE()),"",IF(INDEX(tsk_Mode,(ROW()-ROW(MSPTasks[[#Headers],[ID]])))="Manual","Manually Scheduled","Auto Scheduled"))</f>
        <v/>
      </c>
      <c r="F1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96" t="str">
        <f aca="false">IF(IFERROR(INDEX(tsk_Name,(ROW()-ROW(MSPTasks[[#Headers],[ID]])))="",TRUE()),"",INDEX(tsk_FcStart,(ROW()-ROW(MSPTasks[[#Headers],[ID]]))))</f>
        <v/>
      </c>
      <c r="H118" s="96" t="str">
        <f aca="false">IF(IFERROR(INDEX(tsk_Name,(ROW()-ROW(MSPTasks[[#Headers],[ID]])))="",TRUE()),"",INDEX(tsk_FcFinish,(ROW()-ROW(MSPTasks[[#Headers],[ID]]))))</f>
        <v/>
      </c>
      <c r="I1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96" t="str">
        <f aca="false">IF(IFERROR(INDEX(tsk_Name,(ROW()-ROW(MSPTasks[[#Headers],[ID]])))="",TRUE()),"",INDEX(tsk_PlanStart,(ROW()-ROW(MSPTasks[[#Headers],[ID]]))))</f>
        <v/>
      </c>
      <c r="P118" s="96" t="str">
        <f aca="false">IF(IFERROR(INDEX(tsk_Name,(ROW()-ROW(MSPTasks[[#Headers],[ID]])))="",TRUE()),"",INDEX(tsk_PlanFinish,(ROW()-ROW(MSPTasks[[#Headers],[ID]]))))</f>
        <v/>
      </c>
      <c r="Q1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8" s="24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4" t="str">
        <f aca="false">IF(IFERROR(INDEX(tsk_Name,(ROW()-ROW(MSPTasks[[#Headers],[ID]])))="",TRUE()),"",INDEX(tsk_ID,(ROW()-ROW(MSPTasks[[#Headers],[ID]]))))</f>
        <v/>
      </c>
      <c r="B119" s="24" t="str">
        <f aca="false">IF(IFERROR(INDEX(tsk_Name,(ROW()-ROW(MSPTasks[[#Headers],[ID]])))="",TRUE()),"",INDEX(tsk_UID,(ROW()-ROW(MSPTasks[[#Headers],[ID]]))))</f>
        <v/>
      </c>
      <c r="C119" s="24" t="str">
        <f aca="false">IF(IFERROR(INDEX(tsk_Name,(ROW()-ROW(MSPTasks[[#Headers],[ID]])))="",TRUE()),"",INDEX(tsk_Name,(ROW()-ROW(MSPTasks[[#Headers],[ID]]))))</f>
        <v/>
      </c>
      <c r="D119" s="24" t="str">
        <f aca="false">IF(IFERROR(INDEX(tsk_Name,(ROW()-ROW(MSPTasks[[#Headers],[ID]])))="",TRUE()),"",INDEX(tsk_Level,(ROW()-ROW(MSPTasks[[#Headers],[ID]]))))</f>
        <v/>
      </c>
      <c r="E119" s="24" t="str">
        <f aca="false">IF(IFERROR(INDEX(tsk_Name,(ROW()-ROW(MSPTasks[[#Headers],[ID]])))="",TRUE()),"",IF(INDEX(tsk_Mode,(ROW()-ROW(MSPTasks[[#Headers],[ID]])))="Manual","Manually Scheduled","Auto Scheduled"))</f>
        <v/>
      </c>
      <c r="F1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96" t="str">
        <f aca="false">IF(IFERROR(INDEX(tsk_Name,(ROW()-ROW(MSPTasks[[#Headers],[ID]])))="",TRUE()),"",INDEX(tsk_FcStart,(ROW()-ROW(MSPTasks[[#Headers],[ID]]))))</f>
        <v/>
      </c>
      <c r="H119" s="96" t="str">
        <f aca="false">IF(IFERROR(INDEX(tsk_Name,(ROW()-ROW(MSPTasks[[#Headers],[ID]])))="",TRUE()),"",INDEX(tsk_FcFinish,(ROW()-ROW(MSPTasks[[#Headers],[ID]]))))</f>
        <v/>
      </c>
      <c r="I1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96" t="str">
        <f aca="false">IF(IFERROR(INDEX(tsk_Name,(ROW()-ROW(MSPTasks[[#Headers],[ID]])))="",TRUE()),"",INDEX(tsk_PlanStart,(ROW()-ROW(MSPTasks[[#Headers],[ID]]))))</f>
        <v/>
      </c>
      <c r="P119" s="96" t="str">
        <f aca="false">IF(IFERROR(INDEX(tsk_Name,(ROW()-ROW(MSPTasks[[#Headers],[ID]])))="",TRUE()),"",INDEX(tsk_PlanFinish,(ROW()-ROW(MSPTasks[[#Headers],[ID]]))))</f>
        <v/>
      </c>
      <c r="Q1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9" s="24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4" t="str">
        <f aca="false">IF(IFERROR(INDEX(tsk_Name,(ROW()-ROW(MSPTasks[[#Headers],[ID]])))="",TRUE()),"",INDEX(tsk_ID,(ROW()-ROW(MSPTasks[[#Headers],[ID]]))))</f>
        <v/>
      </c>
      <c r="B120" s="24" t="str">
        <f aca="false">IF(IFERROR(INDEX(tsk_Name,(ROW()-ROW(MSPTasks[[#Headers],[ID]])))="",TRUE()),"",INDEX(tsk_UID,(ROW()-ROW(MSPTasks[[#Headers],[ID]]))))</f>
        <v/>
      </c>
      <c r="C120" s="24" t="str">
        <f aca="false">IF(IFERROR(INDEX(tsk_Name,(ROW()-ROW(MSPTasks[[#Headers],[ID]])))="",TRUE()),"",INDEX(tsk_Name,(ROW()-ROW(MSPTasks[[#Headers],[ID]]))))</f>
        <v/>
      </c>
      <c r="D120" s="24" t="str">
        <f aca="false">IF(IFERROR(INDEX(tsk_Name,(ROW()-ROW(MSPTasks[[#Headers],[ID]])))="",TRUE()),"",INDEX(tsk_Level,(ROW()-ROW(MSPTasks[[#Headers],[ID]]))))</f>
        <v/>
      </c>
      <c r="E120" s="24" t="str">
        <f aca="false">IF(IFERROR(INDEX(tsk_Name,(ROW()-ROW(MSPTasks[[#Headers],[ID]])))="",TRUE()),"",IF(INDEX(tsk_Mode,(ROW()-ROW(MSPTasks[[#Headers],[ID]])))="Manual","Manually Scheduled","Auto Scheduled"))</f>
        <v/>
      </c>
      <c r="F1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96" t="str">
        <f aca="false">IF(IFERROR(INDEX(tsk_Name,(ROW()-ROW(MSPTasks[[#Headers],[ID]])))="",TRUE()),"",INDEX(tsk_FcStart,(ROW()-ROW(MSPTasks[[#Headers],[ID]]))))</f>
        <v/>
      </c>
      <c r="H120" s="96" t="str">
        <f aca="false">IF(IFERROR(INDEX(tsk_Name,(ROW()-ROW(MSPTasks[[#Headers],[ID]])))="",TRUE()),"",INDEX(tsk_FcFinish,(ROW()-ROW(MSPTasks[[#Headers],[ID]]))))</f>
        <v/>
      </c>
      <c r="I1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96" t="str">
        <f aca="false">IF(IFERROR(INDEX(tsk_Name,(ROW()-ROW(MSPTasks[[#Headers],[ID]])))="",TRUE()),"",INDEX(tsk_PlanStart,(ROW()-ROW(MSPTasks[[#Headers],[ID]]))))</f>
        <v/>
      </c>
      <c r="P120" s="96" t="str">
        <f aca="false">IF(IFERROR(INDEX(tsk_Name,(ROW()-ROW(MSPTasks[[#Headers],[ID]])))="",TRUE()),"",INDEX(tsk_PlanFinish,(ROW()-ROW(MSPTasks[[#Headers],[ID]]))))</f>
        <v/>
      </c>
      <c r="Q1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0" s="24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4" t="str">
        <f aca="false">IF(IFERROR(INDEX(tsk_Name,(ROW()-ROW(MSPTasks[[#Headers],[ID]])))="",TRUE()),"",INDEX(tsk_ID,(ROW()-ROW(MSPTasks[[#Headers],[ID]]))))</f>
        <v/>
      </c>
      <c r="B121" s="24" t="str">
        <f aca="false">IF(IFERROR(INDEX(tsk_Name,(ROW()-ROW(MSPTasks[[#Headers],[ID]])))="",TRUE()),"",INDEX(tsk_UID,(ROW()-ROW(MSPTasks[[#Headers],[ID]]))))</f>
        <v/>
      </c>
      <c r="C121" s="24" t="str">
        <f aca="false">IF(IFERROR(INDEX(tsk_Name,(ROW()-ROW(MSPTasks[[#Headers],[ID]])))="",TRUE()),"",INDEX(tsk_Name,(ROW()-ROW(MSPTasks[[#Headers],[ID]]))))</f>
        <v/>
      </c>
      <c r="D121" s="24" t="str">
        <f aca="false">IF(IFERROR(INDEX(tsk_Name,(ROW()-ROW(MSPTasks[[#Headers],[ID]])))="",TRUE()),"",INDEX(tsk_Level,(ROW()-ROW(MSPTasks[[#Headers],[ID]]))))</f>
        <v/>
      </c>
      <c r="E121" s="24" t="str">
        <f aca="false">IF(IFERROR(INDEX(tsk_Name,(ROW()-ROW(MSPTasks[[#Headers],[ID]])))="",TRUE()),"",IF(INDEX(tsk_Mode,(ROW()-ROW(MSPTasks[[#Headers],[ID]])))="Manual","Manually Scheduled","Auto Scheduled"))</f>
        <v/>
      </c>
      <c r="F1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96" t="str">
        <f aca="false">IF(IFERROR(INDEX(tsk_Name,(ROW()-ROW(MSPTasks[[#Headers],[ID]])))="",TRUE()),"",INDEX(tsk_FcStart,(ROW()-ROW(MSPTasks[[#Headers],[ID]]))))</f>
        <v/>
      </c>
      <c r="H121" s="96" t="str">
        <f aca="false">IF(IFERROR(INDEX(tsk_Name,(ROW()-ROW(MSPTasks[[#Headers],[ID]])))="",TRUE()),"",INDEX(tsk_FcFinish,(ROW()-ROW(MSPTasks[[#Headers],[ID]]))))</f>
        <v/>
      </c>
      <c r="I1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96" t="str">
        <f aca="false">IF(IFERROR(INDEX(tsk_Name,(ROW()-ROW(MSPTasks[[#Headers],[ID]])))="",TRUE()),"",INDEX(tsk_PlanStart,(ROW()-ROW(MSPTasks[[#Headers],[ID]]))))</f>
        <v/>
      </c>
      <c r="P121" s="96" t="str">
        <f aca="false">IF(IFERROR(INDEX(tsk_Name,(ROW()-ROW(MSPTasks[[#Headers],[ID]])))="",TRUE()),"",INDEX(tsk_PlanFinish,(ROW()-ROW(MSPTasks[[#Headers],[ID]]))))</f>
        <v/>
      </c>
      <c r="Q1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1" s="24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4" t="str">
        <f aca="false">IF(IFERROR(INDEX(tsk_Name,(ROW()-ROW(MSPTasks[[#Headers],[ID]])))="",TRUE()),"",INDEX(tsk_ID,(ROW()-ROW(MSPTasks[[#Headers],[ID]]))))</f>
        <v/>
      </c>
      <c r="B122" s="24" t="str">
        <f aca="false">IF(IFERROR(INDEX(tsk_Name,(ROW()-ROW(MSPTasks[[#Headers],[ID]])))="",TRUE()),"",INDEX(tsk_UID,(ROW()-ROW(MSPTasks[[#Headers],[ID]]))))</f>
        <v/>
      </c>
      <c r="C122" s="24" t="str">
        <f aca="false">IF(IFERROR(INDEX(tsk_Name,(ROW()-ROW(MSPTasks[[#Headers],[ID]])))="",TRUE()),"",INDEX(tsk_Name,(ROW()-ROW(MSPTasks[[#Headers],[ID]]))))</f>
        <v/>
      </c>
      <c r="D122" s="24" t="str">
        <f aca="false">IF(IFERROR(INDEX(tsk_Name,(ROW()-ROW(MSPTasks[[#Headers],[ID]])))="",TRUE()),"",INDEX(tsk_Level,(ROW()-ROW(MSPTasks[[#Headers],[ID]]))))</f>
        <v/>
      </c>
      <c r="E122" s="24" t="str">
        <f aca="false">IF(IFERROR(INDEX(tsk_Name,(ROW()-ROW(MSPTasks[[#Headers],[ID]])))="",TRUE()),"",IF(INDEX(tsk_Mode,(ROW()-ROW(MSPTasks[[#Headers],[ID]])))="Manual","Manually Scheduled","Auto Scheduled"))</f>
        <v/>
      </c>
      <c r="F1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96" t="str">
        <f aca="false">IF(IFERROR(INDEX(tsk_Name,(ROW()-ROW(MSPTasks[[#Headers],[ID]])))="",TRUE()),"",INDEX(tsk_FcStart,(ROW()-ROW(MSPTasks[[#Headers],[ID]]))))</f>
        <v/>
      </c>
      <c r="H122" s="96" t="str">
        <f aca="false">IF(IFERROR(INDEX(tsk_Name,(ROW()-ROW(MSPTasks[[#Headers],[ID]])))="",TRUE()),"",INDEX(tsk_FcFinish,(ROW()-ROW(MSPTasks[[#Headers],[ID]]))))</f>
        <v/>
      </c>
      <c r="I1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96" t="str">
        <f aca="false">IF(IFERROR(INDEX(tsk_Name,(ROW()-ROW(MSPTasks[[#Headers],[ID]])))="",TRUE()),"",INDEX(tsk_PlanStart,(ROW()-ROW(MSPTasks[[#Headers],[ID]]))))</f>
        <v/>
      </c>
      <c r="P122" s="96" t="str">
        <f aca="false">IF(IFERROR(INDEX(tsk_Name,(ROW()-ROW(MSPTasks[[#Headers],[ID]])))="",TRUE()),"",INDEX(tsk_PlanFinish,(ROW()-ROW(MSPTasks[[#Headers],[ID]]))))</f>
        <v/>
      </c>
      <c r="Q1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2" s="24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4" t="str">
        <f aca="false">IF(IFERROR(INDEX(tsk_Name,(ROW()-ROW(MSPTasks[[#Headers],[ID]])))="",TRUE()),"",INDEX(tsk_ID,(ROW()-ROW(MSPTasks[[#Headers],[ID]]))))</f>
        <v/>
      </c>
      <c r="B123" s="24" t="str">
        <f aca="false">IF(IFERROR(INDEX(tsk_Name,(ROW()-ROW(MSPTasks[[#Headers],[ID]])))="",TRUE()),"",INDEX(tsk_UID,(ROW()-ROW(MSPTasks[[#Headers],[ID]]))))</f>
        <v/>
      </c>
      <c r="C123" s="24" t="str">
        <f aca="false">IF(IFERROR(INDEX(tsk_Name,(ROW()-ROW(MSPTasks[[#Headers],[ID]])))="",TRUE()),"",INDEX(tsk_Name,(ROW()-ROW(MSPTasks[[#Headers],[ID]]))))</f>
        <v/>
      </c>
      <c r="D123" s="24" t="str">
        <f aca="false">IF(IFERROR(INDEX(tsk_Name,(ROW()-ROW(MSPTasks[[#Headers],[ID]])))="",TRUE()),"",INDEX(tsk_Level,(ROW()-ROW(MSPTasks[[#Headers],[ID]]))))</f>
        <v/>
      </c>
      <c r="E123" s="24" t="str">
        <f aca="false">IF(IFERROR(INDEX(tsk_Name,(ROW()-ROW(MSPTasks[[#Headers],[ID]])))="",TRUE()),"",IF(INDEX(tsk_Mode,(ROW()-ROW(MSPTasks[[#Headers],[ID]])))="Manual","Manually Scheduled","Auto Scheduled"))</f>
        <v/>
      </c>
      <c r="F1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96" t="str">
        <f aca="false">IF(IFERROR(INDEX(tsk_Name,(ROW()-ROW(MSPTasks[[#Headers],[ID]])))="",TRUE()),"",INDEX(tsk_FcStart,(ROW()-ROW(MSPTasks[[#Headers],[ID]]))))</f>
        <v/>
      </c>
      <c r="H123" s="96" t="str">
        <f aca="false">IF(IFERROR(INDEX(tsk_Name,(ROW()-ROW(MSPTasks[[#Headers],[ID]])))="",TRUE()),"",INDEX(tsk_FcFinish,(ROW()-ROW(MSPTasks[[#Headers],[ID]]))))</f>
        <v/>
      </c>
      <c r="I1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96" t="str">
        <f aca="false">IF(IFERROR(INDEX(tsk_Name,(ROW()-ROW(MSPTasks[[#Headers],[ID]])))="",TRUE()),"",INDEX(tsk_PlanStart,(ROW()-ROW(MSPTasks[[#Headers],[ID]]))))</f>
        <v/>
      </c>
      <c r="P123" s="96" t="str">
        <f aca="false">IF(IFERROR(INDEX(tsk_Name,(ROW()-ROW(MSPTasks[[#Headers],[ID]])))="",TRUE()),"",INDEX(tsk_PlanFinish,(ROW()-ROW(MSPTasks[[#Headers],[ID]]))))</f>
        <v/>
      </c>
      <c r="Q1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3" s="24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4" t="str">
        <f aca="false">IF(IFERROR(INDEX(tsk_Name,(ROW()-ROW(MSPTasks[[#Headers],[ID]])))="",TRUE()),"",INDEX(tsk_ID,(ROW()-ROW(MSPTasks[[#Headers],[ID]]))))</f>
        <v/>
      </c>
      <c r="B124" s="24" t="str">
        <f aca="false">IF(IFERROR(INDEX(tsk_Name,(ROW()-ROW(MSPTasks[[#Headers],[ID]])))="",TRUE()),"",INDEX(tsk_UID,(ROW()-ROW(MSPTasks[[#Headers],[ID]]))))</f>
        <v/>
      </c>
      <c r="C124" s="24" t="str">
        <f aca="false">IF(IFERROR(INDEX(tsk_Name,(ROW()-ROW(MSPTasks[[#Headers],[ID]])))="",TRUE()),"",INDEX(tsk_Name,(ROW()-ROW(MSPTasks[[#Headers],[ID]]))))</f>
        <v/>
      </c>
      <c r="D124" s="24" t="str">
        <f aca="false">IF(IFERROR(INDEX(tsk_Name,(ROW()-ROW(MSPTasks[[#Headers],[ID]])))="",TRUE()),"",INDEX(tsk_Level,(ROW()-ROW(MSPTasks[[#Headers],[ID]]))))</f>
        <v/>
      </c>
      <c r="E124" s="24" t="str">
        <f aca="false">IF(IFERROR(INDEX(tsk_Name,(ROW()-ROW(MSPTasks[[#Headers],[ID]])))="",TRUE()),"",IF(INDEX(tsk_Mode,(ROW()-ROW(MSPTasks[[#Headers],[ID]])))="Manual","Manually Scheduled","Auto Scheduled"))</f>
        <v/>
      </c>
      <c r="F1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96" t="str">
        <f aca="false">IF(IFERROR(INDEX(tsk_Name,(ROW()-ROW(MSPTasks[[#Headers],[ID]])))="",TRUE()),"",INDEX(tsk_FcStart,(ROW()-ROW(MSPTasks[[#Headers],[ID]]))))</f>
        <v/>
      </c>
      <c r="H124" s="96" t="str">
        <f aca="false">IF(IFERROR(INDEX(tsk_Name,(ROW()-ROW(MSPTasks[[#Headers],[ID]])))="",TRUE()),"",INDEX(tsk_FcFinish,(ROW()-ROW(MSPTasks[[#Headers],[ID]]))))</f>
        <v/>
      </c>
      <c r="I1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96" t="str">
        <f aca="false">IF(IFERROR(INDEX(tsk_Name,(ROW()-ROW(MSPTasks[[#Headers],[ID]])))="",TRUE()),"",INDEX(tsk_PlanStart,(ROW()-ROW(MSPTasks[[#Headers],[ID]]))))</f>
        <v/>
      </c>
      <c r="P124" s="96" t="str">
        <f aca="false">IF(IFERROR(INDEX(tsk_Name,(ROW()-ROW(MSPTasks[[#Headers],[ID]])))="",TRUE()),"",INDEX(tsk_PlanFinish,(ROW()-ROW(MSPTasks[[#Headers],[ID]]))))</f>
        <v/>
      </c>
      <c r="Q1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4" s="24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4" t="str">
        <f aca="false">IF(IFERROR(INDEX(tsk_Name,(ROW()-ROW(MSPTasks[[#Headers],[ID]])))="",TRUE()),"",INDEX(tsk_ID,(ROW()-ROW(MSPTasks[[#Headers],[ID]]))))</f>
        <v/>
      </c>
      <c r="B125" s="24" t="str">
        <f aca="false">IF(IFERROR(INDEX(tsk_Name,(ROW()-ROW(MSPTasks[[#Headers],[ID]])))="",TRUE()),"",INDEX(tsk_UID,(ROW()-ROW(MSPTasks[[#Headers],[ID]]))))</f>
        <v/>
      </c>
      <c r="C125" s="24" t="str">
        <f aca="false">IF(IFERROR(INDEX(tsk_Name,(ROW()-ROW(MSPTasks[[#Headers],[ID]])))="",TRUE()),"",INDEX(tsk_Name,(ROW()-ROW(MSPTasks[[#Headers],[ID]]))))</f>
        <v/>
      </c>
      <c r="D125" s="24" t="str">
        <f aca="false">IF(IFERROR(INDEX(tsk_Name,(ROW()-ROW(MSPTasks[[#Headers],[ID]])))="",TRUE()),"",INDEX(tsk_Level,(ROW()-ROW(MSPTasks[[#Headers],[ID]]))))</f>
        <v/>
      </c>
      <c r="E125" s="24" t="str">
        <f aca="false">IF(IFERROR(INDEX(tsk_Name,(ROW()-ROW(MSPTasks[[#Headers],[ID]])))="",TRUE()),"",IF(INDEX(tsk_Mode,(ROW()-ROW(MSPTasks[[#Headers],[ID]])))="Manual","Manually Scheduled","Auto Scheduled"))</f>
        <v/>
      </c>
      <c r="F1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96" t="str">
        <f aca="false">IF(IFERROR(INDEX(tsk_Name,(ROW()-ROW(MSPTasks[[#Headers],[ID]])))="",TRUE()),"",INDEX(tsk_FcStart,(ROW()-ROW(MSPTasks[[#Headers],[ID]]))))</f>
        <v/>
      </c>
      <c r="H125" s="96" t="str">
        <f aca="false">IF(IFERROR(INDEX(tsk_Name,(ROW()-ROW(MSPTasks[[#Headers],[ID]])))="",TRUE()),"",INDEX(tsk_FcFinish,(ROW()-ROW(MSPTasks[[#Headers],[ID]]))))</f>
        <v/>
      </c>
      <c r="I1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96" t="str">
        <f aca="false">IF(IFERROR(INDEX(tsk_Name,(ROW()-ROW(MSPTasks[[#Headers],[ID]])))="",TRUE()),"",INDEX(tsk_PlanStart,(ROW()-ROW(MSPTasks[[#Headers],[ID]]))))</f>
        <v/>
      </c>
      <c r="P125" s="96" t="str">
        <f aca="false">IF(IFERROR(INDEX(tsk_Name,(ROW()-ROW(MSPTasks[[#Headers],[ID]])))="",TRUE()),"",INDEX(tsk_PlanFinish,(ROW()-ROW(MSPTasks[[#Headers],[ID]]))))</f>
        <v/>
      </c>
      <c r="Q1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5" s="24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4" t="str">
        <f aca="false">IF(IFERROR(INDEX(tsk_Name,(ROW()-ROW(MSPTasks[[#Headers],[ID]])))="",TRUE()),"",INDEX(tsk_ID,(ROW()-ROW(MSPTasks[[#Headers],[ID]]))))</f>
        <v/>
      </c>
      <c r="B126" s="24" t="str">
        <f aca="false">IF(IFERROR(INDEX(tsk_Name,(ROW()-ROW(MSPTasks[[#Headers],[ID]])))="",TRUE()),"",INDEX(tsk_UID,(ROW()-ROW(MSPTasks[[#Headers],[ID]]))))</f>
        <v/>
      </c>
      <c r="C126" s="24" t="str">
        <f aca="false">IF(IFERROR(INDEX(tsk_Name,(ROW()-ROW(MSPTasks[[#Headers],[ID]])))="",TRUE()),"",INDEX(tsk_Name,(ROW()-ROW(MSPTasks[[#Headers],[ID]]))))</f>
        <v/>
      </c>
      <c r="D126" s="24" t="str">
        <f aca="false">IF(IFERROR(INDEX(tsk_Name,(ROW()-ROW(MSPTasks[[#Headers],[ID]])))="",TRUE()),"",INDEX(tsk_Level,(ROW()-ROW(MSPTasks[[#Headers],[ID]]))))</f>
        <v/>
      </c>
      <c r="E126" s="24" t="str">
        <f aca="false">IF(IFERROR(INDEX(tsk_Name,(ROW()-ROW(MSPTasks[[#Headers],[ID]])))="",TRUE()),"",IF(INDEX(tsk_Mode,(ROW()-ROW(MSPTasks[[#Headers],[ID]])))="Manual","Manually Scheduled","Auto Scheduled"))</f>
        <v/>
      </c>
      <c r="F1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96" t="str">
        <f aca="false">IF(IFERROR(INDEX(tsk_Name,(ROW()-ROW(MSPTasks[[#Headers],[ID]])))="",TRUE()),"",INDEX(tsk_FcStart,(ROW()-ROW(MSPTasks[[#Headers],[ID]]))))</f>
        <v/>
      </c>
      <c r="H126" s="96" t="str">
        <f aca="false">IF(IFERROR(INDEX(tsk_Name,(ROW()-ROW(MSPTasks[[#Headers],[ID]])))="",TRUE()),"",INDEX(tsk_FcFinish,(ROW()-ROW(MSPTasks[[#Headers],[ID]]))))</f>
        <v/>
      </c>
      <c r="I1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96" t="str">
        <f aca="false">IF(IFERROR(INDEX(tsk_Name,(ROW()-ROW(MSPTasks[[#Headers],[ID]])))="",TRUE()),"",INDEX(tsk_PlanStart,(ROW()-ROW(MSPTasks[[#Headers],[ID]]))))</f>
        <v/>
      </c>
      <c r="P126" s="96" t="str">
        <f aca="false">IF(IFERROR(INDEX(tsk_Name,(ROW()-ROW(MSPTasks[[#Headers],[ID]])))="",TRUE()),"",INDEX(tsk_PlanFinish,(ROW()-ROW(MSPTasks[[#Headers],[ID]]))))</f>
        <v/>
      </c>
      <c r="Q1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6" s="24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4" t="str">
        <f aca="false">IF(IFERROR(INDEX(tsk_Name,(ROW()-ROW(MSPTasks[[#Headers],[ID]])))="",TRUE()),"",INDEX(tsk_ID,(ROW()-ROW(MSPTasks[[#Headers],[ID]]))))</f>
        <v/>
      </c>
      <c r="B127" s="24" t="str">
        <f aca="false">IF(IFERROR(INDEX(tsk_Name,(ROW()-ROW(MSPTasks[[#Headers],[ID]])))="",TRUE()),"",INDEX(tsk_UID,(ROW()-ROW(MSPTasks[[#Headers],[ID]]))))</f>
        <v/>
      </c>
      <c r="C127" s="24" t="str">
        <f aca="false">IF(IFERROR(INDEX(tsk_Name,(ROW()-ROW(MSPTasks[[#Headers],[ID]])))="",TRUE()),"",INDEX(tsk_Name,(ROW()-ROW(MSPTasks[[#Headers],[ID]]))))</f>
        <v/>
      </c>
      <c r="D127" s="24" t="str">
        <f aca="false">IF(IFERROR(INDEX(tsk_Name,(ROW()-ROW(MSPTasks[[#Headers],[ID]])))="",TRUE()),"",INDEX(tsk_Level,(ROW()-ROW(MSPTasks[[#Headers],[ID]]))))</f>
        <v/>
      </c>
      <c r="E127" s="24" t="str">
        <f aca="false">IF(IFERROR(INDEX(tsk_Name,(ROW()-ROW(MSPTasks[[#Headers],[ID]])))="",TRUE()),"",IF(INDEX(tsk_Mode,(ROW()-ROW(MSPTasks[[#Headers],[ID]])))="Manual","Manually Scheduled","Auto Scheduled"))</f>
        <v/>
      </c>
      <c r="F1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96" t="str">
        <f aca="false">IF(IFERROR(INDEX(tsk_Name,(ROW()-ROW(MSPTasks[[#Headers],[ID]])))="",TRUE()),"",INDEX(tsk_FcStart,(ROW()-ROW(MSPTasks[[#Headers],[ID]]))))</f>
        <v/>
      </c>
      <c r="H127" s="96" t="str">
        <f aca="false">IF(IFERROR(INDEX(tsk_Name,(ROW()-ROW(MSPTasks[[#Headers],[ID]])))="",TRUE()),"",INDEX(tsk_FcFinish,(ROW()-ROW(MSPTasks[[#Headers],[ID]]))))</f>
        <v/>
      </c>
      <c r="I1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96" t="str">
        <f aca="false">IF(IFERROR(INDEX(tsk_Name,(ROW()-ROW(MSPTasks[[#Headers],[ID]])))="",TRUE()),"",INDEX(tsk_PlanStart,(ROW()-ROW(MSPTasks[[#Headers],[ID]]))))</f>
        <v/>
      </c>
      <c r="P127" s="96" t="str">
        <f aca="false">IF(IFERROR(INDEX(tsk_Name,(ROW()-ROW(MSPTasks[[#Headers],[ID]])))="",TRUE()),"",INDEX(tsk_PlanFinish,(ROW()-ROW(MSPTasks[[#Headers],[ID]]))))</f>
        <v/>
      </c>
      <c r="Q1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7" s="24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4" t="str">
        <f aca="false">IF(IFERROR(INDEX(tsk_Name,(ROW()-ROW(MSPTasks[[#Headers],[ID]])))="",TRUE()),"",INDEX(tsk_ID,(ROW()-ROW(MSPTasks[[#Headers],[ID]]))))</f>
        <v/>
      </c>
      <c r="B128" s="24" t="str">
        <f aca="false">IF(IFERROR(INDEX(tsk_Name,(ROW()-ROW(MSPTasks[[#Headers],[ID]])))="",TRUE()),"",INDEX(tsk_UID,(ROW()-ROW(MSPTasks[[#Headers],[ID]]))))</f>
        <v/>
      </c>
      <c r="C128" s="24" t="str">
        <f aca="false">IF(IFERROR(INDEX(tsk_Name,(ROW()-ROW(MSPTasks[[#Headers],[ID]])))="",TRUE()),"",INDEX(tsk_Name,(ROW()-ROW(MSPTasks[[#Headers],[ID]]))))</f>
        <v/>
      </c>
      <c r="D128" s="24" t="str">
        <f aca="false">IF(IFERROR(INDEX(tsk_Name,(ROW()-ROW(MSPTasks[[#Headers],[ID]])))="",TRUE()),"",INDEX(tsk_Level,(ROW()-ROW(MSPTasks[[#Headers],[ID]]))))</f>
        <v/>
      </c>
      <c r="E128" s="24" t="str">
        <f aca="false">IF(IFERROR(INDEX(tsk_Name,(ROW()-ROW(MSPTasks[[#Headers],[ID]])))="",TRUE()),"",IF(INDEX(tsk_Mode,(ROW()-ROW(MSPTasks[[#Headers],[ID]])))="Manual","Manually Scheduled","Auto Scheduled"))</f>
        <v/>
      </c>
      <c r="F1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96" t="str">
        <f aca="false">IF(IFERROR(INDEX(tsk_Name,(ROW()-ROW(MSPTasks[[#Headers],[ID]])))="",TRUE()),"",INDEX(tsk_FcStart,(ROW()-ROW(MSPTasks[[#Headers],[ID]]))))</f>
        <v/>
      </c>
      <c r="H128" s="96" t="str">
        <f aca="false">IF(IFERROR(INDEX(tsk_Name,(ROW()-ROW(MSPTasks[[#Headers],[ID]])))="",TRUE()),"",INDEX(tsk_FcFinish,(ROW()-ROW(MSPTasks[[#Headers],[ID]]))))</f>
        <v/>
      </c>
      <c r="I1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96" t="str">
        <f aca="false">IF(IFERROR(INDEX(tsk_Name,(ROW()-ROW(MSPTasks[[#Headers],[ID]])))="",TRUE()),"",INDEX(tsk_PlanStart,(ROW()-ROW(MSPTasks[[#Headers],[ID]]))))</f>
        <v/>
      </c>
      <c r="P128" s="96" t="str">
        <f aca="false">IF(IFERROR(INDEX(tsk_Name,(ROW()-ROW(MSPTasks[[#Headers],[ID]])))="",TRUE()),"",INDEX(tsk_PlanFinish,(ROW()-ROW(MSPTasks[[#Headers],[ID]]))))</f>
        <v/>
      </c>
      <c r="Q1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8" s="24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4" t="str">
        <f aca="false">IF(IFERROR(INDEX(tsk_Name,(ROW()-ROW(MSPTasks[[#Headers],[ID]])))="",TRUE()),"",INDEX(tsk_ID,(ROW()-ROW(MSPTasks[[#Headers],[ID]]))))</f>
        <v/>
      </c>
      <c r="B129" s="24" t="str">
        <f aca="false">IF(IFERROR(INDEX(tsk_Name,(ROW()-ROW(MSPTasks[[#Headers],[ID]])))="",TRUE()),"",INDEX(tsk_UID,(ROW()-ROW(MSPTasks[[#Headers],[ID]]))))</f>
        <v/>
      </c>
      <c r="C129" s="24" t="str">
        <f aca="false">IF(IFERROR(INDEX(tsk_Name,(ROW()-ROW(MSPTasks[[#Headers],[ID]])))="",TRUE()),"",INDEX(tsk_Name,(ROW()-ROW(MSPTasks[[#Headers],[ID]]))))</f>
        <v/>
      </c>
      <c r="D129" s="24" t="str">
        <f aca="false">IF(IFERROR(INDEX(tsk_Name,(ROW()-ROW(MSPTasks[[#Headers],[ID]])))="",TRUE()),"",INDEX(tsk_Level,(ROW()-ROW(MSPTasks[[#Headers],[ID]]))))</f>
        <v/>
      </c>
      <c r="E129" s="24" t="str">
        <f aca="false">IF(IFERROR(INDEX(tsk_Name,(ROW()-ROW(MSPTasks[[#Headers],[ID]])))="",TRUE()),"",IF(INDEX(tsk_Mode,(ROW()-ROW(MSPTasks[[#Headers],[ID]])))="Manual","Manually Scheduled","Auto Scheduled"))</f>
        <v/>
      </c>
      <c r="F1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96" t="str">
        <f aca="false">IF(IFERROR(INDEX(tsk_Name,(ROW()-ROW(MSPTasks[[#Headers],[ID]])))="",TRUE()),"",INDEX(tsk_FcStart,(ROW()-ROW(MSPTasks[[#Headers],[ID]]))))</f>
        <v/>
      </c>
      <c r="H129" s="96" t="str">
        <f aca="false">IF(IFERROR(INDEX(tsk_Name,(ROW()-ROW(MSPTasks[[#Headers],[ID]])))="",TRUE()),"",INDEX(tsk_FcFinish,(ROW()-ROW(MSPTasks[[#Headers],[ID]]))))</f>
        <v/>
      </c>
      <c r="I1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96" t="str">
        <f aca="false">IF(IFERROR(INDEX(tsk_Name,(ROW()-ROW(MSPTasks[[#Headers],[ID]])))="",TRUE()),"",INDEX(tsk_PlanStart,(ROW()-ROW(MSPTasks[[#Headers],[ID]]))))</f>
        <v/>
      </c>
      <c r="P129" s="96" t="str">
        <f aca="false">IF(IFERROR(INDEX(tsk_Name,(ROW()-ROW(MSPTasks[[#Headers],[ID]])))="",TRUE()),"",INDEX(tsk_PlanFinish,(ROW()-ROW(MSPTasks[[#Headers],[ID]]))))</f>
        <v/>
      </c>
      <c r="Q1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9" s="24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4" t="str">
        <f aca="false">IF(IFERROR(INDEX(tsk_Name,(ROW()-ROW(MSPTasks[[#Headers],[ID]])))="",TRUE()),"",INDEX(tsk_ID,(ROW()-ROW(MSPTasks[[#Headers],[ID]]))))</f>
        <v/>
      </c>
      <c r="B130" s="24" t="str">
        <f aca="false">IF(IFERROR(INDEX(tsk_Name,(ROW()-ROW(MSPTasks[[#Headers],[ID]])))="",TRUE()),"",INDEX(tsk_UID,(ROW()-ROW(MSPTasks[[#Headers],[ID]]))))</f>
        <v/>
      </c>
      <c r="C130" s="24" t="str">
        <f aca="false">IF(IFERROR(INDEX(tsk_Name,(ROW()-ROW(MSPTasks[[#Headers],[ID]])))="",TRUE()),"",INDEX(tsk_Name,(ROW()-ROW(MSPTasks[[#Headers],[ID]]))))</f>
        <v/>
      </c>
      <c r="D130" s="24" t="str">
        <f aca="false">IF(IFERROR(INDEX(tsk_Name,(ROW()-ROW(MSPTasks[[#Headers],[ID]])))="",TRUE()),"",INDEX(tsk_Level,(ROW()-ROW(MSPTasks[[#Headers],[ID]]))))</f>
        <v/>
      </c>
      <c r="E130" s="24" t="str">
        <f aca="false">IF(IFERROR(INDEX(tsk_Name,(ROW()-ROW(MSPTasks[[#Headers],[ID]])))="",TRUE()),"",IF(INDEX(tsk_Mode,(ROW()-ROW(MSPTasks[[#Headers],[ID]])))="Manual","Manually Scheduled","Auto Scheduled"))</f>
        <v/>
      </c>
      <c r="F1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96" t="str">
        <f aca="false">IF(IFERROR(INDEX(tsk_Name,(ROW()-ROW(MSPTasks[[#Headers],[ID]])))="",TRUE()),"",INDEX(tsk_FcStart,(ROW()-ROW(MSPTasks[[#Headers],[ID]]))))</f>
        <v/>
      </c>
      <c r="H130" s="96" t="str">
        <f aca="false">IF(IFERROR(INDEX(tsk_Name,(ROW()-ROW(MSPTasks[[#Headers],[ID]])))="",TRUE()),"",INDEX(tsk_FcFinish,(ROW()-ROW(MSPTasks[[#Headers],[ID]]))))</f>
        <v/>
      </c>
      <c r="I1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96" t="str">
        <f aca="false">IF(IFERROR(INDEX(tsk_Name,(ROW()-ROW(MSPTasks[[#Headers],[ID]])))="",TRUE()),"",INDEX(tsk_PlanStart,(ROW()-ROW(MSPTasks[[#Headers],[ID]]))))</f>
        <v/>
      </c>
      <c r="P130" s="96" t="str">
        <f aca="false">IF(IFERROR(INDEX(tsk_Name,(ROW()-ROW(MSPTasks[[#Headers],[ID]])))="",TRUE()),"",INDEX(tsk_PlanFinish,(ROW()-ROW(MSPTasks[[#Headers],[ID]]))))</f>
        <v/>
      </c>
      <c r="Q1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0" s="24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4" t="str">
        <f aca="false">IF(IFERROR(INDEX(tsk_Name,(ROW()-ROW(MSPTasks[[#Headers],[ID]])))="",TRUE()),"",INDEX(tsk_ID,(ROW()-ROW(MSPTasks[[#Headers],[ID]]))))</f>
        <v/>
      </c>
      <c r="B131" s="24" t="str">
        <f aca="false">IF(IFERROR(INDEX(tsk_Name,(ROW()-ROW(MSPTasks[[#Headers],[ID]])))="",TRUE()),"",INDEX(tsk_UID,(ROW()-ROW(MSPTasks[[#Headers],[ID]]))))</f>
        <v/>
      </c>
      <c r="C131" s="24" t="str">
        <f aca="false">IF(IFERROR(INDEX(tsk_Name,(ROW()-ROW(MSPTasks[[#Headers],[ID]])))="",TRUE()),"",INDEX(tsk_Name,(ROW()-ROW(MSPTasks[[#Headers],[ID]]))))</f>
        <v/>
      </c>
      <c r="D131" s="24" t="str">
        <f aca="false">IF(IFERROR(INDEX(tsk_Name,(ROW()-ROW(MSPTasks[[#Headers],[ID]])))="",TRUE()),"",INDEX(tsk_Level,(ROW()-ROW(MSPTasks[[#Headers],[ID]]))))</f>
        <v/>
      </c>
      <c r="E131" s="24" t="str">
        <f aca="false">IF(IFERROR(INDEX(tsk_Name,(ROW()-ROW(MSPTasks[[#Headers],[ID]])))="",TRUE()),"",IF(INDEX(tsk_Mode,(ROW()-ROW(MSPTasks[[#Headers],[ID]])))="Manual","Manually Scheduled","Auto Scheduled"))</f>
        <v/>
      </c>
      <c r="F1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96" t="str">
        <f aca="false">IF(IFERROR(INDEX(tsk_Name,(ROW()-ROW(MSPTasks[[#Headers],[ID]])))="",TRUE()),"",INDEX(tsk_FcStart,(ROW()-ROW(MSPTasks[[#Headers],[ID]]))))</f>
        <v/>
      </c>
      <c r="H131" s="96" t="str">
        <f aca="false">IF(IFERROR(INDEX(tsk_Name,(ROW()-ROW(MSPTasks[[#Headers],[ID]])))="",TRUE()),"",INDEX(tsk_FcFinish,(ROW()-ROW(MSPTasks[[#Headers],[ID]]))))</f>
        <v/>
      </c>
      <c r="I1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96" t="str">
        <f aca="false">IF(IFERROR(INDEX(tsk_Name,(ROW()-ROW(MSPTasks[[#Headers],[ID]])))="",TRUE()),"",INDEX(tsk_PlanStart,(ROW()-ROW(MSPTasks[[#Headers],[ID]]))))</f>
        <v/>
      </c>
      <c r="P131" s="96" t="str">
        <f aca="false">IF(IFERROR(INDEX(tsk_Name,(ROW()-ROW(MSPTasks[[#Headers],[ID]])))="",TRUE()),"",INDEX(tsk_PlanFinish,(ROW()-ROW(MSPTasks[[#Headers],[ID]]))))</f>
        <v/>
      </c>
      <c r="Q1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1" s="24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4" t="str">
        <f aca="false">IF(IFERROR(INDEX(tsk_Name,(ROW()-ROW(MSPTasks[[#Headers],[ID]])))="",TRUE()),"",INDEX(tsk_ID,(ROW()-ROW(MSPTasks[[#Headers],[ID]]))))</f>
        <v/>
      </c>
      <c r="B132" s="24" t="str">
        <f aca="false">IF(IFERROR(INDEX(tsk_Name,(ROW()-ROW(MSPTasks[[#Headers],[ID]])))="",TRUE()),"",INDEX(tsk_UID,(ROW()-ROW(MSPTasks[[#Headers],[ID]]))))</f>
        <v/>
      </c>
      <c r="C132" s="24" t="str">
        <f aca="false">IF(IFERROR(INDEX(tsk_Name,(ROW()-ROW(MSPTasks[[#Headers],[ID]])))="",TRUE()),"",INDEX(tsk_Name,(ROW()-ROW(MSPTasks[[#Headers],[ID]]))))</f>
        <v/>
      </c>
      <c r="D132" s="24" t="str">
        <f aca="false">IF(IFERROR(INDEX(tsk_Name,(ROW()-ROW(MSPTasks[[#Headers],[ID]])))="",TRUE()),"",INDEX(tsk_Level,(ROW()-ROW(MSPTasks[[#Headers],[ID]]))))</f>
        <v/>
      </c>
      <c r="E132" s="24" t="str">
        <f aca="false">IF(IFERROR(INDEX(tsk_Name,(ROW()-ROW(MSPTasks[[#Headers],[ID]])))="",TRUE()),"",IF(INDEX(tsk_Mode,(ROW()-ROW(MSPTasks[[#Headers],[ID]])))="Manual","Manually Scheduled","Auto Scheduled"))</f>
        <v/>
      </c>
      <c r="F1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96" t="str">
        <f aca="false">IF(IFERROR(INDEX(tsk_Name,(ROW()-ROW(MSPTasks[[#Headers],[ID]])))="",TRUE()),"",INDEX(tsk_FcStart,(ROW()-ROW(MSPTasks[[#Headers],[ID]]))))</f>
        <v/>
      </c>
      <c r="H132" s="96" t="str">
        <f aca="false">IF(IFERROR(INDEX(tsk_Name,(ROW()-ROW(MSPTasks[[#Headers],[ID]])))="",TRUE()),"",INDEX(tsk_FcFinish,(ROW()-ROW(MSPTasks[[#Headers],[ID]]))))</f>
        <v/>
      </c>
      <c r="I1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96" t="str">
        <f aca="false">IF(IFERROR(INDEX(tsk_Name,(ROW()-ROW(MSPTasks[[#Headers],[ID]])))="",TRUE()),"",INDEX(tsk_PlanStart,(ROW()-ROW(MSPTasks[[#Headers],[ID]]))))</f>
        <v/>
      </c>
      <c r="P132" s="96" t="str">
        <f aca="false">IF(IFERROR(INDEX(tsk_Name,(ROW()-ROW(MSPTasks[[#Headers],[ID]])))="",TRUE()),"",INDEX(tsk_PlanFinish,(ROW()-ROW(MSPTasks[[#Headers],[ID]]))))</f>
        <v/>
      </c>
      <c r="Q1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2" s="24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4" t="str">
        <f aca="false">IF(IFERROR(INDEX(tsk_Name,(ROW()-ROW(MSPTasks[[#Headers],[ID]])))="",TRUE()),"",INDEX(tsk_ID,(ROW()-ROW(MSPTasks[[#Headers],[ID]]))))</f>
        <v/>
      </c>
      <c r="B133" s="24" t="str">
        <f aca="false">IF(IFERROR(INDEX(tsk_Name,(ROW()-ROW(MSPTasks[[#Headers],[ID]])))="",TRUE()),"",INDEX(tsk_UID,(ROW()-ROW(MSPTasks[[#Headers],[ID]]))))</f>
        <v/>
      </c>
      <c r="C133" s="24" t="str">
        <f aca="false">IF(IFERROR(INDEX(tsk_Name,(ROW()-ROW(MSPTasks[[#Headers],[ID]])))="",TRUE()),"",INDEX(tsk_Name,(ROW()-ROW(MSPTasks[[#Headers],[ID]]))))</f>
        <v/>
      </c>
      <c r="D133" s="24" t="str">
        <f aca="false">IF(IFERROR(INDEX(tsk_Name,(ROW()-ROW(MSPTasks[[#Headers],[ID]])))="",TRUE()),"",INDEX(tsk_Level,(ROW()-ROW(MSPTasks[[#Headers],[ID]]))))</f>
        <v/>
      </c>
      <c r="E133" s="24" t="str">
        <f aca="false">IF(IFERROR(INDEX(tsk_Name,(ROW()-ROW(MSPTasks[[#Headers],[ID]])))="",TRUE()),"",IF(INDEX(tsk_Mode,(ROW()-ROW(MSPTasks[[#Headers],[ID]])))="Manual","Manually Scheduled","Auto Scheduled"))</f>
        <v/>
      </c>
      <c r="F1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96" t="str">
        <f aca="false">IF(IFERROR(INDEX(tsk_Name,(ROW()-ROW(MSPTasks[[#Headers],[ID]])))="",TRUE()),"",INDEX(tsk_FcStart,(ROW()-ROW(MSPTasks[[#Headers],[ID]]))))</f>
        <v/>
      </c>
      <c r="H133" s="96" t="str">
        <f aca="false">IF(IFERROR(INDEX(tsk_Name,(ROW()-ROW(MSPTasks[[#Headers],[ID]])))="",TRUE()),"",INDEX(tsk_FcFinish,(ROW()-ROW(MSPTasks[[#Headers],[ID]]))))</f>
        <v/>
      </c>
      <c r="I1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96" t="str">
        <f aca="false">IF(IFERROR(INDEX(tsk_Name,(ROW()-ROW(MSPTasks[[#Headers],[ID]])))="",TRUE()),"",INDEX(tsk_PlanStart,(ROW()-ROW(MSPTasks[[#Headers],[ID]]))))</f>
        <v/>
      </c>
      <c r="P133" s="96" t="str">
        <f aca="false">IF(IFERROR(INDEX(tsk_Name,(ROW()-ROW(MSPTasks[[#Headers],[ID]])))="",TRUE()),"",INDEX(tsk_PlanFinish,(ROW()-ROW(MSPTasks[[#Headers],[ID]]))))</f>
        <v/>
      </c>
      <c r="Q1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3" s="24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4" t="str">
        <f aca="false">IF(IFERROR(INDEX(tsk_Name,(ROW()-ROW(MSPTasks[[#Headers],[ID]])))="",TRUE()),"",INDEX(tsk_ID,(ROW()-ROW(MSPTasks[[#Headers],[ID]]))))</f>
        <v/>
      </c>
      <c r="B134" s="24" t="str">
        <f aca="false">IF(IFERROR(INDEX(tsk_Name,(ROW()-ROW(MSPTasks[[#Headers],[ID]])))="",TRUE()),"",INDEX(tsk_UID,(ROW()-ROW(MSPTasks[[#Headers],[ID]]))))</f>
        <v/>
      </c>
      <c r="C134" s="24" t="str">
        <f aca="false">IF(IFERROR(INDEX(tsk_Name,(ROW()-ROW(MSPTasks[[#Headers],[ID]])))="",TRUE()),"",INDEX(tsk_Name,(ROW()-ROW(MSPTasks[[#Headers],[ID]]))))</f>
        <v/>
      </c>
      <c r="D134" s="24" t="str">
        <f aca="false">IF(IFERROR(INDEX(tsk_Name,(ROW()-ROW(MSPTasks[[#Headers],[ID]])))="",TRUE()),"",INDEX(tsk_Level,(ROW()-ROW(MSPTasks[[#Headers],[ID]]))))</f>
        <v/>
      </c>
      <c r="E134" s="24" t="str">
        <f aca="false">IF(IFERROR(INDEX(tsk_Name,(ROW()-ROW(MSPTasks[[#Headers],[ID]])))="",TRUE()),"",IF(INDEX(tsk_Mode,(ROW()-ROW(MSPTasks[[#Headers],[ID]])))="Manual","Manually Scheduled","Auto Scheduled"))</f>
        <v/>
      </c>
      <c r="F1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96" t="str">
        <f aca="false">IF(IFERROR(INDEX(tsk_Name,(ROW()-ROW(MSPTasks[[#Headers],[ID]])))="",TRUE()),"",INDEX(tsk_FcStart,(ROW()-ROW(MSPTasks[[#Headers],[ID]]))))</f>
        <v/>
      </c>
      <c r="H134" s="96" t="str">
        <f aca="false">IF(IFERROR(INDEX(tsk_Name,(ROW()-ROW(MSPTasks[[#Headers],[ID]])))="",TRUE()),"",INDEX(tsk_FcFinish,(ROW()-ROW(MSPTasks[[#Headers],[ID]]))))</f>
        <v/>
      </c>
      <c r="I1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96" t="str">
        <f aca="false">IF(IFERROR(INDEX(tsk_Name,(ROW()-ROW(MSPTasks[[#Headers],[ID]])))="",TRUE()),"",INDEX(tsk_PlanStart,(ROW()-ROW(MSPTasks[[#Headers],[ID]]))))</f>
        <v/>
      </c>
      <c r="P134" s="96" t="str">
        <f aca="false">IF(IFERROR(INDEX(tsk_Name,(ROW()-ROW(MSPTasks[[#Headers],[ID]])))="",TRUE()),"",INDEX(tsk_PlanFinish,(ROW()-ROW(MSPTasks[[#Headers],[ID]]))))</f>
        <v/>
      </c>
      <c r="Q1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4" s="24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4" t="str">
        <f aca="false">IF(IFERROR(INDEX(tsk_Name,(ROW()-ROW(MSPTasks[[#Headers],[ID]])))="",TRUE()),"",INDEX(tsk_ID,(ROW()-ROW(MSPTasks[[#Headers],[ID]]))))</f>
        <v/>
      </c>
      <c r="B135" s="24" t="str">
        <f aca="false">IF(IFERROR(INDEX(tsk_Name,(ROW()-ROW(MSPTasks[[#Headers],[ID]])))="",TRUE()),"",INDEX(tsk_UID,(ROW()-ROW(MSPTasks[[#Headers],[ID]]))))</f>
        <v/>
      </c>
      <c r="C135" s="24" t="str">
        <f aca="false">IF(IFERROR(INDEX(tsk_Name,(ROW()-ROW(MSPTasks[[#Headers],[ID]])))="",TRUE()),"",INDEX(tsk_Name,(ROW()-ROW(MSPTasks[[#Headers],[ID]]))))</f>
        <v/>
      </c>
      <c r="D135" s="24" t="str">
        <f aca="false">IF(IFERROR(INDEX(tsk_Name,(ROW()-ROW(MSPTasks[[#Headers],[ID]])))="",TRUE()),"",INDEX(tsk_Level,(ROW()-ROW(MSPTasks[[#Headers],[ID]]))))</f>
        <v/>
      </c>
      <c r="E135" s="24" t="str">
        <f aca="false">IF(IFERROR(INDEX(tsk_Name,(ROW()-ROW(MSPTasks[[#Headers],[ID]])))="",TRUE()),"",IF(INDEX(tsk_Mode,(ROW()-ROW(MSPTasks[[#Headers],[ID]])))="Manual","Manually Scheduled","Auto Scheduled"))</f>
        <v/>
      </c>
      <c r="F1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96" t="str">
        <f aca="false">IF(IFERROR(INDEX(tsk_Name,(ROW()-ROW(MSPTasks[[#Headers],[ID]])))="",TRUE()),"",INDEX(tsk_FcStart,(ROW()-ROW(MSPTasks[[#Headers],[ID]]))))</f>
        <v/>
      </c>
      <c r="H135" s="96" t="str">
        <f aca="false">IF(IFERROR(INDEX(tsk_Name,(ROW()-ROW(MSPTasks[[#Headers],[ID]])))="",TRUE()),"",INDEX(tsk_FcFinish,(ROW()-ROW(MSPTasks[[#Headers],[ID]]))))</f>
        <v/>
      </c>
      <c r="I1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96" t="str">
        <f aca="false">IF(IFERROR(INDEX(tsk_Name,(ROW()-ROW(MSPTasks[[#Headers],[ID]])))="",TRUE()),"",INDEX(tsk_PlanStart,(ROW()-ROW(MSPTasks[[#Headers],[ID]]))))</f>
        <v/>
      </c>
      <c r="P135" s="96" t="str">
        <f aca="false">IF(IFERROR(INDEX(tsk_Name,(ROW()-ROW(MSPTasks[[#Headers],[ID]])))="",TRUE()),"",INDEX(tsk_PlanFinish,(ROW()-ROW(MSPTasks[[#Headers],[ID]]))))</f>
        <v/>
      </c>
      <c r="Q1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5" s="24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4" t="str">
        <f aca="false">IF(IFERROR(INDEX(tsk_Name,(ROW()-ROW(MSPTasks[[#Headers],[ID]])))="",TRUE()),"",INDEX(tsk_ID,(ROW()-ROW(MSPTasks[[#Headers],[ID]]))))</f>
        <v/>
      </c>
      <c r="B136" s="24" t="str">
        <f aca="false">IF(IFERROR(INDEX(tsk_Name,(ROW()-ROW(MSPTasks[[#Headers],[ID]])))="",TRUE()),"",INDEX(tsk_UID,(ROW()-ROW(MSPTasks[[#Headers],[ID]]))))</f>
        <v/>
      </c>
      <c r="C136" s="24" t="str">
        <f aca="false">IF(IFERROR(INDEX(tsk_Name,(ROW()-ROW(MSPTasks[[#Headers],[ID]])))="",TRUE()),"",INDEX(tsk_Name,(ROW()-ROW(MSPTasks[[#Headers],[ID]]))))</f>
        <v/>
      </c>
      <c r="D136" s="24" t="str">
        <f aca="false">IF(IFERROR(INDEX(tsk_Name,(ROW()-ROW(MSPTasks[[#Headers],[ID]])))="",TRUE()),"",INDEX(tsk_Level,(ROW()-ROW(MSPTasks[[#Headers],[ID]]))))</f>
        <v/>
      </c>
      <c r="E136" s="24" t="str">
        <f aca="false">IF(IFERROR(INDEX(tsk_Name,(ROW()-ROW(MSPTasks[[#Headers],[ID]])))="",TRUE()),"",IF(INDEX(tsk_Mode,(ROW()-ROW(MSPTasks[[#Headers],[ID]])))="Manual","Manually Scheduled","Auto Scheduled"))</f>
        <v/>
      </c>
      <c r="F1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96" t="str">
        <f aca="false">IF(IFERROR(INDEX(tsk_Name,(ROW()-ROW(MSPTasks[[#Headers],[ID]])))="",TRUE()),"",INDEX(tsk_FcStart,(ROW()-ROW(MSPTasks[[#Headers],[ID]]))))</f>
        <v/>
      </c>
      <c r="H136" s="96" t="str">
        <f aca="false">IF(IFERROR(INDEX(tsk_Name,(ROW()-ROW(MSPTasks[[#Headers],[ID]])))="",TRUE()),"",INDEX(tsk_FcFinish,(ROW()-ROW(MSPTasks[[#Headers],[ID]]))))</f>
        <v/>
      </c>
      <c r="I1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96" t="str">
        <f aca="false">IF(IFERROR(INDEX(tsk_Name,(ROW()-ROW(MSPTasks[[#Headers],[ID]])))="",TRUE()),"",INDEX(tsk_PlanStart,(ROW()-ROW(MSPTasks[[#Headers],[ID]]))))</f>
        <v/>
      </c>
      <c r="P136" s="96" t="str">
        <f aca="false">IF(IFERROR(INDEX(tsk_Name,(ROW()-ROW(MSPTasks[[#Headers],[ID]])))="",TRUE()),"",INDEX(tsk_PlanFinish,(ROW()-ROW(MSPTasks[[#Headers],[ID]]))))</f>
        <v/>
      </c>
      <c r="Q1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6" s="24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4" t="str">
        <f aca="false">IF(IFERROR(INDEX(tsk_Name,(ROW()-ROW(MSPTasks[[#Headers],[ID]])))="",TRUE()),"",INDEX(tsk_ID,(ROW()-ROW(MSPTasks[[#Headers],[ID]]))))</f>
        <v/>
      </c>
      <c r="B137" s="24" t="str">
        <f aca="false">IF(IFERROR(INDEX(tsk_Name,(ROW()-ROW(MSPTasks[[#Headers],[ID]])))="",TRUE()),"",INDEX(tsk_UID,(ROW()-ROW(MSPTasks[[#Headers],[ID]]))))</f>
        <v/>
      </c>
      <c r="C137" s="24" t="str">
        <f aca="false">IF(IFERROR(INDEX(tsk_Name,(ROW()-ROW(MSPTasks[[#Headers],[ID]])))="",TRUE()),"",INDEX(tsk_Name,(ROW()-ROW(MSPTasks[[#Headers],[ID]]))))</f>
        <v/>
      </c>
      <c r="D137" s="24" t="str">
        <f aca="false">IF(IFERROR(INDEX(tsk_Name,(ROW()-ROW(MSPTasks[[#Headers],[ID]])))="",TRUE()),"",INDEX(tsk_Level,(ROW()-ROW(MSPTasks[[#Headers],[ID]]))))</f>
        <v/>
      </c>
      <c r="E137" s="24" t="str">
        <f aca="false">IF(IFERROR(INDEX(tsk_Name,(ROW()-ROW(MSPTasks[[#Headers],[ID]])))="",TRUE()),"",IF(INDEX(tsk_Mode,(ROW()-ROW(MSPTasks[[#Headers],[ID]])))="Manual","Manually Scheduled","Auto Scheduled"))</f>
        <v/>
      </c>
      <c r="F1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96" t="str">
        <f aca="false">IF(IFERROR(INDEX(tsk_Name,(ROW()-ROW(MSPTasks[[#Headers],[ID]])))="",TRUE()),"",INDEX(tsk_FcStart,(ROW()-ROW(MSPTasks[[#Headers],[ID]]))))</f>
        <v/>
      </c>
      <c r="H137" s="96" t="str">
        <f aca="false">IF(IFERROR(INDEX(tsk_Name,(ROW()-ROW(MSPTasks[[#Headers],[ID]])))="",TRUE()),"",INDEX(tsk_FcFinish,(ROW()-ROW(MSPTasks[[#Headers],[ID]]))))</f>
        <v/>
      </c>
      <c r="I1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96" t="str">
        <f aca="false">IF(IFERROR(INDEX(tsk_Name,(ROW()-ROW(MSPTasks[[#Headers],[ID]])))="",TRUE()),"",INDEX(tsk_PlanStart,(ROW()-ROW(MSPTasks[[#Headers],[ID]]))))</f>
        <v/>
      </c>
      <c r="P137" s="96" t="str">
        <f aca="false">IF(IFERROR(INDEX(tsk_Name,(ROW()-ROW(MSPTasks[[#Headers],[ID]])))="",TRUE()),"",INDEX(tsk_PlanFinish,(ROW()-ROW(MSPTasks[[#Headers],[ID]]))))</f>
        <v/>
      </c>
      <c r="Q1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7" s="24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4" t="str">
        <f aca="false">IF(IFERROR(INDEX(tsk_Name,(ROW()-ROW(MSPTasks[[#Headers],[ID]])))="",TRUE()),"",INDEX(tsk_ID,(ROW()-ROW(MSPTasks[[#Headers],[ID]]))))</f>
        <v/>
      </c>
      <c r="B138" s="24" t="str">
        <f aca="false">IF(IFERROR(INDEX(tsk_Name,(ROW()-ROW(MSPTasks[[#Headers],[ID]])))="",TRUE()),"",INDEX(tsk_UID,(ROW()-ROW(MSPTasks[[#Headers],[ID]]))))</f>
        <v/>
      </c>
      <c r="C138" s="24" t="str">
        <f aca="false">IF(IFERROR(INDEX(tsk_Name,(ROW()-ROW(MSPTasks[[#Headers],[ID]])))="",TRUE()),"",INDEX(tsk_Name,(ROW()-ROW(MSPTasks[[#Headers],[ID]]))))</f>
        <v/>
      </c>
      <c r="D138" s="24" t="str">
        <f aca="false">IF(IFERROR(INDEX(tsk_Name,(ROW()-ROW(MSPTasks[[#Headers],[ID]])))="",TRUE()),"",INDEX(tsk_Level,(ROW()-ROW(MSPTasks[[#Headers],[ID]]))))</f>
        <v/>
      </c>
      <c r="E138" s="24" t="str">
        <f aca="false">IF(IFERROR(INDEX(tsk_Name,(ROW()-ROW(MSPTasks[[#Headers],[ID]])))="",TRUE()),"",IF(INDEX(tsk_Mode,(ROW()-ROW(MSPTasks[[#Headers],[ID]])))="Manual","Manually Scheduled","Auto Scheduled"))</f>
        <v/>
      </c>
      <c r="F1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96" t="str">
        <f aca="false">IF(IFERROR(INDEX(tsk_Name,(ROW()-ROW(MSPTasks[[#Headers],[ID]])))="",TRUE()),"",INDEX(tsk_FcStart,(ROW()-ROW(MSPTasks[[#Headers],[ID]]))))</f>
        <v/>
      </c>
      <c r="H138" s="96" t="str">
        <f aca="false">IF(IFERROR(INDEX(tsk_Name,(ROW()-ROW(MSPTasks[[#Headers],[ID]])))="",TRUE()),"",INDEX(tsk_FcFinish,(ROW()-ROW(MSPTasks[[#Headers],[ID]]))))</f>
        <v/>
      </c>
      <c r="I1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96" t="str">
        <f aca="false">IF(IFERROR(INDEX(tsk_Name,(ROW()-ROW(MSPTasks[[#Headers],[ID]])))="",TRUE()),"",INDEX(tsk_PlanStart,(ROW()-ROW(MSPTasks[[#Headers],[ID]]))))</f>
        <v/>
      </c>
      <c r="P138" s="96" t="str">
        <f aca="false">IF(IFERROR(INDEX(tsk_Name,(ROW()-ROW(MSPTasks[[#Headers],[ID]])))="",TRUE()),"",INDEX(tsk_PlanFinish,(ROW()-ROW(MSPTasks[[#Headers],[ID]]))))</f>
        <v/>
      </c>
      <c r="Q1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8" s="24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4" t="str">
        <f aca="false">IF(IFERROR(INDEX(tsk_Name,(ROW()-ROW(MSPTasks[[#Headers],[ID]])))="",TRUE()),"",INDEX(tsk_ID,(ROW()-ROW(MSPTasks[[#Headers],[ID]]))))</f>
        <v/>
      </c>
      <c r="B139" s="24" t="str">
        <f aca="false">IF(IFERROR(INDEX(tsk_Name,(ROW()-ROW(MSPTasks[[#Headers],[ID]])))="",TRUE()),"",INDEX(tsk_UID,(ROW()-ROW(MSPTasks[[#Headers],[ID]]))))</f>
        <v/>
      </c>
      <c r="C139" s="24" t="str">
        <f aca="false">IF(IFERROR(INDEX(tsk_Name,(ROW()-ROW(MSPTasks[[#Headers],[ID]])))="",TRUE()),"",INDEX(tsk_Name,(ROW()-ROW(MSPTasks[[#Headers],[ID]]))))</f>
        <v/>
      </c>
      <c r="D139" s="24" t="str">
        <f aca="false">IF(IFERROR(INDEX(tsk_Name,(ROW()-ROW(MSPTasks[[#Headers],[ID]])))="",TRUE()),"",INDEX(tsk_Level,(ROW()-ROW(MSPTasks[[#Headers],[ID]]))))</f>
        <v/>
      </c>
      <c r="E139" s="24" t="str">
        <f aca="false">IF(IFERROR(INDEX(tsk_Name,(ROW()-ROW(MSPTasks[[#Headers],[ID]])))="",TRUE()),"",IF(INDEX(tsk_Mode,(ROW()-ROW(MSPTasks[[#Headers],[ID]])))="Manual","Manually Scheduled","Auto Scheduled"))</f>
        <v/>
      </c>
      <c r="F1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96" t="str">
        <f aca="false">IF(IFERROR(INDEX(tsk_Name,(ROW()-ROW(MSPTasks[[#Headers],[ID]])))="",TRUE()),"",INDEX(tsk_FcStart,(ROW()-ROW(MSPTasks[[#Headers],[ID]]))))</f>
        <v/>
      </c>
      <c r="H139" s="96" t="str">
        <f aca="false">IF(IFERROR(INDEX(tsk_Name,(ROW()-ROW(MSPTasks[[#Headers],[ID]])))="",TRUE()),"",INDEX(tsk_FcFinish,(ROW()-ROW(MSPTasks[[#Headers],[ID]]))))</f>
        <v/>
      </c>
      <c r="I1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96" t="str">
        <f aca="false">IF(IFERROR(INDEX(tsk_Name,(ROW()-ROW(MSPTasks[[#Headers],[ID]])))="",TRUE()),"",INDEX(tsk_PlanStart,(ROW()-ROW(MSPTasks[[#Headers],[ID]]))))</f>
        <v/>
      </c>
      <c r="P139" s="96" t="str">
        <f aca="false">IF(IFERROR(INDEX(tsk_Name,(ROW()-ROW(MSPTasks[[#Headers],[ID]])))="",TRUE()),"",INDEX(tsk_PlanFinish,(ROW()-ROW(MSPTasks[[#Headers],[ID]]))))</f>
        <v/>
      </c>
      <c r="Q1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9" s="24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4" t="str">
        <f aca="false">IF(IFERROR(INDEX(tsk_Name,(ROW()-ROW(MSPTasks[[#Headers],[ID]])))="",TRUE()),"",INDEX(tsk_ID,(ROW()-ROW(MSPTasks[[#Headers],[ID]]))))</f>
        <v/>
      </c>
      <c r="B140" s="24" t="str">
        <f aca="false">IF(IFERROR(INDEX(tsk_Name,(ROW()-ROW(MSPTasks[[#Headers],[ID]])))="",TRUE()),"",INDEX(tsk_UID,(ROW()-ROW(MSPTasks[[#Headers],[ID]]))))</f>
        <v/>
      </c>
      <c r="C140" s="24" t="str">
        <f aca="false">IF(IFERROR(INDEX(tsk_Name,(ROW()-ROW(MSPTasks[[#Headers],[ID]])))="",TRUE()),"",INDEX(tsk_Name,(ROW()-ROW(MSPTasks[[#Headers],[ID]]))))</f>
        <v/>
      </c>
      <c r="D140" s="24" t="str">
        <f aca="false">IF(IFERROR(INDEX(tsk_Name,(ROW()-ROW(MSPTasks[[#Headers],[ID]])))="",TRUE()),"",INDEX(tsk_Level,(ROW()-ROW(MSPTasks[[#Headers],[ID]]))))</f>
        <v/>
      </c>
      <c r="E140" s="24" t="str">
        <f aca="false">IF(IFERROR(INDEX(tsk_Name,(ROW()-ROW(MSPTasks[[#Headers],[ID]])))="",TRUE()),"",IF(INDEX(tsk_Mode,(ROW()-ROW(MSPTasks[[#Headers],[ID]])))="Manual","Manually Scheduled","Auto Scheduled"))</f>
        <v/>
      </c>
      <c r="F1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96" t="str">
        <f aca="false">IF(IFERROR(INDEX(tsk_Name,(ROW()-ROW(MSPTasks[[#Headers],[ID]])))="",TRUE()),"",INDEX(tsk_FcStart,(ROW()-ROW(MSPTasks[[#Headers],[ID]]))))</f>
        <v/>
      </c>
      <c r="H140" s="96" t="str">
        <f aca="false">IF(IFERROR(INDEX(tsk_Name,(ROW()-ROW(MSPTasks[[#Headers],[ID]])))="",TRUE()),"",INDEX(tsk_FcFinish,(ROW()-ROW(MSPTasks[[#Headers],[ID]]))))</f>
        <v/>
      </c>
      <c r="I1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96" t="str">
        <f aca="false">IF(IFERROR(INDEX(tsk_Name,(ROW()-ROW(MSPTasks[[#Headers],[ID]])))="",TRUE()),"",INDEX(tsk_PlanStart,(ROW()-ROW(MSPTasks[[#Headers],[ID]]))))</f>
        <v/>
      </c>
      <c r="P140" s="96" t="str">
        <f aca="false">IF(IFERROR(INDEX(tsk_Name,(ROW()-ROW(MSPTasks[[#Headers],[ID]])))="",TRUE()),"",INDEX(tsk_PlanFinish,(ROW()-ROW(MSPTasks[[#Headers],[ID]]))))</f>
        <v/>
      </c>
      <c r="Q1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0" s="24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4" t="str">
        <f aca="false">IF(IFERROR(INDEX(tsk_Name,(ROW()-ROW(MSPTasks[[#Headers],[ID]])))="",TRUE()),"",INDEX(tsk_ID,(ROW()-ROW(MSPTasks[[#Headers],[ID]]))))</f>
        <v/>
      </c>
      <c r="B141" s="24" t="str">
        <f aca="false">IF(IFERROR(INDEX(tsk_Name,(ROW()-ROW(MSPTasks[[#Headers],[ID]])))="",TRUE()),"",INDEX(tsk_UID,(ROW()-ROW(MSPTasks[[#Headers],[ID]]))))</f>
        <v/>
      </c>
      <c r="C141" s="24" t="str">
        <f aca="false">IF(IFERROR(INDEX(tsk_Name,(ROW()-ROW(MSPTasks[[#Headers],[ID]])))="",TRUE()),"",INDEX(tsk_Name,(ROW()-ROW(MSPTasks[[#Headers],[ID]]))))</f>
        <v/>
      </c>
      <c r="D141" s="24" t="str">
        <f aca="false">IF(IFERROR(INDEX(tsk_Name,(ROW()-ROW(MSPTasks[[#Headers],[ID]])))="",TRUE()),"",INDEX(tsk_Level,(ROW()-ROW(MSPTasks[[#Headers],[ID]]))))</f>
        <v/>
      </c>
      <c r="E141" s="24" t="str">
        <f aca="false">IF(IFERROR(INDEX(tsk_Name,(ROW()-ROW(MSPTasks[[#Headers],[ID]])))="",TRUE()),"",IF(INDEX(tsk_Mode,(ROW()-ROW(MSPTasks[[#Headers],[ID]])))="Manual","Manually Scheduled","Auto Scheduled"))</f>
        <v/>
      </c>
      <c r="F1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96" t="str">
        <f aca="false">IF(IFERROR(INDEX(tsk_Name,(ROW()-ROW(MSPTasks[[#Headers],[ID]])))="",TRUE()),"",INDEX(tsk_FcStart,(ROW()-ROW(MSPTasks[[#Headers],[ID]]))))</f>
        <v/>
      </c>
      <c r="H141" s="96" t="str">
        <f aca="false">IF(IFERROR(INDEX(tsk_Name,(ROW()-ROW(MSPTasks[[#Headers],[ID]])))="",TRUE()),"",INDEX(tsk_FcFinish,(ROW()-ROW(MSPTasks[[#Headers],[ID]]))))</f>
        <v/>
      </c>
      <c r="I1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96" t="str">
        <f aca="false">IF(IFERROR(INDEX(tsk_Name,(ROW()-ROW(MSPTasks[[#Headers],[ID]])))="",TRUE()),"",INDEX(tsk_PlanStart,(ROW()-ROW(MSPTasks[[#Headers],[ID]]))))</f>
        <v/>
      </c>
      <c r="P141" s="96" t="str">
        <f aca="false">IF(IFERROR(INDEX(tsk_Name,(ROW()-ROW(MSPTasks[[#Headers],[ID]])))="",TRUE()),"",INDEX(tsk_PlanFinish,(ROW()-ROW(MSPTasks[[#Headers],[ID]]))))</f>
        <v/>
      </c>
      <c r="Q1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1" s="24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4" t="str">
        <f aca="false">IF(IFERROR(INDEX(tsk_Name,(ROW()-ROW(MSPTasks[[#Headers],[ID]])))="",TRUE()),"",INDEX(tsk_ID,(ROW()-ROW(MSPTasks[[#Headers],[ID]]))))</f>
        <v/>
      </c>
      <c r="B142" s="24" t="str">
        <f aca="false">IF(IFERROR(INDEX(tsk_Name,(ROW()-ROW(MSPTasks[[#Headers],[ID]])))="",TRUE()),"",INDEX(tsk_UID,(ROW()-ROW(MSPTasks[[#Headers],[ID]]))))</f>
        <v/>
      </c>
      <c r="C142" s="24" t="str">
        <f aca="false">IF(IFERROR(INDEX(tsk_Name,(ROW()-ROW(MSPTasks[[#Headers],[ID]])))="",TRUE()),"",INDEX(tsk_Name,(ROW()-ROW(MSPTasks[[#Headers],[ID]]))))</f>
        <v/>
      </c>
      <c r="D142" s="24" t="str">
        <f aca="false">IF(IFERROR(INDEX(tsk_Name,(ROW()-ROW(MSPTasks[[#Headers],[ID]])))="",TRUE()),"",INDEX(tsk_Level,(ROW()-ROW(MSPTasks[[#Headers],[ID]]))))</f>
        <v/>
      </c>
      <c r="E142" s="24" t="str">
        <f aca="false">IF(IFERROR(INDEX(tsk_Name,(ROW()-ROW(MSPTasks[[#Headers],[ID]])))="",TRUE()),"",IF(INDEX(tsk_Mode,(ROW()-ROW(MSPTasks[[#Headers],[ID]])))="Manual","Manually Scheduled","Auto Scheduled"))</f>
        <v/>
      </c>
      <c r="F1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96" t="str">
        <f aca="false">IF(IFERROR(INDEX(tsk_Name,(ROW()-ROW(MSPTasks[[#Headers],[ID]])))="",TRUE()),"",INDEX(tsk_FcStart,(ROW()-ROW(MSPTasks[[#Headers],[ID]]))))</f>
        <v/>
      </c>
      <c r="H142" s="96" t="str">
        <f aca="false">IF(IFERROR(INDEX(tsk_Name,(ROW()-ROW(MSPTasks[[#Headers],[ID]])))="",TRUE()),"",INDEX(tsk_FcFinish,(ROW()-ROW(MSPTasks[[#Headers],[ID]]))))</f>
        <v/>
      </c>
      <c r="I1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96" t="str">
        <f aca="false">IF(IFERROR(INDEX(tsk_Name,(ROW()-ROW(MSPTasks[[#Headers],[ID]])))="",TRUE()),"",INDEX(tsk_PlanStart,(ROW()-ROW(MSPTasks[[#Headers],[ID]]))))</f>
        <v/>
      </c>
      <c r="P142" s="96" t="str">
        <f aca="false">IF(IFERROR(INDEX(tsk_Name,(ROW()-ROW(MSPTasks[[#Headers],[ID]])))="",TRUE()),"",INDEX(tsk_PlanFinish,(ROW()-ROW(MSPTasks[[#Headers],[ID]]))))</f>
        <v/>
      </c>
      <c r="Q1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2" s="24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4" t="str">
        <f aca="false">IF(IFERROR(INDEX(tsk_Name,(ROW()-ROW(MSPTasks[[#Headers],[ID]])))="",TRUE()),"",INDEX(tsk_ID,(ROW()-ROW(MSPTasks[[#Headers],[ID]]))))</f>
        <v/>
      </c>
      <c r="B143" s="24" t="str">
        <f aca="false">IF(IFERROR(INDEX(tsk_Name,(ROW()-ROW(MSPTasks[[#Headers],[ID]])))="",TRUE()),"",INDEX(tsk_UID,(ROW()-ROW(MSPTasks[[#Headers],[ID]]))))</f>
        <v/>
      </c>
      <c r="C143" s="24" t="str">
        <f aca="false">IF(IFERROR(INDEX(tsk_Name,(ROW()-ROW(MSPTasks[[#Headers],[ID]])))="",TRUE()),"",INDEX(tsk_Name,(ROW()-ROW(MSPTasks[[#Headers],[ID]]))))</f>
        <v/>
      </c>
      <c r="D143" s="24" t="str">
        <f aca="false">IF(IFERROR(INDEX(tsk_Name,(ROW()-ROW(MSPTasks[[#Headers],[ID]])))="",TRUE()),"",INDEX(tsk_Level,(ROW()-ROW(MSPTasks[[#Headers],[ID]]))))</f>
        <v/>
      </c>
      <c r="E143" s="24" t="str">
        <f aca="false">IF(IFERROR(INDEX(tsk_Name,(ROW()-ROW(MSPTasks[[#Headers],[ID]])))="",TRUE()),"",IF(INDEX(tsk_Mode,(ROW()-ROW(MSPTasks[[#Headers],[ID]])))="Manual","Manually Scheduled","Auto Scheduled"))</f>
        <v/>
      </c>
      <c r="F1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96" t="str">
        <f aca="false">IF(IFERROR(INDEX(tsk_Name,(ROW()-ROW(MSPTasks[[#Headers],[ID]])))="",TRUE()),"",INDEX(tsk_FcStart,(ROW()-ROW(MSPTasks[[#Headers],[ID]]))))</f>
        <v/>
      </c>
      <c r="H143" s="96" t="str">
        <f aca="false">IF(IFERROR(INDEX(tsk_Name,(ROW()-ROW(MSPTasks[[#Headers],[ID]])))="",TRUE()),"",INDEX(tsk_FcFinish,(ROW()-ROW(MSPTasks[[#Headers],[ID]]))))</f>
        <v/>
      </c>
      <c r="I1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96" t="str">
        <f aca="false">IF(IFERROR(INDEX(tsk_Name,(ROW()-ROW(MSPTasks[[#Headers],[ID]])))="",TRUE()),"",INDEX(tsk_PlanStart,(ROW()-ROW(MSPTasks[[#Headers],[ID]]))))</f>
        <v/>
      </c>
      <c r="P143" s="96" t="str">
        <f aca="false">IF(IFERROR(INDEX(tsk_Name,(ROW()-ROW(MSPTasks[[#Headers],[ID]])))="",TRUE()),"",INDEX(tsk_PlanFinish,(ROW()-ROW(MSPTasks[[#Headers],[ID]]))))</f>
        <v/>
      </c>
      <c r="Q1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3" s="24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4" t="str">
        <f aca="false">IF(IFERROR(INDEX(tsk_Name,(ROW()-ROW(MSPTasks[[#Headers],[ID]])))="",TRUE()),"",INDEX(tsk_ID,(ROW()-ROW(MSPTasks[[#Headers],[ID]]))))</f>
        <v/>
      </c>
      <c r="B144" s="24" t="str">
        <f aca="false">IF(IFERROR(INDEX(tsk_Name,(ROW()-ROW(MSPTasks[[#Headers],[ID]])))="",TRUE()),"",INDEX(tsk_UID,(ROW()-ROW(MSPTasks[[#Headers],[ID]]))))</f>
        <v/>
      </c>
      <c r="C144" s="24" t="str">
        <f aca="false">IF(IFERROR(INDEX(tsk_Name,(ROW()-ROW(MSPTasks[[#Headers],[ID]])))="",TRUE()),"",INDEX(tsk_Name,(ROW()-ROW(MSPTasks[[#Headers],[ID]]))))</f>
        <v/>
      </c>
      <c r="D144" s="24" t="str">
        <f aca="false">IF(IFERROR(INDEX(tsk_Name,(ROW()-ROW(MSPTasks[[#Headers],[ID]])))="",TRUE()),"",INDEX(tsk_Level,(ROW()-ROW(MSPTasks[[#Headers],[ID]]))))</f>
        <v/>
      </c>
      <c r="E144" s="24" t="str">
        <f aca="false">IF(IFERROR(INDEX(tsk_Name,(ROW()-ROW(MSPTasks[[#Headers],[ID]])))="",TRUE()),"",IF(INDEX(tsk_Mode,(ROW()-ROW(MSPTasks[[#Headers],[ID]])))="Manual","Manually Scheduled","Auto Scheduled"))</f>
        <v/>
      </c>
      <c r="F1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96" t="str">
        <f aca="false">IF(IFERROR(INDEX(tsk_Name,(ROW()-ROW(MSPTasks[[#Headers],[ID]])))="",TRUE()),"",INDEX(tsk_FcStart,(ROW()-ROW(MSPTasks[[#Headers],[ID]]))))</f>
        <v/>
      </c>
      <c r="H144" s="96" t="str">
        <f aca="false">IF(IFERROR(INDEX(tsk_Name,(ROW()-ROW(MSPTasks[[#Headers],[ID]])))="",TRUE()),"",INDEX(tsk_FcFinish,(ROW()-ROW(MSPTasks[[#Headers],[ID]]))))</f>
        <v/>
      </c>
      <c r="I1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96" t="str">
        <f aca="false">IF(IFERROR(INDEX(tsk_Name,(ROW()-ROW(MSPTasks[[#Headers],[ID]])))="",TRUE()),"",INDEX(tsk_PlanStart,(ROW()-ROW(MSPTasks[[#Headers],[ID]]))))</f>
        <v/>
      </c>
      <c r="P144" s="96" t="str">
        <f aca="false">IF(IFERROR(INDEX(tsk_Name,(ROW()-ROW(MSPTasks[[#Headers],[ID]])))="",TRUE()),"",INDEX(tsk_PlanFinish,(ROW()-ROW(MSPTasks[[#Headers],[ID]]))))</f>
        <v/>
      </c>
      <c r="Q1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4" s="24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4" t="str">
        <f aca="false">IF(IFERROR(INDEX(tsk_Name,(ROW()-ROW(MSPTasks[[#Headers],[ID]])))="",TRUE()),"",INDEX(tsk_ID,(ROW()-ROW(MSPTasks[[#Headers],[ID]]))))</f>
        <v/>
      </c>
      <c r="B145" s="24" t="str">
        <f aca="false">IF(IFERROR(INDEX(tsk_Name,(ROW()-ROW(MSPTasks[[#Headers],[ID]])))="",TRUE()),"",INDEX(tsk_UID,(ROW()-ROW(MSPTasks[[#Headers],[ID]]))))</f>
        <v/>
      </c>
      <c r="C145" s="24" t="str">
        <f aca="false">IF(IFERROR(INDEX(tsk_Name,(ROW()-ROW(MSPTasks[[#Headers],[ID]])))="",TRUE()),"",INDEX(tsk_Name,(ROW()-ROW(MSPTasks[[#Headers],[ID]]))))</f>
        <v/>
      </c>
      <c r="D145" s="24" t="str">
        <f aca="false">IF(IFERROR(INDEX(tsk_Name,(ROW()-ROW(MSPTasks[[#Headers],[ID]])))="",TRUE()),"",INDEX(tsk_Level,(ROW()-ROW(MSPTasks[[#Headers],[ID]]))))</f>
        <v/>
      </c>
      <c r="E145" s="24" t="str">
        <f aca="false">IF(IFERROR(INDEX(tsk_Name,(ROW()-ROW(MSPTasks[[#Headers],[ID]])))="",TRUE()),"",IF(INDEX(tsk_Mode,(ROW()-ROW(MSPTasks[[#Headers],[ID]])))="Manual","Manually Scheduled","Auto Scheduled"))</f>
        <v/>
      </c>
      <c r="F1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96" t="str">
        <f aca="false">IF(IFERROR(INDEX(tsk_Name,(ROW()-ROW(MSPTasks[[#Headers],[ID]])))="",TRUE()),"",INDEX(tsk_FcStart,(ROW()-ROW(MSPTasks[[#Headers],[ID]]))))</f>
        <v/>
      </c>
      <c r="H145" s="96" t="str">
        <f aca="false">IF(IFERROR(INDEX(tsk_Name,(ROW()-ROW(MSPTasks[[#Headers],[ID]])))="",TRUE()),"",INDEX(tsk_FcFinish,(ROW()-ROW(MSPTasks[[#Headers],[ID]]))))</f>
        <v/>
      </c>
      <c r="I1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96" t="str">
        <f aca="false">IF(IFERROR(INDEX(tsk_Name,(ROW()-ROW(MSPTasks[[#Headers],[ID]])))="",TRUE()),"",INDEX(tsk_PlanStart,(ROW()-ROW(MSPTasks[[#Headers],[ID]]))))</f>
        <v/>
      </c>
      <c r="P145" s="96" t="str">
        <f aca="false">IF(IFERROR(INDEX(tsk_Name,(ROW()-ROW(MSPTasks[[#Headers],[ID]])))="",TRUE()),"",INDEX(tsk_PlanFinish,(ROW()-ROW(MSPTasks[[#Headers],[ID]]))))</f>
        <v/>
      </c>
      <c r="Q1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5" s="24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4" t="str">
        <f aca="false">IF(IFERROR(INDEX(tsk_Name,(ROW()-ROW(MSPTasks[[#Headers],[ID]])))="",TRUE()),"",INDEX(tsk_ID,(ROW()-ROW(MSPTasks[[#Headers],[ID]]))))</f>
        <v/>
      </c>
      <c r="B146" s="24" t="str">
        <f aca="false">IF(IFERROR(INDEX(tsk_Name,(ROW()-ROW(MSPTasks[[#Headers],[ID]])))="",TRUE()),"",INDEX(tsk_UID,(ROW()-ROW(MSPTasks[[#Headers],[ID]]))))</f>
        <v/>
      </c>
      <c r="C146" s="24" t="str">
        <f aca="false">IF(IFERROR(INDEX(tsk_Name,(ROW()-ROW(MSPTasks[[#Headers],[ID]])))="",TRUE()),"",INDEX(tsk_Name,(ROW()-ROW(MSPTasks[[#Headers],[ID]]))))</f>
        <v/>
      </c>
      <c r="D146" s="24" t="str">
        <f aca="false">IF(IFERROR(INDEX(tsk_Name,(ROW()-ROW(MSPTasks[[#Headers],[ID]])))="",TRUE()),"",INDEX(tsk_Level,(ROW()-ROW(MSPTasks[[#Headers],[ID]]))))</f>
        <v/>
      </c>
      <c r="E146" s="24" t="str">
        <f aca="false">IF(IFERROR(INDEX(tsk_Name,(ROW()-ROW(MSPTasks[[#Headers],[ID]])))="",TRUE()),"",IF(INDEX(tsk_Mode,(ROW()-ROW(MSPTasks[[#Headers],[ID]])))="Manual","Manually Scheduled","Auto Scheduled"))</f>
        <v/>
      </c>
      <c r="F1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96" t="str">
        <f aca="false">IF(IFERROR(INDEX(tsk_Name,(ROW()-ROW(MSPTasks[[#Headers],[ID]])))="",TRUE()),"",INDEX(tsk_FcStart,(ROW()-ROW(MSPTasks[[#Headers],[ID]]))))</f>
        <v/>
      </c>
      <c r="H146" s="96" t="str">
        <f aca="false">IF(IFERROR(INDEX(tsk_Name,(ROW()-ROW(MSPTasks[[#Headers],[ID]])))="",TRUE()),"",INDEX(tsk_FcFinish,(ROW()-ROW(MSPTasks[[#Headers],[ID]]))))</f>
        <v/>
      </c>
      <c r="I1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96" t="str">
        <f aca="false">IF(IFERROR(INDEX(tsk_Name,(ROW()-ROW(MSPTasks[[#Headers],[ID]])))="",TRUE()),"",INDEX(tsk_PlanStart,(ROW()-ROW(MSPTasks[[#Headers],[ID]]))))</f>
        <v/>
      </c>
      <c r="P146" s="96" t="str">
        <f aca="false">IF(IFERROR(INDEX(tsk_Name,(ROW()-ROW(MSPTasks[[#Headers],[ID]])))="",TRUE()),"",INDEX(tsk_PlanFinish,(ROW()-ROW(MSPTasks[[#Headers],[ID]]))))</f>
        <v/>
      </c>
      <c r="Q1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6" s="24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4" t="str">
        <f aca="false">IF(IFERROR(INDEX(tsk_Name,(ROW()-ROW(MSPTasks[[#Headers],[ID]])))="",TRUE()),"",INDEX(tsk_ID,(ROW()-ROW(MSPTasks[[#Headers],[ID]]))))</f>
        <v/>
      </c>
      <c r="B147" s="24" t="str">
        <f aca="false">IF(IFERROR(INDEX(tsk_Name,(ROW()-ROW(MSPTasks[[#Headers],[ID]])))="",TRUE()),"",INDEX(tsk_UID,(ROW()-ROW(MSPTasks[[#Headers],[ID]]))))</f>
        <v/>
      </c>
      <c r="C147" s="24" t="str">
        <f aca="false">IF(IFERROR(INDEX(tsk_Name,(ROW()-ROW(MSPTasks[[#Headers],[ID]])))="",TRUE()),"",INDEX(tsk_Name,(ROW()-ROW(MSPTasks[[#Headers],[ID]]))))</f>
        <v/>
      </c>
      <c r="D147" s="24" t="str">
        <f aca="false">IF(IFERROR(INDEX(tsk_Name,(ROW()-ROW(MSPTasks[[#Headers],[ID]])))="",TRUE()),"",INDEX(tsk_Level,(ROW()-ROW(MSPTasks[[#Headers],[ID]]))))</f>
        <v/>
      </c>
      <c r="E147" s="24" t="str">
        <f aca="false">IF(IFERROR(INDEX(tsk_Name,(ROW()-ROW(MSPTasks[[#Headers],[ID]])))="",TRUE()),"",IF(INDEX(tsk_Mode,(ROW()-ROW(MSPTasks[[#Headers],[ID]])))="Manual","Manually Scheduled","Auto Scheduled"))</f>
        <v/>
      </c>
      <c r="F1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96" t="str">
        <f aca="false">IF(IFERROR(INDEX(tsk_Name,(ROW()-ROW(MSPTasks[[#Headers],[ID]])))="",TRUE()),"",INDEX(tsk_FcStart,(ROW()-ROW(MSPTasks[[#Headers],[ID]]))))</f>
        <v/>
      </c>
      <c r="H147" s="96" t="str">
        <f aca="false">IF(IFERROR(INDEX(tsk_Name,(ROW()-ROW(MSPTasks[[#Headers],[ID]])))="",TRUE()),"",INDEX(tsk_FcFinish,(ROW()-ROW(MSPTasks[[#Headers],[ID]]))))</f>
        <v/>
      </c>
      <c r="I1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96" t="str">
        <f aca="false">IF(IFERROR(INDEX(tsk_Name,(ROW()-ROW(MSPTasks[[#Headers],[ID]])))="",TRUE()),"",INDEX(tsk_PlanStart,(ROW()-ROW(MSPTasks[[#Headers],[ID]]))))</f>
        <v/>
      </c>
      <c r="P147" s="96" t="str">
        <f aca="false">IF(IFERROR(INDEX(tsk_Name,(ROW()-ROW(MSPTasks[[#Headers],[ID]])))="",TRUE()),"",INDEX(tsk_PlanFinish,(ROW()-ROW(MSPTasks[[#Headers],[ID]]))))</f>
        <v/>
      </c>
      <c r="Q1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7" s="24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4" t="str">
        <f aca="false">IF(IFERROR(INDEX(tsk_Name,(ROW()-ROW(MSPTasks[[#Headers],[ID]])))="",TRUE()),"",INDEX(tsk_ID,(ROW()-ROW(MSPTasks[[#Headers],[ID]]))))</f>
        <v/>
      </c>
      <c r="B148" s="24" t="str">
        <f aca="false">IF(IFERROR(INDEX(tsk_Name,(ROW()-ROW(MSPTasks[[#Headers],[ID]])))="",TRUE()),"",INDEX(tsk_UID,(ROW()-ROW(MSPTasks[[#Headers],[ID]]))))</f>
        <v/>
      </c>
      <c r="C148" s="24" t="str">
        <f aca="false">IF(IFERROR(INDEX(tsk_Name,(ROW()-ROW(MSPTasks[[#Headers],[ID]])))="",TRUE()),"",INDEX(tsk_Name,(ROW()-ROW(MSPTasks[[#Headers],[ID]]))))</f>
        <v/>
      </c>
      <c r="D148" s="24" t="str">
        <f aca="false">IF(IFERROR(INDEX(tsk_Name,(ROW()-ROW(MSPTasks[[#Headers],[ID]])))="",TRUE()),"",INDEX(tsk_Level,(ROW()-ROW(MSPTasks[[#Headers],[ID]]))))</f>
        <v/>
      </c>
      <c r="E148" s="24" t="str">
        <f aca="false">IF(IFERROR(INDEX(tsk_Name,(ROW()-ROW(MSPTasks[[#Headers],[ID]])))="",TRUE()),"",IF(INDEX(tsk_Mode,(ROW()-ROW(MSPTasks[[#Headers],[ID]])))="Manual","Manually Scheduled","Auto Scheduled"))</f>
        <v/>
      </c>
      <c r="F1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96" t="str">
        <f aca="false">IF(IFERROR(INDEX(tsk_Name,(ROW()-ROW(MSPTasks[[#Headers],[ID]])))="",TRUE()),"",INDEX(tsk_FcStart,(ROW()-ROW(MSPTasks[[#Headers],[ID]]))))</f>
        <v/>
      </c>
      <c r="H148" s="96" t="str">
        <f aca="false">IF(IFERROR(INDEX(tsk_Name,(ROW()-ROW(MSPTasks[[#Headers],[ID]])))="",TRUE()),"",INDEX(tsk_FcFinish,(ROW()-ROW(MSPTasks[[#Headers],[ID]]))))</f>
        <v/>
      </c>
      <c r="I1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96" t="str">
        <f aca="false">IF(IFERROR(INDEX(tsk_Name,(ROW()-ROW(MSPTasks[[#Headers],[ID]])))="",TRUE()),"",INDEX(tsk_PlanStart,(ROW()-ROW(MSPTasks[[#Headers],[ID]]))))</f>
        <v/>
      </c>
      <c r="P148" s="96" t="str">
        <f aca="false">IF(IFERROR(INDEX(tsk_Name,(ROW()-ROW(MSPTasks[[#Headers],[ID]])))="",TRUE()),"",INDEX(tsk_PlanFinish,(ROW()-ROW(MSPTasks[[#Headers],[ID]]))))</f>
        <v/>
      </c>
      <c r="Q1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8" s="24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4" t="str">
        <f aca="false">IF(IFERROR(INDEX(tsk_Name,(ROW()-ROW(MSPTasks[[#Headers],[ID]])))="",TRUE()),"",INDEX(tsk_ID,(ROW()-ROW(MSPTasks[[#Headers],[ID]]))))</f>
        <v/>
      </c>
      <c r="B149" s="24" t="str">
        <f aca="false">IF(IFERROR(INDEX(tsk_Name,(ROW()-ROW(MSPTasks[[#Headers],[ID]])))="",TRUE()),"",INDEX(tsk_UID,(ROW()-ROW(MSPTasks[[#Headers],[ID]]))))</f>
        <v/>
      </c>
      <c r="C149" s="24" t="str">
        <f aca="false">IF(IFERROR(INDEX(tsk_Name,(ROW()-ROW(MSPTasks[[#Headers],[ID]])))="",TRUE()),"",INDEX(tsk_Name,(ROW()-ROW(MSPTasks[[#Headers],[ID]]))))</f>
        <v/>
      </c>
      <c r="D149" s="24" t="str">
        <f aca="false">IF(IFERROR(INDEX(tsk_Name,(ROW()-ROW(MSPTasks[[#Headers],[ID]])))="",TRUE()),"",INDEX(tsk_Level,(ROW()-ROW(MSPTasks[[#Headers],[ID]]))))</f>
        <v/>
      </c>
      <c r="E149" s="24" t="str">
        <f aca="false">IF(IFERROR(INDEX(tsk_Name,(ROW()-ROW(MSPTasks[[#Headers],[ID]])))="",TRUE()),"",IF(INDEX(tsk_Mode,(ROW()-ROW(MSPTasks[[#Headers],[ID]])))="Manual","Manually Scheduled","Auto Scheduled"))</f>
        <v/>
      </c>
      <c r="F1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96" t="str">
        <f aca="false">IF(IFERROR(INDEX(tsk_Name,(ROW()-ROW(MSPTasks[[#Headers],[ID]])))="",TRUE()),"",INDEX(tsk_FcStart,(ROW()-ROW(MSPTasks[[#Headers],[ID]]))))</f>
        <v/>
      </c>
      <c r="H149" s="96" t="str">
        <f aca="false">IF(IFERROR(INDEX(tsk_Name,(ROW()-ROW(MSPTasks[[#Headers],[ID]])))="",TRUE()),"",INDEX(tsk_FcFinish,(ROW()-ROW(MSPTasks[[#Headers],[ID]]))))</f>
        <v/>
      </c>
      <c r="I1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96" t="str">
        <f aca="false">IF(IFERROR(INDEX(tsk_Name,(ROW()-ROW(MSPTasks[[#Headers],[ID]])))="",TRUE()),"",INDEX(tsk_PlanStart,(ROW()-ROW(MSPTasks[[#Headers],[ID]]))))</f>
        <v/>
      </c>
      <c r="P149" s="96" t="str">
        <f aca="false">IF(IFERROR(INDEX(tsk_Name,(ROW()-ROW(MSPTasks[[#Headers],[ID]])))="",TRUE()),"",INDEX(tsk_PlanFinish,(ROW()-ROW(MSPTasks[[#Headers],[ID]]))))</f>
        <v/>
      </c>
      <c r="Q1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9" s="24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4" t="str">
        <f aca="false">IF(IFERROR(INDEX(tsk_Name,(ROW()-ROW(MSPTasks[[#Headers],[ID]])))="",TRUE()),"",INDEX(tsk_ID,(ROW()-ROW(MSPTasks[[#Headers],[ID]]))))</f>
        <v/>
      </c>
      <c r="B150" s="24" t="str">
        <f aca="false">IF(IFERROR(INDEX(tsk_Name,(ROW()-ROW(MSPTasks[[#Headers],[ID]])))="",TRUE()),"",INDEX(tsk_UID,(ROW()-ROW(MSPTasks[[#Headers],[ID]]))))</f>
        <v/>
      </c>
      <c r="C150" s="24" t="str">
        <f aca="false">IF(IFERROR(INDEX(tsk_Name,(ROW()-ROW(MSPTasks[[#Headers],[ID]])))="",TRUE()),"",INDEX(tsk_Name,(ROW()-ROW(MSPTasks[[#Headers],[ID]]))))</f>
        <v/>
      </c>
      <c r="D150" s="24" t="str">
        <f aca="false">IF(IFERROR(INDEX(tsk_Name,(ROW()-ROW(MSPTasks[[#Headers],[ID]])))="",TRUE()),"",INDEX(tsk_Level,(ROW()-ROW(MSPTasks[[#Headers],[ID]]))))</f>
        <v/>
      </c>
      <c r="E150" s="24" t="str">
        <f aca="false">IF(IFERROR(INDEX(tsk_Name,(ROW()-ROW(MSPTasks[[#Headers],[ID]])))="",TRUE()),"",IF(INDEX(tsk_Mode,(ROW()-ROW(MSPTasks[[#Headers],[ID]])))="Manual","Manually Scheduled","Auto Scheduled"))</f>
        <v/>
      </c>
      <c r="F1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96" t="str">
        <f aca="false">IF(IFERROR(INDEX(tsk_Name,(ROW()-ROW(MSPTasks[[#Headers],[ID]])))="",TRUE()),"",INDEX(tsk_FcStart,(ROW()-ROW(MSPTasks[[#Headers],[ID]]))))</f>
        <v/>
      </c>
      <c r="H150" s="96" t="str">
        <f aca="false">IF(IFERROR(INDEX(tsk_Name,(ROW()-ROW(MSPTasks[[#Headers],[ID]])))="",TRUE()),"",INDEX(tsk_FcFinish,(ROW()-ROW(MSPTasks[[#Headers],[ID]]))))</f>
        <v/>
      </c>
      <c r="I1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96" t="str">
        <f aca="false">IF(IFERROR(INDEX(tsk_Name,(ROW()-ROW(MSPTasks[[#Headers],[ID]])))="",TRUE()),"",INDEX(tsk_PlanStart,(ROW()-ROW(MSPTasks[[#Headers],[ID]]))))</f>
        <v/>
      </c>
      <c r="P150" s="96" t="str">
        <f aca="false">IF(IFERROR(INDEX(tsk_Name,(ROW()-ROW(MSPTasks[[#Headers],[ID]])))="",TRUE()),"",INDEX(tsk_PlanFinish,(ROW()-ROW(MSPTasks[[#Headers],[ID]]))))</f>
        <v/>
      </c>
      <c r="Q1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0" s="24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4" t="str">
        <f aca="false">IF(IFERROR(INDEX(tsk_Name,(ROW()-ROW(MSPTasks[[#Headers],[ID]])))="",TRUE()),"",INDEX(tsk_ID,(ROW()-ROW(MSPTasks[[#Headers],[ID]]))))</f>
        <v/>
      </c>
      <c r="B151" s="24" t="str">
        <f aca="false">IF(IFERROR(INDEX(tsk_Name,(ROW()-ROW(MSPTasks[[#Headers],[ID]])))="",TRUE()),"",INDEX(tsk_UID,(ROW()-ROW(MSPTasks[[#Headers],[ID]]))))</f>
        <v/>
      </c>
      <c r="C151" s="24" t="str">
        <f aca="false">IF(IFERROR(INDEX(tsk_Name,(ROW()-ROW(MSPTasks[[#Headers],[ID]])))="",TRUE()),"",INDEX(tsk_Name,(ROW()-ROW(MSPTasks[[#Headers],[ID]]))))</f>
        <v/>
      </c>
      <c r="D151" s="24" t="str">
        <f aca="false">IF(IFERROR(INDEX(tsk_Name,(ROW()-ROW(MSPTasks[[#Headers],[ID]])))="",TRUE()),"",INDEX(tsk_Level,(ROW()-ROW(MSPTasks[[#Headers],[ID]]))))</f>
        <v/>
      </c>
      <c r="E151" s="24" t="str">
        <f aca="false">IF(IFERROR(INDEX(tsk_Name,(ROW()-ROW(MSPTasks[[#Headers],[ID]])))="",TRUE()),"",IF(INDEX(tsk_Mode,(ROW()-ROW(MSPTasks[[#Headers],[ID]])))="Manual","Manually Scheduled","Auto Scheduled"))</f>
        <v/>
      </c>
      <c r="F1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96" t="str">
        <f aca="false">IF(IFERROR(INDEX(tsk_Name,(ROW()-ROW(MSPTasks[[#Headers],[ID]])))="",TRUE()),"",INDEX(tsk_FcStart,(ROW()-ROW(MSPTasks[[#Headers],[ID]]))))</f>
        <v/>
      </c>
      <c r="H151" s="96" t="str">
        <f aca="false">IF(IFERROR(INDEX(tsk_Name,(ROW()-ROW(MSPTasks[[#Headers],[ID]])))="",TRUE()),"",INDEX(tsk_FcFinish,(ROW()-ROW(MSPTasks[[#Headers],[ID]]))))</f>
        <v/>
      </c>
      <c r="I1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96" t="str">
        <f aca="false">IF(IFERROR(INDEX(tsk_Name,(ROW()-ROW(MSPTasks[[#Headers],[ID]])))="",TRUE()),"",INDEX(tsk_PlanStart,(ROW()-ROW(MSPTasks[[#Headers],[ID]]))))</f>
        <v/>
      </c>
      <c r="P151" s="96" t="str">
        <f aca="false">IF(IFERROR(INDEX(tsk_Name,(ROW()-ROW(MSPTasks[[#Headers],[ID]])))="",TRUE()),"",INDEX(tsk_PlanFinish,(ROW()-ROW(MSPTasks[[#Headers],[ID]]))))</f>
        <v/>
      </c>
      <c r="Q1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1" s="24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4" t="str">
        <f aca="false">IF(IFERROR(INDEX(tsk_Name,(ROW()-ROW(MSPTasks[[#Headers],[ID]])))="",TRUE()),"",INDEX(tsk_ID,(ROW()-ROW(MSPTasks[[#Headers],[ID]]))))</f>
        <v/>
      </c>
      <c r="B152" s="24" t="str">
        <f aca="false">IF(IFERROR(INDEX(tsk_Name,(ROW()-ROW(MSPTasks[[#Headers],[ID]])))="",TRUE()),"",INDEX(tsk_UID,(ROW()-ROW(MSPTasks[[#Headers],[ID]]))))</f>
        <v/>
      </c>
      <c r="C152" s="24" t="str">
        <f aca="false">IF(IFERROR(INDEX(tsk_Name,(ROW()-ROW(MSPTasks[[#Headers],[ID]])))="",TRUE()),"",INDEX(tsk_Name,(ROW()-ROW(MSPTasks[[#Headers],[ID]]))))</f>
        <v/>
      </c>
      <c r="D152" s="24" t="str">
        <f aca="false">IF(IFERROR(INDEX(tsk_Name,(ROW()-ROW(MSPTasks[[#Headers],[ID]])))="",TRUE()),"",INDEX(tsk_Level,(ROW()-ROW(MSPTasks[[#Headers],[ID]]))))</f>
        <v/>
      </c>
      <c r="E152" s="24" t="str">
        <f aca="false">IF(IFERROR(INDEX(tsk_Name,(ROW()-ROW(MSPTasks[[#Headers],[ID]])))="",TRUE()),"",IF(INDEX(tsk_Mode,(ROW()-ROW(MSPTasks[[#Headers],[ID]])))="Manual","Manually Scheduled","Auto Scheduled"))</f>
        <v/>
      </c>
      <c r="F1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96" t="str">
        <f aca="false">IF(IFERROR(INDEX(tsk_Name,(ROW()-ROW(MSPTasks[[#Headers],[ID]])))="",TRUE()),"",INDEX(tsk_FcStart,(ROW()-ROW(MSPTasks[[#Headers],[ID]]))))</f>
        <v/>
      </c>
      <c r="H152" s="96" t="str">
        <f aca="false">IF(IFERROR(INDEX(tsk_Name,(ROW()-ROW(MSPTasks[[#Headers],[ID]])))="",TRUE()),"",INDEX(tsk_FcFinish,(ROW()-ROW(MSPTasks[[#Headers],[ID]]))))</f>
        <v/>
      </c>
      <c r="I1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96" t="str">
        <f aca="false">IF(IFERROR(INDEX(tsk_Name,(ROW()-ROW(MSPTasks[[#Headers],[ID]])))="",TRUE()),"",INDEX(tsk_PlanStart,(ROW()-ROW(MSPTasks[[#Headers],[ID]]))))</f>
        <v/>
      </c>
      <c r="P152" s="96" t="str">
        <f aca="false">IF(IFERROR(INDEX(tsk_Name,(ROW()-ROW(MSPTasks[[#Headers],[ID]])))="",TRUE()),"",INDEX(tsk_PlanFinish,(ROW()-ROW(MSPTasks[[#Headers],[ID]]))))</f>
        <v/>
      </c>
      <c r="Q1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2" s="24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4" t="str">
        <f aca="false">IF(IFERROR(INDEX(tsk_Name,(ROW()-ROW(MSPTasks[[#Headers],[ID]])))="",TRUE()),"",INDEX(tsk_ID,(ROW()-ROW(MSPTasks[[#Headers],[ID]]))))</f>
        <v/>
      </c>
      <c r="B153" s="24" t="str">
        <f aca="false">IF(IFERROR(INDEX(tsk_Name,(ROW()-ROW(MSPTasks[[#Headers],[ID]])))="",TRUE()),"",INDEX(tsk_UID,(ROW()-ROW(MSPTasks[[#Headers],[ID]]))))</f>
        <v/>
      </c>
      <c r="C153" s="24" t="str">
        <f aca="false">IF(IFERROR(INDEX(tsk_Name,(ROW()-ROW(MSPTasks[[#Headers],[ID]])))="",TRUE()),"",INDEX(tsk_Name,(ROW()-ROW(MSPTasks[[#Headers],[ID]]))))</f>
        <v/>
      </c>
      <c r="D153" s="24" t="str">
        <f aca="false">IF(IFERROR(INDEX(tsk_Name,(ROW()-ROW(MSPTasks[[#Headers],[ID]])))="",TRUE()),"",INDEX(tsk_Level,(ROW()-ROW(MSPTasks[[#Headers],[ID]]))))</f>
        <v/>
      </c>
      <c r="E153" s="24" t="str">
        <f aca="false">IF(IFERROR(INDEX(tsk_Name,(ROW()-ROW(MSPTasks[[#Headers],[ID]])))="",TRUE()),"",IF(INDEX(tsk_Mode,(ROW()-ROW(MSPTasks[[#Headers],[ID]])))="Manual","Manually Scheduled","Auto Scheduled"))</f>
        <v/>
      </c>
      <c r="F1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96" t="str">
        <f aca="false">IF(IFERROR(INDEX(tsk_Name,(ROW()-ROW(MSPTasks[[#Headers],[ID]])))="",TRUE()),"",INDEX(tsk_FcStart,(ROW()-ROW(MSPTasks[[#Headers],[ID]]))))</f>
        <v/>
      </c>
      <c r="H153" s="96" t="str">
        <f aca="false">IF(IFERROR(INDEX(tsk_Name,(ROW()-ROW(MSPTasks[[#Headers],[ID]])))="",TRUE()),"",INDEX(tsk_FcFinish,(ROW()-ROW(MSPTasks[[#Headers],[ID]]))))</f>
        <v/>
      </c>
      <c r="I1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96" t="str">
        <f aca="false">IF(IFERROR(INDEX(tsk_Name,(ROW()-ROW(MSPTasks[[#Headers],[ID]])))="",TRUE()),"",INDEX(tsk_PlanStart,(ROW()-ROW(MSPTasks[[#Headers],[ID]]))))</f>
        <v/>
      </c>
      <c r="P153" s="96" t="str">
        <f aca="false">IF(IFERROR(INDEX(tsk_Name,(ROW()-ROW(MSPTasks[[#Headers],[ID]])))="",TRUE()),"",INDEX(tsk_PlanFinish,(ROW()-ROW(MSPTasks[[#Headers],[ID]]))))</f>
        <v/>
      </c>
      <c r="Q1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3" s="24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4" t="str">
        <f aca="false">IF(IFERROR(INDEX(tsk_Name,(ROW()-ROW(MSPTasks[[#Headers],[ID]])))="",TRUE()),"",INDEX(tsk_ID,(ROW()-ROW(MSPTasks[[#Headers],[ID]]))))</f>
        <v/>
      </c>
      <c r="B154" s="24" t="str">
        <f aca="false">IF(IFERROR(INDEX(tsk_Name,(ROW()-ROW(MSPTasks[[#Headers],[ID]])))="",TRUE()),"",INDEX(tsk_UID,(ROW()-ROW(MSPTasks[[#Headers],[ID]]))))</f>
        <v/>
      </c>
      <c r="C154" s="24" t="str">
        <f aca="false">IF(IFERROR(INDEX(tsk_Name,(ROW()-ROW(MSPTasks[[#Headers],[ID]])))="",TRUE()),"",INDEX(tsk_Name,(ROW()-ROW(MSPTasks[[#Headers],[ID]]))))</f>
        <v/>
      </c>
      <c r="D154" s="24" t="str">
        <f aca="false">IF(IFERROR(INDEX(tsk_Name,(ROW()-ROW(MSPTasks[[#Headers],[ID]])))="",TRUE()),"",INDEX(tsk_Level,(ROW()-ROW(MSPTasks[[#Headers],[ID]]))))</f>
        <v/>
      </c>
      <c r="E154" s="24" t="str">
        <f aca="false">IF(IFERROR(INDEX(tsk_Name,(ROW()-ROW(MSPTasks[[#Headers],[ID]])))="",TRUE()),"",IF(INDEX(tsk_Mode,(ROW()-ROW(MSPTasks[[#Headers],[ID]])))="Manual","Manually Scheduled","Auto Scheduled"))</f>
        <v/>
      </c>
      <c r="F1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96" t="str">
        <f aca="false">IF(IFERROR(INDEX(tsk_Name,(ROW()-ROW(MSPTasks[[#Headers],[ID]])))="",TRUE()),"",INDEX(tsk_FcStart,(ROW()-ROW(MSPTasks[[#Headers],[ID]]))))</f>
        <v/>
      </c>
      <c r="H154" s="96" t="str">
        <f aca="false">IF(IFERROR(INDEX(tsk_Name,(ROW()-ROW(MSPTasks[[#Headers],[ID]])))="",TRUE()),"",INDEX(tsk_FcFinish,(ROW()-ROW(MSPTasks[[#Headers],[ID]]))))</f>
        <v/>
      </c>
      <c r="I1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96" t="str">
        <f aca="false">IF(IFERROR(INDEX(tsk_Name,(ROW()-ROW(MSPTasks[[#Headers],[ID]])))="",TRUE()),"",INDEX(tsk_PlanStart,(ROW()-ROW(MSPTasks[[#Headers],[ID]]))))</f>
        <v/>
      </c>
      <c r="P154" s="96" t="str">
        <f aca="false">IF(IFERROR(INDEX(tsk_Name,(ROW()-ROW(MSPTasks[[#Headers],[ID]])))="",TRUE()),"",INDEX(tsk_PlanFinish,(ROW()-ROW(MSPTasks[[#Headers],[ID]]))))</f>
        <v/>
      </c>
      <c r="Q1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4" s="24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4" t="str">
        <f aca="false">IF(IFERROR(INDEX(tsk_Name,(ROW()-ROW(MSPTasks[[#Headers],[ID]])))="",TRUE()),"",INDEX(tsk_ID,(ROW()-ROW(MSPTasks[[#Headers],[ID]]))))</f>
        <v/>
      </c>
      <c r="B155" s="24" t="str">
        <f aca="false">IF(IFERROR(INDEX(tsk_Name,(ROW()-ROW(MSPTasks[[#Headers],[ID]])))="",TRUE()),"",INDEX(tsk_UID,(ROW()-ROW(MSPTasks[[#Headers],[ID]]))))</f>
        <v/>
      </c>
      <c r="C155" s="24" t="str">
        <f aca="false">IF(IFERROR(INDEX(tsk_Name,(ROW()-ROW(MSPTasks[[#Headers],[ID]])))="",TRUE()),"",INDEX(tsk_Name,(ROW()-ROW(MSPTasks[[#Headers],[ID]]))))</f>
        <v/>
      </c>
      <c r="D155" s="24" t="str">
        <f aca="false">IF(IFERROR(INDEX(tsk_Name,(ROW()-ROW(MSPTasks[[#Headers],[ID]])))="",TRUE()),"",INDEX(tsk_Level,(ROW()-ROW(MSPTasks[[#Headers],[ID]]))))</f>
        <v/>
      </c>
      <c r="E155" s="24" t="str">
        <f aca="false">IF(IFERROR(INDEX(tsk_Name,(ROW()-ROW(MSPTasks[[#Headers],[ID]])))="",TRUE()),"",IF(INDEX(tsk_Mode,(ROW()-ROW(MSPTasks[[#Headers],[ID]])))="Manual","Manually Scheduled","Auto Scheduled"))</f>
        <v/>
      </c>
      <c r="F1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96" t="str">
        <f aca="false">IF(IFERROR(INDEX(tsk_Name,(ROW()-ROW(MSPTasks[[#Headers],[ID]])))="",TRUE()),"",INDEX(tsk_FcStart,(ROW()-ROW(MSPTasks[[#Headers],[ID]]))))</f>
        <v/>
      </c>
      <c r="H155" s="96" t="str">
        <f aca="false">IF(IFERROR(INDEX(tsk_Name,(ROW()-ROW(MSPTasks[[#Headers],[ID]])))="",TRUE()),"",INDEX(tsk_FcFinish,(ROW()-ROW(MSPTasks[[#Headers],[ID]]))))</f>
        <v/>
      </c>
      <c r="I1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96" t="str">
        <f aca="false">IF(IFERROR(INDEX(tsk_Name,(ROW()-ROW(MSPTasks[[#Headers],[ID]])))="",TRUE()),"",INDEX(tsk_PlanStart,(ROW()-ROW(MSPTasks[[#Headers],[ID]]))))</f>
        <v/>
      </c>
      <c r="P155" s="96" t="str">
        <f aca="false">IF(IFERROR(INDEX(tsk_Name,(ROW()-ROW(MSPTasks[[#Headers],[ID]])))="",TRUE()),"",INDEX(tsk_PlanFinish,(ROW()-ROW(MSPTasks[[#Headers],[ID]]))))</f>
        <v/>
      </c>
      <c r="Q1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5" s="24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4" t="str">
        <f aca="false">IF(IFERROR(INDEX(tsk_Name,(ROW()-ROW(MSPTasks[[#Headers],[ID]])))="",TRUE()),"",INDEX(tsk_ID,(ROW()-ROW(MSPTasks[[#Headers],[ID]]))))</f>
        <v/>
      </c>
      <c r="B156" s="24" t="str">
        <f aca="false">IF(IFERROR(INDEX(tsk_Name,(ROW()-ROW(MSPTasks[[#Headers],[ID]])))="",TRUE()),"",INDEX(tsk_UID,(ROW()-ROW(MSPTasks[[#Headers],[ID]]))))</f>
        <v/>
      </c>
      <c r="C156" s="24" t="str">
        <f aca="false">IF(IFERROR(INDEX(tsk_Name,(ROW()-ROW(MSPTasks[[#Headers],[ID]])))="",TRUE()),"",INDEX(tsk_Name,(ROW()-ROW(MSPTasks[[#Headers],[ID]]))))</f>
        <v/>
      </c>
      <c r="D156" s="24" t="str">
        <f aca="false">IF(IFERROR(INDEX(tsk_Name,(ROW()-ROW(MSPTasks[[#Headers],[ID]])))="",TRUE()),"",INDEX(tsk_Level,(ROW()-ROW(MSPTasks[[#Headers],[ID]]))))</f>
        <v/>
      </c>
      <c r="E156" s="24" t="str">
        <f aca="false">IF(IFERROR(INDEX(tsk_Name,(ROW()-ROW(MSPTasks[[#Headers],[ID]])))="",TRUE()),"",IF(INDEX(tsk_Mode,(ROW()-ROW(MSPTasks[[#Headers],[ID]])))="Manual","Manually Scheduled","Auto Scheduled"))</f>
        <v/>
      </c>
      <c r="F1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96" t="str">
        <f aca="false">IF(IFERROR(INDEX(tsk_Name,(ROW()-ROW(MSPTasks[[#Headers],[ID]])))="",TRUE()),"",INDEX(tsk_FcStart,(ROW()-ROW(MSPTasks[[#Headers],[ID]]))))</f>
        <v/>
      </c>
      <c r="H156" s="96" t="str">
        <f aca="false">IF(IFERROR(INDEX(tsk_Name,(ROW()-ROW(MSPTasks[[#Headers],[ID]])))="",TRUE()),"",INDEX(tsk_FcFinish,(ROW()-ROW(MSPTasks[[#Headers],[ID]]))))</f>
        <v/>
      </c>
      <c r="I1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96" t="str">
        <f aca="false">IF(IFERROR(INDEX(tsk_Name,(ROW()-ROW(MSPTasks[[#Headers],[ID]])))="",TRUE()),"",INDEX(tsk_PlanStart,(ROW()-ROW(MSPTasks[[#Headers],[ID]]))))</f>
        <v/>
      </c>
      <c r="P156" s="96" t="str">
        <f aca="false">IF(IFERROR(INDEX(tsk_Name,(ROW()-ROW(MSPTasks[[#Headers],[ID]])))="",TRUE()),"",INDEX(tsk_PlanFinish,(ROW()-ROW(MSPTasks[[#Headers],[ID]]))))</f>
        <v/>
      </c>
      <c r="Q1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6" s="24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4" t="str">
        <f aca="false">IF(IFERROR(INDEX(tsk_Name,(ROW()-ROW(MSPTasks[[#Headers],[ID]])))="",TRUE()),"",INDEX(tsk_ID,(ROW()-ROW(MSPTasks[[#Headers],[ID]]))))</f>
        <v/>
      </c>
      <c r="B157" s="24" t="str">
        <f aca="false">IF(IFERROR(INDEX(tsk_Name,(ROW()-ROW(MSPTasks[[#Headers],[ID]])))="",TRUE()),"",INDEX(tsk_UID,(ROW()-ROW(MSPTasks[[#Headers],[ID]]))))</f>
        <v/>
      </c>
      <c r="C157" s="24" t="str">
        <f aca="false">IF(IFERROR(INDEX(tsk_Name,(ROW()-ROW(MSPTasks[[#Headers],[ID]])))="",TRUE()),"",INDEX(tsk_Name,(ROW()-ROW(MSPTasks[[#Headers],[ID]]))))</f>
        <v/>
      </c>
      <c r="D157" s="24" t="str">
        <f aca="false">IF(IFERROR(INDEX(tsk_Name,(ROW()-ROW(MSPTasks[[#Headers],[ID]])))="",TRUE()),"",INDEX(tsk_Level,(ROW()-ROW(MSPTasks[[#Headers],[ID]]))))</f>
        <v/>
      </c>
      <c r="E157" s="24" t="str">
        <f aca="false">IF(IFERROR(INDEX(tsk_Name,(ROW()-ROW(MSPTasks[[#Headers],[ID]])))="",TRUE()),"",IF(INDEX(tsk_Mode,(ROW()-ROW(MSPTasks[[#Headers],[ID]])))="Manual","Manually Scheduled","Auto Scheduled"))</f>
        <v/>
      </c>
      <c r="F1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96" t="str">
        <f aca="false">IF(IFERROR(INDEX(tsk_Name,(ROW()-ROW(MSPTasks[[#Headers],[ID]])))="",TRUE()),"",INDEX(tsk_FcStart,(ROW()-ROW(MSPTasks[[#Headers],[ID]]))))</f>
        <v/>
      </c>
      <c r="H157" s="96" t="str">
        <f aca="false">IF(IFERROR(INDEX(tsk_Name,(ROW()-ROW(MSPTasks[[#Headers],[ID]])))="",TRUE()),"",INDEX(tsk_FcFinish,(ROW()-ROW(MSPTasks[[#Headers],[ID]]))))</f>
        <v/>
      </c>
      <c r="I1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96" t="str">
        <f aca="false">IF(IFERROR(INDEX(tsk_Name,(ROW()-ROW(MSPTasks[[#Headers],[ID]])))="",TRUE()),"",INDEX(tsk_PlanStart,(ROW()-ROW(MSPTasks[[#Headers],[ID]]))))</f>
        <v/>
      </c>
      <c r="P157" s="96" t="str">
        <f aca="false">IF(IFERROR(INDEX(tsk_Name,(ROW()-ROW(MSPTasks[[#Headers],[ID]])))="",TRUE()),"",INDEX(tsk_PlanFinish,(ROW()-ROW(MSPTasks[[#Headers],[ID]]))))</f>
        <v/>
      </c>
      <c r="Q1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7" s="24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4" t="str">
        <f aca="false">IF(IFERROR(INDEX(tsk_Name,(ROW()-ROW(MSPTasks[[#Headers],[ID]])))="",TRUE()),"",INDEX(tsk_ID,(ROW()-ROW(MSPTasks[[#Headers],[ID]]))))</f>
        <v/>
      </c>
      <c r="B158" s="24" t="str">
        <f aca="false">IF(IFERROR(INDEX(tsk_Name,(ROW()-ROW(MSPTasks[[#Headers],[ID]])))="",TRUE()),"",INDEX(tsk_UID,(ROW()-ROW(MSPTasks[[#Headers],[ID]]))))</f>
        <v/>
      </c>
      <c r="C158" s="24" t="str">
        <f aca="false">IF(IFERROR(INDEX(tsk_Name,(ROW()-ROW(MSPTasks[[#Headers],[ID]])))="",TRUE()),"",INDEX(tsk_Name,(ROW()-ROW(MSPTasks[[#Headers],[ID]]))))</f>
        <v/>
      </c>
      <c r="D158" s="24" t="str">
        <f aca="false">IF(IFERROR(INDEX(tsk_Name,(ROW()-ROW(MSPTasks[[#Headers],[ID]])))="",TRUE()),"",INDEX(tsk_Level,(ROW()-ROW(MSPTasks[[#Headers],[ID]]))))</f>
        <v/>
      </c>
      <c r="E158" s="24" t="str">
        <f aca="false">IF(IFERROR(INDEX(tsk_Name,(ROW()-ROW(MSPTasks[[#Headers],[ID]])))="",TRUE()),"",IF(INDEX(tsk_Mode,(ROW()-ROW(MSPTasks[[#Headers],[ID]])))="Manual","Manually Scheduled","Auto Scheduled"))</f>
        <v/>
      </c>
      <c r="F1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96" t="str">
        <f aca="false">IF(IFERROR(INDEX(tsk_Name,(ROW()-ROW(MSPTasks[[#Headers],[ID]])))="",TRUE()),"",INDEX(tsk_FcStart,(ROW()-ROW(MSPTasks[[#Headers],[ID]]))))</f>
        <v/>
      </c>
      <c r="H158" s="96" t="str">
        <f aca="false">IF(IFERROR(INDEX(tsk_Name,(ROW()-ROW(MSPTasks[[#Headers],[ID]])))="",TRUE()),"",INDEX(tsk_FcFinish,(ROW()-ROW(MSPTasks[[#Headers],[ID]]))))</f>
        <v/>
      </c>
      <c r="I1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96" t="str">
        <f aca="false">IF(IFERROR(INDEX(tsk_Name,(ROW()-ROW(MSPTasks[[#Headers],[ID]])))="",TRUE()),"",INDEX(tsk_PlanStart,(ROW()-ROW(MSPTasks[[#Headers],[ID]]))))</f>
        <v/>
      </c>
      <c r="P158" s="96" t="str">
        <f aca="false">IF(IFERROR(INDEX(tsk_Name,(ROW()-ROW(MSPTasks[[#Headers],[ID]])))="",TRUE()),"",INDEX(tsk_PlanFinish,(ROW()-ROW(MSPTasks[[#Headers],[ID]]))))</f>
        <v/>
      </c>
      <c r="Q1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8" s="24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4" t="str">
        <f aca="false">IF(IFERROR(INDEX(tsk_Name,(ROW()-ROW(MSPTasks[[#Headers],[ID]])))="",TRUE()),"",INDEX(tsk_ID,(ROW()-ROW(MSPTasks[[#Headers],[ID]]))))</f>
        <v/>
      </c>
      <c r="B159" s="24" t="str">
        <f aca="false">IF(IFERROR(INDEX(tsk_Name,(ROW()-ROW(MSPTasks[[#Headers],[ID]])))="",TRUE()),"",INDEX(tsk_UID,(ROW()-ROW(MSPTasks[[#Headers],[ID]]))))</f>
        <v/>
      </c>
      <c r="C159" s="24" t="str">
        <f aca="false">IF(IFERROR(INDEX(tsk_Name,(ROW()-ROW(MSPTasks[[#Headers],[ID]])))="",TRUE()),"",INDEX(tsk_Name,(ROW()-ROW(MSPTasks[[#Headers],[ID]]))))</f>
        <v/>
      </c>
      <c r="D159" s="24" t="str">
        <f aca="false">IF(IFERROR(INDEX(tsk_Name,(ROW()-ROW(MSPTasks[[#Headers],[ID]])))="",TRUE()),"",INDEX(tsk_Level,(ROW()-ROW(MSPTasks[[#Headers],[ID]]))))</f>
        <v/>
      </c>
      <c r="E159" s="24" t="str">
        <f aca="false">IF(IFERROR(INDEX(tsk_Name,(ROW()-ROW(MSPTasks[[#Headers],[ID]])))="",TRUE()),"",IF(INDEX(tsk_Mode,(ROW()-ROW(MSPTasks[[#Headers],[ID]])))="Manual","Manually Scheduled","Auto Scheduled"))</f>
        <v/>
      </c>
      <c r="F1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96" t="str">
        <f aca="false">IF(IFERROR(INDEX(tsk_Name,(ROW()-ROW(MSPTasks[[#Headers],[ID]])))="",TRUE()),"",INDEX(tsk_FcStart,(ROW()-ROW(MSPTasks[[#Headers],[ID]]))))</f>
        <v/>
      </c>
      <c r="H159" s="96" t="str">
        <f aca="false">IF(IFERROR(INDEX(tsk_Name,(ROW()-ROW(MSPTasks[[#Headers],[ID]])))="",TRUE()),"",INDEX(tsk_FcFinish,(ROW()-ROW(MSPTasks[[#Headers],[ID]]))))</f>
        <v/>
      </c>
      <c r="I1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96" t="str">
        <f aca="false">IF(IFERROR(INDEX(tsk_Name,(ROW()-ROW(MSPTasks[[#Headers],[ID]])))="",TRUE()),"",INDEX(tsk_PlanStart,(ROW()-ROW(MSPTasks[[#Headers],[ID]]))))</f>
        <v/>
      </c>
      <c r="P159" s="96" t="str">
        <f aca="false">IF(IFERROR(INDEX(tsk_Name,(ROW()-ROW(MSPTasks[[#Headers],[ID]])))="",TRUE()),"",INDEX(tsk_PlanFinish,(ROW()-ROW(MSPTasks[[#Headers],[ID]]))))</f>
        <v/>
      </c>
      <c r="Q1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9" s="24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4" t="str">
        <f aca="false">IF(IFERROR(INDEX(tsk_Name,(ROW()-ROW(MSPTasks[[#Headers],[ID]])))="",TRUE()),"",INDEX(tsk_ID,(ROW()-ROW(MSPTasks[[#Headers],[ID]]))))</f>
        <v/>
      </c>
      <c r="B160" s="24" t="str">
        <f aca="false">IF(IFERROR(INDEX(tsk_Name,(ROW()-ROW(MSPTasks[[#Headers],[ID]])))="",TRUE()),"",INDEX(tsk_UID,(ROW()-ROW(MSPTasks[[#Headers],[ID]]))))</f>
        <v/>
      </c>
      <c r="C160" s="24" t="str">
        <f aca="false">IF(IFERROR(INDEX(tsk_Name,(ROW()-ROW(MSPTasks[[#Headers],[ID]])))="",TRUE()),"",INDEX(tsk_Name,(ROW()-ROW(MSPTasks[[#Headers],[ID]]))))</f>
        <v/>
      </c>
      <c r="D160" s="24" t="str">
        <f aca="false">IF(IFERROR(INDEX(tsk_Name,(ROW()-ROW(MSPTasks[[#Headers],[ID]])))="",TRUE()),"",INDEX(tsk_Level,(ROW()-ROW(MSPTasks[[#Headers],[ID]]))))</f>
        <v/>
      </c>
      <c r="E160" s="24" t="str">
        <f aca="false">IF(IFERROR(INDEX(tsk_Name,(ROW()-ROW(MSPTasks[[#Headers],[ID]])))="",TRUE()),"",IF(INDEX(tsk_Mode,(ROW()-ROW(MSPTasks[[#Headers],[ID]])))="Manual","Manually Scheduled","Auto Scheduled"))</f>
        <v/>
      </c>
      <c r="F1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96" t="str">
        <f aca="false">IF(IFERROR(INDEX(tsk_Name,(ROW()-ROW(MSPTasks[[#Headers],[ID]])))="",TRUE()),"",INDEX(tsk_FcStart,(ROW()-ROW(MSPTasks[[#Headers],[ID]]))))</f>
        <v/>
      </c>
      <c r="H160" s="96" t="str">
        <f aca="false">IF(IFERROR(INDEX(tsk_Name,(ROW()-ROW(MSPTasks[[#Headers],[ID]])))="",TRUE()),"",INDEX(tsk_FcFinish,(ROW()-ROW(MSPTasks[[#Headers],[ID]]))))</f>
        <v/>
      </c>
      <c r="I1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96" t="str">
        <f aca="false">IF(IFERROR(INDEX(tsk_Name,(ROW()-ROW(MSPTasks[[#Headers],[ID]])))="",TRUE()),"",INDEX(tsk_PlanStart,(ROW()-ROW(MSPTasks[[#Headers],[ID]]))))</f>
        <v/>
      </c>
      <c r="P160" s="96" t="str">
        <f aca="false">IF(IFERROR(INDEX(tsk_Name,(ROW()-ROW(MSPTasks[[#Headers],[ID]])))="",TRUE()),"",INDEX(tsk_PlanFinish,(ROW()-ROW(MSPTasks[[#Headers],[ID]]))))</f>
        <v/>
      </c>
      <c r="Q1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0" s="24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4" t="str">
        <f aca="false">IF(IFERROR(INDEX(tsk_Name,(ROW()-ROW(MSPTasks[[#Headers],[ID]])))="",TRUE()),"",INDEX(tsk_ID,(ROW()-ROW(MSPTasks[[#Headers],[ID]]))))</f>
        <v/>
      </c>
      <c r="B161" s="24" t="str">
        <f aca="false">IF(IFERROR(INDEX(tsk_Name,(ROW()-ROW(MSPTasks[[#Headers],[ID]])))="",TRUE()),"",INDEX(tsk_UID,(ROW()-ROW(MSPTasks[[#Headers],[ID]]))))</f>
        <v/>
      </c>
      <c r="C161" s="24" t="str">
        <f aca="false">IF(IFERROR(INDEX(tsk_Name,(ROW()-ROW(MSPTasks[[#Headers],[ID]])))="",TRUE()),"",INDEX(tsk_Name,(ROW()-ROW(MSPTasks[[#Headers],[ID]]))))</f>
        <v/>
      </c>
      <c r="D161" s="24" t="str">
        <f aca="false">IF(IFERROR(INDEX(tsk_Name,(ROW()-ROW(MSPTasks[[#Headers],[ID]])))="",TRUE()),"",INDEX(tsk_Level,(ROW()-ROW(MSPTasks[[#Headers],[ID]]))))</f>
        <v/>
      </c>
      <c r="E161" s="24" t="str">
        <f aca="false">IF(IFERROR(INDEX(tsk_Name,(ROW()-ROW(MSPTasks[[#Headers],[ID]])))="",TRUE()),"",IF(INDEX(tsk_Mode,(ROW()-ROW(MSPTasks[[#Headers],[ID]])))="Manual","Manually Scheduled","Auto Scheduled"))</f>
        <v/>
      </c>
      <c r="F1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96" t="str">
        <f aca="false">IF(IFERROR(INDEX(tsk_Name,(ROW()-ROW(MSPTasks[[#Headers],[ID]])))="",TRUE()),"",INDEX(tsk_FcStart,(ROW()-ROW(MSPTasks[[#Headers],[ID]]))))</f>
        <v/>
      </c>
      <c r="H161" s="96" t="str">
        <f aca="false">IF(IFERROR(INDEX(tsk_Name,(ROW()-ROW(MSPTasks[[#Headers],[ID]])))="",TRUE()),"",INDEX(tsk_FcFinish,(ROW()-ROW(MSPTasks[[#Headers],[ID]]))))</f>
        <v/>
      </c>
      <c r="I1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96" t="str">
        <f aca="false">IF(IFERROR(INDEX(tsk_Name,(ROW()-ROW(MSPTasks[[#Headers],[ID]])))="",TRUE()),"",INDEX(tsk_PlanStart,(ROW()-ROW(MSPTasks[[#Headers],[ID]]))))</f>
        <v/>
      </c>
      <c r="P161" s="96" t="str">
        <f aca="false">IF(IFERROR(INDEX(tsk_Name,(ROW()-ROW(MSPTasks[[#Headers],[ID]])))="",TRUE()),"",INDEX(tsk_PlanFinish,(ROW()-ROW(MSPTasks[[#Headers],[ID]]))))</f>
        <v/>
      </c>
      <c r="Q1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1" s="24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4" t="str">
        <f aca="false">IF(IFERROR(INDEX(tsk_Name,(ROW()-ROW(MSPTasks[[#Headers],[ID]])))="",TRUE()),"",INDEX(tsk_ID,(ROW()-ROW(MSPTasks[[#Headers],[ID]]))))</f>
        <v/>
      </c>
      <c r="B162" s="24" t="str">
        <f aca="false">IF(IFERROR(INDEX(tsk_Name,(ROW()-ROW(MSPTasks[[#Headers],[ID]])))="",TRUE()),"",INDEX(tsk_UID,(ROW()-ROW(MSPTasks[[#Headers],[ID]]))))</f>
        <v/>
      </c>
      <c r="C162" s="24" t="str">
        <f aca="false">IF(IFERROR(INDEX(tsk_Name,(ROW()-ROW(MSPTasks[[#Headers],[ID]])))="",TRUE()),"",INDEX(tsk_Name,(ROW()-ROW(MSPTasks[[#Headers],[ID]]))))</f>
        <v/>
      </c>
      <c r="D162" s="24" t="str">
        <f aca="false">IF(IFERROR(INDEX(tsk_Name,(ROW()-ROW(MSPTasks[[#Headers],[ID]])))="",TRUE()),"",INDEX(tsk_Level,(ROW()-ROW(MSPTasks[[#Headers],[ID]]))))</f>
        <v/>
      </c>
      <c r="E162" s="24" t="str">
        <f aca="false">IF(IFERROR(INDEX(tsk_Name,(ROW()-ROW(MSPTasks[[#Headers],[ID]])))="",TRUE()),"",IF(INDEX(tsk_Mode,(ROW()-ROW(MSPTasks[[#Headers],[ID]])))="Manual","Manually Scheduled","Auto Scheduled"))</f>
        <v/>
      </c>
      <c r="F1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96" t="str">
        <f aca="false">IF(IFERROR(INDEX(tsk_Name,(ROW()-ROW(MSPTasks[[#Headers],[ID]])))="",TRUE()),"",INDEX(tsk_FcStart,(ROW()-ROW(MSPTasks[[#Headers],[ID]]))))</f>
        <v/>
      </c>
      <c r="H162" s="96" t="str">
        <f aca="false">IF(IFERROR(INDEX(tsk_Name,(ROW()-ROW(MSPTasks[[#Headers],[ID]])))="",TRUE()),"",INDEX(tsk_FcFinish,(ROW()-ROW(MSPTasks[[#Headers],[ID]]))))</f>
        <v/>
      </c>
      <c r="I1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96" t="str">
        <f aca="false">IF(IFERROR(INDEX(tsk_Name,(ROW()-ROW(MSPTasks[[#Headers],[ID]])))="",TRUE()),"",INDEX(tsk_PlanStart,(ROW()-ROW(MSPTasks[[#Headers],[ID]]))))</f>
        <v/>
      </c>
      <c r="P162" s="96" t="str">
        <f aca="false">IF(IFERROR(INDEX(tsk_Name,(ROW()-ROW(MSPTasks[[#Headers],[ID]])))="",TRUE()),"",INDEX(tsk_PlanFinish,(ROW()-ROW(MSPTasks[[#Headers],[ID]]))))</f>
        <v/>
      </c>
      <c r="Q1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2" s="24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4" t="str">
        <f aca="false">IF(IFERROR(INDEX(tsk_Name,(ROW()-ROW(MSPTasks[[#Headers],[ID]])))="",TRUE()),"",INDEX(tsk_ID,(ROW()-ROW(MSPTasks[[#Headers],[ID]]))))</f>
        <v/>
      </c>
      <c r="B163" s="24" t="str">
        <f aca="false">IF(IFERROR(INDEX(tsk_Name,(ROW()-ROW(MSPTasks[[#Headers],[ID]])))="",TRUE()),"",INDEX(tsk_UID,(ROW()-ROW(MSPTasks[[#Headers],[ID]]))))</f>
        <v/>
      </c>
      <c r="C163" s="24" t="str">
        <f aca="false">IF(IFERROR(INDEX(tsk_Name,(ROW()-ROW(MSPTasks[[#Headers],[ID]])))="",TRUE()),"",INDEX(tsk_Name,(ROW()-ROW(MSPTasks[[#Headers],[ID]]))))</f>
        <v/>
      </c>
      <c r="D163" s="24" t="str">
        <f aca="false">IF(IFERROR(INDEX(tsk_Name,(ROW()-ROW(MSPTasks[[#Headers],[ID]])))="",TRUE()),"",INDEX(tsk_Level,(ROW()-ROW(MSPTasks[[#Headers],[ID]]))))</f>
        <v/>
      </c>
      <c r="E163" s="24" t="str">
        <f aca="false">IF(IFERROR(INDEX(tsk_Name,(ROW()-ROW(MSPTasks[[#Headers],[ID]])))="",TRUE()),"",IF(INDEX(tsk_Mode,(ROW()-ROW(MSPTasks[[#Headers],[ID]])))="Manual","Manually Scheduled","Auto Scheduled"))</f>
        <v/>
      </c>
      <c r="F1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96" t="str">
        <f aca="false">IF(IFERROR(INDEX(tsk_Name,(ROW()-ROW(MSPTasks[[#Headers],[ID]])))="",TRUE()),"",INDEX(tsk_FcStart,(ROW()-ROW(MSPTasks[[#Headers],[ID]]))))</f>
        <v/>
      </c>
      <c r="H163" s="96" t="str">
        <f aca="false">IF(IFERROR(INDEX(tsk_Name,(ROW()-ROW(MSPTasks[[#Headers],[ID]])))="",TRUE()),"",INDEX(tsk_FcFinish,(ROW()-ROW(MSPTasks[[#Headers],[ID]]))))</f>
        <v/>
      </c>
      <c r="I1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96" t="str">
        <f aca="false">IF(IFERROR(INDEX(tsk_Name,(ROW()-ROW(MSPTasks[[#Headers],[ID]])))="",TRUE()),"",INDEX(tsk_PlanStart,(ROW()-ROW(MSPTasks[[#Headers],[ID]]))))</f>
        <v/>
      </c>
      <c r="P163" s="96" t="str">
        <f aca="false">IF(IFERROR(INDEX(tsk_Name,(ROW()-ROW(MSPTasks[[#Headers],[ID]])))="",TRUE()),"",INDEX(tsk_PlanFinish,(ROW()-ROW(MSPTasks[[#Headers],[ID]]))))</f>
        <v/>
      </c>
      <c r="Q1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3" s="24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4" t="str">
        <f aca="false">IF(IFERROR(INDEX(tsk_Name,(ROW()-ROW(MSPTasks[[#Headers],[ID]])))="",TRUE()),"",INDEX(tsk_ID,(ROW()-ROW(MSPTasks[[#Headers],[ID]]))))</f>
        <v/>
      </c>
      <c r="B164" s="24" t="str">
        <f aca="false">IF(IFERROR(INDEX(tsk_Name,(ROW()-ROW(MSPTasks[[#Headers],[ID]])))="",TRUE()),"",INDEX(tsk_UID,(ROW()-ROW(MSPTasks[[#Headers],[ID]]))))</f>
        <v/>
      </c>
      <c r="C164" s="24" t="str">
        <f aca="false">IF(IFERROR(INDEX(tsk_Name,(ROW()-ROW(MSPTasks[[#Headers],[ID]])))="",TRUE()),"",INDEX(tsk_Name,(ROW()-ROW(MSPTasks[[#Headers],[ID]]))))</f>
        <v/>
      </c>
      <c r="D164" s="24" t="str">
        <f aca="false">IF(IFERROR(INDEX(tsk_Name,(ROW()-ROW(MSPTasks[[#Headers],[ID]])))="",TRUE()),"",INDEX(tsk_Level,(ROW()-ROW(MSPTasks[[#Headers],[ID]]))))</f>
        <v/>
      </c>
      <c r="E164" s="24" t="str">
        <f aca="false">IF(IFERROR(INDEX(tsk_Name,(ROW()-ROW(MSPTasks[[#Headers],[ID]])))="",TRUE()),"",IF(INDEX(tsk_Mode,(ROW()-ROW(MSPTasks[[#Headers],[ID]])))="Manual","Manually Scheduled","Auto Scheduled"))</f>
        <v/>
      </c>
      <c r="F1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96" t="str">
        <f aca="false">IF(IFERROR(INDEX(tsk_Name,(ROW()-ROW(MSPTasks[[#Headers],[ID]])))="",TRUE()),"",INDEX(tsk_FcStart,(ROW()-ROW(MSPTasks[[#Headers],[ID]]))))</f>
        <v/>
      </c>
      <c r="H164" s="96" t="str">
        <f aca="false">IF(IFERROR(INDEX(tsk_Name,(ROW()-ROW(MSPTasks[[#Headers],[ID]])))="",TRUE()),"",INDEX(tsk_FcFinish,(ROW()-ROW(MSPTasks[[#Headers],[ID]]))))</f>
        <v/>
      </c>
      <c r="I1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96" t="str">
        <f aca="false">IF(IFERROR(INDEX(tsk_Name,(ROW()-ROW(MSPTasks[[#Headers],[ID]])))="",TRUE()),"",INDEX(tsk_PlanStart,(ROW()-ROW(MSPTasks[[#Headers],[ID]]))))</f>
        <v/>
      </c>
      <c r="P164" s="96" t="str">
        <f aca="false">IF(IFERROR(INDEX(tsk_Name,(ROW()-ROW(MSPTasks[[#Headers],[ID]])))="",TRUE()),"",INDEX(tsk_PlanFinish,(ROW()-ROW(MSPTasks[[#Headers],[ID]]))))</f>
        <v/>
      </c>
      <c r="Q1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4" s="24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4" t="str">
        <f aca="false">IF(IFERROR(INDEX(tsk_Name,(ROW()-ROW(MSPTasks[[#Headers],[ID]])))="",TRUE()),"",INDEX(tsk_ID,(ROW()-ROW(MSPTasks[[#Headers],[ID]]))))</f>
        <v/>
      </c>
      <c r="B165" s="24" t="str">
        <f aca="false">IF(IFERROR(INDEX(tsk_Name,(ROW()-ROW(MSPTasks[[#Headers],[ID]])))="",TRUE()),"",INDEX(tsk_UID,(ROW()-ROW(MSPTasks[[#Headers],[ID]]))))</f>
        <v/>
      </c>
      <c r="C165" s="24" t="str">
        <f aca="false">IF(IFERROR(INDEX(tsk_Name,(ROW()-ROW(MSPTasks[[#Headers],[ID]])))="",TRUE()),"",INDEX(tsk_Name,(ROW()-ROW(MSPTasks[[#Headers],[ID]]))))</f>
        <v/>
      </c>
      <c r="D165" s="24" t="str">
        <f aca="false">IF(IFERROR(INDEX(tsk_Name,(ROW()-ROW(MSPTasks[[#Headers],[ID]])))="",TRUE()),"",INDEX(tsk_Level,(ROW()-ROW(MSPTasks[[#Headers],[ID]]))))</f>
        <v/>
      </c>
      <c r="E165" s="24" t="str">
        <f aca="false">IF(IFERROR(INDEX(tsk_Name,(ROW()-ROW(MSPTasks[[#Headers],[ID]])))="",TRUE()),"",IF(INDEX(tsk_Mode,(ROW()-ROW(MSPTasks[[#Headers],[ID]])))="Manual","Manually Scheduled","Auto Scheduled"))</f>
        <v/>
      </c>
      <c r="F1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96" t="str">
        <f aca="false">IF(IFERROR(INDEX(tsk_Name,(ROW()-ROW(MSPTasks[[#Headers],[ID]])))="",TRUE()),"",INDEX(tsk_FcStart,(ROW()-ROW(MSPTasks[[#Headers],[ID]]))))</f>
        <v/>
      </c>
      <c r="H165" s="96" t="str">
        <f aca="false">IF(IFERROR(INDEX(tsk_Name,(ROW()-ROW(MSPTasks[[#Headers],[ID]])))="",TRUE()),"",INDEX(tsk_FcFinish,(ROW()-ROW(MSPTasks[[#Headers],[ID]]))))</f>
        <v/>
      </c>
      <c r="I1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96" t="str">
        <f aca="false">IF(IFERROR(INDEX(tsk_Name,(ROW()-ROW(MSPTasks[[#Headers],[ID]])))="",TRUE()),"",INDEX(tsk_PlanStart,(ROW()-ROW(MSPTasks[[#Headers],[ID]]))))</f>
        <v/>
      </c>
      <c r="P165" s="96" t="str">
        <f aca="false">IF(IFERROR(INDEX(tsk_Name,(ROW()-ROW(MSPTasks[[#Headers],[ID]])))="",TRUE()),"",INDEX(tsk_PlanFinish,(ROW()-ROW(MSPTasks[[#Headers],[ID]]))))</f>
        <v/>
      </c>
      <c r="Q1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5" s="24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4" t="str">
        <f aca="false">IF(IFERROR(INDEX(tsk_Name,(ROW()-ROW(MSPTasks[[#Headers],[ID]])))="",TRUE()),"",INDEX(tsk_ID,(ROW()-ROW(MSPTasks[[#Headers],[ID]]))))</f>
        <v/>
      </c>
      <c r="B166" s="24" t="str">
        <f aca="false">IF(IFERROR(INDEX(tsk_Name,(ROW()-ROW(MSPTasks[[#Headers],[ID]])))="",TRUE()),"",INDEX(tsk_UID,(ROW()-ROW(MSPTasks[[#Headers],[ID]]))))</f>
        <v/>
      </c>
      <c r="C166" s="24" t="str">
        <f aca="false">IF(IFERROR(INDEX(tsk_Name,(ROW()-ROW(MSPTasks[[#Headers],[ID]])))="",TRUE()),"",INDEX(tsk_Name,(ROW()-ROW(MSPTasks[[#Headers],[ID]]))))</f>
        <v/>
      </c>
      <c r="D166" s="24" t="str">
        <f aca="false">IF(IFERROR(INDEX(tsk_Name,(ROW()-ROW(MSPTasks[[#Headers],[ID]])))="",TRUE()),"",INDEX(tsk_Level,(ROW()-ROW(MSPTasks[[#Headers],[ID]]))))</f>
        <v/>
      </c>
      <c r="E166" s="24" t="str">
        <f aca="false">IF(IFERROR(INDEX(tsk_Name,(ROW()-ROW(MSPTasks[[#Headers],[ID]])))="",TRUE()),"",IF(INDEX(tsk_Mode,(ROW()-ROW(MSPTasks[[#Headers],[ID]])))="Manual","Manually Scheduled","Auto Scheduled"))</f>
        <v/>
      </c>
      <c r="F1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96" t="str">
        <f aca="false">IF(IFERROR(INDEX(tsk_Name,(ROW()-ROW(MSPTasks[[#Headers],[ID]])))="",TRUE()),"",INDEX(tsk_FcStart,(ROW()-ROW(MSPTasks[[#Headers],[ID]]))))</f>
        <v/>
      </c>
      <c r="H166" s="96" t="str">
        <f aca="false">IF(IFERROR(INDEX(tsk_Name,(ROW()-ROW(MSPTasks[[#Headers],[ID]])))="",TRUE()),"",INDEX(tsk_FcFinish,(ROW()-ROW(MSPTasks[[#Headers],[ID]]))))</f>
        <v/>
      </c>
      <c r="I1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96" t="str">
        <f aca="false">IF(IFERROR(INDEX(tsk_Name,(ROW()-ROW(MSPTasks[[#Headers],[ID]])))="",TRUE()),"",INDEX(tsk_PlanStart,(ROW()-ROW(MSPTasks[[#Headers],[ID]]))))</f>
        <v/>
      </c>
      <c r="P166" s="96" t="str">
        <f aca="false">IF(IFERROR(INDEX(tsk_Name,(ROW()-ROW(MSPTasks[[#Headers],[ID]])))="",TRUE()),"",INDEX(tsk_PlanFinish,(ROW()-ROW(MSPTasks[[#Headers],[ID]]))))</f>
        <v/>
      </c>
      <c r="Q1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6" s="24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4" t="str">
        <f aca="false">IF(IFERROR(INDEX(tsk_Name,(ROW()-ROW(MSPTasks[[#Headers],[ID]])))="",TRUE()),"",INDEX(tsk_ID,(ROW()-ROW(MSPTasks[[#Headers],[ID]]))))</f>
        <v/>
      </c>
      <c r="B167" s="24" t="str">
        <f aca="false">IF(IFERROR(INDEX(tsk_Name,(ROW()-ROW(MSPTasks[[#Headers],[ID]])))="",TRUE()),"",INDEX(tsk_UID,(ROW()-ROW(MSPTasks[[#Headers],[ID]]))))</f>
        <v/>
      </c>
      <c r="C167" s="24" t="str">
        <f aca="false">IF(IFERROR(INDEX(tsk_Name,(ROW()-ROW(MSPTasks[[#Headers],[ID]])))="",TRUE()),"",INDEX(tsk_Name,(ROW()-ROW(MSPTasks[[#Headers],[ID]]))))</f>
        <v/>
      </c>
      <c r="D167" s="24" t="str">
        <f aca="false">IF(IFERROR(INDEX(tsk_Name,(ROW()-ROW(MSPTasks[[#Headers],[ID]])))="",TRUE()),"",INDEX(tsk_Level,(ROW()-ROW(MSPTasks[[#Headers],[ID]]))))</f>
        <v/>
      </c>
      <c r="E167" s="24" t="str">
        <f aca="false">IF(IFERROR(INDEX(tsk_Name,(ROW()-ROW(MSPTasks[[#Headers],[ID]])))="",TRUE()),"",IF(INDEX(tsk_Mode,(ROW()-ROW(MSPTasks[[#Headers],[ID]])))="Manual","Manually Scheduled","Auto Scheduled"))</f>
        <v/>
      </c>
      <c r="F1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96" t="str">
        <f aca="false">IF(IFERROR(INDEX(tsk_Name,(ROW()-ROW(MSPTasks[[#Headers],[ID]])))="",TRUE()),"",INDEX(tsk_FcStart,(ROW()-ROW(MSPTasks[[#Headers],[ID]]))))</f>
        <v/>
      </c>
      <c r="H167" s="96" t="str">
        <f aca="false">IF(IFERROR(INDEX(tsk_Name,(ROW()-ROW(MSPTasks[[#Headers],[ID]])))="",TRUE()),"",INDEX(tsk_FcFinish,(ROW()-ROW(MSPTasks[[#Headers],[ID]]))))</f>
        <v/>
      </c>
      <c r="I1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96" t="str">
        <f aca="false">IF(IFERROR(INDEX(tsk_Name,(ROW()-ROW(MSPTasks[[#Headers],[ID]])))="",TRUE()),"",INDEX(tsk_PlanStart,(ROW()-ROW(MSPTasks[[#Headers],[ID]]))))</f>
        <v/>
      </c>
      <c r="P167" s="96" t="str">
        <f aca="false">IF(IFERROR(INDEX(tsk_Name,(ROW()-ROW(MSPTasks[[#Headers],[ID]])))="",TRUE()),"",INDEX(tsk_PlanFinish,(ROW()-ROW(MSPTasks[[#Headers],[ID]]))))</f>
        <v/>
      </c>
      <c r="Q1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7" s="24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4" t="str">
        <f aca="false">IF(IFERROR(INDEX(tsk_Name,(ROW()-ROW(MSPTasks[[#Headers],[ID]])))="",TRUE()),"",INDEX(tsk_ID,(ROW()-ROW(MSPTasks[[#Headers],[ID]]))))</f>
        <v/>
      </c>
      <c r="B168" s="24" t="str">
        <f aca="false">IF(IFERROR(INDEX(tsk_Name,(ROW()-ROW(MSPTasks[[#Headers],[ID]])))="",TRUE()),"",INDEX(tsk_UID,(ROW()-ROW(MSPTasks[[#Headers],[ID]]))))</f>
        <v/>
      </c>
      <c r="C168" s="24" t="str">
        <f aca="false">IF(IFERROR(INDEX(tsk_Name,(ROW()-ROW(MSPTasks[[#Headers],[ID]])))="",TRUE()),"",INDEX(tsk_Name,(ROW()-ROW(MSPTasks[[#Headers],[ID]]))))</f>
        <v/>
      </c>
      <c r="D168" s="24" t="str">
        <f aca="false">IF(IFERROR(INDEX(tsk_Name,(ROW()-ROW(MSPTasks[[#Headers],[ID]])))="",TRUE()),"",INDEX(tsk_Level,(ROW()-ROW(MSPTasks[[#Headers],[ID]]))))</f>
        <v/>
      </c>
      <c r="E168" s="24" t="str">
        <f aca="false">IF(IFERROR(INDEX(tsk_Name,(ROW()-ROW(MSPTasks[[#Headers],[ID]])))="",TRUE()),"",IF(INDEX(tsk_Mode,(ROW()-ROW(MSPTasks[[#Headers],[ID]])))="Manual","Manually Scheduled","Auto Scheduled"))</f>
        <v/>
      </c>
      <c r="F1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96" t="str">
        <f aca="false">IF(IFERROR(INDEX(tsk_Name,(ROW()-ROW(MSPTasks[[#Headers],[ID]])))="",TRUE()),"",INDEX(tsk_FcStart,(ROW()-ROW(MSPTasks[[#Headers],[ID]]))))</f>
        <v/>
      </c>
      <c r="H168" s="96" t="str">
        <f aca="false">IF(IFERROR(INDEX(tsk_Name,(ROW()-ROW(MSPTasks[[#Headers],[ID]])))="",TRUE()),"",INDEX(tsk_FcFinish,(ROW()-ROW(MSPTasks[[#Headers],[ID]]))))</f>
        <v/>
      </c>
      <c r="I1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96" t="str">
        <f aca="false">IF(IFERROR(INDEX(tsk_Name,(ROW()-ROW(MSPTasks[[#Headers],[ID]])))="",TRUE()),"",INDEX(tsk_PlanStart,(ROW()-ROW(MSPTasks[[#Headers],[ID]]))))</f>
        <v/>
      </c>
      <c r="P168" s="96" t="str">
        <f aca="false">IF(IFERROR(INDEX(tsk_Name,(ROW()-ROW(MSPTasks[[#Headers],[ID]])))="",TRUE()),"",INDEX(tsk_PlanFinish,(ROW()-ROW(MSPTasks[[#Headers],[ID]]))))</f>
        <v/>
      </c>
      <c r="Q1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8" s="24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4" t="str">
        <f aca="false">IF(IFERROR(INDEX(tsk_Name,(ROW()-ROW(MSPTasks[[#Headers],[ID]])))="",TRUE()),"",INDEX(tsk_ID,(ROW()-ROW(MSPTasks[[#Headers],[ID]]))))</f>
        <v/>
      </c>
      <c r="B169" s="24" t="str">
        <f aca="false">IF(IFERROR(INDEX(tsk_Name,(ROW()-ROW(MSPTasks[[#Headers],[ID]])))="",TRUE()),"",INDEX(tsk_UID,(ROW()-ROW(MSPTasks[[#Headers],[ID]]))))</f>
        <v/>
      </c>
      <c r="C169" s="24" t="str">
        <f aca="false">IF(IFERROR(INDEX(tsk_Name,(ROW()-ROW(MSPTasks[[#Headers],[ID]])))="",TRUE()),"",INDEX(tsk_Name,(ROW()-ROW(MSPTasks[[#Headers],[ID]]))))</f>
        <v/>
      </c>
      <c r="D169" s="24" t="str">
        <f aca="false">IF(IFERROR(INDEX(tsk_Name,(ROW()-ROW(MSPTasks[[#Headers],[ID]])))="",TRUE()),"",INDEX(tsk_Level,(ROW()-ROW(MSPTasks[[#Headers],[ID]]))))</f>
        <v/>
      </c>
      <c r="E169" s="24" t="str">
        <f aca="false">IF(IFERROR(INDEX(tsk_Name,(ROW()-ROW(MSPTasks[[#Headers],[ID]])))="",TRUE()),"",IF(INDEX(tsk_Mode,(ROW()-ROW(MSPTasks[[#Headers],[ID]])))="Manual","Manually Scheduled","Auto Scheduled"))</f>
        <v/>
      </c>
      <c r="F1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96" t="str">
        <f aca="false">IF(IFERROR(INDEX(tsk_Name,(ROW()-ROW(MSPTasks[[#Headers],[ID]])))="",TRUE()),"",INDEX(tsk_FcStart,(ROW()-ROW(MSPTasks[[#Headers],[ID]]))))</f>
        <v/>
      </c>
      <c r="H169" s="96" t="str">
        <f aca="false">IF(IFERROR(INDEX(tsk_Name,(ROW()-ROW(MSPTasks[[#Headers],[ID]])))="",TRUE()),"",INDEX(tsk_FcFinish,(ROW()-ROW(MSPTasks[[#Headers],[ID]]))))</f>
        <v/>
      </c>
      <c r="I1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96" t="str">
        <f aca="false">IF(IFERROR(INDEX(tsk_Name,(ROW()-ROW(MSPTasks[[#Headers],[ID]])))="",TRUE()),"",INDEX(tsk_PlanStart,(ROW()-ROW(MSPTasks[[#Headers],[ID]]))))</f>
        <v/>
      </c>
      <c r="P169" s="96" t="str">
        <f aca="false">IF(IFERROR(INDEX(tsk_Name,(ROW()-ROW(MSPTasks[[#Headers],[ID]])))="",TRUE()),"",INDEX(tsk_PlanFinish,(ROW()-ROW(MSPTasks[[#Headers],[ID]]))))</f>
        <v/>
      </c>
      <c r="Q1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9" s="24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4" t="str">
        <f aca="false">IF(IFERROR(INDEX(tsk_Name,(ROW()-ROW(MSPTasks[[#Headers],[ID]])))="",TRUE()),"",INDEX(tsk_ID,(ROW()-ROW(MSPTasks[[#Headers],[ID]]))))</f>
        <v/>
      </c>
      <c r="B170" s="24" t="str">
        <f aca="false">IF(IFERROR(INDEX(tsk_Name,(ROW()-ROW(MSPTasks[[#Headers],[ID]])))="",TRUE()),"",INDEX(tsk_UID,(ROW()-ROW(MSPTasks[[#Headers],[ID]]))))</f>
        <v/>
      </c>
      <c r="C170" s="24" t="str">
        <f aca="false">IF(IFERROR(INDEX(tsk_Name,(ROW()-ROW(MSPTasks[[#Headers],[ID]])))="",TRUE()),"",INDEX(tsk_Name,(ROW()-ROW(MSPTasks[[#Headers],[ID]]))))</f>
        <v/>
      </c>
      <c r="D170" s="24" t="str">
        <f aca="false">IF(IFERROR(INDEX(tsk_Name,(ROW()-ROW(MSPTasks[[#Headers],[ID]])))="",TRUE()),"",INDEX(tsk_Level,(ROW()-ROW(MSPTasks[[#Headers],[ID]]))))</f>
        <v/>
      </c>
      <c r="E170" s="24" t="str">
        <f aca="false">IF(IFERROR(INDEX(tsk_Name,(ROW()-ROW(MSPTasks[[#Headers],[ID]])))="",TRUE()),"",IF(INDEX(tsk_Mode,(ROW()-ROW(MSPTasks[[#Headers],[ID]])))="Manual","Manually Scheduled","Auto Scheduled"))</f>
        <v/>
      </c>
      <c r="F1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96" t="str">
        <f aca="false">IF(IFERROR(INDEX(tsk_Name,(ROW()-ROW(MSPTasks[[#Headers],[ID]])))="",TRUE()),"",INDEX(tsk_FcStart,(ROW()-ROW(MSPTasks[[#Headers],[ID]]))))</f>
        <v/>
      </c>
      <c r="H170" s="96" t="str">
        <f aca="false">IF(IFERROR(INDEX(tsk_Name,(ROW()-ROW(MSPTasks[[#Headers],[ID]])))="",TRUE()),"",INDEX(tsk_FcFinish,(ROW()-ROW(MSPTasks[[#Headers],[ID]]))))</f>
        <v/>
      </c>
      <c r="I1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96" t="str">
        <f aca="false">IF(IFERROR(INDEX(tsk_Name,(ROW()-ROW(MSPTasks[[#Headers],[ID]])))="",TRUE()),"",INDEX(tsk_PlanStart,(ROW()-ROW(MSPTasks[[#Headers],[ID]]))))</f>
        <v/>
      </c>
      <c r="P170" s="96" t="str">
        <f aca="false">IF(IFERROR(INDEX(tsk_Name,(ROW()-ROW(MSPTasks[[#Headers],[ID]])))="",TRUE()),"",INDEX(tsk_PlanFinish,(ROW()-ROW(MSPTasks[[#Headers],[ID]]))))</f>
        <v/>
      </c>
      <c r="Q1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0" s="24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4" t="str">
        <f aca="false">IF(IFERROR(INDEX(tsk_Name,(ROW()-ROW(MSPTasks[[#Headers],[ID]])))="",TRUE()),"",INDEX(tsk_ID,(ROW()-ROW(MSPTasks[[#Headers],[ID]]))))</f>
        <v/>
      </c>
      <c r="B171" s="24" t="str">
        <f aca="false">IF(IFERROR(INDEX(tsk_Name,(ROW()-ROW(MSPTasks[[#Headers],[ID]])))="",TRUE()),"",INDEX(tsk_UID,(ROW()-ROW(MSPTasks[[#Headers],[ID]]))))</f>
        <v/>
      </c>
      <c r="C171" s="24" t="str">
        <f aca="false">IF(IFERROR(INDEX(tsk_Name,(ROW()-ROW(MSPTasks[[#Headers],[ID]])))="",TRUE()),"",INDEX(tsk_Name,(ROW()-ROW(MSPTasks[[#Headers],[ID]]))))</f>
        <v/>
      </c>
      <c r="D171" s="24" t="str">
        <f aca="false">IF(IFERROR(INDEX(tsk_Name,(ROW()-ROW(MSPTasks[[#Headers],[ID]])))="",TRUE()),"",INDEX(tsk_Level,(ROW()-ROW(MSPTasks[[#Headers],[ID]]))))</f>
        <v/>
      </c>
      <c r="E171" s="24" t="str">
        <f aca="false">IF(IFERROR(INDEX(tsk_Name,(ROW()-ROW(MSPTasks[[#Headers],[ID]])))="",TRUE()),"",IF(INDEX(tsk_Mode,(ROW()-ROW(MSPTasks[[#Headers],[ID]])))="Manual","Manually Scheduled","Auto Scheduled"))</f>
        <v/>
      </c>
      <c r="F1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96" t="str">
        <f aca="false">IF(IFERROR(INDEX(tsk_Name,(ROW()-ROW(MSPTasks[[#Headers],[ID]])))="",TRUE()),"",INDEX(tsk_FcStart,(ROW()-ROW(MSPTasks[[#Headers],[ID]]))))</f>
        <v/>
      </c>
      <c r="H171" s="96" t="str">
        <f aca="false">IF(IFERROR(INDEX(tsk_Name,(ROW()-ROW(MSPTasks[[#Headers],[ID]])))="",TRUE()),"",INDEX(tsk_FcFinish,(ROW()-ROW(MSPTasks[[#Headers],[ID]]))))</f>
        <v/>
      </c>
      <c r="I1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96" t="str">
        <f aca="false">IF(IFERROR(INDEX(tsk_Name,(ROW()-ROW(MSPTasks[[#Headers],[ID]])))="",TRUE()),"",INDEX(tsk_PlanStart,(ROW()-ROW(MSPTasks[[#Headers],[ID]]))))</f>
        <v/>
      </c>
      <c r="P171" s="96" t="str">
        <f aca="false">IF(IFERROR(INDEX(tsk_Name,(ROW()-ROW(MSPTasks[[#Headers],[ID]])))="",TRUE()),"",INDEX(tsk_PlanFinish,(ROW()-ROW(MSPTasks[[#Headers],[ID]]))))</f>
        <v/>
      </c>
      <c r="Q1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1" s="24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4" t="str">
        <f aca="false">IF(IFERROR(INDEX(tsk_Name,(ROW()-ROW(MSPTasks[[#Headers],[ID]])))="",TRUE()),"",INDEX(tsk_ID,(ROW()-ROW(MSPTasks[[#Headers],[ID]]))))</f>
        <v/>
      </c>
      <c r="B172" s="24" t="str">
        <f aca="false">IF(IFERROR(INDEX(tsk_Name,(ROW()-ROW(MSPTasks[[#Headers],[ID]])))="",TRUE()),"",INDEX(tsk_UID,(ROW()-ROW(MSPTasks[[#Headers],[ID]]))))</f>
        <v/>
      </c>
      <c r="C172" s="24" t="str">
        <f aca="false">IF(IFERROR(INDEX(tsk_Name,(ROW()-ROW(MSPTasks[[#Headers],[ID]])))="",TRUE()),"",INDEX(tsk_Name,(ROW()-ROW(MSPTasks[[#Headers],[ID]]))))</f>
        <v/>
      </c>
      <c r="D172" s="24" t="str">
        <f aca="false">IF(IFERROR(INDEX(tsk_Name,(ROW()-ROW(MSPTasks[[#Headers],[ID]])))="",TRUE()),"",INDEX(tsk_Level,(ROW()-ROW(MSPTasks[[#Headers],[ID]]))))</f>
        <v/>
      </c>
      <c r="E172" s="24" t="str">
        <f aca="false">IF(IFERROR(INDEX(tsk_Name,(ROW()-ROW(MSPTasks[[#Headers],[ID]])))="",TRUE()),"",IF(INDEX(tsk_Mode,(ROW()-ROW(MSPTasks[[#Headers],[ID]])))="Manual","Manually Scheduled","Auto Scheduled"))</f>
        <v/>
      </c>
      <c r="F1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96" t="str">
        <f aca="false">IF(IFERROR(INDEX(tsk_Name,(ROW()-ROW(MSPTasks[[#Headers],[ID]])))="",TRUE()),"",INDEX(tsk_FcStart,(ROW()-ROW(MSPTasks[[#Headers],[ID]]))))</f>
        <v/>
      </c>
      <c r="H172" s="96" t="str">
        <f aca="false">IF(IFERROR(INDEX(tsk_Name,(ROW()-ROW(MSPTasks[[#Headers],[ID]])))="",TRUE()),"",INDEX(tsk_FcFinish,(ROW()-ROW(MSPTasks[[#Headers],[ID]]))))</f>
        <v/>
      </c>
      <c r="I1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96" t="str">
        <f aca="false">IF(IFERROR(INDEX(tsk_Name,(ROW()-ROW(MSPTasks[[#Headers],[ID]])))="",TRUE()),"",INDEX(tsk_PlanStart,(ROW()-ROW(MSPTasks[[#Headers],[ID]]))))</f>
        <v/>
      </c>
      <c r="P172" s="96" t="str">
        <f aca="false">IF(IFERROR(INDEX(tsk_Name,(ROW()-ROW(MSPTasks[[#Headers],[ID]])))="",TRUE()),"",INDEX(tsk_PlanFinish,(ROW()-ROW(MSPTasks[[#Headers],[ID]]))))</f>
        <v/>
      </c>
      <c r="Q1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2" s="24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4" t="str">
        <f aca="false">IF(IFERROR(INDEX(tsk_Name,(ROW()-ROW(MSPTasks[[#Headers],[ID]])))="",TRUE()),"",INDEX(tsk_ID,(ROW()-ROW(MSPTasks[[#Headers],[ID]]))))</f>
        <v/>
      </c>
      <c r="B173" s="24" t="str">
        <f aca="false">IF(IFERROR(INDEX(tsk_Name,(ROW()-ROW(MSPTasks[[#Headers],[ID]])))="",TRUE()),"",INDEX(tsk_UID,(ROW()-ROW(MSPTasks[[#Headers],[ID]]))))</f>
        <v/>
      </c>
      <c r="C173" s="24" t="str">
        <f aca="false">IF(IFERROR(INDEX(tsk_Name,(ROW()-ROW(MSPTasks[[#Headers],[ID]])))="",TRUE()),"",INDEX(tsk_Name,(ROW()-ROW(MSPTasks[[#Headers],[ID]]))))</f>
        <v/>
      </c>
      <c r="D173" s="24" t="str">
        <f aca="false">IF(IFERROR(INDEX(tsk_Name,(ROW()-ROW(MSPTasks[[#Headers],[ID]])))="",TRUE()),"",INDEX(tsk_Level,(ROW()-ROW(MSPTasks[[#Headers],[ID]]))))</f>
        <v/>
      </c>
      <c r="E173" s="24" t="str">
        <f aca="false">IF(IFERROR(INDEX(tsk_Name,(ROW()-ROW(MSPTasks[[#Headers],[ID]])))="",TRUE()),"",IF(INDEX(tsk_Mode,(ROW()-ROW(MSPTasks[[#Headers],[ID]])))="Manual","Manually Scheduled","Auto Scheduled"))</f>
        <v/>
      </c>
      <c r="F1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96" t="str">
        <f aca="false">IF(IFERROR(INDEX(tsk_Name,(ROW()-ROW(MSPTasks[[#Headers],[ID]])))="",TRUE()),"",INDEX(tsk_FcStart,(ROW()-ROW(MSPTasks[[#Headers],[ID]]))))</f>
        <v/>
      </c>
      <c r="H173" s="96" t="str">
        <f aca="false">IF(IFERROR(INDEX(tsk_Name,(ROW()-ROW(MSPTasks[[#Headers],[ID]])))="",TRUE()),"",INDEX(tsk_FcFinish,(ROW()-ROW(MSPTasks[[#Headers],[ID]]))))</f>
        <v/>
      </c>
      <c r="I1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96" t="str">
        <f aca="false">IF(IFERROR(INDEX(tsk_Name,(ROW()-ROW(MSPTasks[[#Headers],[ID]])))="",TRUE()),"",INDEX(tsk_PlanStart,(ROW()-ROW(MSPTasks[[#Headers],[ID]]))))</f>
        <v/>
      </c>
      <c r="P173" s="96" t="str">
        <f aca="false">IF(IFERROR(INDEX(tsk_Name,(ROW()-ROW(MSPTasks[[#Headers],[ID]])))="",TRUE()),"",INDEX(tsk_PlanFinish,(ROW()-ROW(MSPTasks[[#Headers],[ID]]))))</f>
        <v/>
      </c>
      <c r="Q1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3" s="24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4" t="str">
        <f aca="false">IF(IFERROR(INDEX(tsk_Name,(ROW()-ROW(MSPTasks[[#Headers],[ID]])))="",TRUE()),"",INDEX(tsk_ID,(ROW()-ROW(MSPTasks[[#Headers],[ID]]))))</f>
        <v/>
      </c>
      <c r="B174" s="24" t="str">
        <f aca="false">IF(IFERROR(INDEX(tsk_Name,(ROW()-ROW(MSPTasks[[#Headers],[ID]])))="",TRUE()),"",INDEX(tsk_UID,(ROW()-ROW(MSPTasks[[#Headers],[ID]]))))</f>
        <v/>
      </c>
      <c r="C174" s="24" t="str">
        <f aca="false">IF(IFERROR(INDEX(tsk_Name,(ROW()-ROW(MSPTasks[[#Headers],[ID]])))="",TRUE()),"",INDEX(tsk_Name,(ROW()-ROW(MSPTasks[[#Headers],[ID]]))))</f>
        <v/>
      </c>
      <c r="D174" s="24" t="str">
        <f aca="false">IF(IFERROR(INDEX(tsk_Name,(ROW()-ROW(MSPTasks[[#Headers],[ID]])))="",TRUE()),"",INDEX(tsk_Level,(ROW()-ROW(MSPTasks[[#Headers],[ID]]))))</f>
        <v/>
      </c>
      <c r="E174" s="24" t="str">
        <f aca="false">IF(IFERROR(INDEX(tsk_Name,(ROW()-ROW(MSPTasks[[#Headers],[ID]])))="",TRUE()),"",IF(INDEX(tsk_Mode,(ROW()-ROW(MSPTasks[[#Headers],[ID]])))="Manual","Manually Scheduled","Auto Scheduled"))</f>
        <v/>
      </c>
      <c r="F1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96" t="str">
        <f aca="false">IF(IFERROR(INDEX(tsk_Name,(ROW()-ROW(MSPTasks[[#Headers],[ID]])))="",TRUE()),"",INDEX(tsk_FcStart,(ROW()-ROW(MSPTasks[[#Headers],[ID]]))))</f>
        <v/>
      </c>
      <c r="H174" s="96" t="str">
        <f aca="false">IF(IFERROR(INDEX(tsk_Name,(ROW()-ROW(MSPTasks[[#Headers],[ID]])))="",TRUE()),"",INDEX(tsk_FcFinish,(ROW()-ROW(MSPTasks[[#Headers],[ID]]))))</f>
        <v/>
      </c>
      <c r="I1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96" t="str">
        <f aca="false">IF(IFERROR(INDEX(tsk_Name,(ROW()-ROW(MSPTasks[[#Headers],[ID]])))="",TRUE()),"",INDEX(tsk_PlanStart,(ROW()-ROW(MSPTasks[[#Headers],[ID]]))))</f>
        <v/>
      </c>
      <c r="P174" s="96" t="str">
        <f aca="false">IF(IFERROR(INDEX(tsk_Name,(ROW()-ROW(MSPTasks[[#Headers],[ID]])))="",TRUE()),"",INDEX(tsk_PlanFinish,(ROW()-ROW(MSPTasks[[#Headers],[ID]]))))</f>
        <v/>
      </c>
      <c r="Q1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4" s="24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4" t="str">
        <f aca="false">IF(IFERROR(INDEX(tsk_Name,(ROW()-ROW(MSPTasks[[#Headers],[ID]])))="",TRUE()),"",INDEX(tsk_ID,(ROW()-ROW(MSPTasks[[#Headers],[ID]]))))</f>
        <v/>
      </c>
      <c r="B175" s="24" t="str">
        <f aca="false">IF(IFERROR(INDEX(tsk_Name,(ROW()-ROW(MSPTasks[[#Headers],[ID]])))="",TRUE()),"",INDEX(tsk_UID,(ROW()-ROW(MSPTasks[[#Headers],[ID]]))))</f>
        <v/>
      </c>
      <c r="C175" s="24" t="str">
        <f aca="false">IF(IFERROR(INDEX(tsk_Name,(ROW()-ROW(MSPTasks[[#Headers],[ID]])))="",TRUE()),"",INDEX(tsk_Name,(ROW()-ROW(MSPTasks[[#Headers],[ID]]))))</f>
        <v/>
      </c>
      <c r="D175" s="24" t="str">
        <f aca="false">IF(IFERROR(INDEX(tsk_Name,(ROW()-ROW(MSPTasks[[#Headers],[ID]])))="",TRUE()),"",INDEX(tsk_Level,(ROW()-ROW(MSPTasks[[#Headers],[ID]]))))</f>
        <v/>
      </c>
      <c r="E175" s="24" t="str">
        <f aca="false">IF(IFERROR(INDEX(tsk_Name,(ROW()-ROW(MSPTasks[[#Headers],[ID]])))="",TRUE()),"",IF(INDEX(tsk_Mode,(ROW()-ROW(MSPTasks[[#Headers],[ID]])))="Manual","Manually Scheduled","Auto Scheduled"))</f>
        <v/>
      </c>
      <c r="F1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96" t="str">
        <f aca="false">IF(IFERROR(INDEX(tsk_Name,(ROW()-ROW(MSPTasks[[#Headers],[ID]])))="",TRUE()),"",INDEX(tsk_FcStart,(ROW()-ROW(MSPTasks[[#Headers],[ID]]))))</f>
        <v/>
      </c>
      <c r="H175" s="96" t="str">
        <f aca="false">IF(IFERROR(INDEX(tsk_Name,(ROW()-ROW(MSPTasks[[#Headers],[ID]])))="",TRUE()),"",INDEX(tsk_FcFinish,(ROW()-ROW(MSPTasks[[#Headers],[ID]]))))</f>
        <v/>
      </c>
      <c r="I1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96" t="str">
        <f aca="false">IF(IFERROR(INDEX(tsk_Name,(ROW()-ROW(MSPTasks[[#Headers],[ID]])))="",TRUE()),"",INDEX(tsk_PlanStart,(ROW()-ROW(MSPTasks[[#Headers],[ID]]))))</f>
        <v/>
      </c>
      <c r="P175" s="96" t="str">
        <f aca="false">IF(IFERROR(INDEX(tsk_Name,(ROW()-ROW(MSPTasks[[#Headers],[ID]])))="",TRUE()),"",INDEX(tsk_PlanFinish,(ROW()-ROW(MSPTasks[[#Headers],[ID]]))))</f>
        <v/>
      </c>
      <c r="Q1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5" s="24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4" t="str">
        <f aca="false">IF(IFERROR(INDEX(tsk_Name,(ROW()-ROW(MSPTasks[[#Headers],[ID]])))="",TRUE()),"",INDEX(tsk_ID,(ROW()-ROW(MSPTasks[[#Headers],[ID]]))))</f>
        <v/>
      </c>
      <c r="B176" s="24" t="str">
        <f aca="false">IF(IFERROR(INDEX(tsk_Name,(ROW()-ROW(MSPTasks[[#Headers],[ID]])))="",TRUE()),"",INDEX(tsk_UID,(ROW()-ROW(MSPTasks[[#Headers],[ID]]))))</f>
        <v/>
      </c>
      <c r="C176" s="24" t="str">
        <f aca="false">IF(IFERROR(INDEX(tsk_Name,(ROW()-ROW(MSPTasks[[#Headers],[ID]])))="",TRUE()),"",INDEX(tsk_Name,(ROW()-ROW(MSPTasks[[#Headers],[ID]]))))</f>
        <v/>
      </c>
      <c r="D176" s="24" t="str">
        <f aca="false">IF(IFERROR(INDEX(tsk_Name,(ROW()-ROW(MSPTasks[[#Headers],[ID]])))="",TRUE()),"",INDEX(tsk_Level,(ROW()-ROW(MSPTasks[[#Headers],[ID]]))))</f>
        <v/>
      </c>
      <c r="E176" s="24" t="str">
        <f aca="false">IF(IFERROR(INDEX(tsk_Name,(ROW()-ROW(MSPTasks[[#Headers],[ID]])))="",TRUE()),"",IF(INDEX(tsk_Mode,(ROW()-ROW(MSPTasks[[#Headers],[ID]])))="Manual","Manually Scheduled","Auto Scheduled"))</f>
        <v/>
      </c>
      <c r="F1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96" t="str">
        <f aca="false">IF(IFERROR(INDEX(tsk_Name,(ROW()-ROW(MSPTasks[[#Headers],[ID]])))="",TRUE()),"",INDEX(tsk_FcStart,(ROW()-ROW(MSPTasks[[#Headers],[ID]]))))</f>
        <v/>
      </c>
      <c r="H176" s="96" t="str">
        <f aca="false">IF(IFERROR(INDEX(tsk_Name,(ROW()-ROW(MSPTasks[[#Headers],[ID]])))="",TRUE()),"",INDEX(tsk_FcFinish,(ROW()-ROW(MSPTasks[[#Headers],[ID]]))))</f>
        <v/>
      </c>
      <c r="I1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96" t="str">
        <f aca="false">IF(IFERROR(INDEX(tsk_Name,(ROW()-ROW(MSPTasks[[#Headers],[ID]])))="",TRUE()),"",INDEX(tsk_PlanStart,(ROW()-ROW(MSPTasks[[#Headers],[ID]]))))</f>
        <v/>
      </c>
      <c r="P176" s="96" t="str">
        <f aca="false">IF(IFERROR(INDEX(tsk_Name,(ROW()-ROW(MSPTasks[[#Headers],[ID]])))="",TRUE()),"",INDEX(tsk_PlanFinish,(ROW()-ROW(MSPTasks[[#Headers],[ID]]))))</f>
        <v/>
      </c>
      <c r="Q1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6" s="24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4" t="str">
        <f aca="false">IF(IFERROR(INDEX(tsk_Name,(ROW()-ROW(MSPTasks[[#Headers],[ID]])))="",TRUE()),"",INDEX(tsk_ID,(ROW()-ROW(MSPTasks[[#Headers],[ID]]))))</f>
        <v/>
      </c>
      <c r="B177" s="24" t="str">
        <f aca="false">IF(IFERROR(INDEX(tsk_Name,(ROW()-ROW(MSPTasks[[#Headers],[ID]])))="",TRUE()),"",INDEX(tsk_UID,(ROW()-ROW(MSPTasks[[#Headers],[ID]]))))</f>
        <v/>
      </c>
      <c r="C177" s="24" t="str">
        <f aca="false">IF(IFERROR(INDEX(tsk_Name,(ROW()-ROW(MSPTasks[[#Headers],[ID]])))="",TRUE()),"",INDEX(tsk_Name,(ROW()-ROW(MSPTasks[[#Headers],[ID]]))))</f>
        <v/>
      </c>
      <c r="D177" s="24" t="str">
        <f aca="false">IF(IFERROR(INDEX(tsk_Name,(ROW()-ROW(MSPTasks[[#Headers],[ID]])))="",TRUE()),"",INDEX(tsk_Level,(ROW()-ROW(MSPTasks[[#Headers],[ID]]))))</f>
        <v/>
      </c>
      <c r="E177" s="24" t="str">
        <f aca="false">IF(IFERROR(INDEX(tsk_Name,(ROW()-ROW(MSPTasks[[#Headers],[ID]])))="",TRUE()),"",IF(INDEX(tsk_Mode,(ROW()-ROW(MSPTasks[[#Headers],[ID]])))="Manual","Manually Scheduled","Auto Scheduled"))</f>
        <v/>
      </c>
      <c r="F1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96" t="str">
        <f aca="false">IF(IFERROR(INDEX(tsk_Name,(ROW()-ROW(MSPTasks[[#Headers],[ID]])))="",TRUE()),"",INDEX(tsk_FcStart,(ROW()-ROW(MSPTasks[[#Headers],[ID]]))))</f>
        <v/>
      </c>
      <c r="H177" s="96" t="str">
        <f aca="false">IF(IFERROR(INDEX(tsk_Name,(ROW()-ROW(MSPTasks[[#Headers],[ID]])))="",TRUE()),"",INDEX(tsk_FcFinish,(ROW()-ROW(MSPTasks[[#Headers],[ID]]))))</f>
        <v/>
      </c>
      <c r="I1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96" t="str">
        <f aca="false">IF(IFERROR(INDEX(tsk_Name,(ROW()-ROW(MSPTasks[[#Headers],[ID]])))="",TRUE()),"",INDEX(tsk_PlanStart,(ROW()-ROW(MSPTasks[[#Headers],[ID]]))))</f>
        <v/>
      </c>
      <c r="P177" s="96" t="str">
        <f aca="false">IF(IFERROR(INDEX(tsk_Name,(ROW()-ROW(MSPTasks[[#Headers],[ID]])))="",TRUE()),"",INDEX(tsk_PlanFinish,(ROW()-ROW(MSPTasks[[#Headers],[ID]]))))</f>
        <v/>
      </c>
      <c r="Q1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7" s="24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4" t="str">
        <f aca="false">IF(IFERROR(INDEX(tsk_Name,(ROW()-ROW(MSPTasks[[#Headers],[ID]])))="",TRUE()),"",INDEX(tsk_ID,(ROW()-ROW(MSPTasks[[#Headers],[ID]]))))</f>
        <v/>
      </c>
      <c r="B178" s="24" t="str">
        <f aca="false">IF(IFERROR(INDEX(tsk_Name,(ROW()-ROW(MSPTasks[[#Headers],[ID]])))="",TRUE()),"",INDEX(tsk_UID,(ROW()-ROW(MSPTasks[[#Headers],[ID]]))))</f>
        <v/>
      </c>
      <c r="C178" s="24" t="str">
        <f aca="false">IF(IFERROR(INDEX(tsk_Name,(ROW()-ROW(MSPTasks[[#Headers],[ID]])))="",TRUE()),"",INDEX(tsk_Name,(ROW()-ROW(MSPTasks[[#Headers],[ID]]))))</f>
        <v/>
      </c>
      <c r="D178" s="24" t="str">
        <f aca="false">IF(IFERROR(INDEX(tsk_Name,(ROW()-ROW(MSPTasks[[#Headers],[ID]])))="",TRUE()),"",INDEX(tsk_Level,(ROW()-ROW(MSPTasks[[#Headers],[ID]]))))</f>
        <v/>
      </c>
      <c r="E178" s="24" t="str">
        <f aca="false">IF(IFERROR(INDEX(tsk_Name,(ROW()-ROW(MSPTasks[[#Headers],[ID]])))="",TRUE()),"",IF(INDEX(tsk_Mode,(ROW()-ROW(MSPTasks[[#Headers],[ID]])))="Manual","Manually Scheduled","Auto Scheduled"))</f>
        <v/>
      </c>
      <c r="F1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96" t="str">
        <f aca="false">IF(IFERROR(INDEX(tsk_Name,(ROW()-ROW(MSPTasks[[#Headers],[ID]])))="",TRUE()),"",INDEX(tsk_FcStart,(ROW()-ROW(MSPTasks[[#Headers],[ID]]))))</f>
        <v/>
      </c>
      <c r="H178" s="96" t="str">
        <f aca="false">IF(IFERROR(INDEX(tsk_Name,(ROW()-ROW(MSPTasks[[#Headers],[ID]])))="",TRUE()),"",INDEX(tsk_FcFinish,(ROW()-ROW(MSPTasks[[#Headers],[ID]]))))</f>
        <v/>
      </c>
      <c r="I1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96" t="str">
        <f aca="false">IF(IFERROR(INDEX(tsk_Name,(ROW()-ROW(MSPTasks[[#Headers],[ID]])))="",TRUE()),"",INDEX(tsk_PlanStart,(ROW()-ROW(MSPTasks[[#Headers],[ID]]))))</f>
        <v/>
      </c>
      <c r="P178" s="96" t="str">
        <f aca="false">IF(IFERROR(INDEX(tsk_Name,(ROW()-ROW(MSPTasks[[#Headers],[ID]])))="",TRUE()),"",INDEX(tsk_PlanFinish,(ROW()-ROW(MSPTasks[[#Headers],[ID]]))))</f>
        <v/>
      </c>
      <c r="Q1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8" s="24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4" t="str">
        <f aca="false">IF(IFERROR(INDEX(tsk_Name,(ROW()-ROW(MSPTasks[[#Headers],[ID]])))="",TRUE()),"",INDEX(tsk_ID,(ROW()-ROW(MSPTasks[[#Headers],[ID]]))))</f>
        <v/>
      </c>
      <c r="B179" s="24" t="str">
        <f aca="false">IF(IFERROR(INDEX(tsk_Name,(ROW()-ROW(MSPTasks[[#Headers],[ID]])))="",TRUE()),"",INDEX(tsk_UID,(ROW()-ROW(MSPTasks[[#Headers],[ID]]))))</f>
        <v/>
      </c>
      <c r="C179" s="24" t="str">
        <f aca="false">IF(IFERROR(INDEX(tsk_Name,(ROW()-ROW(MSPTasks[[#Headers],[ID]])))="",TRUE()),"",INDEX(tsk_Name,(ROW()-ROW(MSPTasks[[#Headers],[ID]]))))</f>
        <v/>
      </c>
      <c r="D179" s="24" t="str">
        <f aca="false">IF(IFERROR(INDEX(tsk_Name,(ROW()-ROW(MSPTasks[[#Headers],[ID]])))="",TRUE()),"",INDEX(tsk_Level,(ROW()-ROW(MSPTasks[[#Headers],[ID]]))))</f>
        <v/>
      </c>
      <c r="E179" s="24" t="str">
        <f aca="false">IF(IFERROR(INDEX(tsk_Name,(ROW()-ROW(MSPTasks[[#Headers],[ID]])))="",TRUE()),"",IF(INDEX(tsk_Mode,(ROW()-ROW(MSPTasks[[#Headers],[ID]])))="Manual","Manually Scheduled","Auto Scheduled"))</f>
        <v/>
      </c>
      <c r="F1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96" t="str">
        <f aca="false">IF(IFERROR(INDEX(tsk_Name,(ROW()-ROW(MSPTasks[[#Headers],[ID]])))="",TRUE()),"",INDEX(tsk_FcStart,(ROW()-ROW(MSPTasks[[#Headers],[ID]]))))</f>
        <v/>
      </c>
      <c r="H179" s="96" t="str">
        <f aca="false">IF(IFERROR(INDEX(tsk_Name,(ROW()-ROW(MSPTasks[[#Headers],[ID]])))="",TRUE()),"",INDEX(tsk_FcFinish,(ROW()-ROW(MSPTasks[[#Headers],[ID]]))))</f>
        <v/>
      </c>
      <c r="I1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96" t="str">
        <f aca="false">IF(IFERROR(INDEX(tsk_Name,(ROW()-ROW(MSPTasks[[#Headers],[ID]])))="",TRUE()),"",INDEX(tsk_PlanStart,(ROW()-ROW(MSPTasks[[#Headers],[ID]]))))</f>
        <v/>
      </c>
      <c r="P179" s="96" t="str">
        <f aca="false">IF(IFERROR(INDEX(tsk_Name,(ROW()-ROW(MSPTasks[[#Headers],[ID]])))="",TRUE()),"",INDEX(tsk_PlanFinish,(ROW()-ROW(MSPTasks[[#Headers],[ID]]))))</f>
        <v/>
      </c>
      <c r="Q1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9" s="24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4" t="str">
        <f aca="false">IF(IFERROR(INDEX(tsk_Name,(ROW()-ROW(MSPTasks[[#Headers],[ID]])))="",TRUE()),"",INDEX(tsk_ID,(ROW()-ROW(MSPTasks[[#Headers],[ID]]))))</f>
        <v/>
      </c>
      <c r="B180" s="24" t="str">
        <f aca="false">IF(IFERROR(INDEX(tsk_Name,(ROW()-ROW(MSPTasks[[#Headers],[ID]])))="",TRUE()),"",INDEX(tsk_UID,(ROW()-ROW(MSPTasks[[#Headers],[ID]]))))</f>
        <v/>
      </c>
      <c r="C180" s="24" t="str">
        <f aca="false">IF(IFERROR(INDEX(tsk_Name,(ROW()-ROW(MSPTasks[[#Headers],[ID]])))="",TRUE()),"",INDEX(tsk_Name,(ROW()-ROW(MSPTasks[[#Headers],[ID]]))))</f>
        <v/>
      </c>
      <c r="D180" s="24" t="str">
        <f aca="false">IF(IFERROR(INDEX(tsk_Name,(ROW()-ROW(MSPTasks[[#Headers],[ID]])))="",TRUE()),"",INDEX(tsk_Level,(ROW()-ROW(MSPTasks[[#Headers],[ID]]))))</f>
        <v/>
      </c>
      <c r="E180" s="24" t="str">
        <f aca="false">IF(IFERROR(INDEX(tsk_Name,(ROW()-ROW(MSPTasks[[#Headers],[ID]])))="",TRUE()),"",IF(INDEX(tsk_Mode,(ROW()-ROW(MSPTasks[[#Headers],[ID]])))="Manual","Manually Scheduled","Auto Scheduled"))</f>
        <v/>
      </c>
      <c r="F1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96" t="str">
        <f aca="false">IF(IFERROR(INDEX(tsk_Name,(ROW()-ROW(MSPTasks[[#Headers],[ID]])))="",TRUE()),"",INDEX(tsk_FcStart,(ROW()-ROW(MSPTasks[[#Headers],[ID]]))))</f>
        <v/>
      </c>
      <c r="H180" s="96" t="str">
        <f aca="false">IF(IFERROR(INDEX(tsk_Name,(ROW()-ROW(MSPTasks[[#Headers],[ID]])))="",TRUE()),"",INDEX(tsk_FcFinish,(ROW()-ROW(MSPTasks[[#Headers],[ID]]))))</f>
        <v/>
      </c>
      <c r="I1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96" t="str">
        <f aca="false">IF(IFERROR(INDEX(tsk_Name,(ROW()-ROW(MSPTasks[[#Headers],[ID]])))="",TRUE()),"",INDEX(tsk_PlanStart,(ROW()-ROW(MSPTasks[[#Headers],[ID]]))))</f>
        <v/>
      </c>
      <c r="P180" s="96" t="str">
        <f aca="false">IF(IFERROR(INDEX(tsk_Name,(ROW()-ROW(MSPTasks[[#Headers],[ID]])))="",TRUE()),"",INDEX(tsk_PlanFinish,(ROW()-ROW(MSPTasks[[#Headers],[ID]]))))</f>
        <v/>
      </c>
      <c r="Q1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0" s="24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4" t="str">
        <f aca="false">IF(IFERROR(INDEX(tsk_Name,(ROW()-ROW(MSPTasks[[#Headers],[ID]])))="",TRUE()),"",INDEX(tsk_ID,(ROW()-ROW(MSPTasks[[#Headers],[ID]]))))</f>
        <v/>
      </c>
      <c r="B181" s="24" t="str">
        <f aca="false">IF(IFERROR(INDEX(tsk_Name,(ROW()-ROW(MSPTasks[[#Headers],[ID]])))="",TRUE()),"",INDEX(tsk_UID,(ROW()-ROW(MSPTasks[[#Headers],[ID]]))))</f>
        <v/>
      </c>
      <c r="C181" s="24" t="str">
        <f aca="false">IF(IFERROR(INDEX(tsk_Name,(ROW()-ROW(MSPTasks[[#Headers],[ID]])))="",TRUE()),"",INDEX(tsk_Name,(ROW()-ROW(MSPTasks[[#Headers],[ID]]))))</f>
        <v/>
      </c>
      <c r="D181" s="24" t="str">
        <f aca="false">IF(IFERROR(INDEX(tsk_Name,(ROW()-ROW(MSPTasks[[#Headers],[ID]])))="",TRUE()),"",INDEX(tsk_Level,(ROW()-ROW(MSPTasks[[#Headers],[ID]]))))</f>
        <v/>
      </c>
      <c r="E181" s="24" t="str">
        <f aca="false">IF(IFERROR(INDEX(tsk_Name,(ROW()-ROW(MSPTasks[[#Headers],[ID]])))="",TRUE()),"",IF(INDEX(tsk_Mode,(ROW()-ROW(MSPTasks[[#Headers],[ID]])))="Manual","Manually Scheduled","Auto Scheduled"))</f>
        <v/>
      </c>
      <c r="F1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96" t="str">
        <f aca="false">IF(IFERROR(INDEX(tsk_Name,(ROW()-ROW(MSPTasks[[#Headers],[ID]])))="",TRUE()),"",INDEX(tsk_FcStart,(ROW()-ROW(MSPTasks[[#Headers],[ID]]))))</f>
        <v/>
      </c>
      <c r="H181" s="96" t="str">
        <f aca="false">IF(IFERROR(INDEX(tsk_Name,(ROW()-ROW(MSPTasks[[#Headers],[ID]])))="",TRUE()),"",INDEX(tsk_FcFinish,(ROW()-ROW(MSPTasks[[#Headers],[ID]]))))</f>
        <v/>
      </c>
      <c r="I1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96" t="str">
        <f aca="false">IF(IFERROR(INDEX(tsk_Name,(ROW()-ROW(MSPTasks[[#Headers],[ID]])))="",TRUE()),"",INDEX(tsk_PlanStart,(ROW()-ROW(MSPTasks[[#Headers],[ID]]))))</f>
        <v/>
      </c>
      <c r="P181" s="96" t="str">
        <f aca="false">IF(IFERROR(INDEX(tsk_Name,(ROW()-ROW(MSPTasks[[#Headers],[ID]])))="",TRUE()),"",INDEX(tsk_PlanFinish,(ROW()-ROW(MSPTasks[[#Headers],[ID]]))))</f>
        <v/>
      </c>
      <c r="Q1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1" s="24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4" t="str">
        <f aca="false">IF(IFERROR(INDEX(tsk_Name,(ROW()-ROW(MSPTasks[[#Headers],[ID]])))="",TRUE()),"",INDEX(tsk_ID,(ROW()-ROW(MSPTasks[[#Headers],[ID]]))))</f>
        <v/>
      </c>
      <c r="B182" s="24" t="str">
        <f aca="false">IF(IFERROR(INDEX(tsk_Name,(ROW()-ROW(MSPTasks[[#Headers],[ID]])))="",TRUE()),"",INDEX(tsk_UID,(ROW()-ROW(MSPTasks[[#Headers],[ID]]))))</f>
        <v/>
      </c>
      <c r="C182" s="24" t="str">
        <f aca="false">IF(IFERROR(INDEX(tsk_Name,(ROW()-ROW(MSPTasks[[#Headers],[ID]])))="",TRUE()),"",INDEX(tsk_Name,(ROW()-ROW(MSPTasks[[#Headers],[ID]]))))</f>
        <v/>
      </c>
      <c r="D182" s="24" t="str">
        <f aca="false">IF(IFERROR(INDEX(tsk_Name,(ROW()-ROW(MSPTasks[[#Headers],[ID]])))="",TRUE()),"",INDEX(tsk_Level,(ROW()-ROW(MSPTasks[[#Headers],[ID]]))))</f>
        <v/>
      </c>
      <c r="E182" s="24" t="str">
        <f aca="false">IF(IFERROR(INDEX(tsk_Name,(ROW()-ROW(MSPTasks[[#Headers],[ID]])))="",TRUE()),"",IF(INDEX(tsk_Mode,(ROW()-ROW(MSPTasks[[#Headers],[ID]])))="Manual","Manually Scheduled","Auto Scheduled"))</f>
        <v/>
      </c>
      <c r="F1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96" t="str">
        <f aca="false">IF(IFERROR(INDEX(tsk_Name,(ROW()-ROW(MSPTasks[[#Headers],[ID]])))="",TRUE()),"",INDEX(tsk_FcStart,(ROW()-ROW(MSPTasks[[#Headers],[ID]]))))</f>
        <v/>
      </c>
      <c r="H182" s="96" t="str">
        <f aca="false">IF(IFERROR(INDEX(tsk_Name,(ROW()-ROW(MSPTasks[[#Headers],[ID]])))="",TRUE()),"",INDEX(tsk_FcFinish,(ROW()-ROW(MSPTasks[[#Headers],[ID]]))))</f>
        <v/>
      </c>
      <c r="I1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96" t="str">
        <f aca="false">IF(IFERROR(INDEX(tsk_Name,(ROW()-ROW(MSPTasks[[#Headers],[ID]])))="",TRUE()),"",INDEX(tsk_PlanStart,(ROW()-ROW(MSPTasks[[#Headers],[ID]]))))</f>
        <v/>
      </c>
      <c r="P182" s="96" t="str">
        <f aca="false">IF(IFERROR(INDEX(tsk_Name,(ROW()-ROW(MSPTasks[[#Headers],[ID]])))="",TRUE()),"",INDEX(tsk_PlanFinish,(ROW()-ROW(MSPTasks[[#Headers],[ID]]))))</f>
        <v/>
      </c>
      <c r="Q1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2" s="24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4" t="str">
        <f aca="false">IF(IFERROR(INDEX(tsk_Name,(ROW()-ROW(MSPTasks[[#Headers],[ID]])))="",TRUE()),"",INDEX(tsk_ID,(ROW()-ROW(MSPTasks[[#Headers],[ID]]))))</f>
        <v/>
      </c>
      <c r="B183" s="24" t="str">
        <f aca="false">IF(IFERROR(INDEX(tsk_Name,(ROW()-ROW(MSPTasks[[#Headers],[ID]])))="",TRUE()),"",INDEX(tsk_UID,(ROW()-ROW(MSPTasks[[#Headers],[ID]]))))</f>
        <v/>
      </c>
      <c r="C183" s="24" t="str">
        <f aca="false">IF(IFERROR(INDEX(tsk_Name,(ROW()-ROW(MSPTasks[[#Headers],[ID]])))="",TRUE()),"",INDEX(tsk_Name,(ROW()-ROW(MSPTasks[[#Headers],[ID]]))))</f>
        <v/>
      </c>
      <c r="D183" s="24" t="str">
        <f aca="false">IF(IFERROR(INDEX(tsk_Name,(ROW()-ROW(MSPTasks[[#Headers],[ID]])))="",TRUE()),"",INDEX(tsk_Level,(ROW()-ROW(MSPTasks[[#Headers],[ID]]))))</f>
        <v/>
      </c>
      <c r="E183" s="24" t="str">
        <f aca="false">IF(IFERROR(INDEX(tsk_Name,(ROW()-ROW(MSPTasks[[#Headers],[ID]])))="",TRUE()),"",IF(INDEX(tsk_Mode,(ROW()-ROW(MSPTasks[[#Headers],[ID]])))="Manual","Manually Scheduled","Auto Scheduled"))</f>
        <v/>
      </c>
      <c r="F1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96" t="str">
        <f aca="false">IF(IFERROR(INDEX(tsk_Name,(ROW()-ROW(MSPTasks[[#Headers],[ID]])))="",TRUE()),"",INDEX(tsk_FcStart,(ROW()-ROW(MSPTasks[[#Headers],[ID]]))))</f>
        <v/>
      </c>
      <c r="H183" s="96" t="str">
        <f aca="false">IF(IFERROR(INDEX(tsk_Name,(ROW()-ROW(MSPTasks[[#Headers],[ID]])))="",TRUE()),"",INDEX(tsk_FcFinish,(ROW()-ROW(MSPTasks[[#Headers],[ID]]))))</f>
        <v/>
      </c>
      <c r="I1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96" t="str">
        <f aca="false">IF(IFERROR(INDEX(tsk_Name,(ROW()-ROW(MSPTasks[[#Headers],[ID]])))="",TRUE()),"",INDEX(tsk_PlanStart,(ROW()-ROW(MSPTasks[[#Headers],[ID]]))))</f>
        <v/>
      </c>
      <c r="P183" s="96" t="str">
        <f aca="false">IF(IFERROR(INDEX(tsk_Name,(ROW()-ROW(MSPTasks[[#Headers],[ID]])))="",TRUE()),"",INDEX(tsk_PlanFinish,(ROW()-ROW(MSPTasks[[#Headers],[ID]]))))</f>
        <v/>
      </c>
      <c r="Q1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3" s="24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4" t="str">
        <f aca="false">IF(IFERROR(INDEX(tsk_Name,(ROW()-ROW(MSPTasks[[#Headers],[ID]])))="",TRUE()),"",INDEX(tsk_ID,(ROW()-ROW(MSPTasks[[#Headers],[ID]]))))</f>
        <v/>
      </c>
      <c r="B184" s="24" t="str">
        <f aca="false">IF(IFERROR(INDEX(tsk_Name,(ROW()-ROW(MSPTasks[[#Headers],[ID]])))="",TRUE()),"",INDEX(tsk_UID,(ROW()-ROW(MSPTasks[[#Headers],[ID]]))))</f>
        <v/>
      </c>
      <c r="C184" s="24" t="str">
        <f aca="false">IF(IFERROR(INDEX(tsk_Name,(ROW()-ROW(MSPTasks[[#Headers],[ID]])))="",TRUE()),"",INDEX(tsk_Name,(ROW()-ROW(MSPTasks[[#Headers],[ID]]))))</f>
        <v/>
      </c>
      <c r="D184" s="24" t="str">
        <f aca="false">IF(IFERROR(INDEX(tsk_Name,(ROW()-ROW(MSPTasks[[#Headers],[ID]])))="",TRUE()),"",INDEX(tsk_Level,(ROW()-ROW(MSPTasks[[#Headers],[ID]]))))</f>
        <v/>
      </c>
      <c r="E184" s="24" t="str">
        <f aca="false">IF(IFERROR(INDEX(tsk_Name,(ROW()-ROW(MSPTasks[[#Headers],[ID]])))="",TRUE()),"",IF(INDEX(tsk_Mode,(ROW()-ROW(MSPTasks[[#Headers],[ID]])))="Manual","Manually Scheduled","Auto Scheduled"))</f>
        <v/>
      </c>
      <c r="F1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96" t="str">
        <f aca="false">IF(IFERROR(INDEX(tsk_Name,(ROW()-ROW(MSPTasks[[#Headers],[ID]])))="",TRUE()),"",INDEX(tsk_FcStart,(ROW()-ROW(MSPTasks[[#Headers],[ID]]))))</f>
        <v/>
      </c>
      <c r="H184" s="96" t="str">
        <f aca="false">IF(IFERROR(INDEX(tsk_Name,(ROW()-ROW(MSPTasks[[#Headers],[ID]])))="",TRUE()),"",INDEX(tsk_FcFinish,(ROW()-ROW(MSPTasks[[#Headers],[ID]]))))</f>
        <v/>
      </c>
      <c r="I1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96" t="str">
        <f aca="false">IF(IFERROR(INDEX(tsk_Name,(ROW()-ROW(MSPTasks[[#Headers],[ID]])))="",TRUE()),"",INDEX(tsk_PlanStart,(ROW()-ROW(MSPTasks[[#Headers],[ID]]))))</f>
        <v/>
      </c>
      <c r="P184" s="96" t="str">
        <f aca="false">IF(IFERROR(INDEX(tsk_Name,(ROW()-ROW(MSPTasks[[#Headers],[ID]])))="",TRUE()),"",INDEX(tsk_PlanFinish,(ROW()-ROW(MSPTasks[[#Headers],[ID]]))))</f>
        <v/>
      </c>
      <c r="Q1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4" s="24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4" t="str">
        <f aca="false">IF(IFERROR(INDEX(tsk_Name,(ROW()-ROW(MSPTasks[[#Headers],[ID]])))="",TRUE()),"",INDEX(tsk_ID,(ROW()-ROW(MSPTasks[[#Headers],[ID]]))))</f>
        <v/>
      </c>
      <c r="B185" s="24" t="str">
        <f aca="false">IF(IFERROR(INDEX(tsk_Name,(ROW()-ROW(MSPTasks[[#Headers],[ID]])))="",TRUE()),"",INDEX(tsk_UID,(ROW()-ROW(MSPTasks[[#Headers],[ID]]))))</f>
        <v/>
      </c>
      <c r="C185" s="24" t="str">
        <f aca="false">IF(IFERROR(INDEX(tsk_Name,(ROW()-ROW(MSPTasks[[#Headers],[ID]])))="",TRUE()),"",INDEX(tsk_Name,(ROW()-ROW(MSPTasks[[#Headers],[ID]]))))</f>
        <v/>
      </c>
      <c r="D185" s="24" t="str">
        <f aca="false">IF(IFERROR(INDEX(tsk_Name,(ROW()-ROW(MSPTasks[[#Headers],[ID]])))="",TRUE()),"",INDEX(tsk_Level,(ROW()-ROW(MSPTasks[[#Headers],[ID]]))))</f>
        <v/>
      </c>
      <c r="E185" s="24" t="str">
        <f aca="false">IF(IFERROR(INDEX(tsk_Name,(ROW()-ROW(MSPTasks[[#Headers],[ID]])))="",TRUE()),"",IF(INDEX(tsk_Mode,(ROW()-ROW(MSPTasks[[#Headers],[ID]])))="Manual","Manually Scheduled","Auto Scheduled"))</f>
        <v/>
      </c>
      <c r="F1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96" t="str">
        <f aca="false">IF(IFERROR(INDEX(tsk_Name,(ROW()-ROW(MSPTasks[[#Headers],[ID]])))="",TRUE()),"",INDEX(tsk_FcStart,(ROW()-ROW(MSPTasks[[#Headers],[ID]]))))</f>
        <v/>
      </c>
      <c r="H185" s="96" t="str">
        <f aca="false">IF(IFERROR(INDEX(tsk_Name,(ROW()-ROW(MSPTasks[[#Headers],[ID]])))="",TRUE()),"",INDEX(tsk_FcFinish,(ROW()-ROW(MSPTasks[[#Headers],[ID]]))))</f>
        <v/>
      </c>
      <c r="I1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96" t="str">
        <f aca="false">IF(IFERROR(INDEX(tsk_Name,(ROW()-ROW(MSPTasks[[#Headers],[ID]])))="",TRUE()),"",INDEX(tsk_PlanStart,(ROW()-ROW(MSPTasks[[#Headers],[ID]]))))</f>
        <v/>
      </c>
      <c r="P185" s="96" t="str">
        <f aca="false">IF(IFERROR(INDEX(tsk_Name,(ROW()-ROW(MSPTasks[[#Headers],[ID]])))="",TRUE()),"",INDEX(tsk_PlanFinish,(ROW()-ROW(MSPTasks[[#Headers],[ID]]))))</f>
        <v/>
      </c>
      <c r="Q1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5" s="24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4" t="str">
        <f aca="false">IF(IFERROR(INDEX(tsk_Name,(ROW()-ROW(MSPTasks[[#Headers],[ID]])))="",TRUE()),"",INDEX(tsk_ID,(ROW()-ROW(MSPTasks[[#Headers],[ID]]))))</f>
        <v/>
      </c>
      <c r="B186" s="24" t="str">
        <f aca="false">IF(IFERROR(INDEX(tsk_Name,(ROW()-ROW(MSPTasks[[#Headers],[ID]])))="",TRUE()),"",INDEX(tsk_UID,(ROW()-ROW(MSPTasks[[#Headers],[ID]]))))</f>
        <v/>
      </c>
      <c r="C186" s="24" t="str">
        <f aca="false">IF(IFERROR(INDEX(tsk_Name,(ROW()-ROW(MSPTasks[[#Headers],[ID]])))="",TRUE()),"",INDEX(tsk_Name,(ROW()-ROW(MSPTasks[[#Headers],[ID]]))))</f>
        <v/>
      </c>
      <c r="D186" s="24" t="str">
        <f aca="false">IF(IFERROR(INDEX(tsk_Name,(ROW()-ROW(MSPTasks[[#Headers],[ID]])))="",TRUE()),"",INDEX(tsk_Level,(ROW()-ROW(MSPTasks[[#Headers],[ID]]))))</f>
        <v/>
      </c>
      <c r="E186" s="24" t="str">
        <f aca="false">IF(IFERROR(INDEX(tsk_Name,(ROW()-ROW(MSPTasks[[#Headers],[ID]])))="",TRUE()),"",IF(INDEX(tsk_Mode,(ROW()-ROW(MSPTasks[[#Headers],[ID]])))="Manual","Manually Scheduled","Auto Scheduled"))</f>
        <v/>
      </c>
      <c r="F1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96" t="str">
        <f aca="false">IF(IFERROR(INDEX(tsk_Name,(ROW()-ROW(MSPTasks[[#Headers],[ID]])))="",TRUE()),"",INDEX(tsk_FcStart,(ROW()-ROW(MSPTasks[[#Headers],[ID]]))))</f>
        <v/>
      </c>
      <c r="H186" s="96" t="str">
        <f aca="false">IF(IFERROR(INDEX(tsk_Name,(ROW()-ROW(MSPTasks[[#Headers],[ID]])))="",TRUE()),"",INDEX(tsk_FcFinish,(ROW()-ROW(MSPTasks[[#Headers],[ID]]))))</f>
        <v/>
      </c>
      <c r="I1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96" t="str">
        <f aca="false">IF(IFERROR(INDEX(tsk_Name,(ROW()-ROW(MSPTasks[[#Headers],[ID]])))="",TRUE()),"",INDEX(tsk_PlanStart,(ROW()-ROW(MSPTasks[[#Headers],[ID]]))))</f>
        <v/>
      </c>
      <c r="P186" s="96" t="str">
        <f aca="false">IF(IFERROR(INDEX(tsk_Name,(ROW()-ROW(MSPTasks[[#Headers],[ID]])))="",TRUE()),"",INDEX(tsk_PlanFinish,(ROW()-ROW(MSPTasks[[#Headers],[ID]]))))</f>
        <v/>
      </c>
      <c r="Q1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6" s="24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4" t="str">
        <f aca="false">IF(IFERROR(INDEX(tsk_Name,(ROW()-ROW(MSPTasks[[#Headers],[ID]])))="",TRUE()),"",INDEX(tsk_ID,(ROW()-ROW(MSPTasks[[#Headers],[ID]]))))</f>
        <v/>
      </c>
      <c r="B187" s="24" t="str">
        <f aca="false">IF(IFERROR(INDEX(tsk_Name,(ROW()-ROW(MSPTasks[[#Headers],[ID]])))="",TRUE()),"",INDEX(tsk_UID,(ROW()-ROW(MSPTasks[[#Headers],[ID]]))))</f>
        <v/>
      </c>
      <c r="C187" s="24" t="str">
        <f aca="false">IF(IFERROR(INDEX(tsk_Name,(ROW()-ROW(MSPTasks[[#Headers],[ID]])))="",TRUE()),"",INDEX(tsk_Name,(ROW()-ROW(MSPTasks[[#Headers],[ID]]))))</f>
        <v/>
      </c>
      <c r="D187" s="24" t="str">
        <f aca="false">IF(IFERROR(INDEX(tsk_Name,(ROW()-ROW(MSPTasks[[#Headers],[ID]])))="",TRUE()),"",INDEX(tsk_Level,(ROW()-ROW(MSPTasks[[#Headers],[ID]]))))</f>
        <v/>
      </c>
      <c r="E187" s="24" t="str">
        <f aca="false">IF(IFERROR(INDEX(tsk_Name,(ROW()-ROW(MSPTasks[[#Headers],[ID]])))="",TRUE()),"",IF(INDEX(tsk_Mode,(ROW()-ROW(MSPTasks[[#Headers],[ID]])))="Manual","Manually Scheduled","Auto Scheduled"))</f>
        <v/>
      </c>
      <c r="F1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96" t="str">
        <f aca="false">IF(IFERROR(INDEX(tsk_Name,(ROW()-ROW(MSPTasks[[#Headers],[ID]])))="",TRUE()),"",INDEX(tsk_FcStart,(ROW()-ROW(MSPTasks[[#Headers],[ID]]))))</f>
        <v/>
      </c>
      <c r="H187" s="96" t="str">
        <f aca="false">IF(IFERROR(INDEX(tsk_Name,(ROW()-ROW(MSPTasks[[#Headers],[ID]])))="",TRUE()),"",INDEX(tsk_FcFinish,(ROW()-ROW(MSPTasks[[#Headers],[ID]]))))</f>
        <v/>
      </c>
      <c r="I1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96" t="str">
        <f aca="false">IF(IFERROR(INDEX(tsk_Name,(ROW()-ROW(MSPTasks[[#Headers],[ID]])))="",TRUE()),"",INDEX(tsk_PlanStart,(ROW()-ROW(MSPTasks[[#Headers],[ID]]))))</f>
        <v/>
      </c>
      <c r="P187" s="96" t="str">
        <f aca="false">IF(IFERROR(INDEX(tsk_Name,(ROW()-ROW(MSPTasks[[#Headers],[ID]])))="",TRUE()),"",INDEX(tsk_PlanFinish,(ROW()-ROW(MSPTasks[[#Headers],[ID]]))))</f>
        <v/>
      </c>
      <c r="Q1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7" s="24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4" t="str">
        <f aca="false">IF(IFERROR(INDEX(tsk_Name,(ROW()-ROW(MSPTasks[[#Headers],[ID]])))="",TRUE()),"",INDEX(tsk_ID,(ROW()-ROW(MSPTasks[[#Headers],[ID]]))))</f>
        <v/>
      </c>
      <c r="B188" s="24" t="str">
        <f aca="false">IF(IFERROR(INDEX(tsk_Name,(ROW()-ROW(MSPTasks[[#Headers],[ID]])))="",TRUE()),"",INDEX(tsk_UID,(ROW()-ROW(MSPTasks[[#Headers],[ID]]))))</f>
        <v/>
      </c>
      <c r="C188" s="24" t="str">
        <f aca="false">IF(IFERROR(INDEX(tsk_Name,(ROW()-ROW(MSPTasks[[#Headers],[ID]])))="",TRUE()),"",INDEX(tsk_Name,(ROW()-ROW(MSPTasks[[#Headers],[ID]]))))</f>
        <v/>
      </c>
      <c r="D188" s="24" t="str">
        <f aca="false">IF(IFERROR(INDEX(tsk_Name,(ROW()-ROW(MSPTasks[[#Headers],[ID]])))="",TRUE()),"",INDEX(tsk_Level,(ROW()-ROW(MSPTasks[[#Headers],[ID]]))))</f>
        <v/>
      </c>
      <c r="E188" s="24" t="str">
        <f aca="false">IF(IFERROR(INDEX(tsk_Name,(ROW()-ROW(MSPTasks[[#Headers],[ID]])))="",TRUE()),"",IF(INDEX(tsk_Mode,(ROW()-ROW(MSPTasks[[#Headers],[ID]])))="Manual","Manually Scheduled","Auto Scheduled"))</f>
        <v/>
      </c>
      <c r="F1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96" t="str">
        <f aca="false">IF(IFERROR(INDEX(tsk_Name,(ROW()-ROW(MSPTasks[[#Headers],[ID]])))="",TRUE()),"",INDEX(tsk_FcStart,(ROW()-ROW(MSPTasks[[#Headers],[ID]]))))</f>
        <v/>
      </c>
      <c r="H188" s="96" t="str">
        <f aca="false">IF(IFERROR(INDEX(tsk_Name,(ROW()-ROW(MSPTasks[[#Headers],[ID]])))="",TRUE()),"",INDEX(tsk_FcFinish,(ROW()-ROW(MSPTasks[[#Headers],[ID]]))))</f>
        <v/>
      </c>
      <c r="I1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96" t="str">
        <f aca="false">IF(IFERROR(INDEX(tsk_Name,(ROW()-ROW(MSPTasks[[#Headers],[ID]])))="",TRUE()),"",INDEX(tsk_PlanStart,(ROW()-ROW(MSPTasks[[#Headers],[ID]]))))</f>
        <v/>
      </c>
      <c r="P188" s="96" t="str">
        <f aca="false">IF(IFERROR(INDEX(tsk_Name,(ROW()-ROW(MSPTasks[[#Headers],[ID]])))="",TRUE()),"",INDEX(tsk_PlanFinish,(ROW()-ROW(MSPTasks[[#Headers],[ID]]))))</f>
        <v/>
      </c>
      <c r="Q1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8" s="24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4" t="str">
        <f aca="false">IF(IFERROR(INDEX(tsk_Name,(ROW()-ROW(MSPTasks[[#Headers],[ID]])))="",TRUE()),"",INDEX(tsk_ID,(ROW()-ROW(MSPTasks[[#Headers],[ID]]))))</f>
        <v/>
      </c>
      <c r="B189" s="24" t="str">
        <f aca="false">IF(IFERROR(INDEX(tsk_Name,(ROW()-ROW(MSPTasks[[#Headers],[ID]])))="",TRUE()),"",INDEX(tsk_UID,(ROW()-ROW(MSPTasks[[#Headers],[ID]]))))</f>
        <v/>
      </c>
      <c r="C189" s="24" t="str">
        <f aca="false">IF(IFERROR(INDEX(tsk_Name,(ROW()-ROW(MSPTasks[[#Headers],[ID]])))="",TRUE()),"",INDEX(tsk_Name,(ROW()-ROW(MSPTasks[[#Headers],[ID]]))))</f>
        <v/>
      </c>
      <c r="D189" s="24" t="str">
        <f aca="false">IF(IFERROR(INDEX(tsk_Name,(ROW()-ROW(MSPTasks[[#Headers],[ID]])))="",TRUE()),"",INDEX(tsk_Level,(ROW()-ROW(MSPTasks[[#Headers],[ID]]))))</f>
        <v/>
      </c>
      <c r="E189" s="24" t="str">
        <f aca="false">IF(IFERROR(INDEX(tsk_Name,(ROW()-ROW(MSPTasks[[#Headers],[ID]])))="",TRUE()),"",IF(INDEX(tsk_Mode,(ROW()-ROW(MSPTasks[[#Headers],[ID]])))="Manual","Manually Scheduled","Auto Scheduled"))</f>
        <v/>
      </c>
      <c r="F1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96" t="str">
        <f aca="false">IF(IFERROR(INDEX(tsk_Name,(ROW()-ROW(MSPTasks[[#Headers],[ID]])))="",TRUE()),"",INDEX(tsk_FcStart,(ROW()-ROW(MSPTasks[[#Headers],[ID]]))))</f>
        <v/>
      </c>
      <c r="H189" s="96" t="str">
        <f aca="false">IF(IFERROR(INDEX(tsk_Name,(ROW()-ROW(MSPTasks[[#Headers],[ID]])))="",TRUE()),"",INDEX(tsk_FcFinish,(ROW()-ROW(MSPTasks[[#Headers],[ID]]))))</f>
        <v/>
      </c>
      <c r="I1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96" t="str">
        <f aca="false">IF(IFERROR(INDEX(tsk_Name,(ROW()-ROW(MSPTasks[[#Headers],[ID]])))="",TRUE()),"",INDEX(tsk_PlanStart,(ROW()-ROW(MSPTasks[[#Headers],[ID]]))))</f>
        <v/>
      </c>
      <c r="P189" s="96" t="str">
        <f aca="false">IF(IFERROR(INDEX(tsk_Name,(ROW()-ROW(MSPTasks[[#Headers],[ID]])))="",TRUE()),"",INDEX(tsk_PlanFinish,(ROW()-ROW(MSPTasks[[#Headers],[ID]]))))</f>
        <v/>
      </c>
      <c r="Q1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9" s="24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4" t="str">
        <f aca="false">IF(IFERROR(INDEX(tsk_Name,(ROW()-ROW(MSPTasks[[#Headers],[ID]])))="",TRUE()),"",INDEX(tsk_ID,(ROW()-ROW(MSPTasks[[#Headers],[ID]]))))</f>
        <v/>
      </c>
      <c r="B190" s="24" t="str">
        <f aca="false">IF(IFERROR(INDEX(tsk_Name,(ROW()-ROW(MSPTasks[[#Headers],[ID]])))="",TRUE()),"",INDEX(tsk_UID,(ROW()-ROW(MSPTasks[[#Headers],[ID]]))))</f>
        <v/>
      </c>
      <c r="C190" s="24" t="str">
        <f aca="false">IF(IFERROR(INDEX(tsk_Name,(ROW()-ROW(MSPTasks[[#Headers],[ID]])))="",TRUE()),"",INDEX(tsk_Name,(ROW()-ROW(MSPTasks[[#Headers],[ID]]))))</f>
        <v/>
      </c>
      <c r="D190" s="24" t="str">
        <f aca="false">IF(IFERROR(INDEX(tsk_Name,(ROW()-ROW(MSPTasks[[#Headers],[ID]])))="",TRUE()),"",INDEX(tsk_Level,(ROW()-ROW(MSPTasks[[#Headers],[ID]]))))</f>
        <v/>
      </c>
      <c r="E190" s="24" t="str">
        <f aca="false">IF(IFERROR(INDEX(tsk_Name,(ROW()-ROW(MSPTasks[[#Headers],[ID]])))="",TRUE()),"",IF(INDEX(tsk_Mode,(ROW()-ROW(MSPTasks[[#Headers],[ID]])))="Manual","Manually Scheduled","Auto Scheduled"))</f>
        <v/>
      </c>
      <c r="F1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96" t="str">
        <f aca="false">IF(IFERROR(INDEX(tsk_Name,(ROW()-ROW(MSPTasks[[#Headers],[ID]])))="",TRUE()),"",INDEX(tsk_FcStart,(ROW()-ROW(MSPTasks[[#Headers],[ID]]))))</f>
        <v/>
      </c>
      <c r="H190" s="96" t="str">
        <f aca="false">IF(IFERROR(INDEX(tsk_Name,(ROW()-ROW(MSPTasks[[#Headers],[ID]])))="",TRUE()),"",INDEX(tsk_FcFinish,(ROW()-ROW(MSPTasks[[#Headers],[ID]]))))</f>
        <v/>
      </c>
      <c r="I1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96" t="str">
        <f aca="false">IF(IFERROR(INDEX(tsk_Name,(ROW()-ROW(MSPTasks[[#Headers],[ID]])))="",TRUE()),"",INDEX(tsk_PlanStart,(ROW()-ROW(MSPTasks[[#Headers],[ID]]))))</f>
        <v/>
      </c>
      <c r="P190" s="96" t="str">
        <f aca="false">IF(IFERROR(INDEX(tsk_Name,(ROW()-ROW(MSPTasks[[#Headers],[ID]])))="",TRUE()),"",INDEX(tsk_PlanFinish,(ROW()-ROW(MSPTasks[[#Headers],[ID]]))))</f>
        <v/>
      </c>
      <c r="Q1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0" s="24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4" t="str">
        <f aca="false">IF(IFERROR(INDEX(tsk_Name,(ROW()-ROW(MSPTasks[[#Headers],[ID]])))="",TRUE()),"",INDEX(tsk_ID,(ROW()-ROW(MSPTasks[[#Headers],[ID]]))))</f>
        <v/>
      </c>
      <c r="B191" s="24" t="str">
        <f aca="false">IF(IFERROR(INDEX(tsk_Name,(ROW()-ROW(MSPTasks[[#Headers],[ID]])))="",TRUE()),"",INDEX(tsk_UID,(ROW()-ROW(MSPTasks[[#Headers],[ID]]))))</f>
        <v/>
      </c>
      <c r="C191" s="24" t="str">
        <f aca="false">IF(IFERROR(INDEX(tsk_Name,(ROW()-ROW(MSPTasks[[#Headers],[ID]])))="",TRUE()),"",INDEX(tsk_Name,(ROW()-ROW(MSPTasks[[#Headers],[ID]]))))</f>
        <v/>
      </c>
      <c r="D191" s="24" t="str">
        <f aca="false">IF(IFERROR(INDEX(tsk_Name,(ROW()-ROW(MSPTasks[[#Headers],[ID]])))="",TRUE()),"",INDEX(tsk_Level,(ROW()-ROW(MSPTasks[[#Headers],[ID]]))))</f>
        <v/>
      </c>
      <c r="E191" s="24" t="str">
        <f aca="false">IF(IFERROR(INDEX(tsk_Name,(ROW()-ROW(MSPTasks[[#Headers],[ID]])))="",TRUE()),"",IF(INDEX(tsk_Mode,(ROW()-ROW(MSPTasks[[#Headers],[ID]])))="Manual","Manually Scheduled","Auto Scheduled"))</f>
        <v/>
      </c>
      <c r="F1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96" t="str">
        <f aca="false">IF(IFERROR(INDEX(tsk_Name,(ROW()-ROW(MSPTasks[[#Headers],[ID]])))="",TRUE()),"",INDEX(tsk_FcStart,(ROW()-ROW(MSPTasks[[#Headers],[ID]]))))</f>
        <v/>
      </c>
      <c r="H191" s="96" t="str">
        <f aca="false">IF(IFERROR(INDEX(tsk_Name,(ROW()-ROW(MSPTasks[[#Headers],[ID]])))="",TRUE()),"",INDEX(tsk_FcFinish,(ROW()-ROW(MSPTasks[[#Headers],[ID]]))))</f>
        <v/>
      </c>
      <c r="I1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96" t="str">
        <f aca="false">IF(IFERROR(INDEX(tsk_Name,(ROW()-ROW(MSPTasks[[#Headers],[ID]])))="",TRUE()),"",INDEX(tsk_PlanStart,(ROW()-ROW(MSPTasks[[#Headers],[ID]]))))</f>
        <v/>
      </c>
      <c r="P191" s="96" t="str">
        <f aca="false">IF(IFERROR(INDEX(tsk_Name,(ROW()-ROW(MSPTasks[[#Headers],[ID]])))="",TRUE()),"",INDEX(tsk_PlanFinish,(ROW()-ROW(MSPTasks[[#Headers],[ID]]))))</f>
        <v/>
      </c>
      <c r="Q1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1" s="24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4" t="str">
        <f aca="false">IF(IFERROR(INDEX(tsk_Name,(ROW()-ROW(MSPTasks[[#Headers],[ID]])))="",TRUE()),"",INDEX(tsk_ID,(ROW()-ROW(MSPTasks[[#Headers],[ID]]))))</f>
        <v/>
      </c>
      <c r="B192" s="24" t="str">
        <f aca="false">IF(IFERROR(INDEX(tsk_Name,(ROW()-ROW(MSPTasks[[#Headers],[ID]])))="",TRUE()),"",INDEX(tsk_UID,(ROW()-ROW(MSPTasks[[#Headers],[ID]]))))</f>
        <v/>
      </c>
      <c r="C192" s="24" t="str">
        <f aca="false">IF(IFERROR(INDEX(tsk_Name,(ROW()-ROW(MSPTasks[[#Headers],[ID]])))="",TRUE()),"",INDEX(tsk_Name,(ROW()-ROW(MSPTasks[[#Headers],[ID]]))))</f>
        <v/>
      </c>
      <c r="D192" s="24" t="str">
        <f aca="false">IF(IFERROR(INDEX(tsk_Name,(ROW()-ROW(MSPTasks[[#Headers],[ID]])))="",TRUE()),"",INDEX(tsk_Level,(ROW()-ROW(MSPTasks[[#Headers],[ID]]))))</f>
        <v/>
      </c>
      <c r="E192" s="24" t="str">
        <f aca="false">IF(IFERROR(INDEX(tsk_Name,(ROW()-ROW(MSPTasks[[#Headers],[ID]])))="",TRUE()),"",IF(INDEX(tsk_Mode,(ROW()-ROW(MSPTasks[[#Headers],[ID]])))="Manual","Manually Scheduled","Auto Scheduled"))</f>
        <v/>
      </c>
      <c r="F1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96" t="str">
        <f aca="false">IF(IFERROR(INDEX(tsk_Name,(ROW()-ROW(MSPTasks[[#Headers],[ID]])))="",TRUE()),"",INDEX(tsk_FcStart,(ROW()-ROW(MSPTasks[[#Headers],[ID]]))))</f>
        <v/>
      </c>
      <c r="H192" s="96" t="str">
        <f aca="false">IF(IFERROR(INDEX(tsk_Name,(ROW()-ROW(MSPTasks[[#Headers],[ID]])))="",TRUE()),"",INDEX(tsk_FcFinish,(ROW()-ROW(MSPTasks[[#Headers],[ID]]))))</f>
        <v/>
      </c>
      <c r="I1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96" t="str">
        <f aca="false">IF(IFERROR(INDEX(tsk_Name,(ROW()-ROW(MSPTasks[[#Headers],[ID]])))="",TRUE()),"",INDEX(tsk_PlanStart,(ROW()-ROW(MSPTasks[[#Headers],[ID]]))))</f>
        <v/>
      </c>
      <c r="P192" s="96" t="str">
        <f aca="false">IF(IFERROR(INDEX(tsk_Name,(ROW()-ROW(MSPTasks[[#Headers],[ID]])))="",TRUE()),"",INDEX(tsk_PlanFinish,(ROW()-ROW(MSPTasks[[#Headers],[ID]]))))</f>
        <v/>
      </c>
      <c r="Q1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2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2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2" s="24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4" t="str">
        <f aca="false">IF(IFERROR(INDEX(tsk_Name,(ROW()-ROW(MSPTasks[[#Headers],[ID]])))="",TRUE()),"",INDEX(tsk_ID,(ROW()-ROW(MSPTasks[[#Headers],[ID]]))))</f>
        <v/>
      </c>
      <c r="B193" s="24" t="str">
        <f aca="false">IF(IFERROR(INDEX(tsk_Name,(ROW()-ROW(MSPTasks[[#Headers],[ID]])))="",TRUE()),"",INDEX(tsk_UID,(ROW()-ROW(MSPTasks[[#Headers],[ID]]))))</f>
        <v/>
      </c>
      <c r="C193" s="24" t="str">
        <f aca="false">IF(IFERROR(INDEX(tsk_Name,(ROW()-ROW(MSPTasks[[#Headers],[ID]])))="",TRUE()),"",INDEX(tsk_Name,(ROW()-ROW(MSPTasks[[#Headers],[ID]]))))</f>
        <v/>
      </c>
      <c r="D193" s="24" t="str">
        <f aca="false">IF(IFERROR(INDEX(tsk_Name,(ROW()-ROW(MSPTasks[[#Headers],[ID]])))="",TRUE()),"",INDEX(tsk_Level,(ROW()-ROW(MSPTasks[[#Headers],[ID]]))))</f>
        <v/>
      </c>
      <c r="E193" s="24" t="str">
        <f aca="false">IF(IFERROR(INDEX(tsk_Name,(ROW()-ROW(MSPTasks[[#Headers],[ID]])))="",TRUE()),"",IF(INDEX(tsk_Mode,(ROW()-ROW(MSPTasks[[#Headers],[ID]])))="Manual","Manually Scheduled","Auto Scheduled"))</f>
        <v/>
      </c>
      <c r="F1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96" t="str">
        <f aca="false">IF(IFERROR(INDEX(tsk_Name,(ROW()-ROW(MSPTasks[[#Headers],[ID]])))="",TRUE()),"",INDEX(tsk_FcStart,(ROW()-ROW(MSPTasks[[#Headers],[ID]]))))</f>
        <v/>
      </c>
      <c r="H193" s="96" t="str">
        <f aca="false">IF(IFERROR(INDEX(tsk_Name,(ROW()-ROW(MSPTasks[[#Headers],[ID]])))="",TRUE()),"",INDEX(tsk_FcFinish,(ROW()-ROW(MSPTasks[[#Headers],[ID]]))))</f>
        <v/>
      </c>
      <c r="I1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96" t="str">
        <f aca="false">IF(IFERROR(INDEX(tsk_Name,(ROW()-ROW(MSPTasks[[#Headers],[ID]])))="",TRUE()),"",INDEX(tsk_PlanStart,(ROW()-ROW(MSPTasks[[#Headers],[ID]]))))</f>
        <v/>
      </c>
      <c r="P193" s="96" t="str">
        <f aca="false">IF(IFERROR(INDEX(tsk_Name,(ROW()-ROW(MSPTasks[[#Headers],[ID]])))="",TRUE()),"",INDEX(tsk_PlanFinish,(ROW()-ROW(MSPTasks[[#Headers],[ID]]))))</f>
        <v/>
      </c>
      <c r="Q1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3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3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3" s="24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4" t="str">
        <f aca="false">IF(IFERROR(INDEX(tsk_Name,(ROW()-ROW(MSPTasks[[#Headers],[ID]])))="",TRUE()),"",INDEX(tsk_ID,(ROW()-ROW(MSPTasks[[#Headers],[ID]]))))</f>
        <v/>
      </c>
      <c r="B194" s="24" t="str">
        <f aca="false">IF(IFERROR(INDEX(tsk_Name,(ROW()-ROW(MSPTasks[[#Headers],[ID]])))="",TRUE()),"",INDEX(tsk_UID,(ROW()-ROW(MSPTasks[[#Headers],[ID]]))))</f>
        <v/>
      </c>
      <c r="C194" s="24" t="str">
        <f aca="false">IF(IFERROR(INDEX(tsk_Name,(ROW()-ROW(MSPTasks[[#Headers],[ID]])))="",TRUE()),"",INDEX(tsk_Name,(ROW()-ROW(MSPTasks[[#Headers],[ID]]))))</f>
        <v/>
      </c>
      <c r="D194" s="24" t="str">
        <f aca="false">IF(IFERROR(INDEX(tsk_Name,(ROW()-ROW(MSPTasks[[#Headers],[ID]])))="",TRUE()),"",INDEX(tsk_Level,(ROW()-ROW(MSPTasks[[#Headers],[ID]]))))</f>
        <v/>
      </c>
      <c r="E194" s="24" t="str">
        <f aca="false">IF(IFERROR(INDEX(tsk_Name,(ROW()-ROW(MSPTasks[[#Headers],[ID]])))="",TRUE()),"",IF(INDEX(tsk_Mode,(ROW()-ROW(MSPTasks[[#Headers],[ID]])))="Manual","Manually Scheduled","Auto Scheduled"))</f>
        <v/>
      </c>
      <c r="F1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96" t="str">
        <f aca="false">IF(IFERROR(INDEX(tsk_Name,(ROW()-ROW(MSPTasks[[#Headers],[ID]])))="",TRUE()),"",INDEX(tsk_FcStart,(ROW()-ROW(MSPTasks[[#Headers],[ID]]))))</f>
        <v/>
      </c>
      <c r="H194" s="96" t="str">
        <f aca="false">IF(IFERROR(INDEX(tsk_Name,(ROW()-ROW(MSPTasks[[#Headers],[ID]])))="",TRUE()),"",INDEX(tsk_FcFinish,(ROW()-ROW(MSPTasks[[#Headers],[ID]]))))</f>
        <v/>
      </c>
      <c r="I1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96" t="str">
        <f aca="false">IF(IFERROR(INDEX(tsk_Name,(ROW()-ROW(MSPTasks[[#Headers],[ID]])))="",TRUE()),"",INDEX(tsk_PlanStart,(ROW()-ROW(MSPTasks[[#Headers],[ID]]))))</f>
        <v/>
      </c>
      <c r="P194" s="96" t="str">
        <f aca="false">IF(IFERROR(INDEX(tsk_Name,(ROW()-ROW(MSPTasks[[#Headers],[ID]])))="",TRUE()),"",INDEX(tsk_PlanFinish,(ROW()-ROW(MSPTasks[[#Headers],[ID]]))))</f>
        <v/>
      </c>
      <c r="Q1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4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4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4" s="24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4" t="str">
        <f aca="false">IF(IFERROR(INDEX(tsk_Name,(ROW()-ROW(MSPTasks[[#Headers],[ID]])))="",TRUE()),"",INDEX(tsk_ID,(ROW()-ROW(MSPTasks[[#Headers],[ID]]))))</f>
        <v/>
      </c>
      <c r="B195" s="24" t="str">
        <f aca="false">IF(IFERROR(INDEX(tsk_Name,(ROW()-ROW(MSPTasks[[#Headers],[ID]])))="",TRUE()),"",INDEX(tsk_UID,(ROW()-ROW(MSPTasks[[#Headers],[ID]]))))</f>
        <v/>
      </c>
      <c r="C195" s="24" t="str">
        <f aca="false">IF(IFERROR(INDEX(tsk_Name,(ROW()-ROW(MSPTasks[[#Headers],[ID]])))="",TRUE()),"",INDEX(tsk_Name,(ROW()-ROW(MSPTasks[[#Headers],[ID]]))))</f>
        <v/>
      </c>
      <c r="D195" s="24" t="str">
        <f aca="false">IF(IFERROR(INDEX(tsk_Name,(ROW()-ROW(MSPTasks[[#Headers],[ID]])))="",TRUE()),"",INDEX(tsk_Level,(ROW()-ROW(MSPTasks[[#Headers],[ID]]))))</f>
        <v/>
      </c>
      <c r="E195" s="24" t="str">
        <f aca="false">IF(IFERROR(INDEX(tsk_Name,(ROW()-ROW(MSPTasks[[#Headers],[ID]])))="",TRUE()),"",IF(INDEX(tsk_Mode,(ROW()-ROW(MSPTasks[[#Headers],[ID]])))="Manual","Manually Scheduled","Auto Scheduled"))</f>
        <v/>
      </c>
      <c r="F1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96" t="str">
        <f aca="false">IF(IFERROR(INDEX(tsk_Name,(ROW()-ROW(MSPTasks[[#Headers],[ID]])))="",TRUE()),"",INDEX(tsk_FcStart,(ROW()-ROW(MSPTasks[[#Headers],[ID]]))))</f>
        <v/>
      </c>
      <c r="H195" s="96" t="str">
        <f aca="false">IF(IFERROR(INDEX(tsk_Name,(ROW()-ROW(MSPTasks[[#Headers],[ID]])))="",TRUE()),"",INDEX(tsk_FcFinish,(ROW()-ROW(MSPTasks[[#Headers],[ID]]))))</f>
        <v/>
      </c>
      <c r="I1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96" t="str">
        <f aca="false">IF(IFERROR(INDEX(tsk_Name,(ROW()-ROW(MSPTasks[[#Headers],[ID]])))="",TRUE()),"",INDEX(tsk_PlanStart,(ROW()-ROW(MSPTasks[[#Headers],[ID]]))))</f>
        <v/>
      </c>
      <c r="P195" s="96" t="str">
        <f aca="false">IF(IFERROR(INDEX(tsk_Name,(ROW()-ROW(MSPTasks[[#Headers],[ID]])))="",TRUE()),"",INDEX(tsk_PlanFinish,(ROW()-ROW(MSPTasks[[#Headers],[ID]]))))</f>
        <v/>
      </c>
      <c r="Q1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5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5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5" s="24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4" t="str">
        <f aca="false">IF(IFERROR(INDEX(tsk_Name,(ROW()-ROW(MSPTasks[[#Headers],[ID]])))="",TRUE()),"",INDEX(tsk_ID,(ROW()-ROW(MSPTasks[[#Headers],[ID]]))))</f>
        <v/>
      </c>
      <c r="B196" s="24" t="str">
        <f aca="false">IF(IFERROR(INDEX(tsk_Name,(ROW()-ROW(MSPTasks[[#Headers],[ID]])))="",TRUE()),"",INDEX(tsk_UID,(ROW()-ROW(MSPTasks[[#Headers],[ID]]))))</f>
        <v/>
      </c>
      <c r="C196" s="24" t="str">
        <f aca="false">IF(IFERROR(INDEX(tsk_Name,(ROW()-ROW(MSPTasks[[#Headers],[ID]])))="",TRUE()),"",INDEX(tsk_Name,(ROW()-ROW(MSPTasks[[#Headers],[ID]]))))</f>
        <v/>
      </c>
      <c r="D196" s="24" t="str">
        <f aca="false">IF(IFERROR(INDEX(tsk_Name,(ROW()-ROW(MSPTasks[[#Headers],[ID]])))="",TRUE()),"",INDEX(tsk_Level,(ROW()-ROW(MSPTasks[[#Headers],[ID]]))))</f>
        <v/>
      </c>
      <c r="E196" s="24" t="str">
        <f aca="false">IF(IFERROR(INDEX(tsk_Name,(ROW()-ROW(MSPTasks[[#Headers],[ID]])))="",TRUE()),"",IF(INDEX(tsk_Mode,(ROW()-ROW(MSPTasks[[#Headers],[ID]])))="Manual","Manually Scheduled","Auto Scheduled"))</f>
        <v/>
      </c>
      <c r="F1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96" t="str">
        <f aca="false">IF(IFERROR(INDEX(tsk_Name,(ROW()-ROW(MSPTasks[[#Headers],[ID]])))="",TRUE()),"",INDEX(tsk_FcStart,(ROW()-ROW(MSPTasks[[#Headers],[ID]]))))</f>
        <v/>
      </c>
      <c r="H196" s="96" t="str">
        <f aca="false">IF(IFERROR(INDEX(tsk_Name,(ROW()-ROW(MSPTasks[[#Headers],[ID]])))="",TRUE()),"",INDEX(tsk_FcFinish,(ROW()-ROW(MSPTasks[[#Headers],[ID]]))))</f>
        <v/>
      </c>
      <c r="I1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96" t="str">
        <f aca="false">IF(IFERROR(INDEX(tsk_Name,(ROW()-ROW(MSPTasks[[#Headers],[ID]])))="",TRUE()),"",INDEX(tsk_PlanStart,(ROW()-ROW(MSPTasks[[#Headers],[ID]]))))</f>
        <v/>
      </c>
      <c r="P196" s="96" t="str">
        <f aca="false">IF(IFERROR(INDEX(tsk_Name,(ROW()-ROW(MSPTasks[[#Headers],[ID]])))="",TRUE()),"",INDEX(tsk_PlanFinish,(ROW()-ROW(MSPTasks[[#Headers],[ID]]))))</f>
        <v/>
      </c>
      <c r="Q1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6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6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6" s="24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4" t="str">
        <f aca="false">IF(IFERROR(INDEX(tsk_Name,(ROW()-ROW(MSPTasks[[#Headers],[ID]])))="",TRUE()),"",INDEX(tsk_ID,(ROW()-ROW(MSPTasks[[#Headers],[ID]]))))</f>
        <v/>
      </c>
      <c r="B197" s="24" t="str">
        <f aca="false">IF(IFERROR(INDEX(tsk_Name,(ROW()-ROW(MSPTasks[[#Headers],[ID]])))="",TRUE()),"",INDEX(tsk_UID,(ROW()-ROW(MSPTasks[[#Headers],[ID]]))))</f>
        <v/>
      </c>
      <c r="C197" s="24" t="str">
        <f aca="false">IF(IFERROR(INDEX(tsk_Name,(ROW()-ROW(MSPTasks[[#Headers],[ID]])))="",TRUE()),"",INDEX(tsk_Name,(ROW()-ROW(MSPTasks[[#Headers],[ID]]))))</f>
        <v/>
      </c>
      <c r="D197" s="24" t="str">
        <f aca="false">IF(IFERROR(INDEX(tsk_Name,(ROW()-ROW(MSPTasks[[#Headers],[ID]])))="",TRUE()),"",INDEX(tsk_Level,(ROW()-ROW(MSPTasks[[#Headers],[ID]]))))</f>
        <v/>
      </c>
      <c r="E197" s="24" t="str">
        <f aca="false">IF(IFERROR(INDEX(tsk_Name,(ROW()-ROW(MSPTasks[[#Headers],[ID]])))="",TRUE()),"",IF(INDEX(tsk_Mode,(ROW()-ROW(MSPTasks[[#Headers],[ID]])))="Manual","Manually Scheduled","Auto Scheduled"))</f>
        <v/>
      </c>
      <c r="F1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96" t="str">
        <f aca="false">IF(IFERROR(INDEX(tsk_Name,(ROW()-ROW(MSPTasks[[#Headers],[ID]])))="",TRUE()),"",INDEX(tsk_FcStart,(ROW()-ROW(MSPTasks[[#Headers],[ID]]))))</f>
        <v/>
      </c>
      <c r="H197" s="96" t="str">
        <f aca="false">IF(IFERROR(INDEX(tsk_Name,(ROW()-ROW(MSPTasks[[#Headers],[ID]])))="",TRUE()),"",INDEX(tsk_FcFinish,(ROW()-ROW(MSPTasks[[#Headers],[ID]]))))</f>
        <v/>
      </c>
      <c r="I1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96" t="str">
        <f aca="false">IF(IFERROR(INDEX(tsk_Name,(ROW()-ROW(MSPTasks[[#Headers],[ID]])))="",TRUE()),"",INDEX(tsk_PlanStart,(ROW()-ROW(MSPTasks[[#Headers],[ID]]))))</f>
        <v/>
      </c>
      <c r="P197" s="96" t="str">
        <f aca="false">IF(IFERROR(INDEX(tsk_Name,(ROW()-ROW(MSPTasks[[#Headers],[ID]])))="",TRUE()),"",INDEX(tsk_PlanFinish,(ROW()-ROW(MSPTasks[[#Headers],[ID]]))))</f>
        <v/>
      </c>
      <c r="Q1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7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7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7" s="24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4" t="str">
        <f aca="false">IF(IFERROR(INDEX(tsk_Name,(ROW()-ROW(MSPTasks[[#Headers],[ID]])))="",TRUE()),"",INDEX(tsk_ID,(ROW()-ROW(MSPTasks[[#Headers],[ID]]))))</f>
        <v/>
      </c>
      <c r="B198" s="24" t="str">
        <f aca="false">IF(IFERROR(INDEX(tsk_Name,(ROW()-ROW(MSPTasks[[#Headers],[ID]])))="",TRUE()),"",INDEX(tsk_UID,(ROW()-ROW(MSPTasks[[#Headers],[ID]]))))</f>
        <v/>
      </c>
      <c r="C198" s="24" t="str">
        <f aca="false">IF(IFERROR(INDEX(tsk_Name,(ROW()-ROW(MSPTasks[[#Headers],[ID]])))="",TRUE()),"",INDEX(tsk_Name,(ROW()-ROW(MSPTasks[[#Headers],[ID]]))))</f>
        <v/>
      </c>
      <c r="D198" s="24" t="str">
        <f aca="false">IF(IFERROR(INDEX(tsk_Name,(ROW()-ROW(MSPTasks[[#Headers],[ID]])))="",TRUE()),"",INDEX(tsk_Level,(ROW()-ROW(MSPTasks[[#Headers],[ID]]))))</f>
        <v/>
      </c>
      <c r="E198" s="24" t="str">
        <f aca="false">IF(IFERROR(INDEX(tsk_Name,(ROW()-ROW(MSPTasks[[#Headers],[ID]])))="",TRUE()),"",IF(INDEX(tsk_Mode,(ROW()-ROW(MSPTasks[[#Headers],[ID]])))="Manual","Manually Scheduled","Auto Scheduled"))</f>
        <v/>
      </c>
      <c r="F1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96" t="str">
        <f aca="false">IF(IFERROR(INDEX(tsk_Name,(ROW()-ROW(MSPTasks[[#Headers],[ID]])))="",TRUE()),"",INDEX(tsk_FcStart,(ROW()-ROW(MSPTasks[[#Headers],[ID]]))))</f>
        <v/>
      </c>
      <c r="H198" s="96" t="str">
        <f aca="false">IF(IFERROR(INDEX(tsk_Name,(ROW()-ROW(MSPTasks[[#Headers],[ID]])))="",TRUE()),"",INDEX(tsk_FcFinish,(ROW()-ROW(MSPTasks[[#Headers],[ID]]))))</f>
        <v/>
      </c>
      <c r="I1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96" t="str">
        <f aca="false">IF(IFERROR(INDEX(tsk_Name,(ROW()-ROW(MSPTasks[[#Headers],[ID]])))="",TRUE()),"",INDEX(tsk_PlanStart,(ROW()-ROW(MSPTasks[[#Headers],[ID]]))))</f>
        <v/>
      </c>
      <c r="P198" s="96" t="str">
        <f aca="false">IF(IFERROR(INDEX(tsk_Name,(ROW()-ROW(MSPTasks[[#Headers],[ID]])))="",TRUE()),"",INDEX(tsk_PlanFinish,(ROW()-ROW(MSPTasks[[#Headers],[ID]]))))</f>
        <v/>
      </c>
      <c r="Q1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8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8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8" s="24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4" t="str">
        <f aca="false">IF(IFERROR(INDEX(tsk_Name,(ROW()-ROW(MSPTasks[[#Headers],[ID]])))="",TRUE()),"",INDEX(tsk_ID,(ROW()-ROW(MSPTasks[[#Headers],[ID]]))))</f>
        <v/>
      </c>
      <c r="B199" s="24" t="str">
        <f aca="false">IF(IFERROR(INDEX(tsk_Name,(ROW()-ROW(MSPTasks[[#Headers],[ID]])))="",TRUE()),"",INDEX(tsk_UID,(ROW()-ROW(MSPTasks[[#Headers],[ID]]))))</f>
        <v/>
      </c>
      <c r="C199" s="24" t="str">
        <f aca="false">IF(IFERROR(INDEX(tsk_Name,(ROW()-ROW(MSPTasks[[#Headers],[ID]])))="",TRUE()),"",INDEX(tsk_Name,(ROW()-ROW(MSPTasks[[#Headers],[ID]]))))</f>
        <v/>
      </c>
      <c r="D199" s="24" t="str">
        <f aca="false">IF(IFERROR(INDEX(tsk_Name,(ROW()-ROW(MSPTasks[[#Headers],[ID]])))="",TRUE()),"",INDEX(tsk_Level,(ROW()-ROW(MSPTasks[[#Headers],[ID]]))))</f>
        <v/>
      </c>
      <c r="E199" s="24" t="str">
        <f aca="false">IF(IFERROR(INDEX(tsk_Name,(ROW()-ROW(MSPTasks[[#Headers],[ID]])))="",TRUE()),"",IF(INDEX(tsk_Mode,(ROW()-ROW(MSPTasks[[#Headers],[ID]])))="Manual","Manually Scheduled","Auto Scheduled"))</f>
        <v/>
      </c>
      <c r="F1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96" t="str">
        <f aca="false">IF(IFERROR(INDEX(tsk_Name,(ROW()-ROW(MSPTasks[[#Headers],[ID]])))="",TRUE()),"",INDEX(tsk_FcStart,(ROW()-ROW(MSPTasks[[#Headers],[ID]]))))</f>
        <v/>
      </c>
      <c r="H199" s="96" t="str">
        <f aca="false">IF(IFERROR(INDEX(tsk_Name,(ROW()-ROW(MSPTasks[[#Headers],[ID]])))="",TRUE()),"",INDEX(tsk_FcFinish,(ROW()-ROW(MSPTasks[[#Headers],[ID]]))))</f>
        <v/>
      </c>
      <c r="I1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96" t="str">
        <f aca="false">IF(IFERROR(INDEX(tsk_Name,(ROW()-ROW(MSPTasks[[#Headers],[ID]])))="",TRUE()),"",INDEX(tsk_PlanStart,(ROW()-ROW(MSPTasks[[#Headers],[ID]]))))</f>
        <v/>
      </c>
      <c r="P199" s="96" t="str">
        <f aca="false">IF(IFERROR(INDEX(tsk_Name,(ROW()-ROW(MSPTasks[[#Headers],[ID]])))="",TRUE()),"",INDEX(tsk_PlanFinish,(ROW()-ROW(MSPTasks[[#Headers],[ID]]))))</f>
        <v/>
      </c>
      <c r="Q1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9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9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9" s="24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4" t="str">
        <f aca="false">IF(IFERROR(INDEX(tsk_Name,(ROW()-ROW(MSPTasks[[#Headers],[ID]])))="",TRUE()),"",INDEX(tsk_ID,(ROW()-ROW(MSPTasks[[#Headers],[ID]]))))</f>
        <v/>
      </c>
      <c r="B200" s="24" t="str">
        <f aca="false">IF(IFERROR(INDEX(tsk_Name,(ROW()-ROW(MSPTasks[[#Headers],[ID]])))="",TRUE()),"",INDEX(tsk_UID,(ROW()-ROW(MSPTasks[[#Headers],[ID]]))))</f>
        <v/>
      </c>
      <c r="C200" s="24" t="str">
        <f aca="false">IF(IFERROR(INDEX(tsk_Name,(ROW()-ROW(MSPTasks[[#Headers],[ID]])))="",TRUE()),"",INDEX(tsk_Name,(ROW()-ROW(MSPTasks[[#Headers],[ID]]))))</f>
        <v/>
      </c>
      <c r="D200" s="24" t="str">
        <f aca="false">IF(IFERROR(INDEX(tsk_Name,(ROW()-ROW(MSPTasks[[#Headers],[ID]])))="",TRUE()),"",INDEX(tsk_Level,(ROW()-ROW(MSPTasks[[#Headers],[ID]]))))</f>
        <v/>
      </c>
      <c r="E200" s="24" t="str">
        <f aca="false">IF(IFERROR(INDEX(tsk_Name,(ROW()-ROW(MSPTasks[[#Headers],[ID]])))="",TRUE()),"",IF(INDEX(tsk_Mode,(ROW()-ROW(MSPTasks[[#Headers],[ID]])))="Manual","Manually Scheduled","Auto Scheduled"))</f>
        <v/>
      </c>
      <c r="F2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96" t="str">
        <f aca="false">IF(IFERROR(INDEX(tsk_Name,(ROW()-ROW(MSPTasks[[#Headers],[ID]])))="",TRUE()),"",INDEX(tsk_FcStart,(ROW()-ROW(MSPTasks[[#Headers],[ID]]))))</f>
        <v/>
      </c>
      <c r="H200" s="96" t="str">
        <f aca="false">IF(IFERROR(INDEX(tsk_Name,(ROW()-ROW(MSPTasks[[#Headers],[ID]])))="",TRUE()),"",INDEX(tsk_FcFinish,(ROW()-ROW(MSPTasks[[#Headers],[ID]]))))</f>
        <v/>
      </c>
      <c r="I2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96" t="str">
        <f aca="false">IF(IFERROR(INDEX(tsk_Name,(ROW()-ROW(MSPTasks[[#Headers],[ID]])))="",TRUE()),"",INDEX(tsk_PlanStart,(ROW()-ROW(MSPTasks[[#Headers],[ID]]))))</f>
        <v/>
      </c>
      <c r="P200" s="96" t="str">
        <f aca="false">IF(IFERROR(INDEX(tsk_Name,(ROW()-ROW(MSPTasks[[#Headers],[ID]])))="",TRUE()),"",INDEX(tsk_PlanFinish,(ROW()-ROW(MSPTasks[[#Headers],[ID]]))))</f>
        <v/>
      </c>
      <c r="Q2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0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0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0" s="24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4" t="str">
        <f aca="false">IF(IFERROR(INDEX(tsk_Name,(ROW()-ROW(MSPTasks[[#Headers],[ID]])))="",TRUE()),"",INDEX(tsk_ID,(ROW()-ROW(MSPTasks[[#Headers],[ID]]))))</f>
        <v/>
      </c>
      <c r="B201" s="24" t="str">
        <f aca="false">IF(IFERROR(INDEX(tsk_Name,(ROW()-ROW(MSPTasks[[#Headers],[ID]])))="",TRUE()),"",INDEX(tsk_UID,(ROW()-ROW(MSPTasks[[#Headers],[ID]]))))</f>
        <v/>
      </c>
      <c r="C201" s="24" t="str">
        <f aca="false">IF(IFERROR(INDEX(tsk_Name,(ROW()-ROW(MSPTasks[[#Headers],[ID]])))="",TRUE()),"",INDEX(tsk_Name,(ROW()-ROW(MSPTasks[[#Headers],[ID]]))))</f>
        <v/>
      </c>
      <c r="D201" s="24" t="str">
        <f aca="false">IF(IFERROR(INDEX(tsk_Name,(ROW()-ROW(MSPTasks[[#Headers],[ID]])))="",TRUE()),"",INDEX(tsk_Level,(ROW()-ROW(MSPTasks[[#Headers],[ID]]))))</f>
        <v/>
      </c>
      <c r="E201" s="24" t="str">
        <f aca="false">IF(IFERROR(INDEX(tsk_Name,(ROW()-ROW(MSPTasks[[#Headers],[ID]])))="",TRUE()),"",IF(INDEX(tsk_Mode,(ROW()-ROW(MSPTasks[[#Headers],[ID]])))="Manual","Manually Scheduled","Auto Scheduled"))</f>
        <v/>
      </c>
      <c r="F2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96" t="str">
        <f aca="false">IF(IFERROR(INDEX(tsk_Name,(ROW()-ROW(MSPTasks[[#Headers],[ID]])))="",TRUE()),"",INDEX(tsk_FcStart,(ROW()-ROW(MSPTasks[[#Headers],[ID]]))))</f>
        <v/>
      </c>
      <c r="H201" s="96" t="str">
        <f aca="false">IF(IFERROR(INDEX(tsk_Name,(ROW()-ROW(MSPTasks[[#Headers],[ID]])))="",TRUE()),"",INDEX(tsk_FcFinish,(ROW()-ROW(MSPTasks[[#Headers],[ID]]))))</f>
        <v/>
      </c>
      <c r="I2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96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96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96" t="str">
        <f aca="false">IF(IFERROR(INDEX(tsk_Name,(ROW()-ROW(MSPTasks[[#Headers],[ID]])))="",TRUE()),"",INDEX(tsk_PlanStart,(ROW()-ROW(MSPTasks[[#Headers],[ID]]))))</f>
        <v/>
      </c>
      <c r="P201" s="96" t="str">
        <f aca="false">IF(IFERROR(INDEX(tsk_Name,(ROW()-ROW(MSPTasks[[#Headers],[ID]])))="",TRUE()),"",INDEX(tsk_PlanFinish,(ROW()-ROW(MSPTasks[[#Headers],[ID]]))))</f>
        <v/>
      </c>
      <c r="Q2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1" s="96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1" s="96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1" s="24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445</v>
      </c>
      <c r="B1" s="9" t="s">
        <v>422</v>
      </c>
      <c r="C1" s="9" t="s">
        <v>423</v>
      </c>
      <c r="D1" s="9" t="s">
        <v>424</v>
      </c>
      <c r="E1" s="9" t="s">
        <v>425</v>
      </c>
      <c r="F1" s="9" t="s">
        <v>453</v>
      </c>
      <c r="G1" s="9" t="s">
        <v>454</v>
      </c>
    </row>
    <row r="2" customFormat="false" ht="15" hidden="false" customHeight="false" outlineLevel="0" collapsed="false">
      <c r="A2" s="24" t="str">
        <f aca="false">IF(IFERROR(INDEX(res_Name,(ROW()-ROW(MSPResources[[#Headers],[Name]])))="",TRUE()),"",INDEX(res_Name,(ROW()-ROW(MSPResources[[#Headers],[Name]])))&amp;"")</f>
        <v/>
      </c>
      <c r="B2" s="24" t="str">
        <f aca="false">IF(IFERROR(INDEX(res_Name,(ROW()-ROW(MSPResources[[#Headers],[Name]])))="",TRUE()),"",INDEX(res_Initials,(ROW()-ROW(MSPResources[[#Headers],[Name]])))&amp;"")</f>
        <v/>
      </c>
      <c r="C2" s="24" t="str">
        <f aca="false">IF(IFERROR(INDEX(res_Name,(ROW()-ROW(MSPResources[[#Headers],[Name]])))="",TRUE()),"",INDEX(res_Group,(ROW()-ROW(MSPResources[[#Headers],[Name]])))&amp;"")</f>
        <v/>
      </c>
      <c r="D2" s="24" t="str">
        <f aca="false">IF(IFERROR(INDEX(res_Name,(ROW()-ROW(MSPResources[[#Headers],[Name]])))="",TRUE()),"",INDEX(res_Type,(ROW()-ROW(MSPResources[[#Headers],[Name]])))&amp;"")</f>
        <v/>
      </c>
      <c r="E2" s="24" t="str">
        <f aca="false">IF(IFERROR(INDEX(res_Name,(ROW()-ROW(MSPResources[[#Headers],[Name]])))="",TRUE()),"",ROUND(INDEX(res_MaxUnits,(ROW()-ROW(MSPResources[[#Headers],[Name]])))*100,0)&amp;"%")</f>
        <v/>
      </c>
      <c r="F2" s="24" t="str">
        <f aca="false">IF(IFERROR(INDEX(res_Name,(ROW()-ROW(MSPResources[[#Headers],[Name]])))="",TRUE()),"",INDEX(res_Rate,(ROW()-ROW(MSPResources[[#Headers],[Name]])))&amp;"/h")</f>
        <v/>
      </c>
      <c r="G2" s="24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4" t="str">
        <f aca="false">IF(IFERROR(INDEX(res_Name,(ROW()-ROW(MSPResources[[#Headers],[Name]])))="",TRUE()),"",INDEX(res_Name,(ROW()-ROW(MSPResources[[#Headers],[Name]])))&amp;"")</f>
        <v/>
      </c>
      <c r="B3" s="24" t="str">
        <f aca="false">IF(IFERROR(INDEX(res_Name,(ROW()-ROW(MSPResources[[#Headers],[Name]])))="",TRUE()),"",INDEX(res_Initials,(ROW()-ROW(MSPResources[[#Headers],[Name]])))&amp;"")</f>
        <v/>
      </c>
      <c r="C3" s="24" t="str">
        <f aca="false">IF(IFERROR(INDEX(res_Name,(ROW()-ROW(MSPResources[[#Headers],[Name]])))="",TRUE()),"",INDEX(res_Group,(ROW()-ROW(MSPResources[[#Headers],[Name]])))&amp;"")</f>
        <v/>
      </c>
      <c r="D3" s="24" t="str">
        <f aca="false">IF(IFERROR(INDEX(res_Name,(ROW()-ROW(MSPResources[[#Headers],[Name]])))="",TRUE()),"",INDEX(res_Type,(ROW()-ROW(MSPResources[[#Headers],[Name]])))&amp;"")</f>
        <v/>
      </c>
      <c r="E3" s="24" t="str">
        <f aca="false">IF(IFERROR(INDEX(res_Name,(ROW()-ROW(MSPResources[[#Headers],[Name]])))="",TRUE()),"",ROUND(INDEX(res_MaxUnits,(ROW()-ROW(MSPResources[[#Headers],[Name]])))*100,0)&amp;"%")</f>
        <v/>
      </c>
      <c r="F3" s="24" t="str">
        <f aca="false">IF(IFERROR(INDEX(res_Name,(ROW()-ROW(MSPResources[[#Headers],[Name]])))="",TRUE()),"",INDEX(res_Rate,(ROW()-ROW(MSPResources[[#Headers],[Name]])))&amp;"/h")</f>
        <v/>
      </c>
      <c r="G3" s="24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4" t="str">
        <f aca="false">IF(IFERROR(INDEX(res_Name,(ROW()-ROW(MSPResources[[#Headers],[Name]])))="",TRUE()),"",INDEX(res_Name,(ROW()-ROW(MSPResources[[#Headers],[Name]])))&amp;"")</f>
        <v/>
      </c>
      <c r="B4" s="24" t="str">
        <f aca="false">IF(IFERROR(INDEX(res_Name,(ROW()-ROW(MSPResources[[#Headers],[Name]])))="",TRUE()),"",INDEX(res_Initials,(ROW()-ROW(MSPResources[[#Headers],[Name]])))&amp;"")</f>
        <v/>
      </c>
      <c r="C4" s="24" t="str">
        <f aca="false">IF(IFERROR(INDEX(res_Name,(ROW()-ROW(MSPResources[[#Headers],[Name]])))="",TRUE()),"",INDEX(res_Group,(ROW()-ROW(MSPResources[[#Headers],[Name]])))&amp;"")</f>
        <v/>
      </c>
      <c r="D4" s="24" t="str">
        <f aca="false">IF(IFERROR(INDEX(res_Name,(ROW()-ROW(MSPResources[[#Headers],[Name]])))="",TRUE()),"",INDEX(res_Type,(ROW()-ROW(MSPResources[[#Headers],[Name]])))&amp;"")</f>
        <v/>
      </c>
      <c r="E4" s="24" t="str">
        <f aca="false">IF(IFERROR(INDEX(res_Name,(ROW()-ROW(MSPResources[[#Headers],[Name]])))="",TRUE()),"",ROUND(INDEX(res_MaxUnits,(ROW()-ROW(MSPResources[[#Headers],[Name]])))*100,0)&amp;"%")</f>
        <v/>
      </c>
      <c r="F4" s="24" t="str">
        <f aca="false">IF(IFERROR(INDEX(res_Name,(ROW()-ROW(MSPResources[[#Headers],[Name]])))="",TRUE()),"",INDEX(res_Rate,(ROW()-ROW(MSPResources[[#Headers],[Name]])))&amp;"/h")</f>
        <v/>
      </c>
      <c r="G4" s="24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4" t="str">
        <f aca="false">IF(IFERROR(INDEX(res_Name,(ROW()-ROW(MSPResources[[#Headers],[Name]])))="",TRUE()),"",INDEX(res_Name,(ROW()-ROW(MSPResources[[#Headers],[Name]])))&amp;"")</f>
        <v/>
      </c>
      <c r="B5" s="24" t="str">
        <f aca="false">IF(IFERROR(INDEX(res_Name,(ROW()-ROW(MSPResources[[#Headers],[Name]])))="",TRUE()),"",INDEX(res_Initials,(ROW()-ROW(MSPResources[[#Headers],[Name]])))&amp;"")</f>
        <v/>
      </c>
      <c r="C5" s="24" t="str">
        <f aca="false">IF(IFERROR(INDEX(res_Name,(ROW()-ROW(MSPResources[[#Headers],[Name]])))="",TRUE()),"",INDEX(res_Group,(ROW()-ROW(MSPResources[[#Headers],[Name]])))&amp;"")</f>
        <v/>
      </c>
      <c r="D5" s="24" t="str">
        <f aca="false">IF(IFERROR(INDEX(res_Name,(ROW()-ROW(MSPResources[[#Headers],[Name]])))="",TRUE()),"",INDEX(res_Type,(ROW()-ROW(MSPResources[[#Headers],[Name]])))&amp;"")</f>
        <v/>
      </c>
      <c r="E5" s="24" t="str">
        <f aca="false">IF(IFERROR(INDEX(res_Name,(ROW()-ROW(MSPResources[[#Headers],[Name]])))="",TRUE()),"",ROUND(INDEX(res_MaxUnits,(ROW()-ROW(MSPResources[[#Headers],[Name]])))*100,0)&amp;"%")</f>
        <v/>
      </c>
      <c r="F5" s="24" t="str">
        <f aca="false">IF(IFERROR(INDEX(res_Name,(ROW()-ROW(MSPResources[[#Headers],[Name]])))="",TRUE()),"",INDEX(res_Rate,(ROW()-ROW(MSPResources[[#Headers],[Name]])))&amp;"/h")</f>
        <v/>
      </c>
      <c r="G5" s="24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4" t="str">
        <f aca="false">IF(IFERROR(INDEX(res_Name,(ROW()-ROW(MSPResources[[#Headers],[Name]])))="",TRUE()),"",INDEX(res_Name,(ROW()-ROW(MSPResources[[#Headers],[Name]])))&amp;"")</f>
        <v/>
      </c>
      <c r="B6" s="24" t="str">
        <f aca="false">IF(IFERROR(INDEX(res_Name,(ROW()-ROW(MSPResources[[#Headers],[Name]])))="",TRUE()),"",INDEX(res_Initials,(ROW()-ROW(MSPResources[[#Headers],[Name]])))&amp;"")</f>
        <v/>
      </c>
      <c r="C6" s="24" t="str">
        <f aca="false">IF(IFERROR(INDEX(res_Name,(ROW()-ROW(MSPResources[[#Headers],[Name]])))="",TRUE()),"",INDEX(res_Group,(ROW()-ROW(MSPResources[[#Headers],[Name]])))&amp;"")</f>
        <v/>
      </c>
      <c r="D6" s="24" t="str">
        <f aca="false">IF(IFERROR(INDEX(res_Name,(ROW()-ROW(MSPResources[[#Headers],[Name]])))="",TRUE()),"",INDEX(res_Type,(ROW()-ROW(MSPResources[[#Headers],[Name]])))&amp;"")</f>
        <v/>
      </c>
      <c r="E6" s="24" t="str">
        <f aca="false">IF(IFERROR(INDEX(res_Name,(ROW()-ROW(MSPResources[[#Headers],[Name]])))="",TRUE()),"",ROUND(INDEX(res_MaxUnits,(ROW()-ROW(MSPResources[[#Headers],[Name]])))*100,0)&amp;"%")</f>
        <v/>
      </c>
      <c r="F6" s="24" t="str">
        <f aca="false">IF(IFERROR(INDEX(res_Name,(ROW()-ROW(MSPResources[[#Headers],[Name]])))="",TRUE()),"",INDEX(res_Rate,(ROW()-ROW(MSPResources[[#Headers],[Name]])))&amp;"/h")</f>
        <v/>
      </c>
      <c r="G6" s="24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4" t="str">
        <f aca="false">IF(IFERROR(INDEX(res_Name,(ROW()-ROW(MSPResources[[#Headers],[Name]])))="",TRUE()),"",INDEX(res_Name,(ROW()-ROW(MSPResources[[#Headers],[Name]])))&amp;"")</f>
        <v/>
      </c>
      <c r="B7" s="24" t="str">
        <f aca="false">IF(IFERROR(INDEX(res_Name,(ROW()-ROW(MSPResources[[#Headers],[Name]])))="",TRUE()),"",INDEX(res_Initials,(ROW()-ROW(MSPResources[[#Headers],[Name]])))&amp;"")</f>
        <v/>
      </c>
      <c r="C7" s="24" t="str">
        <f aca="false">IF(IFERROR(INDEX(res_Name,(ROW()-ROW(MSPResources[[#Headers],[Name]])))="",TRUE()),"",INDEX(res_Group,(ROW()-ROW(MSPResources[[#Headers],[Name]])))&amp;"")</f>
        <v/>
      </c>
      <c r="D7" s="24" t="str">
        <f aca="false">IF(IFERROR(INDEX(res_Name,(ROW()-ROW(MSPResources[[#Headers],[Name]])))="",TRUE()),"",INDEX(res_Type,(ROW()-ROW(MSPResources[[#Headers],[Name]])))&amp;"")</f>
        <v/>
      </c>
      <c r="E7" s="24" t="str">
        <f aca="false">IF(IFERROR(INDEX(res_Name,(ROW()-ROW(MSPResources[[#Headers],[Name]])))="",TRUE()),"",ROUND(INDEX(res_MaxUnits,(ROW()-ROW(MSPResources[[#Headers],[Name]])))*100,0)&amp;"%")</f>
        <v/>
      </c>
      <c r="F7" s="24" t="str">
        <f aca="false">IF(IFERROR(INDEX(res_Name,(ROW()-ROW(MSPResources[[#Headers],[Name]])))="",TRUE()),"",INDEX(res_Rate,(ROW()-ROW(MSPResources[[#Headers],[Name]])))&amp;"/h")</f>
        <v/>
      </c>
      <c r="G7" s="24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4" t="str">
        <f aca="false">IF(IFERROR(INDEX(res_Name,(ROW()-ROW(MSPResources[[#Headers],[Name]])))="",TRUE()),"",INDEX(res_Name,(ROW()-ROW(MSPResources[[#Headers],[Name]])))&amp;"")</f>
        <v/>
      </c>
      <c r="B8" s="24" t="str">
        <f aca="false">IF(IFERROR(INDEX(res_Name,(ROW()-ROW(MSPResources[[#Headers],[Name]])))="",TRUE()),"",INDEX(res_Initials,(ROW()-ROW(MSPResources[[#Headers],[Name]])))&amp;"")</f>
        <v/>
      </c>
      <c r="C8" s="24" t="str">
        <f aca="false">IF(IFERROR(INDEX(res_Name,(ROW()-ROW(MSPResources[[#Headers],[Name]])))="",TRUE()),"",INDEX(res_Group,(ROW()-ROW(MSPResources[[#Headers],[Name]])))&amp;"")</f>
        <v/>
      </c>
      <c r="D8" s="24" t="str">
        <f aca="false">IF(IFERROR(INDEX(res_Name,(ROW()-ROW(MSPResources[[#Headers],[Name]])))="",TRUE()),"",INDEX(res_Type,(ROW()-ROW(MSPResources[[#Headers],[Name]])))&amp;"")</f>
        <v/>
      </c>
      <c r="E8" s="24" t="str">
        <f aca="false">IF(IFERROR(INDEX(res_Name,(ROW()-ROW(MSPResources[[#Headers],[Name]])))="",TRUE()),"",ROUND(INDEX(res_MaxUnits,(ROW()-ROW(MSPResources[[#Headers],[Name]])))*100,0)&amp;"%")</f>
        <v/>
      </c>
      <c r="F8" s="24" t="str">
        <f aca="false">IF(IFERROR(INDEX(res_Name,(ROW()-ROW(MSPResources[[#Headers],[Name]])))="",TRUE()),"",INDEX(res_Rate,(ROW()-ROW(MSPResources[[#Headers],[Name]])))&amp;"/h")</f>
        <v/>
      </c>
      <c r="G8" s="24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4" t="str">
        <f aca="false">IF(IFERROR(INDEX(res_Name,(ROW()-ROW(MSPResources[[#Headers],[Name]])))="",TRUE()),"",INDEX(res_Name,(ROW()-ROW(MSPResources[[#Headers],[Name]])))&amp;"")</f>
        <v/>
      </c>
      <c r="B9" s="24" t="str">
        <f aca="false">IF(IFERROR(INDEX(res_Name,(ROW()-ROW(MSPResources[[#Headers],[Name]])))="",TRUE()),"",INDEX(res_Initials,(ROW()-ROW(MSPResources[[#Headers],[Name]])))&amp;"")</f>
        <v/>
      </c>
      <c r="C9" s="24" t="str">
        <f aca="false">IF(IFERROR(INDEX(res_Name,(ROW()-ROW(MSPResources[[#Headers],[Name]])))="",TRUE()),"",INDEX(res_Group,(ROW()-ROW(MSPResources[[#Headers],[Name]])))&amp;"")</f>
        <v/>
      </c>
      <c r="D9" s="24" t="str">
        <f aca="false">IF(IFERROR(INDEX(res_Name,(ROW()-ROW(MSPResources[[#Headers],[Name]])))="",TRUE()),"",INDEX(res_Type,(ROW()-ROW(MSPResources[[#Headers],[Name]])))&amp;"")</f>
        <v/>
      </c>
      <c r="E9" s="24" t="str">
        <f aca="false">IF(IFERROR(INDEX(res_Name,(ROW()-ROW(MSPResources[[#Headers],[Name]])))="",TRUE()),"",ROUND(INDEX(res_MaxUnits,(ROW()-ROW(MSPResources[[#Headers],[Name]])))*100,0)&amp;"%")</f>
        <v/>
      </c>
      <c r="F9" s="24" t="str">
        <f aca="false">IF(IFERROR(INDEX(res_Name,(ROW()-ROW(MSPResources[[#Headers],[Name]])))="",TRUE()),"",INDEX(res_Rate,(ROW()-ROW(MSPResources[[#Headers],[Name]])))&amp;"/h")</f>
        <v/>
      </c>
      <c r="G9" s="24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4" t="str">
        <f aca="false">IF(IFERROR(INDEX(res_Name,(ROW()-ROW(MSPResources[[#Headers],[Name]])))="",TRUE()),"",INDEX(res_Name,(ROW()-ROW(MSPResources[[#Headers],[Name]])))&amp;"")</f>
        <v/>
      </c>
      <c r="B10" s="24" t="str">
        <f aca="false">IF(IFERROR(INDEX(res_Name,(ROW()-ROW(MSPResources[[#Headers],[Name]])))="",TRUE()),"",INDEX(res_Initials,(ROW()-ROW(MSPResources[[#Headers],[Name]])))&amp;"")</f>
        <v/>
      </c>
      <c r="C10" s="24" t="str">
        <f aca="false">IF(IFERROR(INDEX(res_Name,(ROW()-ROW(MSPResources[[#Headers],[Name]])))="",TRUE()),"",INDEX(res_Group,(ROW()-ROW(MSPResources[[#Headers],[Name]])))&amp;"")</f>
        <v/>
      </c>
      <c r="D10" s="24" t="str">
        <f aca="false">IF(IFERROR(INDEX(res_Name,(ROW()-ROW(MSPResources[[#Headers],[Name]])))="",TRUE()),"",INDEX(res_Type,(ROW()-ROW(MSPResources[[#Headers],[Name]])))&amp;"")</f>
        <v/>
      </c>
      <c r="E10" s="24" t="str">
        <f aca="false">IF(IFERROR(INDEX(res_Name,(ROW()-ROW(MSPResources[[#Headers],[Name]])))="",TRUE()),"",ROUND(INDEX(res_MaxUnits,(ROW()-ROW(MSPResources[[#Headers],[Name]])))*100,0)&amp;"%")</f>
        <v/>
      </c>
      <c r="F10" s="24" t="str">
        <f aca="false">IF(IFERROR(INDEX(res_Name,(ROW()-ROW(MSPResources[[#Headers],[Name]])))="",TRUE()),"",INDEX(res_Rate,(ROW()-ROW(MSPResources[[#Headers],[Name]])))&amp;"/h")</f>
        <v/>
      </c>
      <c r="G10" s="24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4" t="str">
        <f aca="false">IF(IFERROR(INDEX(res_Name,(ROW()-ROW(MSPResources[[#Headers],[Name]])))="",TRUE()),"",INDEX(res_Name,(ROW()-ROW(MSPResources[[#Headers],[Name]])))&amp;"")</f>
        <v/>
      </c>
      <c r="B11" s="24" t="str">
        <f aca="false">IF(IFERROR(INDEX(res_Name,(ROW()-ROW(MSPResources[[#Headers],[Name]])))="",TRUE()),"",INDEX(res_Initials,(ROW()-ROW(MSPResources[[#Headers],[Name]])))&amp;"")</f>
        <v/>
      </c>
      <c r="C11" s="24" t="str">
        <f aca="false">IF(IFERROR(INDEX(res_Name,(ROW()-ROW(MSPResources[[#Headers],[Name]])))="",TRUE()),"",INDEX(res_Group,(ROW()-ROW(MSPResources[[#Headers],[Name]])))&amp;"")</f>
        <v/>
      </c>
      <c r="D11" s="24" t="str">
        <f aca="false">IF(IFERROR(INDEX(res_Name,(ROW()-ROW(MSPResources[[#Headers],[Name]])))="",TRUE()),"",INDEX(res_Type,(ROW()-ROW(MSPResources[[#Headers],[Name]])))&amp;"")</f>
        <v/>
      </c>
      <c r="E11" s="24" t="str">
        <f aca="false">IF(IFERROR(INDEX(res_Name,(ROW()-ROW(MSPResources[[#Headers],[Name]])))="",TRUE()),"",ROUND(INDEX(res_MaxUnits,(ROW()-ROW(MSPResources[[#Headers],[Name]])))*100,0)&amp;"%")</f>
        <v/>
      </c>
      <c r="F11" s="24" t="str">
        <f aca="false">IF(IFERROR(INDEX(res_Name,(ROW()-ROW(MSPResources[[#Headers],[Name]])))="",TRUE()),"",INDEX(res_Rate,(ROW()-ROW(MSPResources[[#Headers],[Name]])))&amp;"/h")</f>
        <v/>
      </c>
      <c r="G11" s="24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4" t="str">
        <f aca="false">IF(IFERROR(INDEX(res_Name,(ROW()-ROW(MSPResources[[#Headers],[Name]])))="",TRUE()),"",INDEX(res_Name,(ROW()-ROW(MSPResources[[#Headers],[Name]])))&amp;"")</f>
        <v/>
      </c>
      <c r="B12" s="24" t="str">
        <f aca="false">IF(IFERROR(INDEX(res_Name,(ROW()-ROW(MSPResources[[#Headers],[Name]])))="",TRUE()),"",INDEX(res_Initials,(ROW()-ROW(MSPResources[[#Headers],[Name]])))&amp;"")</f>
        <v/>
      </c>
      <c r="C12" s="24" t="str">
        <f aca="false">IF(IFERROR(INDEX(res_Name,(ROW()-ROW(MSPResources[[#Headers],[Name]])))="",TRUE()),"",INDEX(res_Group,(ROW()-ROW(MSPResources[[#Headers],[Name]])))&amp;"")</f>
        <v/>
      </c>
      <c r="D12" s="24" t="str">
        <f aca="false">IF(IFERROR(INDEX(res_Name,(ROW()-ROW(MSPResources[[#Headers],[Name]])))="",TRUE()),"",INDEX(res_Type,(ROW()-ROW(MSPResources[[#Headers],[Name]])))&amp;"")</f>
        <v/>
      </c>
      <c r="E12" s="24" t="str">
        <f aca="false">IF(IFERROR(INDEX(res_Name,(ROW()-ROW(MSPResources[[#Headers],[Name]])))="",TRUE()),"",ROUND(INDEX(res_MaxUnits,(ROW()-ROW(MSPResources[[#Headers],[Name]])))*100,0)&amp;"%")</f>
        <v/>
      </c>
      <c r="F12" s="24" t="str">
        <f aca="false">IF(IFERROR(INDEX(res_Name,(ROW()-ROW(MSPResources[[#Headers],[Name]])))="",TRUE()),"",INDEX(res_Rate,(ROW()-ROW(MSPResources[[#Headers],[Name]])))&amp;"/h")</f>
        <v/>
      </c>
      <c r="G12" s="24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4" t="str">
        <f aca="false">IF(IFERROR(INDEX(res_Name,(ROW()-ROW(MSPResources[[#Headers],[Name]])))="",TRUE()),"",INDEX(res_Name,(ROW()-ROW(MSPResources[[#Headers],[Name]])))&amp;"")</f>
        <v/>
      </c>
      <c r="B13" s="24" t="str">
        <f aca="false">IF(IFERROR(INDEX(res_Name,(ROW()-ROW(MSPResources[[#Headers],[Name]])))="",TRUE()),"",INDEX(res_Initials,(ROW()-ROW(MSPResources[[#Headers],[Name]])))&amp;"")</f>
        <v/>
      </c>
      <c r="C13" s="24" t="str">
        <f aca="false">IF(IFERROR(INDEX(res_Name,(ROW()-ROW(MSPResources[[#Headers],[Name]])))="",TRUE()),"",INDEX(res_Group,(ROW()-ROW(MSPResources[[#Headers],[Name]])))&amp;"")</f>
        <v/>
      </c>
      <c r="D13" s="24" t="str">
        <f aca="false">IF(IFERROR(INDEX(res_Name,(ROW()-ROW(MSPResources[[#Headers],[Name]])))="",TRUE()),"",INDEX(res_Type,(ROW()-ROW(MSPResources[[#Headers],[Name]])))&amp;"")</f>
        <v/>
      </c>
      <c r="E13" s="24" t="str">
        <f aca="false">IF(IFERROR(INDEX(res_Name,(ROW()-ROW(MSPResources[[#Headers],[Name]])))="",TRUE()),"",ROUND(INDEX(res_MaxUnits,(ROW()-ROW(MSPResources[[#Headers],[Name]])))*100,0)&amp;"%")</f>
        <v/>
      </c>
      <c r="F13" s="24" t="str">
        <f aca="false">IF(IFERROR(INDEX(res_Name,(ROW()-ROW(MSPResources[[#Headers],[Name]])))="",TRUE()),"",INDEX(res_Rate,(ROW()-ROW(MSPResources[[#Headers],[Name]])))&amp;"/h")</f>
        <v/>
      </c>
      <c r="G13" s="24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4" t="str">
        <f aca="false">IF(IFERROR(INDEX(res_Name,(ROW()-ROW(MSPResources[[#Headers],[Name]])))="",TRUE()),"",INDEX(res_Name,(ROW()-ROW(MSPResources[[#Headers],[Name]])))&amp;"")</f>
        <v/>
      </c>
      <c r="B14" s="24" t="str">
        <f aca="false">IF(IFERROR(INDEX(res_Name,(ROW()-ROW(MSPResources[[#Headers],[Name]])))="",TRUE()),"",INDEX(res_Initials,(ROW()-ROW(MSPResources[[#Headers],[Name]])))&amp;"")</f>
        <v/>
      </c>
      <c r="C14" s="24" t="str">
        <f aca="false">IF(IFERROR(INDEX(res_Name,(ROW()-ROW(MSPResources[[#Headers],[Name]])))="",TRUE()),"",INDEX(res_Group,(ROW()-ROW(MSPResources[[#Headers],[Name]])))&amp;"")</f>
        <v/>
      </c>
      <c r="D14" s="24" t="str">
        <f aca="false">IF(IFERROR(INDEX(res_Name,(ROW()-ROW(MSPResources[[#Headers],[Name]])))="",TRUE()),"",INDEX(res_Type,(ROW()-ROW(MSPResources[[#Headers],[Name]])))&amp;"")</f>
        <v/>
      </c>
      <c r="E14" s="24" t="str">
        <f aca="false">IF(IFERROR(INDEX(res_Name,(ROW()-ROW(MSPResources[[#Headers],[Name]])))="",TRUE()),"",ROUND(INDEX(res_MaxUnits,(ROW()-ROW(MSPResources[[#Headers],[Name]])))*100,0)&amp;"%")</f>
        <v/>
      </c>
      <c r="F14" s="24" t="str">
        <f aca="false">IF(IFERROR(INDEX(res_Name,(ROW()-ROW(MSPResources[[#Headers],[Name]])))="",TRUE()),"",INDEX(res_Rate,(ROW()-ROW(MSPResources[[#Headers],[Name]])))&amp;"/h")</f>
        <v/>
      </c>
      <c r="G14" s="24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4" t="str">
        <f aca="false">IF(IFERROR(INDEX(res_Name,(ROW()-ROW(MSPResources[[#Headers],[Name]])))="",TRUE()),"",INDEX(res_Name,(ROW()-ROW(MSPResources[[#Headers],[Name]])))&amp;"")</f>
        <v/>
      </c>
      <c r="B15" s="24" t="str">
        <f aca="false">IF(IFERROR(INDEX(res_Name,(ROW()-ROW(MSPResources[[#Headers],[Name]])))="",TRUE()),"",INDEX(res_Initials,(ROW()-ROW(MSPResources[[#Headers],[Name]])))&amp;"")</f>
        <v/>
      </c>
      <c r="C15" s="24" t="str">
        <f aca="false">IF(IFERROR(INDEX(res_Name,(ROW()-ROW(MSPResources[[#Headers],[Name]])))="",TRUE()),"",INDEX(res_Group,(ROW()-ROW(MSPResources[[#Headers],[Name]])))&amp;"")</f>
        <v/>
      </c>
      <c r="D15" s="24" t="str">
        <f aca="false">IF(IFERROR(INDEX(res_Name,(ROW()-ROW(MSPResources[[#Headers],[Name]])))="",TRUE()),"",INDEX(res_Type,(ROW()-ROW(MSPResources[[#Headers],[Name]])))&amp;"")</f>
        <v/>
      </c>
      <c r="E15" s="24" t="str">
        <f aca="false">IF(IFERROR(INDEX(res_Name,(ROW()-ROW(MSPResources[[#Headers],[Name]])))="",TRUE()),"",ROUND(INDEX(res_MaxUnits,(ROW()-ROW(MSPResources[[#Headers],[Name]])))*100,0)&amp;"%")</f>
        <v/>
      </c>
      <c r="F15" s="24" t="str">
        <f aca="false">IF(IFERROR(INDEX(res_Name,(ROW()-ROW(MSPResources[[#Headers],[Name]])))="",TRUE()),"",INDEX(res_Rate,(ROW()-ROW(MSPResources[[#Headers],[Name]])))&amp;"/h")</f>
        <v/>
      </c>
      <c r="G15" s="24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4" t="str">
        <f aca="false">IF(IFERROR(INDEX(res_Name,(ROW()-ROW(MSPResources[[#Headers],[Name]])))="",TRUE()),"",INDEX(res_Name,(ROW()-ROW(MSPResources[[#Headers],[Name]])))&amp;"")</f>
        <v/>
      </c>
      <c r="B16" s="24" t="str">
        <f aca="false">IF(IFERROR(INDEX(res_Name,(ROW()-ROW(MSPResources[[#Headers],[Name]])))="",TRUE()),"",INDEX(res_Initials,(ROW()-ROW(MSPResources[[#Headers],[Name]])))&amp;"")</f>
        <v/>
      </c>
      <c r="C16" s="24" t="str">
        <f aca="false">IF(IFERROR(INDEX(res_Name,(ROW()-ROW(MSPResources[[#Headers],[Name]])))="",TRUE()),"",INDEX(res_Group,(ROW()-ROW(MSPResources[[#Headers],[Name]])))&amp;"")</f>
        <v/>
      </c>
      <c r="D16" s="24" t="str">
        <f aca="false">IF(IFERROR(INDEX(res_Name,(ROW()-ROW(MSPResources[[#Headers],[Name]])))="",TRUE()),"",INDEX(res_Type,(ROW()-ROW(MSPResources[[#Headers],[Name]])))&amp;"")</f>
        <v/>
      </c>
      <c r="E16" s="24" t="str">
        <f aca="false">IF(IFERROR(INDEX(res_Name,(ROW()-ROW(MSPResources[[#Headers],[Name]])))="",TRUE()),"",ROUND(INDEX(res_MaxUnits,(ROW()-ROW(MSPResources[[#Headers],[Name]])))*100,0)&amp;"%")</f>
        <v/>
      </c>
      <c r="F16" s="24" t="str">
        <f aca="false">IF(IFERROR(INDEX(res_Name,(ROW()-ROW(MSPResources[[#Headers],[Name]])))="",TRUE()),"",INDEX(res_Rate,(ROW()-ROW(MSPResources[[#Headers],[Name]])))&amp;"/h")</f>
        <v/>
      </c>
      <c r="G16" s="24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4" t="str">
        <f aca="false">IF(IFERROR(INDEX(res_Name,(ROW()-ROW(MSPResources[[#Headers],[Name]])))="",TRUE()),"",INDEX(res_Name,(ROW()-ROW(MSPResources[[#Headers],[Name]])))&amp;"")</f>
        <v/>
      </c>
      <c r="B17" s="24" t="str">
        <f aca="false">IF(IFERROR(INDEX(res_Name,(ROW()-ROW(MSPResources[[#Headers],[Name]])))="",TRUE()),"",INDEX(res_Initials,(ROW()-ROW(MSPResources[[#Headers],[Name]])))&amp;"")</f>
        <v/>
      </c>
      <c r="C17" s="24" t="str">
        <f aca="false">IF(IFERROR(INDEX(res_Name,(ROW()-ROW(MSPResources[[#Headers],[Name]])))="",TRUE()),"",INDEX(res_Group,(ROW()-ROW(MSPResources[[#Headers],[Name]])))&amp;"")</f>
        <v/>
      </c>
      <c r="D17" s="24" t="str">
        <f aca="false">IF(IFERROR(INDEX(res_Name,(ROW()-ROW(MSPResources[[#Headers],[Name]])))="",TRUE()),"",INDEX(res_Type,(ROW()-ROW(MSPResources[[#Headers],[Name]])))&amp;"")</f>
        <v/>
      </c>
      <c r="E17" s="24" t="str">
        <f aca="false">IF(IFERROR(INDEX(res_Name,(ROW()-ROW(MSPResources[[#Headers],[Name]])))="",TRUE()),"",ROUND(INDEX(res_MaxUnits,(ROW()-ROW(MSPResources[[#Headers],[Name]])))*100,0)&amp;"%")</f>
        <v/>
      </c>
      <c r="F17" s="24" t="str">
        <f aca="false">IF(IFERROR(INDEX(res_Name,(ROW()-ROW(MSPResources[[#Headers],[Name]])))="",TRUE()),"",INDEX(res_Rate,(ROW()-ROW(MSPResources[[#Headers],[Name]])))&amp;"/h")</f>
        <v/>
      </c>
      <c r="G17" s="24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4" t="str">
        <f aca="false">IF(IFERROR(INDEX(res_Name,(ROW()-ROW(MSPResources[[#Headers],[Name]])))="",TRUE()),"",INDEX(res_Name,(ROW()-ROW(MSPResources[[#Headers],[Name]])))&amp;"")</f>
        <v/>
      </c>
      <c r="B18" s="24" t="str">
        <f aca="false">IF(IFERROR(INDEX(res_Name,(ROW()-ROW(MSPResources[[#Headers],[Name]])))="",TRUE()),"",INDEX(res_Initials,(ROW()-ROW(MSPResources[[#Headers],[Name]])))&amp;"")</f>
        <v/>
      </c>
      <c r="C18" s="24" t="str">
        <f aca="false">IF(IFERROR(INDEX(res_Name,(ROW()-ROW(MSPResources[[#Headers],[Name]])))="",TRUE()),"",INDEX(res_Group,(ROW()-ROW(MSPResources[[#Headers],[Name]])))&amp;"")</f>
        <v/>
      </c>
      <c r="D18" s="24" t="str">
        <f aca="false">IF(IFERROR(INDEX(res_Name,(ROW()-ROW(MSPResources[[#Headers],[Name]])))="",TRUE()),"",INDEX(res_Type,(ROW()-ROW(MSPResources[[#Headers],[Name]])))&amp;"")</f>
        <v/>
      </c>
      <c r="E18" s="24" t="str">
        <f aca="false">IF(IFERROR(INDEX(res_Name,(ROW()-ROW(MSPResources[[#Headers],[Name]])))="",TRUE()),"",ROUND(INDEX(res_MaxUnits,(ROW()-ROW(MSPResources[[#Headers],[Name]])))*100,0)&amp;"%")</f>
        <v/>
      </c>
      <c r="F18" s="24" t="str">
        <f aca="false">IF(IFERROR(INDEX(res_Name,(ROW()-ROW(MSPResources[[#Headers],[Name]])))="",TRUE()),"",INDEX(res_Rate,(ROW()-ROW(MSPResources[[#Headers],[Name]])))&amp;"/h")</f>
        <v/>
      </c>
      <c r="G18" s="24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4" t="str">
        <f aca="false">IF(IFERROR(INDEX(res_Name,(ROW()-ROW(MSPResources[[#Headers],[Name]])))="",TRUE()),"",INDEX(res_Name,(ROW()-ROW(MSPResources[[#Headers],[Name]])))&amp;"")</f>
        <v/>
      </c>
      <c r="B19" s="24" t="str">
        <f aca="false">IF(IFERROR(INDEX(res_Name,(ROW()-ROW(MSPResources[[#Headers],[Name]])))="",TRUE()),"",INDEX(res_Initials,(ROW()-ROW(MSPResources[[#Headers],[Name]])))&amp;"")</f>
        <v/>
      </c>
      <c r="C19" s="24" t="str">
        <f aca="false">IF(IFERROR(INDEX(res_Name,(ROW()-ROW(MSPResources[[#Headers],[Name]])))="",TRUE()),"",INDEX(res_Group,(ROW()-ROW(MSPResources[[#Headers],[Name]])))&amp;"")</f>
        <v/>
      </c>
      <c r="D19" s="24" t="str">
        <f aca="false">IF(IFERROR(INDEX(res_Name,(ROW()-ROW(MSPResources[[#Headers],[Name]])))="",TRUE()),"",INDEX(res_Type,(ROW()-ROW(MSPResources[[#Headers],[Name]])))&amp;"")</f>
        <v/>
      </c>
      <c r="E19" s="24" t="str">
        <f aca="false">IF(IFERROR(INDEX(res_Name,(ROW()-ROW(MSPResources[[#Headers],[Name]])))="",TRUE()),"",ROUND(INDEX(res_MaxUnits,(ROW()-ROW(MSPResources[[#Headers],[Name]])))*100,0)&amp;"%")</f>
        <v/>
      </c>
      <c r="F19" s="24" t="str">
        <f aca="false">IF(IFERROR(INDEX(res_Name,(ROW()-ROW(MSPResources[[#Headers],[Name]])))="",TRUE()),"",INDEX(res_Rate,(ROW()-ROW(MSPResources[[#Headers],[Name]])))&amp;"/h")</f>
        <v/>
      </c>
      <c r="G19" s="24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4" t="str">
        <f aca="false">IF(IFERROR(INDEX(res_Name,(ROW()-ROW(MSPResources[[#Headers],[Name]])))="",TRUE()),"",INDEX(res_Name,(ROW()-ROW(MSPResources[[#Headers],[Name]])))&amp;"")</f>
        <v/>
      </c>
      <c r="B20" s="24" t="str">
        <f aca="false">IF(IFERROR(INDEX(res_Name,(ROW()-ROW(MSPResources[[#Headers],[Name]])))="",TRUE()),"",INDEX(res_Initials,(ROW()-ROW(MSPResources[[#Headers],[Name]])))&amp;"")</f>
        <v/>
      </c>
      <c r="C20" s="24" t="str">
        <f aca="false">IF(IFERROR(INDEX(res_Name,(ROW()-ROW(MSPResources[[#Headers],[Name]])))="",TRUE()),"",INDEX(res_Group,(ROW()-ROW(MSPResources[[#Headers],[Name]])))&amp;"")</f>
        <v/>
      </c>
      <c r="D20" s="24" t="str">
        <f aca="false">IF(IFERROR(INDEX(res_Name,(ROW()-ROW(MSPResources[[#Headers],[Name]])))="",TRUE()),"",INDEX(res_Type,(ROW()-ROW(MSPResources[[#Headers],[Name]])))&amp;"")</f>
        <v/>
      </c>
      <c r="E20" s="24" t="str">
        <f aca="false">IF(IFERROR(INDEX(res_Name,(ROW()-ROW(MSPResources[[#Headers],[Name]])))="",TRUE()),"",ROUND(INDEX(res_MaxUnits,(ROW()-ROW(MSPResources[[#Headers],[Name]])))*100,0)&amp;"%")</f>
        <v/>
      </c>
      <c r="F20" s="24" t="str">
        <f aca="false">IF(IFERROR(INDEX(res_Name,(ROW()-ROW(MSPResources[[#Headers],[Name]])))="",TRUE()),"",INDEX(res_Rate,(ROW()-ROW(MSPResources[[#Headers],[Name]])))&amp;"/h")</f>
        <v/>
      </c>
      <c r="G20" s="24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4" t="str">
        <f aca="false">IF(IFERROR(INDEX(res_Name,(ROW()-ROW(MSPResources[[#Headers],[Name]])))="",TRUE()),"",INDEX(res_Name,(ROW()-ROW(MSPResources[[#Headers],[Name]])))&amp;"")</f>
        <v/>
      </c>
      <c r="B21" s="24" t="str">
        <f aca="false">IF(IFERROR(INDEX(res_Name,(ROW()-ROW(MSPResources[[#Headers],[Name]])))="",TRUE()),"",INDEX(res_Initials,(ROW()-ROW(MSPResources[[#Headers],[Name]])))&amp;"")</f>
        <v/>
      </c>
      <c r="C21" s="24" t="str">
        <f aca="false">IF(IFERROR(INDEX(res_Name,(ROW()-ROW(MSPResources[[#Headers],[Name]])))="",TRUE()),"",INDEX(res_Group,(ROW()-ROW(MSPResources[[#Headers],[Name]])))&amp;"")</f>
        <v/>
      </c>
      <c r="D21" s="24" t="str">
        <f aca="false">IF(IFERROR(INDEX(res_Name,(ROW()-ROW(MSPResources[[#Headers],[Name]])))="",TRUE()),"",INDEX(res_Type,(ROW()-ROW(MSPResources[[#Headers],[Name]])))&amp;"")</f>
        <v/>
      </c>
      <c r="E21" s="24" t="str">
        <f aca="false">IF(IFERROR(INDEX(res_Name,(ROW()-ROW(MSPResources[[#Headers],[Name]])))="",TRUE()),"",ROUND(INDEX(res_MaxUnits,(ROW()-ROW(MSPResources[[#Headers],[Name]])))*100,0)&amp;"%")</f>
        <v/>
      </c>
      <c r="F21" s="24" t="str">
        <f aca="false">IF(IFERROR(INDEX(res_Name,(ROW()-ROW(MSPResources[[#Headers],[Name]])))="",TRUE()),"",INDEX(res_Rate,(ROW()-ROW(MSPResources[[#Headers],[Name]])))&amp;"/h")</f>
        <v/>
      </c>
      <c r="G21" s="24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4" t="str">
        <f aca="false">IF(IFERROR(INDEX(res_Name,(ROW()-ROW(MSPResources[[#Headers],[Name]])))="",TRUE()),"",INDEX(res_Name,(ROW()-ROW(MSPResources[[#Headers],[Name]])))&amp;"")</f>
        <v/>
      </c>
      <c r="B22" s="24" t="str">
        <f aca="false">IF(IFERROR(INDEX(res_Name,(ROW()-ROW(MSPResources[[#Headers],[Name]])))="",TRUE()),"",INDEX(res_Initials,(ROW()-ROW(MSPResources[[#Headers],[Name]])))&amp;"")</f>
        <v/>
      </c>
      <c r="C22" s="24" t="str">
        <f aca="false">IF(IFERROR(INDEX(res_Name,(ROW()-ROW(MSPResources[[#Headers],[Name]])))="",TRUE()),"",INDEX(res_Group,(ROW()-ROW(MSPResources[[#Headers],[Name]])))&amp;"")</f>
        <v/>
      </c>
      <c r="D22" s="24" t="str">
        <f aca="false">IF(IFERROR(INDEX(res_Name,(ROW()-ROW(MSPResources[[#Headers],[Name]])))="",TRUE()),"",INDEX(res_Type,(ROW()-ROW(MSPResources[[#Headers],[Name]])))&amp;"")</f>
        <v/>
      </c>
      <c r="E22" s="24" t="str">
        <f aca="false">IF(IFERROR(INDEX(res_Name,(ROW()-ROW(MSPResources[[#Headers],[Name]])))="",TRUE()),"",ROUND(INDEX(res_MaxUnits,(ROW()-ROW(MSPResources[[#Headers],[Name]])))*100,0)&amp;"%")</f>
        <v/>
      </c>
      <c r="F22" s="24" t="str">
        <f aca="false">IF(IFERROR(INDEX(res_Name,(ROW()-ROW(MSPResources[[#Headers],[Name]])))="",TRUE()),"",INDEX(res_Rate,(ROW()-ROW(MSPResources[[#Headers],[Name]])))&amp;"/h")</f>
        <v/>
      </c>
      <c r="G22" s="24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4" t="str">
        <f aca="false">IF(IFERROR(INDEX(res_Name,(ROW()-ROW(MSPResources[[#Headers],[Name]])))="",TRUE()),"",INDEX(res_Name,(ROW()-ROW(MSPResources[[#Headers],[Name]])))&amp;"")</f>
        <v/>
      </c>
      <c r="B23" s="24" t="str">
        <f aca="false">IF(IFERROR(INDEX(res_Name,(ROW()-ROW(MSPResources[[#Headers],[Name]])))="",TRUE()),"",INDEX(res_Initials,(ROW()-ROW(MSPResources[[#Headers],[Name]])))&amp;"")</f>
        <v/>
      </c>
      <c r="C23" s="24" t="str">
        <f aca="false">IF(IFERROR(INDEX(res_Name,(ROW()-ROW(MSPResources[[#Headers],[Name]])))="",TRUE()),"",INDEX(res_Group,(ROW()-ROW(MSPResources[[#Headers],[Name]])))&amp;"")</f>
        <v/>
      </c>
      <c r="D23" s="24" t="str">
        <f aca="false">IF(IFERROR(INDEX(res_Name,(ROW()-ROW(MSPResources[[#Headers],[Name]])))="",TRUE()),"",INDEX(res_Type,(ROW()-ROW(MSPResources[[#Headers],[Name]])))&amp;"")</f>
        <v/>
      </c>
      <c r="E23" s="24" t="str">
        <f aca="false">IF(IFERROR(INDEX(res_Name,(ROW()-ROW(MSPResources[[#Headers],[Name]])))="",TRUE()),"",ROUND(INDEX(res_MaxUnits,(ROW()-ROW(MSPResources[[#Headers],[Name]])))*100,0)&amp;"%")</f>
        <v/>
      </c>
      <c r="F23" s="24" t="str">
        <f aca="false">IF(IFERROR(INDEX(res_Name,(ROW()-ROW(MSPResources[[#Headers],[Name]])))="",TRUE()),"",INDEX(res_Rate,(ROW()-ROW(MSPResources[[#Headers],[Name]])))&amp;"/h")</f>
        <v/>
      </c>
      <c r="G23" s="24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4" t="str">
        <f aca="false">IF(IFERROR(INDEX(res_Name,(ROW()-ROW(MSPResources[[#Headers],[Name]])))="",TRUE()),"",INDEX(res_Name,(ROW()-ROW(MSPResources[[#Headers],[Name]])))&amp;"")</f>
        <v/>
      </c>
      <c r="B24" s="24" t="str">
        <f aca="false">IF(IFERROR(INDEX(res_Name,(ROW()-ROW(MSPResources[[#Headers],[Name]])))="",TRUE()),"",INDEX(res_Initials,(ROW()-ROW(MSPResources[[#Headers],[Name]])))&amp;"")</f>
        <v/>
      </c>
      <c r="C24" s="24" t="str">
        <f aca="false">IF(IFERROR(INDEX(res_Name,(ROW()-ROW(MSPResources[[#Headers],[Name]])))="",TRUE()),"",INDEX(res_Group,(ROW()-ROW(MSPResources[[#Headers],[Name]])))&amp;"")</f>
        <v/>
      </c>
      <c r="D24" s="24" t="str">
        <f aca="false">IF(IFERROR(INDEX(res_Name,(ROW()-ROW(MSPResources[[#Headers],[Name]])))="",TRUE()),"",INDEX(res_Type,(ROW()-ROW(MSPResources[[#Headers],[Name]])))&amp;"")</f>
        <v/>
      </c>
      <c r="E24" s="24" t="str">
        <f aca="false">IF(IFERROR(INDEX(res_Name,(ROW()-ROW(MSPResources[[#Headers],[Name]])))="",TRUE()),"",ROUND(INDEX(res_MaxUnits,(ROW()-ROW(MSPResources[[#Headers],[Name]])))*100,0)&amp;"%")</f>
        <v/>
      </c>
      <c r="F24" s="24" t="str">
        <f aca="false">IF(IFERROR(INDEX(res_Name,(ROW()-ROW(MSPResources[[#Headers],[Name]])))="",TRUE()),"",INDEX(res_Rate,(ROW()-ROW(MSPResources[[#Headers],[Name]])))&amp;"/h")</f>
        <v/>
      </c>
      <c r="G24" s="24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4" t="str">
        <f aca="false">IF(IFERROR(INDEX(res_Name,(ROW()-ROW(MSPResources[[#Headers],[Name]])))="",TRUE()),"",INDEX(res_Name,(ROW()-ROW(MSPResources[[#Headers],[Name]])))&amp;"")</f>
        <v/>
      </c>
      <c r="B25" s="24" t="str">
        <f aca="false">IF(IFERROR(INDEX(res_Name,(ROW()-ROW(MSPResources[[#Headers],[Name]])))="",TRUE()),"",INDEX(res_Initials,(ROW()-ROW(MSPResources[[#Headers],[Name]])))&amp;"")</f>
        <v/>
      </c>
      <c r="C25" s="24" t="str">
        <f aca="false">IF(IFERROR(INDEX(res_Name,(ROW()-ROW(MSPResources[[#Headers],[Name]])))="",TRUE()),"",INDEX(res_Group,(ROW()-ROW(MSPResources[[#Headers],[Name]])))&amp;"")</f>
        <v/>
      </c>
      <c r="D25" s="24" t="str">
        <f aca="false">IF(IFERROR(INDEX(res_Name,(ROW()-ROW(MSPResources[[#Headers],[Name]])))="",TRUE()),"",INDEX(res_Type,(ROW()-ROW(MSPResources[[#Headers],[Name]])))&amp;"")</f>
        <v/>
      </c>
      <c r="E25" s="24" t="str">
        <f aca="false">IF(IFERROR(INDEX(res_Name,(ROW()-ROW(MSPResources[[#Headers],[Name]])))="",TRUE()),"",ROUND(INDEX(res_MaxUnits,(ROW()-ROW(MSPResources[[#Headers],[Name]])))*100,0)&amp;"%")</f>
        <v/>
      </c>
      <c r="F25" s="24" t="str">
        <f aca="false">IF(IFERROR(INDEX(res_Name,(ROW()-ROW(MSPResources[[#Headers],[Name]])))="",TRUE()),"",INDEX(res_Rate,(ROW()-ROW(MSPResources[[#Headers],[Name]])))&amp;"/h")</f>
        <v/>
      </c>
      <c r="G25" s="24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4" t="str">
        <f aca="false">IF(IFERROR(INDEX(res_Name,(ROW()-ROW(MSPResources[[#Headers],[Name]])))="",TRUE()),"",INDEX(res_Name,(ROW()-ROW(MSPResources[[#Headers],[Name]])))&amp;"")</f>
        <v/>
      </c>
      <c r="B26" s="24" t="str">
        <f aca="false">IF(IFERROR(INDEX(res_Name,(ROW()-ROW(MSPResources[[#Headers],[Name]])))="",TRUE()),"",INDEX(res_Initials,(ROW()-ROW(MSPResources[[#Headers],[Name]])))&amp;"")</f>
        <v/>
      </c>
      <c r="C26" s="24" t="str">
        <f aca="false">IF(IFERROR(INDEX(res_Name,(ROW()-ROW(MSPResources[[#Headers],[Name]])))="",TRUE()),"",INDEX(res_Group,(ROW()-ROW(MSPResources[[#Headers],[Name]])))&amp;"")</f>
        <v/>
      </c>
      <c r="D26" s="24" t="str">
        <f aca="false">IF(IFERROR(INDEX(res_Name,(ROW()-ROW(MSPResources[[#Headers],[Name]])))="",TRUE()),"",INDEX(res_Type,(ROW()-ROW(MSPResources[[#Headers],[Name]])))&amp;"")</f>
        <v/>
      </c>
      <c r="E26" s="24" t="str">
        <f aca="false">IF(IFERROR(INDEX(res_Name,(ROW()-ROW(MSPResources[[#Headers],[Name]])))="",TRUE()),"",ROUND(INDEX(res_MaxUnits,(ROW()-ROW(MSPResources[[#Headers],[Name]])))*100,0)&amp;"%")</f>
        <v/>
      </c>
      <c r="F26" s="24" t="str">
        <f aca="false">IF(IFERROR(INDEX(res_Name,(ROW()-ROW(MSPResources[[#Headers],[Name]])))="",TRUE()),"",INDEX(res_Rate,(ROW()-ROW(MSPResources[[#Headers],[Name]])))&amp;"/h")</f>
        <v/>
      </c>
      <c r="G26" s="24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4" t="str">
        <f aca="false">IF(IFERROR(INDEX(res_Name,(ROW()-ROW(MSPResources[[#Headers],[Name]])))="",TRUE()),"",INDEX(res_Name,(ROW()-ROW(MSPResources[[#Headers],[Name]])))&amp;"")</f>
        <v/>
      </c>
      <c r="B27" s="24" t="str">
        <f aca="false">IF(IFERROR(INDEX(res_Name,(ROW()-ROW(MSPResources[[#Headers],[Name]])))="",TRUE()),"",INDEX(res_Initials,(ROW()-ROW(MSPResources[[#Headers],[Name]])))&amp;"")</f>
        <v/>
      </c>
      <c r="C27" s="24" t="str">
        <f aca="false">IF(IFERROR(INDEX(res_Name,(ROW()-ROW(MSPResources[[#Headers],[Name]])))="",TRUE()),"",INDEX(res_Group,(ROW()-ROW(MSPResources[[#Headers],[Name]])))&amp;"")</f>
        <v/>
      </c>
      <c r="D27" s="24" t="str">
        <f aca="false">IF(IFERROR(INDEX(res_Name,(ROW()-ROW(MSPResources[[#Headers],[Name]])))="",TRUE()),"",INDEX(res_Type,(ROW()-ROW(MSPResources[[#Headers],[Name]])))&amp;"")</f>
        <v/>
      </c>
      <c r="E27" s="24" t="str">
        <f aca="false">IF(IFERROR(INDEX(res_Name,(ROW()-ROW(MSPResources[[#Headers],[Name]])))="",TRUE()),"",ROUND(INDEX(res_MaxUnits,(ROW()-ROW(MSPResources[[#Headers],[Name]])))*100,0)&amp;"%")</f>
        <v/>
      </c>
      <c r="F27" s="24" t="str">
        <f aca="false">IF(IFERROR(INDEX(res_Name,(ROW()-ROW(MSPResources[[#Headers],[Name]])))="",TRUE()),"",INDEX(res_Rate,(ROW()-ROW(MSPResources[[#Headers],[Name]])))&amp;"/h")</f>
        <v/>
      </c>
      <c r="G27" s="24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4" t="str">
        <f aca="false">IF(IFERROR(INDEX(res_Name,(ROW()-ROW(MSPResources[[#Headers],[Name]])))="",TRUE()),"",INDEX(res_Name,(ROW()-ROW(MSPResources[[#Headers],[Name]])))&amp;"")</f>
        <v/>
      </c>
      <c r="B28" s="24" t="str">
        <f aca="false">IF(IFERROR(INDEX(res_Name,(ROW()-ROW(MSPResources[[#Headers],[Name]])))="",TRUE()),"",INDEX(res_Initials,(ROW()-ROW(MSPResources[[#Headers],[Name]])))&amp;"")</f>
        <v/>
      </c>
      <c r="C28" s="24" t="str">
        <f aca="false">IF(IFERROR(INDEX(res_Name,(ROW()-ROW(MSPResources[[#Headers],[Name]])))="",TRUE()),"",INDEX(res_Group,(ROW()-ROW(MSPResources[[#Headers],[Name]])))&amp;"")</f>
        <v/>
      </c>
      <c r="D28" s="24" t="str">
        <f aca="false">IF(IFERROR(INDEX(res_Name,(ROW()-ROW(MSPResources[[#Headers],[Name]])))="",TRUE()),"",INDEX(res_Type,(ROW()-ROW(MSPResources[[#Headers],[Name]])))&amp;"")</f>
        <v/>
      </c>
      <c r="E28" s="24" t="str">
        <f aca="false">IF(IFERROR(INDEX(res_Name,(ROW()-ROW(MSPResources[[#Headers],[Name]])))="",TRUE()),"",ROUND(INDEX(res_MaxUnits,(ROW()-ROW(MSPResources[[#Headers],[Name]])))*100,0)&amp;"%")</f>
        <v/>
      </c>
      <c r="F28" s="24" t="str">
        <f aca="false">IF(IFERROR(INDEX(res_Name,(ROW()-ROW(MSPResources[[#Headers],[Name]])))="",TRUE()),"",INDEX(res_Rate,(ROW()-ROW(MSPResources[[#Headers],[Name]])))&amp;"/h")</f>
        <v/>
      </c>
      <c r="G28" s="24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4" t="str">
        <f aca="false">IF(IFERROR(INDEX(res_Name,(ROW()-ROW(MSPResources[[#Headers],[Name]])))="",TRUE()),"",INDEX(res_Name,(ROW()-ROW(MSPResources[[#Headers],[Name]])))&amp;"")</f>
        <v/>
      </c>
      <c r="B29" s="24" t="str">
        <f aca="false">IF(IFERROR(INDEX(res_Name,(ROW()-ROW(MSPResources[[#Headers],[Name]])))="",TRUE()),"",INDEX(res_Initials,(ROW()-ROW(MSPResources[[#Headers],[Name]])))&amp;"")</f>
        <v/>
      </c>
      <c r="C29" s="24" t="str">
        <f aca="false">IF(IFERROR(INDEX(res_Name,(ROW()-ROW(MSPResources[[#Headers],[Name]])))="",TRUE()),"",INDEX(res_Group,(ROW()-ROW(MSPResources[[#Headers],[Name]])))&amp;"")</f>
        <v/>
      </c>
      <c r="D29" s="24" t="str">
        <f aca="false">IF(IFERROR(INDEX(res_Name,(ROW()-ROW(MSPResources[[#Headers],[Name]])))="",TRUE()),"",INDEX(res_Type,(ROW()-ROW(MSPResources[[#Headers],[Name]])))&amp;"")</f>
        <v/>
      </c>
      <c r="E29" s="24" t="str">
        <f aca="false">IF(IFERROR(INDEX(res_Name,(ROW()-ROW(MSPResources[[#Headers],[Name]])))="",TRUE()),"",ROUND(INDEX(res_MaxUnits,(ROW()-ROW(MSPResources[[#Headers],[Name]])))*100,0)&amp;"%")</f>
        <v/>
      </c>
      <c r="F29" s="24" t="str">
        <f aca="false">IF(IFERROR(INDEX(res_Name,(ROW()-ROW(MSPResources[[#Headers],[Name]])))="",TRUE()),"",INDEX(res_Rate,(ROW()-ROW(MSPResources[[#Headers],[Name]])))&amp;"/h")</f>
        <v/>
      </c>
      <c r="G29" s="24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4" t="str">
        <f aca="false">IF(IFERROR(INDEX(res_Name,(ROW()-ROW(MSPResources[[#Headers],[Name]])))="",TRUE()),"",INDEX(res_Name,(ROW()-ROW(MSPResources[[#Headers],[Name]])))&amp;"")</f>
        <v/>
      </c>
      <c r="B30" s="24" t="str">
        <f aca="false">IF(IFERROR(INDEX(res_Name,(ROW()-ROW(MSPResources[[#Headers],[Name]])))="",TRUE()),"",INDEX(res_Initials,(ROW()-ROW(MSPResources[[#Headers],[Name]])))&amp;"")</f>
        <v/>
      </c>
      <c r="C30" s="24" t="str">
        <f aca="false">IF(IFERROR(INDEX(res_Name,(ROW()-ROW(MSPResources[[#Headers],[Name]])))="",TRUE()),"",INDEX(res_Group,(ROW()-ROW(MSPResources[[#Headers],[Name]])))&amp;"")</f>
        <v/>
      </c>
      <c r="D30" s="24" t="str">
        <f aca="false">IF(IFERROR(INDEX(res_Name,(ROW()-ROW(MSPResources[[#Headers],[Name]])))="",TRUE()),"",INDEX(res_Type,(ROW()-ROW(MSPResources[[#Headers],[Name]])))&amp;"")</f>
        <v/>
      </c>
      <c r="E30" s="24" t="str">
        <f aca="false">IF(IFERROR(INDEX(res_Name,(ROW()-ROW(MSPResources[[#Headers],[Name]])))="",TRUE()),"",ROUND(INDEX(res_MaxUnits,(ROW()-ROW(MSPResources[[#Headers],[Name]])))*100,0)&amp;"%")</f>
        <v/>
      </c>
      <c r="F30" s="24" t="str">
        <f aca="false">IF(IFERROR(INDEX(res_Name,(ROW()-ROW(MSPResources[[#Headers],[Name]])))="",TRUE()),"",INDEX(res_Rate,(ROW()-ROW(MSPResources[[#Headers],[Name]])))&amp;"/h")</f>
        <v/>
      </c>
      <c r="G30" s="24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4" t="str">
        <f aca="false">IF(IFERROR(INDEX(res_Name,(ROW()-ROW(MSPResources[[#Headers],[Name]])))="",TRUE()),"",INDEX(res_Name,(ROW()-ROW(MSPResources[[#Headers],[Name]])))&amp;"")</f>
        <v/>
      </c>
      <c r="B31" s="24" t="str">
        <f aca="false">IF(IFERROR(INDEX(res_Name,(ROW()-ROW(MSPResources[[#Headers],[Name]])))="",TRUE()),"",INDEX(res_Initials,(ROW()-ROW(MSPResources[[#Headers],[Name]])))&amp;"")</f>
        <v/>
      </c>
      <c r="C31" s="24" t="str">
        <f aca="false">IF(IFERROR(INDEX(res_Name,(ROW()-ROW(MSPResources[[#Headers],[Name]])))="",TRUE()),"",INDEX(res_Group,(ROW()-ROW(MSPResources[[#Headers],[Name]])))&amp;"")</f>
        <v/>
      </c>
      <c r="D31" s="24" t="str">
        <f aca="false">IF(IFERROR(INDEX(res_Name,(ROW()-ROW(MSPResources[[#Headers],[Name]])))="",TRUE()),"",INDEX(res_Type,(ROW()-ROW(MSPResources[[#Headers],[Name]])))&amp;"")</f>
        <v/>
      </c>
      <c r="E31" s="24" t="str">
        <f aca="false">IF(IFERROR(INDEX(res_Name,(ROW()-ROW(MSPResources[[#Headers],[Name]])))="",TRUE()),"",ROUND(INDEX(res_MaxUnits,(ROW()-ROW(MSPResources[[#Headers],[Name]])))*100,0)&amp;"%")</f>
        <v/>
      </c>
      <c r="F31" s="24" t="str">
        <f aca="false">IF(IFERROR(INDEX(res_Name,(ROW()-ROW(MSPResources[[#Headers],[Name]])))="",TRUE()),"",INDEX(res_Rate,(ROW()-ROW(MSPResources[[#Headers],[Name]])))&amp;"/h")</f>
        <v/>
      </c>
      <c r="G31" s="24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4" t="str">
        <f aca="false">IF(IFERROR(INDEX(res_Name,(ROW()-ROW(MSPResources[[#Headers],[Name]])))="",TRUE()),"",INDEX(res_Name,(ROW()-ROW(MSPResources[[#Headers],[Name]])))&amp;"")</f>
        <v/>
      </c>
      <c r="B32" s="24" t="str">
        <f aca="false">IF(IFERROR(INDEX(res_Name,(ROW()-ROW(MSPResources[[#Headers],[Name]])))="",TRUE()),"",INDEX(res_Initials,(ROW()-ROW(MSPResources[[#Headers],[Name]])))&amp;"")</f>
        <v/>
      </c>
      <c r="C32" s="24" t="str">
        <f aca="false">IF(IFERROR(INDEX(res_Name,(ROW()-ROW(MSPResources[[#Headers],[Name]])))="",TRUE()),"",INDEX(res_Group,(ROW()-ROW(MSPResources[[#Headers],[Name]])))&amp;"")</f>
        <v/>
      </c>
      <c r="D32" s="24" t="str">
        <f aca="false">IF(IFERROR(INDEX(res_Name,(ROW()-ROW(MSPResources[[#Headers],[Name]])))="",TRUE()),"",INDEX(res_Type,(ROW()-ROW(MSPResources[[#Headers],[Name]])))&amp;"")</f>
        <v/>
      </c>
      <c r="E32" s="24" t="str">
        <f aca="false">IF(IFERROR(INDEX(res_Name,(ROW()-ROW(MSPResources[[#Headers],[Name]])))="",TRUE()),"",ROUND(INDEX(res_MaxUnits,(ROW()-ROW(MSPResources[[#Headers],[Name]])))*100,0)&amp;"%")</f>
        <v/>
      </c>
      <c r="F32" s="24" t="str">
        <f aca="false">IF(IFERROR(INDEX(res_Name,(ROW()-ROW(MSPResources[[#Headers],[Name]])))="",TRUE()),"",INDEX(res_Rate,(ROW()-ROW(MSPResources[[#Headers],[Name]])))&amp;"/h")</f>
        <v/>
      </c>
      <c r="G32" s="24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4" t="str">
        <f aca="false">IF(IFERROR(INDEX(res_Name,(ROW()-ROW(MSPResources[[#Headers],[Name]])))="",TRUE()),"",INDEX(res_Name,(ROW()-ROW(MSPResources[[#Headers],[Name]])))&amp;"")</f>
        <v/>
      </c>
      <c r="B33" s="24" t="str">
        <f aca="false">IF(IFERROR(INDEX(res_Name,(ROW()-ROW(MSPResources[[#Headers],[Name]])))="",TRUE()),"",INDEX(res_Initials,(ROW()-ROW(MSPResources[[#Headers],[Name]])))&amp;"")</f>
        <v/>
      </c>
      <c r="C33" s="24" t="str">
        <f aca="false">IF(IFERROR(INDEX(res_Name,(ROW()-ROW(MSPResources[[#Headers],[Name]])))="",TRUE()),"",INDEX(res_Group,(ROW()-ROW(MSPResources[[#Headers],[Name]])))&amp;"")</f>
        <v/>
      </c>
      <c r="D33" s="24" t="str">
        <f aca="false">IF(IFERROR(INDEX(res_Name,(ROW()-ROW(MSPResources[[#Headers],[Name]])))="",TRUE()),"",INDEX(res_Type,(ROW()-ROW(MSPResources[[#Headers],[Name]])))&amp;"")</f>
        <v/>
      </c>
      <c r="E33" s="24" t="str">
        <f aca="false">IF(IFERROR(INDEX(res_Name,(ROW()-ROW(MSPResources[[#Headers],[Name]])))="",TRUE()),"",ROUND(INDEX(res_MaxUnits,(ROW()-ROW(MSPResources[[#Headers],[Name]])))*100,0)&amp;"%")</f>
        <v/>
      </c>
      <c r="F33" s="24" t="str">
        <f aca="false">IF(IFERROR(INDEX(res_Name,(ROW()-ROW(MSPResources[[#Headers],[Name]])))="",TRUE()),"",INDEX(res_Rate,(ROW()-ROW(MSPResources[[#Headers],[Name]])))&amp;"/h")</f>
        <v/>
      </c>
      <c r="G33" s="24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4" t="str">
        <f aca="false">IF(IFERROR(INDEX(res_Name,(ROW()-ROW(MSPResources[[#Headers],[Name]])))="",TRUE()),"",INDEX(res_Name,(ROW()-ROW(MSPResources[[#Headers],[Name]])))&amp;"")</f>
        <v/>
      </c>
      <c r="B34" s="24" t="str">
        <f aca="false">IF(IFERROR(INDEX(res_Name,(ROW()-ROW(MSPResources[[#Headers],[Name]])))="",TRUE()),"",INDEX(res_Initials,(ROW()-ROW(MSPResources[[#Headers],[Name]])))&amp;"")</f>
        <v/>
      </c>
      <c r="C34" s="24" t="str">
        <f aca="false">IF(IFERROR(INDEX(res_Name,(ROW()-ROW(MSPResources[[#Headers],[Name]])))="",TRUE()),"",INDEX(res_Group,(ROW()-ROW(MSPResources[[#Headers],[Name]])))&amp;"")</f>
        <v/>
      </c>
      <c r="D34" s="24" t="str">
        <f aca="false">IF(IFERROR(INDEX(res_Name,(ROW()-ROW(MSPResources[[#Headers],[Name]])))="",TRUE()),"",INDEX(res_Type,(ROW()-ROW(MSPResources[[#Headers],[Name]])))&amp;"")</f>
        <v/>
      </c>
      <c r="E34" s="24" t="str">
        <f aca="false">IF(IFERROR(INDEX(res_Name,(ROW()-ROW(MSPResources[[#Headers],[Name]])))="",TRUE()),"",ROUND(INDEX(res_MaxUnits,(ROW()-ROW(MSPResources[[#Headers],[Name]])))*100,0)&amp;"%")</f>
        <v/>
      </c>
      <c r="F34" s="24" t="str">
        <f aca="false">IF(IFERROR(INDEX(res_Name,(ROW()-ROW(MSPResources[[#Headers],[Name]])))="",TRUE()),"",INDEX(res_Rate,(ROW()-ROW(MSPResources[[#Headers],[Name]])))&amp;"/h")</f>
        <v/>
      </c>
      <c r="G34" s="24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4" t="str">
        <f aca="false">IF(IFERROR(INDEX(res_Name,(ROW()-ROW(MSPResources[[#Headers],[Name]])))="",TRUE()),"",INDEX(res_Name,(ROW()-ROW(MSPResources[[#Headers],[Name]])))&amp;"")</f>
        <v/>
      </c>
      <c r="B35" s="24" t="str">
        <f aca="false">IF(IFERROR(INDEX(res_Name,(ROW()-ROW(MSPResources[[#Headers],[Name]])))="",TRUE()),"",INDEX(res_Initials,(ROW()-ROW(MSPResources[[#Headers],[Name]])))&amp;"")</f>
        <v/>
      </c>
      <c r="C35" s="24" t="str">
        <f aca="false">IF(IFERROR(INDEX(res_Name,(ROW()-ROW(MSPResources[[#Headers],[Name]])))="",TRUE()),"",INDEX(res_Group,(ROW()-ROW(MSPResources[[#Headers],[Name]])))&amp;"")</f>
        <v/>
      </c>
      <c r="D35" s="24" t="str">
        <f aca="false">IF(IFERROR(INDEX(res_Name,(ROW()-ROW(MSPResources[[#Headers],[Name]])))="",TRUE()),"",INDEX(res_Type,(ROW()-ROW(MSPResources[[#Headers],[Name]])))&amp;"")</f>
        <v/>
      </c>
      <c r="E35" s="24" t="str">
        <f aca="false">IF(IFERROR(INDEX(res_Name,(ROW()-ROW(MSPResources[[#Headers],[Name]])))="",TRUE()),"",ROUND(INDEX(res_MaxUnits,(ROW()-ROW(MSPResources[[#Headers],[Name]])))*100,0)&amp;"%")</f>
        <v/>
      </c>
      <c r="F35" s="24" t="str">
        <f aca="false">IF(IFERROR(INDEX(res_Name,(ROW()-ROW(MSPResources[[#Headers],[Name]])))="",TRUE()),"",INDEX(res_Rate,(ROW()-ROW(MSPResources[[#Headers],[Name]])))&amp;"/h")</f>
        <v/>
      </c>
      <c r="G35" s="24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4" t="str">
        <f aca="false">IF(IFERROR(INDEX(res_Name,(ROW()-ROW(MSPResources[[#Headers],[Name]])))="",TRUE()),"",INDEX(res_Name,(ROW()-ROW(MSPResources[[#Headers],[Name]])))&amp;"")</f>
        <v/>
      </c>
      <c r="B36" s="24" t="str">
        <f aca="false">IF(IFERROR(INDEX(res_Name,(ROW()-ROW(MSPResources[[#Headers],[Name]])))="",TRUE()),"",INDEX(res_Initials,(ROW()-ROW(MSPResources[[#Headers],[Name]])))&amp;"")</f>
        <v/>
      </c>
      <c r="C36" s="24" t="str">
        <f aca="false">IF(IFERROR(INDEX(res_Name,(ROW()-ROW(MSPResources[[#Headers],[Name]])))="",TRUE()),"",INDEX(res_Group,(ROW()-ROW(MSPResources[[#Headers],[Name]])))&amp;"")</f>
        <v/>
      </c>
      <c r="D36" s="24" t="str">
        <f aca="false">IF(IFERROR(INDEX(res_Name,(ROW()-ROW(MSPResources[[#Headers],[Name]])))="",TRUE()),"",INDEX(res_Type,(ROW()-ROW(MSPResources[[#Headers],[Name]])))&amp;"")</f>
        <v/>
      </c>
      <c r="E36" s="24" t="str">
        <f aca="false">IF(IFERROR(INDEX(res_Name,(ROW()-ROW(MSPResources[[#Headers],[Name]])))="",TRUE()),"",ROUND(INDEX(res_MaxUnits,(ROW()-ROW(MSPResources[[#Headers],[Name]])))*100,0)&amp;"%")</f>
        <v/>
      </c>
      <c r="F36" s="24" t="str">
        <f aca="false">IF(IFERROR(INDEX(res_Name,(ROW()-ROW(MSPResources[[#Headers],[Name]])))="",TRUE()),"",INDEX(res_Rate,(ROW()-ROW(MSPResources[[#Headers],[Name]])))&amp;"/h")</f>
        <v/>
      </c>
      <c r="G36" s="24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4" t="str">
        <f aca="false">IF(IFERROR(INDEX(res_Name,(ROW()-ROW(MSPResources[[#Headers],[Name]])))="",TRUE()),"",INDEX(res_Name,(ROW()-ROW(MSPResources[[#Headers],[Name]])))&amp;"")</f>
        <v/>
      </c>
      <c r="B37" s="24" t="str">
        <f aca="false">IF(IFERROR(INDEX(res_Name,(ROW()-ROW(MSPResources[[#Headers],[Name]])))="",TRUE()),"",INDEX(res_Initials,(ROW()-ROW(MSPResources[[#Headers],[Name]])))&amp;"")</f>
        <v/>
      </c>
      <c r="C37" s="24" t="str">
        <f aca="false">IF(IFERROR(INDEX(res_Name,(ROW()-ROW(MSPResources[[#Headers],[Name]])))="",TRUE()),"",INDEX(res_Group,(ROW()-ROW(MSPResources[[#Headers],[Name]])))&amp;"")</f>
        <v/>
      </c>
      <c r="D37" s="24" t="str">
        <f aca="false">IF(IFERROR(INDEX(res_Name,(ROW()-ROW(MSPResources[[#Headers],[Name]])))="",TRUE()),"",INDEX(res_Type,(ROW()-ROW(MSPResources[[#Headers],[Name]])))&amp;"")</f>
        <v/>
      </c>
      <c r="E37" s="24" t="str">
        <f aca="false">IF(IFERROR(INDEX(res_Name,(ROW()-ROW(MSPResources[[#Headers],[Name]])))="",TRUE()),"",ROUND(INDEX(res_MaxUnits,(ROW()-ROW(MSPResources[[#Headers],[Name]])))*100,0)&amp;"%")</f>
        <v/>
      </c>
      <c r="F37" s="24" t="str">
        <f aca="false">IF(IFERROR(INDEX(res_Name,(ROW()-ROW(MSPResources[[#Headers],[Name]])))="",TRUE()),"",INDEX(res_Rate,(ROW()-ROW(MSPResources[[#Headers],[Name]])))&amp;"/h")</f>
        <v/>
      </c>
      <c r="G37" s="24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4" t="str">
        <f aca="false">IF(IFERROR(INDEX(res_Name,(ROW()-ROW(MSPResources[[#Headers],[Name]])))="",TRUE()),"",INDEX(res_Name,(ROW()-ROW(MSPResources[[#Headers],[Name]])))&amp;"")</f>
        <v/>
      </c>
      <c r="B38" s="24" t="str">
        <f aca="false">IF(IFERROR(INDEX(res_Name,(ROW()-ROW(MSPResources[[#Headers],[Name]])))="",TRUE()),"",INDEX(res_Initials,(ROW()-ROW(MSPResources[[#Headers],[Name]])))&amp;"")</f>
        <v/>
      </c>
      <c r="C38" s="24" t="str">
        <f aca="false">IF(IFERROR(INDEX(res_Name,(ROW()-ROW(MSPResources[[#Headers],[Name]])))="",TRUE()),"",INDEX(res_Group,(ROW()-ROW(MSPResources[[#Headers],[Name]])))&amp;"")</f>
        <v/>
      </c>
      <c r="D38" s="24" t="str">
        <f aca="false">IF(IFERROR(INDEX(res_Name,(ROW()-ROW(MSPResources[[#Headers],[Name]])))="",TRUE()),"",INDEX(res_Type,(ROW()-ROW(MSPResources[[#Headers],[Name]])))&amp;"")</f>
        <v/>
      </c>
      <c r="E38" s="24" t="str">
        <f aca="false">IF(IFERROR(INDEX(res_Name,(ROW()-ROW(MSPResources[[#Headers],[Name]])))="",TRUE()),"",ROUND(INDEX(res_MaxUnits,(ROW()-ROW(MSPResources[[#Headers],[Name]])))*100,0)&amp;"%")</f>
        <v/>
      </c>
      <c r="F38" s="24" t="str">
        <f aca="false">IF(IFERROR(INDEX(res_Name,(ROW()-ROW(MSPResources[[#Headers],[Name]])))="",TRUE()),"",INDEX(res_Rate,(ROW()-ROW(MSPResources[[#Headers],[Name]])))&amp;"/h")</f>
        <v/>
      </c>
      <c r="G38" s="24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4" t="str">
        <f aca="false">IF(IFERROR(INDEX(res_Name,(ROW()-ROW(MSPResources[[#Headers],[Name]])))="",TRUE()),"",INDEX(res_Name,(ROW()-ROW(MSPResources[[#Headers],[Name]])))&amp;"")</f>
        <v/>
      </c>
      <c r="B39" s="24" t="str">
        <f aca="false">IF(IFERROR(INDEX(res_Name,(ROW()-ROW(MSPResources[[#Headers],[Name]])))="",TRUE()),"",INDEX(res_Initials,(ROW()-ROW(MSPResources[[#Headers],[Name]])))&amp;"")</f>
        <v/>
      </c>
      <c r="C39" s="24" t="str">
        <f aca="false">IF(IFERROR(INDEX(res_Name,(ROW()-ROW(MSPResources[[#Headers],[Name]])))="",TRUE()),"",INDEX(res_Group,(ROW()-ROW(MSPResources[[#Headers],[Name]])))&amp;"")</f>
        <v/>
      </c>
      <c r="D39" s="24" t="str">
        <f aca="false">IF(IFERROR(INDEX(res_Name,(ROW()-ROW(MSPResources[[#Headers],[Name]])))="",TRUE()),"",INDEX(res_Type,(ROW()-ROW(MSPResources[[#Headers],[Name]])))&amp;"")</f>
        <v/>
      </c>
      <c r="E39" s="24" t="str">
        <f aca="false">IF(IFERROR(INDEX(res_Name,(ROW()-ROW(MSPResources[[#Headers],[Name]])))="",TRUE()),"",ROUND(INDEX(res_MaxUnits,(ROW()-ROW(MSPResources[[#Headers],[Name]])))*100,0)&amp;"%")</f>
        <v/>
      </c>
      <c r="F39" s="24" t="str">
        <f aca="false">IF(IFERROR(INDEX(res_Name,(ROW()-ROW(MSPResources[[#Headers],[Name]])))="",TRUE()),"",INDEX(res_Rate,(ROW()-ROW(MSPResources[[#Headers],[Name]])))&amp;"/h")</f>
        <v/>
      </c>
      <c r="G39" s="24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4" t="str">
        <f aca="false">IF(IFERROR(INDEX(res_Name,(ROW()-ROW(MSPResources[[#Headers],[Name]])))="",TRUE()),"",INDEX(res_Name,(ROW()-ROW(MSPResources[[#Headers],[Name]])))&amp;"")</f>
        <v/>
      </c>
      <c r="B40" s="24" t="str">
        <f aca="false">IF(IFERROR(INDEX(res_Name,(ROW()-ROW(MSPResources[[#Headers],[Name]])))="",TRUE()),"",INDEX(res_Initials,(ROW()-ROW(MSPResources[[#Headers],[Name]])))&amp;"")</f>
        <v/>
      </c>
      <c r="C40" s="24" t="str">
        <f aca="false">IF(IFERROR(INDEX(res_Name,(ROW()-ROW(MSPResources[[#Headers],[Name]])))="",TRUE()),"",INDEX(res_Group,(ROW()-ROW(MSPResources[[#Headers],[Name]])))&amp;"")</f>
        <v/>
      </c>
      <c r="D40" s="24" t="str">
        <f aca="false">IF(IFERROR(INDEX(res_Name,(ROW()-ROW(MSPResources[[#Headers],[Name]])))="",TRUE()),"",INDEX(res_Type,(ROW()-ROW(MSPResources[[#Headers],[Name]])))&amp;"")</f>
        <v/>
      </c>
      <c r="E40" s="24" t="str">
        <f aca="false">IF(IFERROR(INDEX(res_Name,(ROW()-ROW(MSPResources[[#Headers],[Name]])))="",TRUE()),"",ROUND(INDEX(res_MaxUnits,(ROW()-ROW(MSPResources[[#Headers],[Name]])))*100,0)&amp;"%")</f>
        <v/>
      </c>
      <c r="F40" s="24" t="str">
        <f aca="false">IF(IFERROR(INDEX(res_Name,(ROW()-ROW(MSPResources[[#Headers],[Name]])))="",TRUE()),"",INDEX(res_Rate,(ROW()-ROW(MSPResources[[#Headers],[Name]])))&amp;"/h")</f>
        <v/>
      </c>
      <c r="G40" s="24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4" t="str">
        <f aca="false">IF(IFERROR(INDEX(res_Name,(ROW()-ROW(MSPResources[[#Headers],[Name]])))="",TRUE()),"",INDEX(res_Name,(ROW()-ROW(MSPResources[[#Headers],[Name]])))&amp;"")</f>
        <v/>
      </c>
      <c r="B41" s="24" t="str">
        <f aca="false">IF(IFERROR(INDEX(res_Name,(ROW()-ROW(MSPResources[[#Headers],[Name]])))="",TRUE()),"",INDEX(res_Initials,(ROW()-ROW(MSPResources[[#Headers],[Name]])))&amp;"")</f>
        <v/>
      </c>
      <c r="C41" s="24" t="str">
        <f aca="false">IF(IFERROR(INDEX(res_Name,(ROW()-ROW(MSPResources[[#Headers],[Name]])))="",TRUE()),"",INDEX(res_Group,(ROW()-ROW(MSPResources[[#Headers],[Name]])))&amp;"")</f>
        <v/>
      </c>
      <c r="D41" s="24" t="str">
        <f aca="false">IF(IFERROR(INDEX(res_Name,(ROW()-ROW(MSPResources[[#Headers],[Name]])))="",TRUE()),"",INDEX(res_Type,(ROW()-ROW(MSPResources[[#Headers],[Name]])))&amp;"")</f>
        <v/>
      </c>
      <c r="E41" s="24" t="str">
        <f aca="false">IF(IFERROR(INDEX(res_Name,(ROW()-ROW(MSPResources[[#Headers],[Name]])))="",TRUE()),"",ROUND(INDEX(res_MaxUnits,(ROW()-ROW(MSPResources[[#Headers],[Name]])))*100,0)&amp;"%")</f>
        <v/>
      </c>
      <c r="F41" s="24" t="str">
        <f aca="false">IF(IFERROR(INDEX(res_Name,(ROW()-ROW(MSPResources[[#Headers],[Name]])))="",TRUE()),"",INDEX(res_Rate,(ROW()-ROW(MSPResources[[#Headers],[Name]])))&amp;"/h")</f>
        <v/>
      </c>
      <c r="G41" s="24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4" t="str">
        <f aca="false">IF(IFERROR(INDEX(res_Name,(ROW()-ROW(MSPResources[[#Headers],[Name]])))="",TRUE()),"",INDEX(res_Name,(ROW()-ROW(MSPResources[[#Headers],[Name]])))&amp;"")</f>
        <v/>
      </c>
      <c r="B42" s="24" t="str">
        <f aca="false">IF(IFERROR(INDEX(res_Name,(ROW()-ROW(MSPResources[[#Headers],[Name]])))="",TRUE()),"",INDEX(res_Initials,(ROW()-ROW(MSPResources[[#Headers],[Name]])))&amp;"")</f>
        <v/>
      </c>
      <c r="C42" s="24" t="str">
        <f aca="false">IF(IFERROR(INDEX(res_Name,(ROW()-ROW(MSPResources[[#Headers],[Name]])))="",TRUE()),"",INDEX(res_Group,(ROW()-ROW(MSPResources[[#Headers],[Name]])))&amp;"")</f>
        <v/>
      </c>
      <c r="D42" s="24" t="str">
        <f aca="false">IF(IFERROR(INDEX(res_Name,(ROW()-ROW(MSPResources[[#Headers],[Name]])))="",TRUE()),"",INDEX(res_Type,(ROW()-ROW(MSPResources[[#Headers],[Name]])))&amp;"")</f>
        <v/>
      </c>
      <c r="E42" s="24" t="str">
        <f aca="false">IF(IFERROR(INDEX(res_Name,(ROW()-ROW(MSPResources[[#Headers],[Name]])))="",TRUE()),"",ROUND(INDEX(res_MaxUnits,(ROW()-ROW(MSPResources[[#Headers],[Name]])))*100,0)&amp;"%")</f>
        <v/>
      </c>
      <c r="F42" s="24" t="str">
        <f aca="false">IF(IFERROR(INDEX(res_Name,(ROW()-ROW(MSPResources[[#Headers],[Name]])))="",TRUE()),"",INDEX(res_Rate,(ROW()-ROW(MSPResources[[#Headers],[Name]])))&amp;"/h")</f>
        <v/>
      </c>
      <c r="G42" s="24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4" t="str">
        <f aca="false">IF(IFERROR(INDEX(res_Name,(ROW()-ROW(MSPResources[[#Headers],[Name]])))="",TRUE()),"",INDEX(res_Name,(ROW()-ROW(MSPResources[[#Headers],[Name]])))&amp;"")</f>
        <v/>
      </c>
      <c r="B43" s="24" t="str">
        <f aca="false">IF(IFERROR(INDEX(res_Name,(ROW()-ROW(MSPResources[[#Headers],[Name]])))="",TRUE()),"",INDEX(res_Initials,(ROW()-ROW(MSPResources[[#Headers],[Name]])))&amp;"")</f>
        <v/>
      </c>
      <c r="C43" s="24" t="str">
        <f aca="false">IF(IFERROR(INDEX(res_Name,(ROW()-ROW(MSPResources[[#Headers],[Name]])))="",TRUE()),"",INDEX(res_Group,(ROW()-ROW(MSPResources[[#Headers],[Name]])))&amp;"")</f>
        <v/>
      </c>
      <c r="D43" s="24" t="str">
        <f aca="false">IF(IFERROR(INDEX(res_Name,(ROW()-ROW(MSPResources[[#Headers],[Name]])))="",TRUE()),"",INDEX(res_Type,(ROW()-ROW(MSPResources[[#Headers],[Name]])))&amp;"")</f>
        <v/>
      </c>
      <c r="E43" s="24" t="str">
        <f aca="false">IF(IFERROR(INDEX(res_Name,(ROW()-ROW(MSPResources[[#Headers],[Name]])))="",TRUE()),"",ROUND(INDEX(res_MaxUnits,(ROW()-ROW(MSPResources[[#Headers],[Name]])))*100,0)&amp;"%")</f>
        <v/>
      </c>
      <c r="F43" s="24" t="str">
        <f aca="false">IF(IFERROR(INDEX(res_Name,(ROW()-ROW(MSPResources[[#Headers],[Name]])))="",TRUE()),"",INDEX(res_Rate,(ROW()-ROW(MSPResources[[#Headers],[Name]])))&amp;"/h")</f>
        <v/>
      </c>
      <c r="G43" s="24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4" t="str">
        <f aca="false">IF(IFERROR(INDEX(res_Name,(ROW()-ROW(MSPResources[[#Headers],[Name]])))="",TRUE()),"",INDEX(res_Name,(ROW()-ROW(MSPResources[[#Headers],[Name]])))&amp;"")</f>
        <v/>
      </c>
      <c r="B44" s="24" t="str">
        <f aca="false">IF(IFERROR(INDEX(res_Name,(ROW()-ROW(MSPResources[[#Headers],[Name]])))="",TRUE()),"",INDEX(res_Initials,(ROW()-ROW(MSPResources[[#Headers],[Name]])))&amp;"")</f>
        <v/>
      </c>
      <c r="C44" s="24" t="str">
        <f aca="false">IF(IFERROR(INDEX(res_Name,(ROW()-ROW(MSPResources[[#Headers],[Name]])))="",TRUE()),"",INDEX(res_Group,(ROW()-ROW(MSPResources[[#Headers],[Name]])))&amp;"")</f>
        <v/>
      </c>
      <c r="D44" s="24" t="str">
        <f aca="false">IF(IFERROR(INDEX(res_Name,(ROW()-ROW(MSPResources[[#Headers],[Name]])))="",TRUE()),"",INDEX(res_Type,(ROW()-ROW(MSPResources[[#Headers],[Name]])))&amp;"")</f>
        <v/>
      </c>
      <c r="E44" s="24" t="str">
        <f aca="false">IF(IFERROR(INDEX(res_Name,(ROW()-ROW(MSPResources[[#Headers],[Name]])))="",TRUE()),"",ROUND(INDEX(res_MaxUnits,(ROW()-ROW(MSPResources[[#Headers],[Name]])))*100,0)&amp;"%")</f>
        <v/>
      </c>
      <c r="F44" s="24" t="str">
        <f aca="false">IF(IFERROR(INDEX(res_Name,(ROW()-ROW(MSPResources[[#Headers],[Name]])))="",TRUE()),"",INDEX(res_Rate,(ROW()-ROW(MSPResources[[#Headers],[Name]])))&amp;"/h")</f>
        <v/>
      </c>
      <c r="G44" s="24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4" t="str">
        <f aca="false">IF(IFERROR(INDEX(res_Name,(ROW()-ROW(MSPResources[[#Headers],[Name]])))="",TRUE()),"",INDEX(res_Name,(ROW()-ROW(MSPResources[[#Headers],[Name]])))&amp;"")</f>
        <v/>
      </c>
      <c r="B45" s="24" t="str">
        <f aca="false">IF(IFERROR(INDEX(res_Name,(ROW()-ROW(MSPResources[[#Headers],[Name]])))="",TRUE()),"",INDEX(res_Initials,(ROW()-ROW(MSPResources[[#Headers],[Name]])))&amp;"")</f>
        <v/>
      </c>
      <c r="C45" s="24" t="str">
        <f aca="false">IF(IFERROR(INDEX(res_Name,(ROW()-ROW(MSPResources[[#Headers],[Name]])))="",TRUE()),"",INDEX(res_Group,(ROW()-ROW(MSPResources[[#Headers],[Name]])))&amp;"")</f>
        <v/>
      </c>
      <c r="D45" s="24" t="str">
        <f aca="false">IF(IFERROR(INDEX(res_Name,(ROW()-ROW(MSPResources[[#Headers],[Name]])))="",TRUE()),"",INDEX(res_Type,(ROW()-ROW(MSPResources[[#Headers],[Name]])))&amp;"")</f>
        <v/>
      </c>
      <c r="E45" s="24" t="str">
        <f aca="false">IF(IFERROR(INDEX(res_Name,(ROW()-ROW(MSPResources[[#Headers],[Name]])))="",TRUE()),"",ROUND(INDEX(res_MaxUnits,(ROW()-ROW(MSPResources[[#Headers],[Name]])))*100,0)&amp;"%")</f>
        <v/>
      </c>
      <c r="F45" s="24" t="str">
        <f aca="false">IF(IFERROR(INDEX(res_Name,(ROW()-ROW(MSPResources[[#Headers],[Name]])))="",TRUE()),"",INDEX(res_Rate,(ROW()-ROW(MSPResources[[#Headers],[Name]])))&amp;"/h")</f>
        <v/>
      </c>
      <c r="G45" s="24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4" t="str">
        <f aca="false">IF(IFERROR(INDEX(res_Name,(ROW()-ROW(MSPResources[[#Headers],[Name]])))="",TRUE()),"",INDEX(res_Name,(ROW()-ROW(MSPResources[[#Headers],[Name]])))&amp;"")</f>
        <v/>
      </c>
      <c r="B46" s="24" t="str">
        <f aca="false">IF(IFERROR(INDEX(res_Name,(ROW()-ROW(MSPResources[[#Headers],[Name]])))="",TRUE()),"",INDEX(res_Initials,(ROW()-ROW(MSPResources[[#Headers],[Name]])))&amp;"")</f>
        <v/>
      </c>
      <c r="C46" s="24" t="str">
        <f aca="false">IF(IFERROR(INDEX(res_Name,(ROW()-ROW(MSPResources[[#Headers],[Name]])))="",TRUE()),"",INDEX(res_Group,(ROW()-ROW(MSPResources[[#Headers],[Name]])))&amp;"")</f>
        <v/>
      </c>
      <c r="D46" s="24" t="str">
        <f aca="false">IF(IFERROR(INDEX(res_Name,(ROW()-ROW(MSPResources[[#Headers],[Name]])))="",TRUE()),"",INDEX(res_Type,(ROW()-ROW(MSPResources[[#Headers],[Name]])))&amp;"")</f>
        <v/>
      </c>
      <c r="E46" s="24" t="str">
        <f aca="false">IF(IFERROR(INDEX(res_Name,(ROW()-ROW(MSPResources[[#Headers],[Name]])))="",TRUE()),"",ROUND(INDEX(res_MaxUnits,(ROW()-ROW(MSPResources[[#Headers],[Name]])))*100,0)&amp;"%")</f>
        <v/>
      </c>
      <c r="F46" s="24" t="str">
        <f aca="false">IF(IFERROR(INDEX(res_Name,(ROW()-ROW(MSPResources[[#Headers],[Name]])))="",TRUE()),"",INDEX(res_Rate,(ROW()-ROW(MSPResources[[#Headers],[Name]])))&amp;"/h")</f>
        <v/>
      </c>
      <c r="G46" s="24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4" t="str">
        <f aca="false">IF(IFERROR(INDEX(res_Name,(ROW()-ROW(MSPResources[[#Headers],[Name]])))="",TRUE()),"",INDEX(res_Name,(ROW()-ROW(MSPResources[[#Headers],[Name]])))&amp;"")</f>
        <v/>
      </c>
      <c r="B47" s="24" t="str">
        <f aca="false">IF(IFERROR(INDEX(res_Name,(ROW()-ROW(MSPResources[[#Headers],[Name]])))="",TRUE()),"",INDEX(res_Initials,(ROW()-ROW(MSPResources[[#Headers],[Name]])))&amp;"")</f>
        <v/>
      </c>
      <c r="C47" s="24" t="str">
        <f aca="false">IF(IFERROR(INDEX(res_Name,(ROW()-ROW(MSPResources[[#Headers],[Name]])))="",TRUE()),"",INDEX(res_Group,(ROW()-ROW(MSPResources[[#Headers],[Name]])))&amp;"")</f>
        <v/>
      </c>
      <c r="D47" s="24" t="str">
        <f aca="false">IF(IFERROR(INDEX(res_Name,(ROW()-ROW(MSPResources[[#Headers],[Name]])))="",TRUE()),"",INDEX(res_Type,(ROW()-ROW(MSPResources[[#Headers],[Name]])))&amp;"")</f>
        <v/>
      </c>
      <c r="E47" s="24" t="str">
        <f aca="false">IF(IFERROR(INDEX(res_Name,(ROW()-ROW(MSPResources[[#Headers],[Name]])))="",TRUE()),"",ROUND(INDEX(res_MaxUnits,(ROW()-ROW(MSPResources[[#Headers],[Name]])))*100,0)&amp;"%")</f>
        <v/>
      </c>
      <c r="F47" s="24" t="str">
        <f aca="false">IF(IFERROR(INDEX(res_Name,(ROW()-ROW(MSPResources[[#Headers],[Name]])))="",TRUE()),"",INDEX(res_Rate,(ROW()-ROW(MSPResources[[#Headers],[Name]])))&amp;"/h")</f>
        <v/>
      </c>
      <c r="G47" s="24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4" t="str">
        <f aca="false">IF(IFERROR(INDEX(res_Name,(ROW()-ROW(MSPResources[[#Headers],[Name]])))="",TRUE()),"",INDEX(res_Name,(ROW()-ROW(MSPResources[[#Headers],[Name]])))&amp;"")</f>
        <v/>
      </c>
      <c r="B48" s="24" t="str">
        <f aca="false">IF(IFERROR(INDEX(res_Name,(ROW()-ROW(MSPResources[[#Headers],[Name]])))="",TRUE()),"",INDEX(res_Initials,(ROW()-ROW(MSPResources[[#Headers],[Name]])))&amp;"")</f>
        <v/>
      </c>
      <c r="C48" s="24" t="str">
        <f aca="false">IF(IFERROR(INDEX(res_Name,(ROW()-ROW(MSPResources[[#Headers],[Name]])))="",TRUE()),"",INDEX(res_Group,(ROW()-ROW(MSPResources[[#Headers],[Name]])))&amp;"")</f>
        <v/>
      </c>
      <c r="D48" s="24" t="str">
        <f aca="false">IF(IFERROR(INDEX(res_Name,(ROW()-ROW(MSPResources[[#Headers],[Name]])))="",TRUE()),"",INDEX(res_Type,(ROW()-ROW(MSPResources[[#Headers],[Name]])))&amp;"")</f>
        <v/>
      </c>
      <c r="E48" s="24" t="str">
        <f aca="false">IF(IFERROR(INDEX(res_Name,(ROW()-ROW(MSPResources[[#Headers],[Name]])))="",TRUE()),"",ROUND(INDEX(res_MaxUnits,(ROW()-ROW(MSPResources[[#Headers],[Name]])))*100,0)&amp;"%")</f>
        <v/>
      </c>
      <c r="F48" s="24" t="str">
        <f aca="false">IF(IFERROR(INDEX(res_Name,(ROW()-ROW(MSPResources[[#Headers],[Name]])))="",TRUE()),"",INDEX(res_Rate,(ROW()-ROW(MSPResources[[#Headers],[Name]])))&amp;"/h")</f>
        <v/>
      </c>
      <c r="G48" s="24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4" t="str">
        <f aca="false">IF(IFERROR(INDEX(res_Name,(ROW()-ROW(MSPResources[[#Headers],[Name]])))="",TRUE()),"",INDEX(res_Name,(ROW()-ROW(MSPResources[[#Headers],[Name]])))&amp;"")</f>
        <v/>
      </c>
      <c r="B49" s="24" t="str">
        <f aca="false">IF(IFERROR(INDEX(res_Name,(ROW()-ROW(MSPResources[[#Headers],[Name]])))="",TRUE()),"",INDEX(res_Initials,(ROW()-ROW(MSPResources[[#Headers],[Name]])))&amp;"")</f>
        <v/>
      </c>
      <c r="C49" s="24" t="str">
        <f aca="false">IF(IFERROR(INDEX(res_Name,(ROW()-ROW(MSPResources[[#Headers],[Name]])))="",TRUE()),"",INDEX(res_Group,(ROW()-ROW(MSPResources[[#Headers],[Name]])))&amp;"")</f>
        <v/>
      </c>
      <c r="D49" s="24" t="str">
        <f aca="false">IF(IFERROR(INDEX(res_Name,(ROW()-ROW(MSPResources[[#Headers],[Name]])))="",TRUE()),"",INDEX(res_Type,(ROW()-ROW(MSPResources[[#Headers],[Name]])))&amp;"")</f>
        <v/>
      </c>
      <c r="E49" s="24" t="str">
        <f aca="false">IF(IFERROR(INDEX(res_Name,(ROW()-ROW(MSPResources[[#Headers],[Name]])))="",TRUE()),"",ROUND(INDEX(res_MaxUnits,(ROW()-ROW(MSPResources[[#Headers],[Name]])))*100,0)&amp;"%")</f>
        <v/>
      </c>
      <c r="F49" s="24" t="str">
        <f aca="false">IF(IFERROR(INDEX(res_Name,(ROW()-ROW(MSPResources[[#Headers],[Name]])))="",TRUE()),"",INDEX(res_Rate,(ROW()-ROW(MSPResources[[#Headers],[Name]])))&amp;"/h")</f>
        <v/>
      </c>
      <c r="G49" s="24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4" t="str">
        <f aca="false">IF(IFERROR(INDEX(res_Name,(ROW()-ROW(MSPResources[[#Headers],[Name]])))="",TRUE()),"",INDEX(res_Name,(ROW()-ROW(MSPResources[[#Headers],[Name]])))&amp;"")</f>
        <v/>
      </c>
      <c r="B50" s="24" t="str">
        <f aca="false">IF(IFERROR(INDEX(res_Name,(ROW()-ROW(MSPResources[[#Headers],[Name]])))="",TRUE()),"",INDEX(res_Initials,(ROW()-ROW(MSPResources[[#Headers],[Name]])))&amp;"")</f>
        <v/>
      </c>
      <c r="C50" s="24" t="str">
        <f aca="false">IF(IFERROR(INDEX(res_Name,(ROW()-ROW(MSPResources[[#Headers],[Name]])))="",TRUE()),"",INDEX(res_Group,(ROW()-ROW(MSPResources[[#Headers],[Name]])))&amp;"")</f>
        <v/>
      </c>
      <c r="D50" s="24" t="str">
        <f aca="false">IF(IFERROR(INDEX(res_Name,(ROW()-ROW(MSPResources[[#Headers],[Name]])))="",TRUE()),"",INDEX(res_Type,(ROW()-ROW(MSPResources[[#Headers],[Name]])))&amp;"")</f>
        <v/>
      </c>
      <c r="E50" s="24" t="str">
        <f aca="false">IF(IFERROR(INDEX(res_Name,(ROW()-ROW(MSPResources[[#Headers],[Name]])))="",TRUE()),"",ROUND(INDEX(res_MaxUnits,(ROW()-ROW(MSPResources[[#Headers],[Name]])))*100,0)&amp;"%")</f>
        <v/>
      </c>
      <c r="F50" s="24" t="str">
        <f aca="false">IF(IFERROR(INDEX(res_Name,(ROW()-ROW(MSPResources[[#Headers],[Name]])))="",TRUE()),"",INDEX(res_Rate,(ROW()-ROW(MSPResources[[#Headers],[Name]])))&amp;"/h")</f>
        <v/>
      </c>
      <c r="G50" s="24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4" t="str">
        <f aca="false">IF(IFERROR(INDEX(res_Name,(ROW()-ROW(MSPResources[[#Headers],[Name]])))="",TRUE()),"",INDEX(res_Name,(ROW()-ROW(MSPResources[[#Headers],[Name]])))&amp;"")</f>
        <v/>
      </c>
      <c r="B51" s="24" t="str">
        <f aca="false">IF(IFERROR(INDEX(res_Name,(ROW()-ROW(MSPResources[[#Headers],[Name]])))="",TRUE()),"",INDEX(res_Initials,(ROW()-ROW(MSPResources[[#Headers],[Name]])))&amp;"")</f>
        <v/>
      </c>
      <c r="C51" s="24" t="str">
        <f aca="false">IF(IFERROR(INDEX(res_Name,(ROW()-ROW(MSPResources[[#Headers],[Name]])))="",TRUE()),"",INDEX(res_Group,(ROW()-ROW(MSPResources[[#Headers],[Name]])))&amp;"")</f>
        <v/>
      </c>
      <c r="D51" s="24" t="str">
        <f aca="false">IF(IFERROR(INDEX(res_Name,(ROW()-ROW(MSPResources[[#Headers],[Name]])))="",TRUE()),"",INDEX(res_Type,(ROW()-ROW(MSPResources[[#Headers],[Name]])))&amp;"")</f>
        <v/>
      </c>
      <c r="E51" s="24" t="str">
        <f aca="false">IF(IFERROR(INDEX(res_Name,(ROW()-ROW(MSPResources[[#Headers],[Name]])))="",TRUE()),"",ROUND(INDEX(res_MaxUnits,(ROW()-ROW(MSPResources[[#Headers],[Name]])))*100,0)&amp;"%")</f>
        <v/>
      </c>
      <c r="F51" s="24" t="str">
        <f aca="false">IF(IFERROR(INDEX(res_Name,(ROW()-ROW(MSPResources[[#Headers],[Name]])))="",TRUE()),"",INDEX(res_Rate,(ROW()-ROW(MSPResources[[#Headers],[Name]])))&amp;"/h")</f>
        <v/>
      </c>
      <c r="G51" s="24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1" min="11" style="0" width="16"/>
  </cols>
  <sheetData>
    <row r="1" customFormat="false" ht="23.85" hidden="false" customHeight="false" outlineLevel="0" collapsed="false">
      <c r="A1" s="27" t="s">
        <v>455</v>
      </c>
      <c r="C1" s="27" t="s">
        <v>447</v>
      </c>
      <c r="E1" s="27" t="s">
        <v>456</v>
      </c>
      <c r="G1" s="27" t="s">
        <v>457</v>
      </c>
      <c r="I1" s="27" t="s">
        <v>458</v>
      </c>
      <c r="K1" s="27" t="s">
        <v>109</v>
      </c>
    </row>
    <row r="2" customFormat="false" ht="15" hidden="false" customHeight="false" outlineLevel="0" collapsed="false">
      <c r="A2" s="30" t="s">
        <v>459</v>
      </c>
      <c r="C2" s="30" t="s">
        <v>460</v>
      </c>
      <c r="E2" s="30" t="s">
        <v>213</v>
      </c>
      <c r="G2" s="30" t="s">
        <v>325</v>
      </c>
      <c r="I2" s="30" t="n">
        <v>1</v>
      </c>
      <c r="K2" s="30" t="s">
        <v>461</v>
      </c>
    </row>
    <row r="3" customFormat="false" ht="15" hidden="false" customHeight="false" outlineLevel="0" collapsed="false">
      <c r="A3" s="30" t="s">
        <v>462</v>
      </c>
      <c r="C3" s="30" t="s">
        <v>463</v>
      </c>
      <c r="E3" s="30" t="s">
        <v>234</v>
      </c>
      <c r="G3" s="30" t="s">
        <v>464</v>
      </c>
      <c r="I3" s="30" t="n">
        <v>7</v>
      </c>
      <c r="K3" s="30" t="s">
        <v>465</v>
      </c>
    </row>
    <row r="4" customFormat="false" ht="15" hidden="false" customHeight="false" outlineLevel="0" collapsed="false">
      <c r="A4" s="30" t="s">
        <v>466</v>
      </c>
      <c r="G4" s="30" t="s">
        <v>326</v>
      </c>
      <c r="K4" s="30" t="s">
        <v>467</v>
      </c>
    </row>
    <row r="5" customFormat="false" ht="15" hidden="false" customHeight="false" outlineLevel="0" collapsed="false">
      <c r="A5" s="30" t="s">
        <v>468</v>
      </c>
    </row>
    <row r="7" customFormat="false" ht="15" hidden="false" customHeight="false" outlineLevel="0" collapsed="false">
      <c r="A7" s="8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2026-10-26T12:26:15Z</dcterms:created>
  <dc:creator>openpyxl</dc:creator>
  <dc:description/>
  <dc:language>en-US</dc:language>
  <cp:lastModifiedBy/>
  <dcterms:modified xsi:type="dcterms:W3CDTF">2026-10-26T12:26:16Z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