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5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tables/table13.xml" ContentType="application/vnd.openxmlformats-officedocument.spreadsheetml.table+xml"/>
  <Override PartName="/xl/tables/table27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15.xml" ContentType="application/vnd.openxmlformats-officedocument.spreadsheetml.table+xml"/>
  <Override PartName="/xl/tables/table19.xml" ContentType="application/vnd.openxmlformats-officedocument.spreadsheetml.table+xml"/>
  <Override PartName="/xl/tables/table21.xml" ContentType="application/vnd.openxmlformats-officedocument.spreadsheetml.table+xml"/>
  <Override PartName="/xl/tables/table30.xml" ContentType="application/vnd.openxmlformats-officedocument.spreadsheetml.table+xml"/>
  <Override PartName="/xl/tables/table28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8.xml" ContentType="application/vnd.openxmlformats-officedocument.spreadsheetml.table+xml"/>
  <Override PartName="/xl/tables/table20.xml" ContentType="application/vnd.openxmlformats-officedocument.spreadsheetml.table+xml"/>
  <Override PartName="/xl/tables/table14.xml" ContentType="application/vnd.openxmlformats-officedocument.spreadsheetml.table+xml"/>
  <Override PartName="/xl/tables/table4.xml" ContentType="application/vnd.openxmlformats-officedocument.spreadsheetml.table+xml"/>
  <Override PartName="/xl/tables/table29.xml" ContentType="application/vnd.openxmlformats-officedocument.spreadsheetml.table+xml"/>
  <Override PartName="/xl/tables/table26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5.xml" ContentType="application/vnd.openxmlformats-officedocument.spreadsheetml.table+xml"/>
  <Override PartName="/xl/tables/table22.xml" ContentType="application/vnd.openxmlformats-officedocument.spreadsheetml.table+xml"/>
  <Override PartName="/xl/tables/table2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6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7"/>
  </bookViews>
  <sheets>
    <sheet name="Instructions" sheetId="1" state="visible" r:id="rId3"/>
    <sheet name="Dashboard" sheetId="2" state="visible" r:id="rId4"/>
    <sheet name="Status Report" sheetId="3" state="visible" r:id="rId5"/>
    <sheet name="Schedule Report" sheetId="4" state="visible" r:id="rId6"/>
    <sheet name="Resource Report" sheetId="5" state="visible" r:id="rId7"/>
    <sheet name="Agile Report" sheetId="6" state="visible" r:id="rId8"/>
    <sheet name="Settings" sheetId="7" state="visible" r:id="rId9"/>
    <sheet name="Tasks" sheetId="8" state="visible" r:id="rId10"/>
    <sheet name="Gantt" sheetId="9" state="visible" r:id="rId11"/>
    <sheet name="Resources" sheetId="10" state="visible" r:id="rId12"/>
    <sheet name="Sprints" sheetId="11" state="visible" r:id="rId13"/>
    <sheet name="Holidays" sheetId="12" state="visible" r:id="rId14"/>
    <sheet name="MSP_Tasks" sheetId="13" state="visible" r:id="rId15"/>
    <sheet name="MSP_Resources" sheetId="14" state="visible" r:id="rId16"/>
    <sheet name="Lists" sheetId="15" state="visible" r:id="rId17"/>
  </sheets>
  <definedNames>
    <definedName function="false" hidden="false" name="agl_CurCommitted" vbProcedure="false">'Agile Report'!$D$15</definedName>
    <definedName function="false" hidden="false" name="agl_CurDone" vbProcedure="false">'Agile Report'!$D$16</definedName>
    <definedName function="false" hidden="false" name="agl_Current" vbProcedure="false">'Agile Report'!$D$14</definedName>
    <definedName function="false" hidden="false" name="agl_Done" vbProcedure="false">'Agile Report'!$D$6</definedName>
    <definedName function="false" hidden="false" name="agl_FinishDate" vbProcedure="false">'Agile Report'!$D$12</definedName>
    <definedName function="false" hidden="false" name="agl_FinishSprint" vbProcedure="false">'Agile Report'!$D$11</definedName>
    <definedName function="false" hidden="false" name="agl_LastClosed" vbProcedure="false">'Agile Report'!$D$10</definedName>
    <definedName function="false" hidden="false" name="agl_Remaining" vbProcedure="false">'Agile Report'!$D$7</definedName>
    <definedName function="false" hidden="false" name="agl_ScheduleFinish" vbProcedure="false">'Agile Report'!$D$13</definedName>
    <definedName function="false" hidden="false" name="agl_SprintsLeft" vbProcedure="false">'Agile Report'!$D$9</definedName>
    <definedName function="false" hidden="false" name="agl_Total" vbProcedure="false">'Agile Report'!$D$5</definedName>
    <definedName function="false" hidden="false" name="agl_Unestimated" vbProcedure="false">'Agile Report'!$D$17</definedName>
    <definedName function="false" hidden="false" name="agl_Velocity" vbProcedure="false">'Agile Report'!$D$8</definedName>
    <definedName function="false" hidden="false" name="CriticalSlackDays" vbProcedure="false">Settings!$C$34</definedName>
    <definedName function="false" hidden="false" name="CurrentSprint" vbProcedure="false">Settings!$C$30</definedName>
    <definedName function="false" hidden="false" name="CurrentSprintEnd" vbProcedure="false">Settings!$C$32</definedName>
    <definedName function="false" hidden="false" name="CurrentSprintStart" vbProcedure="false">Settings!$C$31</definedName>
    <definedName function="false" hidden="false" name="DefaultUnits" vbProcedure="false">Settings!$C$14</definedName>
    <definedName function="false" hidden="false" name="evm_AC" vbProcedure="false">'Status Report'!$D$20</definedName>
    <definedName function="false" hidden="false" name="evm_BAC" vbProcedure="false">'Status Report'!$D$17</definedName>
    <definedName function="false" hidden="false" name="evm_CPI" vbProcedure="false">'Status Report'!$D$24</definedName>
    <definedName function="false" hidden="false" name="evm_CV" vbProcedure="false">'Status Report'!$D$22</definedName>
    <definedName function="false" hidden="false" name="evm_EAC" vbProcedure="false">'Status Report'!$D$25</definedName>
    <definedName function="false" hidden="false" name="evm_ETC" vbProcedure="false">'Status Report'!$D$26</definedName>
    <definedName function="false" hidden="false" name="evm_EV" vbProcedure="false">'Status Report'!$D$19</definedName>
    <definedName function="false" hidden="false" name="evm_PctEarned" vbProcedure="false">'Status Report'!$D$29</definedName>
    <definedName function="false" hidden="false" name="evm_PctPlanned" vbProcedure="false">'Status Report'!$D$30</definedName>
    <definedName function="false" hidden="false" name="evm_PV" vbProcedure="false">'Status Report'!$D$18</definedName>
    <definedName function="false" hidden="false" name="evm_SPI" vbProcedure="false">'Status Report'!$D$23</definedName>
    <definedName function="false" hidden="false" name="evm_SV" vbProcedure="false">'Status Report'!$D$21</definedName>
    <definedName function="false" hidden="false" name="evm_TCPI" vbProcedure="false">'Status Report'!$D$28</definedName>
    <definedName function="false" hidden="false" name="evm_VAC" vbProcedure="false">'Status Report'!$D$27</definedName>
    <definedName function="false" hidden="false" name="FinishVarianceDays" vbProcedure="false">Settings!$C$37</definedName>
    <definedName function="false" hidden="false" name="GanttPeriod" vbProcedure="false">Settings!$C$24</definedName>
    <definedName function="false" hidden="false" name="GanttStart" vbProcedure="false">Settings!$C$23</definedName>
    <definedName function="false" hidden="false" name="gantt_Origin" vbProcedure="false">Gantt!$V$5</definedName>
    <definedName function="false" hidden="false" name="Holidays" vbProcedure="false">HolidayTable[Date]</definedName>
    <definedName function="false" hidden="false" name="HoursPerDay" vbProcedure="false">Settings!$C$13</definedName>
    <definedName function="false" hidden="false" name="load_Grid" vbProcedure="false">Sprints!$D$36:$AC$60</definedName>
    <definedName function="false" hidden="false" name="load_Origin" vbProcedure="false">Sprints!$B$34</definedName>
    <definedName function="false" hidden="false" name="LookaheadDays" vbProcedure="false">Settings!$C$38</definedName>
    <definedName function="false" hidden="false" name="LookaheadEnd" vbProcedure="false">Settings!$C$39</definedName>
    <definedName function="false" hidden="false" name="L_DepType" vbProcedure="false">ListDepType[Link Type]</definedName>
    <definedName function="false" hidden="false" name="L_Mode" vbProcedure="false">ListMode[Task Mode]</definedName>
    <definedName function="false" hidden="false" name="L_Period" vbProcedure="false">ListPeriod[Gantt Days per Column]</definedName>
    <definedName function="false" hidden="false" name="L_RAG" vbProcedure="false">ListRAG[RAG]</definedName>
    <definedName function="false" hidden="false" name="L_ResType" vbProcedure="false">ListResType[Resource Type]</definedName>
    <definedName function="false" hidden="false" name="L_YesNo" vbProcedure="false">ListYesNo[Yes / No]</definedName>
    <definedName function="false" hidden="false" name="NextFreeUID" vbProcedure="false">Settings!$C$45</definedName>
    <definedName function="false" hidden="false" name="PlannedFinish" vbProcedure="false">Settings!$C$36</definedName>
    <definedName function="false" hidden="false" name="ProjectFinish" vbProcedure="false">Settings!$C$35</definedName>
    <definedName function="false" hidden="false" name="ProjectManager" vbProcedure="false">Settings!$C$6</definedName>
    <definedName function="false" hidden="false" name="ProjectName" vbProcedure="false">Settings!$C$5</definedName>
    <definedName function="false" hidden="false" name="ProjectRAG" vbProcedure="false">OverallStatus[RAG]</definedName>
    <definedName function="false" hidden="false" name="ProjectStart" vbProcedure="false">Settings!$C$8</definedName>
    <definedName function="false" hidden="false" name="ProjectStartDate" vbProcedure="false">Settings!$C$7</definedName>
    <definedName function="false" hidden="false" name="RAGAmberIndex" vbProcedure="false">Settings!$C$42</definedName>
    <definedName function="false" hidden="false" name="RAGAmberSlipDays" vbProcedure="false">Settings!$C$40</definedName>
    <definedName function="false" hidden="false" name="RAGRedIndex" vbProcedure="false">Settings!$C$43</definedName>
    <definedName function="false" hidden="false" name="RAGRedSlipDays" vbProcedure="false">Settings!$C$41</definedName>
    <definedName function="false" hidden="false" name="RescheduleAfterStatus" vbProcedure="false">Settings!$C$12</definedName>
    <definedName function="false" hidden="false" name="ResourceWeekStart" vbProcedure="false">Settings!$C$44</definedName>
    <definedName function="false" hidden="false" name="res_Email" vbProcedure="false">ResourceTable[Email]</definedName>
    <definedName function="false" hidden="false" name="res_Group" vbProcedure="false">ResourceTable[Group]</definedName>
    <definedName function="false" hidden="false" name="res_Initials" vbProcedure="false">ResourceTable[Initials]</definedName>
    <definedName function="false" hidden="false" name="res_MaxUnits" vbProcedure="false">ResourceTable[Max Units]</definedName>
    <definedName function="false" hidden="false" name="res_Name" vbProcedure="false">ResourceTable[Resource Name]</definedName>
    <definedName function="false" hidden="false" name="res_Rate" vbProcedure="false">ResourceTable[Std Rate]</definedName>
    <definedName function="false" hidden="false" name="res_Type" vbProcedure="false">ResourceTable[Type]</definedName>
    <definedName function="false" hidden="false" name="rw_Cum" vbProcedure="false">'Resource Report'!$D$96:$AD$120</definedName>
    <definedName function="false" hidden="false" name="rw_CumOrigin" vbProcedure="false">'Resource Report'!$B$95</definedName>
    <definedName function="false" hidden="false" name="rw_Load" vbProcedure="false">'Resource Report'!$D$36:$AC$60</definedName>
    <definedName function="false" hidden="false" name="rw_LoadOrigin" vbProcedure="false">'Resource Report'!$B$34</definedName>
    <definedName function="false" hidden="false" name="rw_Util" vbProcedure="false">'Resource Report'!$D$68:$AC$92</definedName>
    <definedName function="false" hidden="false" name="rw_UtilOrigin" vbProcedure="false">'Resource Report'!$B$66</definedName>
    <definedName function="false" hidden="false" name="rw_WeekDays" vbProcedure="false">'Resource Report'!$D$35:$AC$35</definedName>
    <definedName function="false" hidden="false" name="Sprint1Start" vbProcedure="false">Settings!$C$25</definedName>
    <definedName function="false" hidden="false" name="SprintCount" vbProcedure="false">Settings!$C$27</definedName>
    <definedName function="false" hidden="false" name="SprintLastEnd" vbProcedure="false">Settings!$C$29</definedName>
    <definedName function="false" hidden="false" name="SprintLength" vbProcedure="false">Settings!$C$26</definedName>
    <definedName function="false" hidden="false" name="SprintPrefix" vbProcedure="false">Settings!$C$28</definedName>
    <definedName function="false" hidden="false" name="spr_Capacity" vbProcedure="false">SprintTable[Capacity]</definedName>
    <definedName function="false" hidden="false" name="spr_Committed" vbProcedure="false">SprintTable[Committed Points]</definedName>
    <definedName function="false" hidden="false" name="spr_Done" vbProcedure="false">SprintTable[Done Points]</definedName>
    <definedName function="false" hidden="false" name="spr_End" vbProcedure="false">SprintTable[End]</definedName>
    <definedName function="false" hidden="false" name="spr_Name" vbProcedure="false">SprintTable[Sprint]</definedName>
    <definedName function="false" hidden="false" name="spr_Remaining" vbProcedure="false">SprintTable[Remaining Points]</definedName>
    <definedName function="false" hidden="false" name="spr_Start" vbProcedure="false">SprintTable[Start]</definedName>
    <definedName function="false" hidden="false" name="spr_Status" vbProcedure="false">SprintTable[Status]</definedName>
    <definedName function="false" hidden="false" name="spr_Velocity" vbProcedure="false">SprintTable[Velocity]</definedName>
    <definedName function="false" hidden="false" name="spr_Work" vbProcedure="false">SprintTable[Planned Work]</definedName>
    <definedName function="false" hidden="false" name="spr_WorkDays" vbProcedure="false">SprintTable[Working Days]</definedName>
    <definedName function="false" hidden="false" name="StatusDate" vbProcedure="false">Settings!$C$10</definedName>
    <definedName function="false" hidden="false" name="StatusDateInput" vbProcedure="false">Settings!$C$9</definedName>
    <definedName function="false" hidden="false" name="StatusWorkday" vbProcedure="false">Settings!$C$11</definedName>
    <definedName function="false" hidden="false" name="TotalPoints" vbProcedure="false">Settings!$C$33</definedName>
    <definedName function="false" hidden="false" name="tsk_AC" vbProcedure="false">Tasks[AC]</definedName>
    <definedName function="false" hidden="false" name="tsk_ActCostInput" vbProcedure="false">Tasks[Actual Cost]</definedName>
    <definedName function="false" hidden="false" name="tsk_ActFinish" vbProcedure="false">Tasks[Actual Finish]</definedName>
    <definedName function="false" hidden="false" name="tsk_ActStart" vbProcedure="false">Tasks[Actual Start]</definedName>
    <definedName function="false" hidden="false" name="tsk_BaseCost" vbProcedure="false">Tasks[Baseline Cost]</definedName>
    <definedName function="false" hidden="false" name="tsk_BaseDuration" vbProcedure="false">Tasks[Baseline Duration]</definedName>
    <definedName function="false" hidden="false" name="tsk_BaseFinish" vbProcedure="false">Tasks[Baseline Finish]</definedName>
    <definedName function="false" hidden="false" name="tsk_BaseStart" vbProcedure="false">Tasks[Baseline Start]</definedName>
    <definedName function="false" hidden="false" name="tsk_BaseWork" vbProcedure="false">Tasks[Baseline Work]</definedName>
    <definedName function="false" hidden="false" name="tsk_Budget" vbProcedure="false">Tasks[Budget]</definedName>
    <definedName function="false" hidden="false" name="tsk_CalcFinish" vbProcedure="false">Tasks[_CalcFinish]</definedName>
    <definedName function="false" hidden="false" name="tsk_CalcStart" vbProcedure="false">Tasks[_CalcStart]</definedName>
    <definedName function="false" hidden="false" name="tsk_Constraint" vbProcedure="false">Tasks[Start No Earlier Than]</definedName>
    <definedName function="false" hidden="false" name="tsk_Cost" vbProcedure="false">Tasks[Cost]</definedName>
    <definedName function="false" hidden="false" name="tsk_CostVariance" vbProcedure="false">Tasks[Cost Var]</definedName>
    <definedName function="false" hidden="false" name="tsk_Critical" vbProcedure="false">Tasks[Critical]</definedName>
    <definedName function="false" hidden="false" name="tsk_CriticalKey" vbProcedure="false">Tasks[_CriticalKey]</definedName>
    <definedName function="false" hidden="false" name="tsk_CurrentSprintKey" vbProcedure="false">Tasks[_CurrentSprintKey]</definedName>
    <definedName function="false" hidden="false" name="tsk_Deadline" vbProcedure="false">Tasks[Deadline]</definedName>
    <definedName function="false" hidden="false" name="tsk_DeadlineCheck" vbProcedure="false">Tasks[Deadline Check]</definedName>
    <definedName function="false" hidden="false" name="tsk_DoneDate" vbProcedure="false">Tasks[_DoneDate]</definedName>
    <definedName function="false" hidden="false" name="tsk_DueSoonKey" vbProcedure="false">Tasks[_DueSoonKey]</definedName>
    <definedName function="false" hidden="false" name="tsk_Duration" vbProcedure="false">Tasks[Duration]</definedName>
    <definedName function="false" hidden="false" name="tsk_DurationVariance" vbProcedure="false">Tasks[Duration Var]</definedName>
    <definedName function="false" hidden="false" name="tsk_EV" vbProcedure="false">Tasks[EV]</definedName>
    <definedName function="false" hidden="false" name="tsk_FcFinish" vbProcedure="false">Tasks[Forecast Finish]</definedName>
    <definedName function="false" hidden="false" name="tsk_FcStart" vbProcedure="false">Tasks[Forecast Start]</definedName>
    <definedName function="false" hidden="false" name="tsk_FinishWD" vbProcedure="false">Tasks[_FinishWorkday]</definedName>
    <definedName function="false" hidden="false" name="tsk_FreeSlack" vbProcedure="false">Tasks[Free Slack]</definedName>
    <definedName function="false" hidden="false" name="tsk_ID" vbProcedure="false">Tasks[ID]</definedName>
    <definedName function="false" hidden="false" name="tsk_IsLeaf" vbProcedure="false">Tasks[_IsLeaf]</definedName>
    <definedName function="false" hidden="false" name="tsk_IsSummary" vbProcedure="false">Tasks[_IsSummary]</definedName>
    <definedName function="false" hidden="false" name="tsk_LateFinish" vbProcedure="false">Tasks[Late Finish]</definedName>
    <definedName function="false" hidden="false" name="tsk_LateKey" vbProcedure="false">Tasks[_LateKey]</definedName>
    <definedName function="false" hidden="false" name="tsk_LateStart" vbProcedure="false">Tasks[Late Start]</definedName>
    <definedName function="false" hidden="false" name="tsk_LeafAC" vbProcedure="false">Tasks[_LeafAC]</definedName>
    <definedName function="false" hidden="false" name="tsk_LeafBudget" vbProcedure="false">Tasks[_LeafBudget]</definedName>
    <definedName function="false" hidden="false" name="tsk_LeafEV" vbProcedure="false">Tasks[_LeafEV]</definedName>
    <definedName function="false" hidden="false" name="tsk_LeafPoints" vbProcedure="false">Tasks[_LeafPoints]</definedName>
    <definedName function="false" hidden="false" name="tsk_LeafPV" vbProcedure="false">Tasks[_LeafPV]</definedName>
    <definedName function="false" hidden="false" name="tsk_LeafWork" vbProcedure="false">Tasks[_LeafWork]</definedName>
    <definedName function="false" hidden="false" name="tsk_LeafWorkDone" vbProcedure="false">Tasks[_LeafWorkDone]</definedName>
    <definedName function="false" hidden="false" name="tsk_Level" vbProcedure="false">Tasks[_Level]</definedName>
    <definedName function="false" hidden="false" name="tsk_LinkCheck" vbProcedure="false">Tasks[Link Check]</definedName>
    <definedName function="false" hidden="false" name="tsk_MilestoneKey" vbProcedure="false">Tasks[_MilestoneKey]</definedName>
    <definedName function="false" hidden="false" name="tsk_MilestoneOrder" vbProcedure="false">Tasks[_MilestoneOrder]</definedName>
    <definedName function="false" hidden="false" name="tsk_Mode" vbProcedure="false">Tasks[Mode]</definedName>
    <definedName function="false" hidden="false" name="tsk_Name" vbProcedure="false">Tasks[Task Name]</definedName>
    <definedName function="false" hidden="false" name="tsk_Notes" vbProcedure="false">Tasks[Notes]</definedName>
    <definedName function="false" hidden="false" name="tsk_PctInput" vbProcedure="false">Tasks[% Complete]</definedName>
    <definedName function="false" hidden="false" name="tsk_Phase" vbProcedure="false">Tasks[_Phase]</definedName>
    <definedName function="false" hidden="false" name="tsk_PhaseKey" vbProcedure="false">Tasks[_PhaseKey]</definedName>
    <definedName function="false" hidden="false" name="tsk_PlanFinish" vbProcedure="false">Tasks[Planned Finish]</definedName>
    <definedName function="false" hidden="false" name="tsk_PlannedPct" vbProcedure="false">Tasks[_PlannedPct]</definedName>
    <definedName function="false" hidden="false" name="tsk_PlannedSprint" vbProcedure="false">Tasks[Planned Sprint]</definedName>
    <definedName function="false" hidden="false" name="tsk_PlanStart" vbProcedure="false">Tasks[Planned Start]</definedName>
    <definedName function="false" hidden="false" name="tsk_Predecessors" vbProcedure="false">Tasks[Predecessors]</definedName>
    <definedName function="false" hidden="false" name="tsk_Progress" vbProcedure="false">Tasks[Progress]</definedName>
    <definedName function="false" hidden="false" name="tsk_PV" vbProcedure="false">Tasks[PV]</definedName>
    <definedName function="false" hidden="false" name="tsk_Resource" vbProcedure="false">Tasks[Resource]</definedName>
    <definedName function="false" hidden="false" name="tsk_SourceDuration" vbProcedure="false">Tasks[BL Source Duration]</definedName>
    <definedName function="false" hidden="false" name="tsk_Sprint" vbProcedure="false">Tasks[Sprint]</definedName>
    <definedName function="false" hidden="false" name="tsk_StartSoonKey" vbProcedure="false">Tasks[_StartSoonKey]</definedName>
    <definedName function="false" hidden="false" name="tsk_StartVariance" vbProcedure="false">Tasks[Start Var]</definedName>
    <definedName function="false" hidden="false" name="tsk_StartWD" vbProcedure="false">Tasks[_StartWorkday]</definedName>
    <definedName function="false" hidden="false" name="tsk_Status" vbProcedure="false">Tasks[Status]</definedName>
    <definedName function="false" hidden="false" name="tsk_StoryPoints" vbProcedure="false">Tasks[Story Points]</definedName>
    <definedName function="false" hidden="false" name="tsk_TotalSlack" vbProcedure="false">Tasks[Total Slack]</definedName>
    <definedName function="false" hidden="false" name="tsk_UID" vbProcedure="false">Tasks[UID]</definedName>
    <definedName function="false" hidden="false" name="tsk_UIDPredecessors" vbProcedure="false">Tasks[_UIDPredecessors]</definedName>
    <definedName function="false" hidden="false" name="tsk_Units" vbProcedure="false">Tasks[Units]</definedName>
    <definedName function="false" hidden="false" name="tsk_Variance" vbProcedure="false">Tasks[Finish Var]</definedName>
    <definedName function="false" hidden="false" name="tsk_WBS" vbProcedure="false">Tasks[WBS]</definedName>
    <definedName function="false" hidden="false" name="tsk_Work" vbProcedure="false">Tasks[Work]</definedName>
    <definedName function="false" hidden="false" name="tsk_WorkBeforeStart" vbProcedure="false">Tasks[_WorkBeforeStart]</definedName>
    <definedName function="false" hidden="false" name="tsk_WorkPerWD" vbProcedure="false">Tasks[_WorkPerWorkday]</definedName>
    <definedName function="false" hidden="false" name="tsk_WorkVariance" vbProcedure="false">Tasks[Work Var]</definedName>
    <definedName function="false" hidden="false" name="tsk_WtDone" vbProcedure="false">Tasks[_WeightDone]</definedName>
    <definedName function="false" hidden="false" name="tsk_WtDur" vbProcedure="false">Tasks[_WeightDur]</definedName>
    <definedName function="false" hidden="false" name="util_Origin" vbProcedure="false">Sprints!$B$64</definedName>
    <definedName function="false" hidden="false" name="WorkFri" vbProcedure="false">Settings!$C$19</definedName>
    <definedName function="false" hidden="false" name="WorkMon" vbProcedure="false">Settings!$C$15</definedName>
    <definedName function="false" hidden="false" name="WorkSat" vbProcedure="false">Settings!$C$20</definedName>
    <definedName function="false" hidden="false" name="WorkSun" vbProcedure="false">Settings!$C$21</definedName>
    <definedName function="false" hidden="false" name="WorkThu" vbProcedure="false">Settings!$C$18</definedName>
    <definedName function="false" hidden="false" name="WorkTue" vbProcedure="false">Settings!$C$16</definedName>
    <definedName function="false" hidden="false" name="WorkWed" vbProcedure="false">Settings!$C$17</definedName>
    <definedName function="false" hidden="false" name="WorkWeek" vbProcedure="false">Settings!$C$22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RAG from the thresholds on Settings (RAGAmberSlipDays, RAGRedSlipDays, RAGAmberIndex, RAGRedIndex).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-66</xdr:colOff>
                <xdr:row>4</xdr:row>
                <xdr:rowOff>19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RAG from the thresholds on Settings (RAGAmberSlipDays, RAGRedSlipDays, RAGAmberIndex, RAGRedIndex).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-66</xdr:colOff>
                <xdr:row>4</xdr:row>
                <xdr:rowOff>19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Arial"/>
            <family val="2"/>
          </rPr>
          <t xml:space="preserve">Optional override by the project manager: Green, Amber or 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-66</xdr:colOff>
                <xdr:row>4</xdr:row>
                <xdr:rowOff>1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Optional override by the project manager: Green, Amber or 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-66</xdr:colOff>
                <xdr:row>4</xdr:row>
                <xdr:rowOff>1</xdr:rowOff>
              </xdr:to>
            </anchor>
          </commentPr>
        </mc:Choice>
        <mc:Fallback/>
      </mc:AlternateContent>
    </comment>
    <comment ref="G4" authorId="0">
      <text>
        <r>
          <rPr>
            <sz val="10"/>
            <rFont val="Arial"/>
            <family val="2"/>
          </rPr>
          <t xml:space="preserve">Reported RAG: the PM override if there is one, otherwise the calculated RAG.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-66</xdr:colOff>
                <xdr:row>4</xdr:row>
                <xdr:rowOff>1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Reported RAG: the PM override if there is one, otherwise the calculated RAG.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-66</xdr:colOff>
                <xdr:row>4</xdr:row>
                <xdr:rowOff>1</xdr:rowOff>
              </xdr:to>
            </anchor>
          </commentPr>
        </mc:Choice>
        <mc:Fallback/>
      </mc:AlternateContent>
    </comment>
    <comment ref="H4" authorId="0">
      <text>
        <r>
          <rPr>
            <sz val="10"/>
            <rFont val="Arial"/>
            <family val="2"/>
          </rPr>
          <t xml:space="preserve">Why: especially when the PM RAG differs from the calculated one.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-66</xdr:colOff>
                <xdr:row>4</xdr:row>
                <xdr:rowOff>1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Why: especially when the PM RAG differs from the calculated one.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-66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Row of the task in the Tasks table (helper, hidden).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2</xdr:col>
                <xdr:colOff>57</xdr:colOff>
                <xdr:row>0</xdr:row>
                <xdr:rowOff>8</xdr:rowOff>
              </xdr:from>
              <xdr:to>
                <xdr:col>3</xdr:col>
                <xdr:colOff>142</xdr:colOff>
                <xdr:row>4</xdr:row>
                <xdr:rowOff>1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Row of the task in the Tasks table (helper, hidden).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2</xdr:col>
                <xdr:colOff>57</xdr:colOff>
                <xdr:row>0</xdr:row>
                <xdr:rowOff>20</xdr:rowOff>
              </xdr:from>
              <xdr:to>
                <xdr:col>3</xdr:col>
                <xdr:colOff>142</xdr:colOff>
                <xdr:row>4</xdr:row>
                <xdr:rowOff>13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Row of the task in the Tasks table (helper, hidden).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2</xdr:col>
                <xdr:colOff>57</xdr:colOff>
                <xdr:row>1</xdr:row>
                <xdr:rowOff>6</xdr:rowOff>
              </xdr:from>
              <xdr:to>
                <xdr:col>3</xdr:col>
                <xdr:colOff>142</xdr:colOff>
                <xdr:row>4</xdr:row>
                <xdr:rowOff>25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Row of the task in the Tasks table (helper, hidden).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2</xdr:col>
                <xdr:colOff>57</xdr:colOff>
                <xdr:row>1</xdr:row>
                <xdr:rowOff>17</xdr:rowOff>
              </xdr:from>
              <xdr:to>
                <xdr:col>3</xdr:col>
                <xdr:colOff>142</xdr:colOff>
                <xdr:row>5</xdr:row>
                <xdr:rowOff>5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Row of the task in the Tasks table (helper, hidden).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2</xdr:col>
                <xdr:colOff>57</xdr:colOff>
                <xdr:row>2</xdr:row>
                <xdr:rowOff>9</xdr:rowOff>
              </xdr:from>
              <xdr:to>
                <xdr:col>3</xdr:col>
                <xdr:colOff>142</xdr:colOff>
                <xdr:row>5</xdr:row>
                <xdr:rowOff>16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Row of the task in the Tasks table (helper, hidden).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2</xdr:col>
                <xdr:colOff>57</xdr:colOff>
                <xdr:row>3</xdr:row>
                <xdr:rowOff>1</xdr:rowOff>
              </xdr:from>
              <xdr:to>
                <xdr:col>3</xdr:col>
                <xdr:colOff>142</xdr:colOff>
                <xdr:row>6</xdr:row>
                <xdr:rowOff>8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Earned value / planned value. Below 1 = behind.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57</xdr:colOff>
                <xdr:row>0</xdr:row>
                <xdr:rowOff>8</xdr:rowOff>
              </xdr:from>
              <xdr:to>
                <xdr:col>3</xdr:col>
                <xdr:colOff>142</xdr:colOff>
                <xdr:row>4</xdr:row>
                <xdr:rowOff>1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Earned value / actual cost. Below 1 = over cost.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57</xdr:colOff>
                <xdr:row>0</xdr:row>
                <xdr:rowOff>8</xdr:rowOff>
              </xdr:from>
              <xdr:to>
                <xdr:col>3</xdr:col>
                <xdr:colOff>142</xdr:colOff>
                <xdr:row>4</xdr:row>
                <xdr:rowOff>1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Unfinished critical tasks in the phase.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57</xdr:colOff>
                <xdr:row>0</xdr:row>
                <xdr:rowOff>8</xdr:rowOff>
              </xdr:from>
              <xdr:to>
                <xdr:col>3</xdr:col>
                <xdr:colOff>142</xdr:colOff>
                <xdr:row>4</xdr:row>
                <xdr:rowOff>1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Worst of finish slip, SPI and CPI against the Settings thresholds.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57</xdr:colOff>
                <xdr:row>0</xdr:row>
                <xdr:rowOff>8</xdr:rowOff>
              </xdr:from>
              <xdr:to>
                <xdr:col>3</xdr:col>
                <xdr:colOff>142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Assigned hours.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Work x Progress.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Unfinished tasks forecast to finish after plan, or not started on time (Schedule Report).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4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Arial"/>
            <family val="2"/>
          </rPr>
          <t xml:space="preserve">Most hours in any week shown in the grid below.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Highest weekly utilisation in the grid.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Weeks in the grid above 100% of capacity.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Row of the task in the Tasks table (helper, hidden).</t>
        </r>
      </text>
      <mc:AlternateContent>
        <mc:Choice Requires="v2">
          <commentPr autoFill="true" autoScale="false" colHidden="true" locked="false" rowHidden="false" textHAlign="justify" textVAlign="top">
            <anchor moveWithCells="false" sizeWithCells="false">
              <xdr:from>
                <xdr:col>2</xdr:col>
                <xdr:colOff>57</xdr:colOff>
                <xdr:row>0</xdr:row>
                <xdr:rowOff>8</xdr:rowOff>
              </xdr:from>
              <xdr:to>
                <xdr:col>3</xdr:col>
                <xdr:colOff>-125</xdr:colOff>
                <xdr:row>4</xdr:row>
                <xdr:rowOff>1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Committed points not yet done at the end of the day (blank after the status date).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57</xdr:colOff>
                <xdr:row>0</xdr:row>
                <xdr:rowOff>20</xdr:rowOff>
              </xdr:from>
              <xdr:to>
                <xdr:col>3</xdr:col>
                <xdr:colOff>-125</xdr:colOff>
                <xdr:row>4</xdr:row>
                <xdr:rowOff>13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Straight line over the sprint's working days.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57</xdr:colOff>
                <xdr:row>0</xdr:row>
                <xdr:rowOff>20</xdr:rowOff>
              </xdr:from>
              <xdr:to>
                <xdr:col>3</xdr:col>
                <xdr:colOff>-125</xdr:colOff>
                <xdr:row>4</xdr:row>
                <xdr:rowOff>13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Position in the list; renumbers when rows move (like MS Project).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Permanent number that predecessors refer to. Each task needs a different one.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Outline number, generated from Level.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Outline level: 1 = phase, 2 = task, 3 = sub-task ... (at most 1 more than the row above).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4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Auto = scheduled from predecessors. Manual = pinned to Start No Earlier Than.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</rPr>
          <t xml:space="preserve">Working days. 0 = milestone.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UID of the predecessor.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FS, SS, FF or SF (blank = FS).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Lag in working days (negative = lead).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K5" authorId="0">
      <text>
        <r>
          <rPr>
            <sz val="10"/>
            <rFont val="Arial"/>
            <family val="2"/>
          </rPr>
          <t xml:space="preserve">UID of a second predecessor.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Arial"/>
            <family val="2"/>
          </rPr>
          <t xml:space="preserve">FS, SS, FF or SF (blank = FS).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Lag in working days (negative = lead).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Auto tasks start no earlier than this. Manual tasks start exactly on 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Optional deadline; Deadline Check flags a forecast finish after 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Baseline Start if a baseline is set, otherwise calculated from durations and links.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4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Baseline Finish if a baseline is set, otherwise calculated.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T5" authorId="0">
      <text>
        <r>
          <rPr>
            <sz val="10"/>
            <rFont val="Arial"/>
            <family val="2"/>
          </rPr>
          <t xml:space="preserve">Current schedule: actuals where entered, otherwise recalculated from predecessors.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U5" authorId="0">
      <text>
        <r>
          <rPr>
            <sz val="10"/>
            <rFont val="Arial"/>
            <family val="2"/>
          </rPr>
          <t xml:space="preserve">Current schedule finish.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V5" authorId="0">
      <text>
        <r>
          <rPr>
            <sz val="10"/>
            <rFont val="Arial"/>
            <family val="2"/>
          </rPr>
          <t xml:space="preserve">Forecast Start minus Planned Start, in working days.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W5" authorId="0">
      <text>
        <r>
          <rPr>
            <sz val="10"/>
            <rFont val="Arial"/>
            <family val="2"/>
          </rPr>
          <t xml:space="preserve">Forecast Finish minus Planned Finish, in working days.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X5" authorId="0">
      <text>
        <r>
          <rPr>
            <sz val="10"/>
            <rFont val="Arial"/>
            <family val="2"/>
          </rPr>
          <t xml:space="preserve">Latest start that doesn't delay the project finish or a deadline (critical path backward pass).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4</xdr:rowOff>
              </xdr:to>
            </anchor>
          </commentPr>
        </mc:Choice>
        <mc:Fallback/>
      </mc:AlternateContent>
    </comment>
    <comment ref="Y5" authorId="0">
      <text>
        <r>
          <rPr>
            <sz val="10"/>
            <rFont val="Arial"/>
            <family val="2"/>
          </rPr>
          <t xml:space="preserve">Latest finish that doesn't delay the project finish or a deadline.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Z5" authorId="0">
      <text>
        <r>
          <rPr>
            <sz val="10"/>
            <rFont val="Arial"/>
            <family val="2"/>
          </rPr>
          <t xml:space="preserve">Total slack: working days this task can slip before it delays the project or a deadline.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AA5" authorId="0">
      <text>
        <r>
          <rPr>
            <sz val="10"/>
            <rFont val="Arial"/>
            <family val="2"/>
          </rPr>
          <t xml:space="preserve">Free slack: working days it can slip before it delays any successor.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AB5" authorId="0">
      <text>
        <r>
          <rPr>
            <sz val="10"/>
            <rFont val="Arial"/>
            <family val="2"/>
          </rPr>
          <t xml:space="preserve">Yes when Total Slack &lt;= CriticalSlackDays (Settings) and the task isn't complete.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Explains predecessor links that are ignored.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AE5" authorId="0">
      <text>
        <r>
          <rPr>
            <sz val="10"/>
            <rFont val="Arial"/>
            <family val="2"/>
          </rPr>
          <t xml:space="preserve">Enter 0-100%. An Actual Finish counts as 100%.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AF5" authorId="0">
      <text>
        <r>
          <rPr>
            <sz val="10"/>
            <rFont val="Arial"/>
            <family val="2"/>
          </rPr>
          <t xml:space="preserve">% Complete, rolled up to summaries (duration-weighted).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AI5" authorId="0">
      <text>
        <r>
          <rPr>
            <sz val="10"/>
            <rFont val="Arial"/>
            <family val="2"/>
          </rPr>
          <t xml:space="preserve">Share of the resource's time (blank = DefaultUnits).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AJ5" authorId="0">
      <text>
        <r>
          <rPr>
            <sz val="10"/>
            <rFont val="Arial"/>
            <family val="2"/>
          </rPr>
          <t xml:space="preserve">Hours = Duration x HoursPerDay x Units.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AL5" authorId="0">
      <text>
        <r>
          <rPr>
            <sz val="10"/>
            <rFont val="Arial"/>
            <family val="2"/>
          </rPr>
          <t xml:space="preserve">Cost to date of a detail task. Blank = Cost x Progress (as MS Project calculates it). Summaries roll up in the AC column.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19</xdr:rowOff>
              </xdr:to>
            </anchor>
          </commentPr>
        </mc:Choice>
        <mc:Fallback/>
      </mc:AlternateContent>
    </comment>
    <comment ref="AM5" authorId="0">
      <text>
        <r>
          <rPr>
            <sz val="10"/>
            <rFont val="Arial"/>
            <family val="2"/>
          </rPr>
          <t xml:space="preserve">Optional: the sprint this task is planned in (dropdown). Blank = the sprint containing its forecast start.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4</xdr:rowOff>
              </xdr:to>
            </anchor>
          </commentPr>
        </mc:Choice>
        <mc:Fallback/>
      </mc:AlternateContent>
    </comment>
    <comment ref="AN5" authorId="0">
      <text>
        <r>
          <rPr>
            <sz val="10"/>
            <rFont val="Arial"/>
            <family val="2"/>
          </rPr>
          <t xml:space="preserve">Planned Sprint if entered, otherwise the sprint containing the forecast start.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AO5" authorId="0">
      <text>
        <r>
          <rPr>
            <sz val="10"/>
            <rFont val="Arial"/>
            <family val="2"/>
          </rPr>
          <t xml:space="preserve">Story points (optional estimate for agile reporting). Detail tasks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AP5" authorId="0">
      <text>
        <r>
          <rPr>
            <sz val="10"/>
            <rFont val="Arial"/>
            <family val="2"/>
          </rPr>
          <t xml:space="preserve">Predecessors in MS Project notation, by ID.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AR5" authorId="0">
      <text>
        <r>
          <rPr>
            <sz val="10"/>
            <rFont val="Arial"/>
            <family val="2"/>
          </rPr>
          <t xml:space="preserve">Copy the 5 BL Source columns, then Paste Special &gt; Values onto the 5 Baseline columns.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4</xdr:rowOff>
              </xdr:to>
            </anchor>
          </commentPr>
        </mc:Choice>
        <mc:Fallback/>
      </mc:AlternateContent>
    </comment>
    <comment ref="AW5" authorId="0">
      <text>
        <r>
          <rPr>
            <sz val="10"/>
            <rFont val="Arial"/>
            <family val="2"/>
          </rPr>
          <t xml:space="preserve">Frozen plan. Filled by pasting values from the BL Source columns.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BB5" authorId="0">
      <text>
        <r>
          <rPr>
            <sz val="10"/>
            <rFont val="Arial"/>
            <family val="2"/>
          </rPr>
          <t xml:space="preserve">Duration minus Baseline Duration (working days).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BC5" authorId="0">
      <text>
        <r>
          <rPr>
            <sz val="10"/>
            <rFont val="Arial"/>
            <family val="2"/>
          </rPr>
          <t xml:space="preserve">Work minus Baseline Work (hours).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BD5" authorId="0">
      <text>
        <r>
          <rPr>
            <sz val="10"/>
            <rFont val="Arial"/>
            <family val="2"/>
          </rPr>
          <t xml:space="preserve">Cost minus Baseline Cost.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BE5" authorId="0">
      <text>
        <r>
          <rPr>
            <sz val="10"/>
            <rFont val="Arial"/>
            <family val="2"/>
          </rPr>
          <t xml:space="preserve">Budget at completion: Baseline Cost once a baseline is set, otherwise Cost.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BF5" authorId="0">
      <text>
        <r>
          <rPr>
            <sz val="10"/>
            <rFont val="Arial"/>
            <family val="2"/>
          </rPr>
          <t xml:space="preserve">Planned value: the budget of the work planned before the status date.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BG5" authorId="0">
      <text>
        <r>
          <rPr>
            <sz val="10"/>
            <rFont val="Arial"/>
            <family val="2"/>
          </rPr>
          <t xml:space="preserve">Earned value: Budget x Progress.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BH5" authorId="0">
      <text>
        <r>
          <rPr>
            <sz val="10"/>
            <rFont val="Arial"/>
            <family val="2"/>
          </rPr>
          <t xml:space="preserve">Actual cost to date: Actual Cost, or Cost x Progress when it is blank.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4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Work, Material or Cost (MS Project resource types).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Availability: 100% = full time.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</rPr>
          <t xml:space="preserve">Standard rate per hour.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Detail tasks assigned to this resource.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Assigned work (hours).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K5" authorId="0">
      <text>
        <r>
          <rPr>
            <sz val="10"/>
            <rFont val="Arial"/>
            <family val="2"/>
          </rPr>
          <t xml:space="preserve">Assigned cost.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Arial"/>
            <family val="2"/>
          </rPr>
          <t xml:space="preserve">Cost to date: Actual Cost entered on Tasks, or Cost x Progress where blank.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8</xdr:rowOff>
              </xdr:from>
              <xdr:to>
                <xdr:col>2</xdr:col>
                <xdr:colOff>38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Hours of task work falling in the sprint.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2</xdr:col>
                <xdr:colOff>68</xdr:colOff>
                <xdr:row>4</xdr:row>
                <xdr:rowOff>1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Sum of Work resources' Max Units x HoursPerDay x working days.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2</xdr:col>
                <xdr:colOff>68</xdr:colOff>
                <xdr:row>4</xdr:row>
                <xdr:rowOff>1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Arial"/>
            <family val="2"/>
          </rPr>
          <t xml:space="preserve">Optional: story points the team can take on in the sprint. Committed Points turn red above 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2</xdr:col>
                <xdr:colOff>68</xdr:colOff>
                <xdr:row>4</xdr:row>
                <xdr:rowOff>4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Story points of the tasks in this sprint (Tasks &gt; Sprint).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2</xdr:col>
                <xdr:colOff>68</xdr:colOff>
                <xdr:row>4</xdr:row>
                <xdr:rowOff>1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Story points of tasks finished during the sprint (by Actual Finish).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2</xdr:col>
                <xdr:colOff>68</xdr:colOff>
                <xdr:row>4</xdr:row>
                <xdr:rowOff>1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Average Done Points of this and the two previous sprints (closed sprints only).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2</xdr:col>
                <xdr:colOff>68</xdr:colOff>
                <xdr:row>4</xdr:row>
                <xdr:rowOff>1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Release burndown: story points not yet done at the sprint end (or the status date).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2</xdr:col>
                <xdr:colOff>68</xdr:colOff>
                <xdr:row>4</xdr:row>
                <xdr:rowOff>1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Points still open at the sprint end if tasks finish on their forecast dates.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2</xdr:col>
                <xdr:colOff>68</xdr:colOff>
                <xdr:row>4</xdr:row>
                <xdr:rowOff>1</xdr:rowOff>
              </xdr:to>
            </anchor>
          </commentPr>
        </mc:Choice>
        <mc:Fallback/>
      </mc:AlternateContent>
    </comment>
    <comment ref="R5" authorId="0">
      <text>
        <r>
          <rPr>
            <sz val="10"/>
            <rFont val="Arial"/>
            <family val="2"/>
          </rPr>
          <t xml:space="preserve">Straight line from the total scope to zero at the last sprint.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8</xdr:rowOff>
              </xdr:from>
              <xdr:to>
                <xdr:col>2</xdr:col>
                <xdr:colOff>68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X1" authorId="0">
      <text>
        <r>
          <rPr>
            <sz val="10"/>
            <rFont val="Arial"/>
            <family val="2"/>
          </rPr>
          <t xml:space="preserve">Sprint, in MS Project's custom field Text1 (rename it Sprint in MS Project).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2</xdr:rowOff>
              </xdr:from>
              <xdr:to>
                <xdr:col>2</xdr:col>
                <xdr:colOff>127</xdr:colOff>
                <xdr:row>1</xdr:row>
                <xdr:rowOff>19</xdr:rowOff>
              </xdr:to>
            </anchor>
          </commentPr>
        </mc:Choice>
        <mc:Fallback/>
      </mc:AlternateContent>
    </comment>
    <comment ref="Y1" authorId="0">
      <text>
        <r>
          <rPr>
            <sz val="10"/>
            <rFont val="Arial"/>
            <family val="2"/>
          </rPr>
          <t xml:space="preserve">Story points, in MS Project's custom field Number1.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2</xdr:rowOff>
              </xdr:from>
              <xdr:to>
                <xdr:col>2</xdr:col>
                <xdr:colOff>127</xdr:colOff>
                <xdr:row>1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<sst xmlns="http://schemas.openxmlformats.org/spreadsheetml/2006/main" count="854" uniqueCount="619">
  <si>
    <t xml:space="preserve">Project Planner - MS Project-compatible Excel template</t>
  </si>
  <si>
    <t xml:space="preserve">REQUIREMENTS</t>
  </si>
  <si>
    <t xml:space="preserve">Excel version</t>
  </si>
  <si>
    <t xml:space="preserve">Excel 2019 or Microsoft 365 (Windows or Mac), or Excel for the web. No macros needed.</t>
  </si>
  <si>
    <t xml:space="preserve">HOW IT WORKS</t>
  </si>
  <si>
    <t xml:space="preserve">1. Settings</t>
  </si>
  <si>
    <t xml:space="preserve">Set project start and status date (both typed dates; Ctrl+; enters today), working week (Mon-Sun Yes/No), hours/day, Gantt scale and sprint calendar. Add holidays on 'Holidays'. Update the status date whenever you report progress.</t>
  </si>
  <si>
    <t xml:space="preserve">2. Resources</t>
  </si>
  <si>
    <t xml:space="preserve">List people/roles with Max Units and hourly rate. They appear in the Resource dropdown on Tasks and in sprint capacity.</t>
  </si>
  <si>
    <t xml:space="preserve">3. Tasks</t>
  </si>
  <si>
    <t xml:space="preserve">One row per task. Enter Level (1 = phase/summary, 2 = task, 3 = sub-task...), Task Name, Duration in working days (0 = milestone), and up to two predecessors by UID with link type (FS, SS, FF, SF) and lag in days (negative = lead). A row becomes a SUMMARY automatically when the rows beneath it have a higher level; its dates, work, cost and progress roll up. Optional Deadline: Deadline Check shows 'Late by Nd'. Hover over a column header for what it means.</t>
  </si>
  <si>
    <t xml:space="preserve">4. Set the baseline</t>
  </si>
  <si>
    <t xml:space="preserve">When the plan is agreed: on Tasks, select the 5 'BL Source' columns (all task rows), Copy, then select the first 'Baseline Start' cell and Paste Special &gt; Values. Planned Start/Finish now stay frozen (like MS Project's Baseline) and the variance columns compare against it. To re-baseline, repeat; to clear it, delete the 5 Baseline columns' contents.</t>
  </si>
  <si>
    <t xml:space="preserve">5. Track progress</t>
  </si>
  <si>
    <t xml:space="preserve">Enter Actual Start, Actual Finish and % Complete. Forecast Start/Finish then use actuals and push every dependent task. Start / Finish / Duration / Work / Cost Var and Status flag slippage. Optionally enter Actual Cost (cost to date) on detail tasks; blank = Cost x Progress.</t>
  </si>
  <si>
    <t xml:space="preserve">Critical path</t>
  </si>
  <si>
    <t xml:space="preserve">Late Start / Late Finish come from a backward pass from the forecast project finish (and any deadline). Total Slack = how far a task can slip before it delays the project or a deadline; Free Slack = before it delays a successor. Critical = slack &lt;= Settings &gt; CriticalSlackDays on an unfinished task. A missed deadline gives negative slack to the task and the chain feeding it.</t>
  </si>
  <si>
    <t xml:space="preserve">6. Gantt</t>
  </si>
  <si>
    <t xml:space="preserve">Read-only view: dark outline = planned dates, green = done, blue = remaining on track, red = remaining on the critical path, orange = remaining but late vs plan, dark grey = summary, purple = milestone, red cell = deadline, red border = status date. Change GanttStart / GanttPeriod (1 = days, 7 = weeks) on Settings to scroll or zoom.</t>
  </si>
  <si>
    <t xml:space="preserve">7. Sprints</t>
  </si>
  <si>
    <t xml:space="preserve">Sprint calendar from Settings. Each task is tagged with the sprint its forecast start falls in. Work hours are prorated across sprints per resource, compared against capacity (Max Units x Hours/day x working days); over-allocations turn red. Optional agile columns: Story Points and Planned Sprint on Tasks (Planned Sprint wins over the automatic sprint), Points Capacity on Sprints; the table then shows committed and done points, velocity and the release burndown.</t>
  </si>
  <si>
    <t xml:space="preserve">8. Dashboard</t>
  </si>
  <si>
    <t xml:space="preserve">KPIs (including overall RAG, SPI, CPI, missed deadlines, link problems), status counts, upcoming milestones and sprint load vs capacity.</t>
  </si>
  <si>
    <t xml:space="preserve">9. Status Report</t>
  </si>
  <si>
    <t xml:space="preserve">For steering meetings: overall RAG and RAG by area (schedule, SPI, CPI, deadlines, critical path, plan quality), calculated from the thresholds on Settings (RAG...). Type a PM RAG to override one and say why in Comment. Earned value (BAC, PV, EV, AC, SPI, CPI, EAC, VAC, TCPI) and a commentary box for the period.</t>
  </si>
  <si>
    <t xml:space="preserve">10. Schedule Report</t>
  </si>
  <si>
    <t xml:space="preserve">Phase summary with RAG, all milestones, late tasks, tasks starting and due in the look-ahead window (Settings &gt; LookaheadDays) and open critical tasks. Lists update with every edit; drag a list's bottom corner down to show more rows.</t>
  </si>
  <si>
    <t xml:space="preserve">11. Resource Report</t>
  </si>
  <si>
    <t xml:space="preserve">Per resource: work, done, remaining, cost, actual cost, late and critical tasks, peak week and weeks over capacity. Weekly hours and utilisation grids for 26 weeks from Settings &gt; ResourceWeekStart (red = over capacity), and a team hours vs capacity chart.</t>
  </si>
  <si>
    <t xml:space="preserve">12. Agile Report</t>
  </si>
  <si>
    <t xml:space="preserve">Story points: scope, done, remaining, velocity (last 3 closed sprints) and the sprint it forecasts finishing in; the current sprint's backlog and daily burndown; release burndown and committed vs done charts.</t>
  </si>
  <si>
    <t xml:space="preserve">Earned value</t>
  </si>
  <si>
    <t xml:space="preserve">Set a baseline first: without one, Budget = current Cost and PV follows the current plan, so SPI and CPI only show progress against the latest plan. PV = budget of work planned before the status date; EV = Budget x Progress; AC = Actual Cost. SPI = EV/PV, CPI = EV/AC, EAC = AC + (BAC - EV)/CPI.</t>
  </si>
  <si>
    <t xml:space="preserve">CELL COLOURS</t>
  </si>
  <si>
    <t xml:space="preserve">Blue text</t>
  </si>
  <si>
    <t xml:space="preserve">Input - type here.</t>
  </si>
  <si>
    <t xml:space="preserve">Black text on grey</t>
  </si>
  <si>
    <t xml:space="preserve">Formula - do not overwrite. Summary rows grey-out inputs that are ignored.</t>
  </si>
  <si>
    <t xml:space="preserve">Dark blue header</t>
  </si>
  <si>
    <t xml:space="preserve">Input column.  Dark grey header = calculated.  Light grey header = helper column (hidden, grouped).</t>
  </si>
  <si>
    <t xml:space="preserve">RULES (same as MS Project)</t>
  </si>
  <si>
    <t xml:space="preserve">ID and UID</t>
  </si>
  <si>
    <t xml:space="preserve">ID = position of the task (renumbers when rows move, like MS Project). UID = permanent number that predecessors refer to, so links survive inserting, deleting and moving rows. A duplicate or missing UID turns red.</t>
  </si>
  <si>
    <t xml:space="preserve">Inserting tasks</t>
  </si>
  <si>
    <t xml:space="preserve">Tasks is an Excel Table: right-click a row &gt; Insert &gt; Table Rows Above (or type in the row under the table). Every formula fills in automatically. Set the new task's UID to Settings &gt; NextFreeUID (also shown at the top of Tasks).</t>
  </si>
  <si>
    <t xml:space="preserve">Outline levels</t>
  </si>
  <si>
    <t xml:space="preserve">Each row's Level may be at most 1 higher than the row above. A '?' in WBS (red) means a level jump.</t>
  </si>
  <si>
    <t xml:space="preserve">Predecessors</t>
  </si>
  <si>
    <t xml:space="preserve">Enter the predecessor's UID. A predecessor must be a detail task listed ABOVE its successor (order tasks roughly by date). Links that break this, or point to an empty row or a missing UID, are ignored and explained in the Link Check column (red). Summary rows ignore Duration / Predecessors / Actuals - they roll up. The rule keeps the schedule and the critical path consistent and rules out circular references.</t>
  </si>
  <si>
    <t xml:space="preserve">Mode</t>
  </si>
  <si>
    <t xml:space="preserve">Auto = scheduled from predecessors, project start and 'Start No Earlier Than'. Manual = pinned to the date in 'Start No Earlier Than'.</t>
  </si>
  <si>
    <t xml:space="preserve">Rescheduling</t>
  </si>
  <si>
    <t xml:space="preserve">Settings &gt; RescheduleAfterStatus = Yes moves incomplete work to after the status date (like MS Project 'Update Project'), so late tasks push successors.</t>
  </si>
  <si>
    <t xml:space="preserve">Capacity</t>
  </si>
  <si>
    <t xml:space="preserve">Tables grow when you add rows: Tasks starts with 200 rows, Resources 50, Sprints 26, Holidays 100. The Gantt and MSP_Tasks sheets show the first 200 tasks (the Gantt says so when there are more).</t>
  </si>
  <si>
    <t xml:space="preserve">Speed</t>
  </si>
  <si>
    <t xml:space="preserve">An edit recalculates in well under a second for typical plans (about 0.05 s for 200 tasks). Each change to the build is timed in CI; see docs/ARCHITECTURE.md in the repository. Keep the status date typed (not =TODAY()), which would recalculate everything after every edit.</t>
  </si>
  <si>
    <t xml:space="preserve">MOVING TO MICROSOFT PROJECT</t>
  </si>
  <si>
    <t xml:space="preserve">One-time setting</t>
  </si>
  <si>
    <t xml:space="preserve">MS Project &gt; File &gt; Options &gt; Trust Center &gt; Trust Center Settings &gt; Legacy Formats &gt; 'Allow loading files with legacy or non-default file formats'.</t>
  </si>
  <si>
    <t xml:space="preserve">Import</t>
  </si>
  <si>
    <t xml:space="preserve">In MS Project: File &gt; Open &gt; choose this .xlsx &gt; Import Wizard &gt; New map &gt; 'As a new project' &gt; tick Tasks (and Resources) &gt; Tasks source worksheet = MSP_Tasks, Resources = MSP_Resources. Column headers already use MS Project field names, so the wizard maps them automatically. Map 'Predecessors' (by ID) for a new project; 'Unique ID' and 'Unique ID Predecessors' are for merging into an existing one.</t>
  </si>
  <si>
    <t xml:space="preserve">Tip: Start/Finish</t>
  </si>
  <si>
    <t xml:space="preserve">For auto-scheduled tasks map Duration + Predecessors (+ Constraint Type/Date) and set Start/Finish to '(not mapped)' - importing Start/Finish makes MS Project add fixed 'Start No Earlier Than' constraints. Map Baseline Start/Finish to keep the plan, and Actual Start/Finish/% Complete for progress.</t>
  </si>
  <si>
    <t xml:space="preserve">Rows</t>
  </si>
  <si>
    <t xml:space="preserve">Blank MSP_Tasks rows import as blank tasks - delete them in MS Project, or filter the table to non-blank names and copy those rows to a new sheet before importing.</t>
  </si>
  <si>
    <t xml:space="preserve">From MS Project to Excel</t>
  </si>
  <si>
    <t xml:space="preserve">MS Project &gt; File &gt; Save As &gt; Excel Workbook, then paste Name / Outline Level / Duration / Predecessors etc. into the Tasks input columns (split '3FS+2d' into UID, Type, Lag).</t>
  </si>
  <si>
    <t xml:space="preserve">NAMES AND TABLES (Formulas &gt; Name Manager)</t>
  </si>
  <si>
    <t xml:space="preserve">Tables</t>
  </si>
  <si>
    <t xml:space="preserve">Tasks, ResourceTable, SprintTable, HolidayTable, GanttView, MSPTasks, MSPResources, KPIs, StatusSummary, NextMilestones, OverallStatus, StatusRAG, EarnedValue, StatusNotes, PhaseSummary, MilestoneReport, LateTasks, StartingSoon, DueSoon, CriticalTasks, ResourceSummary, AgileKPIs, SprintBacklog, SprintBurndown and the List* dropdown tables. Inside a table, formulas read [@Column] (this row).</t>
  </si>
  <si>
    <t xml:space="preserve">Settings</t>
  </si>
  <si>
    <t xml:space="preserve">ProjectStart, StatusDate, StatusWorkday, WorkWeek, Holidays, HoursPerDay, DefaultUnits, RescheduleAfterStatus, GanttStart, GanttPeriod, Sprint1Start, SprintLength, SprintCount, SprintPrefix, SprintLastEnd, CriticalSlackDays, ProjectFinish, PlannedFinish, FinishVarianceDays, LookaheadDays, RAGAmberSlipDays, RAGRedSlipDays, RAGAmberIndex, RAGRedIndex, ResourceWeekStart, CurrentSprint, TotalPoints, NextFreeUID. Report values: ProjectRAG, evm_BAC, evm_PV, evm_EV, evm_AC, evm_SPI, evm_CPI, evm_EAC ...</t>
  </si>
  <si>
    <t xml:space="preserve">Task columns</t>
  </si>
  <si>
    <t xml:space="preserve">tsk_ID, tsk_UID, tsk_WBS, tsk_Name, tsk_Duration, tsk_PlanStart, tsk_FcFinish, tsk_Status, tsk_Resource, tsk_Work, tsk_Cost ... each is Tasks[Column], so it grows with the table. Other sheets read Tasks only through these names.</t>
  </si>
  <si>
    <t xml:space="preserve">Resources / Sprints</t>
  </si>
  <si>
    <t xml:space="preserve">res_Name, res_MaxUnits, res_Rate, ...  spr_Name, spr_Start, spr_End, spr_WorkDays, spr_Capacity, spr_Work</t>
  </si>
  <si>
    <t xml:space="preserve">Key formulas</t>
  </si>
  <si>
    <t xml:space="preserve">Calculated start = WORKDAY.INTL(MAX(ProjectStart, [@Start No Earlier Than], predecessor drivers) - 1, 1, WorkWeek, Holidays).  Predecessor driver (FS) = WORKDAY.INTL(OFFSET(Tasks[[#Headers],[_LeafCalcFinish]], [@_Pred1Pos], 0), 1 + Lag, WorkWeek, Holidays).  Planned Start = Baseline Start if set, else calculated.  Summary start = MIN(INDEX(Tasks[_LeafCalcStart], [@_Row]+1):INDEX(Tasks[_LeafCalcStart], [@_Row]+[@_Descendants])), where _Descendants = COUNTIF(Tasks[WBS], [@WBS] &amp; ".*").</t>
  </si>
  <si>
    <t xml:space="preserve">Key indicator</t>
  </si>
  <si>
    <t xml:space="preserve">Value</t>
  </si>
  <si>
    <t xml:space="preserve">Status</t>
  </si>
  <si>
    <t xml:space="preserve">Count</t>
  </si>
  <si>
    <t xml:space="preserve">Planned start</t>
  </si>
  <si>
    <t xml:space="preserve">Complete</t>
  </si>
  <si>
    <t xml:space="preserve">Planned finish</t>
  </si>
  <si>
    <t xml:space="preserve">In Progress</t>
  </si>
  <si>
    <t xml:space="preserve">Forecast finish</t>
  </si>
  <si>
    <t xml:space="preserve">Behind</t>
  </si>
  <si>
    <t xml:space="preserve">Finish variance (work days)</t>
  </si>
  <si>
    <t xml:space="preserve">Late Start</t>
  </si>
  <si>
    <t xml:space="preserve">Overall progress (duration-weighted)</t>
  </si>
  <si>
    <t xml:space="preserve">Not Started</t>
  </si>
  <si>
    <t xml:space="preserve">Planned progress by status date</t>
  </si>
  <si>
    <t xml:space="preserve">Detail tasks</t>
  </si>
  <si>
    <t xml:space="preserve">Milestones</t>
  </si>
  <si>
    <t xml:space="preserve">Total work (hrs)</t>
  </si>
  <si>
    <t xml:space="preserve">Total cost</t>
  </si>
  <si>
    <t xml:space="preserve">Current sprint</t>
  </si>
  <si>
    <t xml:space="preserve">Baseline</t>
  </si>
  <si>
    <t xml:space="preserve">Open critical tasks</t>
  </si>
  <si>
    <t xml:space="preserve">Missed deadlines</t>
  </si>
  <si>
    <t xml:space="preserve">Link problems (see Tasks &gt; Link Check)</t>
  </si>
  <si>
    <t xml:space="preserve">Overall status (see Status Report)</t>
  </si>
  <si>
    <t xml:space="preserve">Schedule performance (SPI)</t>
  </si>
  <si>
    <t xml:space="preserve">Cost performance (CPI)</t>
  </si>
  <si>
    <t xml:space="preserve">Forecast cost at completion (EAC)</t>
  </si>
  <si>
    <t xml:space="preserve">Story points done / total</t>
  </si>
  <si>
    <t xml:space="preserve">Next milestones (forecast)</t>
  </si>
  <si>
    <t xml:space="preserve">Forecast date</t>
  </si>
  <si>
    <t xml:space="preserve">Area</t>
  </si>
  <si>
    <t xml:space="preserve">Measure</t>
  </si>
  <si>
    <t xml:space="preserve">Calculated</t>
  </si>
  <si>
    <t xml:space="preserve">PM RAG</t>
  </si>
  <si>
    <t xml:space="preserve">RAG</t>
  </si>
  <si>
    <t xml:space="preserve">Comment</t>
  </si>
  <si>
    <t xml:space="preserve">Overall</t>
  </si>
  <si>
    <t xml:space="preserve">Worst of the areas below</t>
  </si>
  <si>
    <t xml:space="preserve">Schedule</t>
  </si>
  <si>
    <t xml:space="preserve">Forecast finish vs plan (working days)</t>
  </si>
  <si>
    <t xml:space="preserve">Schedule performance</t>
  </si>
  <si>
    <t xml:space="preserve">SPI = earned value / planned value</t>
  </si>
  <si>
    <t xml:space="preserve">Cost performance</t>
  </si>
  <si>
    <t xml:space="preserve">CPI = earned value / actual cost</t>
  </si>
  <si>
    <t xml:space="preserve">Deadlines</t>
  </si>
  <si>
    <t xml:space="preserve">Tasks forecast to miss their deadline</t>
  </si>
  <si>
    <t xml:space="preserve">Critical tasks forecast to finish late</t>
  </si>
  <si>
    <t xml:space="preserve">Plan quality</t>
  </si>
  <si>
    <t xml:space="preserve">Ignored links and outline errors (see Tasks)</t>
  </si>
  <si>
    <t xml:space="preserve">EARNED VALUE at the status date</t>
  </si>
  <si>
    <t xml:space="preserve">Meaning</t>
  </si>
  <si>
    <t xml:space="preserve">Budget at completion (BAC)</t>
  </si>
  <si>
    <t xml:space="preserve">Baseline Cost once a baseline is set, otherwise Cost.</t>
  </si>
  <si>
    <t xml:space="preserve">Planned value (PV)</t>
  </si>
  <si>
    <t xml:space="preserve">Budget of the work planned before the status date.</t>
  </si>
  <si>
    <t xml:space="preserve">Earned value (EV)</t>
  </si>
  <si>
    <t xml:space="preserve">Budget of the work done (Budget x Progress).</t>
  </si>
  <si>
    <t xml:space="preserve">Actual cost (AC)</t>
  </si>
  <si>
    <t xml:space="preserve">Actual Cost on Tasks; Cost x Progress where blank.</t>
  </si>
  <si>
    <t xml:space="preserve">Schedule variance (SV)</t>
  </si>
  <si>
    <t xml:space="preserve">EV - PV. Negative = behind plan.</t>
  </si>
  <si>
    <t xml:space="preserve">Cost variance (CV)</t>
  </si>
  <si>
    <t xml:space="preserve">EV - AC. Negative = over cost.</t>
  </si>
  <si>
    <t xml:space="preserve">Schedule performance index (SPI)</t>
  </si>
  <si>
    <t xml:space="preserve">EV / PV. Below 1 = behind.</t>
  </si>
  <si>
    <t xml:space="preserve">Cost performance index (CPI)</t>
  </si>
  <si>
    <t xml:space="preserve">EV / AC. Below 1 = over cost.</t>
  </si>
  <si>
    <t xml:space="preserve">Estimate at completion (EAC)</t>
  </si>
  <si>
    <t xml:space="preserve">AC + (BAC - EV) / CPI: forecast cost at the current CPI.</t>
  </si>
  <si>
    <t xml:space="preserve">Estimate to complete (ETC)</t>
  </si>
  <si>
    <t xml:space="preserve">EAC - AC: forecast cost of the remaining work.</t>
  </si>
  <si>
    <t xml:space="preserve">Variance at completion (VAC)</t>
  </si>
  <si>
    <t xml:space="preserve">BAC - EAC. Negative = forecast overrun.</t>
  </si>
  <si>
    <t xml:space="preserve">To-complete performance index (TCPI)</t>
  </si>
  <si>
    <t xml:space="preserve">CPI the remaining work needs to finish on budget.</t>
  </si>
  <si>
    <t xml:space="preserve">% complete (earned)</t>
  </si>
  <si>
    <t xml:space="preserve">EV / BAC.</t>
  </si>
  <si>
    <t xml:space="preserve">% complete (planned)</t>
  </si>
  <si>
    <t xml:space="preserve">PV / BAC.</t>
  </si>
  <si>
    <t xml:space="preserve">COMMENTARY for this period (type in the Notes column)</t>
  </si>
  <si>
    <t xml:space="preserve">Section</t>
  </si>
  <si>
    <t xml:space="preserve">Notes</t>
  </si>
  <si>
    <t xml:space="preserve">Summary</t>
  </si>
  <si>
    <t xml:space="preserve">Achievements this period</t>
  </si>
  <si>
    <t xml:space="preserve">Planned for next period</t>
  </si>
  <si>
    <t xml:space="preserve">Issues and escalations</t>
  </si>
  <si>
    <t xml:space="preserve">Decisions needed</t>
  </si>
  <si>
    <t xml:space="preserve">Risks to watch</t>
  </si>
  <si>
    <t xml:space="preserve">_Task</t>
  </si>
  <si>
    <t xml:space="preserve">WBS</t>
  </si>
  <si>
    <t xml:space="preserve">Phase</t>
  </si>
  <si>
    <t xml:space="preserve">Planned Finish</t>
  </si>
  <si>
    <t xml:space="preserve">Forecast Finish</t>
  </si>
  <si>
    <t xml:space="preserve">Finish Var</t>
  </si>
  <si>
    <t xml:space="preserve">Progress</t>
  </si>
  <si>
    <t xml:space="preserve">Budget</t>
  </si>
  <si>
    <t xml:space="preserve">PV</t>
  </si>
  <si>
    <t xml:space="preserve">EV</t>
  </si>
  <si>
    <t xml:space="preserve">AC</t>
  </si>
  <si>
    <t xml:space="preserve">SPI</t>
  </si>
  <si>
    <t xml:space="preserve">CPI</t>
  </si>
  <si>
    <t xml:space="preserve">Open Critical</t>
  </si>
  <si>
    <t xml:space="preserve">Milestone</t>
  </si>
  <si>
    <t xml:space="preserve">Planned</t>
  </si>
  <si>
    <t xml:space="preserve">Forecast</t>
  </si>
  <si>
    <t xml:space="preserve">Deadline</t>
  </si>
  <si>
    <t xml:space="preserve">Deadline Check</t>
  </si>
  <si>
    <t xml:space="preserve">Task</t>
  </si>
  <si>
    <t xml:space="preserve">Resource</t>
  </si>
  <si>
    <t xml:space="preserve">Critical</t>
  </si>
  <si>
    <t xml:space="preserve">Forecast Start</t>
  </si>
  <si>
    <t xml:space="preserve">Duration</t>
  </si>
  <si>
    <t xml:space="preserve">Total Slack</t>
  </si>
  <si>
    <t xml:space="preserve">RESOURCES</t>
  </si>
  <si>
    <t xml:space="preserve">Max Units</t>
  </si>
  <si>
    <t xml:space="preserve">Tasks</t>
  </si>
  <si>
    <t xml:space="preserve">Work</t>
  </si>
  <si>
    <t xml:space="preserve">Work Done</t>
  </si>
  <si>
    <t xml:space="preserve">Remaining</t>
  </si>
  <si>
    <t xml:space="preserve">Cost</t>
  </si>
  <si>
    <t xml:space="preserve">Actual Cost</t>
  </si>
  <si>
    <t xml:space="preserve">Late Tasks</t>
  </si>
  <si>
    <t xml:space="preserve">Peak Week (h)</t>
  </si>
  <si>
    <t xml:space="preserve">Peak Use</t>
  </si>
  <si>
    <t xml:space="preserve">Weeks Over</t>
  </si>
  <si>
    <t xml:space="preserve">Weekly hours by resource</t>
  </si>
  <si>
    <t xml:space="preserve">Working days</t>
  </si>
  <si>
    <t xml:space="preserve">Team hours</t>
  </si>
  <si>
    <t xml:space="preserve">Team capacity</t>
  </si>
  <si>
    <t xml:space="preserve">Weekly utilisation by resource (hours / capacity)</t>
  </si>
  <si>
    <t xml:space="preserve">Cumulative hours at each week boundary (helper for the weekly grids)</t>
  </si>
  <si>
    <t xml:space="preserve">RELEASE</t>
  </si>
  <si>
    <t xml:space="preserve">Total story points (scope)</t>
  </si>
  <si>
    <t xml:space="preserve">Done by the status date</t>
  </si>
  <si>
    <t xml:space="preserve">Velocity (average of the last 3 closed sprints)</t>
  </si>
  <si>
    <t xml:space="preserve">Sprints needed at that velocity</t>
  </si>
  <si>
    <t xml:space="preserve">Sprints closed</t>
  </si>
  <si>
    <t xml:space="preserve">Forecast to finish in</t>
  </si>
  <si>
    <t xml:space="preserve">Forecast finish (velocity)</t>
  </si>
  <si>
    <t xml:space="preserve">Forecast finish (schedule)</t>
  </si>
  <si>
    <t xml:space="preserve">Current sprint: committed points</t>
  </si>
  <si>
    <t xml:space="preserve">Current sprint: done so far</t>
  </si>
  <si>
    <t xml:space="preserve">Tasks without story points (not milestones)</t>
  </si>
  <si>
    <t xml:space="preserve">Story Points</t>
  </si>
  <si>
    <t xml:space="preserve">CURRENT SPRINT BURNDOWN (story points of the tasks in the sprint)</t>
  </si>
  <si>
    <t xml:space="preserve">Day</t>
  </si>
  <si>
    <t xml:space="preserve">Ideal</t>
  </si>
  <si>
    <t xml:space="preserve">_ChartDay</t>
  </si>
  <si>
    <t xml:space="preserve">_ChartRemaining</t>
  </si>
  <si>
    <t xml:space="preserve">_ChartIdeal</t>
  </si>
  <si>
    <t xml:space="preserve">Project Settings</t>
  </si>
  <si>
    <t xml:space="preserve">Blue = edit me. Grey = calculated. Column D shows the defined name every formula uses for that setting.</t>
  </si>
  <si>
    <t xml:space="preserve">Setting</t>
  </si>
  <si>
    <t xml:space="preserve">Named range</t>
  </si>
  <si>
    <t xml:space="preserve">Project name</t>
  </si>
  <si>
    <t xml:space="preserve">Customer Portal Implementation</t>
  </si>
  <si>
    <t xml:space="preserve">ProjectName</t>
  </si>
  <si>
    <t xml:space="preserve">Shown on every sheet title.</t>
  </si>
  <si>
    <t xml:space="preserve">Project manager</t>
  </si>
  <si>
    <t xml:space="preserve">Priya Sharma</t>
  </si>
  <si>
    <t xml:space="preserve">ProjectManager</t>
  </si>
  <si>
    <t xml:space="preserve">Project start date</t>
  </si>
  <si>
    <t xml:space="preserve">ProjectStartDate</t>
  </si>
  <si>
    <t xml:space="preserve">Required. Tasks without predecessors start here (moved to the next working day if needed).</t>
  </si>
  <si>
    <t xml:space="preserve">Project start (in use)</t>
  </si>
  <si>
    <t xml:space="preserve">ProjectStart</t>
  </si>
  <si>
    <t xml:space="preserve">Copy of the date above (dates show as 1900 until it is entered).</t>
  </si>
  <si>
    <t xml:space="preserve">Status date</t>
  </si>
  <si>
    <t xml:space="preserve">StatusDateInput</t>
  </si>
  <si>
    <t xml:space="preserve">The date progress is reported as of. Type it, or press Ctrl+; for today. It is a typed date rather than TODAY() on purpose: TODAY() would make Excel recalculate the whole schedule after every edit.</t>
  </si>
  <si>
    <t xml:space="preserve">Status date (in use)</t>
  </si>
  <si>
    <t xml:space="preserve">StatusDate</t>
  </si>
  <si>
    <t xml:space="preserve">The project start until a status date is entered. Drives Status, the red status-date line on the Gantt and rescheduling of late work.</t>
  </si>
  <si>
    <t xml:space="preserve">First working day on/after status date</t>
  </si>
  <si>
    <t xml:space="preserve">StatusWorkday</t>
  </si>
  <si>
    <t xml:space="preserve">Reschedule incomplete work after status date?</t>
  </si>
  <si>
    <t xml:space="preserve">Yes</t>
  </si>
  <si>
    <t xml:space="preserve">RescheduleAfterStatus</t>
  </si>
  <si>
    <t xml:space="preserve">Yes = like MS Project 'move incomplete parts after status date': unstarted tasks can't start before the status date and in-progress tasks finish their remaining duration after it, pushing all successors.</t>
  </si>
  <si>
    <t xml:space="preserve">Working hours per day</t>
  </si>
  <si>
    <t xml:space="preserve">HoursPerDay</t>
  </si>
  <si>
    <t xml:space="preserve">Work (hrs) = Duration x Hours/day x Units.</t>
  </si>
  <si>
    <t xml:space="preserve">Default assignment units</t>
  </si>
  <si>
    <t xml:space="preserve">DefaultUnits</t>
  </si>
  <si>
    <t xml:space="preserve">Used when a task has a resource but Units is blank. 100% = full time.</t>
  </si>
  <si>
    <t xml:space="preserve">Monday is a working day</t>
  </si>
  <si>
    <t xml:space="preserve">WorkMon</t>
  </si>
  <si>
    <t xml:space="preserve">Working-week calendar (Yes/No). Feeds every WORKDAY / NETWORKDAYS formula.</t>
  </si>
  <si>
    <t xml:space="preserve">Tuesday is a working day</t>
  </si>
  <si>
    <t xml:space="preserve">WorkTue</t>
  </si>
  <si>
    <t xml:space="preserve">Wednesday is a working day</t>
  </si>
  <si>
    <t xml:space="preserve">WorkWed</t>
  </si>
  <si>
    <t xml:space="preserve">Thursday is a working day</t>
  </si>
  <si>
    <t xml:space="preserve">WorkThu</t>
  </si>
  <si>
    <t xml:space="preserve">Friday is a working day</t>
  </si>
  <si>
    <t xml:space="preserve">WorkFri</t>
  </si>
  <si>
    <t xml:space="preserve">Saturday is a working day</t>
  </si>
  <si>
    <t xml:space="preserve">No</t>
  </si>
  <si>
    <t xml:space="preserve">WorkSat</t>
  </si>
  <si>
    <t xml:space="preserve">Sunday is a working day</t>
  </si>
  <si>
    <t xml:space="preserve">WorkSun</t>
  </si>
  <si>
    <t xml:space="preserve">Weekend mask (calculated)</t>
  </si>
  <si>
    <t xml:space="preserve">WorkWeek</t>
  </si>
  <si>
    <t xml:space="preserve">7-character Mon..Sun string used by WORKDAY.INTL (1 = non-working).</t>
  </si>
  <si>
    <t xml:space="preserve">Gantt timeline start</t>
  </si>
  <si>
    <t xml:space="preserve">GanttStart</t>
  </si>
  <si>
    <t xml:space="preserve">Defaults to the Monday of the project start week. Overwrite with any date to scroll the timeline.</t>
  </si>
  <si>
    <t xml:space="preserve">Gantt days per column</t>
  </si>
  <si>
    <t xml:space="preserve">GanttPeriod</t>
  </si>
  <si>
    <t xml:space="preserve">1 = daily timeline, 7 = weekly timeline.</t>
  </si>
  <si>
    <t xml:space="preserve">Sprint 1 start date</t>
  </si>
  <si>
    <t xml:space="preserve">Sprint1Start</t>
  </si>
  <si>
    <t xml:space="preserve">Defaults to the project start. Overwrite to align with your sprint calendar.</t>
  </si>
  <si>
    <t xml:space="preserve">Sprint length (calendar days)</t>
  </si>
  <si>
    <t xml:space="preserve">SprintLength</t>
  </si>
  <si>
    <t xml:space="preserve">14 = two-week sprints.</t>
  </si>
  <si>
    <t xml:space="preserve">Number of sprints</t>
  </si>
  <si>
    <t xml:space="preserve">SprintCount</t>
  </si>
  <si>
    <t xml:space="preserve">Up to the number of rows in the Sprints table (26; add rows to the table for more). Tasks outside the sprint range are labelled 'Backlog'.</t>
  </si>
  <si>
    <t xml:space="preserve">Sprint name prefix</t>
  </si>
  <si>
    <t xml:space="preserve">Sprint </t>
  </si>
  <si>
    <t xml:space="preserve">SprintPrefix</t>
  </si>
  <si>
    <t xml:space="preserve">Sprint names = prefix &amp; number.</t>
  </si>
  <si>
    <t xml:space="preserve">Last sprint end (calculated)</t>
  </si>
  <si>
    <t xml:space="preserve">SprintLastEnd</t>
  </si>
  <si>
    <t xml:space="preserve">Sprint containing the status date (calculated)</t>
  </si>
  <si>
    <t xml:space="preserve">CurrentSprint</t>
  </si>
  <si>
    <t xml:space="preserve">Blank outside the sprint calendar. Agile Report shows its backlog and daily burndown.</t>
  </si>
  <si>
    <t xml:space="preserve">Current sprint start (calculated)</t>
  </si>
  <si>
    <t xml:space="preserve">CurrentSprintStart</t>
  </si>
  <si>
    <t xml:space="preserve">Current sprint end (calculated)</t>
  </si>
  <si>
    <t xml:space="preserve">CurrentSprintEnd</t>
  </si>
  <si>
    <t xml:space="preserve">Total story points (calculated)</t>
  </si>
  <si>
    <t xml:space="preserve">TotalPoints</t>
  </si>
  <si>
    <t xml:space="preserve">Story points on all detail tasks: the release scope for burndown and burn-up.</t>
  </si>
  <si>
    <t xml:space="preserve">Critical when total slack is at most (days)</t>
  </si>
  <si>
    <t xml:space="preserve">CriticalSlackDays</t>
  </si>
  <si>
    <t xml:space="preserve">0 = only tasks with no slack (or negative slack from a missed deadline) are critical, like MS Project.</t>
  </si>
  <si>
    <t xml:space="preserve">Forecast project finish (calculated)</t>
  </si>
  <si>
    <t xml:space="preserve">ProjectFinish</t>
  </si>
  <si>
    <t xml:space="preserve">The critical path's backward pass starts here.</t>
  </si>
  <si>
    <t xml:space="preserve">Planned project finish (calculated)</t>
  </si>
  <si>
    <t xml:space="preserve">PlannedFinish</t>
  </si>
  <si>
    <t xml:space="preserve">Baseline finish once a baseline is set.</t>
  </si>
  <si>
    <t xml:space="preserve">Project finish variance (calculated, working days)</t>
  </si>
  <si>
    <t xml:space="preserve">FinishVarianceDays</t>
  </si>
  <si>
    <t xml:space="preserve">Forecast finish minus planned finish. Positive = late.</t>
  </si>
  <si>
    <t xml:space="preserve">Look-ahead window (working days)</t>
  </si>
  <si>
    <t xml:space="preserve">LookaheadDays</t>
  </si>
  <si>
    <t xml:space="preserve">Schedule Report lists tasks starting or due within this many working days of the status date.</t>
  </si>
  <si>
    <t xml:space="preserve">Look-ahead window ends (calculated)</t>
  </si>
  <si>
    <t xml:space="preserve">LookaheadEnd</t>
  </si>
  <si>
    <t xml:space="preserve">RAG: amber when the finish slips by (working days)</t>
  </si>
  <si>
    <t xml:space="preserve">RAGAmberSlipDays</t>
  </si>
  <si>
    <t xml:space="preserve">Status Report thresholds. A finish slip of at least this many working days is amber.</t>
  </si>
  <si>
    <t xml:space="preserve">RAG: red when the finish slips by (working days)</t>
  </si>
  <si>
    <t xml:space="preserve">RAGRedSlipDays</t>
  </si>
  <si>
    <t xml:space="preserve">RAG: amber when SPI or CPI is below</t>
  </si>
  <si>
    <t xml:space="preserve">RAGAmberIndex</t>
  </si>
  <si>
    <t xml:space="preserve">SPI = earned value / planned value; CPI = earned value / actual cost. 1.00 = on plan.</t>
  </si>
  <si>
    <t xml:space="preserve">RAG: red when SPI or CPI is below</t>
  </si>
  <si>
    <t xml:space="preserve">RAGRedIndex</t>
  </si>
  <si>
    <t xml:space="preserve">Resource Report first week</t>
  </si>
  <si>
    <t xml:space="preserve">ResourceWeekStart</t>
  </si>
  <si>
    <t xml:space="preserve">Defaults to the Monday two weeks before the status date. Overwrite with any Monday to scroll the weekly grids.</t>
  </si>
  <si>
    <t xml:space="preserve">Next free task UID (calculated)</t>
  </si>
  <si>
    <t xml:space="preserve">NextFreeUID</t>
  </si>
  <si>
    <t xml:space="preserve">Give a newly inserted task row this UID (see Instructions &gt; Inserting tasks).</t>
  </si>
  <si>
    <t xml:space="preserve">Type in BLUE columns only. Level = outline level (1 = phase, 2 = task, 3 = sub-task). Predecessors refer to the UID column. Planned = Baseline once set, otherwise calculated from Duration + Predecessors. Forecast also uses Actuals, so slips ripple to every successor. Insert rows inside the table: formulas fill in automatically.</t>
  </si>
  <si>
    <t xml:space="preserve">IDENTITY</t>
  </si>
  <si>
    <t xml:space="preserve">SCHEDULING INPUTS</t>
  </si>
  <si>
    <t xml:space="preserve">PLAN / ACTUAL / FORECAST</t>
  </si>
  <si>
    <t xml:space="preserve">VARIANCE</t>
  </si>
  <si>
    <t xml:space="preserve">CRITICAL PATH</t>
  </si>
  <si>
    <t xml:space="preserve">CHECKS</t>
  </si>
  <si>
    <t xml:space="preserve">PROGRESS</t>
  </si>
  <si>
    <t xml:space="preserve">RESOURCES &amp; SPRINT</t>
  </si>
  <si>
    <t xml:space="preserve">SET BASELINE: copy these 5 columns, then Paste Special &gt; Values onto the 5 Baseline columns</t>
  </si>
  <si>
    <t xml:space="preserve">VARIANCE vs BASELINE</t>
  </si>
  <si>
    <t xml:space="preserve">EARNED VALUE (at status date)</t>
  </si>
  <si>
    <t xml:space="preserve">HELPER COLUMNS (hidden - click + above to show)</t>
  </si>
  <si>
    <t xml:space="preserve">ID</t>
  </si>
  <si>
    <t xml:space="preserve">UID</t>
  </si>
  <si>
    <t xml:space="preserve">Level</t>
  </si>
  <si>
    <t xml:space="preserve">Task Name</t>
  </si>
  <si>
    <t xml:space="preserve">Pred1 UID</t>
  </si>
  <si>
    <t xml:space="preserve">Pred1 Type</t>
  </si>
  <si>
    <t xml:space="preserve">Pred1 Lag</t>
  </si>
  <si>
    <t xml:space="preserve">Pred2 UID</t>
  </si>
  <si>
    <t xml:space="preserve">Pred2 Type</t>
  </si>
  <si>
    <t xml:space="preserve">Pred2 Lag</t>
  </si>
  <si>
    <t xml:space="preserve">Start No Earlier Than</t>
  </si>
  <si>
    <t xml:space="preserve">Planned Start</t>
  </si>
  <si>
    <t xml:space="preserve">Actual Start</t>
  </si>
  <si>
    <t xml:space="preserve">Actual Finish</t>
  </si>
  <si>
    <t xml:space="preserve">Start Var</t>
  </si>
  <si>
    <t xml:space="preserve">Late Finish</t>
  </si>
  <si>
    <t xml:space="preserve">Free Slack</t>
  </si>
  <si>
    <t xml:space="preserve">Link Check</t>
  </si>
  <si>
    <t xml:space="preserve">% Complete</t>
  </si>
  <si>
    <t xml:space="preserve">Units</t>
  </si>
  <si>
    <t xml:space="preserve">Planned Sprint</t>
  </si>
  <si>
    <t xml:space="preserve">Sprint</t>
  </si>
  <si>
    <t xml:space="preserve">BL Source Start</t>
  </si>
  <si>
    <t xml:space="preserve">BL Source Finish</t>
  </si>
  <si>
    <t xml:space="preserve">BL Source Duration</t>
  </si>
  <si>
    <t xml:space="preserve">BL Source Work</t>
  </si>
  <si>
    <t xml:space="preserve">BL Source Cost</t>
  </si>
  <si>
    <t xml:space="preserve">Baseline Start</t>
  </si>
  <si>
    <t xml:space="preserve">Baseline Finish</t>
  </si>
  <si>
    <t xml:space="preserve">Baseline Duration</t>
  </si>
  <si>
    <t xml:space="preserve">Baseline Work</t>
  </si>
  <si>
    <t xml:space="preserve">Baseline Cost</t>
  </si>
  <si>
    <t xml:space="preserve">Duration Var</t>
  </si>
  <si>
    <t xml:space="preserve">Work Var</t>
  </si>
  <si>
    <t xml:space="preserve">Cost Var</t>
  </si>
  <si>
    <t xml:space="preserve">_Level</t>
  </si>
  <si>
    <t xml:space="preserve">_Row</t>
  </si>
  <si>
    <t xml:space="preserve">_ParentRow</t>
  </si>
  <si>
    <t xml:space="preserve">_NextLevel</t>
  </si>
  <si>
    <t xml:space="preserve">_IsSummary</t>
  </si>
  <si>
    <t xml:space="preserve">_Descendants</t>
  </si>
  <si>
    <t xml:space="preserve">_IsLeaf</t>
  </si>
  <si>
    <t xml:space="preserve">_Pred1Pos</t>
  </si>
  <si>
    <t xml:space="preserve">_Pred2Pos</t>
  </si>
  <si>
    <t xml:space="preserve">_LeafCalcStart</t>
  </si>
  <si>
    <t xml:space="preserve">_LeafCalcFinish</t>
  </si>
  <si>
    <t xml:space="preserve">_LeafFcstStart</t>
  </si>
  <si>
    <t xml:space="preserve">_LeafFcstFinish</t>
  </si>
  <si>
    <t xml:space="preserve">_LeafProgress</t>
  </si>
  <si>
    <t xml:space="preserve">_LeafWork</t>
  </si>
  <si>
    <t xml:space="preserve">_LeafCost</t>
  </si>
  <si>
    <t xml:space="preserve">_Pred1FinishKey</t>
  </si>
  <si>
    <t xml:space="preserve">_Pred2FinishKey</t>
  </si>
  <si>
    <t xml:space="preserve">_Pred1SlackKey</t>
  </si>
  <si>
    <t xml:space="preserve">_Pred2SlackKey</t>
  </si>
  <si>
    <t xml:space="preserve">_LastSuccessorRow</t>
  </si>
  <si>
    <t xml:space="preserve">_SuccessorFinishLimit</t>
  </si>
  <si>
    <t xml:space="preserve">_LeafLateFinish</t>
  </si>
  <si>
    <t xml:space="preserve">_LeafLateStart</t>
  </si>
  <si>
    <t xml:space="preserve">_LeafTotalSlack</t>
  </si>
  <si>
    <t xml:space="preserve">_LeafCritical</t>
  </si>
  <si>
    <t xml:space="preserve">_CalcStart</t>
  </si>
  <si>
    <t xml:space="preserve">_CalcFinish</t>
  </si>
  <si>
    <t xml:space="preserve">_Pred1Problem</t>
  </si>
  <si>
    <t xml:space="preserve">_Pred2Problem</t>
  </si>
  <si>
    <t xml:space="preserve">_Pred1PlanDriver</t>
  </si>
  <si>
    <t xml:space="preserve">_Pred2PlanDriver</t>
  </si>
  <si>
    <t xml:space="preserve">_Pred1FcstDriver</t>
  </si>
  <si>
    <t xml:space="preserve">_Pred2FcstDriver</t>
  </si>
  <si>
    <t xml:space="preserve">_StartWorkday</t>
  </si>
  <si>
    <t xml:space="preserve">_FinishWorkday</t>
  </si>
  <si>
    <t xml:space="preserve">_WorkPerWorkday</t>
  </si>
  <si>
    <t xml:space="preserve">_WorkBeforeStart</t>
  </si>
  <si>
    <t xml:space="preserve">_WeightDur</t>
  </si>
  <si>
    <t xml:space="preserve">_WeightDone</t>
  </si>
  <si>
    <t xml:space="preserve">_Pred1IDText</t>
  </si>
  <si>
    <t xml:space="preserve">_Pred2IDText</t>
  </si>
  <si>
    <t xml:space="preserve">_Pred1UIDText</t>
  </si>
  <si>
    <t xml:space="preserve">_Pred2UIDText</t>
  </si>
  <si>
    <t xml:space="preserve">_UIDPredecessors</t>
  </si>
  <si>
    <t xml:space="preserve">_MilestoneKey</t>
  </si>
  <si>
    <t xml:space="preserve">_PlannedPct</t>
  </si>
  <si>
    <t xml:space="preserve">_LeafBudget</t>
  </si>
  <si>
    <t xml:space="preserve">_LeafPV</t>
  </si>
  <si>
    <t xml:space="preserve">_LeafEV</t>
  </si>
  <si>
    <t xml:space="preserve">_LeafAC</t>
  </si>
  <si>
    <t xml:space="preserve">_Phase</t>
  </si>
  <si>
    <t xml:space="preserve">_PhaseKey</t>
  </si>
  <si>
    <t xml:space="preserve">_MilestoneOrder</t>
  </si>
  <si>
    <t xml:space="preserve">_LateKey</t>
  </si>
  <si>
    <t xml:space="preserve">_StartSoonKey</t>
  </si>
  <si>
    <t xml:space="preserve">_DueSoonKey</t>
  </si>
  <si>
    <t xml:space="preserve">_CriticalKey</t>
  </si>
  <si>
    <t xml:space="preserve">_LeafWorkDone</t>
  </si>
  <si>
    <t xml:space="preserve">_DoneDate</t>
  </si>
  <si>
    <t xml:space="preserve">_LeafPoints</t>
  </si>
  <si>
    <t xml:space="preserve">_CurrentSprintKey</t>
  </si>
  <si>
    <t xml:space="preserve">Initiation</t>
  </si>
  <si>
    <t xml:space="preserve">Auto</t>
  </si>
  <si>
    <t xml:space="preserve">Phase 1 - summary rows roll up dates, work, cost and progress automatically.</t>
  </si>
  <si>
    <t xml:space="preserve">Project charter &amp; scope statement</t>
  </si>
  <si>
    <t xml:space="preserve">Took 1 extra day for sponsor sign-off.</t>
  </si>
  <si>
    <t xml:space="preserve">Stakeholder kickoff workshop</t>
  </si>
  <si>
    <t xml:space="preserve">FS</t>
  </si>
  <si>
    <t xml:space="preserve">Morgan Patel</t>
  </si>
  <si>
    <t xml:space="preserve">Kickoff complete</t>
  </si>
  <si>
    <t xml:space="preserve">Milestone (Duration 0).</t>
  </si>
  <si>
    <t xml:space="preserve">Requirements &amp; Design</t>
  </si>
  <si>
    <t xml:space="preserve">Requirements gathering</t>
  </si>
  <si>
    <t xml:space="preserve">Solution architecture</t>
  </si>
  <si>
    <t xml:space="preserve">SS</t>
  </si>
  <si>
    <t xml:space="preserve">Alex Chen</t>
  </si>
  <si>
    <t xml:space="preserve">Start-to-Start + 3 day lag example.</t>
  </si>
  <si>
    <t xml:space="preserve">UX wireframes &amp; prototype</t>
  </si>
  <si>
    <t xml:space="preserve">Casey Kim</t>
  </si>
  <si>
    <t xml:space="preserve">Design sign-off</t>
  </si>
  <si>
    <t xml:space="preserve">Two predecessors - waits for the later one.</t>
  </si>
  <si>
    <t xml:space="preserve">Build</t>
  </si>
  <si>
    <t xml:space="preserve">Backend</t>
  </si>
  <si>
    <t xml:space="preserve">Level-2 summary with sub-tasks.</t>
  </si>
  <si>
    <t xml:space="preserve">Data model &amp; database setup</t>
  </si>
  <si>
    <t xml:space="preserve">Jordan Lee</t>
  </si>
  <si>
    <t xml:space="preserve">Core API endpoints</t>
  </si>
  <si>
    <t xml:space="preserve">In progress - enter % Complete; forecast finish adjusts.</t>
  </si>
  <si>
    <t xml:space="preserve">Payment gateway integration</t>
  </si>
  <si>
    <t xml:space="preserve">Frontend</t>
  </si>
  <si>
    <t xml:space="preserve">UI component library</t>
  </si>
  <si>
    <t xml:space="preserve">Sam Rivera</t>
  </si>
  <si>
    <t xml:space="preserve">Feature screens</t>
  </si>
  <si>
    <t xml:space="preserve">Accessibility review</t>
  </si>
  <si>
    <t xml:space="preserve">FF</t>
  </si>
  <si>
    <t xml:space="preserve">Finish-to-Finish + 1 day; 50% units.</t>
  </si>
  <si>
    <t xml:space="preserve">Build complete</t>
  </si>
  <si>
    <t xml:space="preserve">Milestone with a deadline of 06-Nov (see Deadline Check).</t>
  </si>
  <si>
    <t xml:space="preserve">Test &amp; Release</t>
  </si>
  <si>
    <t xml:space="preserve">System integration testing</t>
  </si>
  <si>
    <t xml:space="preserve">Taylor Morgan</t>
  </si>
  <si>
    <t xml:space="preserve">User acceptance testing</t>
  </si>
  <si>
    <t xml:space="preserve">Start No Earlier Than 07-Dec (client availability).</t>
  </si>
  <si>
    <t xml:space="preserve">Training &amp; user guides</t>
  </si>
  <si>
    <t xml:space="preserve">Go-live readiness review</t>
  </si>
  <si>
    <t xml:space="preserve">Go-live</t>
  </si>
  <si>
    <t xml:space="preserve">Milestone with a deadline of 18-Dec.</t>
  </si>
  <si>
    <t xml:space="preserve">Hypercare support</t>
  </si>
  <si>
    <t xml:space="preserve">Project Close</t>
  </si>
  <si>
    <t xml:space="preserve">Steering committee update</t>
  </si>
  <si>
    <t xml:space="preserve">Manual</t>
  </si>
  <si>
    <t xml:space="preserve">Manual mode example: fixed on the date in the Start No Earlier Than column.</t>
  </si>
  <si>
    <t xml:space="preserve">Lessons learned</t>
  </si>
  <si>
    <t xml:space="preserve">Project closed</t>
  </si>
  <si>
    <t xml:space="preserve">Planned (outline)</t>
  </si>
  <si>
    <t xml:space="preserve">Done (% complete)</t>
  </si>
  <si>
    <t xml:space="preserve">Remaining - on track</t>
  </si>
  <si>
    <t xml:space="preserve">Remaining - late vs plan</t>
  </si>
  <si>
    <t xml:space="preserve">Remaining - critical</t>
  </si>
  <si>
    <t xml:space="preserve">Summary (forecast)</t>
  </si>
  <si>
    <t xml:space="preserve">Milestone (forecast)</t>
  </si>
  <si>
    <t xml:space="preserve">Non-working day</t>
  </si>
  <si>
    <t xml:space="preserve">Timeline: conditional formatting only (no formulas), so it costs no recalculation.</t>
  </si>
  <si>
    <t xml:space="preserve">Dur</t>
  </si>
  <si>
    <t xml:space="preserve">%</t>
  </si>
  <si>
    <t xml:space="preserve">_IsMilestone</t>
  </si>
  <si>
    <t xml:space="preserve">_DoneFrom</t>
  </si>
  <si>
    <t xml:space="preserve">_DoneTo</t>
  </si>
  <si>
    <t xml:space="preserve">_RemFrom</t>
  </si>
  <si>
    <t xml:space="preserve">_RemTo</t>
  </si>
  <si>
    <t xml:space="preserve">_Late</t>
  </si>
  <si>
    <t xml:space="preserve">_Deadline</t>
  </si>
  <si>
    <t xml:space="preserve">_Critical</t>
  </si>
  <si>
    <t xml:space="preserve">Resource Sheet</t>
  </si>
  <si>
    <t xml:space="preserve">Like MS Project's Resource Sheet. Names here feed the Resource dropdown on Tasks. Add rows to the table for more people.</t>
  </si>
  <si>
    <t xml:space="preserve">Resource Name</t>
  </si>
  <si>
    <t xml:space="preserve">Initials</t>
  </si>
  <si>
    <t xml:space="preserve">Group</t>
  </si>
  <si>
    <t xml:space="preserve">Type</t>
  </si>
  <si>
    <t xml:space="preserve">Std Rate</t>
  </si>
  <si>
    <t xml:space="preserve">Email</t>
  </si>
  <si>
    <t xml:space="preserve">PS</t>
  </si>
  <si>
    <t xml:space="preserve">Project Manager</t>
  </si>
  <si>
    <t xml:space="preserve">priya@example.com</t>
  </si>
  <si>
    <t xml:space="preserve">MP</t>
  </si>
  <si>
    <t xml:space="preserve">Business Analyst</t>
  </si>
  <si>
    <t xml:space="preserve">morgan@example.com</t>
  </si>
  <si>
    <t xml:space="preserve">Solution Architect</t>
  </si>
  <si>
    <t xml:space="preserve">alex@example.com</t>
  </si>
  <si>
    <t xml:space="preserve">CK</t>
  </si>
  <si>
    <t xml:space="preserve">UX Designer</t>
  </si>
  <si>
    <t xml:space="preserve">casey@example.com</t>
  </si>
  <si>
    <t xml:space="preserve">JL</t>
  </si>
  <si>
    <t xml:space="preserve">Backend Developer</t>
  </si>
  <si>
    <t xml:space="preserve">jordan@example.com</t>
  </si>
  <si>
    <t xml:space="preserve">SR</t>
  </si>
  <si>
    <t xml:space="preserve">Frontend Developer</t>
  </si>
  <si>
    <t xml:space="preserve">sam@example.com</t>
  </si>
  <si>
    <t xml:space="preserve">TM</t>
  </si>
  <si>
    <t xml:space="preserve">QA Engineer</t>
  </si>
  <si>
    <t xml:space="preserve">taylor@example.com</t>
  </si>
  <si>
    <t xml:space="preserve">Sprint calendar from Settings (Sprint1Start, SprintLength, SprintCount); add rows to the table for more sprints. Each task's work is spread evenly over its forecast working days, then summed per sprint.</t>
  </si>
  <si>
    <t xml:space="preserve">Start</t>
  </si>
  <si>
    <t xml:space="preserve">End</t>
  </si>
  <si>
    <t xml:space="preserve">Working Days</t>
  </si>
  <si>
    <t xml:space="preserve">Goal</t>
  </si>
  <si>
    <t xml:space="preserve">Tasks Starting</t>
  </si>
  <si>
    <t xml:space="preserve">Planned Work</t>
  </si>
  <si>
    <t xml:space="preserve">Utilisation</t>
  </si>
  <si>
    <t xml:space="preserve">Points Capacity</t>
  </si>
  <si>
    <t xml:space="preserve">Committed Points</t>
  </si>
  <si>
    <t xml:space="preserve">Done Points</t>
  </si>
  <si>
    <t xml:space="preserve">Velocity</t>
  </si>
  <si>
    <t xml:space="preserve">Remaining Points</t>
  </si>
  <si>
    <t xml:space="preserve">Forecast Remaining</t>
  </si>
  <si>
    <t xml:space="preserve">Ideal Remaining</t>
  </si>
  <si>
    <t xml:space="preserve">Charter &amp; kickoff</t>
  </si>
  <si>
    <t xml:space="preserve">Requirements</t>
  </si>
  <si>
    <t xml:space="preserve">Design &amp; architecture</t>
  </si>
  <si>
    <t xml:space="preserve">Foundations: DB + components</t>
  </si>
  <si>
    <t xml:space="preserve">Core APIs + screens</t>
  </si>
  <si>
    <t xml:space="preserve">Payments + screens</t>
  </si>
  <si>
    <t xml:space="preserve">Feature complete</t>
  </si>
  <si>
    <t xml:space="preserve">System testing</t>
  </si>
  <si>
    <t xml:space="preserve">UAT</t>
  </si>
  <si>
    <t xml:space="preserve">Release &amp; hypercare</t>
  </si>
  <si>
    <t xml:space="preserve">Hypercare</t>
  </si>
  <si>
    <t xml:space="preserve">Close-out</t>
  </si>
  <si>
    <t xml:space="preserve">Resource load by sprint (hours)  -  red = over capacity (Max Units x HoursPerDay x working days)</t>
  </si>
  <si>
    <t xml:space="preserve">Sprint start</t>
  </si>
  <si>
    <t xml:space="preserve">Resource utilisation by sprint (%)</t>
  </si>
  <si>
    <t xml:space="preserve">Holidays &amp; Non-Working Days</t>
  </si>
  <si>
    <t xml:space="preserve">Every date in this table is skipped by all scheduling formulas (named range: Holidays). Add rows to the table as needed.</t>
  </si>
  <si>
    <t xml:space="preserve">Date</t>
  </si>
  <si>
    <t xml:space="preserve">Description</t>
  </si>
  <si>
    <t xml:space="preserve">Christmas Eve (example - replace with your calendar)</t>
  </si>
  <si>
    <t xml:space="preserve">Christmas Day (example)</t>
  </si>
  <si>
    <t xml:space="preserve">New Year's Eve (example)</t>
  </si>
  <si>
    <t xml:space="preserve">New Year's Day (example)</t>
  </si>
  <si>
    <t xml:space="preserve">Unique ID</t>
  </si>
  <si>
    <t xml:space="preserve">Name</t>
  </si>
  <si>
    <t xml:space="preserve">Outline Level</t>
  </si>
  <si>
    <t xml:space="preserve">Task Mode</t>
  </si>
  <si>
    <t xml:space="preserve">Finish</t>
  </si>
  <si>
    <t xml:space="preserve">Unique ID Predecessors</t>
  </si>
  <si>
    <t xml:space="preserve">Resource Names</t>
  </si>
  <si>
    <t xml:space="preserve">Constraint Type</t>
  </si>
  <si>
    <t xml:space="preserve">Constraint Date</t>
  </si>
  <si>
    <t xml:space="preserve">Text1</t>
  </si>
  <si>
    <t xml:space="preserve">Number1</t>
  </si>
  <si>
    <t xml:space="preserve">Standard Rate</t>
  </si>
  <si>
    <t xml:space="preserve">Email Address</t>
  </si>
  <si>
    <t xml:space="preserve">Link Type</t>
  </si>
  <si>
    <t xml:space="preserve">Yes / No</t>
  </si>
  <si>
    <t xml:space="preserve">Resource Type</t>
  </si>
  <si>
    <t xml:space="preserve">Gantt Days per Column</t>
  </si>
  <si>
    <t xml:space="preserve">Green</t>
  </si>
  <si>
    <t xml:space="preserve">Material</t>
  </si>
  <si>
    <t xml:space="preserve">Amber</t>
  </si>
  <si>
    <t xml:space="preserve">Red</t>
  </si>
  <si>
    <t xml:space="preserve">SF</t>
  </si>
  <si>
    <t xml:space="preserve">Dropdown sources. Add a value by typing it in the row under a list: the table and its named range grow.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</si>
</sst>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ddd\ dd\-mmm\-yy"/>
    <numFmt numFmtId="166" formatCode="\+0;\-0;0"/>
    <numFmt numFmtId="167" formatCode="0%"/>
    <numFmt numFmtId="168" formatCode="0"/>
    <numFmt numFmtId="169" formatCode="#,##0"/>
    <numFmt numFmtId="170" formatCode="#,##0.00"/>
    <numFmt numFmtId="171" formatCode="@"/>
    <numFmt numFmtId="172" formatCode="0.00"/>
    <numFmt numFmtId="173" formatCode="General"/>
    <numFmt numFmtId="174" formatCode="dd\-mmm"/>
    <numFmt numFmtId="175" formatCode="#,##0;;\-"/>
    <numFmt numFmtId="176" formatCode="0%;;\-"/>
    <numFmt numFmtId="177" formatCode="0.#"/>
    <numFmt numFmtId="178" formatCode="0.0"/>
    <numFmt numFmtId="179" formatCode="0.#;;\-"/>
    <numFmt numFmtId="180" formatCode="#,##0.0"/>
    <numFmt numFmtId="181" formatCode="mm/dd/yy"/>
    <numFmt numFmtId="182" formatCode="d"/>
    <numFmt numFmtId="183" formatCode="dd\-mmm\-yy"/>
    <numFmt numFmtId="184" formatCode="dd\-mmm;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2F75B5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4E78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2"/>
    </font>
    <font>
      <sz val="10"/>
      <color rgb="FF40404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00"/>
      <name val="Calibri"/>
      <family val="2"/>
    </font>
    <font>
      <sz val="10"/>
      <color rgb="FF7F7F7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8"/>
      <color rgb="FF404040"/>
      <name val="Arial"/>
      <family val="0"/>
      <charset val="1"/>
    </font>
    <font>
      <sz val="8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F2F2F2"/>
        <bgColor rgb="FFEDEDED"/>
      </patternFill>
    </fill>
    <fill>
      <patternFill patternType="solid">
        <fgColor rgb="FF595959"/>
        <bgColor rgb="FF404040"/>
      </patternFill>
    </fill>
    <fill>
      <patternFill patternType="solid">
        <fgColor rgb="FFA6A6A6"/>
        <bgColor rgb="FF878787"/>
      </patternFill>
    </fill>
    <fill>
      <patternFill patternType="solid">
        <fgColor rgb="FF70AD47"/>
        <bgColor rgb="FF98B855"/>
      </patternFill>
    </fill>
    <fill>
      <patternFill patternType="solid">
        <fgColor rgb="FF9DC3E6"/>
        <bgColor rgb="FFA6A6A6"/>
      </patternFill>
    </fill>
    <fill>
      <patternFill patternType="solid">
        <fgColor rgb="FFF4B183"/>
        <bgColor rgb="FFFFC7CE"/>
      </patternFill>
    </fill>
    <fill>
      <patternFill patternType="solid">
        <fgColor rgb="FFE06666"/>
        <bgColor rgb="FFC0504D"/>
      </patternFill>
    </fill>
    <fill>
      <patternFill patternType="solid">
        <fgColor rgb="FF404040"/>
        <bgColor rgb="FF1F3864"/>
      </patternFill>
    </fill>
    <fill>
      <patternFill patternType="solid">
        <fgColor rgb="FF7030A0"/>
        <bgColor rgb="FF800080"/>
      </patternFill>
    </fill>
    <fill>
      <patternFill patternType="solid">
        <fgColor rgb="FFC00000"/>
        <bgColor rgb="FF9C0006"/>
      </patternFill>
    </fill>
    <fill>
      <patternFill patternType="solid">
        <fgColor rgb="FFEDEDED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3864"/>
      </top>
      <bottom style="thin">
        <color rgb="FF1F3864"/>
      </bottom>
      <diagonal/>
    </border>
    <border diagonalUp="false" diagonalDown="false">
      <left style="medium">
        <color rgb="FFFF000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2" fontId="3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2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3">
    <dxf>
      <fill>
        <patternFill patternType="solid">
          <fgColor rgb="FF59595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ont>
        <b val="1"/>
        <color rgb="FFC00000"/>
      </font>
      <fill>
        <patternFill>
          <bgColor rgb="FFFFC7CE"/>
        </patternFill>
      </fill>
    </dxf>
    <dxf>
      <font>
        <b val="1"/>
        <color rgb="FF548235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ont>
        <b val="1"/>
        <color rgb="FFC00000"/>
      </font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9C0006"/>
      </font>
    </dxf>
    <dxf>
      <font>
        <color rgb="FFFFFFFF"/>
      </font>
    </dxf>
    <dxf>
      <fill>
        <patternFill>
          <bgColor rgb="FFFFFF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ont>
        <b val="1"/>
      </font>
      <fill>
        <patternFill>
          <bgColor rgb="FFDDEBF7"/>
        </patternFill>
      </fill>
    </dxf>
    <dxf>
      <font>
        <b val="1"/>
        <i val="1"/>
        <color rgb="FFA6A6A6"/>
      </font>
    </dxf>
    <dxf>
      <font>
        <b val="1"/>
        <color rgb="FF2F75B5"/>
      </font>
    </dxf>
    <dxf>
      <font>
        <b val="1"/>
        <color rgb="FFC55A11"/>
      </font>
    </dxf>
    <dxf>
      <font>
        <b val="1"/>
        <color rgb="FF7F7F7F"/>
      </font>
    </dxf>
    <dxf>
      <font>
        <i val="1"/>
        <color rgb="FF7030A0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40404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06666"/>
        </patternFill>
      </fill>
    </dxf>
    <dxf>
      <fill>
        <patternFill>
          <bgColor rgb="FFF4B183"/>
        </patternFill>
      </fill>
    </dxf>
    <dxf>
      <fill>
        <patternFill>
          <bgColor rgb="FF9DC3E6"/>
        </patternFill>
      </fill>
    </dxf>
    <dxf>
      <border diagonalUp="false" diagonalDown="false">
        <left/>
        <right/>
        <top style="thin">
          <color rgb="FF1F3864"/>
        </top>
        <bottom style="thin">
          <color rgb="FF1F3864"/>
        </bottom>
        <diagonal/>
      </border>
    </dxf>
    <dxf>
      <border diagonalUp="false" diagonalDown="false">
        <left style="thin">
          <color rgb="FFFF0000"/>
        </left>
        <right style="thin">
          <color rgb="FFFF0000"/>
        </right>
        <top/>
        <bottom/>
        <diagonal/>
      </border>
    </dxf>
    <dxf>
      <fill>
        <patternFill>
          <bgColor rgb="FFEDEDED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ont>
        <color rgb="FFD9D9D9"/>
      </font>
    </dxf>
    <dxf>
      <font>
        <b val="1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C0504D"/>
      <rgbColor rgb="FF4F81BD"/>
      <rgbColor rgb="FFA6A6A6"/>
      <rgbColor rgb="FF7F7F7F"/>
      <rgbColor rgb="FF9999FF"/>
      <rgbColor rgb="FFBE4B48"/>
      <rgbColor rgb="FFFFF2CC"/>
      <rgbColor rgb="FFDDEBF7"/>
      <rgbColor rgb="FF660066"/>
      <rgbColor rgb="FFE06666"/>
      <rgbColor rgb="FF0066CC"/>
      <rgbColor rgb="FFD9D9D9"/>
      <rgbColor rgb="FF000080"/>
      <rgbColor rgb="FFFF00FF"/>
      <rgbColor rgb="FFF9F9F9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9DC3E6"/>
      <rgbColor rgb="FFF4B183"/>
      <rgbColor rgb="FFEDEDED"/>
      <rgbColor rgb="FFFFC7CE"/>
      <rgbColor rgb="FF2F75B5"/>
      <rgbColor rgb="FF70AD47"/>
      <rgbColor rgb="FF98B855"/>
      <rgbColor rgb="FFFFCC00"/>
      <rgbColor rgb="FFBF8F00"/>
      <rgbColor rgb="FFC55A11"/>
      <rgbColor rgb="FF595959"/>
      <rgbColor rgb="FF878787"/>
      <rgbColor rgb="FF1F3864"/>
      <rgbColor rgb="FF4A7EBB"/>
      <rgbColor rgb="FF003300"/>
      <rgbColor rgb="FF333300"/>
      <rgbColor rgb="FF9C57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Detail tasks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Dashboard!F4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Dashboard!$E$5:$E$9</c:f>
              <c:strCache>
                <c:ptCount val="5"/>
                <c:pt idx="0">
                  <c:v>Complete</c:v>
                </c:pt>
                <c:pt idx="1">
                  <c:v>In Progress</c:v>
                </c:pt>
                <c:pt idx="2">
                  <c:v>Behind</c:v>
                </c:pt>
                <c:pt idx="3">
                  <c:v>Late Start</c:v>
                </c:pt>
                <c:pt idx="4">
                  <c:v>Not Started</c:v>
                </c:pt>
              </c:strCache>
            </c:strRef>
          </c:cat>
          <c:val>
            <c:numRef>
              <c:f>Dashboard!$F$5:$F$9</c:f>
              <c:numCache>
                <c:formatCode>General</c:formatCode>
                <c:ptCount val="5"/>
                <c:pt idx="0">
                  <c:v>9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11</c:v>
                </c:pt>
              </c:numCache>
            </c:numRef>
          </c:val>
        </c:ser>
        <c:gapWidth val="150"/>
        <c:overlap val="0"/>
        <c:axId val="98072836"/>
        <c:axId val="47492184"/>
      </c:barChart>
      <c:catAx>
        <c:axId val="980728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92184"/>
        <c:crosses val="autoZero"/>
        <c:auto val="1"/>
        <c:lblAlgn val="ctr"/>
        <c:lblOffset val="100"/>
        <c:noMultiLvlLbl val="0"/>
      </c:catAx>
      <c:valAx>
        <c:axId val="47492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728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Sprint planned work vs capacity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Sprints!H5</c:f>
              <c:strCache>
                <c:ptCount val="1"/>
                <c:pt idx="0">
                  <c:v>Planned Work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Sprints!$B$6:$B$17</c:f>
              <c:strCache>
                <c:ptCount val="12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</c:strCache>
            </c:strRef>
          </c:cat>
          <c:val>
            <c:numRef>
              <c:f>Sprints!$H$6:$H$17</c:f>
              <c:numCache>
                <c:formatCode>#,##0.0</c:formatCode>
                <c:ptCount val="12"/>
                <c:pt idx="0">
                  <c:v>75.1111111111111</c:v>
                </c:pt>
                <c:pt idx="1">
                  <c:v>103.174603174603</c:v>
                </c:pt>
                <c:pt idx="2">
                  <c:v>115.047619047619</c:v>
                </c:pt>
                <c:pt idx="3">
                  <c:v>135.238095238095</c:v>
                </c:pt>
                <c:pt idx="4">
                  <c:v>127.428571428571</c:v>
                </c:pt>
                <c:pt idx="5">
                  <c:v>52</c:v>
                </c:pt>
                <c:pt idx="6">
                  <c:v>40</c:v>
                </c:pt>
                <c:pt idx="7">
                  <c:v>40</c:v>
                </c:pt>
                <c:pt idx="8">
                  <c:v>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Sprints!I5</c:f>
              <c:strCache>
                <c:ptCount val="1"/>
                <c:pt idx="0">
                  <c:v>Capacity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Sprints!$B$6:$B$17</c:f>
              <c:strCache>
                <c:ptCount val="12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</c:strCache>
            </c:strRef>
          </c:cat>
          <c:val>
            <c:numRef>
              <c:f>Sprints!$I$6:$I$17</c:f>
              <c:numCache>
                <c:formatCode>#,##0.0</c:formatCode>
                <c:ptCount val="1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384</c:v>
                </c:pt>
                <c:pt idx="8">
                  <c:v>384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</c:numCache>
            </c:numRef>
          </c:val>
        </c:ser>
        <c:gapWidth val="150"/>
        <c:overlap val="0"/>
        <c:axId val="3679689"/>
        <c:axId val="82391027"/>
      </c:barChart>
      <c:catAx>
        <c:axId val="36796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91027"/>
        <c:crosses val="autoZero"/>
        <c:auto val="1"/>
        <c:lblAlgn val="ctr"/>
        <c:lblOffset val="100"/>
        <c:noMultiLvlLbl val="0"/>
      </c:catAx>
      <c:valAx>
        <c:axId val="82391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96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Earned value (BAC, PV, EV, AC)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'Status Report'!$B$17:$B$20</c:f>
              <c:strCache>
                <c:ptCount val="4"/>
                <c:pt idx="0">
                  <c:v>Budget at completion (BAC)</c:v>
                </c:pt>
                <c:pt idx="1">
                  <c:v>Planned value (PV)</c:v>
                </c:pt>
                <c:pt idx="2">
                  <c:v>Earned value (EV)</c:v>
                </c:pt>
                <c:pt idx="3">
                  <c:v>Actual cost (AC)</c:v>
                </c:pt>
              </c:strCache>
            </c:strRef>
          </c:cat>
          <c:val>
            <c:numRef>
              <c:f>'Status Report'!$D$17:$D$20</c:f>
              <c:numCache>
                <c:formatCode>#,##0</c:formatCode>
                <c:ptCount val="4"/>
                <c:pt idx="0">
                  <c:v>58040</c:v>
                </c:pt>
                <c:pt idx="1">
                  <c:v>36360</c:v>
                </c:pt>
                <c:pt idx="2">
                  <c:v>28440</c:v>
                </c:pt>
                <c:pt idx="3">
                  <c:v>30440</c:v>
                </c:pt>
              </c:numCache>
            </c:numRef>
          </c:val>
        </c:ser>
        <c:gapWidth val="150"/>
        <c:overlap val="0"/>
        <c:axId val="69238706"/>
        <c:axId val="29149262"/>
      </c:barChart>
      <c:catAx>
        <c:axId val="692387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49262"/>
        <c:crosses val="autoZero"/>
        <c:auto val="1"/>
        <c:lblAlgn val="ctr"/>
        <c:lblOffset val="100"/>
        <c:noMultiLvlLbl val="0"/>
      </c:catAx>
      <c:valAx>
        <c:axId val="291492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387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Team hours per week vs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"Team hours"</c:f>
              <c:strCache>
                <c:ptCount val="1"/>
                <c:pt idx="0">
                  <c:v>Team 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'Resource Report'!$D$34:$AC$34</c:f>
              <c:multiLvlStrCache>
                <c:ptCount val="1"/>
                <c:lvl>
                  <c:pt idx="0">
                    <c:v>29-Mar</c:v>
                  </c:pt>
                </c:lvl>
                <c:lvl>
                  <c:pt idx="0">
                    <c:v>22-Mar</c:v>
                  </c:pt>
                </c:lvl>
                <c:lvl>
                  <c:pt idx="0">
                    <c:v>15-Mar</c:v>
                  </c:pt>
                </c:lvl>
                <c:lvl>
                  <c:pt idx="0">
                    <c:v>08-Mar</c:v>
                  </c:pt>
                </c:lvl>
                <c:lvl>
                  <c:pt idx="0">
                    <c:v>01-Mar</c:v>
                  </c:pt>
                </c:lvl>
                <c:lvl>
                  <c:pt idx="0">
                    <c:v>22-Feb</c:v>
                  </c:pt>
                </c:lvl>
                <c:lvl>
                  <c:pt idx="0">
                    <c:v>15-Feb</c:v>
                  </c:pt>
                </c:lvl>
                <c:lvl>
                  <c:pt idx="0">
                    <c:v>08-Feb</c:v>
                  </c:pt>
                </c:lvl>
                <c:lvl>
                  <c:pt idx="0">
                    <c:v>01-Feb</c:v>
                  </c:pt>
                </c:lvl>
                <c:lvl>
                  <c:pt idx="0">
                    <c:v>25-Jan</c:v>
                  </c:pt>
                </c:lvl>
                <c:lvl>
                  <c:pt idx="0">
                    <c:v>18-Jan</c:v>
                  </c:pt>
                </c:lvl>
                <c:lvl>
                  <c:pt idx="0">
                    <c:v>11-Jan</c:v>
                  </c:pt>
                </c:lvl>
                <c:lvl>
                  <c:pt idx="0">
                    <c:v>04-Jan</c:v>
                  </c:pt>
                </c:lvl>
                <c:lvl>
                  <c:pt idx="0">
                    <c:v>28-Dec</c:v>
                  </c:pt>
                </c:lvl>
                <c:lvl>
                  <c:pt idx="0">
                    <c:v>21-Dec</c:v>
                  </c:pt>
                </c:lvl>
                <c:lvl>
                  <c:pt idx="0">
                    <c:v>14-Dec</c:v>
                  </c:pt>
                </c:lvl>
                <c:lvl>
                  <c:pt idx="0">
                    <c:v>07-Dec</c:v>
                  </c:pt>
                </c:lvl>
                <c:lvl>
                  <c:pt idx="0">
                    <c:v>30-Nov</c:v>
                  </c:pt>
                </c:lvl>
                <c:lvl>
                  <c:pt idx="0">
                    <c:v>23-Nov</c:v>
                  </c:pt>
                </c:lvl>
                <c:lvl>
                  <c:pt idx="0">
                    <c:v>16-Nov</c:v>
                  </c:pt>
                </c:lvl>
                <c:lvl>
                  <c:pt idx="0">
                    <c:v>09-Nov</c:v>
                  </c:pt>
                </c:lvl>
                <c:lvl>
                  <c:pt idx="0">
                    <c:v>02-Nov</c:v>
                  </c:pt>
                </c:lvl>
                <c:lvl>
                  <c:pt idx="0">
                    <c:v>26-Oct</c:v>
                  </c:pt>
                </c:lvl>
                <c:lvl>
                  <c:pt idx="0">
                    <c:v>19-Oct</c:v>
                  </c:pt>
                </c:lvl>
                <c:lvl>
                  <c:pt idx="0">
                    <c:v>12-Oct</c:v>
                  </c:pt>
                </c:lvl>
                <c:lvl>
                  <c:pt idx="0">
                    <c:v>05-Oct</c:v>
                  </c:pt>
                </c:lvl>
              </c:multiLvlStrCache>
            </c:multiLvlStrRef>
          </c:cat>
          <c:val>
            <c:numRef>
              <c:f>'Resource Report'!$D$61:$AC$61</c:f>
              <c:numCache>
                <c:formatCode>#,##0;;\-</c:formatCode>
                <c:ptCount val="26"/>
                <c:pt idx="0">
                  <c:v>51.7142857142857</c:v>
                </c:pt>
                <c:pt idx="1">
                  <c:v>63.3333333333333</c:v>
                </c:pt>
                <c:pt idx="2">
                  <c:v>67.6190476190477</c:v>
                </c:pt>
                <c:pt idx="3">
                  <c:v>67.6190476190476</c:v>
                </c:pt>
                <c:pt idx="4">
                  <c:v>79.4285714285714</c:v>
                </c:pt>
                <c:pt idx="5">
                  <c:v>48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28</c:v>
                </c:pt>
                <c:pt idx="11">
                  <c:v>12</c:v>
                </c:pt>
                <c:pt idx="12">
                  <c:v>12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40"/>
        <c:overlap val="0"/>
        <c:axId val="44243889"/>
        <c:axId val="35326057"/>
      </c:barChart>
      <c:lineChart>
        <c:grouping val="standard"/>
        <c:varyColors val="0"/>
        <c:ser>
          <c:idx val="1"/>
          <c:order val="1"/>
          <c:tx>
            <c:strRef>
              <c:f>"Team capacity"</c:f>
              <c:strCache>
                <c:ptCount val="1"/>
                <c:pt idx="0">
                  <c:v>Team capacity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'Resource Report'!$D$34:$AC$34</c:f>
              <c:multiLvlStrCache>
                <c:ptCount val="1"/>
                <c:lvl>
                  <c:pt idx="0">
                    <c:v>29-Mar</c:v>
                  </c:pt>
                </c:lvl>
                <c:lvl>
                  <c:pt idx="0">
                    <c:v>22-Mar</c:v>
                  </c:pt>
                </c:lvl>
                <c:lvl>
                  <c:pt idx="0">
                    <c:v>15-Mar</c:v>
                  </c:pt>
                </c:lvl>
                <c:lvl>
                  <c:pt idx="0">
                    <c:v>08-Mar</c:v>
                  </c:pt>
                </c:lvl>
                <c:lvl>
                  <c:pt idx="0">
                    <c:v>01-Mar</c:v>
                  </c:pt>
                </c:lvl>
                <c:lvl>
                  <c:pt idx="0">
                    <c:v>22-Feb</c:v>
                  </c:pt>
                </c:lvl>
                <c:lvl>
                  <c:pt idx="0">
                    <c:v>15-Feb</c:v>
                  </c:pt>
                </c:lvl>
                <c:lvl>
                  <c:pt idx="0">
                    <c:v>08-Feb</c:v>
                  </c:pt>
                </c:lvl>
                <c:lvl>
                  <c:pt idx="0">
                    <c:v>01-Feb</c:v>
                  </c:pt>
                </c:lvl>
                <c:lvl>
                  <c:pt idx="0">
                    <c:v>25-Jan</c:v>
                  </c:pt>
                </c:lvl>
                <c:lvl>
                  <c:pt idx="0">
                    <c:v>18-Jan</c:v>
                  </c:pt>
                </c:lvl>
                <c:lvl>
                  <c:pt idx="0">
                    <c:v>11-Jan</c:v>
                  </c:pt>
                </c:lvl>
                <c:lvl>
                  <c:pt idx="0">
                    <c:v>04-Jan</c:v>
                  </c:pt>
                </c:lvl>
                <c:lvl>
                  <c:pt idx="0">
                    <c:v>28-Dec</c:v>
                  </c:pt>
                </c:lvl>
                <c:lvl>
                  <c:pt idx="0">
                    <c:v>21-Dec</c:v>
                  </c:pt>
                </c:lvl>
                <c:lvl>
                  <c:pt idx="0">
                    <c:v>14-Dec</c:v>
                  </c:pt>
                </c:lvl>
                <c:lvl>
                  <c:pt idx="0">
                    <c:v>07-Dec</c:v>
                  </c:pt>
                </c:lvl>
                <c:lvl>
                  <c:pt idx="0">
                    <c:v>30-Nov</c:v>
                  </c:pt>
                </c:lvl>
                <c:lvl>
                  <c:pt idx="0">
                    <c:v>23-Nov</c:v>
                  </c:pt>
                </c:lvl>
                <c:lvl>
                  <c:pt idx="0">
                    <c:v>16-Nov</c:v>
                  </c:pt>
                </c:lvl>
                <c:lvl>
                  <c:pt idx="0">
                    <c:v>09-Nov</c:v>
                  </c:pt>
                </c:lvl>
                <c:lvl>
                  <c:pt idx="0">
                    <c:v>02-Nov</c:v>
                  </c:pt>
                </c:lvl>
                <c:lvl>
                  <c:pt idx="0">
                    <c:v>26-Oct</c:v>
                  </c:pt>
                </c:lvl>
                <c:lvl>
                  <c:pt idx="0">
                    <c:v>19-Oct</c:v>
                  </c:pt>
                </c:lvl>
                <c:lvl>
                  <c:pt idx="0">
                    <c:v>12-Oct</c:v>
                  </c:pt>
                </c:lvl>
                <c:lvl>
                  <c:pt idx="0">
                    <c:v>05-Oct</c:v>
                  </c:pt>
                </c:lvl>
              </c:multiLvlStrCache>
            </c:multiLvlStrRef>
          </c:cat>
          <c:val>
            <c:numRef>
              <c:f>'Resource Report'!$D$62:$AC$62</c:f>
              <c:numCache>
                <c:formatCode>#,##0;;\-</c:formatCode>
                <c:ptCount val="26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240</c:v>
                </c:pt>
                <c:pt idx="8">
                  <c:v>240</c:v>
                </c:pt>
                <c:pt idx="9">
                  <c:v>240</c:v>
                </c:pt>
                <c:pt idx="10">
                  <c:v>240</c:v>
                </c:pt>
                <c:pt idx="11">
                  <c:v>144</c:v>
                </c:pt>
                <c:pt idx="12">
                  <c:v>144</c:v>
                </c:pt>
                <c:pt idx="13">
                  <c:v>240</c:v>
                </c:pt>
                <c:pt idx="14">
                  <c:v>240</c:v>
                </c:pt>
                <c:pt idx="15">
                  <c:v>240</c:v>
                </c:pt>
                <c:pt idx="16">
                  <c:v>240</c:v>
                </c:pt>
                <c:pt idx="17">
                  <c:v>240</c:v>
                </c:pt>
                <c:pt idx="18">
                  <c:v>240</c:v>
                </c:pt>
                <c:pt idx="19">
                  <c:v>240</c:v>
                </c:pt>
                <c:pt idx="20">
                  <c:v>240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243889"/>
        <c:axId val="35326057"/>
      </c:lineChart>
      <c:catAx>
        <c:axId val="44243889"/>
        <c:scaling>
          <c:orientation val="minMax"/>
        </c:scaling>
        <c:delete val="0"/>
        <c:axPos val="b"/>
        <c:numFmt formatCode="dd\-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26057"/>
        <c:crosses val="autoZero"/>
        <c:auto val="1"/>
        <c:lblAlgn val="ctr"/>
        <c:lblOffset val="100"/>
        <c:noMultiLvlLbl val="0"/>
      </c:catAx>
      <c:valAx>
        <c:axId val="353260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43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Release burndown (story points)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"Remaining"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Sprints!$B$6:$B$17</c:f>
              <c:strCache>
                <c:ptCount val="12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</c:strCache>
            </c:strRef>
          </c:cat>
          <c:val>
            <c:numRef>
              <c:f>Sprints!$S$6:$S$17</c:f>
              <c:numCache>
                <c:formatCode>0.#</c:formatCode>
                <c:ptCount val="12"/>
                <c:pt idx="0">
                  <c:v>77</c:v>
                </c:pt>
                <c:pt idx="1">
                  <c:v>64</c:v>
                </c:pt>
                <c:pt idx="2">
                  <c:v>49</c:v>
                </c:pt>
                <c:pt idx="3">
                  <c:v>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"Forecast"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Sprints!$B$6:$B$17</c:f>
              <c:strCache>
                <c:ptCount val="12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</c:strCache>
            </c:strRef>
          </c:cat>
          <c:val>
            <c:numRef>
              <c:f>Sprints!$Q$6:$Q$17</c:f>
              <c:numCache>
                <c:formatCode>0.#</c:formatCode>
                <c:ptCount val="12"/>
                <c:pt idx="0">
                  <c:v>77</c:v>
                </c:pt>
                <c:pt idx="1">
                  <c:v>64</c:v>
                </c:pt>
                <c:pt idx="2">
                  <c:v>49</c:v>
                </c:pt>
                <c:pt idx="3">
                  <c:v>41</c:v>
                </c:pt>
                <c:pt idx="4">
                  <c:v>25</c:v>
                </c:pt>
                <c:pt idx="5">
                  <c:v>13</c:v>
                </c:pt>
                <c:pt idx="6">
                  <c:v>13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"Ideal"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Sprints!$B$6:$B$17</c:f>
              <c:strCache>
                <c:ptCount val="12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</c:strCache>
            </c:strRef>
          </c:cat>
          <c:val>
            <c:numRef>
              <c:f>Sprints!$R$6:$R$17</c:f>
              <c:numCache>
                <c:formatCode>0.#</c:formatCode>
                <c:ptCount val="12"/>
                <c:pt idx="0">
                  <c:v>75.1666666666667</c:v>
                </c:pt>
                <c:pt idx="1">
                  <c:v>68.3333333333333</c:v>
                </c:pt>
                <c:pt idx="2">
                  <c:v>61.5</c:v>
                </c:pt>
                <c:pt idx="3">
                  <c:v>54.6666666666667</c:v>
                </c:pt>
                <c:pt idx="4">
                  <c:v>47.8333333333333</c:v>
                </c:pt>
                <c:pt idx="5">
                  <c:v>41</c:v>
                </c:pt>
                <c:pt idx="6">
                  <c:v>34.1666666666667</c:v>
                </c:pt>
                <c:pt idx="7">
                  <c:v>27.3333333333333</c:v>
                </c:pt>
                <c:pt idx="8">
                  <c:v>20.5</c:v>
                </c:pt>
                <c:pt idx="9">
                  <c:v>13.6666666666667</c:v>
                </c:pt>
                <c:pt idx="10">
                  <c:v>6.83333333333334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975292"/>
        <c:axId val="76346114"/>
      </c:lineChart>
      <c:catAx>
        <c:axId val="40975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46114"/>
        <c:crosses val="autoZero"/>
        <c:auto val="1"/>
        <c:lblAlgn val="ctr"/>
        <c:lblOffset val="100"/>
        <c:noMultiLvlLbl val="0"/>
      </c:catAx>
      <c:valAx>
        <c:axId val="76346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75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Committed vs done points per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Sprints!M5</c:f>
              <c:strCache>
                <c:ptCount val="1"/>
                <c:pt idx="0">
                  <c:v>Committed Points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Sprints!$B$6:$B$17</c:f>
              <c:strCache>
                <c:ptCount val="12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</c:strCache>
            </c:strRef>
          </c:cat>
          <c:val>
            <c:numRef>
              <c:f>Sprints!$M$6:$M$17</c:f>
              <c:numCache>
                <c:formatCode>0.#</c:formatCode>
                <c:ptCount val="12"/>
                <c:pt idx="0">
                  <c:v>18</c:v>
                </c:pt>
                <c:pt idx="1">
                  <c:v>5</c:v>
                </c:pt>
                <c:pt idx="2">
                  <c:v>18</c:v>
                </c:pt>
                <c:pt idx="3">
                  <c:v>8</c:v>
                </c:pt>
                <c:pt idx="4">
                  <c:v>19</c:v>
                </c:pt>
                <c:pt idx="5">
                  <c:v>1</c:v>
                </c:pt>
                <c:pt idx="6">
                  <c:v>5</c:v>
                </c:pt>
                <c:pt idx="7">
                  <c:v>6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Sprints!N5</c:f>
              <c:strCache>
                <c:ptCount val="1"/>
                <c:pt idx="0">
                  <c:v>Done Points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Sprints!$B$6:$B$17</c:f>
              <c:strCache>
                <c:ptCount val="12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</c:strCache>
            </c:strRef>
          </c:cat>
          <c:val>
            <c:numRef>
              <c:f>Sprints!$N$6:$N$17</c:f>
              <c:numCache>
                <c:formatCode>0.#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15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78988086"/>
        <c:axId val="69602851"/>
      </c:barChart>
      <c:catAx>
        <c:axId val="789880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02851"/>
        <c:crosses val="autoZero"/>
        <c:auto val="1"/>
        <c:lblAlgn val="ctr"/>
        <c:lblOffset val="100"/>
        <c:noMultiLvlLbl val="0"/>
      </c:catAx>
      <c:valAx>
        <c:axId val="69602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880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Current sprint burndown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"Remaining"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'Agile Report'!$F$44:$F$74</c:f>
              <c:strCache>
                <c:ptCount val="31"/>
                <c:pt idx="0">
                  <c:v>19-Oct</c:v>
                </c:pt>
                <c:pt idx="1">
                  <c:v>20-Oct</c:v>
                </c:pt>
                <c:pt idx="2">
                  <c:v>21-Oct</c:v>
                </c:pt>
                <c:pt idx="3">
                  <c:v>22-Oct</c:v>
                </c:pt>
                <c:pt idx="4">
                  <c:v>23-Oct</c:v>
                </c:pt>
                <c:pt idx="5">
                  <c:v>24-Oct</c:v>
                </c:pt>
                <c:pt idx="6">
                  <c:v>25-Oct</c:v>
                </c:pt>
                <c:pt idx="7">
                  <c:v>26-Oct</c:v>
                </c:pt>
                <c:pt idx="8">
                  <c:v>27-Oct</c:v>
                </c:pt>
                <c:pt idx="9">
                  <c:v>28-Oct</c:v>
                </c:pt>
                <c:pt idx="10">
                  <c:v>29-Oct</c:v>
                </c:pt>
                <c:pt idx="11">
                  <c:v>30-Oct</c:v>
                </c:pt>
                <c:pt idx="12">
                  <c:v>31-Oct</c:v>
                </c:pt>
                <c:pt idx="13">
                  <c:v>01-Nov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'Agile Report'!$G$44:$G$74</c:f>
              <c:numCache>
                <c:formatCode>0.#</c:formatCode>
                <c:ptCount val="3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"Ideal"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'Agile Report'!$F$44:$F$74</c:f>
              <c:strCache>
                <c:ptCount val="31"/>
                <c:pt idx="0">
                  <c:v>19-Oct</c:v>
                </c:pt>
                <c:pt idx="1">
                  <c:v>20-Oct</c:v>
                </c:pt>
                <c:pt idx="2">
                  <c:v>21-Oct</c:v>
                </c:pt>
                <c:pt idx="3">
                  <c:v>22-Oct</c:v>
                </c:pt>
                <c:pt idx="4">
                  <c:v>23-Oct</c:v>
                </c:pt>
                <c:pt idx="5">
                  <c:v>24-Oct</c:v>
                </c:pt>
                <c:pt idx="6">
                  <c:v>25-Oct</c:v>
                </c:pt>
                <c:pt idx="7">
                  <c:v>26-Oct</c:v>
                </c:pt>
                <c:pt idx="8">
                  <c:v>27-Oct</c:v>
                </c:pt>
                <c:pt idx="9">
                  <c:v>28-Oct</c:v>
                </c:pt>
                <c:pt idx="10">
                  <c:v>29-Oct</c:v>
                </c:pt>
                <c:pt idx="11">
                  <c:v>30-Oct</c:v>
                </c:pt>
                <c:pt idx="12">
                  <c:v>31-Oct</c:v>
                </c:pt>
                <c:pt idx="13">
                  <c:v>01-Nov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'Agile Report'!$H$44:$H$74</c:f>
              <c:numCache>
                <c:formatCode>0.#</c:formatCode>
                <c:ptCount val="31"/>
                <c:pt idx="0">
                  <c:v>7.2</c:v>
                </c:pt>
                <c:pt idx="1">
                  <c:v>6.4</c:v>
                </c:pt>
                <c:pt idx="2">
                  <c:v>5.6</c:v>
                </c:pt>
                <c:pt idx="3">
                  <c:v>4.8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3.2</c:v>
                </c:pt>
                <c:pt idx="8">
                  <c:v>2.4</c:v>
                </c:pt>
                <c:pt idx="9">
                  <c:v>1.6</c:v>
                </c:pt>
                <c:pt idx="10">
                  <c:v>0.8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060647"/>
        <c:axId val="58899247"/>
      </c:lineChart>
      <c:catAx>
        <c:axId val="25060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99247"/>
        <c:crosses val="autoZero"/>
        <c:auto val="1"/>
        <c:lblAlgn val="ctr"/>
        <c:lblOffset val="100"/>
        <c:noMultiLvlLbl val="0"/>
      </c:catAx>
      <c:valAx>
        <c:axId val="588992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606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10</xdr:row>
      <xdr:rowOff>101160</xdr:rowOff>
    </xdr:from>
    <xdr:to>
      <xdr:col>10</xdr:col>
      <xdr:colOff>479160</xdr:colOff>
      <xdr:row>23</xdr:row>
      <xdr:rowOff>144000</xdr:rowOff>
    </xdr:to>
    <xdr:graphicFrame>
      <xdr:nvGraphicFramePr>
        <xdr:cNvPr id="0" name="Chart 1"/>
        <xdr:cNvGraphicFramePr/>
      </xdr:nvGraphicFramePr>
      <xdr:xfrm>
        <a:off x="4722480" y="20955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33</xdr:row>
      <xdr:rowOff>101160</xdr:rowOff>
    </xdr:from>
    <xdr:to>
      <xdr:col>8</xdr:col>
      <xdr:colOff>70920</xdr:colOff>
      <xdr:row>48</xdr:row>
      <xdr:rowOff>123120</xdr:rowOff>
    </xdr:to>
    <xdr:graphicFrame>
      <xdr:nvGraphicFramePr>
        <xdr:cNvPr id="1" name="Chart 2"/>
        <xdr:cNvGraphicFramePr/>
      </xdr:nvGraphicFramePr>
      <xdr:xfrm>
        <a:off x="211320" y="64771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14</xdr:row>
      <xdr:rowOff>131040</xdr:rowOff>
    </xdr:from>
    <xdr:to>
      <xdr:col>7</xdr:col>
      <xdr:colOff>3504240</xdr:colOff>
      <xdr:row>27</xdr:row>
      <xdr:rowOff>174240</xdr:rowOff>
    </xdr:to>
    <xdr:graphicFrame>
      <xdr:nvGraphicFramePr>
        <xdr:cNvPr id="2" name="Chart 1"/>
        <xdr:cNvGraphicFramePr/>
      </xdr:nvGraphicFramePr>
      <xdr:xfrm>
        <a:off x="7823880" y="2857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</xdr:row>
      <xdr:rowOff>131040</xdr:rowOff>
    </xdr:from>
    <xdr:to>
      <xdr:col>27</xdr:col>
      <xdr:colOff>307080</xdr:colOff>
      <xdr:row>17</xdr:row>
      <xdr:rowOff>40680</xdr:rowOff>
    </xdr:to>
    <xdr:graphicFrame>
      <xdr:nvGraphicFramePr>
        <xdr:cNvPr id="3" name="Chart 1"/>
        <xdr:cNvGraphicFramePr/>
      </xdr:nvGraphicFramePr>
      <xdr:xfrm>
        <a:off x="10079280" y="5716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18</xdr:col>
      <xdr:colOff>255960</xdr:colOff>
      <xdr:row>17</xdr:row>
      <xdr:rowOff>153000</xdr:rowOff>
    </xdr:to>
    <xdr:graphicFrame>
      <xdr:nvGraphicFramePr>
        <xdr:cNvPr id="4" name="Chart 1"/>
        <xdr:cNvGraphicFramePr/>
      </xdr:nvGraphicFramePr>
      <xdr:xfrm>
        <a:off x="103611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130680</xdr:rowOff>
    </xdr:from>
    <xdr:to>
      <xdr:col>18</xdr:col>
      <xdr:colOff>255960</xdr:colOff>
      <xdr:row>34</xdr:row>
      <xdr:rowOff>40320</xdr:rowOff>
    </xdr:to>
    <xdr:graphicFrame>
      <xdr:nvGraphicFramePr>
        <xdr:cNvPr id="5" name="Chart 2"/>
        <xdr:cNvGraphicFramePr/>
      </xdr:nvGraphicFramePr>
      <xdr:xfrm>
        <a:off x="10361160" y="3809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41</xdr:row>
      <xdr:rowOff>18360</xdr:rowOff>
    </xdr:from>
    <xdr:to>
      <xdr:col>18</xdr:col>
      <xdr:colOff>255960</xdr:colOff>
      <xdr:row>55</xdr:row>
      <xdr:rowOff>118800</xdr:rowOff>
    </xdr:to>
    <xdr:graphicFrame>
      <xdr:nvGraphicFramePr>
        <xdr:cNvPr id="6" name="Chart 3"/>
        <xdr:cNvGraphicFramePr/>
      </xdr:nvGraphicFramePr>
      <xdr:xfrm>
        <a:off x="10361160" y="8001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gileKPIs" displayName="AgileKPIs" ref="C4:D17" headerRowCount="1">
  <tableColumns count="2">
    <tableColumn id="1" name="Measure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riticalTasks" displayName="CriticalTasks" ref="B90:J110" headerRowCount="1">
  <tableColumns count="9">
    <tableColumn id="1" name="_Task">
      <calculatedColumnFormula>IFERROR(MATCH(SMALL(tsk_CriticalKey,ROW()-ROW(CriticalTasks[[#Headers],[_Task]])),tsk_CriticalKey,0),"")</calculatedColumnFormula>
    </tableColumn>
    <tableColumn id="2" name="WBS">
      <calculatedColumnFormula>IF(CriticalTasks[[#This Row],[_Task]]="","",INDEX(tsk_WBS,CriticalTasks[[#This Row],[_Task]])&amp;"")</calculatedColumnFormula>
    </tableColumn>
    <tableColumn id="3" name="Task">
      <calculatedColumnFormula>IF(CriticalTasks[[#This Row],[_Task]]="","",INDEX(tsk_Name,CriticalTasks[[#This Row],[_Task]])&amp;"")</calculatedColumnFormula>
    </tableColumn>
    <tableColumn id="4" name="Resource">
      <calculatedColumnFormula>IF(CriticalTasks[[#This Row],[_Task]]="","",INDEX(tsk_Resource,CriticalTasks[[#This Row],[_Task]])&amp;"")</calculatedColumnFormula>
    </tableColumn>
    <tableColumn id="5" name="Forecast Start">
      <calculatedColumnFormula>IF(CriticalTasks[[#This Row],[_Task]]="","",IF(N(INDEX(tsk_FcStart,CriticalTasks[[#This Row],[_Task]]))=0,"",INDEX(tsk_FcStart,CriticalTasks[[#This Row],[_Task]])))</calculatedColumnFormula>
    </tableColumn>
    <tableColumn id="6" name="Forecast Finish">
      <calculatedColumnFormula>IF(CriticalTasks[[#This Row],[_Task]]="","",IF(N(INDEX(tsk_FcFinish,CriticalTasks[[#This Row],[_Task]]))=0,"",INDEX(tsk_FcFinish,CriticalTasks[[#This Row],[_Task]])))</calculatedColumnFormula>
    </tableColumn>
    <tableColumn id="7" name="Total Slack">
      <calculatedColumnFormula>IF(CriticalTasks[[#This Row],[_Task]]="","",INDEX(tsk_TotalSlack,CriticalTasks[[#This Row],[_Task]]))</calculatedColumnFormula>
    </tableColumn>
    <tableColumn id="8" name="Deadline Check">
      <calculatedColumnFormula>IF(CriticalTasks[[#This Row],[_Task]]="","",INDEX(tsk_DeadlineCheck,CriticalTasks[[#This Row],[_Task]])&amp;"")</calculatedColumnFormula>
    </tableColumn>
    <tableColumn id="9" name="Status">
      <calculatedColumnFormula>IF(CriticalTasks[[#This Row],[_Task]]="","",INDEX(tsk_Status,CriticalTasks[[#This Row],[_Task]])&amp;"")</calculatedColumnFormula>
    </tableColumn>
  </tableColumns>
  <tableStyleInfo name="TableStyleLight1" showRowStripes="0"/>
</table>
</file>

<file path=xl/tables/table3.xml><?xml version="1.0" encoding="utf-8"?>
<table xmlns="http://schemas.openxmlformats.org/spreadsheetml/2006/main" id="3" name="DueSoon" displayName="DueSoon" ref="B72:J87" headerRowCount="1">
  <tableColumns count="9">
    <tableColumn id="1" name="_Task">
      <calculatedColumnFormula>IFERROR(MATCH(SMALL(tsk_DueSoonKey,ROW()-ROW(DueSoon[[#Headers],[_Task]])),tsk_DueSoonKey,0),"")</calculatedColumnFormula>
    </tableColumn>
    <tableColumn id="2" name="WBS">
      <calculatedColumnFormula>IF(DueSoon[[#This Row],[_Task]]="","",INDEX(tsk_WBS,DueSoon[[#This Row],[_Task]])&amp;"")</calculatedColumnFormula>
    </tableColumn>
    <tableColumn id="3" name="Task">
      <calculatedColumnFormula>IF(DueSoon[[#This Row],[_Task]]="","",INDEX(tsk_Name,DueSoon[[#This Row],[_Task]])&amp;"")</calculatedColumnFormula>
    </tableColumn>
    <tableColumn id="4" name="Resource">
      <calculatedColumnFormula>IF(DueSoon[[#This Row],[_Task]]="","",INDEX(tsk_Resource,DueSoon[[#This Row],[_Task]])&amp;"")</calculatedColumnFormula>
    </tableColumn>
    <tableColumn id="5" name="Forecast Finish">
      <calculatedColumnFormula>IF(DueSoon[[#This Row],[_Task]]="","",IF(N(INDEX(tsk_FcFinish,DueSoon[[#This Row],[_Task]]))=0,"",INDEX(tsk_FcFinish,DueSoon[[#This Row],[_Task]])))</calculatedColumnFormula>
    </tableColumn>
    <tableColumn id="6" name="Progress">
      <calculatedColumnFormula>IF(DueSoon[[#This Row],[_Task]]="","",INDEX(tsk_Progress,DueSoon[[#This Row],[_Task]]))</calculatedColumnFormula>
    </tableColumn>
    <tableColumn id="7" name="Deadline Check">
      <calculatedColumnFormula>IF(DueSoon[[#This Row],[_Task]]="","",INDEX(tsk_DeadlineCheck,DueSoon[[#This Row],[_Task]])&amp;"")</calculatedColumnFormula>
    </tableColumn>
    <tableColumn id="8" name="Status">
      <calculatedColumnFormula>IF(DueSoon[[#This Row],[_Task]]="","",INDEX(tsk_Status,DueSoon[[#This Row],[_Task]])&amp;"")</calculatedColumnFormula>
    </tableColumn>
    <tableColumn id="9" name="Critical">
      <calculatedColumnFormula>IF(DueSoon[[#This Row],[_Task]]="","",INDEX(tsk_Critical,DueSoon[[#This Row],[_Task]])&amp;"")</calculatedColumnFormula>
    </tableColumn>
  </tableColumns>
  <tableStyleInfo name="TableStyleLight1" showRowStripes="0"/>
</table>
</file>

<file path=xl/tables/table4.xml><?xml version="1.0" encoding="utf-8"?>
<table xmlns="http://schemas.openxmlformats.org/spreadsheetml/2006/main" id="4" name="EarnedValue" displayName="EarnedValue" ref="B16:D30" headerRowCount="1">
  <tableColumns count="3">
    <tableColumn id="1" name="Measure"/>
    <tableColumn id="2" name="Meaning"/>
    <tableColumn id="3" name="Value"/>
  </tableColumns>
  <tableStyleInfo name="TableStyleLight1" showRowStripes="0"/>
</table>
</file>

<file path=xl/tables/table5.xml><?xml version="1.0" encoding="utf-8"?>
<table xmlns="http://schemas.openxmlformats.org/spreadsheetml/2006/main" id="5" name="GanttView" displayName="GanttView" ref="A5:U205" headerRowCount="1">
  <tableColumns count="21">
    <tableColumn id="1" name="ID">
      <calculatedColumnFormula>IF(IFERROR(INDEX(tsk_Name,GanttView[[#This Row],[_Row]])="",TRUE()),"",INDEX(tsk_ID,GanttView[[#This Row],[_Row]]))</calculatedColumnFormula>
    </tableColumn>
    <tableColumn id="2" name="WBS">
      <calculatedColumnFormula>IF(IFERROR(INDEX(tsk_Name,GanttView[[#This Row],[_Row]])="",TRUE()),"",INDEX(tsk_WBS,GanttView[[#This Row],[_Row]]))</calculatedColumnFormula>
    </tableColumn>
    <tableColumn id="3" name="Task">
      <calculatedColumnFormula>IF(IFERROR(INDEX(tsk_Name,GanttView[[#This Row],[_Row]])="",TRUE()),"",REPT("    ",INDEX(tsk_Level,GanttView[[#This Row],[_Row]])-1)&amp;INDEX(tsk_Name,GanttView[[#This Row],[_Row]]))</calculatedColumnFormula>
    </tableColumn>
    <tableColumn id="4" name="Dur">
      <calculatedColumnFormula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calculatedColumnFormula>
    </tableColumn>
    <tableColumn id="5" name="Planned Start">
      <calculatedColumnFormula>IF(IFERROR(INDEX(tsk_Name,GanttView[[#This Row],[_Row]])="",TRUE()),"",INDEX(tsk_PlanStart,GanttView[[#This Row],[_Row]]))</calculatedColumnFormula>
    </tableColumn>
    <tableColumn id="6" name="Planned Finish">
      <calculatedColumnFormula>IF(IFERROR(INDEX(tsk_Name,GanttView[[#This Row],[_Row]])="",TRUE()),"",INDEX(tsk_PlanFinish,GanttView[[#This Row],[_Row]]))</calculatedColumnFormula>
    </tableColumn>
    <tableColumn id="7" name="Forecast Start">
      <calculatedColumnFormula>IF(IFERROR(INDEX(tsk_Name,GanttView[[#This Row],[_Row]])="",TRUE()),"",INDEX(tsk_FcStart,GanttView[[#This Row],[_Row]]))</calculatedColumnFormula>
    </tableColumn>
    <tableColumn id="8" name="Forecast Finish">
      <calculatedColumnFormula>IF(IFERROR(INDEX(tsk_Name,GanttView[[#This Row],[_Row]])="",TRUE()),"",INDEX(tsk_FcFinish,GanttView[[#This Row],[_Row]]))</calculatedColumnFormula>
    </tableColumn>
    <tableColumn id="9" name="%">
      <calculatedColumnFormula>IF(IFERROR(INDEX(tsk_Name,GanttView[[#This Row],[_Row]])="",TRUE()),"",INDEX(tsk_Progress,GanttView[[#This Row],[_Row]]))</calculatedColumnFormula>
    </tableColumn>
    <tableColumn id="10" name="Resource">
      <calculatedColumnFormula>IF(IFERROR(INDEX(tsk_Name,GanttView[[#This Row],[_Row]])="",TRUE()),"",INDEX(tsk_Resource,GanttView[[#This Row],[_Row]])&amp;"")</calculatedColumnFormula>
    </tableColumn>
    <tableColumn id="11" name="Status">
      <calculatedColumnFormula>IF(IFERROR(INDEX(tsk_Name,GanttView[[#This Row],[_Row]])="",TRUE()),"",INDEX(tsk_Status,GanttView[[#This Row],[_Row]]))</calculatedColumnFormula>
    </tableColumn>
    <tableColumn id="12" name="_Row">
      <calculatedColumnFormula>ROW()-ROW(GanttView[[#Headers],[ID]])</calculatedColumnFormula>
    </tableColumn>
    <tableColumn id="13" name="_IsSummary">
      <calculatedColumnFormula>IF(IFERROR(INDEX(tsk_Name,GanttView[[#This Row],[_Row]])="",TRUE()),FALSE(),INDEX(tsk_IsSummary,GanttView[[#This Row],[_Row]]))</calculatedColumnFormula>
    </tableColumn>
    <tableColumn id="14" name="_IsMilestone">
      <calculatedColumnFormula>IF(IFERROR(INDEX(tsk_Name,GanttView[[#This Row],[_Row]])="",TRUE()),FALSE(),AND(INDEX(tsk_IsLeaf,GanttView[[#This Row],[_Row]])=1,N(INDEX(tsk_Duration,GanttView[[#This Row],[_Row]]))=0))</calculatedColumnFormula>
    </tableColumn>
    <tableColumn id="15" name="_DoneFrom">
      <calculatedColumnFormula>IF(IFERROR(INDEX(tsk_Name,GanttView[[#This Row],[_Row]])="",TRUE()),0,IF(AND(INDEX(tsk_IsLeaf,GanttView[[#This Row],[_Row]])=1,NOT(GanttView[[#This Row],[_IsMilestone]]),N(GanttView[[#This Row],[%]])&gt;0),GanttView[[#This Row],[Forecast Start]],0))</calculatedColumnFormula>
    </tableColumn>
    <tableColumn id="16" name="_DoneTo">
      <calculatedColumnFormula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calculatedColumnFormula>
    </tableColumn>
    <tableColumn id="17" name="_RemFrom">
      <calculatedColumnFormula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calculatedColumnFormula>
    </tableColumn>
    <tableColumn id="18" name="_RemTo">
      <calculatedColumnFormula>IF(GanttView[[#This Row],[_RemFrom]]=0,0,GanttView[[#This Row],[Forecast Finish]])</calculatedColumnFormula>
    </tableColumn>
    <tableColumn id="19" name="_Late">
      <calculatedColumnFormula>IF(IFERROR(INDEX(tsk_Name,GanttView[[#This Row],[_Row]])="",TRUE()),FALSE(),N(INDEX(tsk_Variance,GanttView[[#This Row],[_Row]]))&gt;0)</calculatedColumnFormula>
    </tableColumn>
    <tableColumn id="20" name="_Deadline">
      <calculatedColumnFormula>IF(IFERROR(INDEX(tsk_Name,GanttView[[#This Row],[_Row]])="",TRUE()),0,N(INDEX(tsk_Deadline,GanttView[[#This Row],[_Row]])))</calculatedColumnFormula>
    </tableColumn>
    <tableColumn id="21" name="_Critical">
      <calculatedColumnFormula>IF(IFERROR(INDEX(tsk_Name,GanttView[[#This Row],[_Row]])="",TRUE()),FALSE(),INDEX(tsk_Critical,GanttView[[#This Row],[_Row]])="Yes")</calculatedColumnFormula>
    </tableColumn>
  </tableColumns>
  <tableStyleInfo name="TableStyleLight1" showRowStripes="0"/>
</table>
</file>

<file path=xl/tables/table6.xml><?xml version="1.0" encoding="utf-8"?>
<table xmlns="http://schemas.openxmlformats.org/spreadsheetml/2006/main" id="6" name="HolidayTable" displayName="HolidayTable" ref="B4:C104" headerRowCount="1">
  <autoFilter ref="B4:C104"/>
  <tableColumns count="2">
    <tableColumn id="1" name="Date"/>
    <tableColumn id="2" name="Description"/>
  </tableColumns>
  <tableStyleInfo name="TableStyleLight1" showRowStripes="0"/>
</table>
</file>

<file path=xl/tables/table7.xml><?xml version="1.0" encoding="utf-8"?>
<table xmlns="http://schemas.openxmlformats.org/spreadsheetml/2006/main" id="7" name="KPIs" displayName="KPIs" ref="B4:C24" headerRowCount="1">
  <tableColumns count="2">
    <tableColumn id="1" name="Key indicator"/>
    <tableColumn id="2" name="Value"/>
  </tableColumns>
  <tableStyleInfo name="TableStyleLight1" showRowStripes="0"/>
</table>
</file>

<file path=xl/tables/table8.xml><?xml version="1.0" encoding="utf-8"?>
<table xmlns="http://schemas.openxmlformats.org/spreadsheetml/2006/main" id="8" name="LateTasks" displayName="LateTasks" ref="B36:J51" headerRowCount="1">
  <tableColumns count="9">
    <tableColumn id="1" name="_Task">
      <calculatedColumnFormula>IFERROR(MATCH(LARGE(tsk_LateKey,ROW()-ROW(LateTasks[[#Headers],[_Task]])),tsk_LateKey,0),"")</calculatedColumnFormula>
    </tableColumn>
    <tableColumn id="2" name="WBS">
      <calculatedColumnFormula>IF(LateTasks[[#This Row],[_Task]]="","",INDEX(tsk_WBS,LateTasks[[#This Row],[_Task]])&amp;"")</calculatedColumnFormula>
    </tableColumn>
    <tableColumn id="3" name="Task">
      <calculatedColumnFormula>IF(LateTasks[[#This Row],[_Task]]="","",INDEX(tsk_Name,LateTasks[[#This Row],[_Task]])&amp;"")</calculatedColumnFormula>
    </tableColumn>
    <tableColumn id="4" name="Resource">
      <calculatedColumnFormula>IF(LateTasks[[#This Row],[_Task]]="","",INDEX(tsk_Resource,LateTasks[[#This Row],[_Task]])&amp;"")</calculatedColumnFormula>
    </tableColumn>
    <tableColumn id="5" name="Planned Finish">
      <calculatedColumnFormula>IF(LateTasks[[#This Row],[_Task]]="","",IF(N(INDEX(tsk_PlanFinish,LateTasks[[#This Row],[_Task]]))=0,"",INDEX(tsk_PlanFinish,LateTasks[[#This Row],[_Task]])))</calculatedColumnFormula>
    </tableColumn>
    <tableColumn id="6" name="Forecast Finish">
      <calculatedColumnFormula>IF(LateTasks[[#This Row],[_Task]]="","",IF(N(INDEX(tsk_FcFinish,LateTasks[[#This Row],[_Task]]))=0,"",INDEX(tsk_FcFinish,LateTasks[[#This Row],[_Task]])))</calculatedColumnFormula>
    </tableColumn>
    <tableColumn id="7" name="Finish Var">
      <calculatedColumnFormula>IF(LateTasks[[#This Row],[_Task]]="","",INDEX(tsk_Variance,LateTasks[[#This Row],[_Task]]))</calculatedColumnFormula>
    </tableColumn>
    <tableColumn id="8" name="Status">
      <calculatedColumnFormula>IF(LateTasks[[#This Row],[_Task]]="","",INDEX(tsk_Status,LateTasks[[#This Row],[_Task]])&amp;"")</calculatedColumnFormula>
    </tableColumn>
    <tableColumn id="9" name="Critical">
      <calculatedColumnFormula>IF(LateTasks[[#This Row],[_Task]]="","",INDEX(tsk_Critical,LateTasks[[#This Row],[_Task]])&amp;"")</calculatedColumnFormula>
    </tableColumn>
  </tableColumns>
  <tableStyleInfo name="TableStyleLight1" showRowStripes="0"/>
</table>
</file>

<file path=xl/tables/table9.xml><?xml version="1.0" encoding="utf-8"?>
<table xmlns="http://schemas.openxmlformats.org/spreadsheetml/2006/main" id="9" name="ListDepType" displayName="ListDepType" ref="A1:A5" headerRowCount="1">
  <tableColumns count="1">
    <tableColumn id="1" name="Link Type"/>
  </tableColumns>
  <tableStyleInfo name="TableStyleLight1" showRowStripes="0"/>
</table>
</file>

<file path=xl/tables/table10.xml><?xml version="1.0" encoding="utf-8"?>
<table xmlns="http://schemas.openxmlformats.org/spreadsheetml/2006/main" id="10" name="ListMode" displayName="ListMode" ref="C1:C3" headerRowCount="1">
  <tableColumns count="1">
    <tableColumn id="1" name="Task Mode"/>
  </tableColumns>
  <tableStyleInfo name="TableStyleLight1" showRowStripes="0"/>
</table>
</file>

<file path=xl/tables/table11.xml><?xml version="1.0" encoding="utf-8"?>
<table xmlns="http://schemas.openxmlformats.org/spreadsheetml/2006/main" id="11" name="ListPeriod" displayName="ListPeriod" ref="I1:I3" headerRowCount="1">
  <tableColumns count="1">
    <tableColumn id="1" name="Gantt Days per Column"/>
  </tableColumns>
  <tableStyleInfo name="TableStyleLight1" showRowStripes="0"/>
</table>
</file>

<file path=xl/tables/table12.xml><?xml version="1.0" encoding="utf-8"?>
<table xmlns="http://schemas.openxmlformats.org/spreadsheetml/2006/main" id="12" name="ListRAG" displayName="ListRAG" ref="K1:K4" headerRowCount="1">
  <tableColumns count="1">
    <tableColumn id="1" name="RAG"/>
  </tableColumns>
  <tableStyleInfo name="TableStyleLight1" showRowStripes="0"/>
</table>
</file>

<file path=xl/tables/table13.xml><?xml version="1.0" encoding="utf-8"?>
<table xmlns="http://schemas.openxmlformats.org/spreadsheetml/2006/main" id="13" name="ListResType" displayName="ListResType" ref="G1:G4" headerRowCount="1">
  <tableColumns count="1">
    <tableColumn id="1" name="Resource Type"/>
  </tableColumns>
  <tableStyleInfo name="TableStyleLight1" showRowStripes="0"/>
</table>
</file>

<file path=xl/tables/table14.xml><?xml version="1.0" encoding="utf-8"?>
<table xmlns="http://schemas.openxmlformats.org/spreadsheetml/2006/main" id="14" name="ListYesNo" displayName="ListYesNo" ref="E1:E3" headerRowCount="1">
  <tableColumns count="1">
    <tableColumn id="1" name="Yes / No"/>
  </tableColumns>
  <tableStyleInfo name="TableStyleLight1" showRowStripes="0"/>
</table>
</file>

<file path=xl/tables/table15.xml><?xml version="1.0" encoding="utf-8"?>
<table xmlns="http://schemas.openxmlformats.org/spreadsheetml/2006/main" id="15" name="MilestoneReport" displayName="MilestoneReport" ref="B18:J33" headerRowCount="1">
  <tableColumns count="9">
    <tableColumn id="1" name="_Task">
      <calculatedColumnFormula>IFERROR(MATCH(SMALL(tsk_MilestoneOrder,ROW()-ROW(MilestoneReport[[#Headers],[_Task]])),tsk_MilestoneOrder,0),"")</calculatedColumnFormula>
    </tableColumn>
    <tableColumn id="2" name="WBS">
      <calculatedColumnFormula>IF(MilestoneReport[[#This Row],[_Task]]="","",INDEX(tsk_WBS,MilestoneReport[[#This Row],[_Task]])&amp;"")</calculatedColumnFormula>
    </tableColumn>
    <tableColumn id="3" name="Milestone">
      <calculatedColumnFormula>IF(MilestoneReport[[#This Row],[_Task]]="","",INDEX(tsk_Name,MilestoneReport[[#This Row],[_Task]])&amp;"")</calculatedColumnFormula>
    </tableColumn>
    <tableColumn id="4" name="Planned">
      <calculatedColumnFormula>IF(MilestoneReport[[#This Row],[_Task]]="","",IF(N(INDEX(tsk_PlanFinish,MilestoneReport[[#This Row],[_Task]]))=0,"",INDEX(tsk_PlanFinish,MilestoneReport[[#This Row],[_Task]])))</calculatedColumnFormula>
    </tableColumn>
    <tableColumn id="5" name="Forecast">
      <calculatedColumnFormula>IF(MilestoneReport[[#This Row],[_Task]]="","",IF(N(INDEX(tsk_FcFinish,MilestoneReport[[#This Row],[_Task]]))=0,"",INDEX(tsk_FcFinish,MilestoneReport[[#This Row],[_Task]])))</calculatedColumnFormula>
    </tableColumn>
    <tableColumn id="6" name="Finish Var">
      <calculatedColumnFormula>IF(MilestoneReport[[#This Row],[_Task]]="","",INDEX(tsk_Variance,MilestoneReport[[#This Row],[_Task]]))</calculatedColumnFormula>
    </tableColumn>
    <tableColumn id="7" name="Deadline">
      <calculatedColumnFormula>IF(MilestoneReport[[#This Row],[_Task]]="","",IF(N(INDEX(tsk_Deadline,MilestoneReport[[#This Row],[_Task]]))=0,"",INDEX(tsk_Deadline,MilestoneReport[[#This Row],[_Task]])))</calculatedColumnFormula>
    </tableColumn>
    <tableColumn id="8" name="Deadline Check">
      <calculatedColumnFormula>IF(MilestoneReport[[#This Row],[_Task]]="","",INDEX(tsk_DeadlineCheck,MilestoneReport[[#This Row],[_Task]])&amp;"")</calculatedColumnFormula>
    </tableColumn>
    <tableColumn id="9" name="Status">
      <calculatedColumnFormula>IF(MilestoneReport[[#This Row],[_Task]]="","",INDEX(tsk_Status,MilestoneReport[[#This Row],[_Task]])&amp;"")</calculatedColumnFormula>
    </tableColumn>
  </tableColumns>
  <tableStyleInfo name="TableStyleLight1" showRowStripes="0"/>
</table>
</file>

<file path=xl/tables/table16.xml><?xml version="1.0" encoding="utf-8"?>
<table xmlns="http://schemas.openxmlformats.org/spreadsheetml/2006/main" id="16" name="MSPResources" displayName="MSPResources" ref="A1:G51" headerRowCount="1">
  <autoFilter ref="A1:G51"/>
  <tableColumns count="7">
    <tableColumn id="1" name="Name">
      <calculatedColumnFormula>IF(IFERROR(INDEX(res_Name,(ROW()-ROW(MSPResources[[#Headers],[Name]])))="",TRUE()),"",INDEX(res_Name,(ROW()-ROW(MSPResources[[#Headers],[Name]])))&amp;"")</calculatedColumnFormula>
    </tableColumn>
    <tableColumn id="2" name="Initials">
      <calculatedColumnFormula>IF(IFERROR(INDEX(res_Name,(ROW()-ROW(MSPResources[[#Headers],[Name]])))="",TRUE()),"",INDEX(res_Initials,(ROW()-ROW(MSPResources[[#Headers],[Name]])))&amp;"")</calculatedColumnFormula>
    </tableColumn>
    <tableColumn id="3" name="Group">
      <calculatedColumnFormula>IF(IFERROR(INDEX(res_Name,(ROW()-ROW(MSPResources[[#Headers],[Name]])))="",TRUE()),"",INDEX(res_Group,(ROW()-ROW(MSPResources[[#Headers],[Name]])))&amp;"")</calculatedColumnFormula>
    </tableColumn>
    <tableColumn id="4" name="Type">
      <calculatedColumnFormula>IF(IFERROR(INDEX(res_Name,(ROW()-ROW(MSPResources[[#Headers],[Name]])))="",TRUE()),"",INDEX(res_Type,(ROW()-ROW(MSPResources[[#Headers],[Name]])))&amp;"")</calculatedColumnFormula>
    </tableColumn>
    <tableColumn id="5" name="Max Units">
      <calculatedColumnFormula>IF(IFERROR(INDEX(res_Name,(ROW()-ROW(MSPResources[[#Headers],[Name]])))="",TRUE()),"",ROUND(INDEX(res_MaxUnits,(ROW()-ROW(MSPResources[[#Headers],[Name]])))*100,0)&amp;"%")</calculatedColumnFormula>
    </tableColumn>
    <tableColumn id="6" name="Standard Rate">
      <calculatedColumnFormula>IF(IFERROR(INDEX(res_Name,(ROW()-ROW(MSPResources[[#Headers],[Name]])))="",TRUE()),"",INDEX(res_Rate,(ROW()-ROW(MSPResources[[#Headers],[Name]])))&amp;"/h")</calculatedColumnFormula>
    </tableColumn>
    <tableColumn id="7" name="Email Address">
      <calculatedColumnFormula>IF(IFERROR(INDEX(res_Name,(ROW()-ROW(MSPResources[[#Headers],[Name]])))="",TRUE()),"",INDEX(res_Email,(ROW()-ROW(MSPResources[[#Headers],[Name]])))&amp;"")</calculatedColumnFormula>
    </tableColumn>
  </tableColumns>
  <tableStyleInfo name="TableStyleLight1" showRowStripes="0"/>
</table>
</file>

<file path=xl/tables/table17.xml><?xml version="1.0" encoding="utf-8"?>
<table xmlns="http://schemas.openxmlformats.org/spreadsheetml/2006/main" id="17" name="MSPTasks" displayName="MSPTasks" ref="A1:Z201" headerRowCount="1">
  <autoFilter ref="A1:Z201"/>
  <tableColumns count="26">
    <tableColumn id="1" name="ID">
      <calculatedColumnFormula>IF(IFERROR(INDEX(tsk_Name,(ROW()-ROW(MSPTasks[[#Headers],[ID]])))="",TRUE()),"",INDEX(tsk_ID,(ROW()-ROW(MSPTasks[[#Headers],[ID]]))))</calculatedColumnFormula>
    </tableColumn>
    <tableColumn id="2" name="Unique ID">
      <calculatedColumnFormula>IF(IFERROR(INDEX(tsk_Name,(ROW()-ROW(MSPTasks[[#Headers],[ID]])))="",TRUE()),"",INDEX(tsk_UID,(ROW()-ROW(MSPTasks[[#Headers],[ID]]))))</calculatedColumnFormula>
    </tableColumn>
    <tableColumn id="3" name="Name">
      <calculatedColumnFormula>IF(IFERROR(INDEX(tsk_Name,(ROW()-ROW(MSPTasks[[#Headers],[ID]])))="",TRUE()),"",INDEX(tsk_Name,(ROW()-ROW(MSPTasks[[#Headers],[ID]]))))</calculatedColumnFormula>
    </tableColumn>
    <tableColumn id="4" name="Outline Level">
      <calculatedColumnFormula>IF(IFERROR(INDEX(tsk_Name,(ROW()-ROW(MSPTasks[[#Headers],[ID]])))="",TRUE()),"",INDEX(tsk_Level,(ROW()-ROW(MSPTasks[[#Headers],[ID]]))))</calculatedColumnFormula>
    </tableColumn>
    <tableColumn id="5" name="Task Mode">
      <calculatedColumnFormula>IF(IFERROR(INDEX(tsk_Name,(ROW()-ROW(MSPTasks[[#Headers],[ID]])))="",TRUE()),"",IF(INDEX(tsk_Mode,(ROW()-ROW(MSPTasks[[#Headers],[ID]])))="Manual","Manually Scheduled","Auto Scheduled"))</calculatedColumnFormula>
    </tableColumn>
    <tableColumn id="6" name="Duration">
      <calculatedColumnFormula>IF(IFERROR(INDEX(tsk_Name,(ROW()-ROW(MSPTasks[[#Headers],[ID]])))="",TRUE()),"",IF(INDEX(tsk_IsSummary,(ROW()-ROW(MSPTasks[[#Headers],[ID]]))),"",N(INDEX(tsk_Duration,(ROW()-ROW(MSPTasks[[#Headers],[ID]]))))&amp;"d"))</calculatedColumnFormula>
    </tableColumn>
    <tableColumn id="7" name="Start">
      <calculatedColumnFormula>IF(IFERROR(INDEX(tsk_Name,(ROW()-ROW(MSPTasks[[#Headers],[ID]])))="",TRUE()),"",INDEX(tsk_FcStart,(ROW()-ROW(MSPTasks[[#Headers],[ID]]))))</calculatedColumnFormula>
    </tableColumn>
    <tableColumn id="8" name="Finish">
      <calculatedColumnFormula>IF(IFERROR(INDEX(tsk_Name,(ROW()-ROW(MSPTasks[[#Headers],[ID]])))="",TRUE()),"",INDEX(tsk_FcFinish,(ROW()-ROW(MSPTasks[[#Headers],[ID]]))))</calculatedColumnFormula>
    </tableColumn>
    <tableColumn id="9" name="Predecessors">
      <calculatedColumnFormula>IF(IFERROR(INDEX(tsk_Name,(ROW()-ROW(MSPTasks[[#Headers],[ID]])))="",TRUE()),"",IF(INDEX(tsk_IsSummary,(ROW()-ROW(MSPTasks[[#Headers],[ID]]))),"",INDEX(tsk_Predecessors,(ROW()-ROW(MSPTasks[[#Headers],[ID]])))))</calculatedColumnFormula>
    </tableColumn>
    <tableColumn id="10" name="Unique ID Predecessors">
      <calculatedColumnFormula>IF(IFERROR(INDEX(tsk_Name,(ROW()-ROW(MSPTasks[[#Headers],[ID]])))="",TRUE()),"",IF(INDEX(tsk_IsSummary,(ROW()-ROW(MSPTasks[[#Headers],[ID]]))),"",INDEX(tsk_UIDPredecessors,(ROW()-ROW(MSPTasks[[#Headers],[ID]])))))</calculatedColumnFormula>
    </tableColumn>
    <tableColumn id="11" name="Resource Names">
      <calculatedColumnFormula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calculatedColumnFormula>
    </tableColumn>
    <tableColumn id="12" name="% Complete">
      <calculatedColumnFormula>IF(IFERROR(INDEX(tsk_Name,(ROW()-ROW(MSPTasks[[#Headers],[ID]])))="",TRUE()),"",IF(INDEX(tsk_IsSummary,(ROW()-ROW(MSPTasks[[#Headers],[ID]]))),"",ROUND(INDEX(tsk_Progress,(ROW()-ROW(MSPTasks[[#Headers],[ID]])))*100,0)))</calculatedColumnFormula>
    </tableColumn>
    <tableColumn id="13" name="Actual Start">
      <calculatedColumnFormula>IF(IFERROR(INDEX(tsk_Name,(ROW()-ROW(MSPTasks[[#Headers],[ID]])))="",TRUE()),"",IF(N(INDEX(tsk_ActStart,(ROW()-ROW(MSPTasks[[#Headers],[ID]]))))=0,"",INDEX(tsk_ActStart,(ROW()-ROW(MSPTasks[[#Headers],[ID]])))))</calculatedColumnFormula>
    </tableColumn>
    <tableColumn id="14" name="Actual Finish">
      <calculatedColumnFormula>IF(IFERROR(INDEX(tsk_Name,(ROW()-ROW(MSPTasks[[#Headers],[ID]])))="",TRUE()),"",IF(N(INDEX(tsk_ActFinish,(ROW()-ROW(MSPTasks[[#Headers],[ID]]))))=0,"",INDEX(tsk_ActFinish,(ROW()-ROW(MSPTasks[[#Headers],[ID]])))))</calculatedColumnFormula>
    </tableColumn>
    <tableColumn id="15" name="Baseline Start">
      <calculatedColumnFormula>IF(IFERROR(INDEX(tsk_Name,(ROW()-ROW(MSPTasks[[#Headers],[ID]])))="",TRUE()),"",INDEX(tsk_PlanStart,(ROW()-ROW(MSPTasks[[#Headers],[ID]]))))</calculatedColumnFormula>
    </tableColumn>
    <tableColumn id="16" name="Baseline Finish">
      <calculatedColumnFormula>IF(IFERROR(INDEX(tsk_Name,(ROW()-ROW(MSPTasks[[#Headers],[ID]])))="",TRUE()),"",INDEX(tsk_PlanFinish,(ROW()-ROW(MSPTasks[[#Headers],[ID]]))))</calculatedColumnFormula>
    </tableColumn>
    <tableColumn id="17" name="Baseline Duration">
      <calculatedColumnFormula>IF(IFERROR(INDEX(tsk_Name,(ROW()-ROW(MSPTasks[[#Headers],[ID]])))="",TRUE()),"",IF(INDEX(tsk_BaseDuration,(ROW()-ROW(MSPTasks[[#Headers],[ID]])))="","",N(INDEX(tsk_BaseDuration,(ROW()-ROW(MSPTasks[[#Headers],[ID]]))))&amp;"d"))</calculatedColumnFormula>
    </tableColumn>
    <tableColumn id="18" name="Baseline Work">
      <calculatedColumnFormula>IF(IFERROR(INDEX(tsk_Name,(ROW()-ROW(MSPTasks[[#Headers],[ID]])))="",TRUE()),"",IF(INDEX(tsk_BaseWork,(ROW()-ROW(MSPTasks[[#Headers],[ID]])))="","",N(INDEX(tsk_BaseWork,(ROW()-ROW(MSPTasks[[#Headers],[ID]]))))&amp;"h"))</calculatedColumnFormula>
    </tableColumn>
    <tableColumn id="19" name="Baseline Cost">
      <calculatedColumnFormula>IF(IFERROR(INDEX(tsk_Name,(ROW()-ROW(MSPTasks[[#Headers],[ID]])))="",TRUE()),"",IF(INDEX(tsk_BaseCost,(ROW()-ROW(MSPTasks[[#Headers],[ID]])))="","",N(INDEX(tsk_BaseCost,(ROW()-ROW(MSPTasks[[#Headers],[ID]]))))))</calculatedColumnFormula>
    </tableColumn>
    <tableColumn id="20" name="Actual Cost">
      <calculatedColumnFormula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calculatedColumnFormula>
    </tableColumn>
    <tableColumn id="21" name="Constraint Type">
      <calculatedColumnFormula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calculatedColumnFormula>
    </tableColumn>
    <tableColumn id="22" name="Constraint Date">
      <calculatedColumnFormula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calculatedColumnFormula>
    </tableColumn>
    <tableColumn id="23" name="Deadline">
      <calculatedColumnFormula>IF(IFERROR(INDEX(tsk_Name,(ROW()-ROW(MSPTasks[[#Headers],[ID]])))="",TRUE()),"",IF(N(INDEX(tsk_Deadline,(ROW()-ROW(MSPTasks[[#Headers],[ID]]))))=0,"",INDEX(tsk_Deadline,(ROW()-ROW(MSPTasks[[#Headers],[ID]])))))</calculatedColumnFormula>
    </tableColumn>
    <tableColumn id="24" name="Text1">
      <calculatedColumnFormula>IF(IFERROR(INDEX(tsk_Name,(ROW()-ROW(MSPTasks[[#Headers],[ID]])))="",TRUE()),"",IF(INDEX(tsk_IsSummary,(ROW()-ROW(MSPTasks[[#Headers],[ID]]))),"",INDEX(tsk_Sprint,(ROW()-ROW(MSPTasks[[#Headers],[ID]])))&amp;""))</calculatedColumnFormula>
    </tableColumn>
    <tableColumn id="25" name="Number1">
      <calculatedColumnFormula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calculatedColumnFormula>
    </tableColumn>
    <tableColumn id="26" name="Notes">
      <calculatedColumnFormula>IF(IFERROR(INDEX(tsk_Name,(ROW()-ROW(MSPTasks[[#Headers],[ID]])))="",TRUE()),"",INDEX(tsk_Notes,(ROW()-ROW(MSPTasks[[#Headers],[ID]])))&amp;"")</calculatedColumnFormula>
    </tableColumn>
  </tableColumns>
  <tableStyleInfo name="TableStyleLight1" showRowStripes="0"/>
</table>
</file>

<file path=xl/tables/table18.xml><?xml version="1.0" encoding="utf-8"?>
<table xmlns="http://schemas.openxmlformats.org/spreadsheetml/2006/main" id="18" name="NextMilestones" displayName="NextMilestones" ref="B27:C32" headerRowCount="1">
  <tableColumns count="2">
    <tableColumn id="1" name="Next milestones (forecast)">
      <calculatedColumnFormula>IFERROR(INDEX(tsk_Name,MATCH(SMALL(tsk_MilestoneKey,(ROW()-ROW(NextMilestones[[#Headers],[Next milestones (forecast)]]))),tsk_MilestoneKey,0)),"")</calculatedColumnFormula>
    </tableColumn>
    <tableColumn id="2" name="Forecast date">
      <calculatedColumnFormula>IFERROR(INDEX(tsk_FcFinish,MATCH(SMALL(tsk_MilestoneKey,(ROW()-ROW(NextMilestones[[#Headers],[Next milestones (forecast)]]))),tsk_MilestoneKey,0)),"")</calculatedColumnFormula>
    </tableColumn>
  </tableColumns>
  <tableStyleInfo name="TableStyleLight1" showRowStripes="0"/>
</table>
</file>

<file path=xl/tables/table19.xml><?xml version="1.0" encoding="utf-8"?>
<table xmlns="http://schemas.openxmlformats.org/spreadsheetml/2006/main" id="19" name="OverallStatus" displayName="OverallStatus" ref="B4:H5" headerRowCount="1">
  <tableColumns count="7">
    <tableColumn id="1" name="Area"/>
    <tableColumn id="2" name="Measure"/>
    <tableColumn id="3" name="Value"/>
    <tableColumn id="4" name="Calculated"/>
    <tableColumn id="5" name="PM RAG"/>
    <tableColumn id="6" name="RAG">
      <calculatedColumnFormula>IF(OverallStatus[[#This Row],[PM RAG]]&lt;&gt;"",OverallStatus[[#This Row],[PM RAG]],OverallStatus[[#This Row],[Calculated]])</calculatedColumnFormula>
    </tableColumn>
    <tableColumn id="7" name="Comment"/>
  </tableColumns>
  <tableStyleInfo name="TableStyleLight1" showRowStripes="0"/>
</table>
</file>

<file path=xl/tables/table20.xml><?xml version="1.0" encoding="utf-8"?>
<table xmlns="http://schemas.openxmlformats.org/spreadsheetml/2006/main" id="20" name="PhaseSummary" displayName="PhaseSummary" ref="B5:P15" headerRowCount="1">
  <tableColumns count="15">
    <tableColumn id="1" name="_Task">
      <calculatedColumnFormula>IFERROR(MATCH(SMALL(tsk_PhaseKey,ROW()-ROW(PhaseSummary[[#Headers],[_Task]])),tsk_PhaseKey,0),"")</calculatedColumnFormula>
    </tableColumn>
    <tableColumn id="2" name="WBS">
      <calculatedColumnFormula>IF(PhaseSummary[[#This Row],[_Task]]="","",INDEX(tsk_WBS,PhaseSummary[[#This Row],[_Task]])&amp;"")</calculatedColumnFormula>
    </tableColumn>
    <tableColumn id="3" name="Phase">
      <calculatedColumnFormula>IF(PhaseSummary[[#This Row],[_Task]]="","",INDEX(tsk_Name,PhaseSummary[[#This Row],[_Task]])&amp;"")</calculatedColumnFormula>
    </tableColumn>
    <tableColumn id="4" name="Planned Finish">
      <calculatedColumnFormula>IF(PhaseSummary[[#This Row],[_Task]]="","",IF(N(INDEX(tsk_PlanFinish,PhaseSummary[[#This Row],[_Task]]))=0,"",INDEX(tsk_PlanFinish,PhaseSummary[[#This Row],[_Task]])))</calculatedColumnFormula>
    </tableColumn>
    <tableColumn id="5" name="Forecast Finish">
      <calculatedColumnFormula>IF(PhaseSummary[[#This Row],[_Task]]="","",IF(N(INDEX(tsk_FcFinish,PhaseSummary[[#This Row],[_Task]]))=0,"",INDEX(tsk_FcFinish,PhaseSummary[[#This Row],[_Task]])))</calculatedColumnFormula>
    </tableColumn>
    <tableColumn id="6" name="Finish Var">
      <calculatedColumnFormula>IF(PhaseSummary[[#This Row],[_Task]]="","",INDEX(tsk_Variance,PhaseSummary[[#This Row],[_Task]]))</calculatedColumnFormula>
    </tableColumn>
    <tableColumn id="7" name="Progress">
      <calculatedColumnFormula>IF(PhaseSummary[[#This Row],[_Task]]="","",INDEX(tsk_Progress,PhaseSummary[[#This Row],[_Task]]))</calculatedColumnFormula>
    </tableColumn>
    <tableColumn id="8" name="Budget">
      <calculatedColumnFormula>IF(PhaseSummary[[#This Row],[_Task]]="","",INDEX(tsk_Budget,PhaseSummary[[#This Row],[_Task]]))</calculatedColumnFormula>
    </tableColumn>
    <tableColumn id="9" name="PV">
      <calculatedColumnFormula>IF(PhaseSummary[[#This Row],[_Task]]="","",INDEX(tsk_PV,PhaseSummary[[#This Row],[_Task]]))</calculatedColumnFormula>
    </tableColumn>
    <tableColumn id="10" name="EV">
      <calculatedColumnFormula>IF(PhaseSummary[[#This Row],[_Task]]="","",INDEX(tsk_EV,PhaseSummary[[#This Row],[_Task]]))</calculatedColumnFormula>
    </tableColumn>
    <tableColumn id="11" name="AC">
      <calculatedColumnFormula>IF(PhaseSummary[[#This Row],[_Task]]="","",INDEX(tsk_AC,PhaseSummary[[#This Row],[_Task]]))</calculatedColumnFormula>
    </tableColumn>
    <tableColumn id="12" name="SPI">
      <calculatedColumnFormula>IF(PhaseSummary[[#This Row],[_Task]]="","",IF(N(PhaseSummary[[#This Row],[PV]])&gt;0,PhaseSummary[[#This Row],[EV]]/PhaseSummary[[#This Row],[PV]],""))</calculatedColumnFormula>
    </tableColumn>
    <tableColumn id="13" name="CPI">
      <calculatedColumnFormula>IF(PhaseSummary[[#This Row],[_Task]]="","",IF(N(PhaseSummary[[#This Row],[AC]])&gt;0,PhaseSummary[[#This Row],[EV]]/PhaseSummary[[#This Row],[AC]],""))</calculatedColumnFormula>
    </tableColumn>
    <tableColumn id="14" name="Open Critical">
      <calculatedColumnFormula>IF(PhaseSummary[[#This Row],[_Task]]="","",COUNTIFS(tsk_Phase,PhaseSummary[[#This Row],[WBS]],tsk_Critical,"Yes",tsk_IsLeaf,1))</calculatedColumnFormula>
    </tableColumn>
    <tableColumn id="15" name="RAG">
      <calculatedColumnFormula>IF(PhaseSummary[[#This Row],[_Task]]="","",CHOOSE(MAX(IF(N(PhaseSummary[[#This Row],[Finish Var]])&gt;=RAGRedSlipDays,2,IF(N(PhaseSummary[[#This Row],[Finish Var]])&gt;=RAGAmberSlipDays,1,0)),IF(ISNUMBER(PhaseSummary[[#This Row],[SPI]]),IF(PhaseSummary[[#This Row],[SPI]]&lt;RAGRedIndex,2,IF(PhaseSummary[[#This Row],[SPI]]&lt;RAGAmberIndex,1,0)),0),IF(ISNUMBER(PhaseSummary[[#This Row],[CPI]]),IF(PhaseSummary[[#This Row],[CPI]]&lt;RAGRedIndex,2,IF(PhaseSummary[[#This Row],[CPI]]&lt;RAGAmberIndex,1,0)),0))+1,"Green","Amber","Red"))</calculatedColumnFormula>
    </tableColumn>
  </tableColumns>
  <tableStyleInfo name="TableStyleLight1" showRowStripes="0"/>
</table>
</file>

<file path=xl/tables/table21.xml><?xml version="1.0" encoding="utf-8"?>
<table xmlns="http://schemas.openxmlformats.org/spreadsheetml/2006/main" id="21" name="ResourceSummary" displayName="ResourceSummary" ref="B5:N30" headerRowCount="1">
  <tableColumns count="13">
    <tableColumn id="1" name="Resource">
      <calculatedColumnFormula>IFERROR(INDEX(res_Name,ROW()-ROW(ResourceSummary[[#Headers],[Resource]]))&amp;"","")</calculatedColumnFormula>
    </tableColumn>
    <tableColumn id="2" name="Max Units">
      <calculatedColumnFormula>IF(ResourceSummary[[#This Row],[Resource]]="","",INDEX(ResourceTable[Max Units],ROW()-ROW(ResourceSummary[[#Headers],[Resource]])))</calculatedColumnFormula>
    </tableColumn>
    <tableColumn id="3" name="Tasks">
      <calculatedColumnFormula>IF(ResourceSummary[[#This Row],[Resource]]="","",INDEX(ResourceTable[Tasks],ROW()-ROW(ResourceSummary[[#Headers],[Resource]])))</calculatedColumnFormula>
    </tableColumn>
    <tableColumn id="4" name="Work">
      <calculatedColumnFormula>IF(ResourceSummary[[#This Row],[Resource]]="","",INDEX(ResourceTable[Work],ROW()-ROW(ResourceSummary[[#Headers],[Resource]])))</calculatedColumnFormula>
    </tableColumn>
    <tableColumn id="5" name="Work Done">
      <calculatedColumnFormula>IF(ResourceSummary[[#This Row],[Resource]]="","",SUMIFS(tsk_LeafWorkDone,tsk_Resource,ResourceSummary[[#This Row],[Resource]]))</calculatedColumnFormula>
    </tableColumn>
    <tableColumn id="6" name="Remaining">
      <calculatedColumnFormula>IF(ResourceSummary[[#This Row],[Resource]]="","",ResourceSummary[[#This Row],[Work]]-ResourceSummary[[#This Row],[Work Done]])</calculatedColumnFormula>
    </tableColumn>
    <tableColumn id="7" name="Cost">
      <calculatedColumnFormula>IF(ResourceSummary[[#This Row],[Resource]]="","",INDEX(ResourceTable[Cost],ROW()-ROW(ResourceSummary[[#Headers],[Resource]])))</calculatedColumnFormula>
    </tableColumn>
    <tableColumn id="8" name="Actual Cost">
      <calculatedColumnFormula>IF(ResourceSummary[[#This Row],[Resource]]="","",INDEX(ResourceTable[Actual Cost],ROW()-ROW(ResourceSummary[[#Headers],[Resource]])))</calculatedColumnFormula>
    </tableColumn>
    <tableColumn id="9" name="Late Tasks">
      <calculatedColumnFormula>IF(ResourceSummary[[#This Row],[Resource]]="","",COUNTIFS(tsk_Resource,ResourceSummary[[#This Row],[Resource]],tsk_LateKey,"&gt;0"))</calculatedColumnFormula>
    </tableColumn>
    <tableColumn id="10" name="Open Critical">
      <calculatedColumnFormula>IF(ResourceSummary[[#This Row],[Resource]]="","",COUNTIFS(tsk_Resource,ResourceSummary[[#This Row],[Resource]],tsk_Critical,"Yes",tsk_IsLeaf,1))</calculatedColumnFormula>
    </tableColumn>
    <tableColumn id="11" name="Peak Week (h)">
      <calculatedColumnFormula>IF(ResourceSummary[[#This Row],[Resource]]="","",MAX(INDEX(rw_Load,ROW()-ROW(ResourceSummary[[#Headers],[Resource]]),0)))</calculatedColumnFormula>
    </tableColumn>
    <tableColumn id="12" name="Peak Use">
      <calculatedColumnFormula>IF(ResourceSummary[[#This Row],[Resource]]="","",MAX(INDEX(rw_Util,ROW()-ROW(ResourceSummary[[#Headers],[Resource]]),0)))</calculatedColumnFormula>
    </tableColumn>
    <tableColumn id="13" name="Weeks Over">
      <calculatedColumnFormula>IF(ResourceSummary[[#This Row],[Resource]]="","",COUNTIF(INDEX(rw_Util,ROW()-ROW(ResourceSummary[[#Headers],[Resource]]),0),"&gt;1"))</calculatedColumnFormula>
    </tableColumn>
  </tableColumns>
  <tableStyleInfo name="TableStyleLight1" showRowStripes="0"/>
</table>
</file>

<file path=xl/tables/table22.xml><?xml version="1.0" encoding="utf-8"?>
<table xmlns="http://schemas.openxmlformats.org/spreadsheetml/2006/main" id="22" name="ResourceTable" displayName="ResourceTable" ref="B5:M55" headerRowCount="1">
  <autoFilter ref="B5:M55"/>
  <tableColumns count="12">
    <tableColumn id="1" name="Resource Name"/>
    <tableColumn id="2" name="Initials"/>
    <tableColumn id="3" name="Group"/>
    <tableColumn id="4" name="Type"/>
    <tableColumn id="5" name="Max Units"/>
    <tableColumn id="6" name="Std Rate"/>
    <tableColumn id="7" name="Email"/>
    <tableColumn id="8" name="Tasks">
      <calculatedColumnFormula>IF(ResourceTable[[#This Row],[Resource Name]]="","",COUNTIFS(tsk_Resource,ResourceTable[[#This Row],[Resource Name]],tsk_IsLeaf,1))</calculatedColumnFormula>
    </tableColumn>
    <tableColumn id="9" name="Work">
      <calculatedColumnFormula>IF(ResourceTable[[#This Row],[Resource Name]]="","",SUMIFS(tsk_Work,tsk_Resource,ResourceTable[[#This Row],[Resource Name]],tsk_IsLeaf,1))</calculatedColumnFormula>
    </tableColumn>
    <tableColumn id="10" name="Cost">
      <calculatedColumnFormula>IF(ResourceTable[[#This Row],[Resource Name]]="","",SUMIFS(tsk_Cost,tsk_Resource,ResourceTable[[#This Row],[Resource Name]],tsk_IsLeaf,1))</calculatedColumnFormula>
    </tableColumn>
    <tableColumn id="11" name="Actual Cost">
      <calculatedColumnFormula>IF(ResourceTable[[#This Row],[Resource Name]]="","",SUMIFS(tsk_LeafAC,tsk_Resource,ResourceTable[[#This Row],[Resource Name]]))</calculatedColumnFormula>
    </tableColumn>
    <tableColumn id="12" name="Notes"/>
  </tableColumns>
  <tableStyleInfo name="TableStyleLight1" showRowStripes="0"/>
</table>
</file>

<file path=xl/tables/table23.xml><?xml version="1.0" encoding="utf-8"?>
<table xmlns="http://schemas.openxmlformats.org/spreadsheetml/2006/main" id="23" name="SprintBacklog" displayName="SprintBacklog" ref="B20:H40" headerRowCount="1">
  <tableColumns count="7">
    <tableColumn id="1" name="_Task">
      <calculatedColumnFormula>IFERROR(MATCH(SMALL(tsk_CurrentSprintKey,ROW()-ROW(SprintBacklog[[#Headers],[_Task]])),tsk_CurrentSprintKey,0),"")</calculatedColumnFormula>
    </tableColumn>
    <tableColumn id="2" name="Task">
      <calculatedColumnFormula>IF(SprintBacklog[[#This Row],[_Task]]="","",INDEX(tsk_Name,SprintBacklog[[#This Row],[_Task]])&amp;"")</calculatedColumnFormula>
    </tableColumn>
    <tableColumn id="3" name="Story Points">
      <calculatedColumnFormula>IF(SprintBacklog[[#This Row],[_Task]]="","",INDEX(tsk_StoryPoints,SprintBacklog[[#This Row],[_Task]]))</calculatedColumnFormula>
    </tableColumn>
    <tableColumn id="4" name="Resource">
      <calculatedColumnFormula>IF(SprintBacklog[[#This Row],[_Task]]="","",INDEX(tsk_Resource,SprintBacklog[[#This Row],[_Task]])&amp;"")</calculatedColumnFormula>
    </tableColumn>
    <tableColumn id="5" name="Forecast Finish">
      <calculatedColumnFormula>IF(SprintBacklog[[#This Row],[_Task]]="","",IF(N(INDEX(tsk_FcFinish,SprintBacklog[[#This Row],[_Task]]))=0,"",INDEX(tsk_FcFinish,SprintBacklog[[#This Row],[_Task]])))</calculatedColumnFormula>
    </tableColumn>
    <tableColumn id="6" name="Progress">
      <calculatedColumnFormula>IF(SprintBacklog[[#This Row],[_Task]]="","",INDEX(tsk_Progress,SprintBacklog[[#This Row],[_Task]]))</calculatedColumnFormula>
    </tableColumn>
    <tableColumn id="7" name="Status">
      <calculatedColumnFormula>IF(SprintBacklog[[#This Row],[_Task]]="","",INDEX(tsk_Status,SprintBacklog[[#This Row],[_Task]])&amp;"")</calculatedColumnFormula>
    </tableColumn>
  </tableColumns>
  <tableStyleInfo name="TableStyleLight1" showRowStripes="0"/>
</table>
</file>

<file path=xl/tables/table24.xml><?xml version="1.0" encoding="utf-8"?>
<table xmlns="http://schemas.openxmlformats.org/spreadsheetml/2006/main" id="24" name="SprintBurndown" displayName="SprintBurndown" ref="C43:H74" headerRowCount="1">
  <tableColumns count="6">
    <tableColumn id="1" name="Day">
      <calculatedColumnFormula>IF(OR(CurrentSprint="",ROW()-ROW(SprintBurndown[[#Headers],[Day]])&gt;SprintLength),"",CurrentSprintStart+ROW()-ROW(SprintBurndown[[#Headers],[Day]])-1)</calculatedColumnFormula>
    </tableColumn>
    <tableColumn id="2" name="Remaining">
      <calculatedColumnFormula>IF(OR(SprintBurndown[[#This Row],[Day]]="",SprintBurndown[[#This Row],[Day]]&gt;StatusDate),"",agl_CurCommitted-SUMIFS(tsk_LeafPoints,tsk_Sprint,CurrentSprint,tsk_DoneDate,"&lt;="&amp;SprintBurndown[[#This Row],[Day]]))</calculatedColumnFormula>
    </tableColumn>
    <tableColumn id="3" name="Ideal">
      <calculatedColumnFormula>IF(SprintBurndown[[#This Row],[Day]]="","",agl_CurCommitted*MAX(0,1-NETWORKDAYS.INTL(CurrentSprintStart,SprintBurndown[[#This Row],[Day]],WorkWeek,Holidays)/MAX(1,NETWORKDAYS.INTL(CurrentSprintStart,CurrentSprintEnd,WorkWeek,Holidays))))</calculatedColumnFormula>
    </tableColumn>
    <tableColumn id="4" name="_ChartDay">
      <calculatedColumnFormula>IF(SprintBurndown[[#This Row],[Day]]="","",TEXT(SprintBurndown[[#This Row],[Day]],"dd-mmm"))</calculatedColumnFormula>
    </tableColumn>
    <tableColumn id="5" name="_ChartRemaining">
      <calculatedColumnFormula>IF(SprintBurndown[[#This Row],[Remaining]]="",NA(),SprintBurndown[[#This Row],[Remaining]])</calculatedColumnFormula>
    </tableColumn>
    <tableColumn id="6" name="_ChartIdeal">
      <calculatedColumnFormula>IF(SprintBurndown[[#This Row],[Ideal]]="",NA(),SprintBurndown[[#This Row],[Ideal]])</calculatedColumnFormula>
    </tableColumn>
  </tableColumns>
  <tableStyleInfo name="TableStyleLight1" showRowStripes="0"/>
</table>
</file>

<file path=xl/tables/table25.xml><?xml version="1.0" encoding="utf-8"?>
<table xmlns="http://schemas.openxmlformats.org/spreadsheetml/2006/main" id="25" name="SprintTable" displayName="SprintTable" ref="A5:S31" headerRowCount="1">
  <tableColumns count="19">
    <tableColumn id="1" name="No">
      <calculatedColumnFormula>ROW()-ROW(SprintTable[[#Headers],[No]])</calculatedColumnFormula>
    </tableColumn>
    <tableColumn id="2" name="Sprint">
      <calculatedColumnFormula>IF(SprintTable[[#This Row],[No]]&lt;=SprintCount,SprintPrefix&amp;SprintTable[[#This Row],[No]],"")</calculatedColumnFormula>
    </tableColumn>
    <tableColumn id="3" name="Start">
      <calculatedColumnFormula>Sprint1Start+(SprintTable[[#This Row],[No]]-1)*SprintLength</calculatedColumnFormula>
    </tableColumn>
    <tableColumn id="4" name="End">
      <calculatedColumnFormula>SprintTable[[#This Row],[Start]]+SprintLength-1</calculatedColumnFormula>
    </tableColumn>
    <tableColumn id="5" name="Working Days">
      <calculatedColumnFormula>NETWORKDAYS.INTL(SprintTable[[#This Row],[Start]],SprintTable[[#This Row],[End]],WorkWeek,Holidays)</calculatedColumnFormula>
    </tableColumn>
    <tableColumn id="6" name="Goal"/>
    <tableColumn id="7" name="Tasks Starting">
      <calculatedColumnFormula>IF(SprintTable[[#This Row],[Sprint]]="","",COUNTIF(tsk_Sprint,SprintTable[[#This Row],[Sprint]]))</calculatedColumnFormula>
    </tableColumn>
    <tableColumn id="8" name="Planned Work">
      <calculatedColumnFormula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calculatedColumnFormula>
    </tableColumn>
    <tableColumn id="9" name="Capacity">
      <calculatedColumnFormula>IF(SprintTable[[#This Row],[Sprint]]="","",SUMIFS(res_MaxUnits,res_Type,"Work")*HoursPerDay*SprintTable[[#This Row],[Working Days]])</calculatedColumnFormula>
    </tableColumn>
    <tableColumn id="10" name="Utilisation">
      <calculatedColumnFormula>IF(OR(SprintTable[[#This Row],[Sprint]]="",N(SprintTable[[#This Row],[Capacity]])=0),"",SprintTable[[#This Row],[Planned Work]]/SprintTable[[#This Row],[Capacity]])</calculatedColumnFormula>
    </tableColumn>
    <tableColumn id="11" name="Status">
      <calculatedColumnFormula>IF(SprintTable[[#This Row],[Sprint]]="","",IF(StatusDate&gt;SprintTable[[#This Row],[End]],"Closed",IF(StatusDate&gt;=SprintTable[[#This Row],[Start]],"Active","Future")))</calculatedColumnFormula>
    </tableColumn>
    <tableColumn id="12" name="Points Capacity"/>
    <tableColumn id="13" name="Committed Points">
      <calculatedColumnFormula>IF(SprintTable[[#This Row],[Sprint]]="","",SUMIFS(tsk_LeafPoints,tsk_Sprint,SprintTable[[#This Row],[Sprint]]))</calculatedColumnFormula>
    </tableColumn>
    <tableColumn id="14" name="Done Points">
      <calculatedColumnFormula>IF(OR(SprintTable[[#This Row],[Sprint]]="",SprintTable[[#This Row],[Status]]="Future"),"",SUMIFS(tsk_LeafPoints,tsk_DoneDate,"&gt;="&amp;SprintTable[[#This Row],[Start]],tsk_DoneDate,"&lt;="&amp;SprintTable[[#This Row],[End]]))</calculatedColumnFormula>
    </tableColumn>
    <tableColumn id="15" name="Velocity">
      <calculatedColumnFormula>IF(OR(SprintTable[[#This Row],[Sprint]]="",SprintTable[[#This Row],[Status]]&lt;&gt;"Closed"),"",AVERAGE(INDEX(SprintTable[Done Points],MAX(1,SprintTable[[#This Row],[No]]-2)):INDEX(SprintTable[Done Points],SprintTable[[#This Row],[No]])))</calculatedColumnFormula>
    </tableColumn>
    <tableColumn id="16" name="Remaining Points">
      <calculatedColumnFormula>IF(OR(SprintTable[[#This Row],[Sprint]]="",SprintTable[[#This Row],[Status]]="Future"),"",TotalPoints-SUMIFS(tsk_LeafPoints,tsk_DoneDate,"&lt;="&amp;MIN(SprintTable[[#This Row],[End]],StatusDate)))</calculatedColumnFormula>
    </tableColumn>
    <tableColumn id="17" name="Forecast Remaining">
      <calculatedColumnFormula>IF(SprintTable[[#This Row],[Sprint]]="","",TotalPoints-SUMIFS(tsk_LeafPoints,tsk_FcFinish,"&lt;="&amp;SprintTable[[#This Row],[End]]))</calculatedColumnFormula>
    </tableColumn>
    <tableColumn id="18" name="Ideal Remaining">
      <calculatedColumnFormula>IF(SprintTable[[#This Row],[Sprint]]="","",TotalPoints*MAX(0,1-SprintTable[[#This Row],[No]]/SprintCount))</calculatedColumnFormula>
    </tableColumn>
    <tableColumn id="19" name="_ChartRemaining">
      <calculatedColumnFormula>IF(SprintTable[[#This Row],[Remaining Points]]="",NA(),SprintTable[[#This Row],[Remaining Points]])</calculatedColumnFormula>
    </tableColumn>
  </tableColumns>
  <tableStyleInfo name="TableStyleLight1" showRowStripes="0"/>
</table>
</file>

<file path=xl/tables/table26.xml><?xml version="1.0" encoding="utf-8"?>
<table xmlns="http://schemas.openxmlformats.org/spreadsheetml/2006/main" id="26" name="StartingSoon" displayName="StartingSoon" ref="B54:J69" headerRowCount="1">
  <tableColumns count="9">
    <tableColumn id="1" name="_Task">
      <calculatedColumnFormula>IFERROR(MATCH(SMALL(tsk_StartSoonKey,ROW()-ROW(StartingSoon[[#Headers],[_Task]])),tsk_StartSoonKey,0),"")</calculatedColumnFormula>
    </tableColumn>
    <tableColumn id="2" name="WBS">
      <calculatedColumnFormula>IF(StartingSoon[[#This Row],[_Task]]="","",INDEX(tsk_WBS,StartingSoon[[#This Row],[_Task]])&amp;"")</calculatedColumnFormula>
    </tableColumn>
    <tableColumn id="3" name="Task">
      <calculatedColumnFormula>IF(StartingSoon[[#This Row],[_Task]]="","",INDEX(tsk_Name,StartingSoon[[#This Row],[_Task]])&amp;"")</calculatedColumnFormula>
    </tableColumn>
    <tableColumn id="4" name="Resource">
      <calculatedColumnFormula>IF(StartingSoon[[#This Row],[_Task]]="","",INDEX(tsk_Resource,StartingSoon[[#This Row],[_Task]])&amp;"")</calculatedColumnFormula>
    </tableColumn>
    <tableColumn id="5" name="Forecast Start">
      <calculatedColumnFormula>IF(StartingSoon[[#This Row],[_Task]]="","",IF(N(INDEX(tsk_FcStart,StartingSoon[[#This Row],[_Task]]))=0,"",INDEX(tsk_FcStart,StartingSoon[[#This Row],[_Task]])))</calculatedColumnFormula>
    </tableColumn>
    <tableColumn id="6" name="Forecast Finish">
      <calculatedColumnFormula>IF(StartingSoon[[#This Row],[_Task]]="","",IF(N(INDEX(tsk_FcFinish,StartingSoon[[#This Row],[_Task]]))=0,"",INDEX(tsk_FcFinish,StartingSoon[[#This Row],[_Task]])))</calculatedColumnFormula>
    </tableColumn>
    <tableColumn id="7" name="Duration">
      <calculatedColumnFormula>IF(StartingSoon[[#This Row],[_Task]]="","",INDEX(tsk_Duration,StartingSoon[[#This Row],[_Task]]))</calculatedColumnFormula>
    </tableColumn>
    <tableColumn id="8" name="Predecessors">
      <calculatedColumnFormula>IF(StartingSoon[[#This Row],[_Task]]="","",INDEX(tsk_Predecessors,StartingSoon[[#This Row],[_Task]])&amp;"")</calculatedColumnFormula>
    </tableColumn>
    <tableColumn id="9" name="Critical">
      <calculatedColumnFormula>IF(StartingSoon[[#This Row],[_Task]]="","",INDEX(tsk_Critical,StartingSoon[[#This Row],[_Task]])&amp;"")</calculatedColumnFormula>
    </tableColumn>
  </tableColumns>
  <tableStyleInfo name="TableStyleLight1" showRowStripes="0"/>
</table>
</file>

<file path=xl/tables/table27.xml><?xml version="1.0" encoding="utf-8"?>
<table xmlns="http://schemas.openxmlformats.org/spreadsheetml/2006/main" id="27" name="StatusNotes" displayName="StatusNotes" ref="B33:C39" headerRowCount="1">
  <tableColumns count="2">
    <tableColumn id="1" name="Section"/>
    <tableColumn id="2" name="Notes"/>
  </tableColumns>
  <tableStyleInfo name="TableStyleLight1" showRowStripes="0"/>
</table>
</file>

<file path=xl/tables/table28.xml><?xml version="1.0" encoding="utf-8"?>
<table xmlns="http://schemas.openxmlformats.org/spreadsheetml/2006/main" id="28" name="StatusRAG" displayName="StatusRAG" ref="B7:H13" headerRowCount="1">
  <tableColumns count="7">
    <tableColumn id="1" name="Area"/>
    <tableColumn id="2" name="Measure"/>
    <tableColumn id="3" name="Value"/>
    <tableColumn id="4" name="Calculated"/>
    <tableColumn id="5" name="PM RAG"/>
    <tableColumn id="6" name="RAG">
      <calculatedColumnFormula>IF(StatusRAG[[#This Row],[PM RAG]]&lt;&gt;"",StatusRAG[[#This Row],[PM RAG]],StatusRAG[[#This Row],[Calculated]])</calculatedColumnFormula>
    </tableColumn>
    <tableColumn id="7" name="Comment"/>
  </tableColumns>
  <tableStyleInfo name="TableStyleLight1" showRowStripes="0"/>
</table>
</file>

<file path=xl/tables/table29.xml><?xml version="1.0" encoding="utf-8"?>
<table xmlns="http://schemas.openxmlformats.org/spreadsheetml/2006/main" id="29" name="StatusSummary" displayName="StatusSummary" ref="E4:F9" headerRowCount="1">
  <tableColumns count="2">
    <tableColumn id="1" name="Status"/>
    <tableColumn id="2" name="Count">
      <calculatedColumnFormula>COUNTIFS(tsk_Status,StatusSummary[[#This Row],[Status]],tsk_IsLeaf,1)</calculatedColumnFormula>
    </tableColumn>
  </tableColumns>
  <tableStyleInfo name="TableStyleLight1" showRowStripes="0"/>
</table>
</file>

<file path=xl/tables/table30.xml><?xml version="1.0" encoding="utf-8"?>
<table xmlns="http://schemas.openxmlformats.org/spreadsheetml/2006/main" id="30" name="Tasks" displayName="Tasks" ref="A5:DR205" headerRowCount="1">
  <autoFilter ref="A5:DR205"/>
  <tableColumns count="122">
    <tableColumn id="1" name="ID">
      <calculatedColumnFormula>IF(Tasks[[#This Row],[Task Name]]="","",COUNTA(Tasks[[#Headers],[Task Name]]:Tasks[[#This Row],[Task Name]])-1)</calculatedColumnFormula>
    </tableColumn>
    <tableColumn id="2" name="UID"/>
    <tableColumn id="3" name="WBS">
      <calculatedColumnFormula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calculatedColumnFormula>
    </tableColumn>
    <tableColumn id="4" name="Level"/>
    <tableColumn id="5" name="Task Name"/>
    <tableColumn id="6" name="Mode"/>
    <tableColumn id="7" name="Duration"/>
    <tableColumn id="8" name="Pred1 UID"/>
    <tableColumn id="9" name="Pred1 Type"/>
    <tableColumn id="10" name="Pred1 Lag"/>
    <tableColumn id="11" name="Pred2 UID"/>
    <tableColumn id="12" name="Pred2 Type"/>
    <tableColumn id="13" name="Pred2 Lag"/>
    <tableColumn id="14" name="Start No Earlier Than"/>
    <tableColumn id="15" name="Deadline"/>
    <tableColumn id="16" name="Planned Start">
      <calculatedColumnFormula>IF(Tasks[[#This Row],[Task Name]]="","",IF(N(Tasks[[#This Row],[Baseline Start]])&gt;0,Tasks[[#This Row],[Baseline Start]],Tasks[[#This Row],[_CalcStart]]))</calculatedColumnFormula>
    </tableColumn>
    <tableColumn id="17" name="Planned Finish">
      <calculatedColumnFormula>IF(Tasks[[#This Row],[Task Name]]="","",IF(N(Tasks[[#This Row],[Baseline Finish]])&gt;0,Tasks[[#This Row],[Baseline Finish]],Tasks[[#This Row],[_CalcFinish]]))</calculatedColumnFormula>
    </tableColumn>
    <tableColumn id="18" name="Actual Start"/>
    <tableColumn id="19" name="Actual Finish"/>
    <tableColumn id="20" name="Forecast Start">
      <calculatedColumnFormula>IF(Tasks[[#This Row],[Task Name]]="","",IF(Tasks[[#This Row],[_IsSummary]],MIN(INDEX(Tasks[_LeafFcstStart],Tasks[[#This Row],[_Row]]+1):INDEX(Tasks[_LeafFcstStart],Tasks[[#This Row],[_Row]]+Tasks[[#This Row],[_Descendants]])),Tasks[[#This Row],[_LeafFcstStart]]))</calculatedColumnFormula>
    </tableColumn>
    <tableColumn id="21" name="Forecast Finish">
      <calculatedColumnFormula>IF(Tasks[[#This Row],[Task Name]]="","",IF(Tasks[[#This Row],[_IsSummary]],MAX(INDEX(Tasks[_LeafFcstFinish],Tasks[[#This Row],[_Row]]+1):INDEX(Tasks[_LeafFcstFinish],Tasks[[#This Row],[_Row]]+Tasks[[#This Row],[_Descendants]])),Tasks[[#This Row],[_LeafFcstFinish]]))</calculatedColumnFormula>
    </tableColumn>
    <tableColumn id="22" name="Start Var">
      <calculatedColumnFormula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calculatedColumnFormula>
    </tableColumn>
    <tableColumn id="23" name="Finish Var">
      <calculatedColumnFormula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calculatedColumnFormula>
    </tableColumn>
    <tableColumn id="24" name="Late Start">
      <calculatedColumnFormula>IF(Tasks[[#This Row],[Task Name]]="","",IF(Tasks[[#This Row],[_IsSummary]],MIN(INDEX(Tasks[_LeafLateStart],Tasks[[#This Row],[_Row]]+1):INDEX(Tasks[_LeafLateStart],Tasks[[#This Row],[_Row]]+Tasks[[#This Row],[_Descendants]])),Tasks[[#This Row],[_LeafLateStart]]))</calculatedColumnFormula>
    </tableColumn>
    <tableColumn id="25" name="Late Finish">
      <calculatedColumnFormula>IF(Tasks[[#This Row],[Task Name]]="","",IF(Tasks[[#This Row],[_IsSummary]],MAX(INDEX(Tasks[_LeafLateFinish],Tasks[[#This Row],[_Row]]+1):INDEX(Tasks[_LeafLateFinish],Tasks[[#This Row],[_Row]]+Tasks[[#This Row],[_Descendants]])),Tasks[[#This Row],[_LeafLateFinish]]))</calculatedColumnFormula>
    </tableColumn>
    <tableColumn id="26" name="Total Slack">
      <calculatedColumnFormula>IF(Tasks[[#This Row],[Task Name]]="","",IF(Tasks[[#This Row],[_IsSummary]],MIN(INDEX(Tasks[_LeafTotalSlack],Tasks[[#This Row],[_Row]]+1):INDEX(Tasks[_LeafTotalSlack],Tasks[[#This Row],[_Row]]+Tasks[[#This Row],[_Descendants]])),Tasks[[#This Row],[_LeafTotalSlack]]))</calculatedColumnFormula>
    </tableColumn>
    <tableColumn id="27" name="Free Slack">
      <calculatedColumnFormula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calculatedColumnFormula>
    </tableColumn>
    <tableColumn id="28" name="Critical">
      <calculatedColumnFormula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calculatedColumnFormula>
    </tableColumn>
    <tableColumn id="29" name="Deadline Check">
      <calculatedColumnFormula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calculatedColumnFormula>
    </tableColumn>
    <tableColumn id="30" name="Link Check">
      <calculatedColumnFormula>IF(Tasks[[#This Row],[Task Name]]="","",TRIM(IF(Tasks[[#This Row],[_Pred1Problem]]&lt;&gt;"","Pred 1: "&amp;Tasks[[#This Row],[_Pred1Problem]]&amp;". ","")&amp;IF(Tasks[[#This Row],[_Pred2Problem]]&lt;&gt;"","Pred 2: "&amp;Tasks[[#This Row],[_Pred2Problem]]&amp;".","")))</calculatedColumnFormula>
    </tableColumn>
    <tableColumn id="31" name="% Complete"/>
    <tableColumn id="32" name="Progress">
      <calculatedColumnFormula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calculatedColumnFormula>
    </tableColumn>
    <tableColumn id="33" name="Status">
      <calculatedColumnFormula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calculatedColumnFormula>
    </tableColumn>
    <tableColumn id="34" name="Resource"/>
    <tableColumn id="35" name="Units"/>
    <tableColumn id="36" name="Work">
      <calculatedColumnFormula>IF(Tasks[[#This Row],[Task Name]]="","",IF(Tasks[[#This Row],[_IsSummary]],SUM(INDEX(Tasks[_LeafWork],Tasks[[#This Row],[_Row]]+1):INDEX(Tasks[_LeafWork],Tasks[[#This Row],[_Row]]+Tasks[[#This Row],[_Descendants]])),Tasks[[#This Row],[_LeafWork]]))</calculatedColumnFormula>
    </tableColumn>
    <tableColumn id="37" name="Cost">
      <calculatedColumnFormula>IF(Tasks[[#This Row],[Task Name]]="","",IF(Tasks[[#This Row],[_IsSummary]],SUM(INDEX(Tasks[_LeafCost],Tasks[[#This Row],[_Row]]+1):INDEX(Tasks[_LeafCost],Tasks[[#This Row],[_Row]]+Tasks[[#This Row],[_Descendants]])),Tasks[[#This Row],[_LeafCost]]))</calculatedColumnFormula>
    </tableColumn>
    <tableColumn id="38" name="Actual Cost"/>
    <tableColumn id="39" name="Planned Sprint"/>
    <tableColumn id="40" name="Sprint">
      <calculatedColumnFormula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calculatedColumnFormula>
    </tableColumn>
    <tableColumn id="41" name="Story Points"/>
    <tableColumn id="42" name="Predecessors">
      <calculatedColumnFormula>IF(Tasks[[#This Row],[Task Name]]="","",Tasks[[#This Row],[_Pred1IDText]]&amp;IF(AND(Tasks[[#This Row],[_Pred1IDText]]&lt;&gt;"",Tasks[[#This Row],[_Pred2IDText]]&lt;&gt;""),",","")&amp;Tasks[[#This Row],[_Pred2IDText]])</calculatedColumnFormula>
    </tableColumn>
    <tableColumn id="43" name="Notes"/>
    <tableColumn id="44" name="BL Source Start">
      <calculatedColumnFormula>IF(Tasks[[#This Row],[Task Name]]="","",Tasks[[#This Row],[Forecast Start]])</calculatedColumnFormula>
    </tableColumn>
    <tableColumn id="45" name="BL Source Finish">
      <calculatedColumnFormula>IF(Tasks[[#This Row],[Task Name]]="","",Tasks[[#This Row],[Forecast Finish]])</calculatedColumnFormula>
    </tableColumn>
    <tableColumn id="46" name="BL Source Duration">
      <calculatedColumnFormula>IF(Tasks[[#This Row],[Task Name]]="","",IF(Tasks[[#This Row],[_IsSummary]],NETWORKDAYS.INTL(Tasks[[#This Row],[Forecast Start]],Tasks[[#This Row],[Forecast Finish]],WorkWeek,Holidays),N(Tasks[[#This Row],[Duration]])))</calculatedColumnFormula>
    </tableColumn>
    <tableColumn id="47" name="BL Source Work">
      <calculatedColumnFormula>IF(Tasks[[#This Row],[Task Name]]="","",Tasks[[#This Row],[Work]])</calculatedColumnFormula>
    </tableColumn>
    <tableColumn id="48" name="BL Source Cost">
      <calculatedColumnFormula>IF(Tasks[[#This Row],[Task Name]]="","",Tasks[[#This Row],[Cost]])</calculatedColumnFormula>
    </tableColumn>
    <tableColumn id="49" name="Baseline Start"/>
    <tableColumn id="50" name="Baseline Finish"/>
    <tableColumn id="51" name="Baseline Duration"/>
    <tableColumn id="52" name="Baseline Work"/>
    <tableColumn id="53" name="Baseline Cost"/>
    <tableColumn id="54" name="Duration Var">
      <calculatedColumnFormula>IF(OR(Tasks[[#This Row],[Task Name]]="",Tasks[[#This Row],[Baseline Duration]]=""),"",Tasks[[#This Row],[BL Source Duration]]-N(Tasks[[#This Row],[Baseline Duration]]))</calculatedColumnFormula>
    </tableColumn>
    <tableColumn id="55" name="Work Var">
      <calculatedColumnFormula>IF(OR(Tasks[[#This Row],[Task Name]]="",Tasks[[#This Row],[Baseline Work]]=""),"",Tasks[[#This Row],[Work]]-N(Tasks[[#This Row],[Baseline Work]]))</calculatedColumnFormula>
    </tableColumn>
    <tableColumn id="56" name="Cost Var">
      <calculatedColumnFormula>IF(OR(Tasks[[#This Row],[Task Name]]="",Tasks[[#This Row],[Baseline Cost]]=""),"",Tasks[[#This Row],[Cost]]-N(Tasks[[#This Row],[Baseline Cost]]))</calculatedColumnFormula>
    </tableColumn>
    <tableColumn id="57" name="Budget">
      <calculatedColumnFormula>IF(Tasks[[#This Row],[Task Name]]="","",IF(Tasks[[#This Row],[_IsSummary]],SUM(INDEX(Tasks[_LeafBudget],Tasks[[#This Row],[_Row]]+1):INDEX(Tasks[_LeafBudget],Tasks[[#This Row],[_Row]]+Tasks[[#This Row],[_Descendants]])),Tasks[[#This Row],[_LeafBudget]]))</calculatedColumnFormula>
    </tableColumn>
    <tableColumn id="58" name="PV">
      <calculatedColumnFormula>IF(Tasks[[#This Row],[Task Name]]="","",IF(Tasks[[#This Row],[_IsSummary]],SUM(INDEX(Tasks[_LeafPV],Tasks[[#This Row],[_Row]]+1):INDEX(Tasks[_LeafPV],Tasks[[#This Row],[_Row]]+Tasks[[#This Row],[_Descendants]])),Tasks[[#This Row],[_LeafPV]]))</calculatedColumnFormula>
    </tableColumn>
    <tableColumn id="59" name="EV">
      <calculatedColumnFormula>IF(Tasks[[#This Row],[Task Name]]="","",IF(Tasks[[#This Row],[_IsSummary]],SUM(INDEX(Tasks[_LeafEV],Tasks[[#This Row],[_Row]]+1):INDEX(Tasks[_LeafEV],Tasks[[#This Row],[_Row]]+Tasks[[#This Row],[_Descendants]])),Tasks[[#This Row],[_LeafEV]]))</calculatedColumnFormula>
    </tableColumn>
    <tableColumn id="60" name="AC">
      <calculatedColumnFormula>IF(Tasks[[#This Row],[Task Name]]="","",IF(Tasks[[#This Row],[_IsSummary]],SUM(INDEX(Tasks[_LeafAC],Tasks[[#This Row],[_Row]]+1):INDEX(Tasks[_LeafAC],Tasks[[#This Row],[_Row]]+Tasks[[#This Row],[_Descendants]])),Tasks[[#This Row],[_LeafAC]]))</calculatedColumnFormula>
    </tableColumn>
    <tableColumn id="61" name="_Level">
      <calculatedColumnFormula>IF(Tasks[[#This Row],[Task Name]]="","",MAX(1,N(Tasks[[#This Row],[Level]])))</calculatedColumnFormula>
    </tableColumn>
    <tableColumn id="62" name="_Row">
      <calculatedColumnFormula>ROW()-ROW(Tasks[[#Headers],[ID]])</calculatedColumnFormula>
    </tableColumn>
    <tableColumn id="63" name="_ParentRow">
      <calculatedColumnFormula>IF(OR(Tasks[[#This Row],[Task Name]]="",Tasks[[#This Row],[_Level]]&lt;=1),0,IFERROR(LOOKUP(2,1/(Tasks[[#Headers],[_Level]]:Tasks[[#This Row],[_Level]]=Tasks[[#This Row],[_Level]]-1),ROW(Tasks[[#Headers],[_Level]]:Tasks[[#This Row],[_Level]])),0))</calculatedColumnFormula>
    </tableColumn>
    <tableColumn id="64" name="_NextLevel">
      <calculatedColumnFormula>IFERROR(N(INDEX(Tasks[_Level],Tasks[[#This Row],[_Row]]+1)),0)</calculatedColumnFormula>
    </tableColumn>
    <tableColumn id="65" name="_IsSummary">
      <calculatedColumnFormula>AND(Tasks[[#This Row],[Task Name]]&lt;&gt;"",Tasks[[#This Row],[_NextLevel]]&gt;Tasks[[#This Row],[_Level]])</calculatedColumnFormula>
    </tableColumn>
    <tableColumn id="66" name="_Descendants">
      <calculatedColumnFormula>IF(Tasks[[#This Row],[_IsSummary]],COUNTIF(Tasks[WBS],Tasks[[#This Row],[WBS]]&amp;".*"),0)</calculatedColumnFormula>
    </tableColumn>
    <tableColumn id="67" name="_IsLeaf">
      <calculatedColumnFormula>IF(AND(Tasks[[#This Row],[Task Name]]&lt;&gt;"",NOT(Tasks[[#This Row],[_IsSummary]])),1,0)</calculatedColumnFormula>
    </tableColumn>
    <tableColumn id="68" name="_Pred1Pos">
      <calculatedColumnFormula>IF(N(Tasks[[#This Row],[Pred1 UID]])=0,0,IFERROR(MATCH(Tasks[[#This Row],[Pred1 UID]],Tasks[UID],0),-1))</calculatedColumnFormula>
    </tableColumn>
    <tableColumn id="69" name="_Pred2Pos">
      <calculatedColumnFormula>IF(N(Tasks[[#This Row],[Pred2 UID]])=0,0,IFERROR(MATCH(Tasks[[#This Row],[Pred2 UID]],Tasks[UID],0),-1))</calculatedColumnFormula>
    </tableColumn>
    <tableColumn id="70" name="_LeafCalcStart">
      <calculatedColumnFormula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calculatedColumnFormula>
    </tableColumn>
    <tableColumn id="71" name="_LeafCalcFinish">
      <calculatedColumnFormula>IF(NOT(Tasks[[#This Row],[_IsLeaf]]=1),"",IF(N(Tasks[[#This Row],[Duration]])&lt;=0,Tasks[[#This Row],[_LeafCalcStart]],WORKDAY.INTL(Tasks[[#This Row],[_LeafCalcStart]],Tasks[[#This Row],[Duration]]-1,WorkWeek,Holidays)))</calculatedColumnFormula>
    </tableColumn>
    <tableColumn id="72" name="_LeafFcstStart">
      <calculatedColumnFormula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calculatedColumnFormula>
    </tableColumn>
    <tableColumn id="73" name="_LeafFcstFinish">
      <calculatedColumnFormula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calculatedColumnFormula>
    </tableColumn>
    <tableColumn id="74" name="_LeafProgress">
      <calculatedColumnFormula>IF(NOT(Tasks[[#This Row],[_IsLeaf]]=1),0,IF(N(Tasks[[#This Row],[Actual Finish]])&gt;0,1,MIN(1,N(Tasks[[#This Row],[% Complete]]))))</calculatedColumnFormula>
    </tableColumn>
    <tableColumn id="75" name="_LeafWork">
      <calculatedColumnFormula>IF(OR(NOT(Tasks[[#This Row],[_IsLeaf]]=1),Tasks[[#This Row],[Resource]]=""),0,N(Tasks[[#This Row],[Duration]])*HoursPerDay*IF(Tasks[[#This Row],[Units]]="",DefaultUnits,Tasks[[#This Row],[Units]]))</calculatedColumnFormula>
    </tableColumn>
    <tableColumn id="76" name="_LeafCost">
      <calculatedColumnFormula>IF(Tasks[[#This Row],[_LeafWork]]=0,0,Tasks[[#This Row],[_LeafWork]]*IFERROR(INDEX(res_Rate,MATCH(Tasks[[#This Row],[Resource]],res_Name,0)),0))</calculatedColumnFormula>
    </tableColumn>
    <tableColumn id="77" name="_Pred1FinishKey">
      <calculatedColumnFormula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calculatedColumnFormula>
    </tableColumn>
    <tableColumn id="78" name="_Pred2FinishKey">
      <calculatedColumnFormula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calculatedColumnFormula>
    </tableColumn>
    <tableColumn id="79" name="_Pred1SlackKey">
      <calculatedColumnFormula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calculatedColumnFormula>
    </tableColumn>
    <tableColumn id="80" name="_Pred2SlackKey">
      <calculatedColumnFormula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calculatedColumnFormula>
    </tableColumn>
    <tableColumn id="81" name="_LastSuccessorRow">
      <calculatedColumnFormula>IF(NOT(Tasks[[#This Row],[_IsLeaf]]=1),0,MAX(_xlfn.MAXIFS(Tasks[_Row],Tasks[Pred1 UID],Tasks[[#This Row],[UID]]),_xlfn.MAXIFS(Tasks[_Row],Tasks[Pred2 UID],Tasks[[#This Row],[UID]])))</calculatedColumnFormula>
    </tableColumn>
    <tableColumn id="82" name="_SuccessorFinishLimit">
      <calculatedColumnFormula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calculatedColumnFormula>
    </tableColumn>
    <tableColumn id="83" name="_LeafLateFinish">
      <calculatedColumnFormula>IF(NOT(Tasks[[#This Row],[_IsLeaf]]=1),"",MIN(ProjectFinish,IF(N(Tasks[[#This Row],[Deadline]])&gt;0,Tasks[[#This Row],[Deadline]],2958465),Tasks[[#This Row],[_SuccessorFinishLimit]]))</calculatedColumnFormula>
    </tableColumn>
    <tableColumn id="84" name="_LeafLateStart">
      <calculatedColumnFormula>IF(NOT(Tasks[[#This Row],[_IsLeaf]]=1),"",IF(N(Tasks[[#This Row],[Duration]])&lt;=0,Tasks[[#This Row],[_LeafLateFinish]],WORKDAY.INTL(Tasks[[#This Row],[_LeafLateFinish]],-(Tasks[[#This Row],[Duration]]-1),WorkWeek,Holidays)))</calculatedColumnFormula>
    </tableColumn>
    <tableColumn id="85" name="_LeafTotalSlack">
      <calculatedColumnFormula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calculatedColumnFormula>
    </tableColumn>
    <tableColumn id="86" name="_LeafCritical">
      <calculatedColumnFormula>AND(Tasks[[#This Row],[_IsLeaf]]=1,Tasks[[#This Row],[_LeafProgress]]&lt;1,N(Tasks[[#This Row],[_LeafTotalSlack]])&lt;=CriticalSlackDays)</calculatedColumnFormula>
    </tableColumn>
    <tableColumn id="87" name="_CalcStart">
      <calculatedColumnFormula>IF(Tasks[[#This Row],[Task Name]]="","",IF(Tasks[[#This Row],[_IsSummary]],MIN(INDEX(Tasks[_LeafCalcStart],Tasks[[#This Row],[_Row]]+1):INDEX(Tasks[_LeafCalcStart],Tasks[[#This Row],[_Row]]+Tasks[[#This Row],[_Descendants]])),Tasks[[#This Row],[_LeafCalcStart]]))</calculatedColumnFormula>
    </tableColumn>
    <tableColumn id="88" name="_CalcFinish">
      <calculatedColumnFormula>IF(Tasks[[#This Row],[Task Name]]="","",IF(Tasks[[#This Row],[_IsSummary]],MAX(INDEX(Tasks[_LeafCalcFinish],Tasks[[#This Row],[_Row]]+1):INDEX(Tasks[_LeafCalcFinish],Tasks[[#This Row],[_Row]]+Tasks[[#This Row],[_Descendants]])),Tasks[[#This Row],[_LeafCalcFinish]]))</calculatedColumnFormula>
    </tableColumn>
    <tableColumn id="89" name="_Pred1Problem">
      <calculatedColumnFormula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calculatedColumnFormula>
    </tableColumn>
    <tableColumn id="90" name="_Pred2Problem">
      <calculatedColumnFormula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calculatedColumnFormula>
    </tableColumn>
    <tableColumn id="91" name="_Pred1PlanDriver">
      <calculatedColumnFormula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calculatedColumnFormula>
    </tableColumn>
    <tableColumn id="92" name="_Pred2PlanDriver">
      <calculatedColumnFormula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calculatedColumnFormula>
    </tableColumn>
    <tableColumn id="93" name="_Pred1FcstDriver">
      <calculatedColumnFormula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calculatedColumnFormula>
    </tableColumn>
    <tableColumn id="94" name="_Pred2FcstDriver">
      <calculatedColumnFormula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calculatedColumnFormula>
    </tableColumn>
    <tableColumn id="95" name="_StartWorkday">
      <calculatedColumnFormula>IF(AND(Tasks[[#This Row],[_IsLeaf]]=1,Tasks[[#This Row],[_LeafWork]]&gt;0),NETWORKDAYS.INTL(ProjectStart,Tasks[[#This Row],[_LeafFcstStart]],WorkWeek,Holidays),0)</calculatedColumnFormula>
    </tableColumn>
    <tableColumn id="96" name="_FinishWorkday">
      <calculatedColumnFormula>IF(AND(Tasks[[#This Row],[_IsLeaf]]=1,Tasks[[#This Row],[_LeafWork]]&gt;0),MAX(Tasks[[#This Row],[_StartWorkday]],NETWORKDAYS.INTL(ProjectStart,Tasks[[#This Row],[_LeafFcstFinish]],WorkWeek,Holidays)),0)</calculatedColumnFormula>
    </tableColumn>
    <tableColumn id="97" name="_WorkPerWorkday">
      <calculatedColumnFormula>IF(AND(Tasks[[#This Row],[_IsLeaf]]=1,Tasks[[#This Row],[_LeafWork]]&gt;0),Tasks[[#This Row],[_LeafWork]]/(Tasks[[#This Row],[_FinishWorkday]]-Tasks[[#This Row],[_StartWorkday]]+1),0)</calculatedColumnFormula>
    </tableColumn>
    <tableColumn id="98" name="_WorkBeforeStart">
      <calculatedColumnFormula>Tasks[[#This Row],[_WorkPerWorkday]]*(Tasks[[#This Row],[_StartWorkday]]-1)</calculatedColumnFormula>
    </tableColumn>
    <tableColumn id="99" name="_WeightDur">
      <calculatedColumnFormula>IF(Tasks[[#This Row],[_IsLeaf]]=1,MAX(N(Tasks[[#This Row],[Duration]]),0.1),0)</calculatedColumnFormula>
    </tableColumn>
    <tableColumn id="100" name="_WeightDone">
      <calculatedColumnFormula>Tasks[[#This Row],[_WeightDur]]*Tasks[[#This Row],[_LeafProgress]]</calculatedColumnFormula>
    </tableColumn>
    <tableColumn id="101" name="_Pred1IDText">
      <calculatedColumnFormula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calculatedColumnFormula>
    </tableColumn>
    <tableColumn id="102" name="_Pred2IDText">
      <calculatedColumnFormula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calculatedColumnFormula>
    </tableColumn>
    <tableColumn id="103" name="_Pred1UIDText">
      <calculatedColumnFormula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calculatedColumnFormula>
    </tableColumn>
    <tableColumn id="104" name="_Pred2UIDText">
      <calculatedColumnFormula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calculatedColumnFormula>
    </tableColumn>
    <tableColumn id="105" name="_UIDPredecessors">
      <calculatedColumnFormula>IF(Tasks[[#This Row],[Task Name]]="","",Tasks[[#This Row],[_Pred1UIDText]]&amp;IF(AND(Tasks[[#This Row],[_Pred1UIDText]]&lt;&gt;"",Tasks[[#This Row],[_Pred2UIDText]]&lt;&gt;""),",","")&amp;Tasks[[#This Row],[_Pred2UIDText]])</calculatedColumnFormula>
    </tableColumn>
    <tableColumn id="106" name="_MilestoneKey">
      <calculatedColumnFormula>IF(AND(Tasks[[#This Row],[_IsLeaf]]=1,N(Tasks[[#This Row],[Duration]])=0,Tasks[[#This Row],[_LeafProgress]]&lt;1),Tasks[[#This Row],[_LeafFcstFinish]]+Tasks[[#This Row],[_Row]]/100000,"")</calculatedColumnFormula>
    </tableColumn>
    <tableColumn id="107" name="_PlannedPct">
      <calculatedColumnFormula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calculatedColumnFormula>
    </tableColumn>
    <tableColumn id="108" name="_LeafBudget">
      <calculatedColumnFormula>IF(NOT(Tasks[[#This Row],[_IsLeaf]]=1),0,IF(Tasks[[#This Row],[Baseline Cost]]="",Tasks[[#This Row],[_LeafCost]],N(Tasks[[#This Row],[Baseline Cost]])))</calculatedColumnFormula>
    </tableColumn>
    <tableColumn id="109" name="_LeafPV">
      <calculatedColumnFormula>Tasks[[#This Row],[_LeafBudget]]*Tasks[[#This Row],[_PlannedPct]]</calculatedColumnFormula>
    </tableColumn>
    <tableColumn id="110" name="_LeafEV">
      <calculatedColumnFormula>Tasks[[#This Row],[_LeafBudget]]*Tasks[[#This Row],[_LeafProgress]]</calculatedColumnFormula>
    </tableColumn>
    <tableColumn id="111" name="_LeafAC">
      <calculatedColumnFormula>IF(NOT(Tasks[[#This Row],[_IsLeaf]]=1),0,IF(Tasks[[#This Row],[Actual Cost]]="",Tasks[[#This Row],[_LeafCost]]*Tasks[[#This Row],[_LeafProgress]],N(Tasks[[#This Row],[Actual Cost]])))</calculatedColumnFormula>
    </tableColumn>
    <tableColumn id="112" name="_Phase">
      <calculatedColumnFormula>IF(Tasks[[#This Row],[Task Name]]="","",LEFT(Tasks[[#This Row],[WBS]],FIND(".",Tasks[[#This Row],[WBS]]&amp;".")-1))</calculatedColumnFormula>
    </tableColumn>
    <tableColumn id="113" name="_PhaseKey">
      <calculatedColumnFormula>IF(AND(Tasks[[#This Row],[Task Name]]&lt;&gt;"",Tasks[[#This Row],[_Level]]=1),Tasks[[#This Row],[_Row]],"")</calculatedColumnFormula>
    </tableColumn>
    <tableColumn id="114" name="_MilestoneOrder">
      <calculatedColumnFormula>IF(AND(Tasks[[#This Row],[_IsLeaf]]=1,N(Tasks[[#This Row],[Duration]])=0),Tasks[[#This Row],[Planned Finish]]+Tasks[[#This Row],[_Row]]/100000,"")</calculatedColumnFormula>
    </tableColumn>
    <tableColumn id="115" name="_LateKey">
      <calculatedColumnFormula>IF(AND(Tasks[[#This Row],[_IsLeaf]]=1,Tasks[[#This Row],[_LeafProgress]]&lt;1,OR(N(Tasks[[#This Row],[Finish Var]])&gt;0,Tasks[[#This Row],[Status]]="Late Start")),MAX(0,Tasks[[#This Row],[Finish Var]])+1-Tasks[[#This Row],[_Row]]/1000000,"")</calculatedColumnFormula>
    </tableColumn>
    <tableColumn id="116" name="_StartSoonKey">
      <calculatedColumnFormula>IF(AND(Tasks[[#This Row],[_IsLeaf]]=1,N(Tasks[[#This Row],[Actual Start]])=0,Tasks[[#This Row],[_LeafFcstStart]]&gt;=StatusDate,Tasks[[#This Row],[_LeafFcstStart]]&lt;=LookaheadEnd),Tasks[[#This Row],[_LeafFcstStart]]+Tasks[[#This Row],[_Row]]/100000,"")</calculatedColumnFormula>
    </tableColumn>
    <tableColumn id="117" name="_DueSoonKey">
      <calculatedColumnFormula>IF(AND(Tasks[[#This Row],[_IsLeaf]]=1,Tasks[[#This Row],[_LeafProgress]]&lt;1,Tasks[[#This Row],[_LeafFcstFinish]]&gt;=StatusDate,Tasks[[#This Row],[_LeafFcstFinish]]&lt;=LookaheadEnd),Tasks[[#This Row],[_LeafFcstFinish]]+Tasks[[#This Row],[_Row]]/100000,"")</calculatedColumnFormula>
    </tableColumn>
    <tableColumn id="118" name="_CriticalKey">
      <calculatedColumnFormula>IF(Tasks[[#This Row],[_LeafCritical]],Tasks[[#This Row],[_LeafFcstStart]]+Tasks[[#This Row],[_Row]]/100000,"")</calculatedColumnFormula>
    </tableColumn>
    <tableColumn id="119" name="_LeafWorkDone">
      <calculatedColumnFormula>Tasks[[#This Row],[_LeafWork]]*Tasks[[#This Row],[_LeafProgress]]</calculatedColumnFormula>
    </tableColumn>
    <tableColumn id="120" name="_DoneDate">
      <calculatedColumnFormula>IF(AND(Tasks[[#This Row],[_IsLeaf]]=1,Tasks[[#This Row],[_LeafProgress]]&gt;=1),IF(N(Tasks[[#This Row],[Actual Finish]])&gt;0,Tasks[[#This Row],[Actual Finish]],Tasks[[#This Row],[_LeafFcstFinish]]),"")</calculatedColumnFormula>
    </tableColumn>
    <tableColumn id="121" name="_LeafPoints">
      <calculatedColumnFormula>IF(Tasks[[#This Row],[_IsLeaf]]=1,N(Tasks[[#This Row],[Story Points]]),0)</calculatedColumnFormula>
    </tableColumn>
    <tableColumn id="122" name="_CurrentSprintKey">
      <calculatedColumnFormula>IF(AND(Tasks[[#This Row],[_IsLeaf]]=1,CurrentSprint&lt;&gt;"",Tasks[[#This Row],[Sprint]]=CurrentSprint),Tasks[[#This Row],[_Row]],"")</calculatedColumnFormula>
    </tableColumn>
  </tableColumns>
  <tableStyleInfo name="TableStyleLight1" showRow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7.xml"/><Relationship Id="rId3" Type="http://schemas.openxmlformats.org/officeDocument/2006/relationships/table" Target="../tables/table18.xml"/><Relationship Id="rId4" Type="http://schemas.openxmlformats.org/officeDocument/2006/relationships/table" Target="../tables/table2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4.xml"/><Relationship Id="rId5" Type="http://schemas.openxmlformats.org/officeDocument/2006/relationships/table" Target="../tables/table19.xml"/><Relationship Id="rId6" Type="http://schemas.openxmlformats.org/officeDocument/2006/relationships/table" Target="../tables/table27.xml"/><Relationship Id="rId7" Type="http://schemas.openxmlformats.org/officeDocument/2006/relationships/table" Target="../tables/table2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8.xml"/><Relationship Id="rId6" Type="http://schemas.openxmlformats.org/officeDocument/2006/relationships/table" Target="../tables/table15.xml"/><Relationship Id="rId7" Type="http://schemas.openxmlformats.org/officeDocument/2006/relationships/table" Target="../tables/table20.xml"/><Relationship Id="rId8" Type="http://schemas.openxmlformats.org/officeDocument/2006/relationships/table" Target="../tables/table2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4" Type="http://schemas.openxmlformats.org/officeDocument/2006/relationships/table" Target="../tables/table2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4" Type="http://schemas.openxmlformats.org/officeDocument/2006/relationships/table" Target="../tables/table1.xml"/><Relationship Id="rId5" Type="http://schemas.openxmlformats.org/officeDocument/2006/relationships/table" Target="../tables/table23.xml"/><Relationship Id="rId6" Type="http://schemas.openxmlformats.org/officeDocument/2006/relationships/table" Target="../tables/table2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30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2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7.vml"/><Relationship Id="rId3" Type="http://schemas.openxmlformats.org/officeDocument/2006/relationships/table" Target="../tables/table2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8.vml"/><Relationship Id="rId3" Type="http://schemas.openxmlformats.org/officeDocument/2006/relationships/table" Target="../tables/table1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9.xml"/><Relationship Id="rId2" Type="http://schemas.openxmlformats.org/officeDocument/2006/relationships/table" Target="../tables/table10.xml"/><Relationship Id="rId3" Type="http://schemas.openxmlformats.org/officeDocument/2006/relationships/table" Target="../tables/table11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Relationship Id="rId6" Type="http://schemas.openxmlformats.org/officeDocument/2006/relationships/table" Target="../tables/table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10"/>
  </cols>
  <sheetData>
    <row r="1" customFormat="false" ht="22.05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  <c r="C4" s="3"/>
    </row>
    <row r="5" customFormat="false" ht="15" hidden="false" customHeight="false" outlineLevel="0" collapsed="false">
      <c r="B5" s="4" t="s">
        <v>2</v>
      </c>
      <c r="C5" s="5" t="s">
        <v>3</v>
      </c>
    </row>
    <row r="7" customFormat="false" ht="15" hidden="false" customHeight="false" outlineLevel="0" collapsed="false">
      <c r="B7" s="2" t="s">
        <v>4</v>
      </c>
      <c r="C7" s="3"/>
    </row>
    <row r="8" customFormat="false" ht="23.85" hidden="false" customHeight="false" outlineLevel="0" collapsed="false">
      <c r="B8" s="4" t="s">
        <v>5</v>
      </c>
      <c r="C8" s="5" t="s">
        <v>6</v>
      </c>
    </row>
    <row r="9" customFormat="false" ht="15" hidden="false" customHeight="false" outlineLevel="0" collapsed="false">
      <c r="B9" s="4" t="s">
        <v>7</v>
      </c>
      <c r="C9" s="5" t="s">
        <v>8</v>
      </c>
    </row>
    <row r="10" customFormat="false" ht="46.25" hidden="false" customHeight="false" outlineLevel="0" collapsed="false">
      <c r="B10" s="4" t="s">
        <v>9</v>
      </c>
      <c r="C10" s="5" t="s">
        <v>10</v>
      </c>
    </row>
    <row r="11" customFormat="false" ht="35.05" hidden="false" customHeight="false" outlineLevel="0" collapsed="false">
      <c r="B11" s="4" t="s">
        <v>11</v>
      </c>
      <c r="C11" s="5" t="s">
        <v>12</v>
      </c>
    </row>
    <row r="12" customFormat="false" ht="23.85" hidden="false" customHeight="false" outlineLevel="0" collapsed="false">
      <c r="B12" s="4" t="s">
        <v>13</v>
      </c>
      <c r="C12" s="5" t="s">
        <v>14</v>
      </c>
    </row>
    <row r="13" customFormat="false" ht="35.05" hidden="false" customHeight="false" outlineLevel="0" collapsed="false">
      <c r="B13" s="4" t="s">
        <v>15</v>
      </c>
      <c r="C13" s="5" t="s">
        <v>16</v>
      </c>
    </row>
    <row r="14" customFormat="false" ht="35.05" hidden="false" customHeight="false" outlineLevel="0" collapsed="false">
      <c r="B14" s="4" t="s">
        <v>17</v>
      </c>
      <c r="C14" s="5" t="s">
        <v>18</v>
      </c>
    </row>
    <row r="15" customFormat="false" ht="46.25" hidden="false" customHeight="false" outlineLevel="0" collapsed="false">
      <c r="B15" s="4" t="s">
        <v>19</v>
      </c>
      <c r="C15" s="5" t="s">
        <v>20</v>
      </c>
    </row>
    <row r="16" customFormat="false" ht="15" hidden="false" customHeight="false" outlineLevel="0" collapsed="false">
      <c r="B16" s="4" t="s">
        <v>21</v>
      </c>
      <c r="C16" s="5" t="s">
        <v>22</v>
      </c>
    </row>
    <row r="17" customFormat="false" ht="35.05" hidden="false" customHeight="false" outlineLevel="0" collapsed="false">
      <c r="B17" s="4" t="s">
        <v>23</v>
      </c>
      <c r="C17" s="5" t="s">
        <v>24</v>
      </c>
    </row>
    <row r="18" customFormat="false" ht="23.85" hidden="false" customHeight="false" outlineLevel="0" collapsed="false">
      <c r="B18" s="4" t="s">
        <v>25</v>
      </c>
      <c r="C18" s="5" t="s">
        <v>26</v>
      </c>
    </row>
    <row r="19" customFormat="false" ht="23.85" hidden="false" customHeight="false" outlineLevel="0" collapsed="false">
      <c r="B19" s="4" t="s">
        <v>27</v>
      </c>
      <c r="C19" s="5" t="s">
        <v>28</v>
      </c>
    </row>
    <row r="20" customFormat="false" ht="23.85" hidden="false" customHeight="false" outlineLevel="0" collapsed="false">
      <c r="B20" s="4" t="s">
        <v>29</v>
      </c>
      <c r="C20" s="5" t="s">
        <v>30</v>
      </c>
    </row>
    <row r="21" customFormat="false" ht="35.05" hidden="false" customHeight="false" outlineLevel="0" collapsed="false">
      <c r="B21" s="4" t="s">
        <v>31</v>
      </c>
      <c r="C21" s="5" t="s">
        <v>32</v>
      </c>
    </row>
    <row r="23" customFormat="false" ht="15" hidden="false" customHeight="false" outlineLevel="0" collapsed="false">
      <c r="B23" s="2" t="s">
        <v>33</v>
      </c>
      <c r="C23" s="3"/>
    </row>
    <row r="24" customFormat="false" ht="15" hidden="false" customHeight="false" outlineLevel="0" collapsed="false">
      <c r="B24" s="4" t="s">
        <v>34</v>
      </c>
      <c r="C24" s="6" t="s">
        <v>35</v>
      </c>
    </row>
    <row r="25" customFormat="false" ht="15" hidden="false" customHeight="false" outlineLevel="0" collapsed="false">
      <c r="B25" s="4" t="s">
        <v>36</v>
      </c>
      <c r="C25" s="7" t="s">
        <v>37</v>
      </c>
    </row>
    <row r="26" customFormat="false" ht="15" hidden="false" customHeight="false" outlineLevel="0" collapsed="false">
      <c r="B26" s="4" t="s">
        <v>38</v>
      </c>
      <c r="C26" s="5" t="s">
        <v>39</v>
      </c>
    </row>
    <row r="28" customFormat="false" ht="15" hidden="false" customHeight="false" outlineLevel="0" collapsed="false">
      <c r="B28" s="2" t="s">
        <v>40</v>
      </c>
      <c r="C28" s="3"/>
    </row>
    <row r="29" customFormat="false" ht="23.85" hidden="false" customHeight="false" outlineLevel="0" collapsed="false">
      <c r="B29" s="4" t="s">
        <v>41</v>
      </c>
      <c r="C29" s="5" t="s">
        <v>42</v>
      </c>
    </row>
    <row r="30" customFormat="false" ht="23.85" hidden="false" customHeight="false" outlineLevel="0" collapsed="false">
      <c r="B30" s="4" t="s">
        <v>43</v>
      </c>
      <c r="C30" s="5" t="s">
        <v>44</v>
      </c>
    </row>
    <row r="31" customFormat="false" ht="15" hidden="false" customHeight="false" outlineLevel="0" collapsed="false">
      <c r="B31" s="4" t="s">
        <v>45</v>
      </c>
      <c r="C31" s="5" t="s">
        <v>46</v>
      </c>
    </row>
    <row r="32" customFormat="false" ht="46.25" hidden="false" customHeight="false" outlineLevel="0" collapsed="false">
      <c r="B32" s="4" t="s">
        <v>47</v>
      </c>
      <c r="C32" s="5" t="s">
        <v>48</v>
      </c>
    </row>
    <row r="33" customFormat="false" ht="15" hidden="false" customHeight="false" outlineLevel="0" collapsed="false">
      <c r="B33" s="4" t="s">
        <v>49</v>
      </c>
      <c r="C33" s="5" t="s">
        <v>50</v>
      </c>
    </row>
    <row r="34" customFormat="false" ht="23.85" hidden="false" customHeight="false" outlineLevel="0" collapsed="false">
      <c r="B34" s="4" t="s">
        <v>51</v>
      </c>
      <c r="C34" s="5" t="s">
        <v>52</v>
      </c>
    </row>
    <row r="35" customFormat="false" ht="23.85" hidden="false" customHeight="false" outlineLevel="0" collapsed="false">
      <c r="B35" s="4" t="s">
        <v>53</v>
      </c>
      <c r="C35" s="5" t="s">
        <v>54</v>
      </c>
    </row>
    <row r="36" customFormat="false" ht="35.05" hidden="false" customHeight="false" outlineLevel="0" collapsed="false">
      <c r="B36" s="4" t="s">
        <v>55</v>
      </c>
      <c r="C36" s="5" t="s">
        <v>56</v>
      </c>
    </row>
    <row r="38" customFormat="false" ht="15" hidden="false" customHeight="false" outlineLevel="0" collapsed="false">
      <c r="B38" s="2" t="s">
        <v>57</v>
      </c>
      <c r="C38" s="3"/>
    </row>
    <row r="39" customFormat="false" ht="23.85" hidden="false" customHeight="false" outlineLevel="0" collapsed="false">
      <c r="B39" s="4" t="s">
        <v>58</v>
      </c>
      <c r="C39" s="5" t="s">
        <v>59</v>
      </c>
    </row>
    <row r="40" customFormat="false" ht="46.25" hidden="false" customHeight="false" outlineLevel="0" collapsed="false">
      <c r="B40" s="4" t="s">
        <v>60</v>
      </c>
      <c r="C40" s="5" t="s">
        <v>61</v>
      </c>
    </row>
    <row r="41" customFormat="false" ht="35.05" hidden="false" customHeight="false" outlineLevel="0" collapsed="false">
      <c r="B41" s="4" t="s">
        <v>62</v>
      </c>
      <c r="C41" s="5" t="s">
        <v>63</v>
      </c>
    </row>
    <row r="42" customFormat="false" ht="23.85" hidden="false" customHeight="false" outlineLevel="0" collapsed="false">
      <c r="B42" s="4" t="s">
        <v>64</v>
      </c>
      <c r="C42" s="5" t="s">
        <v>65</v>
      </c>
    </row>
    <row r="43" customFormat="false" ht="23.85" hidden="false" customHeight="false" outlineLevel="0" collapsed="false">
      <c r="B43" s="4" t="s">
        <v>66</v>
      </c>
      <c r="C43" s="5" t="s">
        <v>67</v>
      </c>
    </row>
    <row r="45" customFormat="false" ht="15" hidden="false" customHeight="false" outlineLevel="0" collapsed="false">
      <c r="B45" s="2" t="s">
        <v>68</v>
      </c>
      <c r="C45" s="3"/>
    </row>
    <row r="46" customFormat="false" ht="46.25" hidden="false" customHeight="false" outlineLevel="0" collapsed="false">
      <c r="B46" s="4" t="s">
        <v>69</v>
      </c>
      <c r="C46" s="5" t="s">
        <v>70</v>
      </c>
    </row>
    <row r="47" customFormat="false" ht="57.45" hidden="false" customHeight="false" outlineLevel="0" collapsed="false">
      <c r="B47" s="4" t="s">
        <v>71</v>
      </c>
      <c r="C47" s="5" t="s">
        <v>72</v>
      </c>
    </row>
    <row r="48" customFormat="false" ht="23.85" hidden="false" customHeight="false" outlineLevel="0" collapsed="false">
      <c r="B48" s="4" t="s">
        <v>73</v>
      </c>
      <c r="C48" s="5" t="s">
        <v>74</v>
      </c>
    </row>
    <row r="49" customFormat="false" ht="15" hidden="false" customHeight="false" outlineLevel="0" collapsed="false">
      <c r="B49" s="4" t="s">
        <v>75</v>
      </c>
      <c r="C49" s="5" t="s">
        <v>76</v>
      </c>
    </row>
    <row r="50" customFormat="false" ht="46.25" hidden="false" customHeight="false" outlineLevel="0" collapsed="false">
      <c r="B50" s="4" t="s">
        <v>77</v>
      </c>
      <c r="C50" s="5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2.05" hidden="false" customHeight="false" outlineLevel="0" collapsed="false">
      <c r="A1" s="1" t="str">
        <f aca="false">ProjectName&amp;"  -  Dashboard"</f>
        <v>Customer Portal Implementation  -  Dashboard</v>
      </c>
    </row>
    <row r="2" customFormat="false" ht="15" hidden="false" customHeight="false" outlineLevel="0" collapsed="false">
      <c r="A2" s="8" t="str">
        <f aca="false">"Project manager: "&amp;ProjectManager&amp;"     Status date: "&amp;TEXT(StatusDate,"ddd dd-mmm-yyyy")</f>
        <v>Project manager: Priya Sharma     Status date: Sun 25-Oct-2026</v>
      </c>
    </row>
    <row r="4" customFormat="false" ht="15" hidden="false" customHeight="false" outlineLevel="0" collapsed="false">
      <c r="B4" s="9" t="s">
        <v>79</v>
      </c>
      <c r="C4" s="9" t="s">
        <v>80</v>
      </c>
      <c r="E4" s="9" t="s">
        <v>81</v>
      </c>
      <c r="F4" s="9" t="s">
        <v>82</v>
      </c>
    </row>
    <row r="5" customFormat="false" ht="15" hidden="false" customHeight="false" outlineLevel="0" collapsed="false">
      <c r="B5" s="10" t="s">
        <v>83</v>
      </c>
      <c r="C5" s="11" t="n">
        <f aca="false">MIN(tsk_PlanStart)</f>
        <v>46272</v>
      </c>
      <c r="E5" s="12" t="s">
        <v>84</v>
      </c>
      <c r="F5" s="10" t="n">
        <f aca="false">COUNTIFS(tsk_Status,StatusSummary[[#This Row],[Status]],tsk_IsLeaf,1)</f>
        <v>9</v>
      </c>
    </row>
    <row r="6" customFormat="false" ht="15" hidden="false" customHeight="false" outlineLevel="0" collapsed="false">
      <c r="B6" s="10" t="s">
        <v>85</v>
      </c>
      <c r="C6" s="11" t="n">
        <f aca="false">MAX(tsk_PlanFinish)</f>
        <v>46393</v>
      </c>
      <c r="E6" s="13" t="s">
        <v>86</v>
      </c>
      <c r="F6" s="10" t="n">
        <f aca="false">COUNTIFS(tsk_Status,StatusSummary[[#This Row],[Status]],tsk_IsLeaf,1)</f>
        <v>0</v>
      </c>
    </row>
    <row r="7" customFormat="false" ht="15" hidden="false" customHeight="false" outlineLevel="0" collapsed="false">
      <c r="B7" s="10" t="s">
        <v>87</v>
      </c>
      <c r="C7" s="11" t="n">
        <f aca="false">MAX(tsk_FcFinish)</f>
        <v>46393</v>
      </c>
      <c r="E7" s="14" t="s">
        <v>88</v>
      </c>
      <c r="F7" s="10" t="n">
        <f aca="false">COUNTIFS(tsk_Status,StatusSummary[[#This Row],[Status]],tsk_IsLeaf,1)</f>
        <v>2</v>
      </c>
    </row>
    <row r="8" customFormat="false" ht="15" hidden="false" customHeight="false" outlineLevel="0" collapsed="false">
      <c r="B8" s="10" t="s">
        <v>89</v>
      </c>
      <c r="C8" s="15" t="n">
        <f aca="false">FinishVarianceDays</f>
        <v>0</v>
      </c>
      <c r="E8" s="16" t="s">
        <v>90</v>
      </c>
      <c r="F8" s="10" t="n">
        <f aca="false">COUNTIFS(tsk_Status,StatusSummary[[#This Row],[Status]],tsk_IsLeaf,1)</f>
        <v>1</v>
      </c>
    </row>
    <row r="9" customFormat="false" ht="15" hidden="false" customHeight="false" outlineLevel="0" collapsed="false">
      <c r="B9" s="10" t="s">
        <v>91</v>
      </c>
      <c r="C9" s="17" t="n">
        <f aca="false">IFERROR(SUM(tsk_WtDone)/SUM(tsk_WtDur),0)</f>
        <v>0.434170854271357</v>
      </c>
      <c r="E9" s="18" t="s">
        <v>92</v>
      </c>
      <c r="F9" s="10" t="n">
        <f aca="false">COUNTIFS(tsk_Status,StatusSummary[[#This Row],[Status]],tsk_IsLeaf,1)</f>
        <v>11</v>
      </c>
    </row>
    <row r="10" customFormat="false" ht="15" hidden="false" customHeight="false" outlineLevel="0" collapsed="false">
      <c r="B10" s="10" t="s">
        <v>93</v>
      </c>
      <c r="C10" s="17" t="n">
        <f aca="false">IFERROR(SUMPRODUCT(tsk_WtDur,tsk_PlannedPct)/SUM(tsk_WtDur),0)</f>
        <v>0.554773869346734</v>
      </c>
    </row>
    <row r="11" customFormat="false" ht="15" hidden="false" customHeight="false" outlineLevel="0" collapsed="false">
      <c r="B11" s="10" t="s">
        <v>94</v>
      </c>
      <c r="C11" s="19" t="n">
        <f aca="false">SUM(tsk_IsLeaf)</f>
        <v>23</v>
      </c>
    </row>
    <row r="12" customFormat="false" ht="15" hidden="false" customHeight="false" outlineLevel="0" collapsed="false">
      <c r="B12" s="10" t="s">
        <v>95</v>
      </c>
      <c r="C12" s="19" t="n">
        <f aca="false">SUMPRODUCT(tsk_IsLeaf*(tsk_Duration=0)*(tsk_Name&lt;&gt;""))</f>
        <v>5</v>
      </c>
    </row>
    <row r="13" customFormat="false" ht="15" hidden="false" customHeight="false" outlineLevel="0" collapsed="false">
      <c r="B13" s="10" t="s">
        <v>96</v>
      </c>
      <c r="C13" s="20" t="n">
        <f aca="false">SUMPRODUCT(tsk_Work,tsk_IsLeaf)</f>
        <v>720</v>
      </c>
    </row>
    <row r="14" customFormat="false" ht="15" hidden="false" customHeight="false" outlineLevel="0" collapsed="false">
      <c r="B14" s="10" t="s">
        <v>97</v>
      </c>
      <c r="C14" s="21" t="n">
        <f aca="false">SUMPRODUCT(tsk_Cost,tsk_IsLeaf)</f>
        <v>58040</v>
      </c>
    </row>
    <row r="15" customFormat="false" ht="15" hidden="false" customHeight="false" outlineLevel="0" collapsed="false">
      <c r="B15" s="10" t="s">
        <v>98</v>
      </c>
      <c r="C15" s="22" t="str">
        <f aca="false">IF(CurrentSprint="","(outside sprint range)",CurrentSprint)</f>
        <v>Sprint 4</v>
      </c>
    </row>
    <row r="16" customFormat="false" ht="15" hidden="false" customHeight="false" outlineLevel="0" collapsed="false">
      <c r="B16" s="10" t="s">
        <v>99</v>
      </c>
      <c r="C16" s="22" t="str">
        <f aca="false">IF(COUNT(tsk_BaseStart)=0,"Not set (planned = calculated)","Set on "&amp;COUNT(tsk_BaseStart)&amp;" tasks")</f>
        <v>Not set (planned = calculated)</v>
      </c>
    </row>
    <row r="17" customFormat="false" ht="15" hidden="false" customHeight="false" outlineLevel="0" collapsed="false">
      <c r="B17" s="10" t="s">
        <v>100</v>
      </c>
      <c r="C17" s="19" t="n">
        <f aca="false">COUNTIFS(tsk_Critical,"Yes",tsk_IsLeaf,1)</f>
        <v>11</v>
      </c>
    </row>
    <row r="18" customFormat="false" ht="15" hidden="false" customHeight="false" outlineLevel="0" collapsed="false">
      <c r="B18" s="10" t="s">
        <v>101</v>
      </c>
      <c r="C18" s="19" t="n">
        <f aca="false">COUNTIF(tsk_DeadlineCheck,"Late*")</f>
        <v>1</v>
      </c>
    </row>
    <row r="19" customFormat="false" ht="15" hidden="false" customHeight="false" outlineLevel="0" collapsed="false">
      <c r="B19" s="10" t="s">
        <v>102</v>
      </c>
      <c r="C19" s="19" t="n">
        <f aca="false">COUNTIF(tsk_LinkCheck,"?*")</f>
        <v>0</v>
      </c>
    </row>
    <row r="20" customFormat="false" ht="15" hidden="false" customHeight="false" outlineLevel="0" collapsed="false">
      <c r="B20" s="10" t="s">
        <v>103</v>
      </c>
      <c r="C20" s="22" t="str">
        <f aca="false">ProjectRAG</f>
        <v>Red</v>
      </c>
    </row>
    <row r="21" customFormat="false" ht="15" hidden="false" customHeight="false" outlineLevel="0" collapsed="false">
      <c r="B21" s="10" t="s">
        <v>104</v>
      </c>
      <c r="C21" s="23" t="n">
        <f aca="false">IF(evm_SPI="","-",evm_SPI)</f>
        <v>0.782178217821782</v>
      </c>
    </row>
    <row r="22" customFormat="false" ht="15" hidden="false" customHeight="false" outlineLevel="0" collapsed="false">
      <c r="B22" s="10" t="s">
        <v>105</v>
      </c>
      <c r="C22" s="23" t="n">
        <f aca="false">IF(evm_CPI="","-",evm_CPI)</f>
        <v>0.934296977660972</v>
      </c>
    </row>
    <row r="23" customFormat="false" ht="15" hidden="false" customHeight="false" outlineLevel="0" collapsed="false">
      <c r="B23" s="10" t="s">
        <v>106</v>
      </c>
      <c r="C23" s="21" t="n">
        <f aca="false">evm_EAC</f>
        <v>62121.5752461322</v>
      </c>
    </row>
    <row r="24" customFormat="false" ht="15" hidden="false" customHeight="false" outlineLevel="0" collapsed="false">
      <c r="B24" s="10" t="s">
        <v>107</v>
      </c>
      <c r="C24" s="22" t="str">
        <f aca="false">IF(TotalPoints=0,"-",agl_Done&amp;" / "&amp;TotalPoints)</f>
        <v>33 / 82</v>
      </c>
    </row>
    <row r="27" customFormat="false" ht="15" hidden="false" customHeight="false" outlineLevel="0" collapsed="false">
      <c r="B27" s="9" t="s">
        <v>108</v>
      </c>
      <c r="C27" s="9" t="s">
        <v>109</v>
      </c>
    </row>
    <row r="28" customFormat="false" ht="15" hidden="false" customHeight="false" outlineLevel="0" collapsed="false">
      <c r="B28" s="24" t="str">
        <f aca="false">IFERROR(INDEX(tsk_Name,MATCH(SMALL(tsk_MilestoneKey,(ROW()-ROW(NextMilestones[[#Headers],[Next milestones (forecast)]]))),tsk_MilestoneKey,0)),"")</f>
        <v>Build complete</v>
      </c>
      <c r="C28" s="25" t="n">
        <f aca="false">IFERROR(INDEX(tsk_FcFinish,MATCH(SMALL(tsk_MilestoneKey,(ROW()-ROW(NextMilestones[[#Headers],[Next milestones (forecast)]]))),tsk_MilestoneKey,0)),"")</f>
        <v>46335</v>
      </c>
    </row>
    <row r="29" customFormat="false" ht="15" hidden="false" customHeight="false" outlineLevel="0" collapsed="false">
      <c r="B29" s="24" t="str">
        <f aca="false">IFERROR(INDEX(tsk_Name,MATCH(SMALL(tsk_MilestoneKey,(ROW()-ROW(NextMilestones[[#Headers],[Next milestones (forecast)]]))),tsk_MilestoneKey,0)),"")</f>
        <v>Go-live</v>
      </c>
      <c r="C29" s="25" t="n">
        <f aca="false">IFERROR(INDEX(tsk_FcFinish,MATCH(SMALL(tsk_MilestoneKey,(ROW()-ROW(NextMilestones[[#Headers],[Next milestones (forecast)]]))),tsk_MilestoneKey,0)),"")</f>
        <v>46371</v>
      </c>
    </row>
    <row r="30" customFormat="false" ht="15" hidden="false" customHeight="false" outlineLevel="0" collapsed="false">
      <c r="B30" s="24" t="str">
        <f aca="false">IFERROR(INDEX(tsk_Name,MATCH(SMALL(tsk_MilestoneKey,(ROW()-ROW(NextMilestones[[#Headers],[Next milestones (forecast)]]))),tsk_MilestoneKey,0)),"")</f>
        <v>Project closed</v>
      </c>
      <c r="C30" s="25" t="n">
        <f aca="false">IFERROR(INDEX(tsk_FcFinish,MATCH(SMALL(tsk_MilestoneKey,(ROW()-ROW(NextMilestones[[#Headers],[Next milestones (forecast)]]))),tsk_MilestoneKey,0)),"")</f>
        <v>46393</v>
      </c>
    </row>
    <row r="31" customFormat="false" ht="15" hidden="false" customHeight="false" outlineLevel="0" collapsed="false">
      <c r="B31" s="24" t="str">
        <f aca="false">IFERROR(INDEX(tsk_Name,MATCH(SMALL(tsk_MilestoneKey,(ROW()-ROW(NextMilestones[[#Headers],[Next milestones (forecast)]]))),tsk_MilestoneKey,0)),"")</f>
        <v/>
      </c>
      <c r="C31" s="25" t="str">
        <f aca="false">IFERROR(INDEX(tsk_FcFinish,MATCH(SMALL(tsk_MilestoneKey,(ROW()-ROW(NextMilestones[[#Headers],[Next milestones (forecast)]]))),tsk_MilestoneKey,0)),"")</f>
        <v/>
      </c>
    </row>
    <row r="32" customFormat="false" ht="15" hidden="false" customHeight="false" outlineLevel="0" collapsed="false">
      <c r="B32" s="24" t="str">
        <f aca="false">IFERROR(INDEX(tsk_Name,MATCH(SMALL(tsk_MilestoneKey,(ROW()-ROW(NextMilestones[[#Headers],[Next milestones (forecast)]]))),tsk_MilestoneKey,0)),"")</f>
        <v/>
      </c>
      <c r="C32" s="25" t="str">
        <f aca="false">IFERROR(INDEX(tsk_FcFinish,MATCH(SMALL(tsk_MilestoneKey,(ROW()-ROW(NextMilestones[[#Headers],[Next milestones (forecast)]]))),tsk_MilestoneKey,0)),"")</f>
        <v/>
      </c>
    </row>
  </sheetData>
  <conditionalFormatting sqref="C8">
    <cfRule type="expression" priority="2" aboveAverage="0" equalAverage="0" bottom="0" percent="0" rank="0" text="" dxfId="11">
      <formula>C8&gt;0</formula>
    </cfRule>
    <cfRule type="expression" priority="3" aboveAverage="0" equalAverage="0" bottom="0" percent="0" rank="0" text="" dxfId="12">
      <formula>C8&lt;=0</formula>
    </cfRule>
  </conditionalFormatting>
  <conditionalFormatting sqref="C18">
    <cfRule type="expression" priority="4" aboveAverage="0" equalAverage="0" bottom="0" percent="0" rank="0" text="" dxfId="11">
      <formula>C18&gt;0</formula>
    </cfRule>
    <cfRule type="expression" priority="5" aboveAverage="0" equalAverage="0" bottom="0" percent="0" rank="0" text="" dxfId="12">
      <formula>C18&lt;=0</formula>
    </cfRule>
  </conditionalFormatting>
  <conditionalFormatting sqref="C19">
    <cfRule type="expression" priority="6" aboveAverage="0" equalAverage="0" bottom="0" percent="0" rank="0" text="" dxfId="11">
      <formula>C19&gt;0</formula>
    </cfRule>
    <cfRule type="expression" priority="7" aboveAverage="0" equalAverage="0" bottom="0" percent="0" rank="0" text="" dxfId="12">
      <formula>C19&lt;=0</formula>
    </cfRule>
  </conditionalFormatting>
  <conditionalFormatting sqref="C20">
    <cfRule type="expression" priority="8" aboveAverage="0" equalAverage="0" bottom="0" percent="0" rank="0" text="" dxfId="13">
      <formula>C20="Green"</formula>
    </cfRule>
    <cfRule type="expression" priority="9" aboveAverage="0" equalAverage="0" bottom="0" percent="0" rank="0" text="" dxfId="14">
      <formula>C20="Amber"</formula>
    </cfRule>
    <cfRule type="expression" priority="10" aboveAverage="0" equalAverage="0" bottom="0" percent="0" rank="0" text="" dxfId="15">
      <formula>C20="Red"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5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50"/>
  </cols>
  <sheetData>
    <row r="1" customFormat="false" ht="19.7" hidden="false" customHeight="false" outlineLevel="0" collapsed="false">
      <c r="A1" s="26" t="str">
        <f aca="false">ProjectName&amp;"  -  Status Report"</f>
        <v>Customer Portal Implementation  -  Status Report</v>
      </c>
    </row>
    <row r="2" customFormat="false" ht="15" hidden="false" customHeight="false" outlineLevel="0" collapsed="false">
      <c r="A2" s="0" t="str">
        <f aca="false">"Status date "&amp;TEXT(StatusDate,"ddd dd-mmm-yyyy")&amp;"   Project manager: "&amp;ProjectManager&amp;"   Forecast finish "&amp;TEXT(ProjectFinish,"ddd dd-mmm-yyyy")&amp;" ("&amp;TEXT(FinishVarianceDays,"+0;-0;0")&amp;" working days vs plan)"</f>
        <v>Status date Sun 25-Oct-2026   Project manager: Priya Sharma   Forecast finish Wed 06-Jan-2027 (0 working days vs plan)</v>
      </c>
    </row>
    <row r="4" customFormat="false" ht="15" hidden="false" customHeight="false" outlineLevel="0" collapsed="false">
      <c r="B4" s="9" t="s">
        <v>110</v>
      </c>
      <c r="C4" s="9" t="s">
        <v>111</v>
      </c>
      <c r="D4" s="9" t="s">
        <v>80</v>
      </c>
      <c r="E4" s="9" t="s">
        <v>112</v>
      </c>
      <c r="F4" s="27" t="s">
        <v>113</v>
      </c>
      <c r="G4" s="9" t="s">
        <v>114</v>
      </c>
      <c r="H4" s="27" t="s">
        <v>115</v>
      </c>
    </row>
    <row r="5" customFormat="false" ht="15" hidden="false" customHeight="false" outlineLevel="0" collapsed="false">
      <c r="B5" s="10" t="s">
        <v>116</v>
      </c>
      <c r="C5" s="24" t="s">
        <v>117</v>
      </c>
      <c r="D5" s="24" t="str">
        <f aca="false">COUNTIF(StatusRAG[RAG],"Red")&amp;" red, "&amp;COUNTIF(StatusRAG[RAG],"Amber")&amp;" amber"</f>
        <v>2 red, 2 amber</v>
      </c>
      <c r="E5" s="28" t="str">
        <f aca="false">CHOOSE(MAX(IF(COUNTIF(StatusRAG[RAG],"Red")&gt;0,2,0),IF(COUNTIF(StatusRAG[RAG],"Amber")&gt;0,1,0))+1,"Green","Amber","Red")</f>
        <v>Red</v>
      </c>
      <c r="F5" s="29"/>
      <c r="G5" s="28" t="str">
        <f aca="false">IF(OverallStatus[[#This Row],[PM RAG]]&lt;&gt;"",OverallStatus[[#This Row],[PM RAG]],OverallStatus[[#This Row],[Calculated]])</f>
        <v>Red</v>
      </c>
      <c r="H5" s="30"/>
    </row>
    <row r="6" customFormat="false" ht="15" hidden="false" customHeight="false" outlineLevel="0" collapsed="false">
      <c r="B6" s="31"/>
    </row>
    <row r="7" customFormat="false" ht="15" hidden="false" customHeight="false" outlineLevel="0" collapsed="false">
      <c r="B7" s="32" t="s">
        <v>110</v>
      </c>
      <c r="C7" s="9" t="s">
        <v>111</v>
      </c>
      <c r="D7" s="9" t="s">
        <v>80</v>
      </c>
      <c r="E7" s="9" t="s">
        <v>112</v>
      </c>
      <c r="F7" s="27" t="s">
        <v>113</v>
      </c>
      <c r="G7" s="9" t="s">
        <v>114</v>
      </c>
      <c r="H7" s="27" t="s">
        <v>115</v>
      </c>
    </row>
    <row r="8" customFormat="false" ht="15" hidden="false" customHeight="false" outlineLevel="0" collapsed="false">
      <c r="B8" s="10" t="s">
        <v>118</v>
      </c>
      <c r="C8" s="24" t="s">
        <v>119</v>
      </c>
      <c r="D8" s="33" t="n">
        <f aca="false">FinishVarianceDays</f>
        <v>0</v>
      </c>
      <c r="E8" s="28" t="str">
        <f aca="false">CHOOSE(IF(N(StatusRAG[[#This Row],[Value]])&gt;=RAGRedSlipDays,2,IF(N(StatusRAG[[#This Row],[Value]])&gt;=RAGAmberSlipDays,1,0))+1,"Green","Amber","Red")</f>
        <v>Green</v>
      </c>
      <c r="F8" s="29"/>
      <c r="G8" s="28" t="str">
        <f aca="false">IF(StatusRAG[[#This Row],[PM RAG]]&lt;&gt;"",StatusRAG[[#This Row],[PM RAG]],StatusRAG[[#This Row],[Calculated]])</f>
        <v>Green</v>
      </c>
      <c r="H8" s="30"/>
    </row>
    <row r="9" customFormat="false" ht="15" hidden="false" customHeight="false" outlineLevel="0" collapsed="false">
      <c r="B9" s="10" t="s">
        <v>120</v>
      </c>
      <c r="C9" s="24" t="s">
        <v>121</v>
      </c>
      <c r="D9" s="34" t="n">
        <f aca="false">evm_SPI</f>
        <v>0.782178217821782</v>
      </c>
      <c r="E9" s="28" t="str">
        <f aca="false">CHOOSE(IF(ISNUMBER(StatusRAG[[#This Row],[Value]]),IF(StatusRAG[[#This Row],[Value]]&lt;RAGRedIndex,2,IF(StatusRAG[[#This Row],[Value]]&lt;RAGAmberIndex,1,0)),0)+1,"Green","Amber","Red")</f>
        <v>Red</v>
      </c>
      <c r="F9" s="29"/>
      <c r="G9" s="28" t="str">
        <f aca="false">IF(StatusRAG[[#This Row],[PM RAG]]&lt;&gt;"",StatusRAG[[#This Row],[PM RAG]],StatusRAG[[#This Row],[Calculated]])</f>
        <v>Red</v>
      </c>
      <c r="H9" s="30"/>
    </row>
    <row r="10" customFormat="false" ht="15" hidden="false" customHeight="false" outlineLevel="0" collapsed="false">
      <c r="B10" s="10" t="s">
        <v>122</v>
      </c>
      <c r="C10" s="24" t="s">
        <v>123</v>
      </c>
      <c r="D10" s="34" t="n">
        <f aca="false">evm_CPI</f>
        <v>0.934296977660972</v>
      </c>
      <c r="E10" s="28" t="str">
        <f aca="false">CHOOSE(IF(ISNUMBER(StatusRAG[[#This Row],[Value]]),IF(StatusRAG[[#This Row],[Value]]&lt;RAGRedIndex,2,IF(StatusRAG[[#This Row],[Value]]&lt;RAGAmberIndex,1,0)),0)+1,"Green","Amber","Red")</f>
        <v>Amber</v>
      </c>
      <c r="F10" s="29"/>
      <c r="G10" s="28" t="str">
        <f aca="false">IF(StatusRAG[[#This Row],[PM RAG]]&lt;&gt;"",StatusRAG[[#This Row],[PM RAG]],StatusRAG[[#This Row],[Calculated]])</f>
        <v>Amber</v>
      </c>
      <c r="H10" s="30"/>
    </row>
    <row r="11" customFormat="false" ht="15" hidden="false" customHeight="false" outlineLevel="0" collapsed="false">
      <c r="B11" s="10" t="s">
        <v>124</v>
      </c>
      <c r="C11" s="24" t="s">
        <v>125</v>
      </c>
      <c r="D11" s="35" t="n">
        <f aca="false">COUNTIF(tsk_DeadlineCheck,"Late*")</f>
        <v>1</v>
      </c>
      <c r="E11" s="28" t="str">
        <f aca="false">CHOOSE(IF(N(StatusRAG[[#This Row],[Value]])&gt;0,2,0)+1,"Green","Amber","Red")</f>
        <v>Red</v>
      </c>
      <c r="F11" s="29"/>
      <c r="G11" s="28" t="str">
        <f aca="false">IF(StatusRAG[[#This Row],[PM RAG]]&lt;&gt;"",StatusRAG[[#This Row],[PM RAG]],StatusRAG[[#This Row],[Calculated]])</f>
        <v>Red</v>
      </c>
      <c r="H11" s="30"/>
    </row>
    <row r="12" customFormat="false" ht="15" hidden="false" customHeight="false" outlineLevel="0" collapsed="false">
      <c r="B12" s="10" t="s">
        <v>15</v>
      </c>
      <c r="C12" s="24" t="s">
        <v>126</v>
      </c>
      <c r="D12" s="35" t="n">
        <f aca="false">COUNTIFS(tsk_Critical,"Yes",tsk_IsLeaf,1,tsk_Variance,"&gt;0")</f>
        <v>5</v>
      </c>
      <c r="E12" s="28" t="str">
        <f aca="false">CHOOSE(IF(N(StatusRAG[[#This Row],[Value]])&gt;0,1,0)+1,"Green","Amber","Red")</f>
        <v>Amber</v>
      </c>
      <c r="F12" s="29"/>
      <c r="G12" s="28" t="str">
        <f aca="false">IF(StatusRAG[[#This Row],[PM RAG]]&lt;&gt;"",StatusRAG[[#This Row],[PM RAG]],StatusRAG[[#This Row],[Calculated]])</f>
        <v>Amber</v>
      </c>
      <c r="H12" s="30"/>
    </row>
    <row r="13" customFormat="false" ht="15" hidden="false" customHeight="false" outlineLevel="0" collapsed="false">
      <c r="B13" s="10" t="s">
        <v>127</v>
      </c>
      <c r="C13" s="24" t="s">
        <v>128</v>
      </c>
      <c r="D13" s="35" t="n">
        <f aca="false">COUNTIF(tsk_LinkCheck,"?*")+COUNTIF(tsk_WBS,"~?")</f>
        <v>0</v>
      </c>
      <c r="E13" s="28" t="str">
        <f aca="false">CHOOSE(IF(N(StatusRAG[[#This Row],[Value]])&gt;0,1,0)+1,"Green","Amber","Red")</f>
        <v>Green</v>
      </c>
      <c r="F13" s="29"/>
      <c r="G13" s="28" t="str">
        <f aca="false">IF(StatusRAG[[#This Row],[PM RAG]]&lt;&gt;"",StatusRAG[[#This Row],[PM RAG]],StatusRAG[[#This Row],[Calculated]])</f>
        <v>Green</v>
      </c>
      <c r="H13" s="30"/>
    </row>
    <row r="15" customFormat="false" ht="15" hidden="false" customHeight="false" outlineLevel="0" collapsed="false">
      <c r="B15" s="36" t="s">
        <v>129</v>
      </c>
    </row>
    <row r="16" customFormat="false" ht="15" hidden="false" customHeight="false" outlineLevel="0" collapsed="false">
      <c r="B16" s="9" t="s">
        <v>111</v>
      </c>
      <c r="C16" s="9" t="s">
        <v>130</v>
      </c>
      <c r="D16" s="9" t="s">
        <v>80</v>
      </c>
    </row>
    <row r="17" customFormat="false" ht="15" hidden="false" customHeight="false" outlineLevel="0" collapsed="false">
      <c r="B17" s="24" t="s">
        <v>131</v>
      </c>
      <c r="C17" s="24" t="s">
        <v>132</v>
      </c>
      <c r="D17" s="37" t="n">
        <f aca="false">SUM(tsk_LeafBudget)</f>
        <v>58040</v>
      </c>
    </row>
    <row r="18" customFormat="false" ht="15" hidden="false" customHeight="false" outlineLevel="0" collapsed="false">
      <c r="B18" s="24" t="s">
        <v>133</v>
      </c>
      <c r="C18" s="24" t="s">
        <v>134</v>
      </c>
      <c r="D18" s="37" t="n">
        <f aca="false">SUM(tsk_LeafPV)</f>
        <v>36360</v>
      </c>
    </row>
    <row r="19" customFormat="false" ht="15" hidden="false" customHeight="false" outlineLevel="0" collapsed="false">
      <c r="B19" s="24" t="s">
        <v>135</v>
      </c>
      <c r="C19" s="24" t="s">
        <v>136</v>
      </c>
      <c r="D19" s="37" t="n">
        <f aca="false">SUM(tsk_LeafEV)</f>
        <v>28440</v>
      </c>
    </row>
    <row r="20" customFormat="false" ht="15" hidden="false" customHeight="false" outlineLevel="0" collapsed="false">
      <c r="B20" s="24" t="s">
        <v>137</v>
      </c>
      <c r="C20" s="24" t="s">
        <v>138</v>
      </c>
      <c r="D20" s="37" t="n">
        <f aca="false">SUM(tsk_LeafAC)</f>
        <v>30440</v>
      </c>
    </row>
    <row r="21" customFormat="false" ht="15" hidden="false" customHeight="false" outlineLevel="0" collapsed="false">
      <c r="B21" s="24" t="s">
        <v>139</v>
      </c>
      <c r="C21" s="24" t="s">
        <v>140</v>
      </c>
      <c r="D21" s="37" t="n">
        <f aca="false">evm_EV-evm_PV</f>
        <v>-7920</v>
      </c>
    </row>
    <row r="22" customFormat="false" ht="15" hidden="false" customHeight="false" outlineLevel="0" collapsed="false">
      <c r="B22" s="24" t="s">
        <v>141</v>
      </c>
      <c r="C22" s="24" t="s">
        <v>142</v>
      </c>
      <c r="D22" s="37" t="n">
        <f aca="false">evm_EV-evm_AC</f>
        <v>-2000</v>
      </c>
    </row>
    <row r="23" customFormat="false" ht="15" hidden="false" customHeight="false" outlineLevel="0" collapsed="false">
      <c r="B23" s="24" t="s">
        <v>143</v>
      </c>
      <c r="C23" s="24" t="s">
        <v>144</v>
      </c>
      <c r="D23" s="38" t="n">
        <f aca="false">IF(evm_PV&gt;0,evm_EV/evm_PV,"")</f>
        <v>0.782178217821782</v>
      </c>
    </row>
    <row r="24" customFormat="false" ht="15" hidden="false" customHeight="false" outlineLevel="0" collapsed="false">
      <c r="B24" s="24" t="s">
        <v>145</v>
      </c>
      <c r="C24" s="24" t="s">
        <v>146</v>
      </c>
      <c r="D24" s="38" t="n">
        <f aca="false">IF(evm_AC&gt;0,evm_EV/evm_AC,"")</f>
        <v>0.934296977660972</v>
      </c>
    </row>
    <row r="25" customFormat="false" ht="15" hidden="false" customHeight="false" outlineLevel="0" collapsed="false">
      <c r="B25" s="24" t="s">
        <v>147</v>
      </c>
      <c r="C25" s="24" t="s">
        <v>148</v>
      </c>
      <c r="D25" s="37" t="n">
        <f aca="false">IF(N(evm_CPI)&gt;0,evm_AC+(evm_BAC-evm_EV)/evm_CPI,evm_AC+evm_BAC-evm_EV)</f>
        <v>62121.5752461322</v>
      </c>
    </row>
    <row r="26" customFormat="false" ht="15" hidden="false" customHeight="false" outlineLevel="0" collapsed="false">
      <c r="B26" s="24" t="s">
        <v>149</v>
      </c>
      <c r="C26" s="24" t="s">
        <v>150</v>
      </c>
      <c r="D26" s="37" t="n">
        <f aca="false">evm_EAC-evm_AC</f>
        <v>31681.5752461322</v>
      </c>
    </row>
    <row r="27" customFormat="false" ht="15" hidden="false" customHeight="false" outlineLevel="0" collapsed="false">
      <c r="B27" s="24" t="s">
        <v>151</v>
      </c>
      <c r="C27" s="24" t="s">
        <v>152</v>
      </c>
      <c r="D27" s="37" t="n">
        <f aca="false">evm_BAC-evm_EAC</f>
        <v>-4081.57524613221</v>
      </c>
    </row>
    <row r="28" customFormat="false" ht="15" hidden="false" customHeight="false" outlineLevel="0" collapsed="false">
      <c r="B28" s="24" t="s">
        <v>153</v>
      </c>
      <c r="C28" s="24" t="s">
        <v>154</v>
      </c>
      <c r="D28" s="38" t="n">
        <f aca="false">IF(evm_BAC&gt;evm_AC,(evm_BAC-evm_EV)/(evm_BAC-evm_AC),"")</f>
        <v>1.07246376811594</v>
      </c>
    </row>
    <row r="29" customFormat="false" ht="15" hidden="false" customHeight="false" outlineLevel="0" collapsed="false">
      <c r="B29" s="24" t="s">
        <v>155</v>
      </c>
      <c r="C29" s="24" t="s">
        <v>156</v>
      </c>
      <c r="D29" s="39" t="n">
        <f aca="false">IF(evm_BAC&gt;0,evm_EV/evm_BAC,0)</f>
        <v>0.49000689179876</v>
      </c>
    </row>
    <row r="30" customFormat="false" ht="15" hidden="false" customHeight="false" outlineLevel="0" collapsed="false">
      <c r="B30" s="24" t="s">
        <v>157</v>
      </c>
      <c r="C30" s="24" t="s">
        <v>158</v>
      </c>
      <c r="D30" s="39" t="n">
        <f aca="false">IF(evm_BAC&gt;0,evm_PV/evm_BAC,0)</f>
        <v>0.626464507236389</v>
      </c>
    </row>
    <row r="32" customFormat="false" ht="15" hidden="false" customHeight="false" outlineLevel="0" collapsed="false">
      <c r="B32" s="36" t="s">
        <v>159</v>
      </c>
    </row>
    <row r="33" customFormat="false" ht="15" hidden="false" customHeight="false" outlineLevel="0" collapsed="false">
      <c r="B33" s="9" t="s">
        <v>160</v>
      </c>
      <c r="C33" s="27" t="s">
        <v>161</v>
      </c>
    </row>
    <row r="34" customFormat="false" ht="36" hidden="false" customHeight="true" outlineLevel="0" collapsed="false">
      <c r="B34" s="40" t="s">
        <v>162</v>
      </c>
      <c r="C34" s="41"/>
    </row>
    <row r="35" customFormat="false" ht="36" hidden="false" customHeight="true" outlineLevel="0" collapsed="false">
      <c r="B35" s="40" t="s">
        <v>163</v>
      </c>
      <c r="C35" s="41"/>
    </row>
    <row r="36" customFormat="false" ht="36" hidden="false" customHeight="true" outlineLevel="0" collapsed="false">
      <c r="B36" s="40" t="s">
        <v>164</v>
      </c>
      <c r="C36" s="41"/>
    </row>
    <row r="37" customFormat="false" ht="36" hidden="false" customHeight="true" outlineLevel="0" collapsed="false">
      <c r="B37" s="40" t="s">
        <v>165</v>
      </c>
      <c r="C37" s="41"/>
    </row>
    <row r="38" customFormat="false" ht="36" hidden="false" customHeight="true" outlineLevel="0" collapsed="false">
      <c r="B38" s="40" t="s">
        <v>166</v>
      </c>
      <c r="C38" s="41"/>
    </row>
    <row r="39" customFormat="false" ht="36" hidden="false" customHeight="true" outlineLevel="0" collapsed="false">
      <c r="B39" s="40" t="s">
        <v>167</v>
      </c>
      <c r="C39" s="41"/>
    </row>
  </sheetData>
  <conditionalFormatting sqref="E5:G13">
    <cfRule type="expression" priority="2" aboveAverage="0" equalAverage="0" bottom="0" percent="0" rank="0" text="" dxfId="13">
      <formula>E5="Green"</formula>
    </cfRule>
    <cfRule type="expression" priority="3" aboveAverage="0" equalAverage="0" bottom="0" percent="0" rank="0" text="" dxfId="14">
      <formula>E5="Amber"</formula>
    </cfRule>
    <cfRule type="expression" priority="4" aboveAverage="0" equalAverage="0" bottom="0" percent="0" rank="0" text="" dxfId="15">
      <formula>E5="Red"</formula>
    </cfRule>
  </conditionalFormatting>
  <dataValidations count="1">
    <dataValidation allowBlank="false" errorStyle="stop" operator="between" showDropDown="false" showErrorMessage="false" showInputMessage="false" sqref="F5 F8:F13" type="list">
      <formula1>L_RAG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P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true" outlineLevel="0" max="2" min="2" style="0" width="4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9" min="6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4" min="13" style="0" width="8"/>
    <col collapsed="false" customWidth="true" hidden="false" outlineLevel="0" max="16" min="15" style="0" width="9"/>
  </cols>
  <sheetData>
    <row r="1" customFormat="false" ht="19.7" hidden="false" customHeight="false" outlineLevel="0" collapsed="false">
      <c r="A1" s="26" t="str">
        <f aca="false">ProjectName&amp;"  -  Schedule Report"</f>
        <v>Customer Portal Implementation  -  Schedule Report</v>
      </c>
    </row>
    <row r="2" customFormat="false" ht="15" hidden="false" customHeight="false" outlineLevel="0" collapsed="false">
      <c r="A2" s="0" t="str">
        <f aca="false">"Status date "&amp;TEXT(StatusDate,"ddd dd-mmm-yyyy")&amp;"   Forecast finish "&amp;TEXT(ProjectFinish,"ddd dd-mmm-yyyy")&amp;" ("&amp;TEXT(FinishVarianceDays,"+0;-0;0")&amp;" working days vs plan)"</f>
        <v>Status date Sun 25-Oct-2026   Forecast finish Wed 06-Jan-2027 (0 working days vs plan)</v>
      </c>
    </row>
    <row r="4" customFormat="false" ht="15" hidden="false" customHeight="false" outlineLevel="0" collapsed="false">
      <c r="C4" s="36" t="str">
        <f aca="false">"Phases (outline level 1)"&amp;": "&amp;COUNT(tsk_PhaseKey)&amp;IF(COUNT(tsk_PhaseKey)&gt;ROWS(PhaseSummary[_Task])," (showing the first "&amp;ROWS(PhaseSummary[_Task])&amp;")","")</f>
        <v>Phases (outline level 1): 5</v>
      </c>
    </row>
    <row r="5" customFormat="false" ht="23.85" hidden="false" customHeight="false" outlineLevel="0" collapsed="false">
      <c r="B5" s="42" t="s">
        <v>168</v>
      </c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176</v>
      </c>
      <c r="K5" s="9" t="s">
        <v>177</v>
      </c>
      <c r="L5" s="9" t="s">
        <v>178</v>
      </c>
      <c r="M5" s="9" t="s">
        <v>179</v>
      </c>
      <c r="N5" s="9" t="s">
        <v>180</v>
      </c>
      <c r="O5" s="9" t="s">
        <v>181</v>
      </c>
      <c r="P5" s="9" t="s">
        <v>114</v>
      </c>
    </row>
    <row r="6" customFormat="false" ht="15" hidden="false" customHeight="false" outlineLevel="0" collapsed="false">
      <c r="B6" s="43" t="n">
        <f aca="false">IFERROR(MATCH(SMALL(tsk_PhaseKey,ROW()-ROW(PhaseSummary[[#Headers],[_Task]])),tsk_PhaseKey,0),"")</f>
        <v>1</v>
      </c>
      <c r="C6" s="24" t="str">
        <f aca="false">IF(PhaseSummary[[#This Row],[_Task]]="","",INDEX(tsk_WBS,PhaseSummary[[#This Row],[_Task]])&amp;"")</f>
        <v>1</v>
      </c>
      <c r="D6" s="24" t="str">
        <f aca="false">IF(PhaseSummary[[#This Row],[_Task]]="","",INDEX(tsk_Name,PhaseSummary[[#This Row],[_Task]])&amp;"")</f>
        <v>Initiation</v>
      </c>
      <c r="E6" s="44" t="n">
        <f aca="false">IF(PhaseSummary[[#This Row],[_Task]]="","",IF(N(INDEX(tsk_PlanFinish,PhaseSummary[[#This Row],[_Task]]))=0,"",INDEX(tsk_PlanFinish,PhaseSummary[[#This Row],[_Task]])))</f>
        <v>46276</v>
      </c>
      <c r="F6" s="44" t="n">
        <f aca="false">IF(PhaseSummary[[#This Row],[_Task]]="","",IF(N(INDEX(tsk_FcFinish,PhaseSummary[[#This Row],[_Task]]))=0,"",INDEX(tsk_FcFinish,PhaseSummary[[#This Row],[_Task]])))</f>
        <v>46279</v>
      </c>
      <c r="G6" s="45" t="n">
        <f aca="false">IF(PhaseSummary[[#This Row],[_Task]]="","",INDEX(tsk_Variance,PhaseSummary[[#This Row],[_Task]]))</f>
        <v>1</v>
      </c>
      <c r="H6" s="46" t="n">
        <f aca="false">IF(PhaseSummary[[#This Row],[_Task]]="","",INDEX(tsk_Progress,PhaseSummary[[#This Row],[_Task]]))</f>
        <v>1</v>
      </c>
      <c r="I6" s="47" t="n">
        <f aca="false">IF(PhaseSummary[[#This Row],[_Task]]="","",INDEX(tsk_Budget,PhaseSummary[[#This Row],[_Task]]))</f>
        <v>3400</v>
      </c>
      <c r="J6" s="47" t="n">
        <f aca="false">IF(PhaseSummary[[#This Row],[_Task]]="","",INDEX(tsk_PV,PhaseSummary[[#This Row],[_Task]]))</f>
        <v>3400</v>
      </c>
      <c r="K6" s="47" t="n">
        <f aca="false">IF(PhaseSummary[[#This Row],[_Task]]="","",INDEX(tsk_EV,PhaseSummary[[#This Row],[_Task]]))</f>
        <v>3400</v>
      </c>
      <c r="L6" s="47" t="n">
        <f aca="false">IF(PhaseSummary[[#This Row],[_Task]]="","",INDEX(tsk_AC,PhaseSummary[[#This Row],[_Task]]))</f>
        <v>4160</v>
      </c>
      <c r="M6" s="48" t="n">
        <f aca="false">IF(PhaseSummary[[#This Row],[_Task]]="","",IF(N(PhaseSummary[[#This Row],[PV]])&gt;0,PhaseSummary[[#This Row],[EV]]/PhaseSummary[[#This Row],[PV]],""))</f>
        <v>1</v>
      </c>
      <c r="N6" s="48" t="n">
        <f aca="false">IF(PhaseSummary[[#This Row],[_Task]]="","",IF(N(PhaseSummary[[#This Row],[AC]])&gt;0,PhaseSummary[[#This Row],[EV]]/PhaseSummary[[#This Row],[AC]],""))</f>
        <v>0.817307692307692</v>
      </c>
      <c r="O6" s="49" t="n">
        <f aca="false">IF(PhaseSummary[[#This Row],[_Task]]="","",COUNTIFS(tsk_Phase,PhaseSummary[[#This Row],[WBS]],tsk_Critical,"Yes",tsk_IsLeaf,1))</f>
        <v>0</v>
      </c>
      <c r="P6" s="28" t="str">
        <f aca="false">IF(PhaseSummary[[#This Row],[_Task]]="","",CHOOSE(MAX(IF(N(PhaseSummary[[#This Row],[Finish Var]])&gt;=RAGRedSlipDays,2,IF(N(PhaseSummary[[#This Row],[Finish Var]])&gt;=RAGAmberSlipDays,1,0)),IF(ISNUMBER(PhaseSummary[[#This Row],[SPI]]),IF(PhaseSummary[[#This Row],[SPI]]&lt;RAGRedIndex,2,IF(PhaseSummary[[#This Row],[SPI]]&lt;RAGAmberIndex,1,0)),0),IF(ISNUMBER(PhaseSummary[[#This Row],[CPI]]),IF(PhaseSummary[[#This Row],[CPI]]&lt;RAGRedIndex,2,IF(PhaseSummary[[#This Row],[CPI]]&lt;RAGAmberIndex,1,0)),0))+1,"Green","Amber","Red"))</f>
        <v>Red</v>
      </c>
    </row>
    <row r="7" customFormat="false" ht="15" hidden="false" customHeight="false" outlineLevel="0" collapsed="false">
      <c r="B7" s="43" t="n">
        <f aca="false">IFERROR(MATCH(SMALL(tsk_PhaseKey,ROW()-ROW(PhaseSummary[[#Headers],[_Task]])),tsk_PhaseKey,0),"")</f>
        <v>5</v>
      </c>
      <c r="C7" s="24" t="str">
        <f aca="false">IF(PhaseSummary[[#This Row],[_Task]]="","",INDEX(tsk_WBS,PhaseSummary[[#This Row],[_Task]])&amp;"")</f>
        <v>2</v>
      </c>
      <c r="D7" s="24" t="str">
        <f aca="false">IF(PhaseSummary[[#This Row],[_Task]]="","",INDEX(tsk_Name,PhaseSummary[[#This Row],[_Task]])&amp;"")</f>
        <v>Requirements &amp; Design</v>
      </c>
      <c r="E7" s="44" t="n">
        <f aca="false">IF(PhaseSummary[[#This Row],[_Task]]="","",IF(N(INDEX(tsk_PlanFinish,PhaseSummary[[#This Row],[_Task]]))=0,"",INDEX(tsk_PlanFinish,PhaseSummary[[#This Row],[_Task]])))</f>
        <v>46296</v>
      </c>
      <c r="F7" s="44" t="n">
        <f aca="false">IF(PhaseSummary[[#This Row],[_Task]]="","",IF(N(INDEX(tsk_FcFinish,PhaseSummary[[#This Row],[_Task]]))=0,"",INDEX(tsk_FcFinish,PhaseSummary[[#This Row],[_Task]])))</f>
        <v>46301</v>
      </c>
      <c r="G7" s="45" t="n">
        <f aca="false">IF(PhaseSummary[[#This Row],[_Task]]="","",INDEX(tsk_Variance,PhaseSummary[[#This Row],[_Task]]))</f>
        <v>3</v>
      </c>
      <c r="H7" s="46" t="n">
        <f aca="false">IF(PhaseSummary[[#This Row],[_Task]]="","",INDEX(tsk_Progress,PhaseSummary[[#This Row],[_Task]]))</f>
        <v>1</v>
      </c>
      <c r="I7" s="47" t="n">
        <f aca="false">IF(PhaseSummary[[#This Row],[_Task]]="","",INDEX(tsk_Budget,PhaseSummary[[#This Row],[_Task]]))</f>
        <v>12480</v>
      </c>
      <c r="J7" s="47" t="n">
        <f aca="false">IF(PhaseSummary[[#This Row],[_Task]]="","",INDEX(tsk_PV,PhaseSummary[[#This Row],[_Task]]))</f>
        <v>12480</v>
      </c>
      <c r="K7" s="47" t="n">
        <f aca="false">IF(PhaseSummary[[#This Row],[_Task]]="","",INDEX(tsk_EV,PhaseSummary[[#This Row],[_Task]]))</f>
        <v>12480</v>
      </c>
      <c r="L7" s="47" t="n">
        <f aca="false">IF(PhaseSummary[[#This Row],[_Task]]="","",INDEX(tsk_AC,PhaseSummary[[#This Row],[_Task]]))</f>
        <v>13040</v>
      </c>
      <c r="M7" s="48" t="n">
        <f aca="false">IF(PhaseSummary[[#This Row],[_Task]]="","",IF(N(PhaseSummary[[#This Row],[PV]])&gt;0,PhaseSummary[[#This Row],[EV]]/PhaseSummary[[#This Row],[PV]],""))</f>
        <v>1</v>
      </c>
      <c r="N7" s="48" t="n">
        <f aca="false">IF(PhaseSummary[[#This Row],[_Task]]="","",IF(N(PhaseSummary[[#This Row],[AC]])&gt;0,PhaseSummary[[#This Row],[EV]]/PhaseSummary[[#This Row],[AC]],""))</f>
        <v>0.957055214723926</v>
      </c>
      <c r="O7" s="49" t="n">
        <f aca="false">IF(PhaseSummary[[#This Row],[_Task]]="","",COUNTIFS(tsk_Phase,PhaseSummary[[#This Row],[WBS]],tsk_Critical,"Yes",tsk_IsLeaf,1))</f>
        <v>0</v>
      </c>
      <c r="P7" s="28" t="str">
        <f aca="false">IF(PhaseSummary[[#This Row],[_Task]]="","",CHOOSE(MAX(IF(N(PhaseSummary[[#This Row],[Finish Var]])&gt;=RAGRedSlipDays,2,IF(N(PhaseSummary[[#This Row],[Finish Var]])&gt;=RAGAmberSlipDays,1,0)),IF(ISNUMBER(PhaseSummary[[#This Row],[SPI]]),IF(PhaseSummary[[#This Row],[SPI]]&lt;RAGRedIndex,2,IF(PhaseSummary[[#This Row],[SPI]]&lt;RAGAmberIndex,1,0)),0),IF(ISNUMBER(PhaseSummary[[#This Row],[CPI]]),IF(PhaseSummary[[#This Row],[CPI]]&lt;RAGRedIndex,2,IF(PhaseSummary[[#This Row],[CPI]]&lt;RAGAmberIndex,1,0)),0))+1,"Green","Amber","Red"))</f>
        <v>Amber</v>
      </c>
    </row>
    <row r="8" customFormat="false" ht="15" hidden="false" customHeight="false" outlineLevel="0" collapsed="false">
      <c r="B8" s="43" t="n">
        <f aca="false">IFERROR(MATCH(SMALL(tsk_PhaseKey,ROW()-ROW(PhaseSummary[[#Headers],[_Task]])),tsk_PhaseKey,0),"")</f>
        <v>10</v>
      </c>
      <c r="C8" s="24" t="str">
        <f aca="false">IF(PhaseSummary[[#This Row],[_Task]]="","",INDEX(tsk_WBS,PhaseSummary[[#This Row],[_Task]])&amp;"")</f>
        <v>3</v>
      </c>
      <c r="D8" s="24" t="str">
        <f aca="false">IF(PhaseSummary[[#This Row],[_Task]]="","",INDEX(tsk_Name,PhaseSummary[[#This Row],[_Task]])&amp;"")</f>
        <v>Build</v>
      </c>
      <c r="E8" s="44" t="n">
        <f aca="false">IF(PhaseSummary[[#This Row],[_Task]]="","",IF(N(INDEX(tsk_PlanFinish,PhaseSummary[[#This Row],[_Task]]))=0,"",INDEX(tsk_PlanFinish,PhaseSummary[[#This Row],[_Task]])))</f>
        <v>46325</v>
      </c>
      <c r="F8" s="44" t="n">
        <f aca="false">IF(PhaseSummary[[#This Row],[_Task]]="","",IF(N(INDEX(tsk_FcFinish,PhaseSummary[[#This Row],[_Task]]))=0,"",INDEX(tsk_FcFinish,PhaseSummary[[#This Row],[_Task]])))</f>
        <v>46335</v>
      </c>
      <c r="G8" s="45" t="n">
        <f aca="false">IF(PhaseSummary[[#This Row],[_Task]]="","",INDEX(tsk_Variance,PhaseSummary[[#This Row],[_Task]]))</f>
        <v>6</v>
      </c>
      <c r="H8" s="46" t="n">
        <f aca="false">IF(PhaseSummary[[#This Row],[_Task]]="","",INDEX(tsk_Progress,PhaseSummary[[#This Row],[_Task]]))</f>
        <v>0.451306413301663</v>
      </c>
      <c r="I8" s="47" t="n">
        <f aca="false">IF(PhaseSummary[[#This Row],[_Task]]="","",INDEX(tsk_Budget,PhaseSummary[[#This Row],[_Task]]))</f>
        <v>26700</v>
      </c>
      <c r="J8" s="47" t="n">
        <f aca="false">IF(PhaseSummary[[#This Row],[_Task]]="","",INDEX(tsk_PV,PhaseSummary[[#This Row],[_Task]]))</f>
        <v>20480</v>
      </c>
      <c r="K8" s="47" t="n">
        <f aca="false">IF(PhaseSummary[[#This Row],[_Task]]="","",INDEX(tsk_EV,PhaseSummary[[#This Row],[_Task]]))</f>
        <v>12560</v>
      </c>
      <c r="L8" s="47" t="n">
        <f aca="false">IF(PhaseSummary[[#This Row],[_Task]]="","",INDEX(tsk_AC,PhaseSummary[[#This Row],[_Task]]))</f>
        <v>13240</v>
      </c>
      <c r="M8" s="48" t="n">
        <f aca="false">IF(PhaseSummary[[#This Row],[_Task]]="","",IF(N(PhaseSummary[[#This Row],[PV]])&gt;0,PhaseSummary[[#This Row],[EV]]/PhaseSummary[[#This Row],[PV]],""))</f>
        <v>0.61328125</v>
      </c>
      <c r="N8" s="48" t="n">
        <f aca="false">IF(PhaseSummary[[#This Row],[_Task]]="","",IF(N(PhaseSummary[[#This Row],[AC]])&gt;0,PhaseSummary[[#This Row],[EV]]/PhaseSummary[[#This Row],[AC]],""))</f>
        <v>0.948640483383686</v>
      </c>
      <c r="O8" s="49" t="n">
        <f aca="false">IF(PhaseSummary[[#This Row],[_Task]]="","",COUNTIFS(tsk_Phase,PhaseSummary[[#This Row],[WBS]],tsk_Critical,"Yes",tsk_IsLeaf,1))</f>
        <v>5</v>
      </c>
      <c r="P8" s="28" t="str">
        <f aca="false">IF(PhaseSummary[[#This Row],[_Task]]="","",CHOOSE(MAX(IF(N(PhaseSummary[[#This Row],[Finish Var]])&gt;=RAGRedSlipDays,2,IF(N(PhaseSummary[[#This Row],[Finish Var]])&gt;=RAGAmberSlipDays,1,0)),IF(ISNUMBER(PhaseSummary[[#This Row],[SPI]]),IF(PhaseSummary[[#This Row],[SPI]]&lt;RAGRedIndex,2,IF(PhaseSummary[[#This Row],[SPI]]&lt;RAGAmberIndex,1,0)),0),IF(ISNUMBER(PhaseSummary[[#This Row],[CPI]]),IF(PhaseSummary[[#This Row],[CPI]]&lt;RAGRedIndex,2,IF(PhaseSummary[[#This Row],[CPI]]&lt;RAGAmberIndex,1,0)),0))+1,"Green","Amber","Red"))</f>
        <v>Red</v>
      </c>
    </row>
    <row r="9" customFormat="false" ht="15" hidden="false" customHeight="false" outlineLevel="0" collapsed="false">
      <c r="B9" s="43" t="n">
        <f aca="false">IFERROR(MATCH(SMALL(tsk_PhaseKey,ROW()-ROW(PhaseSummary[[#Headers],[_Task]])),tsk_PhaseKey,0),"")</f>
        <v>20</v>
      </c>
      <c r="C9" s="24" t="str">
        <f aca="false">IF(PhaseSummary[[#This Row],[_Task]]="","",INDEX(tsk_WBS,PhaseSummary[[#This Row],[_Task]])&amp;"")</f>
        <v>4</v>
      </c>
      <c r="D9" s="24" t="str">
        <f aca="false">IF(PhaseSummary[[#This Row],[_Task]]="","",INDEX(tsk_Name,PhaseSummary[[#This Row],[_Task]])&amp;"")</f>
        <v>Test &amp; Release</v>
      </c>
      <c r="E9" s="44" t="n">
        <f aca="false">IF(PhaseSummary[[#This Row],[_Task]]="","",IF(N(INDEX(tsk_PlanFinish,PhaseSummary[[#This Row],[_Task]]))=0,"",INDEX(tsk_PlanFinish,PhaseSummary[[#This Row],[_Task]])))</f>
        <v>46391</v>
      </c>
      <c r="F9" s="44" t="n">
        <f aca="false">IF(PhaseSummary[[#This Row],[_Task]]="","",IF(N(INDEX(tsk_FcFinish,PhaseSummary[[#This Row],[_Task]]))=0,"",INDEX(tsk_FcFinish,PhaseSummary[[#This Row],[_Task]])))</f>
        <v>46391</v>
      </c>
      <c r="G9" s="45" t="n">
        <f aca="false">IF(PhaseSummary[[#This Row],[_Task]]="","",INDEX(tsk_Variance,PhaseSummary[[#This Row],[_Task]]))</f>
        <v>0</v>
      </c>
      <c r="H9" s="46" t="n">
        <f aca="false">IF(PhaseSummary[[#This Row],[_Task]]="","",INDEX(tsk_Progress,PhaseSummary[[#This Row],[_Task]]))</f>
        <v>0</v>
      </c>
      <c r="I9" s="47" t="n">
        <f aca="false">IF(PhaseSummary[[#This Row],[_Task]]="","",INDEX(tsk_Budget,PhaseSummary[[#This Row],[_Task]]))</f>
        <v>13180</v>
      </c>
      <c r="J9" s="47" t="n">
        <f aca="false">IF(PhaseSummary[[#This Row],[_Task]]="","",INDEX(tsk_PV,PhaseSummary[[#This Row],[_Task]]))</f>
        <v>0</v>
      </c>
      <c r="K9" s="47" t="n">
        <f aca="false">IF(PhaseSummary[[#This Row],[_Task]]="","",INDEX(tsk_EV,PhaseSummary[[#This Row],[_Task]]))</f>
        <v>0</v>
      </c>
      <c r="L9" s="47" t="n">
        <f aca="false">IF(PhaseSummary[[#This Row],[_Task]]="","",INDEX(tsk_AC,PhaseSummary[[#This Row],[_Task]]))</f>
        <v>0</v>
      </c>
      <c r="M9" s="48" t="str">
        <f aca="false">IF(PhaseSummary[[#This Row],[_Task]]="","",IF(N(PhaseSummary[[#This Row],[PV]])&gt;0,PhaseSummary[[#This Row],[EV]]/PhaseSummary[[#This Row],[PV]],""))</f>
        <v/>
      </c>
      <c r="N9" s="48" t="str">
        <f aca="false">IF(PhaseSummary[[#This Row],[_Task]]="","",IF(N(PhaseSummary[[#This Row],[AC]])&gt;0,PhaseSummary[[#This Row],[EV]]/PhaseSummary[[#This Row],[AC]],""))</f>
        <v/>
      </c>
      <c r="O9" s="49" t="n">
        <f aca="false">IF(PhaseSummary[[#This Row],[_Task]]="","",COUNTIFS(tsk_Phase,PhaseSummary[[#This Row],[WBS]],tsk_Critical,"Yes",tsk_IsLeaf,1))</f>
        <v>4</v>
      </c>
      <c r="P9" s="28" t="str">
        <f aca="false">IF(PhaseSummary[[#This Row],[_Task]]="","",CHOOSE(MAX(IF(N(PhaseSummary[[#This Row],[Finish Var]])&gt;=RAGRedSlipDays,2,IF(N(PhaseSummary[[#This Row],[Finish Var]])&gt;=RAGAmberSlipDays,1,0)),IF(ISNUMBER(PhaseSummary[[#This Row],[SPI]]),IF(PhaseSummary[[#This Row],[SPI]]&lt;RAGRedIndex,2,IF(PhaseSummary[[#This Row],[SPI]]&lt;RAGAmberIndex,1,0)),0),IF(ISNUMBER(PhaseSummary[[#This Row],[CPI]]),IF(PhaseSummary[[#This Row],[CPI]]&lt;RAGRedIndex,2,IF(PhaseSummary[[#This Row],[CPI]]&lt;RAGAmberIndex,1,0)),0))+1,"Green","Amber","Red"))</f>
        <v>Green</v>
      </c>
    </row>
    <row r="10" customFormat="false" ht="15" hidden="false" customHeight="false" outlineLevel="0" collapsed="false">
      <c r="B10" s="43" t="n">
        <f aca="false">IFERROR(MATCH(SMALL(tsk_PhaseKey,ROW()-ROW(PhaseSummary[[#Headers],[_Task]])),tsk_PhaseKey,0),"")</f>
        <v>27</v>
      </c>
      <c r="C10" s="24" t="str">
        <f aca="false">IF(PhaseSummary[[#This Row],[_Task]]="","",INDEX(tsk_WBS,PhaseSummary[[#This Row],[_Task]])&amp;"")</f>
        <v>5</v>
      </c>
      <c r="D10" s="24" t="str">
        <f aca="false">IF(PhaseSummary[[#This Row],[_Task]]="","",INDEX(tsk_Name,PhaseSummary[[#This Row],[_Task]])&amp;"")</f>
        <v>Project Close</v>
      </c>
      <c r="E10" s="44" t="n">
        <f aca="false">IF(PhaseSummary[[#This Row],[_Task]]="","",IF(N(INDEX(tsk_PlanFinish,PhaseSummary[[#This Row],[_Task]]))=0,"",INDEX(tsk_PlanFinish,PhaseSummary[[#This Row],[_Task]])))</f>
        <v>46393</v>
      </c>
      <c r="F10" s="44" t="n">
        <f aca="false">IF(PhaseSummary[[#This Row],[_Task]]="","",IF(N(INDEX(tsk_FcFinish,PhaseSummary[[#This Row],[_Task]]))=0,"",INDEX(tsk_FcFinish,PhaseSummary[[#This Row],[_Task]])))</f>
        <v>46393</v>
      </c>
      <c r="G10" s="45" t="n">
        <f aca="false">IF(PhaseSummary[[#This Row],[_Task]]="","",INDEX(tsk_Variance,PhaseSummary[[#This Row],[_Task]]))</f>
        <v>0</v>
      </c>
      <c r="H10" s="46" t="n">
        <f aca="false">IF(PhaseSummary[[#This Row],[_Task]]="","",INDEX(tsk_Progress,PhaseSummary[[#This Row],[_Task]]))</f>
        <v>0</v>
      </c>
      <c r="I10" s="47" t="n">
        <f aca="false">IF(PhaseSummary[[#This Row],[_Task]]="","",INDEX(tsk_Budget,PhaseSummary[[#This Row],[_Task]]))</f>
        <v>2280</v>
      </c>
      <c r="J10" s="47" t="n">
        <f aca="false">IF(PhaseSummary[[#This Row],[_Task]]="","",INDEX(tsk_PV,PhaseSummary[[#This Row],[_Task]]))</f>
        <v>0</v>
      </c>
      <c r="K10" s="47" t="n">
        <f aca="false">IF(PhaseSummary[[#This Row],[_Task]]="","",INDEX(tsk_EV,PhaseSummary[[#This Row],[_Task]]))</f>
        <v>0</v>
      </c>
      <c r="L10" s="47" t="n">
        <f aca="false">IF(PhaseSummary[[#This Row],[_Task]]="","",INDEX(tsk_AC,PhaseSummary[[#This Row],[_Task]]))</f>
        <v>0</v>
      </c>
      <c r="M10" s="48" t="str">
        <f aca="false">IF(PhaseSummary[[#This Row],[_Task]]="","",IF(N(PhaseSummary[[#This Row],[PV]])&gt;0,PhaseSummary[[#This Row],[EV]]/PhaseSummary[[#This Row],[PV]],""))</f>
        <v/>
      </c>
      <c r="N10" s="48" t="str">
        <f aca="false">IF(PhaseSummary[[#This Row],[_Task]]="","",IF(N(PhaseSummary[[#This Row],[AC]])&gt;0,PhaseSummary[[#This Row],[EV]]/PhaseSummary[[#This Row],[AC]],""))</f>
        <v/>
      </c>
      <c r="O10" s="49" t="n">
        <f aca="false">IF(PhaseSummary[[#This Row],[_Task]]="","",COUNTIFS(tsk_Phase,PhaseSummary[[#This Row],[WBS]],tsk_Critical,"Yes",tsk_IsLeaf,1))</f>
        <v>2</v>
      </c>
      <c r="P10" s="28" t="str">
        <f aca="false">IF(PhaseSummary[[#This Row],[_Task]]="","",CHOOSE(MAX(IF(N(PhaseSummary[[#This Row],[Finish Var]])&gt;=RAGRedSlipDays,2,IF(N(PhaseSummary[[#This Row],[Finish Var]])&gt;=RAGAmberSlipDays,1,0)),IF(ISNUMBER(PhaseSummary[[#This Row],[SPI]]),IF(PhaseSummary[[#This Row],[SPI]]&lt;RAGRedIndex,2,IF(PhaseSummary[[#This Row],[SPI]]&lt;RAGAmberIndex,1,0)),0),IF(ISNUMBER(PhaseSummary[[#This Row],[CPI]]),IF(PhaseSummary[[#This Row],[CPI]]&lt;RAGRedIndex,2,IF(PhaseSummary[[#This Row],[CPI]]&lt;RAGAmberIndex,1,0)),0))+1,"Green","Amber","Red"))</f>
        <v>Green</v>
      </c>
    </row>
    <row r="11" customFormat="false" ht="15" hidden="false" customHeight="false" outlineLevel="0" collapsed="false">
      <c r="B11" s="43" t="str">
        <f aca="false">IFERROR(MATCH(SMALL(tsk_PhaseKey,ROW()-ROW(PhaseSummary[[#Headers],[_Task]])),tsk_PhaseKey,0),"")</f>
        <v/>
      </c>
      <c r="C11" s="24" t="str">
        <f aca="false">IF(PhaseSummary[[#This Row],[_Task]]="","",INDEX(tsk_WBS,PhaseSummary[[#This Row],[_Task]])&amp;"")</f>
        <v/>
      </c>
      <c r="D11" s="24" t="str">
        <f aca="false">IF(PhaseSummary[[#This Row],[_Task]]="","",INDEX(tsk_Name,PhaseSummary[[#This Row],[_Task]])&amp;"")</f>
        <v/>
      </c>
      <c r="E11" s="44" t="str">
        <f aca="false">IF(PhaseSummary[[#This Row],[_Task]]="","",IF(N(INDEX(tsk_PlanFinish,PhaseSummary[[#This Row],[_Task]]))=0,"",INDEX(tsk_PlanFinish,PhaseSummary[[#This Row],[_Task]])))</f>
        <v/>
      </c>
      <c r="F11" s="44" t="str">
        <f aca="false">IF(PhaseSummary[[#This Row],[_Task]]="","",IF(N(INDEX(tsk_FcFinish,PhaseSummary[[#This Row],[_Task]]))=0,"",INDEX(tsk_FcFinish,PhaseSummary[[#This Row],[_Task]])))</f>
        <v/>
      </c>
      <c r="G11" s="45" t="str">
        <f aca="false">IF(PhaseSummary[[#This Row],[_Task]]="","",INDEX(tsk_Variance,PhaseSummary[[#This Row],[_Task]]))</f>
        <v/>
      </c>
      <c r="H11" s="46" t="str">
        <f aca="false">IF(PhaseSummary[[#This Row],[_Task]]="","",INDEX(tsk_Progress,PhaseSummary[[#This Row],[_Task]]))</f>
        <v/>
      </c>
      <c r="I11" s="47" t="str">
        <f aca="false">IF(PhaseSummary[[#This Row],[_Task]]="","",INDEX(tsk_Budget,PhaseSummary[[#This Row],[_Task]]))</f>
        <v/>
      </c>
      <c r="J11" s="47" t="str">
        <f aca="false">IF(PhaseSummary[[#This Row],[_Task]]="","",INDEX(tsk_PV,PhaseSummary[[#This Row],[_Task]]))</f>
        <v/>
      </c>
      <c r="K11" s="47" t="str">
        <f aca="false">IF(PhaseSummary[[#This Row],[_Task]]="","",INDEX(tsk_EV,PhaseSummary[[#This Row],[_Task]]))</f>
        <v/>
      </c>
      <c r="L11" s="47" t="str">
        <f aca="false">IF(PhaseSummary[[#This Row],[_Task]]="","",INDEX(tsk_AC,PhaseSummary[[#This Row],[_Task]]))</f>
        <v/>
      </c>
      <c r="M11" s="48" t="str">
        <f aca="false">IF(PhaseSummary[[#This Row],[_Task]]="","",IF(N(PhaseSummary[[#This Row],[PV]])&gt;0,PhaseSummary[[#This Row],[EV]]/PhaseSummary[[#This Row],[PV]],""))</f>
        <v/>
      </c>
      <c r="N11" s="48" t="str">
        <f aca="false">IF(PhaseSummary[[#This Row],[_Task]]="","",IF(N(PhaseSummary[[#This Row],[AC]])&gt;0,PhaseSummary[[#This Row],[EV]]/PhaseSummary[[#This Row],[AC]],""))</f>
        <v/>
      </c>
      <c r="O11" s="49" t="str">
        <f aca="false">IF(PhaseSummary[[#This Row],[_Task]]="","",COUNTIFS(tsk_Phase,PhaseSummary[[#This Row],[WBS]],tsk_Critical,"Yes",tsk_IsLeaf,1))</f>
        <v/>
      </c>
      <c r="P11" s="28" t="str">
        <f aca="false">IF(PhaseSummary[[#This Row],[_Task]]="","",CHOOSE(MAX(IF(N(PhaseSummary[[#This Row],[Finish Var]])&gt;=RAGRedSlipDays,2,IF(N(PhaseSummary[[#This Row],[Finish Var]])&gt;=RAGAmberSlipDays,1,0)),IF(ISNUMBER(PhaseSummary[[#This Row],[SPI]]),IF(PhaseSummary[[#This Row],[SPI]]&lt;RAGRedIndex,2,IF(PhaseSummary[[#This Row],[SPI]]&lt;RAGAmberIndex,1,0)),0),IF(ISNUMBER(PhaseSummary[[#This Row],[CPI]]),IF(PhaseSummary[[#This Row],[CPI]]&lt;RAGRedIndex,2,IF(PhaseSummary[[#This Row],[CPI]]&lt;RAGAmberIndex,1,0)),0))+1,"Green","Amber","Red"))</f>
        <v/>
      </c>
    </row>
    <row r="12" customFormat="false" ht="15" hidden="false" customHeight="false" outlineLevel="0" collapsed="false">
      <c r="B12" s="43" t="str">
        <f aca="false">IFERROR(MATCH(SMALL(tsk_PhaseKey,ROW()-ROW(PhaseSummary[[#Headers],[_Task]])),tsk_PhaseKey,0),"")</f>
        <v/>
      </c>
      <c r="C12" s="24" t="str">
        <f aca="false">IF(PhaseSummary[[#This Row],[_Task]]="","",INDEX(tsk_WBS,PhaseSummary[[#This Row],[_Task]])&amp;"")</f>
        <v/>
      </c>
      <c r="D12" s="24" t="str">
        <f aca="false">IF(PhaseSummary[[#This Row],[_Task]]="","",INDEX(tsk_Name,PhaseSummary[[#This Row],[_Task]])&amp;"")</f>
        <v/>
      </c>
      <c r="E12" s="44" t="str">
        <f aca="false">IF(PhaseSummary[[#This Row],[_Task]]="","",IF(N(INDEX(tsk_PlanFinish,PhaseSummary[[#This Row],[_Task]]))=0,"",INDEX(tsk_PlanFinish,PhaseSummary[[#This Row],[_Task]])))</f>
        <v/>
      </c>
      <c r="F12" s="44" t="str">
        <f aca="false">IF(PhaseSummary[[#This Row],[_Task]]="","",IF(N(INDEX(tsk_FcFinish,PhaseSummary[[#This Row],[_Task]]))=0,"",INDEX(tsk_FcFinish,PhaseSummary[[#This Row],[_Task]])))</f>
        <v/>
      </c>
      <c r="G12" s="45" t="str">
        <f aca="false">IF(PhaseSummary[[#This Row],[_Task]]="","",INDEX(tsk_Variance,PhaseSummary[[#This Row],[_Task]]))</f>
        <v/>
      </c>
      <c r="H12" s="46" t="str">
        <f aca="false">IF(PhaseSummary[[#This Row],[_Task]]="","",INDEX(tsk_Progress,PhaseSummary[[#This Row],[_Task]]))</f>
        <v/>
      </c>
      <c r="I12" s="47" t="str">
        <f aca="false">IF(PhaseSummary[[#This Row],[_Task]]="","",INDEX(tsk_Budget,PhaseSummary[[#This Row],[_Task]]))</f>
        <v/>
      </c>
      <c r="J12" s="47" t="str">
        <f aca="false">IF(PhaseSummary[[#This Row],[_Task]]="","",INDEX(tsk_PV,PhaseSummary[[#This Row],[_Task]]))</f>
        <v/>
      </c>
      <c r="K12" s="47" t="str">
        <f aca="false">IF(PhaseSummary[[#This Row],[_Task]]="","",INDEX(tsk_EV,PhaseSummary[[#This Row],[_Task]]))</f>
        <v/>
      </c>
      <c r="L12" s="47" t="str">
        <f aca="false">IF(PhaseSummary[[#This Row],[_Task]]="","",INDEX(tsk_AC,PhaseSummary[[#This Row],[_Task]]))</f>
        <v/>
      </c>
      <c r="M12" s="48" t="str">
        <f aca="false">IF(PhaseSummary[[#This Row],[_Task]]="","",IF(N(PhaseSummary[[#This Row],[PV]])&gt;0,PhaseSummary[[#This Row],[EV]]/PhaseSummary[[#This Row],[PV]],""))</f>
        <v/>
      </c>
      <c r="N12" s="48" t="str">
        <f aca="false">IF(PhaseSummary[[#This Row],[_Task]]="","",IF(N(PhaseSummary[[#This Row],[AC]])&gt;0,PhaseSummary[[#This Row],[EV]]/PhaseSummary[[#This Row],[AC]],""))</f>
        <v/>
      </c>
      <c r="O12" s="49" t="str">
        <f aca="false">IF(PhaseSummary[[#This Row],[_Task]]="","",COUNTIFS(tsk_Phase,PhaseSummary[[#This Row],[WBS]],tsk_Critical,"Yes",tsk_IsLeaf,1))</f>
        <v/>
      </c>
      <c r="P12" s="28" t="str">
        <f aca="false">IF(PhaseSummary[[#This Row],[_Task]]="","",CHOOSE(MAX(IF(N(PhaseSummary[[#This Row],[Finish Var]])&gt;=RAGRedSlipDays,2,IF(N(PhaseSummary[[#This Row],[Finish Var]])&gt;=RAGAmberSlipDays,1,0)),IF(ISNUMBER(PhaseSummary[[#This Row],[SPI]]),IF(PhaseSummary[[#This Row],[SPI]]&lt;RAGRedIndex,2,IF(PhaseSummary[[#This Row],[SPI]]&lt;RAGAmberIndex,1,0)),0),IF(ISNUMBER(PhaseSummary[[#This Row],[CPI]]),IF(PhaseSummary[[#This Row],[CPI]]&lt;RAGRedIndex,2,IF(PhaseSummary[[#This Row],[CPI]]&lt;RAGAmberIndex,1,0)),0))+1,"Green","Amber","Red"))</f>
        <v/>
      </c>
    </row>
    <row r="13" customFormat="false" ht="15" hidden="false" customHeight="false" outlineLevel="0" collapsed="false">
      <c r="B13" s="43" t="str">
        <f aca="false">IFERROR(MATCH(SMALL(tsk_PhaseKey,ROW()-ROW(PhaseSummary[[#Headers],[_Task]])),tsk_PhaseKey,0),"")</f>
        <v/>
      </c>
      <c r="C13" s="24" t="str">
        <f aca="false">IF(PhaseSummary[[#This Row],[_Task]]="","",INDEX(tsk_WBS,PhaseSummary[[#This Row],[_Task]])&amp;"")</f>
        <v/>
      </c>
      <c r="D13" s="24" t="str">
        <f aca="false">IF(PhaseSummary[[#This Row],[_Task]]="","",INDEX(tsk_Name,PhaseSummary[[#This Row],[_Task]])&amp;"")</f>
        <v/>
      </c>
      <c r="E13" s="44" t="str">
        <f aca="false">IF(PhaseSummary[[#This Row],[_Task]]="","",IF(N(INDEX(tsk_PlanFinish,PhaseSummary[[#This Row],[_Task]]))=0,"",INDEX(tsk_PlanFinish,PhaseSummary[[#This Row],[_Task]])))</f>
        <v/>
      </c>
      <c r="F13" s="44" t="str">
        <f aca="false">IF(PhaseSummary[[#This Row],[_Task]]="","",IF(N(INDEX(tsk_FcFinish,PhaseSummary[[#This Row],[_Task]]))=0,"",INDEX(tsk_FcFinish,PhaseSummary[[#This Row],[_Task]])))</f>
        <v/>
      </c>
      <c r="G13" s="45" t="str">
        <f aca="false">IF(PhaseSummary[[#This Row],[_Task]]="","",INDEX(tsk_Variance,PhaseSummary[[#This Row],[_Task]]))</f>
        <v/>
      </c>
      <c r="H13" s="46" t="str">
        <f aca="false">IF(PhaseSummary[[#This Row],[_Task]]="","",INDEX(tsk_Progress,PhaseSummary[[#This Row],[_Task]]))</f>
        <v/>
      </c>
      <c r="I13" s="47" t="str">
        <f aca="false">IF(PhaseSummary[[#This Row],[_Task]]="","",INDEX(tsk_Budget,PhaseSummary[[#This Row],[_Task]]))</f>
        <v/>
      </c>
      <c r="J13" s="47" t="str">
        <f aca="false">IF(PhaseSummary[[#This Row],[_Task]]="","",INDEX(tsk_PV,PhaseSummary[[#This Row],[_Task]]))</f>
        <v/>
      </c>
      <c r="K13" s="47" t="str">
        <f aca="false">IF(PhaseSummary[[#This Row],[_Task]]="","",INDEX(tsk_EV,PhaseSummary[[#This Row],[_Task]]))</f>
        <v/>
      </c>
      <c r="L13" s="47" t="str">
        <f aca="false">IF(PhaseSummary[[#This Row],[_Task]]="","",INDEX(tsk_AC,PhaseSummary[[#This Row],[_Task]]))</f>
        <v/>
      </c>
      <c r="M13" s="48" t="str">
        <f aca="false">IF(PhaseSummary[[#This Row],[_Task]]="","",IF(N(PhaseSummary[[#This Row],[PV]])&gt;0,PhaseSummary[[#This Row],[EV]]/PhaseSummary[[#This Row],[PV]],""))</f>
        <v/>
      </c>
      <c r="N13" s="48" t="str">
        <f aca="false">IF(PhaseSummary[[#This Row],[_Task]]="","",IF(N(PhaseSummary[[#This Row],[AC]])&gt;0,PhaseSummary[[#This Row],[EV]]/PhaseSummary[[#This Row],[AC]],""))</f>
        <v/>
      </c>
      <c r="O13" s="49" t="str">
        <f aca="false">IF(PhaseSummary[[#This Row],[_Task]]="","",COUNTIFS(tsk_Phase,PhaseSummary[[#This Row],[WBS]],tsk_Critical,"Yes",tsk_IsLeaf,1))</f>
        <v/>
      </c>
      <c r="P13" s="28" t="str">
        <f aca="false">IF(PhaseSummary[[#This Row],[_Task]]="","",CHOOSE(MAX(IF(N(PhaseSummary[[#This Row],[Finish Var]])&gt;=RAGRedSlipDays,2,IF(N(PhaseSummary[[#This Row],[Finish Var]])&gt;=RAGAmberSlipDays,1,0)),IF(ISNUMBER(PhaseSummary[[#This Row],[SPI]]),IF(PhaseSummary[[#This Row],[SPI]]&lt;RAGRedIndex,2,IF(PhaseSummary[[#This Row],[SPI]]&lt;RAGAmberIndex,1,0)),0),IF(ISNUMBER(PhaseSummary[[#This Row],[CPI]]),IF(PhaseSummary[[#This Row],[CPI]]&lt;RAGRedIndex,2,IF(PhaseSummary[[#This Row],[CPI]]&lt;RAGAmberIndex,1,0)),0))+1,"Green","Amber","Red"))</f>
        <v/>
      </c>
    </row>
    <row r="14" customFormat="false" ht="15" hidden="false" customHeight="false" outlineLevel="0" collapsed="false">
      <c r="B14" s="43" t="str">
        <f aca="false">IFERROR(MATCH(SMALL(tsk_PhaseKey,ROW()-ROW(PhaseSummary[[#Headers],[_Task]])),tsk_PhaseKey,0),"")</f>
        <v/>
      </c>
      <c r="C14" s="24" t="str">
        <f aca="false">IF(PhaseSummary[[#This Row],[_Task]]="","",INDEX(tsk_WBS,PhaseSummary[[#This Row],[_Task]])&amp;"")</f>
        <v/>
      </c>
      <c r="D14" s="24" t="str">
        <f aca="false">IF(PhaseSummary[[#This Row],[_Task]]="","",INDEX(tsk_Name,PhaseSummary[[#This Row],[_Task]])&amp;"")</f>
        <v/>
      </c>
      <c r="E14" s="44" t="str">
        <f aca="false">IF(PhaseSummary[[#This Row],[_Task]]="","",IF(N(INDEX(tsk_PlanFinish,PhaseSummary[[#This Row],[_Task]]))=0,"",INDEX(tsk_PlanFinish,PhaseSummary[[#This Row],[_Task]])))</f>
        <v/>
      </c>
      <c r="F14" s="44" t="str">
        <f aca="false">IF(PhaseSummary[[#This Row],[_Task]]="","",IF(N(INDEX(tsk_FcFinish,PhaseSummary[[#This Row],[_Task]]))=0,"",INDEX(tsk_FcFinish,PhaseSummary[[#This Row],[_Task]])))</f>
        <v/>
      </c>
      <c r="G14" s="45" t="str">
        <f aca="false">IF(PhaseSummary[[#This Row],[_Task]]="","",INDEX(tsk_Variance,PhaseSummary[[#This Row],[_Task]]))</f>
        <v/>
      </c>
      <c r="H14" s="46" t="str">
        <f aca="false">IF(PhaseSummary[[#This Row],[_Task]]="","",INDEX(tsk_Progress,PhaseSummary[[#This Row],[_Task]]))</f>
        <v/>
      </c>
      <c r="I14" s="47" t="str">
        <f aca="false">IF(PhaseSummary[[#This Row],[_Task]]="","",INDEX(tsk_Budget,PhaseSummary[[#This Row],[_Task]]))</f>
        <v/>
      </c>
      <c r="J14" s="47" t="str">
        <f aca="false">IF(PhaseSummary[[#This Row],[_Task]]="","",INDEX(tsk_PV,PhaseSummary[[#This Row],[_Task]]))</f>
        <v/>
      </c>
      <c r="K14" s="47" t="str">
        <f aca="false">IF(PhaseSummary[[#This Row],[_Task]]="","",INDEX(tsk_EV,PhaseSummary[[#This Row],[_Task]]))</f>
        <v/>
      </c>
      <c r="L14" s="47" t="str">
        <f aca="false">IF(PhaseSummary[[#This Row],[_Task]]="","",INDEX(tsk_AC,PhaseSummary[[#This Row],[_Task]]))</f>
        <v/>
      </c>
      <c r="M14" s="48" t="str">
        <f aca="false">IF(PhaseSummary[[#This Row],[_Task]]="","",IF(N(PhaseSummary[[#This Row],[PV]])&gt;0,PhaseSummary[[#This Row],[EV]]/PhaseSummary[[#This Row],[PV]],""))</f>
        <v/>
      </c>
      <c r="N14" s="48" t="str">
        <f aca="false">IF(PhaseSummary[[#This Row],[_Task]]="","",IF(N(PhaseSummary[[#This Row],[AC]])&gt;0,PhaseSummary[[#This Row],[EV]]/PhaseSummary[[#This Row],[AC]],""))</f>
        <v/>
      </c>
      <c r="O14" s="49" t="str">
        <f aca="false">IF(PhaseSummary[[#This Row],[_Task]]="","",COUNTIFS(tsk_Phase,PhaseSummary[[#This Row],[WBS]],tsk_Critical,"Yes",tsk_IsLeaf,1))</f>
        <v/>
      </c>
      <c r="P14" s="28" t="str">
        <f aca="false">IF(PhaseSummary[[#This Row],[_Task]]="","",CHOOSE(MAX(IF(N(PhaseSummary[[#This Row],[Finish Var]])&gt;=RAGRedSlipDays,2,IF(N(PhaseSummary[[#This Row],[Finish Var]])&gt;=RAGAmberSlipDays,1,0)),IF(ISNUMBER(PhaseSummary[[#This Row],[SPI]]),IF(PhaseSummary[[#This Row],[SPI]]&lt;RAGRedIndex,2,IF(PhaseSummary[[#This Row],[SPI]]&lt;RAGAmberIndex,1,0)),0),IF(ISNUMBER(PhaseSummary[[#This Row],[CPI]]),IF(PhaseSummary[[#This Row],[CPI]]&lt;RAGRedIndex,2,IF(PhaseSummary[[#This Row],[CPI]]&lt;RAGAmberIndex,1,0)),0))+1,"Green","Amber","Red"))</f>
        <v/>
      </c>
    </row>
    <row r="15" customFormat="false" ht="15" hidden="false" customHeight="false" outlineLevel="0" collapsed="false">
      <c r="B15" s="43" t="str">
        <f aca="false">IFERROR(MATCH(SMALL(tsk_PhaseKey,ROW()-ROW(PhaseSummary[[#Headers],[_Task]])),tsk_PhaseKey,0),"")</f>
        <v/>
      </c>
      <c r="C15" s="24" t="str">
        <f aca="false">IF(PhaseSummary[[#This Row],[_Task]]="","",INDEX(tsk_WBS,PhaseSummary[[#This Row],[_Task]])&amp;"")</f>
        <v/>
      </c>
      <c r="D15" s="24" t="str">
        <f aca="false">IF(PhaseSummary[[#This Row],[_Task]]="","",INDEX(tsk_Name,PhaseSummary[[#This Row],[_Task]])&amp;"")</f>
        <v/>
      </c>
      <c r="E15" s="44" t="str">
        <f aca="false">IF(PhaseSummary[[#This Row],[_Task]]="","",IF(N(INDEX(tsk_PlanFinish,PhaseSummary[[#This Row],[_Task]]))=0,"",INDEX(tsk_PlanFinish,PhaseSummary[[#This Row],[_Task]])))</f>
        <v/>
      </c>
      <c r="F15" s="44" t="str">
        <f aca="false">IF(PhaseSummary[[#This Row],[_Task]]="","",IF(N(INDEX(tsk_FcFinish,PhaseSummary[[#This Row],[_Task]]))=0,"",INDEX(tsk_FcFinish,PhaseSummary[[#This Row],[_Task]])))</f>
        <v/>
      </c>
      <c r="G15" s="45" t="str">
        <f aca="false">IF(PhaseSummary[[#This Row],[_Task]]="","",INDEX(tsk_Variance,PhaseSummary[[#This Row],[_Task]]))</f>
        <v/>
      </c>
      <c r="H15" s="46" t="str">
        <f aca="false">IF(PhaseSummary[[#This Row],[_Task]]="","",INDEX(tsk_Progress,PhaseSummary[[#This Row],[_Task]]))</f>
        <v/>
      </c>
      <c r="I15" s="47" t="str">
        <f aca="false">IF(PhaseSummary[[#This Row],[_Task]]="","",INDEX(tsk_Budget,PhaseSummary[[#This Row],[_Task]]))</f>
        <v/>
      </c>
      <c r="J15" s="47" t="str">
        <f aca="false">IF(PhaseSummary[[#This Row],[_Task]]="","",INDEX(tsk_PV,PhaseSummary[[#This Row],[_Task]]))</f>
        <v/>
      </c>
      <c r="K15" s="47" t="str">
        <f aca="false">IF(PhaseSummary[[#This Row],[_Task]]="","",INDEX(tsk_EV,PhaseSummary[[#This Row],[_Task]]))</f>
        <v/>
      </c>
      <c r="L15" s="47" t="str">
        <f aca="false">IF(PhaseSummary[[#This Row],[_Task]]="","",INDEX(tsk_AC,PhaseSummary[[#This Row],[_Task]]))</f>
        <v/>
      </c>
      <c r="M15" s="48" t="str">
        <f aca="false">IF(PhaseSummary[[#This Row],[_Task]]="","",IF(N(PhaseSummary[[#This Row],[PV]])&gt;0,PhaseSummary[[#This Row],[EV]]/PhaseSummary[[#This Row],[PV]],""))</f>
        <v/>
      </c>
      <c r="N15" s="48" t="str">
        <f aca="false">IF(PhaseSummary[[#This Row],[_Task]]="","",IF(N(PhaseSummary[[#This Row],[AC]])&gt;0,PhaseSummary[[#This Row],[EV]]/PhaseSummary[[#This Row],[AC]],""))</f>
        <v/>
      </c>
      <c r="O15" s="49" t="str">
        <f aca="false">IF(PhaseSummary[[#This Row],[_Task]]="","",COUNTIFS(tsk_Phase,PhaseSummary[[#This Row],[WBS]],tsk_Critical,"Yes",tsk_IsLeaf,1))</f>
        <v/>
      </c>
      <c r="P15" s="28" t="str">
        <f aca="false">IF(PhaseSummary[[#This Row],[_Task]]="","",CHOOSE(MAX(IF(N(PhaseSummary[[#This Row],[Finish Var]])&gt;=RAGRedSlipDays,2,IF(N(PhaseSummary[[#This Row],[Finish Var]])&gt;=RAGAmberSlipDays,1,0)),IF(ISNUMBER(PhaseSummary[[#This Row],[SPI]]),IF(PhaseSummary[[#This Row],[SPI]]&lt;RAGRedIndex,2,IF(PhaseSummary[[#This Row],[SPI]]&lt;RAGAmberIndex,1,0)),0),IF(ISNUMBER(PhaseSummary[[#This Row],[CPI]]),IF(PhaseSummary[[#This Row],[CPI]]&lt;RAGRedIndex,2,IF(PhaseSummary[[#This Row],[CPI]]&lt;RAGAmberIndex,1,0)),0))+1,"Green","Amber","Red"))</f>
        <v/>
      </c>
    </row>
    <row r="17" customFormat="false" ht="15" hidden="false" customHeight="false" outlineLevel="0" collapsed="false">
      <c r="C17" s="36" t="str">
        <f aca="false">"Milestones (in planned order)"&amp;": "&amp;COUNT(tsk_MilestoneOrder)&amp;IF(COUNT(tsk_MilestoneOrder)&gt;ROWS(MilestoneReport[_Task])," (showing the first "&amp;ROWS(MilestoneReport[_Task])&amp;")","")</f>
        <v>Milestones (in planned order): 5</v>
      </c>
    </row>
    <row r="18" customFormat="false" ht="23.85" hidden="false" customHeight="false" outlineLevel="0" collapsed="false">
      <c r="B18" s="42" t="s">
        <v>168</v>
      </c>
      <c r="C18" s="9" t="s">
        <v>169</v>
      </c>
      <c r="D18" s="9" t="s">
        <v>182</v>
      </c>
      <c r="E18" s="9" t="s">
        <v>183</v>
      </c>
      <c r="F18" s="9" t="s">
        <v>184</v>
      </c>
      <c r="G18" s="9" t="s">
        <v>173</v>
      </c>
      <c r="H18" s="9" t="s">
        <v>185</v>
      </c>
      <c r="I18" s="9" t="s">
        <v>186</v>
      </c>
      <c r="J18" s="9" t="s">
        <v>81</v>
      </c>
    </row>
    <row r="19" customFormat="false" ht="15" hidden="false" customHeight="false" outlineLevel="0" collapsed="false">
      <c r="B19" s="43" t="n">
        <f aca="false">IFERROR(MATCH(SMALL(tsk_MilestoneOrder,ROW()-ROW(MilestoneReport[[#Headers],[_Task]])),tsk_MilestoneOrder,0),"")</f>
        <v>4</v>
      </c>
      <c r="C19" s="24" t="str">
        <f aca="false">IF(MilestoneReport[[#This Row],[_Task]]="","",INDEX(tsk_WBS,MilestoneReport[[#This Row],[_Task]])&amp;"")</f>
        <v>1.3</v>
      </c>
      <c r="D19" s="24" t="str">
        <f aca="false">IF(MilestoneReport[[#This Row],[_Task]]="","",INDEX(tsk_Name,MilestoneReport[[#This Row],[_Task]])&amp;"")</f>
        <v>Kickoff complete</v>
      </c>
      <c r="E19" s="44" t="n">
        <f aca="false">IF(MilestoneReport[[#This Row],[_Task]]="","",IF(N(INDEX(tsk_PlanFinish,MilestoneReport[[#This Row],[_Task]]))=0,"",INDEX(tsk_PlanFinish,MilestoneReport[[#This Row],[_Task]])))</f>
        <v>46276</v>
      </c>
      <c r="F19" s="44" t="n">
        <f aca="false">IF(MilestoneReport[[#This Row],[_Task]]="","",IF(N(INDEX(tsk_FcFinish,MilestoneReport[[#This Row],[_Task]]))=0,"",INDEX(tsk_FcFinish,MilestoneReport[[#This Row],[_Task]])))</f>
        <v>46279</v>
      </c>
      <c r="G19" s="45" t="n">
        <f aca="false">IF(MilestoneReport[[#This Row],[_Task]]="","",INDEX(tsk_Variance,MilestoneReport[[#This Row],[_Task]]))</f>
        <v>1</v>
      </c>
      <c r="H19" s="44" t="str">
        <f aca="false">IF(MilestoneReport[[#This Row],[_Task]]="","",IF(N(INDEX(tsk_Deadline,MilestoneReport[[#This Row],[_Task]]))=0,"",INDEX(tsk_Deadline,MilestoneReport[[#This Row],[_Task]])))</f>
        <v/>
      </c>
      <c r="I19" s="24" t="str">
        <f aca="false">IF(MilestoneReport[[#This Row],[_Task]]="","",INDEX(tsk_DeadlineCheck,MilestoneReport[[#This Row],[_Task]])&amp;"")</f>
        <v/>
      </c>
      <c r="J19" s="24" t="str">
        <f aca="false">IF(MilestoneReport[[#This Row],[_Task]]="","",INDEX(tsk_Status,MilestoneReport[[#This Row],[_Task]])&amp;"")</f>
        <v>Complete</v>
      </c>
    </row>
    <row r="20" customFormat="false" ht="15" hidden="false" customHeight="false" outlineLevel="0" collapsed="false">
      <c r="B20" s="43" t="n">
        <f aca="false">IFERROR(MATCH(SMALL(tsk_MilestoneOrder,ROW()-ROW(MilestoneReport[[#Headers],[_Task]])),tsk_MilestoneOrder,0),"")</f>
        <v>9</v>
      </c>
      <c r="C20" s="24" t="str">
        <f aca="false">IF(MilestoneReport[[#This Row],[_Task]]="","",INDEX(tsk_WBS,MilestoneReport[[#This Row],[_Task]])&amp;"")</f>
        <v>2.4</v>
      </c>
      <c r="D20" s="24" t="str">
        <f aca="false">IF(MilestoneReport[[#This Row],[_Task]]="","",INDEX(tsk_Name,MilestoneReport[[#This Row],[_Task]])&amp;"")</f>
        <v>Design sign-off</v>
      </c>
      <c r="E20" s="44" t="n">
        <f aca="false">IF(MilestoneReport[[#This Row],[_Task]]="","",IF(N(INDEX(tsk_PlanFinish,MilestoneReport[[#This Row],[_Task]]))=0,"",INDEX(tsk_PlanFinish,MilestoneReport[[#This Row],[_Task]])))</f>
        <v>46296</v>
      </c>
      <c r="F20" s="44" t="n">
        <f aca="false">IF(MilestoneReport[[#This Row],[_Task]]="","",IF(N(INDEX(tsk_FcFinish,MilestoneReport[[#This Row],[_Task]]))=0,"",INDEX(tsk_FcFinish,MilestoneReport[[#This Row],[_Task]])))</f>
        <v>46301</v>
      </c>
      <c r="G20" s="45" t="n">
        <f aca="false">IF(MilestoneReport[[#This Row],[_Task]]="","",INDEX(tsk_Variance,MilestoneReport[[#This Row],[_Task]]))</f>
        <v>3</v>
      </c>
      <c r="H20" s="44" t="str">
        <f aca="false">IF(MilestoneReport[[#This Row],[_Task]]="","",IF(N(INDEX(tsk_Deadline,MilestoneReport[[#This Row],[_Task]]))=0,"",INDEX(tsk_Deadline,MilestoneReport[[#This Row],[_Task]])))</f>
        <v/>
      </c>
      <c r="I20" s="24" t="str">
        <f aca="false">IF(MilestoneReport[[#This Row],[_Task]]="","",INDEX(tsk_DeadlineCheck,MilestoneReport[[#This Row],[_Task]])&amp;"")</f>
        <v/>
      </c>
      <c r="J20" s="24" t="str">
        <f aca="false">IF(MilestoneReport[[#This Row],[_Task]]="","",INDEX(tsk_Status,MilestoneReport[[#This Row],[_Task]])&amp;"")</f>
        <v>Complete</v>
      </c>
    </row>
    <row r="21" customFormat="false" ht="15" hidden="false" customHeight="false" outlineLevel="0" collapsed="false">
      <c r="B21" s="43" t="n">
        <f aca="false">IFERROR(MATCH(SMALL(tsk_MilestoneOrder,ROW()-ROW(MilestoneReport[[#Headers],[_Task]])),tsk_MilestoneOrder,0),"")</f>
        <v>19</v>
      </c>
      <c r="C21" s="24" t="str">
        <f aca="false">IF(MilestoneReport[[#This Row],[_Task]]="","",INDEX(tsk_WBS,MilestoneReport[[#This Row],[_Task]])&amp;"")</f>
        <v>3.3</v>
      </c>
      <c r="D21" s="24" t="str">
        <f aca="false">IF(MilestoneReport[[#This Row],[_Task]]="","",INDEX(tsk_Name,MilestoneReport[[#This Row],[_Task]])&amp;"")</f>
        <v>Build complete</v>
      </c>
      <c r="E21" s="44" t="n">
        <f aca="false">IF(MilestoneReport[[#This Row],[_Task]]="","",IF(N(INDEX(tsk_PlanFinish,MilestoneReport[[#This Row],[_Task]]))=0,"",INDEX(tsk_PlanFinish,MilestoneReport[[#This Row],[_Task]])))</f>
        <v>46325</v>
      </c>
      <c r="F21" s="44" t="n">
        <f aca="false">IF(MilestoneReport[[#This Row],[_Task]]="","",IF(N(INDEX(tsk_FcFinish,MilestoneReport[[#This Row],[_Task]]))=0,"",INDEX(tsk_FcFinish,MilestoneReport[[#This Row],[_Task]])))</f>
        <v>46335</v>
      </c>
      <c r="G21" s="45" t="n">
        <f aca="false">IF(MilestoneReport[[#This Row],[_Task]]="","",INDEX(tsk_Variance,MilestoneReport[[#This Row],[_Task]]))</f>
        <v>6</v>
      </c>
      <c r="H21" s="44" t="n">
        <f aca="false">IF(MilestoneReport[[#This Row],[_Task]]="","",IF(N(INDEX(tsk_Deadline,MilestoneReport[[#This Row],[_Task]]))=0,"",INDEX(tsk_Deadline,MilestoneReport[[#This Row],[_Task]])))</f>
        <v>46332</v>
      </c>
      <c r="I21" s="24" t="str">
        <f aca="false">IF(MilestoneReport[[#This Row],[_Task]]="","",INDEX(tsk_DeadlineCheck,MilestoneReport[[#This Row],[_Task]])&amp;"")</f>
        <v>Late by 1d</v>
      </c>
      <c r="J21" s="24" t="str">
        <f aca="false">IF(MilestoneReport[[#This Row],[_Task]]="","",INDEX(tsk_Status,MilestoneReport[[#This Row],[_Task]])&amp;"")</f>
        <v>Not Started</v>
      </c>
    </row>
    <row r="22" customFormat="false" ht="15" hidden="false" customHeight="false" outlineLevel="0" collapsed="false">
      <c r="B22" s="43" t="n">
        <f aca="false">IFERROR(MATCH(SMALL(tsk_MilestoneOrder,ROW()-ROW(MilestoneReport[[#Headers],[_Task]])),tsk_MilestoneOrder,0),"")</f>
        <v>25</v>
      </c>
      <c r="C22" s="24" t="str">
        <f aca="false">IF(MilestoneReport[[#This Row],[_Task]]="","",INDEX(tsk_WBS,MilestoneReport[[#This Row],[_Task]])&amp;"")</f>
        <v>4.5</v>
      </c>
      <c r="D22" s="24" t="str">
        <f aca="false">IF(MilestoneReport[[#This Row],[_Task]]="","",INDEX(tsk_Name,MilestoneReport[[#This Row],[_Task]])&amp;"")</f>
        <v>Go-live</v>
      </c>
      <c r="E22" s="44" t="n">
        <f aca="false">IF(MilestoneReport[[#This Row],[_Task]]="","",IF(N(INDEX(tsk_PlanFinish,MilestoneReport[[#This Row],[_Task]]))=0,"",INDEX(tsk_PlanFinish,MilestoneReport[[#This Row],[_Task]])))</f>
        <v>46371</v>
      </c>
      <c r="F22" s="44" t="n">
        <f aca="false">IF(MilestoneReport[[#This Row],[_Task]]="","",IF(N(INDEX(tsk_FcFinish,MilestoneReport[[#This Row],[_Task]]))=0,"",INDEX(tsk_FcFinish,MilestoneReport[[#This Row],[_Task]])))</f>
        <v>46371</v>
      </c>
      <c r="G22" s="45" t="n">
        <f aca="false">IF(MilestoneReport[[#This Row],[_Task]]="","",INDEX(tsk_Variance,MilestoneReport[[#This Row],[_Task]]))</f>
        <v>0</v>
      </c>
      <c r="H22" s="44" t="n">
        <f aca="false">IF(MilestoneReport[[#This Row],[_Task]]="","",IF(N(INDEX(tsk_Deadline,MilestoneReport[[#This Row],[_Task]]))=0,"",INDEX(tsk_Deadline,MilestoneReport[[#This Row],[_Task]])))</f>
        <v>46374</v>
      </c>
      <c r="I22" s="24" t="str">
        <f aca="false">IF(MilestoneReport[[#This Row],[_Task]]="","",INDEX(tsk_DeadlineCheck,MilestoneReport[[#This Row],[_Task]])&amp;"")</f>
        <v>OK</v>
      </c>
      <c r="J22" s="24" t="str">
        <f aca="false">IF(MilestoneReport[[#This Row],[_Task]]="","",INDEX(tsk_Status,MilestoneReport[[#This Row],[_Task]])&amp;"")</f>
        <v>Not Started</v>
      </c>
    </row>
    <row r="23" customFormat="false" ht="15" hidden="false" customHeight="false" outlineLevel="0" collapsed="false">
      <c r="B23" s="43" t="n">
        <f aca="false">IFERROR(MATCH(SMALL(tsk_MilestoneOrder,ROW()-ROW(MilestoneReport[[#Headers],[_Task]])),tsk_MilestoneOrder,0),"")</f>
        <v>30</v>
      </c>
      <c r="C23" s="24" t="str">
        <f aca="false">IF(MilestoneReport[[#This Row],[_Task]]="","",INDEX(tsk_WBS,MilestoneReport[[#This Row],[_Task]])&amp;"")</f>
        <v>5.3</v>
      </c>
      <c r="D23" s="24" t="str">
        <f aca="false">IF(MilestoneReport[[#This Row],[_Task]]="","",INDEX(tsk_Name,MilestoneReport[[#This Row],[_Task]])&amp;"")</f>
        <v>Project closed</v>
      </c>
      <c r="E23" s="44" t="n">
        <f aca="false">IF(MilestoneReport[[#This Row],[_Task]]="","",IF(N(INDEX(tsk_PlanFinish,MilestoneReport[[#This Row],[_Task]]))=0,"",INDEX(tsk_PlanFinish,MilestoneReport[[#This Row],[_Task]])))</f>
        <v>46393</v>
      </c>
      <c r="F23" s="44" t="n">
        <f aca="false">IF(MilestoneReport[[#This Row],[_Task]]="","",IF(N(INDEX(tsk_FcFinish,MilestoneReport[[#This Row],[_Task]]))=0,"",INDEX(tsk_FcFinish,MilestoneReport[[#This Row],[_Task]])))</f>
        <v>46393</v>
      </c>
      <c r="G23" s="45" t="n">
        <f aca="false">IF(MilestoneReport[[#This Row],[_Task]]="","",INDEX(tsk_Variance,MilestoneReport[[#This Row],[_Task]]))</f>
        <v>0</v>
      </c>
      <c r="H23" s="44" t="str">
        <f aca="false">IF(MilestoneReport[[#This Row],[_Task]]="","",IF(N(INDEX(tsk_Deadline,MilestoneReport[[#This Row],[_Task]]))=0,"",INDEX(tsk_Deadline,MilestoneReport[[#This Row],[_Task]])))</f>
        <v/>
      </c>
      <c r="I23" s="24" t="str">
        <f aca="false">IF(MilestoneReport[[#This Row],[_Task]]="","",INDEX(tsk_DeadlineCheck,MilestoneReport[[#This Row],[_Task]])&amp;"")</f>
        <v/>
      </c>
      <c r="J23" s="24" t="str">
        <f aca="false">IF(MilestoneReport[[#This Row],[_Task]]="","",INDEX(tsk_Status,MilestoneReport[[#This Row],[_Task]])&amp;"")</f>
        <v>Not Started</v>
      </c>
    </row>
    <row r="24" customFormat="false" ht="15" hidden="false" customHeight="false" outlineLevel="0" collapsed="false">
      <c r="B24" s="43" t="str">
        <f aca="false">IFERROR(MATCH(SMALL(tsk_MilestoneOrder,ROW()-ROW(MilestoneReport[[#Headers],[_Task]])),tsk_MilestoneOrder,0),"")</f>
        <v/>
      </c>
      <c r="C24" s="24" t="str">
        <f aca="false">IF(MilestoneReport[[#This Row],[_Task]]="","",INDEX(tsk_WBS,MilestoneReport[[#This Row],[_Task]])&amp;"")</f>
        <v/>
      </c>
      <c r="D24" s="24" t="str">
        <f aca="false">IF(MilestoneReport[[#This Row],[_Task]]="","",INDEX(tsk_Name,MilestoneReport[[#This Row],[_Task]])&amp;"")</f>
        <v/>
      </c>
      <c r="E24" s="44" t="str">
        <f aca="false">IF(MilestoneReport[[#This Row],[_Task]]="","",IF(N(INDEX(tsk_PlanFinish,MilestoneReport[[#This Row],[_Task]]))=0,"",INDEX(tsk_PlanFinish,MilestoneReport[[#This Row],[_Task]])))</f>
        <v/>
      </c>
      <c r="F24" s="44" t="str">
        <f aca="false">IF(MilestoneReport[[#This Row],[_Task]]="","",IF(N(INDEX(tsk_FcFinish,MilestoneReport[[#This Row],[_Task]]))=0,"",INDEX(tsk_FcFinish,MilestoneReport[[#This Row],[_Task]])))</f>
        <v/>
      </c>
      <c r="G24" s="45" t="str">
        <f aca="false">IF(MilestoneReport[[#This Row],[_Task]]="","",INDEX(tsk_Variance,MilestoneReport[[#This Row],[_Task]]))</f>
        <v/>
      </c>
      <c r="H24" s="44" t="str">
        <f aca="false">IF(MilestoneReport[[#This Row],[_Task]]="","",IF(N(INDEX(tsk_Deadline,MilestoneReport[[#This Row],[_Task]]))=0,"",INDEX(tsk_Deadline,MilestoneReport[[#This Row],[_Task]])))</f>
        <v/>
      </c>
      <c r="I24" s="24" t="str">
        <f aca="false">IF(MilestoneReport[[#This Row],[_Task]]="","",INDEX(tsk_DeadlineCheck,MilestoneReport[[#This Row],[_Task]])&amp;"")</f>
        <v/>
      </c>
      <c r="J24" s="24" t="str">
        <f aca="false">IF(MilestoneReport[[#This Row],[_Task]]="","",INDEX(tsk_Status,MilestoneReport[[#This Row],[_Task]])&amp;"")</f>
        <v/>
      </c>
    </row>
    <row r="25" customFormat="false" ht="15" hidden="false" customHeight="false" outlineLevel="0" collapsed="false">
      <c r="B25" s="43" t="str">
        <f aca="false">IFERROR(MATCH(SMALL(tsk_MilestoneOrder,ROW()-ROW(MilestoneReport[[#Headers],[_Task]])),tsk_MilestoneOrder,0),"")</f>
        <v/>
      </c>
      <c r="C25" s="24" t="str">
        <f aca="false">IF(MilestoneReport[[#This Row],[_Task]]="","",INDEX(tsk_WBS,MilestoneReport[[#This Row],[_Task]])&amp;"")</f>
        <v/>
      </c>
      <c r="D25" s="24" t="str">
        <f aca="false">IF(MilestoneReport[[#This Row],[_Task]]="","",INDEX(tsk_Name,MilestoneReport[[#This Row],[_Task]])&amp;"")</f>
        <v/>
      </c>
      <c r="E25" s="44" t="str">
        <f aca="false">IF(MilestoneReport[[#This Row],[_Task]]="","",IF(N(INDEX(tsk_PlanFinish,MilestoneReport[[#This Row],[_Task]]))=0,"",INDEX(tsk_PlanFinish,MilestoneReport[[#This Row],[_Task]])))</f>
        <v/>
      </c>
      <c r="F25" s="44" t="str">
        <f aca="false">IF(MilestoneReport[[#This Row],[_Task]]="","",IF(N(INDEX(tsk_FcFinish,MilestoneReport[[#This Row],[_Task]]))=0,"",INDEX(tsk_FcFinish,MilestoneReport[[#This Row],[_Task]])))</f>
        <v/>
      </c>
      <c r="G25" s="45" t="str">
        <f aca="false">IF(MilestoneReport[[#This Row],[_Task]]="","",INDEX(tsk_Variance,MilestoneReport[[#This Row],[_Task]]))</f>
        <v/>
      </c>
      <c r="H25" s="44" t="str">
        <f aca="false">IF(MilestoneReport[[#This Row],[_Task]]="","",IF(N(INDEX(tsk_Deadline,MilestoneReport[[#This Row],[_Task]]))=0,"",INDEX(tsk_Deadline,MilestoneReport[[#This Row],[_Task]])))</f>
        <v/>
      </c>
      <c r="I25" s="24" t="str">
        <f aca="false">IF(MilestoneReport[[#This Row],[_Task]]="","",INDEX(tsk_DeadlineCheck,MilestoneReport[[#This Row],[_Task]])&amp;"")</f>
        <v/>
      </c>
      <c r="J25" s="24" t="str">
        <f aca="false">IF(MilestoneReport[[#This Row],[_Task]]="","",INDEX(tsk_Status,MilestoneReport[[#This Row],[_Task]])&amp;"")</f>
        <v/>
      </c>
    </row>
    <row r="26" customFormat="false" ht="15" hidden="false" customHeight="false" outlineLevel="0" collapsed="false">
      <c r="B26" s="43" t="str">
        <f aca="false">IFERROR(MATCH(SMALL(tsk_MilestoneOrder,ROW()-ROW(MilestoneReport[[#Headers],[_Task]])),tsk_MilestoneOrder,0),"")</f>
        <v/>
      </c>
      <c r="C26" s="24" t="str">
        <f aca="false">IF(MilestoneReport[[#This Row],[_Task]]="","",INDEX(tsk_WBS,MilestoneReport[[#This Row],[_Task]])&amp;"")</f>
        <v/>
      </c>
      <c r="D26" s="24" t="str">
        <f aca="false">IF(MilestoneReport[[#This Row],[_Task]]="","",INDEX(tsk_Name,MilestoneReport[[#This Row],[_Task]])&amp;"")</f>
        <v/>
      </c>
      <c r="E26" s="44" t="str">
        <f aca="false">IF(MilestoneReport[[#This Row],[_Task]]="","",IF(N(INDEX(tsk_PlanFinish,MilestoneReport[[#This Row],[_Task]]))=0,"",INDEX(tsk_PlanFinish,MilestoneReport[[#This Row],[_Task]])))</f>
        <v/>
      </c>
      <c r="F26" s="44" t="str">
        <f aca="false">IF(MilestoneReport[[#This Row],[_Task]]="","",IF(N(INDEX(tsk_FcFinish,MilestoneReport[[#This Row],[_Task]]))=0,"",INDEX(tsk_FcFinish,MilestoneReport[[#This Row],[_Task]])))</f>
        <v/>
      </c>
      <c r="G26" s="45" t="str">
        <f aca="false">IF(MilestoneReport[[#This Row],[_Task]]="","",INDEX(tsk_Variance,MilestoneReport[[#This Row],[_Task]]))</f>
        <v/>
      </c>
      <c r="H26" s="44" t="str">
        <f aca="false">IF(MilestoneReport[[#This Row],[_Task]]="","",IF(N(INDEX(tsk_Deadline,MilestoneReport[[#This Row],[_Task]]))=0,"",INDEX(tsk_Deadline,MilestoneReport[[#This Row],[_Task]])))</f>
        <v/>
      </c>
      <c r="I26" s="24" t="str">
        <f aca="false">IF(MilestoneReport[[#This Row],[_Task]]="","",INDEX(tsk_DeadlineCheck,MilestoneReport[[#This Row],[_Task]])&amp;"")</f>
        <v/>
      </c>
      <c r="J26" s="24" t="str">
        <f aca="false">IF(MilestoneReport[[#This Row],[_Task]]="","",INDEX(tsk_Status,MilestoneReport[[#This Row],[_Task]])&amp;"")</f>
        <v/>
      </c>
    </row>
    <row r="27" customFormat="false" ht="15" hidden="false" customHeight="false" outlineLevel="0" collapsed="false">
      <c r="B27" s="43" t="str">
        <f aca="false">IFERROR(MATCH(SMALL(tsk_MilestoneOrder,ROW()-ROW(MilestoneReport[[#Headers],[_Task]])),tsk_MilestoneOrder,0),"")</f>
        <v/>
      </c>
      <c r="C27" s="24" t="str">
        <f aca="false">IF(MilestoneReport[[#This Row],[_Task]]="","",INDEX(tsk_WBS,MilestoneReport[[#This Row],[_Task]])&amp;"")</f>
        <v/>
      </c>
      <c r="D27" s="24" t="str">
        <f aca="false">IF(MilestoneReport[[#This Row],[_Task]]="","",INDEX(tsk_Name,MilestoneReport[[#This Row],[_Task]])&amp;"")</f>
        <v/>
      </c>
      <c r="E27" s="44" t="str">
        <f aca="false">IF(MilestoneReport[[#This Row],[_Task]]="","",IF(N(INDEX(tsk_PlanFinish,MilestoneReport[[#This Row],[_Task]]))=0,"",INDEX(tsk_PlanFinish,MilestoneReport[[#This Row],[_Task]])))</f>
        <v/>
      </c>
      <c r="F27" s="44" t="str">
        <f aca="false">IF(MilestoneReport[[#This Row],[_Task]]="","",IF(N(INDEX(tsk_FcFinish,MilestoneReport[[#This Row],[_Task]]))=0,"",INDEX(tsk_FcFinish,MilestoneReport[[#This Row],[_Task]])))</f>
        <v/>
      </c>
      <c r="G27" s="45" t="str">
        <f aca="false">IF(MilestoneReport[[#This Row],[_Task]]="","",INDEX(tsk_Variance,MilestoneReport[[#This Row],[_Task]]))</f>
        <v/>
      </c>
      <c r="H27" s="44" t="str">
        <f aca="false">IF(MilestoneReport[[#This Row],[_Task]]="","",IF(N(INDEX(tsk_Deadline,MilestoneReport[[#This Row],[_Task]]))=0,"",INDEX(tsk_Deadline,MilestoneReport[[#This Row],[_Task]])))</f>
        <v/>
      </c>
      <c r="I27" s="24" t="str">
        <f aca="false">IF(MilestoneReport[[#This Row],[_Task]]="","",INDEX(tsk_DeadlineCheck,MilestoneReport[[#This Row],[_Task]])&amp;"")</f>
        <v/>
      </c>
      <c r="J27" s="24" t="str">
        <f aca="false">IF(MilestoneReport[[#This Row],[_Task]]="","",INDEX(tsk_Status,MilestoneReport[[#This Row],[_Task]])&amp;"")</f>
        <v/>
      </c>
    </row>
    <row r="28" customFormat="false" ht="15" hidden="false" customHeight="false" outlineLevel="0" collapsed="false">
      <c r="B28" s="43" t="str">
        <f aca="false">IFERROR(MATCH(SMALL(tsk_MilestoneOrder,ROW()-ROW(MilestoneReport[[#Headers],[_Task]])),tsk_MilestoneOrder,0),"")</f>
        <v/>
      </c>
      <c r="C28" s="24" t="str">
        <f aca="false">IF(MilestoneReport[[#This Row],[_Task]]="","",INDEX(tsk_WBS,MilestoneReport[[#This Row],[_Task]])&amp;"")</f>
        <v/>
      </c>
      <c r="D28" s="24" t="str">
        <f aca="false">IF(MilestoneReport[[#This Row],[_Task]]="","",INDEX(tsk_Name,MilestoneReport[[#This Row],[_Task]])&amp;"")</f>
        <v/>
      </c>
      <c r="E28" s="44" t="str">
        <f aca="false">IF(MilestoneReport[[#This Row],[_Task]]="","",IF(N(INDEX(tsk_PlanFinish,MilestoneReport[[#This Row],[_Task]]))=0,"",INDEX(tsk_PlanFinish,MilestoneReport[[#This Row],[_Task]])))</f>
        <v/>
      </c>
      <c r="F28" s="44" t="str">
        <f aca="false">IF(MilestoneReport[[#This Row],[_Task]]="","",IF(N(INDEX(tsk_FcFinish,MilestoneReport[[#This Row],[_Task]]))=0,"",INDEX(tsk_FcFinish,MilestoneReport[[#This Row],[_Task]])))</f>
        <v/>
      </c>
      <c r="G28" s="45" t="str">
        <f aca="false">IF(MilestoneReport[[#This Row],[_Task]]="","",INDEX(tsk_Variance,MilestoneReport[[#This Row],[_Task]]))</f>
        <v/>
      </c>
      <c r="H28" s="44" t="str">
        <f aca="false">IF(MilestoneReport[[#This Row],[_Task]]="","",IF(N(INDEX(tsk_Deadline,MilestoneReport[[#This Row],[_Task]]))=0,"",INDEX(tsk_Deadline,MilestoneReport[[#This Row],[_Task]])))</f>
        <v/>
      </c>
      <c r="I28" s="24" t="str">
        <f aca="false">IF(MilestoneReport[[#This Row],[_Task]]="","",INDEX(tsk_DeadlineCheck,MilestoneReport[[#This Row],[_Task]])&amp;"")</f>
        <v/>
      </c>
      <c r="J28" s="24" t="str">
        <f aca="false">IF(MilestoneReport[[#This Row],[_Task]]="","",INDEX(tsk_Status,MilestoneReport[[#This Row],[_Task]])&amp;"")</f>
        <v/>
      </c>
    </row>
    <row r="29" customFormat="false" ht="15" hidden="false" customHeight="false" outlineLevel="0" collapsed="false">
      <c r="B29" s="43" t="str">
        <f aca="false">IFERROR(MATCH(SMALL(tsk_MilestoneOrder,ROW()-ROW(MilestoneReport[[#Headers],[_Task]])),tsk_MilestoneOrder,0),"")</f>
        <v/>
      </c>
      <c r="C29" s="24" t="str">
        <f aca="false">IF(MilestoneReport[[#This Row],[_Task]]="","",INDEX(tsk_WBS,MilestoneReport[[#This Row],[_Task]])&amp;"")</f>
        <v/>
      </c>
      <c r="D29" s="24" t="str">
        <f aca="false">IF(MilestoneReport[[#This Row],[_Task]]="","",INDEX(tsk_Name,MilestoneReport[[#This Row],[_Task]])&amp;"")</f>
        <v/>
      </c>
      <c r="E29" s="44" t="str">
        <f aca="false">IF(MilestoneReport[[#This Row],[_Task]]="","",IF(N(INDEX(tsk_PlanFinish,MilestoneReport[[#This Row],[_Task]]))=0,"",INDEX(tsk_PlanFinish,MilestoneReport[[#This Row],[_Task]])))</f>
        <v/>
      </c>
      <c r="F29" s="44" t="str">
        <f aca="false">IF(MilestoneReport[[#This Row],[_Task]]="","",IF(N(INDEX(tsk_FcFinish,MilestoneReport[[#This Row],[_Task]]))=0,"",INDEX(tsk_FcFinish,MilestoneReport[[#This Row],[_Task]])))</f>
        <v/>
      </c>
      <c r="G29" s="45" t="str">
        <f aca="false">IF(MilestoneReport[[#This Row],[_Task]]="","",INDEX(tsk_Variance,MilestoneReport[[#This Row],[_Task]]))</f>
        <v/>
      </c>
      <c r="H29" s="44" t="str">
        <f aca="false">IF(MilestoneReport[[#This Row],[_Task]]="","",IF(N(INDEX(tsk_Deadline,MilestoneReport[[#This Row],[_Task]]))=0,"",INDEX(tsk_Deadline,MilestoneReport[[#This Row],[_Task]])))</f>
        <v/>
      </c>
      <c r="I29" s="24" t="str">
        <f aca="false">IF(MilestoneReport[[#This Row],[_Task]]="","",INDEX(tsk_DeadlineCheck,MilestoneReport[[#This Row],[_Task]])&amp;"")</f>
        <v/>
      </c>
      <c r="J29" s="24" t="str">
        <f aca="false">IF(MilestoneReport[[#This Row],[_Task]]="","",INDEX(tsk_Status,MilestoneReport[[#This Row],[_Task]])&amp;"")</f>
        <v/>
      </c>
    </row>
    <row r="30" customFormat="false" ht="15" hidden="false" customHeight="false" outlineLevel="0" collapsed="false">
      <c r="B30" s="43" t="str">
        <f aca="false">IFERROR(MATCH(SMALL(tsk_MilestoneOrder,ROW()-ROW(MilestoneReport[[#Headers],[_Task]])),tsk_MilestoneOrder,0),"")</f>
        <v/>
      </c>
      <c r="C30" s="24" t="str">
        <f aca="false">IF(MilestoneReport[[#This Row],[_Task]]="","",INDEX(tsk_WBS,MilestoneReport[[#This Row],[_Task]])&amp;"")</f>
        <v/>
      </c>
      <c r="D30" s="24" t="str">
        <f aca="false">IF(MilestoneReport[[#This Row],[_Task]]="","",INDEX(tsk_Name,MilestoneReport[[#This Row],[_Task]])&amp;"")</f>
        <v/>
      </c>
      <c r="E30" s="44" t="str">
        <f aca="false">IF(MilestoneReport[[#This Row],[_Task]]="","",IF(N(INDEX(tsk_PlanFinish,MilestoneReport[[#This Row],[_Task]]))=0,"",INDEX(tsk_PlanFinish,MilestoneReport[[#This Row],[_Task]])))</f>
        <v/>
      </c>
      <c r="F30" s="44" t="str">
        <f aca="false">IF(MilestoneReport[[#This Row],[_Task]]="","",IF(N(INDEX(tsk_FcFinish,MilestoneReport[[#This Row],[_Task]]))=0,"",INDEX(tsk_FcFinish,MilestoneReport[[#This Row],[_Task]])))</f>
        <v/>
      </c>
      <c r="G30" s="45" t="str">
        <f aca="false">IF(MilestoneReport[[#This Row],[_Task]]="","",INDEX(tsk_Variance,MilestoneReport[[#This Row],[_Task]]))</f>
        <v/>
      </c>
      <c r="H30" s="44" t="str">
        <f aca="false">IF(MilestoneReport[[#This Row],[_Task]]="","",IF(N(INDEX(tsk_Deadline,MilestoneReport[[#This Row],[_Task]]))=0,"",INDEX(tsk_Deadline,MilestoneReport[[#This Row],[_Task]])))</f>
        <v/>
      </c>
      <c r="I30" s="24" t="str">
        <f aca="false">IF(MilestoneReport[[#This Row],[_Task]]="","",INDEX(tsk_DeadlineCheck,MilestoneReport[[#This Row],[_Task]])&amp;"")</f>
        <v/>
      </c>
      <c r="J30" s="24" t="str">
        <f aca="false">IF(MilestoneReport[[#This Row],[_Task]]="","",INDEX(tsk_Status,MilestoneReport[[#This Row],[_Task]])&amp;"")</f>
        <v/>
      </c>
    </row>
    <row r="31" customFormat="false" ht="15" hidden="false" customHeight="false" outlineLevel="0" collapsed="false">
      <c r="B31" s="43" t="str">
        <f aca="false">IFERROR(MATCH(SMALL(tsk_MilestoneOrder,ROW()-ROW(MilestoneReport[[#Headers],[_Task]])),tsk_MilestoneOrder,0),"")</f>
        <v/>
      </c>
      <c r="C31" s="24" t="str">
        <f aca="false">IF(MilestoneReport[[#This Row],[_Task]]="","",INDEX(tsk_WBS,MilestoneReport[[#This Row],[_Task]])&amp;"")</f>
        <v/>
      </c>
      <c r="D31" s="24" t="str">
        <f aca="false">IF(MilestoneReport[[#This Row],[_Task]]="","",INDEX(tsk_Name,MilestoneReport[[#This Row],[_Task]])&amp;"")</f>
        <v/>
      </c>
      <c r="E31" s="44" t="str">
        <f aca="false">IF(MilestoneReport[[#This Row],[_Task]]="","",IF(N(INDEX(tsk_PlanFinish,MilestoneReport[[#This Row],[_Task]]))=0,"",INDEX(tsk_PlanFinish,MilestoneReport[[#This Row],[_Task]])))</f>
        <v/>
      </c>
      <c r="F31" s="44" t="str">
        <f aca="false">IF(MilestoneReport[[#This Row],[_Task]]="","",IF(N(INDEX(tsk_FcFinish,MilestoneReport[[#This Row],[_Task]]))=0,"",INDEX(tsk_FcFinish,MilestoneReport[[#This Row],[_Task]])))</f>
        <v/>
      </c>
      <c r="G31" s="45" t="str">
        <f aca="false">IF(MilestoneReport[[#This Row],[_Task]]="","",INDEX(tsk_Variance,MilestoneReport[[#This Row],[_Task]]))</f>
        <v/>
      </c>
      <c r="H31" s="44" t="str">
        <f aca="false">IF(MilestoneReport[[#This Row],[_Task]]="","",IF(N(INDEX(tsk_Deadline,MilestoneReport[[#This Row],[_Task]]))=0,"",INDEX(tsk_Deadline,MilestoneReport[[#This Row],[_Task]])))</f>
        <v/>
      </c>
      <c r="I31" s="24" t="str">
        <f aca="false">IF(MilestoneReport[[#This Row],[_Task]]="","",INDEX(tsk_DeadlineCheck,MilestoneReport[[#This Row],[_Task]])&amp;"")</f>
        <v/>
      </c>
      <c r="J31" s="24" t="str">
        <f aca="false">IF(MilestoneReport[[#This Row],[_Task]]="","",INDEX(tsk_Status,MilestoneReport[[#This Row],[_Task]])&amp;"")</f>
        <v/>
      </c>
    </row>
    <row r="32" customFormat="false" ht="15" hidden="false" customHeight="false" outlineLevel="0" collapsed="false">
      <c r="B32" s="43" t="str">
        <f aca="false">IFERROR(MATCH(SMALL(tsk_MilestoneOrder,ROW()-ROW(MilestoneReport[[#Headers],[_Task]])),tsk_MilestoneOrder,0),"")</f>
        <v/>
      </c>
      <c r="C32" s="24" t="str">
        <f aca="false">IF(MilestoneReport[[#This Row],[_Task]]="","",INDEX(tsk_WBS,MilestoneReport[[#This Row],[_Task]])&amp;"")</f>
        <v/>
      </c>
      <c r="D32" s="24" t="str">
        <f aca="false">IF(MilestoneReport[[#This Row],[_Task]]="","",INDEX(tsk_Name,MilestoneReport[[#This Row],[_Task]])&amp;"")</f>
        <v/>
      </c>
      <c r="E32" s="44" t="str">
        <f aca="false">IF(MilestoneReport[[#This Row],[_Task]]="","",IF(N(INDEX(tsk_PlanFinish,MilestoneReport[[#This Row],[_Task]]))=0,"",INDEX(tsk_PlanFinish,MilestoneReport[[#This Row],[_Task]])))</f>
        <v/>
      </c>
      <c r="F32" s="44" t="str">
        <f aca="false">IF(MilestoneReport[[#This Row],[_Task]]="","",IF(N(INDEX(tsk_FcFinish,MilestoneReport[[#This Row],[_Task]]))=0,"",INDEX(tsk_FcFinish,MilestoneReport[[#This Row],[_Task]])))</f>
        <v/>
      </c>
      <c r="G32" s="45" t="str">
        <f aca="false">IF(MilestoneReport[[#This Row],[_Task]]="","",INDEX(tsk_Variance,MilestoneReport[[#This Row],[_Task]]))</f>
        <v/>
      </c>
      <c r="H32" s="44" t="str">
        <f aca="false">IF(MilestoneReport[[#This Row],[_Task]]="","",IF(N(INDEX(tsk_Deadline,MilestoneReport[[#This Row],[_Task]]))=0,"",INDEX(tsk_Deadline,MilestoneReport[[#This Row],[_Task]])))</f>
        <v/>
      </c>
      <c r="I32" s="24" t="str">
        <f aca="false">IF(MilestoneReport[[#This Row],[_Task]]="","",INDEX(tsk_DeadlineCheck,MilestoneReport[[#This Row],[_Task]])&amp;"")</f>
        <v/>
      </c>
      <c r="J32" s="24" t="str">
        <f aca="false">IF(MilestoneReport[[#This Row],[_Task]]="","",INDEX(tsk_Status,MilestoneReport[[#This Row],[_Task]])&amp;"")</f>
        <v/>
      </c>
    </row>
    <row r="33" customFormat="false" ht="15" hidden="false" customHeight="false" outlineLevel="0" collapsed="false">
      <c r="B33" s="43" t="str">
        <f aca="false">IFERROR(MATCH(SMALL(tsk_MilestoneOrder,ROW()-ROW(MilestoneReport[[#Headers],[_Task]])),tsk_MilestoneOrder,0),"")</f>
        <v/>
      </c>
      <c r="C33" s="24" t="str">
        <f aca="false">IF(MilestoneReport[[#This Row],[_Task]]="","",INDEX(tsk_WBS,MilestoneReport[[#This Row],[_Task]])&amp;"")</f>
        <v/>
      </c>
      <c r="D33" s="24" t="str">
        <f aca="false">IF(MilestoneReport[[#This Row],[_Task]]="","",INDEX(tsk_Name,MilestoneReport[[#This Row],[_Task]])&amp;"")</f>
        <v/>
      </c>
      <c r="E33" s="44" t="str">
        <f aca="false">IF(MilestoneReport[[#This Row],[_Task]]="","",IF(N(INDEX(tsk_PlanFinish,MilestoneReport[[#This Row],[_Task]]))=0,"",INDEX(tsk_PlanFinish,MilestoneReport[[#This Row],[_Task]])))</f>
        <v/>
      </c>
      <c r="F33" s="44" t="str">
        <f aca="false">IF(MilestoneReport[[#This Row],[_Task]]="","",IF(N(INDEX(tsk_FcFinish,MilestoneReport[[#This Row],[_Task]]))=0,"",INDEX(tsk_FcFinish,MilestoneReport[[#This Row],[_Task]])))</f>
        <v/>
      </c>
      <c r="G33" s="45" t="str">
        <f aca="false">IF(MilestoneReport[[#This Row],[_Task]]="","",INDEX(tsk_Variance,MilestoneReport[[#This Row],[_Task]]))</f>
        <v/>
      </c>
      <c r="H33" s="44" t="str">
        <f aca="false">IF(MilestoneReport[[#This Row],[_Task]]="","",IF(N(INDEX(tsk_Deadline,MilestoneReport[[#This Row],[_Task]]))=0,"",INDEX(tsk_Deadline,MilestoneReport[[#This Row],[_Task]])))</f>
        <v/>
      </c>
      <c r="I33" s="24" t="str">
        <f aca="false">IF(MilestoneReport[[#This Row],[_Task]]="","",INDEX(tsk_DeadlineCheck,MilestoneReport[[#This Row],[_Task]])&amp;"")</f>
        <v/>
      </c>
      <c r="J33" s="24" t="str">
        <f aca="false">IF(MilestoneReport[[#This Row],[_Task]]="","",INDEX(tsk_Status,MilestoneReport[[#This Row],[_Task]])&amp;"")</f>
        <v/>
      </c>
    </row>
    <row r="35" customFormat="false" ht="15" hidden="false" customHeight="false" outlineLevel="0" collapsed="false">
      <c r="C35" s="36" t="str">
        <f aca="false">"Late tasks (most days late first)"&amp;": "&amp;COUNT(tsk_LateKey)&amp;IF(COUNT(tsk_LateKey)&gt;ROWS(LateTasks[_Task])," (showing the first "&amp;ROWS(LateTasks[_Task])&amp;")","")</f>
        <v>Late tasks (most days late first): 7</v>
      </c>
    </row>
    <row r="36" customFormat="false" ht="23.85" hidden="false" customHeight="false" outlineLevel="0" collapsed="false">
      <c r="B36" s="42" t="s">
        <v>168</v>
      </c>
      <c r="C36" s="9" t="s">
        <v>169</v>
      </c>
      <c r="D36" s="9" t="s">
        <v>187</v>
      </c>
      <c r="E36" s="9" t="s">
        <v>188</v>
      </c>
      <c r="F36" s="9" t="s">
        <v>171</v>
      </c>
      <c r="G36" s="9" t="s">
        <v>172</v>
      </c>
      <c r="H36" s="9" t="s">
        <v>173</v>
      </c>
      <c r="I36" s="9" t="s">
        <v>81</v>
      </c>
      <c r="J36" s="9" t="s">
        <v>189</v>
      </c>
    </row>
    <row r="37" customFormat="false" ht="15" hidden="false" customHeight="false" outlineLevel="0" collapsed="false">
      <c r="B37" s="43" t="n">
        <f aca="false">IFERROR(MATCH(LARGE(tsk_LateKey,ROW()-ROW(LateTasks[[#Headers],[_Task]])),tsk_LateKey,0),"")</f>
        <v>13</v>
      </c>
      <c r="C37" s="24" t="str">
        <f aca="false">IF(LateTasks[[#This Row],[_Task]]="","",INDEX(tsk_WBS,LateTasks[[#This Row],[_Task]])&amp;"")</f>
        <v>3.1.2</v>
      </c>
      <c r="D37" s="24" t="str">
        <f aca="false">IF(LateTasks[[#This Row],[_Task]]="","",INDEX(tsk_Name,LateTasks[[#This Row],[_Task]])&amp;"")</f>
        <v>Core API endpoints</v>
      </c>
      <c r="E37" s="24" t="str">
        <f aca="false">IF(LateTasks[[#This Row],[_Task]]="","",INDEX(tsk_Resource,LateTasks[[#This Row],[_Task]])&amp;"")</f>
        <v>Jordan Lee</v>
      </c>
      <c r="F37" s="44" t="n">
        <f aca="false">IF(LateTasks[[#This Row],[_Task]]="","",IF(N(INDEX(tsk_PlanFinish,LateTasks[[#This Row],[_Task]]))=0,"",INDEX(tsk_PlanFinish,LateTasks[[#This Row],[_Task]])))</f>
        <v>46317</v>
      </c>
      <c r="G37" s="44" t="n">
        <f aca="false">IF(LateTasks[[#This Row],[_Task]]="","",IF(N(INDEX(tsk_FcFinish,LateTasks[[#This Row],[_Task]]))=0,"",INDEX(tsk_FcFinish,LateTasks[[#This Row],[_Task]])))</f>
        <v>46325</v>
      </c>
      <c r="H37" s="45" t="n">
        <f aca="false">IF(LateTasks[[#This Row],[_Task]]="","",INDEX(tsk_Variance,LateTasks[[#This Row],[_Task]]))</f>
        <v>6</v>
      </c>
      <c r="I37" s="24" t="str">
        <f aca="false">IF(LateTasks[[#This Row],[_Task]]="","",INDEX(tsk_Status,LateTasks[[#This Row],[_Task]])&amp;"")</f>
        <v>Behind</v>
      </c>
      <c r="J37" s="24" t="str">
        <f aca="false">IF(LateTasks[[#This Row],[_Task]]="","",INDEX(tsk_Critical,LateTasks[[#This Row],[_Task]])&amp;"")</f>
        <v>Yes</v>
      </c>
    </row>
    <row r="38" customFormat="false" ht="15" hidden="false" customHeight="false" outlineLevel="0" collapsed="false">
      <c r="B38" s="43" t="n">
        <f aca="false">IFERROR(MATCH(LARGE(tsk_LateKey,ROW()-ROW(LateTasks[[#Headers],[_Task]])),tsk_LateKey,0),"")</f>
        <v>14</v>
      </c>
      <c r="C38" s="24" t="str">
        <f aca="false">IF(LateTasks[[#This Row],[_Task]]="","",INDEX(tsk_WBS,LateTasks[[#This Row],[_Task]])&amp;"")</f>
        <v>3.1.3</v>
      </c>
      <c r="D38" s="24" t="str">
        <f aca="false">IF(LateTasks[[#This Row],[_Task]]="","",INDEX(tsk_Name,LateTasks[[#This Row],[_Task]])&amp;"")</f>
        <v>Payment gateway integration</v>
      </c>
      <c r="E38" s="24" t="str">
        <f aca="false">IF(LateTasks[[#This Row],[_Task]]="","",INDEX(tsk_Resource,LateTasks[[#This Row],[_Task]])&amp;"")</f>
        <v>Jordan Lee</v>
      </c>
      <c r="F38" s="44" t="n">
        <f aca="false">IF(LateTasks[[#This Row],[_Task]]="","",IF(N(INDEX(tsk_PlanFinish,LateTasks[[#This Row],[_Task]]))=0,"",INDEX(tsk_PlanFinish,LateTasks[[#This Row],[_Task]])))</f>
        <v>46325</v>
      </c>
      <c r="G38" s="44" t="n">
        <f aca="false">IF(LateTasks[[#This Row],[_Task]]="","",IF(N(INDEX(tsk_FcFinish,LateTasks[[#This Row],[_Task]]))=0,"",INDEX(tsk_FcFinish,LateTasks[[#This Row],[_Task]])))</f>
        <v>46335</v>
      </c>
      <c r="H38" s="45" t="n">
        <f aca="false">IF(LateTasks[[#This Row],[_Task]]="","",INDEX(tsk_Variance,LateTasks[[#This Row],[_Task]]))</f>
        <v>6</v>
      </c>
      <c r="I38" s="24" t="str">
        <f aca="false">IF(LateTasks[[#This Row],[_Task]]="","",INDEX(tsk_Status,LateTasks[[#This Row],[_Task]])&amp;"")</f>
        <v>Late Start</v>
      </c>
      <c r="J38" s="24" t="str">
        <f aca="false">IF(LateTasks[[#This Row],[_Task]]="","",INDEX(tsk_Critical,LateTasks[[#This Row],[_Task]])&amp;"")</f>
        <v>Yes</v>
      </c>
    </row>
    <row r="39" customFormat="false" ht="15" hidden="false" customHeight="false" outlineLevel="0" collapsed="false">
      <c r="B39" s="43" t="n">
        <f aca="false">IFERROR(MATCH(LARGE(tsk_LateKey,ROW()-ROW(LateTasks[[#Headers],[_Task]])),tsk_LateKey,0),"")</f>
        <v>17</v>
      </c>
      <c r="C39" s="24" t="str">
        <f aca="false">IF(LateTasks[[#This Row],[_Task]]="","",INDEX(tsk_WBS,LateTasks[[#This Row],[_Task]])&amp;"")</f>
        <v>3.2.2</v>
      </c>
      <c r="D39" s="24" t="str">
        <f aca="false">IF(LateTasks[[#This Row],[_Task]]="","",INDEX(tsk_Name,LateTasks[[#This Row],[_Task]])&amp;"")</f>
        <v>Feature screens</v>
      </c>
      <c r="E39" s="24" t="str">
        <f aca="false">IF(LateTasks[[#This Row],[_Task]]="","",INDEX(tsk_Resource,LateTasks[[#This Row],[_Task]])&amp;"")</f>
        <v>Sam Rivera</v>
      </c>
      <c r="F39" s="44" t="n">
        <f aca="false">IF(LateTasks[[#This Row],[_Task]]="","",IF(N(INDEX(tsk_PlanFinish,LateTasks[[#This Row],[_Task]]))=0,"",INDEX(tsk_PlanFinish,LateTasks[[#This Row],[_Task]])))</f>
        <v>46323</v>
      </c>
      <c r="G39" s="44" t="n">
        <f aca="false">IF(LateTasks[[#This Row],[_Task]]="","",IF(N(INDEX(tsk_FcFinish,LateTasks[[#This Row],[_Task]]))=0,"",INDEX(tsk_FcFinish,LateTasks[[#This Row],[_Task]])))</f>
        <v>46331</v>
      </c>
      <c r="H39" s="45" t="n">
        <f aca="false">IF(LateTasks[[#This Row],[_Task]]="","",INDEX(tsk_Variance,LateTasks[[#This Row],[_Task]]))</f>
        <v>6</v>
      </c>
      <c r="I39" s="24" t="str">
        <f aca="false">IF(LateTasks[[#This Row],[_Task]]="","",INDEX(tsk_Status,LateTasks[[#This Row],[_Task]])&amp;"")</f>
        <v>Behind</v>
      </c>
      <c r="J39" s="24" t="str">
        <f aca="false">IF(LateTasks[[#This Row],[_Task]]="","",INDEX(tsk_Critical,LateTasks[[#This Row],[_Task]])&amp;"")</f>
        <v>Yes</v>
      </c>
    </row>
    <row r="40" customFormat="false" ht="15" hidden="false" customHeight="false" outlineLevel="0" collapsed="false">
      <c r="B40" s="43" t="n">
        <f aca="false">IFERROR(MATCH(LARGE(tsk_LateKey,ROW()-ROW(LateTasks[[#Headers],[_Task]])),tsk_LateKey,0),"")</f>
        <v>18</v>
      </c>
      <c r="C40" s="24" t="str">
        <f aca="false">IF(LateTasks[[#This Row],[_Task]]="","",INDEX(tsk_WBS,LateTasks[[#This Row],[_Task]])&amp;"")</f>
        <v>3.2.3</v>
      </c>
      <c r="D40" s="24" t="str">
        <f aca="false">IF(LateTasks[[#This Row],[_Task]]="","",INDEX(tsk_Name,LateTasks[[#This Row],[_Task]])&amp;"")</f>
        <v>Accessibility review</v>
      </c>
      <c r="E40" s="24" t="str">
        <f aca="false">IF(LateTasks[[#This Row],[_Task]]="","",INDEX(tsk_Resource,LateTasks[[#This Row],[_Task]])&amp;"")</f>
        <v>Casey Kim</v>
      </c>
      <c r="F40" s="44" t="n">
        <f aca="false">IF(LateTasks[[#This Row],[_Task]]="","",IF(N(INDEX(tsk_PlanFinish,LateTasks[[#This Row],[_Task]]))=0,"",INDEX(tsk_PlanFinish,LateTasks[[#This Row],[_Task]])))</f>
        <v>46324</v>
      </c>
      <c r="G40" s="44" t="n">
        <f aca="false">IF(LateTasks[[#This Row],[_Task]]="","",IF(N(INDEX(tsk_FcFinish,LateTasks[[#This Row],[_Task]]))=0,"",INDEX(tsk_FcFinish,LateTasks[[#This Row],[_Task]])))</f>
        <v>46332</v>
      </c>
      <c r="H40" s="45" t="n">
        <f aca="false">IF(LateTasks[[#This Row],[_Task]]="","",INDEX(tsk_Variance,LateTasks[[#This Row],[_Task]]))</f>
        <v>6</v>
      </c>
      <c r="I40" s="24" t="str">
        <f aca="false">IF(LateTasks[[#This Row],[_Task]]="","",INDEX(tsk_Status,LateTasks[[#This Row],[_Task]])&amp;"")</f>
        <v>Not Started</v>
      </c>
      <c r="J40" s="24" t="str">
        <f aca="false">IF(LateTasks[[#This Row],[_Task]]="","",INDEX(tsk_Critical,LateTasks[[#This Row],[_Task]])&amp;"")</f>
        <v>Yes</v>
      </c>
    </row>
    <row r="41" customFormat="false" ht="15" hidden="false" customHeight="false" outlineLevel="0" collapsed="false">
      <c r="B41" s="43" t="n">
        <f aca="false">IFERROR(MATCH(LARGE(tsk_LateKey,ROW()-ROW(LateTasks[[#Headers],[_Task]])),tsk_LateKey,0),"")</f>
        <v>19</v>
      </c>
      <c r="C41" s="24" t="str">
        <f aca="false">IF(LateTasks[[#This Row],[_Task]]="","",INDEX(tsk_WBS,LateTasks[[#This Row],[_Task]])&amp;"")</f>
        <v>3.3</v>
      </c>
      <c r="D41" s="24" t="str">
        <f aca="false">IF(LateTasks[[#This Row],[_Task]]="","",INDEX(tsk_Name,LateTasks[[#This Row],[_Task]])&amp;"")</f>
        <v>Build complete</v>
      </c>
      <c r="E41" s="24" t="str">
        <f aca="false">IF(LateTasks[[#This Row],[_Task]]="","",INDEX(tsk_Resource,LateTasks[[#This Row],[_Task]])&amp;"")</f>
        <v/>
      </c>
      <c r="F41" s="44" t="n">
        <f aca="false">IF(LateTasks[[#This Row],[_Task]]="","",IF(N(INDEX(tsk_PlanFinish,LateTasks[[#This Row],[_Task]]))=0,"",INDEX(tsk_PlanFinish,LateTasks[[#This Row],[_Task]])))</f>
        <v>46325</v>
      </c>
      <c r="G41" s="44" t="n">
        <f aca="false">IF(LateTasks[[#This Row],[_Task]]="","",IF(N(INDEX(tsk_FcFinish,LateTasks[[#This Row],[_Task]]))=0,"",INDEX(tsk_FcFinish,LateTasks[[#This Row],[_Task]])))</f>
        <v>46335</v>
      </c>
      <c r="H41" s="45" t="n">
        <f aca="false">IF(LateTasks[[#This Row],[_Task]]="","",INDEX(tsk_Variance,LateTasks[[#This Row],[_Task]]))</f>
        <v>6</v>
      </c>
      <c r="I41" s="24" t="str">
        <f aca="false">IF(LateTasks[[#This Row],[_Task]]="","",INDEX(tsk_Status,LateTasks[[#This Row],[_Task]])&amp;"")</f>
        <v>Not Started</v>
      </c>
      <c r="J41" s="24" t="str">
        <f aca="false">IF(LateTasks[[#This Row],[_Task]]="","",INDEX(tsk_Critical,LateTasks[[#This Row],[_Task]])&amp;"")</f>
        <v>Yes</v>
      </c>
    </row>
    <row r="42" customFormat="false" ht="15" hidden="false" customHeight="false" outlineLevel="0" collapsed="false">
      <c r="B42" s="43" t="n">
        <f aca="false">IFERROR(MATCH(LARGE(tsk_LateKey,ROW()-ROW(LateTasks[[#Headers],[_Task]])),tsk_LateKey,0),"")</f>
        <v>21</v>
      </c>
      <c r="C42" s="24" t="str">
        <f aca="false">IF(LateTasks[[#This Row],[_Task]]="","",INDEX(tsk_WBS,LateTasks[[#This Row],[_Task]])&amp;"")</f>
        <v>4.1</v>
      </c>
      <c r="D42" s="24" t="str">
        <f aca="false">IF(LateTasks[[#This Row],[_Task]]="","",INDEX(tsk_Name,LateTasks[[#This Row],[_Task]])&amp;"")</f>
        <v>System integration testing</v>
      </c>
      <c r="E42" s="24" t="str">
        <f aca="false">IF(LateTasks[[#This Row],[_Task]]="","",INDEX(tsk_Resource,LateTasks[[#This Row],[_Task]])&amp;"")</f>
        <v>Taylor Morgan</v>
      </c>
      <c r="F42" s="44" t="n">
        <f aca="false">IF(LateTasks[[#This Row],[_Task]]="","",IF(N(INDEX(tsk_PlanFinish,LateTasks[[#This Row],[_Task]]))=0,"",INDEX(tsk_PlanFinish,LateTasks[[#This Row],[_Task]])))</f>
        <v>46337</v>
      </c>
      <c r="G42" s="44" t="n">
        <f aca="false">IF(LateTasks[[#This Row],[_Task]]="","",IF(N(INDEX(tsk_FcFinish,LateTasks[[#This Row],[_Task]]))=0,"",INDEX(tsk_FcFinish,LateTasks[[#This Row],[_Task]])))</f>
        <v>46345</v>
      </c>
      <c r="H42" s="45" t="n">
        <f aca="false">IF(LateTasks[[#This Row],[_Task]]="","",INDEX(tsk_Variance,LateTasks[[#This Row],[_Task]]))</f>
        <v>6</v>
      </c>
      <c r="I42" s="24" t="str">
        <f aca="false">IF(LateTasks[[#This Row],[_Task]]="","",INDEX(tsk_Status,LateTasks[[#This Row],[_Task]])&amp;"")</f>
        <v>Not Started</v>
      </c>
      <c r="J42" s="24" t="str">
        <f aca="false">IF(LateTasks[[#This Row],[_Task]]="","",INDEX(tsk_Critical,LateTasks[[#This Row],[_Task]])&amp;"")</f>
        <v/>
      </c>
    </row>
    <row r="43" customFormat="false" ht="15" hidden="false" customHeight="false" outlineLevel="0" collapsed="false">
      <c r="B43" s="43" t="n">
        <f aca="false">IFERROR(MATCH(LARGE(tsk_LateKey,ROW()-ROW(LateTasks[[#Headers],[_Task]])),tsk_LateKey,0),"")</f>
        <v>23</v>
      </c>
      <c r="C43" s="24" t="str">
        <f aca="false">IF(LateTasks[[#This Row],[_Task]]="","",INDEX(tsk_WBS,LateTasks[[#This Row],[_Task]])&amp;"")</f>
        <v>4.3</v>
      </c>
      <c r="D43" s="24" t="str">
        <f aca="false">IF(LateTasks[[#This Row],[_Task]]="","",INDEX(tsk_Name,LateTasks[[#This Row],[_Task]])&amp;"")</f>
        <v>Training &amp; user guides</v>
      </c>
      <c r="E43" s="24" t="str">
        <f aca="false">IF(LateTasks[[#This Row],[_Task]]="","",INDEX(tsk_Resource,LateTasks[[#This Row],[_Task]])&amp;"")</f>
        <v>Casey Kim</v>
      </c>
      <c r="F43" s="44" t="n">
        <f aca="false">IF(LateTasks[[#This Row],[_Task]]="","",IF(N(INDEX(tsk_PlanFinish,LateTasks[[#This Row],[_Task]]))=0,"",INDEX(tsk_PlanFinish,LateTasks[[#This Row],[_Task]])))</f>
        <v>46336</v>
      </c>
      <c r="G43" s="44" t="n">
        <f aca="false">IF(LateTasks[[#This Row],[_Task]]="","",IF(N(INDEX(tsk_FcFinish,LateTasks[[#This Row],[_Task]]))=0,"",INDEX(tsk_FcFinish,LateTasks[[#This Row],[_Task]])))</f>
        <v>46344</v>
      </c>
      <c r="H43" s="45" t="n">
        <f aca="false">IF(LateTasks[[#This Row],[_Task]]="","",INDEX(tsk_Variance,LateTasks[[#This Row],[_Task]]))</f>
        <v>6</v>
      </c>
      <c r="I43" s="24" t="str">
        <f aca="false">IF(LateTasks[[#This Row],[_Task]]="","",INDEX(tsk_Status,LateTasks[[#This Row],[_Task]])&amp;"")</f>
        <v>Not Started</v>
      </c>
      <c r="J43" s="24" t="str">
        <f aca="false">IF(LateTasks[[#This Row],[_Task]]="","",INDEX(tsk_Critical,LateTasks[[#This Row],[_Task]])&amp;"")</f>
        <v/>
      </c>
    </row>
    <row r="44" customFormat="false" ht="15" hidden="false" customHeight="false" outlineLevel="0" collapsed="false">
      <c r="B44" s="43" t="str">
        <f aca="false">IFERROR(MATCH(LARGE(tsk_LateKey,ROW()-ROW(LateTasks[[#Headers],[_Task]])),tsk_LateKey,0),"")</f>
        <v/>
      </c>
      <c r="C44" s="24" t="str">
        <f aca="false">IF(LateTasks[[#This Row],[_Task]]="","",INDEX(tsk_WBS,LateTasks[[#This Row],[_Task]])&amp;"")</f>
        <v/>
      </c>
      <c r="D44" s="24" t="str">
        <f aca="false">IF(LateTasks[[#This Row],[_Task]]="","",INDEX(tsk_Name,LateTasks[[#This Row],[_Task]])&amp;"")</f>
        <v/>
      </c>
      <c r="E44" s="24" t="str">
        <f aca="false">IF(LateTasks[[#This Row],[_Task]]="","",INDEX(tsk_Resource,LateTasks[[#This Row],[_Task]])&amp;"")</f>
        <v/>
      </c>
      <c r="F44" s="44" t="str">
        <f aca="false">IF(LateTasks[[#This Row],[_Task]]="","",IF(N(INDEX(tsk_PlanFinish,LateTasks[[#This Row],[_Task]]))=0,"",INDEX(tsk_PlanFinish,LateTasks[[#This Row],[_Task]])))</f>
        <v/>
      </c>
      <c r="G44" s="44" t="str">
        <f aca="false">IF(LateTasks[[#This Row],[_Task]]="","",IF(N(INDEX(tsk_FcFinish,LateTasks[[#This Row],[_Task]]))=0,"",INDEX(tsk_FcFinish,LateTasks[[#This Row],[_Task]])))</f>
        <v/>
      </c>
      <c r="H44" s="45" t="str">
        <f aca="false">IF(LateTasks[[#This Row],[_Task]]="","",INDEX(tsk_Variance,LateTasks[[#This Row],[_Task]]))</f>
        <v/>
      </c>
      <c r="I44" s="24" t="str">
        <f aca="false">IF(LateTasks[[#This Row],[_Task]]="","",INDEX(tsk_Status,LateTasks[[#This Row],[_Task]])&amp;"")</f>
        <v/>
      </c>
      <c r="J44" s="24" t="str">
        <f aca="false">IF(LateTasks[[#This Row],[_Task]]="","",INDEX(tsk_Critical,LateTasks[[#This Row],[_Task]])&amp;"")</f>
        <v/>
      </c>
    </row>
    <row r="45" customFormat="false" ht="15" hidden="false" customHeight="false" outlineLevel="0" collapsed="false">
      <c r="B45" s="43" t="str">
        <f aca="false">IFERROR(MATCH(LARGE(tsk_LateKey,ROW()-ROW(LateTasks[[#Headers],[_Task]])),tsk_LateKey,0),"")</f>
        <v/>
      </c>
      <c r="C45" s="24" t="str">
        <f aca="false">IF(LateTasks[[#This Row],[_Task]]="","",INDEX(tsk_WBS,LateTasks[[#This Row],[_Task]])&amp;"")</f>
        <v/>
      </c>
      <c r="D45" s="24" t="str">
        <f aca="false">IF(LateTasks[[#This Row],[_Task]]="","",INDEX(tsk_Name,LateTasks[[#This Row],[_Task]])&amp;"")</f>
        <v/>
      </c>
      <c r="E45" s="24" t="str">
        <f aca="false">IF(LateTasks[[#This Row],[_Task]]="","",INDEX(tsk_Resource,LateTasks[[#This Row],[_Task]])&amp;"")</f>
        <v/>
      </c>
      <c r="F45" s="44" t="str">
        <f aca="false">IF(LateTasks[[#This Row],[_Task]]="","",IF(N(INDEX(tsk_PlanFinish,LateTasks[[#This Row],[_Task]]))=0,"",INDEX(tsk_PlanFinish,LateTasks[[#This Row],[_Task]])))</f>
        <v/>
      </c>
      <c r="G45" s="44" t="str">
        <f aca="false">IF(LateTasks[[#This Row],[_Task]]="","",IF(N(INDEX(tsk_FcFinish,LateTasks[[#This Row],[_Task]]))=0,"",INDEX(tsk_FcFinish,LateTasks[[#This Row],[_Task]])))</f>
        <v/>
      </c>
      <c r="H45" s="45" t="str">
        <f aca="false">IF(LateTasks[[#This Row],[_Task]]="","",INDEX(tsk_Variance,LateTasks[[#This Row],[_Task]]))</f>
        <v/>
      </c>
      <c r="I45" s="24" t="str">
        <f aca="false">IF(LateTasks[[#This Row],[_Task]]="","",INDEX(tsk_Status,LateTasks[[#This Row],[_Task]])&amp;"")</f>
        <v/>
      </c>
      <c r="J45" s="24" t="str">
        <f aca="false">IF(LateTasks[[#This Row],[_Task]]="","",INDEX(tsk_Critical,LateTasks[[#This Row],[_Task]])&amp;"")</f>
        <v/>
      </c>
    </row>
    <row r="46" customFormat="false" ht="15" hidden="false" customHeight="false" outlineLevel="0" collapsed="false">
      <c r="B46" s="43" t="str">
        <f aca="false">IFERROR(MATCH(LARGE(tsk_LateKey,ROW()-ROW(LateTasks[[#Headers],[_Task]])),tsk_LateKey,0),"")</f>
        <v/>
      </c>
      <c r="C46" s="24" t="str">
        <f aca="false">IF(LateTasks[[#This Row],[_Task]]="","",INDEX(tsk_WBS,LateTasks[[#This Row],[_Task]])&amp;"")</f>
        <v/>
      </c>
      <c r="D46" s="24" t="str">
        <f aca="false">IF(LateTasks[[#This Row],[_Task]]="","",INDEX(tsk_Name,LateTasks[[#This Row],[_Task]])&amp;"")</f>
        <v/>
      </c>
      <c r="E46" s="24" t="str">
        <f aca="false">IF(LateTasks[[#This Row],[_Task]]="","",INDEX(tsk_Resource,LateTasks[[#This Row],[_Task]])&amp;"")</f>
        <v/>
      </c>
      <c r="F46" s="44" t="str">
        <f aca="false">IF(LateTasks[[#This Row],[_Task]]="","",IF(N(INDEX(tsk_PlanFinish,LateTasks[[#This Row],[_Task]]))=0,"",INDEX(tsk_PlanFinish,LateTasks[[#This Row],[_Task]])))</f>
        <v/>
      </c>
      <c r="G46" s="44" t="str">
        <f aca="false">IF(LateTasks[[#This Row],[_Task]]="","",IF(N(INDEX(tsk_FcFinish,LateTasks[[#This Row],[_Task]]))=0,"",INDEX(tsk_FcFinish,LateTasks[[#This Row],[_Task]])))</f>
        <v/>
      </c>
      <c r="H46" s="45" t="str">
        <f aca="false">IF(LateTasks[[#This Row],[_Task]]="","",INDEX(tsk_Variance,LateTasks[[#This Row],[_Task]]))</f>
        <v/>
      </c>
      <c r="I46" s="24" t="str">
        <f aca="false">IF(LateTasks[[#This Row],[_Task]]="","",INDEX(tsk_Status,LateTasks[[#This Row],[_Task]])&amp;"")</f>
        <v/>
      </c>
      <c r="J46" s="24" t="str">
        <f aca="false">IF(LateTasks[[#This Row],[_Task]]="","",INDEX(tsk_Critical,LateTasks[[#This Row],[_Task]])&amp;"")</f>
        <v/>
      </c>
    </row>
    <row r="47" customFormat="false" ht="15" hidden="false" customHeight="false" outlineLevel="0" collapsed="false">
      <c r="B47" s="43" t="str">
        <f aca="false">IFERROR(MATCH(LARGE(tsk_LateKey,ROW()-ROW(LateTasks[[#Headers],[_Task]])),tsk_LateKey,0),"")</f>
        <v/>
      </c>
      <c r="C47" s="24" t="str">
        <f aca="false">IF(LateTasks[[#This Row],[_Task]]="","",INDEX(tsk_WBS,LateTasks[[#This Row],[_Task]])&amp;"")</f>
        <v/>
      </c>
      <c r="D47" s="24" t="str">
        <f aca="false">IF(LateTasks[[#This Row],[_Task]]="","",INDEX(tsk_Name,LateTasks[[#This Row],[_Task]])&amp;"")</f>
        <v/>
      </c>
      <c r="E47" s="24" t="str">
        <f aca="false">IF(LateTasks[[#This Row],[_Task]]="","",INDEX(tsk_Resource,LateTasks[[#This Row],[_Task]])&amp;"")</f>
        <v/>
      </c>
      <c r="F47" s="44" t="str">
        <f aca="false">IF(LateTasks[[#This Row],[_Task]]="","",IF(N(INDEX(tsk_PlanFinish,LateTasks[[#This Row],[_Task]]))=0,"",INDEX(tsk_PlanFinish,LateTasks[[#This Row],[_Task]])))</f>
        <v/>
      </c>
      <c r="G47" s="44" t="str">
        <f aca="false">IF(LateTasks[[#This Row],[_Task]]="","",IF(N(INDEX(tsk_FcFinish,LateTasks[[#This Row],[_Task]]))=0,"",INDEX(tsk_FcFinish,LateTasks[[#This Row],[_Task]])))</f>
        <v/>
      </c>
      <c r="H47" s="45" t="str">
        <f aca="false">IF(LateTasks[[#This Row],[_Task]]="","",INDEX(tsk_Variance,LateTasks[[#This Row],[_Task]]))</f>
        <v/>
      </c>
      <c r="I47" s="24" t="str">
        <f aca="false">IF(LateTasks[[#This Row],[_Task]]="","",INDEX(tsk_Status,LateTasks[[#This Row],[_Task]])&amp;"")</f>
        <v/>
      </c>
      <c r="J47" s="24" t="str">
        <f aca="false">IF(LateTasks[[#This Row],[_Task]]="","",INDEX(tsk_Critical,LateTasks[[#This Row],[_Task]])&amp;"")</f>
        <v/>
      </c>
    </row>
    <row r="48" customFormat="false" ht="15" hidden="false" customHeight="false" outlineLevel="0" collapsed="false">
      <c r="B48" s="43" t="str">
        <f aca="false">IFERROR(MATCH(LARGE(tsk_LateKey,ROW()-ROW(LateTasks[[#Headers],[_Task]])),tsk_LateKey,0),"")</f>
        <v/>
      </c>
      <c r="C48" s="24" t="str">
        <f aca="false">IF(LateTasks[[#This Row],[_Task]]="","",INDEX(tsk_WBS,LateTasks[[#This Row],[_Task]])&amp;"")</f>
        <v/>
      </c>
      <c r="D48" s="24" t="str">
        <f aca="false">IF(LateTasks[[#This Row],[_Task]]="","",INDEX(tsk_Name,LateTasks[[#This Row],[_Task]])&amp;"")</f>
        <v/>
      </c>
      <c r="E48" s="24" t="str">
        <f aca="false">IF(LateTasks[[#This Row],[_Task]]="","",INDEX(tsk_Resource,LateTasks[[#This Row],[_Task]])&amp;"")</f>
        <v/>
      </c>
      <c r="F48" s="44" t="str">
        <f aca="false">IF(LateTasks[[#This Row],[_Task]]="","",IF(N(INDEX(tsk_PlanFinish,LateTasks[[#This Row],[_Task]]))=0,"",INDEX(tsk_PlanFinish,LateTasks[[#This Row],[_Task]])))</f>
        <v/>
      </c>
      <c r="G48" s="44" t="str">
        <f aca="false">IF(LateTasks[[#This Row],[_Task]]="","",IF(N(INDEX(tsk_FcFinish,LateTasks[[#This Row],[_Task]]))=0,"",INDEX(tsk_FcFinish,LateTasks[[#This Row],[_Task]])))</f>
        <v/>
      </c>
      <c r="H48" s="45" t="str">
        <f aca="false">IF(LateTasks[[#This Row],[_Task]]="","",INDEX(tsk_Variance,LateTasks[[#This Row],[_Task]]))</f>
        <v/>
      </c>
      <c r="I48" s="24" t="str">
        <f aca="false">IF(LateTasks[[#This Row],[_Task]]="","",INDEX(tsk_Status,LateTasks[[#This Row],[_Task]])&amp;"")</f>
        <v/>
      </c>
      <c r="J48" s="24" t="str">
        <f aca="false">IF(LateTasks[[#This Row],[_Task]]="","",INDEX(tsk_Critical,LateTasks[[#This Row],[_Task]])&amp;"")</f>
        <v/>
      </c>
    </row>
    <row r="49" customFormat="false" ht="15" hidden="false" customHeight="false" outlineLevel="0" collapsed="false">
      <c r="B49" s="43" t="str">
        <f aca="false">IFERROR(MATCH(LARGE(tsk_LateKey,ROW()-ROW(LateTasks[[#Headers],[_Task]])),tsk_LateKey,0),"")</f>
        <v/>
      </c>
      <c r="C49" s="24" t="str">
        <f aca="false">IF(LateTasks[[#This Row],[_Task]]="","",INDEX(tsk_WBS,LateTasks[[#This Row],[_Task]])&amp;"")</f>
        <v/>
      </c>
      <c r="D49" s="24" t="str">
        <f aca="false">IF(LateTasks[[#This Row],[_Task]]="","",INDEX(tsk_Name,LateTasks[[#This Row],[_Task]])&amp;"")</f>
        <v/>
      </c>
      <c r="E49" s="24" t="str">
        <f aca="false">IF(LateTasks[[#This Row],[_Task]]="","",INDEX(tsk_Resource,LateTasks[[#This Row],[_Task]])&amp;"")</f>
        <v/>
      </c>
      <c r="F49" s="44" t="str">
        <f aca="false">IF(LateTasks[[#This Row],[_Task]]="","",IF(N(INDEX(tsk_PlanFinish,LateTasks[[#This Row],[_Task]]))=0,"",INDEX(tsk_PlanFinish,LateTasks[[#This Row],[_Task]])))</f>
        <v/>
      </c>
      <c r="G49" s="44" t="str">
        <f aca="false">IF(LateTasks[[#This Row],[_Task]]="","",IF(N(INDEX(tsk_FcFinish,LateTasks[[#This Row],[_Task]]))=0,"",INDEX(tsk_FcFinish,LateTasks[[#This Row],[_Task]])))</f>
        <v/>
      </c>
      <c r="H49" s="45" t="str">
        <f aca="false">IF(LateTasks[[#This Row],[_Task]]="","",INDEX(tsk_Variance,LateTasks[[#This Row],[_Task]]))</f>
        <v/>
      </c>
      <c r="I49" s="24" t="str">
        <f aca="false">IF(LateTasks[[#This Row],[_Task]]="","",INDEX(tsk_Status,LateTasks[[#This Row],[_Task]])&amp;"")</f>
        <v/>
      </c>
      <c r="J49" s="24" t="str">
        <f aca="false">IF(LateTasks[[#This Row],[_Task]]="","",INDEX(tsk_Critical,LateTasks[[#This Row],[_Task]])&amp;"")</f>
        <v/>
      </c>
    </row>
    <row r="50" customFormat="false" ht="15" hidden="false" customHeight="false" outlineLevel="0" collapsed="false">
      <c r="B50" s="43" t="str">
        <f aca="false">IFERROR(MATCH(LARGE(tsk_LateKey,ROW()-ROW(LateTasks[[#Headers],[_Task]])),tsk_LateKey,0),"")</f>
        <v/>
      </c>
      <c r="C50" s="24" t="str">
        <f aca="false">IF(LateTasks[[#This Row],[_Task]]="","",INDEX(tsk_WBS,LateTasks[[#This Row],[_Task]])&amp;"")</f>
        <v/>
      </c>
      <c r="D50" s="24" t="str">
        <f aca="false">IF(LateTasks[[#This Row],[_Task]]="","",INDEX(tsk_Name,LateTasks[[#This Row],[_Task]])&amp;"")</f>
        <v/>
      </c>
      <c r="E50" s="24" t="str">
        <f aca="false">IF(LateTasks[[#This Row],[_Task]]="","",INDEX(tsk_Resource,LateTasks[[#This Row],[_Task]])&amp;"")</f>
        <v/>
      </c>
      <c r="F50" s="44" t="str">
        <f aca="false">IF(LateTasks[[#This Row],[_Task]]="","",IF(N(INDEX(tsk_PlanFinish,LateTasks[[#This Row],[_Task]]))=0,"",INDEX(tsk_PlanFinish,LateTasks[[#This Row],[_Task]])))</f>
        <v/>
      </c>
      <c r="G50" s="44" t="str">
        <f aca="false">IF(LateTasks[[#This Row],[_Task]]="","",IF(N(INDEX(tsk_FcFinish,LateTasks[[#This Row],[_Task]]))=0,"",INDEX(tsk_FcFinish,LateTasks[[#This Row],[_Task]])))</f>
        <v/>
      </c>
      <c r="H50" s="45" t="str">
        <f aca="false">IF(LateTasks[[#This Row],[_Task]]="","",INDEX(tsk_Variance,LateTasks[[#This Row],[_Task]]))</f>
        <v/>
      </c>
      <c r="I50" s="24" t="str">
        <f aca="false">IF(LateTasks[[#This Row],[_Task]]="","",INDEX(tsk_Status,LateTasks[[#This Row],[_Task]])&amp;"")</f>
        <v/>
      </c>
      <c r="J50" s="24" t="str">
        <f aca="false">IF(LateTasks[[#This Row],[_Task]]="","",INDEX(tsk_Critical,LateTasks[[#This Row],[_Task]])&amp;"")</f>
        <v/>
      </c>
    </row>
    <row r="51" customFormat="false" ht="15" hidden="false" customHeight="false" outlineLevel="0" collapsed="false">
      <c r="B51" s="43" t="str">
        <f aca="false">IFERROR(MATCH(LARGE(tsk_LateKey,ROW()-ROW(LateTasks[[#Headers],[_Task]])),tsk_LateKey,0),"")</f>
        <v/>
      </c>
      <c r="C51" s="24" t="str">
        <f aca="false">IF(LateTasks[[#This Row],[_Task]]="","",INDEX(tsk_WBS,LateTasks[[#This Row],[_Task]])&amp;"")</f>
        <v/>
      </c>
      <c r="D51" s="24" t="str">
        <f aca="false">IF(LateTasks[[#This Row],[_Task]]="","",INDEX(tsk_Name,LateTasks[[#This Row],[_Task]])&amp;"")</f>
        <v/>
      </c>
      <c r="E51" s="24" t="str">
        <f aca="false">IF(LateTasks[[#This Row],[_Task]]="","",INDEX(tsk_Resource,LateTasks[[#This Row],[_Task]])&amp;"")</f>
        <v/>
      </c>
      <c r="F51" s="44" t="str">
        <f aca="false">IF(LateTasks[[#This Row],[_Task]]="","",IF(N(INDEX(tsk_PlanFinish,LateTasks[[#This Row],[_Task]]))=0,"",INDEX(tsk_PlanFinish,LateTasks[[#This Row],[_Task]])))</f>
        <v/>
      </c>
      <c r="G51" s="44" t="str">
        <f aca="false">IF(LateTasks[[#This Row],[_Task]]="","",IF(N(INDEX(tsk_FcFinish,LateTasks[[#This Row],[_Task]]))=0,"",INDEX(tsk_FcFinish,LateTasks[[#This Row],[_Task]])))</f>
        <v/>
      </c>
      <c r="H51" s="45" t="str">
        <f aca="false">IF(LateTasks[[#This Row],[_Task]]="","",INDEX(tsk_Variance,LateTasks[[#This Row],[_Task]]))</f>
        <v/>
      </c>
      <c r="I51" s="24" t="str">
        <f aca="false">IF(LateTasks[[#This Row],[_Task]]="","",INDEX(tsk_Status,LateTasks[[#This Row],[_Task]])&amp;"")</f>
        <v/>
      </c>
      <c r="J51" s="24" t="str">
        <f aca="false">IF(LateTasks[[#This Row],[_Task]]="","",INDEX(tsk_Critical,LateTasks[[#This Row],[_Task]])&amp;"")</f>
        <v/>
      </c>
    </row>
    <row r="53" customFormat="false" ht="15" hidden="false" customHeight="false" outlineLevel="0" collapsed="false">
      <c r="C53" s="36" t="str">
        <f aca="false">"Starting by "&amp;TEXT(LookaheadEnd,"ddd dd-mmm")&amp;" (look-ahead "&amp;LookaheadDays&amp;" working days)"&amp;": "&amp;COUNT(tsk_StartSoonKey)&amp;IF(COUNT(tsk_StartSoonKey)&gt;ROWS(StartingSoon[_Task])," (showing the first "&amp;ROWS(StartingSoon[_Task])&amp;")","")</f>
        <v>Starting by Fri 06-Nov (look-ahead 10 working days): 2</v>
      </c>
    </row>
    <row r="54" customFormat="false" ht="23.85" hidden="false" customHeight="false" outlineLevel="0" collapsed="false">
      <c r="B54" s="42" t="s">
        <v>168</v>
      </c>
      <c r="C54" s="9" t="s">
        <v>169</v>
      </c>
      <c r="D54" s="9" t="s">
        <v>187</v>
      </c>
      <c r="E54" s="9" t="s">
        <v>188</v>
      </c>
      <c r="F54" s="9" t="s">
        <v>190</v>
      </c>
      <c r="G54" s="9" t="s">
        <v>172</v>
      </c>
      <c r="H54" s="9" t="s">
        <v>191</v>
      </c>
      <c r="I54" s="9" t="s">
        <v>47</v>
      </c>
      <c r="J54" s="9" t="s">
        <v>189</v>
      </c>
    </row>
    <row r="55" customFormat="false" ht="15" hidden="false" customHeight="false" outlineLevel="0" collapsed="false">
      <c r="B55" s="43" t="n">
        <f aca="false">IFERROR(MATCH(SMALL(tsk_StartSoonKey,ROW()-ROW(StartingSoon[[#Headers],[_Task]])),tsk_StartSoonKey,0),"")</f>
        <v>14</v>
      </c>
      <c r="C55" s="24" t="str">
        <f aca="false">IF(StartingSoon[[#This Row],[_Task]]="","",INDEX(tsk_WBS,StartingSoon[[#This Row],[_Task]])&amp;"")</f>
        <v>3.1.3</v>
      </c>
      <c r="D55" s="24" t="str">
        <f aca="false">IF(StartingSoon[[#This Row],[_Task]]="","",INDEX(tsk_Name,StartingSoon[[#This Row],[_Task]])&amp;"")</f>
        <v>Payment gateway integration</v>
      </c>
      <c r="E55" s="24" t="str">
        <f aca="false">IF(StartingSoon[[#This Row],[_Task]]="","",INDEX(tsk_Resource,StartingSoon[[#This Row],[_Task]])&amp;"")</f>
        <v>Jordan Lee</v>
      </c>
      <c r="F55" s="44" t="n">
        <f aca="false">IF(StartingSoon[[#This Row],[_Task]]="","",IF(N(INDEX(tsk_FcStart,StartingSoon[[#This Row],[_Task]]))=0,"",INDEX(tsk_FcStart,StartingSoon[[#This Row],[_Task]])))</f>
        <v>46328</v>
      </c>
      <c r="G55" s="44" t="n">
        <f aca="false">IF(StartingSoon[[#This Row],[_Task]]="","",IF(N(INDEX(tsk_FcFinish,StartingSoon[[#This Row],[_Task]]))=0,"",INDEX(tsk_FcFinish,StartingSoon[[#This Row],[_Task]])))</f>
        <v>46335</v>
      </c>
      <c r="H55" s="50" t="n">
        <f aca="false">IF(StartingSoon[[#This Row],[_Task]]="","",INDEX(tsk_Duration,StartingSoon[[#This Row],[_Task]]))</f>
        <v>6</v>
      </c>
      <c r="I55" s="24" t="str">
        <f aca="false">IF(StartingSoon[[#This Row],[_Task]]="","",INDEX(tsk_Predecessors,StartingSoon[[#This Row],[_Task]])&amp;"")</f>
        <v>13</v>
      </c>
      <c r="J55" s="24" t="str">
        <f aca="false">IF(StartingSoon[[#This Row],[_Task]]="","",INDEX(tsk_Critical,StartingSoon[[#This Row],[_Task]])&amp;"")</f>
        <v>Yes</v>
      </c>
    </row>
    <row r="56" customFormat="false" ht="15" hidden="false" customHeight="false" outlineLevel="0" collapsed="false">
      <c r="B56" s="43" t="n">
        <f aca="false">IFERROR(MATCH(SMALL(tsk_StartSoonKey,ROW()-ROW(StartingSoon[[#Headers],[_Task]])),tsk_StartSoonKey,0),"")</f>
        <v>18</v>
      </c>
      <c r="C56" s="24" t="str">
        <f aca="false">IF(StartingSoon[[#This Row],[_Task]]="","",INDEX(tsk_WBS,StartingSoon[[#This Row],[_Task]])&amp;"")</f>
        <v>3.2.3</v>
      </c>
      <c r="D56" s="24" t="str">
        <f aca="false">IF(StartingSoon[[#This Row],[_Task]]="","",INDEX(tsk_Name,StartingSoon[[#This Row],[_Task]])&amp;"")</f>
        <v>Accessibility review</v>
      </c>
      <c r="E56" s="24" t="str">
        <f aca="false">IF(StartingSoon[[#This Row],[_Task]]="","",INDEX(tsk_Resource,StartingSoon[[#This Row],[_Task]])&amp;"")</f>
        <v>Casey Kim</v>
      </c>
      <c r="F56" s="44" t="n">
        <f aca="false">IF(StartingSoon[[#This Row],[_Task]]="","",IF(N(INDEX(tsk_FcStart,StartingSoon[[#This Row],[_Task]]))=0,"",INDEX(tsk_FcStart,StartingSoon[[#This Row],[_Task]])))</f>
        <v>46330</v>
      </c>
      <c r="G56" s="44" t="n">
        <f aca="false">IF(StartingSoon[[#This Row],[_Task]]="","",IF(N(INDEX(tsk_FcFinish,StartingSoon[[#This Row],[_Task]]))=0,"",INDEX(tsk_FcFinish,StartingSoon[[#This Row],[_Task]])))</f>
        <v>46332</v>
      </c>
      <c r="H56" s="50" t="n">
        <f aca="false">IF(StartingSoon[[#This Row],[_Task]]="","",INDEX(tsk_Duration,StartingSoon[[#This Row],[_Task]]))</f>
        <v>3</v>
      </c>
      <c r="I56" s="24" t="str">
        <f aca="false">IF(StartingSoon[[#This Row],[_Task]]="","",INDEX(tsk_Predecessors,StartingSoon[[#This Row],[_Task]])&amp;"")</f>
        <v>17FF+1d</v>
      </c>
      <c r="J56" s="24" t="str">
        <f aca="false">IF(StartingSoon[[#This Row],[_Task]]="","",INDEX(tsk_Critical,StartingSoon[[#This Row],[_Task]])&amp;"")</f>
        <v>Yes</v>
      </c>
    </row>
    <row r="57" customFormat="false" ht="15" hidden="false" customHeight="false" outlineLevel="0" collapsed="false">
      <c r="B57" s="43" t="str">
        <f aca="false">IFERROR(MATCH(SMALL(tsk_StartSoonKey,ROW()-ROW(StartingSoon[[#Headers],[_Task]])),tsk_StartSoonKey,0),"")</f>
        <v/>
      </c>
      <c r="C57" s="24" t="str">
        <f aca="false">IF(StartingSoon[[#This Row],[_Task]]="","",INDEX(tsk_WBS,StartingSoon[[#This Row],[_Task]])&amp;"")</f>
        <v/>
      </c>
      <c r="D57" s="24" t="str">
        <f aca="false">IF(StartingSoon[[#This Row],[_Task]]="","",INDEX(tsk_Name,StartingSoon[[#This Row],[_Task]])&amp;"")</f>
        <v/>
      </c>
      <c r="E57" s="24" t="str">
        <f aca="false">IF(StartingSoon[[#This Row],[_Task]]="","",INDEX(tsk_Resource,StartingSoon[[#This Row],[_Task]])&amp;"")</f>
        <v/>
      </c>
      <c r="F57" s="44" t="str">
        <f aca="false">IF(StartingSoon[[#This Row],[_Task]]="","",IF(N(INDEX(tsk_FcStart,StartingSoon[[#This Row],[_Task]]))=0,"",INDEX(tsk_FcStart,StartingSoon[[#This Row],[_Task]])))</f>
        <v/>
      </c>
      <c r="G57" s="44" t="str">
        <f aca="false">IF(StartingSoon[[#This Row],[_Task]]="","",IF(N(INDEX(tsk_FcFinish,StartingSoon[[#This Row],[_Task]]))=0,"",INDEX(tsk_FcFinish,StartingSoon[[#This Row],[_Task]])))</f>
        <v/>
      </c>
      <c r="H57" s="50" t="str">
        <f aca="false">IF(StartingSoon[[#This Row],[_Task]]="","",INDEX(tsk_Duration,StartingSoon[[#This Row],[_Task]]))</f>
        <v/>
      </c>
      <c r="I57" s="24" t="str">
        <f aca="false">IF(StartingSoon[[#This Row],[_Task]]="","",INDEX(tsk_Predecessors,StartingSoon[[#This Row],[_Task]])&amp;"")</f>
        <v/>
      </c>
      <c r="J57" s="24" t="str">
        <f aca="false">IF(StartingSoon[[#This Row],[_Task]]="","",INDEX(tsk_Critical,StartingSoon[[#This Row],[_Task]])&amp;"")</f>
        <v/>
      </c>
    </row>
    <row r="58" customFormat="false" ht="15" hidden="false" customHeight="false" outlineLevel="0" collapsed="false">
      <c r="B58" s="43" t="str">
        <f aca="false">IFERROR(MATCH(SMALL(tsk_StartSoonKey,ROW()-ROW(StartingSoon[[#Headers],[_Task]])),tsk_StartSoonKey,0),"")</f>
        <v/>
      </c>
      <c r="C58" s="24" t="str">
        <f aca="false">IF(StartingSoon[[#This Row],[_Task]]="","",INDEX(tsk_WBS,StartingSoon[[#This Row],[_Task]])&amp;"")</f>
        <v/>
      </c>
      <c r="D58" s="24" t="str">
        <f aca="false">IF(StartingSoon[[#This Row],[_Task]]="","",INDEX(tsk_Name,StartingSoon[[#This Row],[_Task]])&amp;"")</f>
        <v/>
      </c>
      <c r="E58" s="24" t="str">
        <f aca="false">IF(StartingSoon[[#This Row],[_Task]]="","",INDEX(tsk_Resource,StartingSoon[[#This Row],[_Task]])&amp;"")</f>
        <v/>
      </c>
      <c r="F58" s="44" t="str">
        <f aca="false">IF(StartingSoon[[#This Row],[_Task]]="","",IF(N(INDEX(tsk_FcStart,StartingSoon[[#This Row],[_Task]]))=0,"",INDEX(tsk_FcStart,StartingSoon[[#This Row],[_Task]])))</f>
        <v/>
      </c>
      <c r="G58" s="44" t="str">
        <f aca="false">IF(StartingSoon[[#This Row],[_Task]]="","",IF(N(INDEX(tsk_FcFinish,StartingSoon[[#This Row],[_Task]]))=0,"",INDEX(tsk_FcFinish,StartingSoon[[#This Row],[_Task]])))</f>
        <v/>
      </c>
      <c r="H58" s="50" t="str">
        <f aca="false">IF(StartingSoon[[#This Row],[_Task]]="","",INDEX(tsk_Duration,StartingSoon[[#This Row],[_Task]]))</f>
        <v/>
      </c>
      <c r="I58" s="24" t="str">
        <f aca="false">IF(StartingSoon[[#This Row],[_Task]]="","",INDEX(tsk_Predecessors,StartingSoon[[#This Row],[_Task]])&amp;"")</f>
        <v/>
      </c>
      <c r="J58" s="24" t="str">
        <f aca="false">IF(StartingSoon[[#This Row],[_Task]]="","",INDEX(tsk_Critical,StartingSoon[[#This Row],[_Task]])&amp;"")</f>
        <v/>
      </c>
    </row>
    <row r="59" customFormat="false" ht="15" hidden="false" customHeight="false" outlineLevel="0" collapsed="false">
      <c r="B59" s="43" t="str">
        <f aca="false">IFERROR(MATCH(SMALL(tsk_StartSoonKey,ROW()-ROW(StartingSoon[[#Headers],[_Task]])),tsk_StartSoonKey,0),"")</f>
        <v/>
      </c>
      <c r="C59" s="24" t="str">
        <f aca="false">IF(StartingSoon[[#This Row],[_Task]]="","",INDEX(tsk_WBS,StartingSoon[[#This Row],[_Task]])&amp;"")</f>
        <v/>
      </c>
      <c r="D59" s="24" t="str">
        <f aca="false">IF(StartingSoon[[#This Row],[_Task]]="","",INDEX(tsk_Name,StartingSoon[[#This Row],[_Task]])&amp;"")</f>
        <v/>
      </c>
      <c r="E59" s="24" t="str">
        <f aca="false">IF(StartingSoon[[#This Row],[_Task]]="","",INDEX(tsk_Resource,StartingSoon[[#This Row],[_Task]])&amp;"")</f>
        <v/>
      </c>
      <c r="F59" s="44" t="str">
        <f aca="false">IF(StartingSoon[[#This Row],[_Task]]="","",IF(N(INDEX(tsk_FcStart,StartingSoon[[#This Row],[_Task]]))=0,"",INDEX(tsk_FcStart,StartingSoon[[#This Row],[_Task]])))</f>
        <v/>
      </c>
      <c r="G59" s="44" t="str">
        <f aca="false">IF(StartingSoon[[#This Row],[_Task]]="","",IF(N(INDEX(tsk_FcFinish,StartingSoon[[#This Row],[_Task]]))=0,"",INDEX(tsk_FcFinish,StartingSoon[[#This Row],[_Task]])))</f>
        <v/>
      </c>
      <c r="H59" s="50" t="str">
        <f aca="false">IF(StartingSoon[[#This Row],[_Task]]="","",INDEX(tsk_Duration,StartingSoon[[#This Row],[_Task]]))</f>
        <v/>
      </c>
      <c r="I59" s="24" t="str">
        <f aca="false">IF(StartingSoon[[#This Row],[_Task]]="","",INDEX(tsk_Predecessors,StartingSoon[[#This Row],[_Task]])&amp;"")</f>
        <v/>
      </c>
      <c r="J59" s="24" t="str">
        <f aca="false">IF(StartingSoon[[#This Row],[_Task]]="","",INDEX(tsk_Critical,StartingSoon[[#This Row],[_Task]])&amp;"")</f>
        <v/>
      </c>
    </row>
    <row r="60" customFormat="false" ht="15" hidden="false" customHeight="false" outlineLevel="0" collapsed="false">
      <c r="B60" s="43" t="str">
        <f aca="false">IFERROR(MATCH(SMALL(tsk_StartSoonKey,ROW()-ROW(StartingSoon[[#Headers],[_Task]])),tsk_StartSoonKey,0),"")</f>
        <v/>
      </c>
      <c r="C60" s="24" t="str">
        <f aca="false">IF(StartingSoon[[#This Row],[_Task]]="","",INDEX(tsk_WBS,StartingSoon[[#This Row],[_Task]])&amp;"")</f>
        <v/>
      </c>
      <c r="D60" s="24" t="str">
        <f aca="false">IF(StartingSoon[[#This Row],[_Task]]="","",INDEX(tsk_Name,StartingSoon[[#This Row],[_Task]])&amp;"")</f>
        <v/>
      </c>
      <c r="E60" s="24" t="str">
        <f aca="false">IF(StartingSoon[[#This Row],[_Task]]="","",INDEX(tsk_Resource,StartingSoon[[#This Row],[_Task]])&amp;"")</f>
        <v/>
      </c>
      <c r="F60" s="44" t="str">
        <f aca="false">IF(StartingSoon[[#This Row],[_Task]]="","",IF(N(INDEX(tsk_FcStart,StartingSoon[[#This Row],[_Task]]))=0,"",INDEX(tsk_FcStart,StartingSoon[[#This Row],[_Task]])))</f>
        <v/>
      </c>
      <c r="G60" s="44" t="str">
        <f aca="false">IF(StartingSoon[[#This Row],[_Task]]="","",IF(N(INDEX(tsk_FcFinish,StartingSoon[[#This Row],[_Task]]))=0,"",INDEX(tsk_FcFinish,StartingSoon[[#This Row],[_Task]])))</f>
        <v/>
      </c>
      <c r="H60" s="50" t="str">
        <f aca="false">IF(StartingSoon[[#This Row],[_Task]]="","",INDEX(tsk_Duration,StartingSoon[[#This Row],[_Task]]))</f>
        <v/>
      </c>
      <c r="I60" s="24" t="str">
        <f aca="false">IF(StartingSoon[[#This Row],[_Task]]="","",INDEX(tsk_Predecessors,StartingSoon[[#This Row],[_Task]])&amp;"")</f>
        <v/>
      </c>
      <c r="J60" s="24" t="str">
        <f aca="false">IF(StartingSoon[[#This Row],[_Task]]="","",INDEX(tsk_Critical,StartingSoon[[#This Row],[_Task]])&amp;"")</f>
        <v/>
      </c>
    </row>
    <row r="61" customFormat="false" ht="15" hidden="false" customHeight="false" outlineLevel="0" collapsed="false">
      <c r="B61" s="43" t="str">
        <f aca="false">IFERROR(MATCH(SMALL(tsk_StartSoonKey,ROW()-ROW(StartingSoon[[#Headers],[_Task]])),tsk_StartSoonKey,0),"")</f>
        <v/>
      </c>
      <c r="C61" s="24" t="str">
        <f aca="false">IF(StartingSoon[[#This Row],[_Task]]="","",INDEX(tsk_WBS,StartingSoon[[#This Row],[_Task]])&amp;"")</f>
        <v/>
      </c>
      <c r="D61" s="24" t="str">
        <f aca="false">IF(StartingSoon[[#This Row],[_Task]]="","",INDEX(tsk_Name,StartingSoon[[#This Row],[_Task]])&amp;"")</f>
        <v/>
      </c>
      <c r="E61" s="24" t="str">
        <f aca="false">IF(StartingSoon[[#This Row],[_Task]]="","",INDEX(tsk_Resource,StartingSoon[[#This Row],[_Task]])&amp;"")</f>
        <v/>
      </c>
      <c r="F61" s="44" t="str">
        <f aca="false">IF(StartingSoon[[#This Row],[_Task]]="","",IF(N(INDEX(tsk_FcStart,StartingSoon[[#This Row],[_Task]]))=0,"",INDEX(tsk_FcStart,StartingSoon[[#This Row],[_Task]])))</f>
        <v/>
      </c>
      <c r="G61" s="44" t="str">
        <f aca="false">IF(StartingSoon[[#This Row],[_Task]]="","",IF(N(INDEX(tsk_FcFinish,StartingSoon[[#This Row],[_Task]]))=0,"",INDEX(tsk_FcFinish,StartingSoon[[#This Row],[_Task]])))</f>
        <v/>
      </c>
      <c r="H61" s="50" t="str">
        <f aca="false">IF(StartingSoon[[#This Row],[_Task]]="","",INDEX(tsk_Duration,StartingSoon[[#This Row],[_Task]]))</f>
        <v/>
      </c>
      <c r="I61" s="24" t="str">
        <f aca="false">IF(StartingSoon[[#This Row],[_Task]]="","",INDEX(tsk_Predecessors,StartingSoon[[#This Row],[_Task]])&amp;"")</f>
        <v/>
      </c>
      <c r="J61" s="24" t="str">
        <f aca="false">IF(StartingSoon[[#This Row],[_Task]]="","",INDEX(tsk_Critical,StartingSoon[[#This Row],[_Task]])&amp;"")</f>
        <v/>
      </c>
    </row>
    <row r="62" customFormat="false" ht="15" hidden="false" customHeight="false" outlineLevel="0" collapsed="false">
      <c r="B62" s="43" t="str">
        <f aca="false">IFERROR(MATCH(SMALL(tsk_StartSoonKey,ROW()-ROW(StartingSoon[[#Headers],[_Task]])),tsk_StartSoonKey,0),"")</f>
        <v/>
      </c>
      <c r="C62" s="24" t="str">
        <f aca="false">IF(StartingSoon[[#This Row],[_Task]]="","",INDEX(tsk_WBS,StartingSoon[[#This Row],[_Task]])&amp;"")</f>
        <v/>
      </c>
      <c r="D62" s="24" t="str">
        <f aca="false">IF(StartingSoon[[#This Row],[_Task]]="","",INDEX(tsk_Name,StartingSoon[[#This Row],[_Task]])&amp;"")</f>
        <v/>
      </c>
      <c r="E62" s="24" t="str">
        <f aca="false">IF(StartingSoon[[#This Row],[_Task]]="","",INDEX(tsk_Resource,StartingSoon[[#This Row],[_Task]])&amp;"")</f>
        <v/>
      </c>
      <c r="F62" s="44" t="str">
        <f aca="false">IF(StartingSoon[[#This Row],[_Task]]="","",IF(N(INDEX(tsk_FcStart,StartingSoon[[#This Row],[_Task]]))=0,"",INDEX(tsk_FcStart,StartingSoon[[#This Row],[_Task]])))</f>
        <v/>
      </c>
      <c r="G62" s="44" t="str">
        <f aca="false">IF(StartingSoon[[#This Row],[_Task]]="","",IF(N(INDEX(tsk_FcFinish,StartingSoon[[#This Row],[_Task]]))=0,"",INDEX(tsk_FcFinish,StartingSoon[[#This Row],[_Task]])))</f>
        <v/>
      </c>
      <c r="H62" s="50" t="str">
        <f aca="false">IF(StartingSoon[[#This Row],[_Task]]="","",INDEX(tsk_Duration,StartingSoon[[#This Row],[_Task]]))</f>
        <v/>
      </c>
      <c r="I62" s="24" t="str">
        <f aca="false">IF(StartingSoon[[#This Row],[_Task]]="","",INDEX(tsk_Predecessors,StartingSoon[[#This Row],[_Task]])&amp;"")</f>
        <v/>
      </c>
      <c r="J62" s="24" t="str">
        <f aca="false">IF(StartingSoon[[#This Row],[_Task]]="","",INDEX(tsk_Critical,StartingSoon[[#This Row],[_Task]])&amp;"")</f>
        <v/>
      </c>
    </row>
    <row r="63" customFormat="false" ht="15" hidden="false" customHeight="false" outlineLevel="0" collapsed="false">
      <c r="B63" s="43" t="str">
        <f aca="false">IFERROR(MATCH(SMALL(tsk_StartSoonKey,ROW()-ROW(StartingSoon[[#Headers],[_Task]])),tsk_StartSoonKey,0),"")</f>
        <v/>
      </c>
      <c r="C63" s="24" t="str">
        <f aca="false">IF(StartingSoon[[#This Row],[_Task]]="","",INDEX(tsk_WBS,StartingSoon[[#This Row],[_Task]])&amp;"")</f>
        <v/>
      </c>
      <c r="D63" s="24" t="str">
        <f aca="false">IF(StartingSoon[[#This Row],[_Task]]="","",INDEX(tsk_Name,StartingSoon[[#This Row],[_Task]])&amp;"")</f>
        <v/>
      </c>
      <c r="E63" s="24" t="str">
        <f aca="false">IF(StartingSoon[[#This Row],[_Task]]="","",INDEX(tsk_Resource,StartingSoon[[#This Row],[_Task]])&amp;"")</f>
        <v/>
      </c>
      <c r="F63" s="44" t="str">
        <f aca="false">IF(StartingSoon[[#This Row],[_Task]]="","",IF(N(INDEX(tsk_FcStart,StartingSoon[[#This Row],[_Task]]))=0,"",INDEX(tsk_FcStart,StartingSoon[[#This Row],[_Task]])))</f>
        <v/>
      </c>
      <c r="G63" s="44" t="str">
        <f aca="false">IF(StartingSoon[[#This Row],[_Task]]="","",IF(N(INDEX(tsk_FcFinish,StartingSoon[[#This Row],[_Task]]))=0,"",INDEX(tsk_FcFinish,StartingSoon[[#This Row],[_Task]])))</f>
        <v/>
      </c>
      <c r="H63" s="50" t="str">
        <f aca="false">IF(StartingSoon[[#This Row],[_Task]]="","",INDEX(tsk_Duration,StartingSoon[[#This Row],[_Task]]))</f>
        <v/>
      </c>
      <c r="I63" s="24" t="str">
        <f aca="false">IF(StartingSoon[[#This Row],[_Task]]="","",INDEX(tsk_Predecessors,StartingSoon[[#This Row],[_Task]])&amp;"")</f>
        <v/>
      </c>
      <c r="J63" s="24" t="str">
        <f aca="false">IF(StartingSoon[[#This Row],[_Task]]="","",INDEX(tsk_Critical,StartingSoon[[#This Row],[_Task]])&amp;"")</f>
        <v/>
      </c>
    </row>
    <row r="64" customFormat="false" ht="15" hidden="false" customHeight="false" outlineLevel="0" collapsed="false">
      <c r="B64" s="43" t="str">
        <f aca="false">IFERROR(MATCH(SMALL(tsk_StartSoonKey,ROW()-ROW(StartingSoon[[#Headers],[_Task]])),tsk_StartSoonKey,0),"")</f>
        <v/>
      </c>
      <c r="C64" s="24" t="str">
        <f aca="false">IF(StartingSoon[[#This Row],[_Task]]="","",INDEX(tsk_WBS,StartingSoon[[#This Row],[_Task]])&amp;"")</f>
        <v/>
      </c>
      <c r="D64" s="24" t="str">
        <f aca="false">IF(StartingSoon[[#This Row],[_Task]]="","",INDEX(tsk_Name,StartingSoon[[#This Row],[_Task]])&amp;"")</f>
        <v/>
      </c>
      <c r="E64" s="24" t="str">
        <f aca="false">IF(StartingSoon[[#This Row],[_Task]]="","",INDEX(tsk_Resource,StartingSoon[[#This Row],[_Task]])&amp;"")</f>
        <v/>
      </c>
      <c r="F64" s="44" t="str">
        <f aca="false">IF(StartingSoon[[#This Row],[_Task]]="","",IF(N(INDEX(tsk_FcStart,StartingSoon[[#This Row],[_Task]]))=0,"",INDEX(tsk_FcStart,StartingSoon[[#This Row],[_Task]])))</f>
        <v/>
      </c>
      <c r="G64" s="44" t="str">
        <f aca="false">IF(StartingSoon[[#This Row],[_Task]]="","",IF(N(INDEX(tsk_FcFinish,StartingSoon[[#This Row],[_Task]]))=0,"",INDEX(tsk_FcFinish,StartingSoon[[#This Row],[_Task]])))</f>
        <v/>
      </c>
      <c r="H64" s="50" t="str">
        <f aca="false">IF(StartingSoon[[#This Row],[_Task]]="","",INDEX(tsk_Duration,StartingSoon[[#This Row],[_Task]]))</f>
        <v/>
      </c>
      <c r="I64" s="24" t="str">
        <f aca="false">IF(StartingSoon[[#This Row],[_Task]]="","",INDEX(tsk_Predecessors,StartingSoon[[#This Row],[_Task]])&amp;"")</f>
        <v/>
      </c>
      <c r="J64" s="24" t="str">
        <f aca="false">IF(StartingSoon[[#This Row],[_Task]]="","",INDEX(tsk_Critical,StartingSoon[[#This Row],[_Task]])&amp;"")</f>
        <v/>
      </c>
    </row>
    <row r="65" customFormat="false" ht="15" hidden="false" customHeight="false" outlineLevel="0" collapsed="false">
      <c r="B65" s="43" t="str">
        <f aca="false">IFERROR(MATCH(SMALL(tsk_StartSoonKey,ROW()-ROW(StartingSoon[[#Headers],[_Task]])),tsk_StartSoonKey,0),"")</f>
        <v/>
      </c>
      <c r="C65" s="24" t="str">
        <f aca="false">IF(StartingSoon[[#This Row],[_Task]]="","",INDEX(tsk_WBS,StartingSoon[[#This Row],[_Task]])&amp;"")</f>
        <v/>
      </c>
      <c r="D65" s="24" t="str">
        <f aca="false">IF(StartingSoon[[#This Row],[_Task]]="","",INDEX(tsk_Name,StartingSoon[[#This Row],[_Task]])&amp;"")</f>
        <v/>
      </c>
      <c r="E65" s="24" t="str">
        <f aca="false">IF(StartingSoon[[#This Row],[_Task]]="","",INDEX(tsk_Resource,StartingSoon[[#This Row],[_Task]])&amp;"")</f>
        <v/>
      </c>
      <c r="F65" s="44" t="str">
        <f aca="false">IF(StartingSoon[[#This Row],[_Task]]="","",IF(N(INDEX(tsk_FcStart,StartingSoon[[#This Row],[_Task]]))=0,"",INDEX(tsk_FcStart,StartingSoon[[#This Row],[_Task]])))</f>
        <v/>
      </c>
      <c r="G65" s="44" t="str">
        <f aca="false">IF(StartingSoon[[#This Row],[_Task]]="","",IF(N(INDEX(tsk_FcFinish,StartingSoon[[#This Row],[_Task]]))=0,"",INDEX(tsk_FcFinish,StartingSoon[[#This Row],[_Task]])))</f>
        <v/>
      </c>
      <c r="H65" s="50" t="str">
        <f aca="false">IF(StartingSoon[[#This Row],[_Task]]="","",INDEX(tsk_Duration,StartingSoon[[#This Row],[_Task]]))</f>
        <v/>
      </c>
      <c r="I65" s="24" t="str">
        <f aca="false">IF(StartingSoon[[#This Row],[_Task]]="","",INDEX(tsk_Predecessors,StartingSoon[[#This Row],[_Task]])&amp;"")</f>
        <v/>
      </c>
      <c r="J65" s="24" t="str">
        <f aca="false">IF(StartingSoon[[#This Row],[_Task]]="","",INDEX(tsk_Critical,StartingSoon[[#This Row],[_Task]])&amp;"")</f>
        <v/>
      </c>
    </row>
    <row r="66" customFormat="false" ht="15" hidden="false" customHeight="false" outlineLevel="0" collapsed="false">
      <c r="B66" s="43" t="str">
        <f aca="false">IFERROR(MATCH(SMALL(tsk_StartSoonKey,ROW()-ROW(StartingSoon[[#Headers],[_Task]])),tsk_StartSoonKey,0),"")</f>
        <v/>
      </c>
      <c r="C66" s="24" t="str">
        <f aca="false">IF(StartingSoon[[#This Row],[_Task]]="","",INDEX(tsk_WBS,StartingSoon[[#This Row],[_Task]])&amp;"")</f>
        <v/>
      </c>
      <c r="D66" s="24" t="str">
        <f aca="false">IF(StartingSoon[[#This Row],[_Task]]="","",INDEX(tsk_Name,StartingSoon[[#This Row],[_Task]])&amp;"")</f>
        <v/>
      </c>
      <c r="E66" s="24" t="str">
        <f aca="false">IF(StartingSoon[[#This Row],[_Task]]="","",INDEX(tsk_Resource,StartingSoon[[#This Row],[_Task]])&amp;"")</f>
        <v/>
      </c>
      <c r="F66" s="44" t="str">
        <f aca="false">IF(StartingSoon[[#This Row],[_Task]]="","",IF(N(INDEX(tsk_FcStart,StartingSoon[[#This Row],[_Task]]))=0,"",INDEX(tsk_FcStart,StartingSoon[[#This Row],[_Task]])))</f>
        <v/>
      </c>
      <c r="G66" s="44" t="str">
        <f aca="false">IF(StartingSoon[[#This Row],[_Task]]="","",IF(N(INDEX(tsk_FcFinish,StartingSoon[[#This Row],[_Task]]))=0,"",INDEX(tsk_FcFinish,StartingSoon[[#This Row],[_Task]])))</f>
        <v/>
      </c>
      <c r="H66" s="50" t="str">
        <f aca="false">IF(StartingSoon[[#This Row],[_Task]]="","",INDEX(tsk_Duration,StartingSoon[[#This Row],[_Task]]))</f>
        <v/>
      </c>
      <c r="I66" s="24" t="str">
        <f aca="false">IF(StartingSoon[[#This Row],[_Task]]="","",INDEX(tsk_Predecessors,StartingSoon[[#This Row],[_Task]])&amp;"")</f>
        <v/>
      </c>
      <c r="J66" s="24" t="str">
        <f aca="false">IF(StartingSoon[[#This Row],[_Task]]="","",INDEX(tsk_Critical,StartingSoon[[#This Row],[_Task]])&amp;"")</f>
        <v/>
      </c>
    </row>
    <row r="67" customFormat="false" ht="15" hidden="false" customHeight="false" outlineLevel="0" collapsed="false">
      <c r="B67" s="43" t="str">
        <f aca="false">IFERROR(MATCH(SMALL(tsk_StartSoonKey,ROW()-ROW(StartingSoon[[#Headers],[_Task]])),tsk_StartSoonKey,0),"")</f>
        <v/>
      </c>
      <c r="C67" s="24" t="str">
        <f aca="false">IF(StartingSoon[[#This Row],[_Task]]="","",INDEX(tsk_WBS,StartingSoon[[#This Row],[_Task]])&amp;"")</f>
        <v/>
      </c>
      <c r="D67" s="24" t="str">
        <f aca="false">IF(StartingSoon[[#This Row],[_Task]]="","",INDEX(tsk_Name,StartingSoon[[#This Row],[_Task]])&amp;"")</f>
        <v/>
      </c>
      <c r="E67" s="24" t="str">
        <f aca="false">IF(StartingSoon[[#This Row],[_Task]]="","",INDEX(tsk_Resource,StartingSoon[[#This Row],[_Task]])&amp;"")</f>
        <v/>
      </c>
      <c r="F67" s="44" t="str">
        <f aca="false">IF(StartingSoon[[#This Row],[_Task]]="","",IF(N(INDEX(tsk_FcStart,StartingSoon[[#This Row],[_Task]]))=0,"",INDEX(tsk_FcStart,StartingSoon[[#This Row],[_Task]])))</f>
        <v/>
      </c>
      <c r="G67" s="44" t="str">
        <f aca="false">IF(StartingSoon[[#This Row],[_Task]]="","",IF(N(INDEX(tsk_FcFinish,StartingSoon[[#This Row],[_Task]]))=0,"",INDEX(tsk_FcFinish,StartingSoon[[#This Row],[_Task]])))</f>
        <v/>
      </c>
      <c r="H67" s="50" t="str">
        <f aca="false">IF(StartingSoon[[#This Row],[_Task]]="","",INDEX(tsk_Duration,StartingSoon[[#This Row],[_Task]]))</f>
        <v/>
      </c>
      <c r="I67" s="24" t="str">
        <f aca="false">IF(StartingSoon[[#This Row],[_Task]]="","",INDEX(tsk_Predecessors,StartingSoon[[#This Row],[_Task]])&amp;"")</f>
        <v/>
      </c>
      <c r="J67" s="24" t="str">
        <f aca="false">IF(StartingSoon[[#This Row],[_Task]]="","",INDEX(tsk_Critical,StartingSoon[[#This Row],[_Task]])&amp;"")</f>
        <v/>
      </c>
    </row>
    <row r="68" customFormat="false" ht="15" hidden="false" customHeight="false" outlineLevel="0" collapsed="false">
      <c r="B68" s="43" t="str">
        <f aca="false">IFERROR(MATCH(SMALL(tsk_StartSoonKey,ROW()-ROW(StartingSoon[[#Headers],[_Task]])),tsk_StartSoonKey,0),"")</f>
        <v/>
      </c>
      <c r="C68" s="24" t="str">
        <f aca="false">IF(StartingSoon[[#This Row],[_Task]]="","",INDEX(tsk_WBS,StartingSoon[[#This Row],[_Task]])&amp;"")</f>
        <v/>
      </c>
      <c r="D68" s="24" t="str">
        <f aca="false">IF(StartingSoon[[#This Row],[_Task]]="","",INDEX(tsk_Name,StartingSoon[[#This Row],[_Task]])&amp;"")</f>
        <v/>
      </c>
      <c r="E68" s="24" t="str">
        <f aca="false">IF(StartingSoon[[#This Row],[_Task]]="","",INDEX(tsk_Resource,StartingSoon[[#This Row],[_Task]])&amp;"")</f>
        <v/>
      </c>
      <c r="F68" s="44" t="str">
        <f aca="false">IF(StartingSoon[[#This Row],[_Task]]="","",IF(N(INDEX(tsk_FcStart,StartingSoon[[#This Row],[_Task]]))=0,"",INDEX(tsk_FcStart,StartingSoon[[#This Row],[_Task]])))</f>
        <v/>
      </c>
      <c r="G68" s="44" t="str">
        <f aca="false">IF(StartingSoon[[#This Row],[_Task]]="","",IF(N(INDEX(tsk_FcFinish,StartingSoon[[#This Row],[_Task]]))=0,"",INDEX(tsk_FcFinish,StartingSoon[[#This Row],[_Task]])))</f>
        <v/>
      </c>
      <c r="H68" s="50" t="str">
        <f aca="false">IF(StartingSoon[[#This Row],[_Task]]="","",INDEX(tsk_Duration,StartingSoon[[#This Row],[_Task]]))</f>
        <v/>
      </c>
      <c r="I68" s="24" t="str">
        <f aca="false">IF(StartingSoon[[#This Row],[_Task]]="","",INDEX(tsk_Predecessors,StartingSoon[[#This Row],[_Task]])&amp;"")</f>
        <v/>
      </c>
      <c r="J68" s="24" t="str">
        <f aca="false">IF(StartingSoon[[#This Row],[_Task]]="","",INDEX(tsk_Critical,StartingSoon[[#This Row],[_Task]])&amp;"")</f>
        <v/>
      </c>
    </row>
    <row r="69" customFormat="false" ht="15" hidden="false" customHeight="false" outlineLevel="0" collapsed="false">
      <c r="B69" s="43" t="str">
        <f aca="false">IFERROR(MATCH(SMALL(tsk_StartSoonKey,ROW()-ROW(StartingSoon[[#Headers],[_Task]])),tsk_StartSoonKey,0),"")</f>
        <v/>
      </c>
      <c r="C69" s="24" t="str">
        <f aca="false">IF(StartingSoon[[#This Row],[_Task]]="","",INDEX(tsk_WBS,StartingSoon[[#This Row],[_Task]])&amp;"")</f>
        <v/>
      </c>
      <c r="D69" s="24" t="str">
        <f aca="false">IF(StartingSoon[[#This Row],[_Task]]="","",INDEX(tsk_Name,StartingSoon[[#This Row],[_Task]])&amp;"")</f>
        <v/>
      </c>
      <c r="E69" s="24" t="str">
        <f aca="false">IF(StartingSoon[[#This Row],[_Task]]="","",INDEX(tsk_Resource,StartingSoon[[#This Row],[_Task]])&amp;"")</f>
        <v/>
      </c>
      <c r="F69" s="44" t="str">
        <f aca="false">IF(StartingSoon[[#This Row],[_Task]]="","",IF(N(INDEX(tsk_FcStart,StartingSoon[[#This Row],[_Task]]))=0,"",INDEX(tsk_FcStart,StartingSoon[[#This Row],[_Task]])))</f>
        <v/>
      </c>
      <c r="G69" s="44" t="str">
        <f aca="false">IF(StartingSoon[[#This Row],[_Task]]="","",IF(N(INDEX(tsk_FcFinish,StartingSoon[[#This Row],[_Task]]))=0,"",INDEX(tsk_FcFinish,StartingSoon[[#This Row],[_Task]])))</f>
        <v/>
      </c>
      <c r="H69" s="50" t="str">
        <f aca="false">IF(StartingSoon[[#This Row],[_Task]]="","",INDEX(tsk_Duration,StartingSoon[[#This Row],[_Task]]))</f>
        <v/>
      </c>
      <c r="I69" s="24" t="str">
        <f aca="false">IF(StartingSoon[[#This Row],[_Task]]="","",INDEX(tsk_Predecessors,StartingSoon[[#This Row],[_Task]])&amp;"")</f>
        <v/>
      </c>
      <c r="J69" s="24" t="str">
        <f aca="false">IF(StartingSoon[[#This Row],[_Task]]="","",INDEX(tsk_Critical,StartingSoon[[#This Row],[_Task]])&amp;"")</f>
        <v/>
      </c>
    </row>
    <row r="71" customFormat="false" ht="15" hidden="false" customHeight="false" outlineLevel="0" collapsed="false">
      <c r="C71" s="36" t="str">
        <f aca="false">"Due by "&amp;TEXT(LookaheadEnd,"ddd dd-mmm")&amp;": "&amp;COUNT(tsk_DueSoonKey)&amp;IF(COUNT(tsk_DueSoonKey)&gt;ROWS(DueSoon[_Task])," (showing the first "&amp;ROWS(DueSoon[_Task])&amp;")","")</f>
        <v>Due by Fri 06-Nov: 3</v>
      </c>
    </row>
    <row r="72" customFormat="false" ht="23.85" hidden="false" customHeight="false" outlineLevel="0" collapsed="false">
      <c r="B72" s="42" t="s">
        <v>168</v>
      </c>
      <c r="C72" s="9" t="s">
        <v>169</v>
      </c>
      <c r="D72" s="9" t="s">
        <v>187</v>
      </c>
      <c r="E72" s="9" t="s">
        <v>188</v>
      </c>
      <c r="F72" s="9" t="s">
        <v>172</v>
      </c>
      <c r="G72" s="9" t="s">
        <v>174</v>
      </c>
      <c r="H72" s="9" t="s">
        <v>186</v>
      </c>
      <c r="I72" s="9" t="s">
        <v>81</v>
      </c>
      <c r="J72" s="9" t="s">
        <v>189</v>
      </c>
    </row>
    <row r="73" customFormat="false" ht="15" hidden="false" customHeight="false" outlineLevel="0" collapsed="false">
      <c r="B73" s="43" t="n">
        <f aca="false">IFERROR(MATCH(SMALL(tsk_DueSoonKey,ROW()-ROW(DueSoon[[#Headers],[_Task]])),tsk_DueSoonKey,0),"")</f>
        <v>13</v>
      </c>
      <c r="C73" s="24" t="str">
        <f aca="false">IF(DueSoon[[#This Row],[_Task]]="","",INDEX(tsk_WBS,DueSoon[[#This Row],[_Task]])&amp;"")</f>
        <v>3.1.2</v>
      </c>
      <c r="D73" s="24" t="str">
        <f aca="false">IF(DueSoon[[#This Row],[_Task]]="","",INDEX(tsk_Name,DueSoon[[#This Row],[_Task]])&amp;"")</f>
        <v>Core API endpoints</v>
      </c>
      <c r="E73" s="24" t="str">
        <f aca="false">IF(DueSoon[[#This Row],[_Task]]="","",INDEX(tsk_Resource,DueSoon[[#This Row],[_Task]])&amp;"")</f>
        <v>Jordan Lee</v>
      </c>
      <c r="F73" s="44" t="n">
        <f aca="false">IF(DueSoon[[#This Row],[_Task]]="","",IF(N(INDEX(tsk_FcFinish,DueSoon[[#This Row],[_Task]]))=0,"",INDEX(tsk_FcFinish,DueSoon[[#This Row],[_Task]])))</f>
        <v>46325</v>
      </c>
      <c r="G73" s="46" t="n">
        <f aca="false">IF(DueSoon[[#This Row],[_Task]]="","",INDEX(tsk_Progress,DueSoon[[#This Row],[_Task]]))</f>
        <v>0.5</v>
      </c>
      <c r="H73" s="24" t="str">
        <f aca="false">IF(DueSoon[[#This Row],[_Task]]="","",INDEX(tsk_DeadlineCheck,DueSoon[[#This Row],[_Task]])&amp;"")</f>
        <v/>
      </c>
      <c r="I73" s="24" t="str">
        <f aca="false">IF(DueSoon[[#This Row],[_Task]]="","",INDEX(tsk_Status,DueSoon[[#This Row],[_Task]])&amp;"")</f>
        <v>Behind</v>
      </c>
      <c r="J73" s="24" t="str">
        <f aca="false">IF(DueSoon[[#This Row],[_Task]]="","",INDEX(tsk_Critical,DueSoon[[#This Row],[_Task]])&amp;"")</f>
        <v>Yes</v>
      </c>
    </row>
    <row r="74" customFormat="false" ht="15" hidden="false" customHeight="false" outlineLevel="0" collapsed="false">
      <c r="B74" s="43" t="n">
        <f aca="false">IFERROR(MATCH(SMALL(tsk_DueSoonKey,ROW()-ROW(DueSoon[[#Headers],[_Task]])),tsk_DueSoonKey,0),"")</f>
        <v>17</v>
      </c>
      <c r="C74" s="24" t="str">
        <f aca="false">IF(DueSoon[[#This Row],[_Task]]="","",INDEX(tsk_WBS,DueSoon[[#This Row],[_Task]])&amp;"")</f>
        <v>3.2.2</v>
      </c>
      <c r="D74" s="24" t="str">
        <f aca="false">IF(DueSoon[[#This Row],[_Task]]="","",INDEX(tsk_Name,DueSoon[[#This Row],[_Task]])&amp;"")</f>
        <v>Feature screens</v>
      </c>
      <c r="E74" s="24" t="str">
        <f aca="false">IF(DueSoon[[#This Row],[_Task]]="","",INDEX(tsk_Resource,DueSoon[[#This Row],[_Task]])&amp;"")</f>
        <v>Sam Rivera</v>
      </c>
      <c r="F74" s="44" t="n">
        <f aca="false">IF(DueSoon[[#This Row],[_Task]]="","",IF(N(INDEX(tsk_FcFinish,DueSoon[[#This Row],[_Task]]))=0,"",INDEX(tsk_FcFinish,DueSoon[[#This Row],[_Task]])))</f>
        <v>46331</v>
      </c>
      <c r="G74" s="46" t="n">
        <f aca="false">IF(DueSoon[[#This Row],[_Task]]="","",INDEX(tsk_Progress,DueSoon[[#This Row],[_Task]]))</f>
        <v>0.25</v>
      </c>
      <c r="H74" s="24" t="str">
        <f aca="false">IF(DueSoon[[#This Row],[_Task]]="","",INDEX(tsk_DeadlineCheck,DueSoon[[#This Row],[_Task]])&amp;"")</f>
        <v/>
      </c>
      <c r="I74" s="24" t="str">
        <f aca="false">IF(DueSoon[[#This Row],[_Task]]="","",INDEX(tsk_Status,DueSoon[[#This Row],[_Task]])&amp;"")</f>
        <v>Behind</v>
      </c>
      <c r="J74" s="24" t="str">
        <f aca="false">IF(DueSoon[[#This Row],[_Task]]="","",INDEX(tsk_Critical,DueSoon[[#This Row],[_Task]])&amp;"")</f>
        <v>Yes</v>
      </c>
    </row>
    <row r="75" customFormat="false" ht="15" hidden="false" customHeight="false" outlineLevel="0" collapsed="false">
      <c r="B75" s="43" t="n">
        <f aca="false">IFERROR(MATCH(SMALL(tsk_DueSoonKey,ROW()-ROW(DueSoon[[#Headers],[_Task]])),tsk_DueSoonKey,0),"")</f>
        <v>18</v>
      </c>
      <c r="C75" s="24" t="str">
        <f aca="false">IF(DueSoon[[#This Row],[_Task]]="","",INDEX(tsk_WBS,DueSoon[[#This Row],[_Task]])&amp;"")</f>
        <v>3.2.3</v>
      </c>
      <c r="D75" s="24" t="str">
        <f aca="false">IF(DueSoon[[#This Row],[_Task]]="","",INDEX(tsk_Name,DueSoon[[#This Row],[_Task]])&amp;"")</f>
        <v>Accessibility review</v>
      </c>
      <c r="E75" s="24" t="str">
        <f aca="false">IF(DueSoon[[#This Row],[_Task]]="","",INDEX(tsk_Resource,DueSoon[[#This Row],[_Task]])&amp;"")</f>
        <v>Casey Kim</v>
      </c>
      <c r="F75" s="44" t="n">
        <f aca="false">IF(DueSoon[[#This Row],[_Task]]="","",IF(N(INDEX(tsk_FcFinish,DueSoon[[#This Row],[_Task]]))=0,"",INDEX(tsk_FcFinish,DueSoon[[#This Row],[_Task]])))</f>
        <v>46332</v>
      </c>
      <c r="G75" s="46" t="n">
        <f aca="false">IF(DueSoon[[#This Row],[_Task]]="","",INDEX(tsk_Progress,DueSoon[[#This Row],[_Task]]))</f>
        <v>0</v>
      </c>
      <c r="H75" s="24" t="str">
        <f aca="false">IF(DueSoon[[#This Row],[_Task]]="","",INDEX(tsk_DeadlineCheck,DueSoon[[#This Row],[_Task]])&amp;"")</f>
        <v/>
      </c>
      <c r="I75" s="24" t="str">
        <f aca="false">IF(DueSoon[[#This Row],[_Task]]="","",INDEX(tsk_Status,DueSoon[[#This Row],[_Task]])&amp;"")</f>
        <v>Not Started</v>
      </c>
      <c r="J75" s="24" t="str">
        <f aca="false">IF(DueSoon[[#This Row],[_Task]]="","",INDEX(tsk_Critical,DueSoon[[#This Row],[_Task]])&amp;"")</f>
        <v>Yes</v>
      </c>
    </row>
    <row r="76" customFormat="false" ht="15" hidden="false" customHeight="false" outlineLevel="0" collapsed="false">
      <c r="B76" s="43" t="str">
        <f aca="false">IFERROR(MATCH(SMALL(tsk_DueSoonKey,ROW()-ROW(DueSoon[[#Headers],[_Task]])),tsk_DueSoonKey,0),"")</f>
        <v/>
      </c>
      <c r="C76" s="24" t="str">
        <f aca="false">IF(DueSoon[[#This Row],[_Task]]="","",INDEX(tsk_WBS,DueSoon[[#This Row],[_Task]])&amp;"")</f>
        <v/>
      </c>
      <c r="D76" s="24" t="str">
        <f aca="false">IF(DueSoon[[#This Row],[_Task]]="","",INDEX(tsk_Name,DueSoon[[#This Row],[_Task]])&amp;"")</f>
        <v/>
      </c>
      <c r="E76" s="24" t="str">
        <f aca="false">IF(DueSoon[[#This Row],[_Task]]="","",INDEX(tsk_Resource,DueSoon[[#This Row],[_Task]])&amp;"")</f>
        <v/>
      </c>
      <c r="F76" s="44" t="str">
        <f aca="false">IF(DueSoon[[#This Row],[_Task]]="","",IF(N(INDEX(tsk_FcFinish,DueSoon[[#This Row],[_Task]]))=0,"",INDEX(tsk_FcFinish,DueSoon[[#This Row],[_Task]])))</f>
        <v/>
      </c>
      <c r="G76" s="46" t="str">
        <f aca="false">IF(DueSoon[[#This Row],[_Task]]="","",INDEX(tsk_Progress,DueSoon[[#This Row],[_Task]]))</f>
        <v/>
      </c>
      <c r="H76" s="24" t="str">
        <f aca="false">IF(DueSoon[[#This Row],[_Task]]="","",INDEX(tsk_DeadlineCheck,DueSoon[[#This Row],[_Task]])&amp;"")</f>
        <v/>
      </c>
      <c r="I76" s="24" t="str">
        <f aca="false">IF(DueSoon[[#This Row],[_Task]]="","",INDEX(tsk_Status,DueSoon[[#This Row],[_Task]])&amp;"")</f>
        <v/>
      </c>
      <c r="J76" s="24" t="str">
        <f aca="false">IF(DueSoon[[#This Row],[_Task]]="","",INDEX(tsk_Critical,DueSoon[[#This Row],[_Task]])&amp;"")</f>
        <v/>
      </c>
    </row>
    <row r="77" customFormat="false" ht="15" hidden="false" customHeight="false" outlineLevel="0" collapsed="false">
      <c r="B77" s="43" t="str">
        <f aca="false">IFERROR(MATCH(SMALL(tsk_DueSoonKey,ROW()-ROW(DueSoon[[#Headers],[_Task]])),tsk_DueSoonKey,0),"")</f>
        <v/>
      </c>
      <c r="C77" s="24" t="str">
        <f aca="false">IF(DueSoon[[#This Row],[_Task]]="","",INDEX(tsk_WBS,DueSoon[[#This Row],[_Task]])&amp;"")</f>
        <v/>
      </c>
      <c r="D77" s="24" t="str">
        <f aca="false">IF(DueSoon[[#This Row],[_Task]]="","",INDEX(tsk_Name,DueSoon[[#This Row],[_Task]])&amp;"")</f>
        <v/>
      </c>
      <c r="E77" s="24" t="str">
        <f aca="false">IF(DueSoon[[#This Row],[_Task]]="","",INDEX(tsk_Resource,DueSoon[[#This Row],[_Task]])&amp;"")</f>
        <v/>
      </c>
      <c r="F77" s="44" t="str">
        <f aca="false">IF(DueSoon[[#This Row],[_Task]]="","",IF(N(INDEX(tsk_FcFinish,DueSoon[[#This Row],[_Task]]))=0,"",INDEX(tsk_FcFinish,DueSoon[[#This Row],[_Task]])))</f>
        <v/>
      </c>
      <c r="G77" s="46" t="str">
        <f aca="false">IF(DueSoon[[#This Row],[_Task]]="","",INDEX(tsk_Progress,DueSoon[[#This Row],[_Task]]))</f>
        <v/>
      </c>
      <c r="H77" s="24" t="str">
        <f aca="false">IF(DueSoon[[#This Row],[_Task]]="","",INDEX(tsk_DeadlineCheck,DueSoon[[#This Row],[_Task]])&amp;"")</f>
        <v/>
      </c>
      <c r="I77" s="24" t="str">
        <f aca="false">IF(DueSoon[[#This Row],[_Task]]="","",INDEX(tsk_Status,DueSoon[[#This Row],[_Task]])&amp;"")</f>
        <v/>
      </c>
      <c r="J77" s="24" t="str">
        <f aca="false">IF(DueSoon[[#This Row],[_Task]]="","",INDEX(tsk_Critical,DueSoon[[#This Row],[_Task]])&amp;"")</f>
        <v/>
      </c>
    </row>
    <row r="78" customFormat="false" ht="15" hidden="false" customHeight="false" outlineLevel="0" collapsed="false">
      <c r="B78" s="43" t="str">
        <f aca="false">IFERROR(MATCH(SMALL(tsk_DueSoonKey,ROW()-ROW(DueSoon[[#Headers],[_Task]])),tsk_DueSoonKey,0),"")</f>
        <v/>
      </c>
      <c r="C78" s="24" t="str">
        <f aca="false">IF(DueSoon[[#This Row],[_Task]]="","",INDEX(tsk_WBS,DueSoon[[#This Row],[_Task]])&amp;"")</f>
        <v/>
      </c>
      <c r="D78" s="24" t="str">
        <f aca="false">IF(DueSoon[[#This Row],[_Task]]="","",INDEX(tsk_Name,DueSoon[[#This Row],[_Task]])&amp;"")</f>
        <v/>
      </c>
      <c r="E78" s="24" t="str">
        <f aca="false">IF(DueSoon[[#This Row],[_Task]]="","",INDEX(tsk_Resource,DueSoon[[#This Row],[_Task]])&amp;"")</f>
        <v/>
      </c>
      <c r="F78" s="44" t="str">
        <f aca="false">IF(DueSoon[[#This Row],[_Task]]="","",IF(N(INDEX(tsk_FcFinish,DueSoon[[#This Row],[_Task]]))=0,"",INDEX(tsk_FcFinish,DueSoon[[#This Row],[_Task]])))</f>
        <v/>
      </c>
      <c r="G78" s="46" t="str">
        <f aca="false">IF(DueSoon[[#This Row],[_Task]]="","",INDEX(tsk_Progress,DueSoon[[#This Row],[_Task]]))</f>
        <v/>
      </c>
      <c r="H78" s="24" t="str">
        <f aca="false">IF(DueSoon[[#This Row],[_Task]]="","",INDEX(tsk_DeadlineCheck,DueSoon[[#This Row],[_Task]])&amp;"")</f>
        <v/>
      </c>
      <c r="I78" s="24" t="str">
        <f aca="false">IF(DueSoon[[#This Row],[_Task]]="","",INDEX(tsk_Status,DueSoon[[#This Row],[_Task]])&amp;"")</f>
        <v/>
      </c>
      <c r="J78" s="24" t="str">
        <f aca="false">IF(DueSoon[[#This Row],[_Task]]="","",INDEX(tsk_Critical,DueSoon[[#This Row],[_Task]])&amp;"")</f>
        <v/>
      </c>
    </row>
    <row r="79" customFormat="false" ht="15" hidden="false" customHeight="false" outlineLevel="0" collapsed="false">
      <c r="B79" s="43" t="str">
        <f aca="false">IFERROR(MATCH(SMALL(tsk_DueSoonKey,ROW()-ROW(DueSoon[[#Headers],[_Task]])),tsk_DueSoonKey,0),"")</f>
        <v/>
      </c>
      <c r="C79" s="24" t="str">
        <f aca="false">IF(DueSoon[[#This Row],[_Task]]="","",INDEX(tsk_WBS,DueSoon[[#This Row],[_Task]])&amp;"")</f>
        <v/>
      </c>
      <c r="D79" s="24" t="str">
        <f aca="false">IF(DueSoon[[#This Row],[_Task]]="","",INDEX(tsk_Name,DueSoon[[#This Row],[_Task]])&amp;"")</f>
        <v/>
      </c>
      <c r="E79" s="24" t="str">
        <f aca="false">IF(DueSoon[[#This Row],[_Task]]="","",INDEX(tsk_Resource,DueSoon[[#This Row],[_Task]])&amp;"")</f>
        <v/>
      </c>
      <c r="F79" s="44" t="str">
        <f aca="false">IF(DueSoon[[#This Row],[_Task]]="","",IF(N(INDEX(tsk_FcFinish,DueSoon[[#This Row],[_Task]]))=0,"",INDEX(tsk_FcFinish,DueSoon[[#This Row],[_Task]])))</f>
        <v/>
      </c>
      <c r="G79" s="46" t="str">
        <f aca="false">IF(DueSoon[[#This Row],[_Task]]="","",INDEX(tsk_Progress,DueSoon[[#This Row],[_Task]]))</f>
        <v/>
      </c>
      <c r="H79" s="24" t="str">
        <f aca="false">IF(DueSoon[[#This Row],[_Task]]="","",INDEX(tsk_DeadlineCheck,DueSoon[[#This Row],[_Task]])&amp;"")</f>
        <v/>
      </c>
      <c r="I79" s="24" t="str">
        <f aca="false">IF(DueSoon[[#This Row],[_Task]]="","",INDEX(tsk_Status,DueSoon[[#This Row],[_Task]])&amp;"")</f>
        <v/>
      </c>
      <c r="J79" s="24" t="str">
        <f aca="false">IF(DueSoon[[#This Row],[_Task]]="","",INDEX(tsk_Critical,DueSoon[[#This Row],[_Task]])&amp;"")</f>
        <v/>
      </c>
    </row>
    <row r="80" customFormat="false" ht="15" hidden="false" customHeight="false" outlineLevel="0" collapsed="false">
      <c r="B80" s="43" t="str">
        <f aca="false">IFERROR(MATCH(SMALL(tsk_DueSoonKey,ROW()-ROW(DueSoon[[#Headers],[_Task]])),tsk_DueSoonKey,0),"")</f>
        <v/>
      </c>
      <c r="C80" s="24" t="str">
        <f aca="false">IF(DueSoon[[#This Row],[_Task]]="","",INDEX(tsk_WBS,DueSoon[[#This Row],[_Task]])&amp;"")</f>
        <v/>
      </c>
      <c r="D80" s="24" t="str">
        <f aca="false">IF(DueSoon[[#This Row],[_Task]]="","",INDEX(tsk_Name,DueSoon[[#This Row],[_Task]])&amp;"")</f>
        <v/>
      </c>
      <c r="E80" s="24" t="str">
        <f aca="false">IF(DueSoon[[#This Row],[_Task]]="","",INDEX(tsk_Resource,DueSoon[[#This Row],[_Task]])&amp;"")</f>
        <v/>
      </c>
      <c r="F80" s="44" t="str">
        <f aca="false">IF(DueSoon[[#This Row],[_Task]]="","",IF(N(INDEX(tsk_FcFinish,DueSoon[[#This Row],[_Task]]))=0,"",INDEX(tsk_FcFinish,DueSoon[[#This Row],[_Task]])))</f>
        <v/>
      </c>
      <c r="G80" s="46" t="str">
        <f aca="false">IF(DueSoon[[#This Row],[_Task]]="","",INDEX(tsk_Progress,DueSoon[[#This Row],[_Task]]))</f>
        <v/>
      </c>
      <c r="H80" s="24" t="str">
        <f aca="false">IF(DueSoon[[#This Row],[_Task]]="","",INDEX(tsk_DeadlineCheck,DueSoon[[#This Row],[_Task]])&amp;"")</f>
        <v/>
      </c>
      <c r="I80" s="24" t="str">
        <f aca="false">IF(DueSoon[[#This Row],[_Task]]="","",INDEX(tsk_Status,DueSoon[[#This Row],[_Task]])&amp;"")</f>
        <v/>
      </c>
      <c r="J80" s="24" t="str">
        <f aca="false">IF(DueSoon[[#This Row],[_Task]]="","",INDEX(tsk_Critical,DueSoon[[#This Row],[_Task]])&amp;"")</f>
        <v/>
      </c>
    </row>
    <row r="81" customFormat="false" ht="15" hidden="false" customHeight="false" outlineLevel="0" collapsed="false">
      <c r="B81" s="43" t="str">
        <f aca="false">IFERROR(MATCH(SMALL(tsk_DueSoonKey,ROW()-ROW(DueSoon[[#Headers],[_Task]])),tsk_DueSoonKey,0),"")</f>
        <v/>
      </c>
      <c r="C81" s="24" t="str">
        <f aca="false">IF(DueSoon[[#This Row],[_Task]]="","",INDEX(tsk_WBS,DueSoon[[#This Row],[_Task]])&amp;"")</f>
        <v/>
      </c>
      <c r="D81" s="24" t="str">
        <f aca="false">IF(DueSoon[[#This Row],[_Task]]="","",INDEX(tsk_Name,DueSoon[[#This Row],[_Task]])&amp;"")</f>
        <v/>
      </c>
      <c r="E81" s="24" t="str">
        <f aca="false">IF(DueSoon[[#This Row],[_Task]]="","",INDEX(tsk_Resource,DueSoon[[#This Row],[_Task]])&amp;"")</f>
        <v/>
      </c>
      <c r="F81" s="44" t="str">
        <f aca="false">IF(DueSoon[[#This Row],[_Task]]="","",IF(N(INDEX(tsk_FcFinish,DueSoon[[#This Row],[_Task]]))=0,"",INDEX(tsk_FcFinish,DueSoon[[#This Row],[_Task]])))</f>
        <v/>
      </c>
      <c r="G81" s="46" t="str">
        <f aca="false">IF(DueSoon[[#This Row],[_Task]]="","",INDEX(tsk_Progress,DueSoon[[#This Row],[_Task]]))</f>
        <v/>
      </c>
      <c r="H81" s="24" t="str">
        <f aca="false">IF(DueSoon[[#This Row],[_Task]]="","",INDEX(tsk_DeadlineCheck,DueSoon[[#This Row],[_Task]])&amp;"")</f>
        <v/>
      </c>
      <c r="I81" s="24" t="str">
        <f aca="false">IF(DueSoon[[#This Row],[_Task]]="","",INDEX(tsk_Status,DueSoon[[#This Row],[_Task]])&amp;"")</f>
        <v/>
      </c>
      <c r="J81" s="24" t="str">
        <f aca="false">IF(DueSoon[[#This Row],[_Task]]="","",INDEX(tsk_Critical,DueSoon[[#This Row],[_Task]])&amp;"")</f>
        <v/>
      </c>
    </row>
    <row r="82" customFormat="false" ht="15" hidden="false" customHeight="false" outlineLevel="0" collapsed="false">
      <c r="B82" s="43" t="str">
        <f aca="false">IFERROR(MATCH(SMALL(tsk_DueSoonKey,ROW()-ROW(DueSoon[[#Headers],[_Task]])),tsk_DueSoonKey,0),"")</f>
        <v/>
      </c>
      <c r="C82" s="24" t="str">
        <f aca="false">IF(DueSoon[[#This Row],[_Task]]="","",INDEX(tsk_WBS,DueSoon[[#This Row],[_Task]])&amp;"")</f>
        <v/>
      </c>
      <c r="D82" s="24" t="str">
        <f aca="false">IF(DueSoon[[#This Row],[_Task]]="","",INDEX(tsk_Name,DueSoon[[#This Row],[_Task]])&amp;"")</f>
        <v/>
      </c>
      <c r="E82" s="24" t="str">
        <f aca="false">IF(DueSoon[[#This Row],[_Task]]="","",INDEX(tsk_Resource,DueSoon[[#This Row],[_Task]])&amp;"")</f>
        <v/>
      </c>
      <c r="F82" s="44" t="str">
        <f aca="false">IF(DueSoon[[#This Row],[_Task]]="","",IF(N(INDEX(tsk_FcFinish,DueSoon[[#This Row],[_Task]]))=0,"",INDEX(tsk_FcFinish,DueSoon[[#This Row],[_Task]])))</f>
        <v/>
      </c>
      <c r="G82" s="46" t="str">
        <f aca="false">IF(DueSoon[[#This Row],[_Task]]="","",INDEX(tsk_Progress,DueSoon[[#This Row],[_Task]]))</f>
        <v/>
      </c>
      <c r="H82" s="24" t="str">
        <f aca="false">IF(DueSoon[[#This Row],[_Task]]="","",INDEX(tsk_DeadlineCheck,DueSoon[[#This Row],[_Task]])&amp;"")</f>
        <v/>
      </c>
      <c r="I82" s="24" t="str">
        <f aca="false">IF(DueSoon[[#This Row],[_Task]]="","",INDEX(tsk_Status,DueSoon[[#This Row],[_Task]])&amp;"")</f>
        <v/>
      </c>
      <c r="J82" s="24" t="str">
        <f aca="false">IF(DueSoon[[#This Row],[_Task]]="","",INDEX(tsk_Critical,DueSoon[[#This Row],[_Task]])&amp;"")</f>
        <v/>
      </c>
    </row>
    <row r="83" customFormat="false" ht="15" hidden="false" customHeight="false" outlineLevel="0" collapsed="false">
      <c r="B83" s="43" t="str">
        <f aca="false">IFERROR(MATCH(SMALL(tsk_DueSoonKey,ROW()-ROW(DueSoon[[#Headers],[_Task]])),tsk_DueSoonKey,0),"")</f>
        <v/>
      </c>
      <c r="C83" s="24" t="str">
        <f aca="false">IF(DueSoon[[#This Row],[_Task]]="","",INDEX(tsk_WBS,DueSoon[[#This Row],[_Task]])&amp;"")</f>
        <v/>
      </c>
      <c r="D83" s="24" t="str">
        <f aca="false">IF(DueSoon[[#This Row],[_Task]]="","",INDEX(tsk_Name,DueSoon[[#This Row],[_Task]])&amp;"")</f>
        <v/>
      </c>
      <c r="E83" s="24" t="str">
        <f aca="false">IF(DueSoon[[#This Row],[_Task]]="","",INDEX(tsk_Resource,DueSoon[[#This Row],[_Task]])&amp;"")</f>
        <v/>
      </c>
      <c r="F83" s="44" t="str">
        <f aca="false">IF(DueSoon[[#This Row],[_Task]]="","",IF(N(INDEX(tsk_FcFinish,DueSoon[[#This Row],[_Task]]))=0,"",INDEX(tsk_FcFinish,DueSoon[[#This Row],[_Task]])))</f>
        <v/>
      </c>
      <c r="G83" s="46" t="str">
        <f aca="false">IF(DueSoon[[#This Row],[_Task]]="","",INDEX(tsk_Progress,DueSoon[[#This Row],[_Task]]))</f>
        <v/>
      </c>
      <c r="H83" s="24" t="str">
        <f aca="false">IF(DueSoon[[#This Row],[_Task]]="","",INDEX(tsk_DeadlineCheck,DueSoon[[#This Row],[_Task]])&amp;"")</f>
        <v/>
      </c>
      <c r="I83" s="24" t="str">
        <f aca="false">IF(DueSoon[[#This Row],[_Task]]="","",INDEX(tsk_Status,DueSoon[[#This Row],[_Task]])&amp;"")</f>
        <v/>
      </c>
      <c r="J83" s="24" t="str">
        <f aca="false">IF(DueSoon[[#This Row],[_Task]]="","",INDEX(tsk_Critical,DueSoon[[#This Row],[_Task]])&amp;"")</f>
        <v/>
      </c>
    </row>
    <row r="84" customFormat="false" ht="15" hidden="false" customHeight="false" outlineLevel="0" collapsed="false">
      <c r="B84" s="43" t="str">
        <f aca="false">IFERROR(MATCH(SMALL(tsk_DueSoonKey,ROW()-ROW(DueSoon[[#Headers],[_Task]])),tsk_DueSoonKey,0),"")</f>
        <v/>
      </c>
      <c r="C84" s="24" t="str">
        <f aca="false">IF(DueSoon[[#This Row],[_Task]]="","",INDEX(tsk_WBS,DueSoon[[#This Row],[_Task]])&amp;"")</f>
        <v/>
      </c>
      <c r="D84" s="24" t="str">
        <f aca="false">IF(DueSoon[[#This Row],[_Task]]="","",INDEX(tsk_Name,DueSoon[[#This Row],[_Task]])&amp;"")</f>
        <v/>
      </c>
      <c r="E84" s="24" t="str">
        <f aca="false">IF(DueSoon[[#This Row],[_Task]]="","",INDEX(tsk_Resource,DueSoon[[#This Row],[_Task]])&amp;"")</f>
        <v/>
      </c>
      <c r="F84" s="44" t="str">
        <f aca="false">IF(DueSoon[[#This Row],[_Task]]="","",IF(N(INDEX(tsk_FcFinish,DueSoon[[#This Row],[_Task]]))=0,"",INDEX(tsk_FcFinish,DueSoon[[#This Row],[_Task]])))</f>
        <v/>
      </c>
      <c r="G84" s="46" t="str">
        <f aca="false">IF(DueSoon[[#This Row],[_Task]]="","",INDEX(tsk_Progress,DueSoon[[#This Row],[_Task]]))</f>
        <v/>
      </c>
      <c r="H84" s="24" t="str">
        <f aca="false">IF(DueSoon[[#This Row],[_Task]]="","",INDEX(tsk_DeadlineCheck,DueSoon[[#This Row],[_Task]])&amp;"")</f>
        <v/>
      </c>
      <c r="I84" s="24" t="str">
        <f aca="false">IF(DueSoon[[#This Row],[_Task]]="","",INDEX(tsk_Status,DueSoon[[#This Row],[_Task]])&amp;"")</f>
        <v/>
      </c>
      <c r="J84" s="24" t="str">
        <f aca="false">IF(DueSoon[[#This Row],[_Task]]="","",INDEX(tsk_Critical,DueSoon[[#This Row],[_Task]])&amp;"")</f>
        <v/>
      </c>
    </row>
    <row r="85" customFormat="false" ht="15" hidden="false" customHeight="false" outlineLevel="0" collapsed="false">
      <c r="B85" s="43" t="str">
        <f aca="false">IFERROR(MATCH(SMALL(tsk_DueSoonKey,ROW()-ROW(DueSoon[[#Headers],[_Task]])),tsk_DueSoonKey,0),"")</f>
        <v/>
      </c>
      <c r="C85" s="24" t="str">
        <f aca="false">IF(DueSoon[[#This Row],[_Task]]="","",INDEX(tsk_WBS,DueSoon[[#This Row],[_Task]])&amp;"")</f>
        <v/>
      </c>
      <c r="D85" s="24" t="str">
        <f aca="false">IF(DueSoon[[#This Row],[_Task]]="","",INDEX(tsk_Name,DueSoon[[#This Row],[_Task]])&amp;"")</f>
        <v/>
      </c>
      <c r="E85" s="24" t="str">
        <f aca="false">IF(DueSoon[[#This Row],[_Task]]="","",INDEX(tsk_Resource,DueSoon[[#This Row],[_Task]])&amp;"")</f>
        <v/>
      </c>
      <c r="F85" s="44" t="str">
        <f aca="false">IF(DueSoon[[#This Row],[_Task]]="","",IF(N(INDEX(tsk_FcFinish,DueSoon[[#This Row],[_Task]]))=0,"",INDEX(tsk_FcFinish,DueSoon[[#This Row],[_Task]])))</f>
        <v/>
      </c>
      <c r="G85" s="46" t="str">
        <f aca="false">IF(DueSoon[[#This Row],[_Task]]="","",INDEX(tsk_Progress,DueSoon[[#This Row],[_Task]]))</f>
        <v/>
      </c>
      <c r="H85" s="24" t="str">
        <f aca="false">IF(DueSoon[[#This Row],[_Task]]="","",INDEX(tsk_DeadlineCheck,DueSoon[[#This Row],[_Task]])&amp;"")</f>
        <v/>
      </c>
      <c r="I85" s="24" t="str">
        <f aca="false">IF(DueSoon[[#This Row],[_Task]]="","",INDEX(tsk_Status,DueSoon[[#This Row],[_Task]])&amp;"")</f>
        <v/>
      </c>
      <c r="J85" s="24" t="str">
        <f aca="false">IF(DueSoon[[#This Row],[_Task]]="","",INDEX(tsk_Critical,DueSoon[[#This Row],[_Task]])&amp;"")</f>
        <v/>
      </c>
    </row>
    <row r="86" customFormat="false" ht="15" hidden="false" customHeight="false" outlineLevel="0" collapsed="false">
      <c r="B86" s="43" t="str">
        <f aca="false">IFERROR(MATCH(SMALL(tsk_DueSoonKey,ROW()-ROW(DueSoon[[#Headers],[_Task]])),tsk_DueSoonKey,0),"")</f>
        <v/>
      </c>
      <c r="C86" s="24" t="str">
        <f aca="false">IF(DueSoon[[#This Row],[_Task]]="","",INDEX(tsk_WBS,DueSoon[[#This Row],[_Task]])&amp;"")</f>
        <v/>
      </c>
      <c r="D86" s="24" t="str">
        <f aca="false">IF(DueSoon[[#This Row],[_Task]]="","",INDEX(tsk_Name,DueSoon[[#This Row],[_Task]])&amp;"")</f>
        <v/>
      </c>
      <c r="E86" s="24" t="str">
        <f aca="false">IF(DueSoon[[#This Row],[_Task]]="","",INDEX(tsk_Resource,DueSoon[[#This Row],[_Task]])&amp;"")</f>
        <v/>
      </c>
      <c r="F86" s="44" t="str">
        <f aca="false">IF(DueSoon[[#This Row],[_Task]]="","",IF(N(INDEX(tsk_FcFinish,DueSoon[[#This Row],[_Task]]))=0,"",INDEX(tsk_FcFinish,DueSoon[[#This Row],[_Task]])))</f>
        <v/>
      </c>
      <c r="G86" s="46" t="str">
        <f aca="false">IF(DueSoon[[#This Row],[_Task]]="","",INDEX(tsk_Progress,DueSoon[[#This Row],[_Task]]))</f>
        <v/>
      </c>
      <c r="H86" s="24" t="str">
        <f aca="false">IF(DueSoon[[#This Row],[_Task]]="","",INDEX(tsk_DeadlineCheck,DueSoon[[#This Row],[_Task]])&amp;"")</f>
        <v/>
      </c>
      <c r="I86" s="24" t="str">
        <f aca="false">IF(DueSoon[[#This Row],[_Task]]="","",INDEX(tsk_Status,DueSoon[[#This Row],[_Task]])&amp;"")</f>
        <v/>
      </c>
      <c r="J86" s="24" t="str">
        <f aca="false">IF(DueSoon[[#This Row],[_Task]]="","",INDEX(tsk_Critical,DueSoon[[#This Row],[_Task]])&amp;"")</f>
        <v/>
      </c>
    </row>
    <row r="87" customFormat="false" ht="15" hidden="false" customHeight="false" outlineLevel="0" collapsed="false">
      <c r="B87" s="43" t="str">
        <f aca="false">IFERROR(MATCH(SMALL(tsk_DueSoonKey,ROW()-ROW(DueSoon[[#Headers],[_Task]])),tsk_DueSoonKey,0),"")</f>
        <v/>
      </c>
      <c r="C87" s="24" t="str">
        <f aca="false">IF(DueSoon[[#This Row],[_Task]]="","",INDEX(tsk_WBS,DueSoon[[#This Row],[_Task]])&amp;"")</f>
        <v/>
      </c>
      <c r="D87" s="24" t="str">
        <f aca="false">IF(DueSoon[[#This Row],[_Task]]="","",INDEX(tsk_Name,DueSoon[[#This Row],[_Task]])&amp;"")</f>
        <v/>
      </c>
      <c r="E87" s="24" t="str">
        <f aca="false">IF(DueSoon[[#This Row],[_Task]]="","",INDEX(tsk_Resource,DueSoon[[#This Row],[_Task]])&amp;"")</f>
        <v/>
      </c>
      <c r="F87" s="44" t="str">
        <f aca="false">IF(DueSoon[[#This Row],[_Task]]="","",IF(N(INDEX(tsk_FcFinish,DueSoon[[#This Row],[_Task]]))=0,"",INDEX(tsk_FcFinish,DueSoon[[#This Row],[_Task]])))</f>
        <v/>
      </c>
      <c r="G87" s="46" t="str">
        <f aca="false">IF(DueSoon[[#This Row],[_Task]]="","",INDEX(tsk_Progress,DueSoon[[#This Row],[_Task]]))</f>
        <v/>
      </c>
      <c r="H87" s="24" t="str">
        <f aca="false">IF(DueSoon[[#This Row],[_Task]]="","",INDEX(tsk_DeadlineCheck,DueSoon[[#This Row],[_Task]])&amp;"")</f>
        <v/>
      </c>
      <c r="I87" s="24" t="str">
        <f aca="false">IF(DueSoon[[#This Row],[_Task]]="","",INDEX(tsk_Status,DueSoon[[#This Row],[_Task]])&amp;"")</f>
        <v/>
      </c>
      <c r="J87" s="24" t="str">
        <f aca="false">IF(DueSoon[[#This Row],[_Task]]="","",INDEX(tsk_Critical,DueSoon[[#This Row],[_Task]])&amp;"")</f>
        <v/>
      </c>
    </row>
    <row r="89" customFormat="false" ht="15" hidden="false" customHeight="false" outlineLevel="0" collapsed="false">
      <c r="C89" s="36" t="str">
        <f aca="false">"Open critical tasks (by forecast start)"&amp;": "&amp;COUNT(tsk_CriticalKey)&amp;IF(COUNT(tsk_CriticalKey)&gt;ROWS(CriticalTasks[_Task])," (showing the first "&amp;ROWS(CriticalTasks[_Task])&amp;")","")</f>
        <v>Open critical tasks (by forecast start): 11</v>
      </c>
    </row>
    <row r="90" customFormat="false" ht="23.85" hidden="false" customHeight="false" outlineLevel="0" collapsed="false">
      <c r="B90" s="42" t="s">
        <v>168</v>
      </c>
      <c r="C90" s="9" t="s">
        <v>169</v>
      </c>
      <c r="D90" s="9" t="s">
        <v>187</v>
      </c>
      <c r="E90" s="9" t="s">
        <v>188</v>
      </c>
      <c r="F90" s="9" t="s">
        <v>190</v>
      </c>
      <c r="G90" s="9" t="s">
        <v>172</v>
      </c>
      <c r="H90" s="9" t="s">
        <v>192</v>
      </c>
      <c r="I90" s="9" t="s">
        <v>186</v>
      </c>
      <c r="J90" s="9" t="s">
        <v>81</v>
      </c>
    </row>
    <row r="91" customFormat="false" ht="15" hidden="false" customHeight="false" outlineLevel="0" collapsed="false">
      <c r="B91" s="43" t="n">
        <f aca="false">IFERROR(MATCH(SMALL(tsk_CriticalKey,ROW()-ROW(CriticalTasks[[#Headers],[_Task]])),tsk_CriticalKey,0),"")</f>
        <v>13</v>
      </c>
      <c r="C91" s="24" t="str">
        <f aca="false">IF(CriticalTasks[[#This Row],[_Task]]="","",INDEX(tsk_WBS,CriticalTasks[[#This Row],[_Task]])&amp;"")</f>
        <v>3.1.2</v>
      </c>
      <c r="D91" s="24" t="str">
        <f aca="false">IF(CriticalTasks[[#This Row],[_Task]]="","",INDEX(tsk_Name,CriticalTasks[[#This Row],[_Task]])&amp;"")</f>
        <v>Core API endpoints</v>
      </c>
      <c r="E91" s="24" t="str">
        <f aca="false">IF(CriticalTasks[[#This Row],[_Task]]="","",INDEX(tsk_Resource,CriticalTasks[[#This Row],[_Task]])&amp;"")</f>
        <v>Jordan Lee</v>
      </c>
      <c r="F91" s="44" t="n">
        <f aca="false">IF(CriticalTasks[[#This Row],[_Task]]="","",IF(N(INDEX(tsk_FcStart,CriticalTasks[[#This Row],[_Task]]))=0,"",INDEX(tsk_FcStart,CriticalTasks[[#This Row],[_Task]])))</f>
        <v>46310</v>
      </c>
      <c r="G91" s="44" t="n">
        <f aca="false">IF(CriticalTasks[[#This Row],[_Task]]="","",IF(N(INDEX(tsk_FcFinish,CriticalTasks[[#This Row],[_Task]]))=0,"",INDEX(tsk_FcFinish,CriticalTasks[[#This Row],[_Task]])))</f>
        <v>46325</v>
      </c>
      <c r="H91" s="50" t="n">
        <f aca="false">IF(CriticalTasks[[#This Row],[_Task]]="","",INDEX(tsk_TotalSlack,CriticalTasks[[#This Row],[_Task]]))</f>
        <v>-1</v>
      </c>
      <c r="I91" s="24" t="str">
        <f aca="false">IF(CriticalTasks[[#This Row],[_Task]]="","",INDEX(tsk_DeadlineCheck,CriticalTasks[[#This Row],[_Task]])&amp;"")</f>
        <v/>
      </c>
      <c r="J91" s="24" t="str">
        <f aca="false">IF(CriticalTasks[[#This Row],[_Task]]="","",INDEX(tsk_Status,CriticalTasks[[#This Row],[_Task]])&amp;"")</f>
        <v>Behind</v>
      </c>
    </row>
    <row r="92" customFormat="false" ht="15" hidden="false" customHeight="false" outlineLevel="0" collapsed="false">
      <c r="B92" s="43" t="n">
        <f aca="false">IFERROR(MATCH(SMALL(tsk_CriticalKey,ROW()-ROW(CriticalTasks[[#Headers],[_Task]])),tsk_CriticalKey,0),"")</f>
        <v>17</v>
      </c>
      <c r="C92" s="24" t="str">
        <f aca="false">IF(CriticalTasks[[#This Row],[_Task]]="","",INDEX(tsk_WBS,CriticalTasks[[#This Row],[_Task]])&amp;"")</f>
        <v>3.2.2</v>
      </c>
      <c r="D92" s="24" t="str">
        <f aca="false">IF(CriticalTasks[[#This Row],[_Task]]="","",INDEX(tsk_Name,CriticalTasks[[#This Row],[_Task]])&amp;"")</f>
        <v>Feature screens</v>
      </c>
      <c r="E92" s="24" t="str">
        <f aca="false">IF(CriticalTasks[[#This Row],[_Task]]="","",INDEX(tsk_Resource,CriticalTasks[[#This Row],[_Task]])&amp;"")</f>
        <v>Sam Rivera</v>
      </c>
      <c r="F92" s="44" t="n">
        <f aca="false">IF(CriticalTasks[[#This Row],[_Task]]="","",IF(N(INDEX(tsk_FcStart,CriticalTasks[[#This Row],[_Task]]))=0,"",INDEX(tsk_FcStart,CriticalTasks[[#This Row],[_Task]])))</f>
        <v>46314</v>
      </c>
      <c r="G92" s="44" t="n">
        <f aca="false">IF(CriticalTasks[[#This Row],[_Task]]="","",IF(N(INDEX(tsk_FcFinish,CriticalTasks[[#This Row],[_Task]]))=0,"",INDEX(tsk_FcFinish,CriticalTasks[[#This Row],[_Task]])))</f>
        <v>46331</v>
      </c>
      <c r="H92" s="50" t="n">
        <f aca="false">IF(CriticalTasks[[#This Row],[_Task]]="","",INDEX(tsk_TotalSlack,CriticalTasks[[#This Row],[_Task]]))</f>
        <v>0</v>
      </c>
      <c r="I92" s="24" t="str">
        <f aca="false">IF(CriticalTasks[[#This Row],[_Task]]="","",INDEX(tsk_DeadlineCheck,CriticalTasks[[#This Row],[_Task]])&amp;"")</f>
        <v/>
      </c>
      <c r="J92" s="24" t="str">
        <f aca="false">IF(CriticalTasks[[#This Row],[_Task]]="","",INDEX(tsk_Status,CriticalTasks[[#This Row],[_Task]])&amp;"")</f>
        <v>Behind</v>
      </c>
    </row>
    <row r="93" customFormat="false" ht="15" hidden="false" customHeight="false" outlineLevel="0" collapsed="false">
      <c r="B93" s="43" t="n">
        <f aca="false">IFERROR(MATCH(SMALL(tsk_CriticalKey,ROW()-ROW(CriticalTasks[[#Headers],[_Task]])),tsk_CriticalKey,0),"")</f>
        <v>14</v>
      </c>
      <c r="C93" s="24" t="str">
        <f aca="false">IF(CriticalTasks[[#This Row],[_Task]]="","",INDEX(tsk_WBS,CriticalTasks[[#This Row],[_Task]])&amp;"")</f>
        <v>3.1.3</v>
      </c>
      <c r="D93" s="24" t="str">
        <f aca="false">IF(CriticalTasks[[#This Row],[_Task]]="","",INDEX(tsk_Name,CriticalTasks[[#This Row],[_Task]])&amp;"")</f>
        <v>Payment gateway integration</v>
      </c>
      <c r="E93" s="24" t="str">
        <f aca="false">IF(CriticalTasks[[#This Row],[_Task]]="","",INDEX(tsk_Resource,CriticalTasks[[#This Row],[_Task]])&amp;"")</f>
        <v>Jordan Lee</v>
      </c>
      <c r="F93" s="44" t="n">
        <f aca="false">IF(CriticalTasks[[#This Row],[_Task]]="","",IF(N(INDEX(tsk_FcStart,CriticalTasks[[#This Row],[_Task]]))=0,"",INDEX(tsk_FcStart,CriticalTasks[[#This Row],[_Task]])))</f>
        <v>46328</v>
      </c>
      <c r="G93" s="44" t="n">
        <f aca="false">IF(CriticalTasks[[#This Row],[_Task]]="","",IF(N(INDEX(tsk_FcFinish,CriticalTasks[[#This Row],[_Task]]))=0,"",INDEX(tsk_FcFinish,CriticalTasks[[#This Row],[_Task]])))</f>
        <v>46335</v>
      </c>
      <c r="H93" s="50" t="n">
        <f aca="false">IF(CriticalTasks[[#This Row],[_Task]]="","",INDEX(tsk_TotalSlack,CriticalTasks[[#This Row],[_Task]]))</f>
        <v>-1</v>
      </c>
      <c r="I93" s="24" t="str">
        <f aca="false">IF(CriticalTasks[[#This Row],[_Task]]="","",INDEX(tsk_DeadlineCheck,CriticalTasks[[#This Row],[_Task]])&amp;"")</f>
        <v/>
      </c>
      <c r="J93" s="24" t="str">
        <f aca="false">IF(CriticalTasks[[#This Row],[_Task]]="","",INDEX(tsk_Status,CriticalTasks[[#This Row],[_Task]])&amp;"")</f>
        <v>Late Start</v>
      </c>
    </row>
    <row r="94" customFormat="false" ht="15" hidden="false" customHeight="false" outlineLevel="0" collapsed="false">
      <c r="B94" s="43" t="n">
        <f aca="false">IFERROR(MATCH(SMALL(tsk_CriticalKey,ROW()-ROW(CriticalTasks[[#Headers],[_Task]])),tsk_CriticalKey,0),"")</f>
        <v>18</v>
      </c>
      <c r="C94" s="24" t="str">
        <f aca="false">IF(CriticalTasks[[#This Row],[_Task]]="","",INDEX(tsk_WBS,CriticalTasks[[#This Row],[_Task]])&amp;"")</f>
        <v>3.2.3</v>
      </c>
      <c r="D94" s="24" t="str">
        <f aca="false">IF(CriticalTasks[[#This Row],[_Task]]="","",INDEX(tsk_Name,CriticalTasks[[#This Row],[_Task]])&amp;"")</f>
        <v>Accessibility review</v>
      </c>
      <c r="E94" s="24" t="str">
        <f aca="false">IF(CriticalTasks[[#This Row],[_Task]]="","",INDEX(tsk_Resource,CriticalTasks[[#This Row],[_Task]])&amp;"")</f>
        <v>Casey Kim</v>
      </c>
      <c r="F94" s="44" t="n">
        <f aca="false">IF(CriticalTasks[[#This Row],[_Task]]="","",IF(N(INDEX(tsk_FcStart,CriticalTasks[[#This Row],[_Task]]))=0,"",INDEX(tsk_FcStart,CriticalTasks[[#This Row],[_Task]])))</f>
        <v>46330</v>
      </c>
      <c r="G94" s="44" t="n">
        <f aca="false">IF(CriticalTasks[[#This Row],[_Task]]="","",IF(N(INDEX(tsk_FcFinish,CriticalTasks[[#This Row],[_Task]]))=0,"",INDEX(tsk_FcFinish,CriticalTasks[[#This Row],[_Task]])))</f>
        <v>46332</v>
      </c>
      <c r="H94" s="50" t="n">
        <f aca="false">IF(CriticalTasks[[#This Row],[_Task]]="","",INDEX(tsk_TotalSlack,CriticalTasks[[#This Row],[_Task]]))</f>
        <v>0</v>
      </c>
      <c r="I94" s="24" t="str">
        <f aca="false">IF(CriticalTasks[[#This Row],[_Task]]="","",INDEX(tsk_DeadlineCheck,CriticalTasks[[#This Row],[_Task]])&amp;"")</f>
        <v/>
      </c>
      <c r="J94" s="24" t="str">
        <f aca="false">IF(CriticalTasks[[#This Row],[_Task]]="","",INDEX(tsk_Status,CriticalTasks[[#This Row],[_Task]])&amp;"")</f>
        <v>Not Started</v>
      </c>
    </row>
    <row r="95" customFormat="false" ht="15" hidden="false" customHeight="false" outlineLevel="0" collapsed="false">
      <c r="B95" s="43" t="n">
        <f aca="false">IFERROR(MATCH(SMALL(tsk_CriticalKey,ROW()-ROW(CriticalTasks[[#Headers],[_Task]])),tsk_CriticalKey,0),"")</f>
        <v>19</v>
      </c>
      <c r="C95" s="24" t="str">
        <f aca="false">IF(CriticalTasks[[#This Row],[_Task]]="","",INDEX(tsk_WBS,CriticalTasks[[#This Row],[_Task]])&amp;"")</f>
        <v>3.3</v>
      </c>
      <c r="D95" s="24" t="str">
        <f aca="false">IF(CriticalTasks[[#This Row],[_Task]]="","",INDEX(tsk_Name,CriticalTasks[[#This Row],[_Task]])&amp;"")</f>
        <v>Build complete</v>
      </c>
      <c r="E95" s="24" t="str">
        <f aca="false">IF(CriticalTasks[[#This Row],[_Task]]="","",INDEX(tsk_Resource,CriticalTasks[[#This Row],[_Task]])&amp;"")</f>
        <v/>
      </c>
      <c r="F95" s="44" t="n">
        <f aca="false">IF(CriticalTasks[[#This Row],[_Task]]="","",IF(N(INDEX(tsk_FcStart,CriticalTasks[[#This Row],[_Task]]))=0,"",INDEX(tsk_FcStart,CriticalTasks[[#This Row],[_Task]])))</f>
        <v>46335</v>
      </c>
      <c r="G95" s="44" t="n">
        <f aca="false">IF(CriticalTasks[[#This Row],[_Task]]="","",IF(N(INDEX(tsk_FcFinish,CriticalTasks[[#This Row],[_Task]]))=0,"",INDEX(tsk_FcFinish,CriticalTasks[[#This Row],[_Task]])))</f>
        <v>46335</v>
      </c>
      <c r="H95" s="50" t="n">
        <f aca="false">IF(CriticalTasks[[#This Row],[_Task]]="","",INDEX(tsk_TotalSlack,CriticalTasks[[#This Row],[_Task]]))</f>
        <v>-1</v>
      </c>
      <c r="I95" s="24" t="str">
        <f aca="false">IF(CriticalTasks[[#This Row],[_Task]]="","",INDEX(tsk_DeadlineCheck,CriticalTasks[[#This Row],[_Task]])&amp;"")</f>
        <v>Late by 1d</v>
      </c>
      <c r="J95" s="24" t="str">
        <f aca="false">IF(CriticalTasks[[#This Row],[_Task]]="","",INDEX(tsk_Status,CriticalTasks[[#This Row],[_Task]])&amp;"")</f>
        <v>Not Started</v>
      </c>
    </row>
    <row r="96" customFormat="false" ht="15" hidden="false" customHeight="false" outlineLevel="0" collapsed="false">
      <c r="B96" s="43" t="n">
        <f aca="false">IFERROR(MATCH(SMALL(tsk_CriticalKey,ROW()-ROW(CriticalTasks[[#Headers],[_Task]])),tsk_CriticalKey,0),"")</f>
        <v>22</v>
      </c>
      <c r="C96" s="24" t="str">
        <f aca="false">IF(CriticalTasks[[#This Row],[_Task]]="","",INDEX(tsk_WBS,CriticalTasks[[#This Row],[_Task]])&amp;"")</f>
        <v>4.2</v>
      </c>
      <c r="D96" s="24" t="str">
        <f aca="false">IF(CriticalTasks[[#This Row],[_Task]]="","",INDEX(tsk_Name,CriticalTasks[[#This Row],[_Task]])&amp;"")</f>
        <v>User acceptance testing</v>
      </c>
      <c r="E96" s="24" t="str">
        <f aca="false">IF(CriticalTasks[[#This Row],[_Task]]="","",INDEX(tsk_Resource,CriticalTasks[[#This Row],[_Task]])&amp;"")</f>
        <v>Morgan Patel</v>
      </c>
      <c r="F96" s="44" t="n">
        <f aca="false">IF(CriticalTasks[[#This Row],[_Task]]="","",IF(N(INDEX(tsk_FcStart,CriticalTasks[[#This Row],[_Task]]))=0,"",INDEX(tsk_FcStart,CriticalTasks[[#This Row],[_Task]])))</f>
        <v>46363</v>
      </c>
      <c r="G96" s="44" t="n">
        <f aca="false">IF(CriticalTasks[[#This Row],[_Task]]="","",IF(N(INDEX(tsk_FcFinish,CriticalTasks[[#This Row],[_Task]]))=0,"",INDEX(tsk_FcFinish,CriticalTasks[[#This Row],[_Task]])))</f>
        <v>46370</v>
      </c>
      <c r="H96" s="50" t="n">
        <f aca="false">IF(CriticalTasks[[#This Row],[_Task]]="","",INDEX(tsk_TotalSlack,CriticalTasks[[#This Row],[_Task]]))</f>
        <v>0</v>
      </c>
      <c r="I96" s="24" t="str">
        <f aca="false">IF(CriticalTasks[[#This Row],[_Task]]="","",INDEX(tsk_DeadlineCheck,CriticalTasks[[#This Row],[_Task]])&amp;"")</f>
        <v/>
      </c>
      <c r="J96" s="24" t="str">
        <f aca="false">IF(CriticalTasks[[#This Row],[_Task]]="","",INDEX(tsk_Status,CriticalTasks[[#This Row],[_Task]])&amp;"")</f>
        <v>Not Started</v>
      </c>
    </row>
    <row r="97" customFormat="false" ht="15" hidden="false" customHeight="false" outlineLevel="0" collapsed="false">
      <c r="B97" s="43" t="n">
        <f aca="false">IFERROR(MATCH(SMALL(tsk_CriticalKey,ROW()-ROW(CriticalTasks[[#Headers],[_Task]])),tsk_CriticalKey,0),"")</f>
        <v>24</v>
      </c>
      <c r="C97" s="24" t="str">
        <f aca="false">IF(CriticalTasks[[#This Row],[_Task]]="","",INDEX(tsk_WBS,CriticalTasks[[#This Row],[_Task]])&amp;"")</f>
        <v>4.4</v>
      </c>
      <c r="D97" s="24" t="str">
        <f aca="false">IF(CriticalTasks[[#This Row],[_Task]]="","",INDEX(tsk_Name,CriticalTasks[[#This Row],[_Task]])&amp;"")</f>
        <v>Go-live readiness review</v>
      </c>
      <c r="E97" s="24" t="str">
        <f aca="false">IF(CriticalTasks[[#This Row],[_Task]]="","",INDEX(tsk_Resource,CriticalTasks[[#This Row],[_Task]])&amp;"")</f>
        <v>Priya Sharma</v>
      </c>
      <c r="F97" s="44" t="n">
        <f aca="false">IF(CriticalTasks[[#This Row],[_Task]]="","",IF(N(INDEX(tsk_FcStart,CriticalTasks[[#This Row],[_Task]]))=0,"",INDEX(tsk_FcStart,CriticalTasks[[#This Row],[_Task]])))</f>
        <v>46371</v>
      </c>
      <c r="G97" s="44" t="n">
        <f aca="false">IF(CriticalTasks[[#This Row],[_Task]]="","",IF(N(INDEX(tsk_FcFinish,CriticalTasks[[#This Row],[_Task]]))=0,"",INDEX(tsk_FcFinish,CriticalTasks[[#This Row],[_Task]])))</f>
        <v>46371</v>
      </c>
      <c r="H97" s="50" t="n">
        <f aca="false">IF(CriticalTasks[[#This Row],[_Task]]="","",INDEX(tsk_TotalSlack,CriticalTasks[[#This Row],[_Task]]))</f>
        <v>0</v>
      </c>
      <c r="I97" s="24" t="str">
        <f aca="false">IF(CriticalTasks[[#This Row],[_Task]]="","",INDEX(tsk_DeadlineCheck,CriticalTasks[[#This Row],[_Task]])&amp;"")</f>
        <v/>
      </c>
      <c r="J97" s="24" t="str">
        <f aca="false">IF(CriticalTasks[[#This Row],[_Task]]="","",INDEX(tsk_Status,CriticalTasks[[#This Row],[_Task]])&amp;"")</f>
        <v>Not Started</v>
      </c>
    </row>
    <row r="98" customFormat="false" ht="15" hidden="false" customHeight="false" outlineLevel="0" collapsed="false">
      <c r="B98" s="43" t="n">
        <f aca="false">IFERROR(MATCH(SMALL(tsk_CriticalKey,ROW()-ROW(CriticalTasks[[#Headers],[_Task]])),tsk_CriticalKey,0),"")</f>
        <v>25</v>
      </c>
      <c r="C98" s="24" t="str">
        <f aca="false">IF(CriticalTasks[[#This Row],[_Task]]="","",INDEX(tsk_WBS,CriticalTasks[[#This Row],[_Task]])&amp;"")</f>
        <v>4.5</v>
      </c>
      <c r="D98" s="24" t="str">
        <f aca="false">IF(CriticalTasks[[#This Row],[_Task]]="","",INDEX(tsk_Name,CriticalTasks[[#This Row],[_Task]])&amp;"")</f>
        <v>Go-live</v>
      </c>
      <c r="E98" s="24" t="str">
        <f aca="false">IF(CriticalTasks[[#This Row],[_Task]]="","",INDEX(tsk_Resource,CriticalTasks[[#This Row],[_Task]])&amp;"")</f>
        <v/>
      </c>
      <c r="F98" s="44" t="n">
        <f aca="false">IF(CriticalTasks[[#This Row],[_Task]]="","",IF(N(INDEX(tsk_FcStart,CriticalTasks[[#This Row],[_Task]]))=0,"",INDEX(tsk_FcStart,CriticalTasks[[#This Row],[_Task]])))</f>
        <v>46371</v>
      </c>
      <c r="G98" s="44" t="n">
        <f aca="false">IF(CriticalTasks[[#This Row],[_Task]]="","",IF(N(INDEX(tsk_FcFinish,CriticalTasks[[#This Row],[_Task]]))=0,"",INDEX(tsk_FcFinish,CriticalTasks[[#This Row],[_Task]])))</f>
        <v>46371</v>
      </c>
      <c r="H98" s="50" t="n">
        <f aca="false">IF(CriticalTasks[[#This Row],[_Task]]="","",INDEX(tsk_TotalSlack,CriticalTasks[[#This Row],[_Task]]))</f>
        <v>0</v>
      </c>
      <c r="I98" s="24" t="str">
        <f aca="false">IF(CriticalTasks[[#This Row],[_Task]]="","",INDEX(tsk_DeadlineCheck,CriticalTasks[[#This Row],[_Task]])&amp;"")</f>
        <v>OK</v>
      </c>
      <c r="J98" s="24" t="str">
        <f aca="false">IF(CriticalTasks[[#This Row],[_Task]]="","",INDEX(tsk_Status,CriticalTasks[[#This Row],[_Task]])&amp;"")</f>
        <v>Not Started</v>
      </c>
    </row>
    <row r="99" customFormat="false" ht="15" hidden="false" customHeight="false" outlineLevel="0" collapsed="false">
      <c r="B99" s="43" t="n">
        <f aca="false">IFERROR(MATCH(SMALL(tsk_CriticalKey,ROW()-ROW(CriticalTasks[[#Headers],[_Task]])),tsk_CriticalKey,0),"")</f>
        <v>26</v>
      </c>
      <c r="C99" s="24" t="str">
        <f aca="false">IF(CriticalTasks[[#This Row],[_Task]]="","",INDEX(tsk_WBS,CriticalTasks[[#This Row],[_Task]])&amp;"")</f>
        <v>4.6</v>
      </c>
      <c r="D99" s="24" t="str">
        <f aca="false">IF(CriticalTasks[[#This Row],[_Task]]="","",INDEX(tsk_Name,CriticalTasks[[#This Row],[_Task]])&amp;"")</f>
        <v>Hypercare support</v>
      </c>
      <c r="E99" s="24" t="str">
        <f aca="false">IF(CriticalTasks[[#This Row],[_Task]]="","",INDEX(tsk_Resource,CriticalTasks[[#This Row],[_Task]])&amp;"")</f>
        <v>Jordan Lee</v>
      </c>
      <c r="F99" s="44" t="n">
        <f aca="false">IF(CriticalTasks[[#This Row],[_Task]]="","",IF(N(INDEX(tsk_FcStart,CriticalTasks[[#This Row],[_Task]]))=0,"",INDEX(tsk_FcStart,CriticalTasks[[#This Row],[_Task]])))</f>
        <v>46372</v>
      </c>
      <c r="G99" s="44" t="n">
        <f aca="false">IF(CriticalTasks[[#This Row],[_Task]]="","",IF(N(INDEX(tsk_FcFinish,CriticalTasks[[#This Row],[_Task]]))=0,"",INDEX(tsk_FcFinish,CriticalTasks[[#This Row],[_Task]])))</f>
        <v>46391</v>
      </c>
      <c r="H99" s="50" t="n">
        <f aca="false">IF(CriticalTasks[[#This Row],[_Task]]="","",INDEX(tsk_TotalSlack,CriticalTasks[[#This Row],[_Task]]))</f>
        <v>0</v>
      </c>
      <c r="I99" s="24" t="str">
        <f aca="false">IF(CriticalTasks[[#This Row],[_Task]]="","",INDEX(tsk_DeadlineCheck,CriticalTasks[[#This Row],[_Task]])&amp;"")</f>
        <v/>
      </c>
      <c r="J99" s="24" t="str">
        <f aca="false">IF(CriticalTasks[[#This Row],[_Task]]="","",INDEX(tsk_Status,CriticalTasks[[#This Row],[_Task]])&amp;"")</f>
        <v>Not Started</v>
      </c>
    </row>
    <row r="100" customFormat="false" ht="15" hidden="false" customHeight="false" outlineLevel="0" collapsed="false">
      <c r="B100" s="43" t="n">
        <f aca="false">IFERROR(MATCH(SMALL(tsk_CriticalKey,ROW()-ROW(CriticalTasks[[#Headers],[_Task]])),tsk_CriticalKey,0),"")</f>
        <v>29</v>
      </c>
      <c r="C100" s="24" t="str">
        <f aca="false">IF(CriticalTasks[[#This Row],[_Task]]="","",INDEX(tsk_WBS,CriticalTasks[[#This Row],[_Task]])&amp;"")</f>
        <v>5.2</v>
      </c>
      <c r="D100" s="24" t="str">
        <f aca="false">IF(CriticalTasks[[#This Row],[_Task]]="","",INDEX(tsk_Name,CriticalTasks[[#This Row],[_Task]])&amp;"")</f>
        <v>Lessons learned</v>
      </c>
      <c r="E100" s="24" t="str">
        <f aca="false">IF(CriticalTasks[[#This Row],[_Task]]="","",INDEX(tsk_Resource,CriticalTasks[[#This Row],[_Task]])&amp;"")</f>
        <v>Priya Sharma</v>
      </c>
      <c r="F100" s="44" t="n">
        <f aca="false">IF(CriticalTasks[[#This Row],[_Task]]="","",IF(N(INDEX(tsk_FcStart,CriticalTasks[[#This Row],[_Task]]))=0,"",INDEX(tsk_FcStart,CriticalTasks[[#This Row],[_Task]])))</f>
        <v>46392</v>
      </c>
      <c r="G100" s="44" t="n">
        <f aca="false">IF(CriticalTasks[[#This Row],[_Task]]="","",IF(N(INDEX(tsk_FcFinish,CriticalTasks[[#This Row],[_Task]]))=0,"",INDEX(tsk_FcFinish,CriticalTasks[[#This Row],[_Task]])))</f>
        <v>46393</v>
      </c>
      <c r="H100" s="50" t="n">
        <f aca="false">IF(CriticalTasks[[#This Row],[_Task]]="","",INDEX(tsk_TotalSlack,CriticalTasks[[#This Row],[_Task]]))</f>
        <v>0</v>
      </c>
      <c r="I100" s="24" t="str">
        <f aca="false">IF(CriticalTasks[[#This Row],[_Task]]="","",INDEX(tsk_DeadlineCheck,CriticalTasks[[#This Row],[_Task]])&amp;"")</f>
        <v/>
      </c>
      <c r="J100" s="24" t="str">
        <f aca="false">IF(CriticalTasks[[#This Row],[_Task]]="","",INDEX(tsk_Status,CriticalTasks[[#This Row],[_Task]])&amp;"")</f>
        <v>Not Started</v>
      </c>
    </row>
    <row r="101" customFormat="false" ht="15" hidden="false" customHeight="false" outlineLevel="0" collapsed="false">
      <c r="B101" s="43" t="n">
        <f aca="false">IFERROR(MATCH(SMALL(tsk_CriticalKey,ROW()-ROW(CriticalTasks[[#Headers],[_Task]])),tsk_CriticalKey,0),"")</f>
        <v>30</v>
      </c>
      <c r="C101" s="24" t="str">
        <f aca="false">IF(CriticalTasks[[#This Row],[_Task]]="","",INDEX(tsk_WBS,CriticalTasks[[#This Row],[_Task]])&amp;"")</f>
        <v>5.3</v>
      </c>
      <c r="D101" s="24" t="str">
        <f aca="false">IF(CriticalTasks[[#This Row],[_Task]]="","",INDEX(tsk_Name,CriticalTasks[[#This Row],[_Task]])&amp;"")</f>
        <v>Project closed</v>
      </c>
      <c r="E101" s="24" t="str">
        <f aca="false">IF(CriticalTasks[[#This Row],[_Task]]="","",INDEX(tsk_Resource,CriticalTasks[[#This Row],[_Task]])&amp;"")</f>
        <v/>
      </c>
      <c r="F101" s="44" t="n">
        <f aca="false">IF(CriticalTasks[[#This Row],[_Task]]="","",IF(N(INDEX(tsk_FcStart,CriticalTasks[[#This Row],[_Task]]))=0,"",INDEX(tsk_FcStart,CriticalTasks[[#This Row],[_Task]])))</f>
        <v>46393</v>
      </c>
      <c r="G101" s="44" t="n">
        <f aca="false">IF(CriticalTasks[[#This Row],[_Task]]="","",IF(N(INDEX(tsk_FcFinish,CriticalTasks[[#This Row],[_Task]]))=0,"",INDEX(tsk_FcFinish,CriticalTasks[[#This Row],[_Task]])))</f>
        <v>46393</v>
      </c>
      <c r="H101" s="50" t="n">
        <f aca="false">IF(CriticalTasks[[#This Row],[_Task]]="","",INDEX(tsk_TotalSlack,CriticalTasks[[#This Row],[_Task]]))</f>
        <v>0</v>
      </c>
      <c r="I101" s="24" t="str">
        <f aca="false">IF(CriticalTasks[[#This Row],[_Task]]="","",INDEX(tsk_DeadlineCheck,CriticalTasks[[#This Row],[_Task]])&amp;"")</f>
        <v/>
      </c>
      <c r="J101" s="24" t="str">
        <f aca="false">IF(CriticalTasks[[#This Row],[_Task]]="","",INDEX(tsk_Status,CriticalTasks[[#This Row],[_Task]])&amp;"")</f>
        <v>Not Started</v>
      </c>
    </row>
    <row r="102" customFormat="false" ht="15" hidden="false" customHeight="false" outlineLevel="0" collapsed="false">
      <c r="B102" s="43" t="str">
        <f aca="false">IFERROR(MATCH(SMALL(tsk_CriticalKey,ROW()-ROW(CriticalTasks[[#Headers],[_Task]])),tsk_CriticalKey,0),"")</f>
        <v/>
      </c>
      <c r="C102" s="24" t="str">
        <f aca="false">IF(CriticalTasks[[#This Row],[_Task]]="","",INDEX(tsk_WBS,CriticalTasks[[#This Row],[_Task]])&amp;"")</f>
        <v/>
      </c>
      <c r="D102" s="24" t="str">
        <f aca="false">IF(CriticalTasks[[#This Row],[_Task]]="","",INDEX(tsk_Name,CriticalTasks[[#This Row],[_Task]])&amp;"")</f>
        <v/>
      </c>
      <c r="E102" s="24" t="str">
        <f aca="false">IF(CriticalTasks[[#This Row],[_Task]]="","",INDEX(tsk_Resource,CriticalTasks[[#This Row],[_Task]])&amp;"")</f>
        <v/>
      </c>
      <c r="F102" s="44" t="str">
        <f aca="false">IF(CriticalTasks[[#This Row],[_Task]]="","",IF(N(INDEX(tsk_FcStart,CriticalTasks[[#This Row],[_Task]]))=0,"",INDEX(tsk_FcStart,CriticalTasks[[#This Row],[_Task]])))</f>
        <v/>
      </c>
      <c r="G102" s="44" t="str">
        <f aca="false">IF(CriticalTasks[[#This Row],[_Task]]="","",IF(N(INDEX(tsk_FcFinish,CriticalTasks[[#This Row],[_Task]]))=0,"",INDEX(tsk_FcFinish,CriticalTasks[[#This Row],[_Task]])))</f>
        <v/>
      </c>
      <c r="H102" s="50" t="str">
        <f aca="false">IF(CriticalTasks[[#This Row],[_Task]]="","",INDEX(tsk_TotalSlack,CriticalTasks[[#This Row],[_Task]]))</f>
        <v/>
      </c>
      <c r="I102" s="24" t="str">
        <f aca="false">IF(CriticalTasks[[#This Row],[_Task]]="","",INDEX(tsk_DeadlineCheck,CriticalTasks[[#This Row],[_Task]])&amp;"")</f>
        <v/>
      </c>
      <c r="J102" s="24" t="str">
        <f aca="false">IF(CriticalTasks[[#This Row],[_Task]]="","",INDEX(tsk_Status,CriticalTasks[[#This Row],[_Task]])&amp;"")</f>
        <v/>
      </c>
    </row>
    <row r="103" customFormat="false" ht="15" hidden="false" customHeight="false" outlineLevel="0" collapsed="false">
      <c r="B103" s="43" t="str">
        <f aca="false">IFERROR(MATCH(SMALL(tsk_CriticalKey,ROW()-ROW(CriticalTasks[[#Headers],[_Task]])),tsk_CriticalKey,0),"")</f>
        <v/>
      </c>
      <c r="C103" s="24" t="str">
        <f aca="false">IF(CriticalTasks[[#This Row],[_Task]]="","",INDEX(tsk_WBS,CriticalTasks[[#This Row],[_Task]])&amp;"")</f>
        <v/>
      </c>
      <c r="D103" s="24" t="str">
        <f aca="false">IF(CriticalTasks[[#This Row],[_Task]]="","",INDEX(tsk_Name,CriticalTasks[[#This Row],[_Task]])&amp;"")</f>
        <v/>
      </c>
      <c r="E103" s="24" t="str">
        <f aca="false">IF(CriticalTasks[[#This Row],[_Task]]="","",INDEX(tsk_Resource,CriticalTasks[[#This Row],[_Task]])&amp;"")</f>
        <v/>
      </c>
      <c r="F103" s="44" t="str">
        <f aca="false">IF(CriticalTasks[[#This Row],[_Task]]="","",IF(N(INDEX(tsk_FcStart,CriticalTasks[[#This Row],[_Task]]))=0,"",INDEX(tsk_FcStart,CriticalTasks[[#This Row],[_Task]])))</f>
        <v/>
      </c>
      <c r="G103" s="44" t="str">
        <f aca="false">IF(CriticalTasks[[#This Row],[_Task]]="","",IF(N(INDEX(tsk_FcFinish,CriticalTasks[[#This Row],[_Task]]))=0,"",INDEX(tsk_FcFinish,CriticalTasks[[#This Row],[_Task]])))</f>
        <v/>
      </c>
      <c r="H103" s="50" t="str">
        <f aca="false">IF(CriticalTasks[[#This Row],[_Task]]="","",INDEX(tsk_TotalSlack,CriticalTasks[[#This Row],[_Task]]))</f>
        <v/>
      </c>
      <c r="I103" s="24" t="str">
        <f aca="false">IF(CriticalTasks[[#This Row],[_Task]]="","",INDEX(tsk_DeadlineCheck,CriticalTasks[[#This Row],[_Task]])&amp;"")</f>
        <v/>
      </c>
      <c r="J103" s="24" t="str">
        <f aca="false">IF(CriticalTasks[[#This Row],[_Task]]="","",INDEX(tsk_Status,CriticalTasks[[#This Row],[_Task]])&amp;"")</f>
        <v/>
      </c>
    </row>
    <row r="104" customFormat="false" ht="15" hidden="false" customHeight="false" outlineLevel="0" collapsed="false">
      <c r="B104" s="43" t="str">
        <f aca="false">IFERROR(MATCH(SMALL(tsk_CriticalKey,ROW()-ROW(CriticalTasks[[#Headers],[_Task]])),tsk_CriticalKey,0),"")</f>
        <v/>
      </c>
      <c r="C104" s="24" t="str">
        <f aca="false">IF(CriticalTasks[[#This Row],[_Task]]="","",INDEX(tsk_WBS,CriticalTasks[[#This Row],[_Task]])&amp;"")</f>
        <v/>
      </c>
      <c r="D104" s="24" t="str">
        <f aca="false">IF(CriticalTasks[[#This Row],[_Task]]="","",INDEX(tsk_Name,CriticalTasks[[#This Row],[_Task]])&amp;"")</f>
        <v/>
      </c>
      <c r="E104" s="24" t="str">
        <f aca="false">IF(CriticalTasks[[#This Row],[_Task]]="","",INDEX(tsk_Resource,CriticalTasks[[#This Row],[_Task]])&amp;"")</f>
        <v/>
      </c>
      <c r="F104" s="44" t="str">
        <f aca="false">IF(CriticalTasks[[#This Row],[_Task]]="","",IF(N(INDEX(tsk_FcStart,CriticalTasks[[#This Row],[_Task]]))=0,"",INDEX(tsk_FcStart,CriticalTasks[[#This Row],[_Task]])))</f>
        <v/>
      </c>
      <c r="G104" s="44" t="str">
        <f aca="false">IF(CriticalTasks[[#This Row],[_Task]]="","",IF(N(INDEX(tsk_FcFinish,CriticalTasks[[#This Row],[_Task]]))=0,"",INDEX(tsk_FcFinish,CriticalTasks[[#This Row],[_Task]])))</f>
        <v/>
      </c>
      <c r="H104" s="50" t="str">
        <f aca="false">IF(CriticalTasks[[#This Row],[_Task]]="","",INDEX(tsk_TotalSlack,CriticalTasks[[#This Row],[_Task]]))</f>
        <v/>
      </c>
      <c r="I104" s="24" t="str">
        <f aca="false">IF(CriticalTasks[[#This Row],[_Task]]="","",INDEX(tsk_DeadlineCheck,CriticalTasks[[#This Row],[_Task]])&amp;"")</f>
        <v/>
      </c>
      <c r="J104" s="24" t="str">
        <f aca="false">IF(CriticalTasks[[#This Row],[_Task]]="","",INDEX(tsk_Status,CriticalTasks[[#This Row],[_Task]])&amp;"")</f>
        <v/>
      </c>
    </row>
    <row r="105" customFormat="false" ht="15" hidden="false" customHeight="false" outlineLevel="0" collapsed="false">
      <c r="B105" s="43" t="str">
        <f aca="false">IFERROR(MATCH(SMALL(tsk_CriticalKey,ROW()-ROW(CriticalTasks[[#Headers],[_Task]])),tsk_CriticalKey,0),"")</f>
        <v/>
      </c>
      <c r="C105" s="24" t="str">
        <f aca="false">IF(CriticalTasks[[#This Row],[_Task]]="","",INDEX(tsk_WBS,CriticalTasks[[#This Row],[_Task]])&amp;"")</f>
        <v/>
      </c>
      <c r="D105" s="24" t="str">
        <f aca="false">IF(CriticalTasks[[#This Row],[_Task]]="","",INDEX(tsk_Name,CriticalTasks[[#This Row],[_Task]])&amp;"")</f>
        <v/>
      </c>
      <c r="E105" s="24" t="str">
        <f aca="false">IF(CriticalTasks[[#This Row],[_Task]]="","",INDEX(tsk_Resource,CriticalTasks[[#This Row],[_Task]])&amp;"")</f>
        <v/>
      </c>
      <c r="F105" s="44" t="str">
        <f aca="false">IF(CriticalTasks[[#This Row],[_Task]]="","",IF(N(INDEX(tsk_FcStart,CriticalTasks[[#This Row],[_Task]]))=0,"",INDEX(tsk_FcStart,CriticalTasks[[#This Row],[_Task]])))</f>
        <v/>
      </c>
      <c r="G105" s="44" t="str">
        <f aca="false">IF(CriticalTasks[[#This Row],[_Task]]="","",IF(N(INDEX(tsk_FcFinish,CriticalTasks[[#This Row],[_Task]]))=0,"",INDEX(tsk_FcFinish,CriticalTasks[[#This Row],[_Task]])))</f>
        <v/>
      </c>
      <c r="H105" s="50" t="str">
        <f aca="false">IF(CriticalTasks[[#This Row],[_Task]]="","",INDEX(tsk_TotalSlack,CriticalTasks[[#This Row],[_Task]]))</f>
        <v/>
      </c>
      <c r="I105" s="24" t="str">
        <f aca="false">IF(CriticalTasks[[#This Row],[_Task]]="","",INDEX(tsk_DeadlineCheck,CriticalTasks[[#This Row],[_Task]])&amp;"")</f>
        <v/>
      </c>
      <c r="J105" s="24" t="str">
        <f aca="false">IF(CriticalTasks[[#This Row],[_Task]]="","",INDEX(tsk_Status,CriticalTasks[[#This Row],[_Task]])&amp;"")</f>
        <v/>
      </c>
    </row>
    <row r="106" customFormat="false" ht="15" hidden="false" customHeight="false" outlineLevel="0" collapsed="false">
      <c r="B106" s="43" t="str">
        <f aca="false">IFERROR(MATCH(SMALL(tsk_CriticalKey,ROW()-ROW(CriticalTasks[[#Headers],[_Task]])),tsk_CriticalKey,0),"")</f>
        <v/>
      </c>
      <c r="C106" s="24" t="str">
        <f aca="false">IF(CriticalTasks[[#This Row],[_Task]]="","",INDEX(tsk_WBS,CriticalTasks[[#This Row],[_Task]])&amp;"")</f>
        <v/>
      </c>
      <c r="D106" s="24" t="str">
        <f aca="false">IF(CriticalTasks[[#This Row],[_Task]]="","",INDEX(tsk_Name,CriticalTasks[[#This Row],[_Task]])&amp;"")</f>
        <v/>
      </c>
      <c r="E106" s="24" t="str">
        <f aca="false">IF(CriticalTasks[[#This Row],[_Task]]="","",INDEX(tsk_Resource,CriticalTasks[[#This Row],[_Task]])&amp;"")</f>
        <v/>
      </c>
      <c r="F106" s="44" t="str">
        <f aca="false">IF(CriticalTasks[[#This Row],[_Task]]="","",IF(N(INDEX(tsk_FcStart,CriticalTasks[[#This Row],[_Task]]))=0,"",INDEX(tsk_FcStart,CriticalTasks[[#This Row],[_Task]])))</f>
        <v/>
      </c>
      <c r="G106" s="44" t="str">
        <f aca="false">IF(CriticalTasks[[#This Row],[_Task]]="","",IF(N(INDEX(tsk_FcFinish,CriticalTasks[[#This Row],[_Task]]))=0,"",INDEX(tsk_FcFinish,CriticalTasks[[#This Row],[_Task]])))</f>
        <v/>
      </c>
      <c r="H106" s="50" t="str">
        <f aca="false">IF(CriticalTasks[[#This Row],[_Task]]="","",INDEX(tsk_TotalSlack,CriticalTasks[[#This Row],[_Task]]))</f>
        <v/>
      </c>
      <c r="I106" s="24" t="str">
        <f aca="false">IF(CriticalTasks[[#This Row],[_Task]]="","",INDEX(tsk_DeadlineCheck,CriticalTasks[[#This Row],[_Task]])&amp;"")</f>
        <v/>
      </c>
      <c r="J106" s="24" t="str">
        <f aca="false">IF(CriticalTasks[[#This Row],[_Task]]="","",INDEX(tsk_Status,CriticalTasks[[#This Row],[_Task]])&amp;"")</f>
        <v/>
      </c>
    </row>
    <row r="107" customFormat="false" ht="15" hidden="false" customHeight="false" outlineLevel="0" collapsed="false">
      <c r="B107" s="43" t="str">
        <f aca="false">IFERROR(MATCH(SMALL(tsk_CriticalKey,ROW()-ROW(CriticalTasks[[#Headers],[_Task]])),tsk_CriticalKey,0),"")</f>
        <v/>
      </c>
      <c r="C107" s="24" t="str">
        <f aca="false">IF(CriticalTasks[[#This Row],[_Task]]="","",INDEX(tsk_WBS,CriticalTasks[[#This Row],[_Task]])&amp;"")</f>
        <v/>
      </c>
      <c r="D107" s="24" t="str">
        <f aca="false">IF(CriticalTasks[[#This Row],[_Task]]="","",INDEX(tsk_Name,CriticalTasks[[#This Row],[_Task]])&amp;"")</f>
        <v/>
      </c>
      <c r="E107" s="24" t="str">
        <f aca="false">IF(CriticalTasks[[#This Row],[_Task]]="","",INDEX(tsk_Resource,CriticalTasks[[#This Row],[_Task]])&amp;"")</f>
        <v/>
      </c>
      <c r="F107" s="44" t="str">
        <f aca="false">IF(CriticalTasks[[#This Row],[_Task]]="","",IF(N(INDEX(tsk_FcStart,CriticalTasks[[#This Row],[_Task]]))=0,"",INDEX(tsk_FcStart,CriticalTasks[[#This Row],[_Task]])))</f>
        <v/>
      </c>
      <c r="G107" s="44" t="str">
        <f aca="false">IF(CriticalTasks[[#This Row],[_Task]]="","",IF(N(INDEX(tsk_FcFinish,CriticalTasks[[#This Row],[_Task]]))=0,"",INDEX(tsk_FcFinish,CriticalTasks[[#This Row],[_Task]])))</f>
        <v/>
      </c>
      <c r="H107" s="50" t="str">
        <f aca="false">IF(CriticalTasks[[#This Row],[_Task]]="","",INDEX(tsk_TotalSlack,CriticalTasks[[#This Row],[_Task]]))</f>
        <v/>
      </c>
      <c r="I107" s="24" t="str">
        <f aca="false">IF(CriticalTasks[[#This Row],[_Task]]="","",INDEX(tsk_DeadlineCheck,CriticalTasks[[#This Row],[_Task]])&amp;"")</f>
        <v/>
      </c>
      <c r="J107" s="24" t="str">
        <f aca="false">IF(CriticalTasks[[#This Row],[_Task]]="","",INDEX(tsk_Status,CriticalTasks[[#This Row],[_Task]])&amp;"")</f>
        <v/>
      </c>
    </row>
    <row r="108" customFormat="false" ht="15" hidden="false" customHeight="false" outlineLevel="0" collapsed="false">
      <c r="B108" s="43" t="str">
        <f aca="false">IFERROR(MATCH(SMALL(tsk_CriticalKey,ROW()-ROW(CriticalTasks[[#Headers],[_Task]])),tsk_CriticalKey,0),"")</f>
        <v/>
      </c>
      <c r="C108" s="24" t="str">
        <f aca="false">IF(CriticalTasks[[#This Row],[_Task]]="","",INDEX(tsk_WBS,CriticalTasks[[#This Row],[_Task]])&amp;"")</f>
        <v/>
      </c>
      <c r="D108" s="24" t="str">
        <f aca="false">IF(CriticalTasks[[#This Row],[_Task]]="","",INDEX(tsk_Name,CriticalTasks[[#This Row],[_Task]])&amp;"")</f>
        <v/>
      </c>
      <c r="E108" s="24" t="str">
        <f aca="false">IF(CriticalTasks[[#This Row],[_Task]]="","",INDEX(tsk_Resource,CriticalTasks[[#This Row],[_Task]])&amp;"")</f>
        <v/>
      </c>
      <c r="F108" s="44" t="str">
        <f aca="false">IF(CriticalTasks[[#This Row],[_Task]]="","",IF(N(INDEX(tsk_FcStart,CriticalTasks[[#This Row],[_Task]]))=0,"",INDEX(tsk_FcStart,CriticalTasks[[#This Row],[_Task]])))</f>
        <v/>
      </c>
      <c r="G108" s="44" t="str">
        <f aca="false">IF(CriticalTasks[[#This Row],[_Task]]="","",IF(N(INDEX(tsk_FcFinish,CriticalTasks[[#This Row],[_Task]]))=0,"",INDEX(tsk_FcFinish,CriticalTasks[[#This Row],[_Task]])))</f>
        <v/>
      </c>
      <c r="H108" s="50" t="str">
        <f aca="false">IF(CriticalTasks[[#This Row],[_Task]]="","",INDEX(tsk_TotalSlack,CriticalTasks[[#This Row],[_Task]]))</f>
        <v/>
      </c>
      <c r="I108" s="24" t="str">
        <f aca="false">IF(CriticalTasks[[#This Row],[_Task]]="","",INDEX(tsk_DeadlineCheck,CriticalTasks[[#This Row],[_Task]])&amp;"")</f>
        <v/>
      </c>
      <c r="J108" s="24" t="str">
        <f aca="false">IF(CriticalTasks[[#This Row],[_Task]]="","",INDEX(tsk_Status,CriticalTasks[[#This Row],[_Task]])&amp;"")</f>
        <v/>
      </c>
    </row>
    <row r="109" customFormat="false" ht="15" hidden="false" customHeight="false" outlineLevel="0" collapsed="false">
      <c r="B109" s="43" t="str">
        <f aca="false">IFERROR(MATCH(SMALL(tsk_CriticalKey,ROW()-ROW(CriticalTasks[[#Headers],[_Task]])),tsk_CriticalKey,0),"")</f>
        <v/>
      </c>
      <c r="C109" s="24" t="str">
        <f aca="false">IF(CriticalTasks[[#This Row],[_Task]]="","",INDEX(tsk_WBS,CriticalTasks[[#This Row],[_Task]])&amp;"")</f>
        <v/>
      </c>
      <c r="D109" s="24" t="str">
        <f aca="false">IF(CriticalTasks[[#This Row],[_Task]]="","",INDEX(tsk_Name,CriticalTasks[[#This Row],[_Task]])&amp;"")</f>
        <v/>
      </c>
      <c r="E109" s="24" t="str">
        <f aca="false">IF(CriticalTasks[[#This Row],[_Task]]="","",INDEX(tsk_Resource,CriticalTasks[[#This Row],[_Task]])&amp;"")</f>
        <v/>
      </c>
      <c r="F109" s="44" t="str">
        <f aca="false">IF(CriticalTasks[[#This Row],[_Task]]="","",IF(N(INDEX(tsk_FcStart,CriticalTasks[[#This Row],[_Task]]))=0,"",INDEX(tsk_FcStart,CriticalTasks[[#This Row],[_Task]])))</f>
        <v/>
      </c>
      <c r="G109" s="44" t="str">
        <f aca="false">IF(CriticalTasks[[#This Row],[_Task]]="","",IF(N(INDEX(tsk_FcFinish,CriticalTasks[[#This Row],[_Task]]))=0,"",INDEX(tsk_FcFinish,CriticalTasks[[#This Row],[_Task]])))</f>
        <v/>
      </c>
      <c r="H109" s="50" t="str">
        <f aca="false">IF(CriticalTasks[[#This Row],[_Task]]="","",INDEX(tsk_TotalSlack,CriticalTasks[[#This Row],[_Task]]))</f>
        <v/>
      </c>
      <c r="I109" s="24" t="str">
        <f aca="false">IF(CriticalTasks[[#This Row],[_Task]]="","",INDEX(tsk_DeadlineCheck,CriticalTasks[[#This Row],[_Task]])&amp;"")</f>
        <v/>
      </c>
      <c r="J109" s="24" t="str">
        <f aca="false">IF(CriticalTasks[[#This Row],[_Task]]="","",INDEX(tsk_Status,CriticalTasks[[#This Row],[_Task]])&amp;"")</f>
        <v/>
      </c>
    </row>
    <row r="110" customFormat="false" ht="15" hidden="false" customHeight="false" outlineLevel="0" collapsed="false">
      <c r="B110" s="43" t="str">
        <f aca="false">IFERROR(MATCH(SMALL(tsk_CriticalKey,ROW()-ROW(CriticalTasks[[#Headers],[_Task]])),tsk_CriticalKey,0),"")</f>
        <v/>
      </c>
      <c r="C110" s="24" t="str">
        <f aca="false">IF(CriticalTasks[[#This Row],[_Task]]="","",INDEX(tsk_WBS,CriticalTasks[[#This Row],[_Task]])&amp;"")</f>
        <v/>
      </c>
      <c r="D110" s="24" t="str">
        <f aca="false">IF(CriticalTasks[[#This Row],[_Task]]="","",INDEX(tsk_Name,CriticalTasks[[#This Row],[_Task]])&amp;"")</f>
        <v/>
      </c>
      <c r="E110" s="24" t="str">
        <f aca="false">IF(CriticalTasks[[#This Row],[_Task]]="","",INDEX(tsk_Resource,CriticalTasks[[#This Row],[_Task]])&amp;"")</f>
        <v/>
      </c>
      <c r="F110" s="44" t="str">
        <f aca="false">IF(CriticalTasks[[#This Row],[_Task]]="","",IF(N(INDEX(tsk_FcStart,CriticalTasks[[#This Row],[_Task]]))=0,"",INDEX(tsk_FcStart,CriticalTasks[[#This Row],[_Task]])))</f>
        <v/>
      </c>
      <c r="G110" s="44" t="str">
        <f aca="false">IF(CriticalTasks[[#This Row],[_Task]]="","",IF(N(INDEX(tsk_FcFinish,CriticalTasks[[#This Row],[_Task]]))=0,"",INDEX(tsk_FcFinish,CriticalTasks[[#This Row],[_Task]])))</f>
        <v/>
      </c>
      <c r="H110" s="50" t="str">
        <f aca="false">IF(CriticalTasks[[#This Row],[_Task]]="","",INDEX(tsk_TotalSlack,CriticalTasks[[#This Row],[_Task]]))</f>
        <v/>
      </c>
      <c r="I110" s="24" t="str">
        <f aca="false">IF(CriticalTasks[[#This Row],[_Task]]="","",INDEX(tsk_DeadlineCheck,CriticalTasks[[#This Row],[_Task]])&amp;"")</f>
        <v/>
      </c>
      <c r="J110" s="24" t="str">
        <f aca="false">IF(CriticalTasks[[#This Row],[_Task]]="","",INDEX(tsk_Status,CriticalTasks[[#This Row],[_Task]])&amp;"")</f>
        <v/>
      </c>
    </row>
  </sheetData>
  <conditionalFormatting sqref="P6:P15">
    <cfRule type="expression" priority="2" aboveAverage="0" equalAverage="0" bottom="0" percent="0" rank="0" text="" dxfId="13">
      <formula>P6="Green"</formula>
    </cfRule>
    <cfRule type="expression" priority="3" aboveAverage="0" equalAverage="0" bottom="0" percent="0" rank="0" text="" dxfId="14">
      <formula>P6="Amber"</formula>
    </cfRule>
    <cfRule type="expression" priority="4" aboveAverage="0" equalAverage="0" bottom="0" percent="0" rank="0" text="" dxfId="15">
      <formula>P6="Red"</formula>
    </cfRule>
  </conditionalFormatting>
  <conditionalFormatting sqref="G6:G15">
    <cfRule type="expression" priority="5" aboveAverage="0" equalAverage="0" bottom="0" percent="0" rank="0" text="" dxfId="24">
      <formula>AND(ISNUMBER(G6),G6&gt;0)</formula>
    </cfRule>
  </conditionalFormatting>
  <conditionalFormatting sqref="G19:G33">
    <cfRule type="expression" priority="6" aboveAverage="0" equalAverage="0" bottom="0" percent="0" rank="0" text="" dxfId="24">
      <formula>AND(ISNUMBER(G19),G19&gt;0)</formula>
    </cfRule>
  </conditionalFormatting>
  <conditionalFormatting sqref="I19:I33">
    <cfRule type="expression" priority="7" aboveAverage="0" equalAverage="0" bottom="0" percent="0" rank="0" text="" dxfId="24">
      <formula>LEFT(I19,4)="Late"</formula>
    </cfRule>
  </conditionalFormatting>
  <conditionalFormatting sqref="H37:H51">
    <cfRule type="expression" priority="8" aboveAverage="0" equalAverage="0" bottom="0" percent="0" rank="0" text="" dxfId="24">
      <formula>AND(ISNUMBER(H37),H37&gt;0)</formula>
    </cfRule>
  </conditionalFormatting>
  <conditionalFormatting sqref="J37:J51">
    <cfRule type="expression" priority="9" aboveAverage="0" equalAverage="0" bottom="0" percent="0" rank="0" text="" dxfId="25">
      <formula>J37="Yes"</formula>
    </cfRule>
  </conditionalFormatting>
  <conditionalFormatting sqref="J55:J69">
    <cfRule type="expression" priority="10" aboveAverage="0" equalAverage="0" bottom="0" percent="0" rank="0" text="" dxfId="25">
      <formula>J55="Yes"</formula>
    </cfRule>
  </conditionalFormatting>
  <conditionalFormatting sqref="J73:J87">
    <cfRule type="expression" priority="11" aboveAverage="0" equalAverage="0" bottom="0" percent="0" rank="0" text="" dxfId="25">
      <formula>J73="Yes"</formula>
    </cfRule>
  </conditionalFormatting>
  <conditionalFormatting sqref="H73:H87">
    <cfRule type="expression" priority="12" aboveAverage="0" equalAverage="0" bottom="0" percent="0" rank="0" text="" dxfId="24">
      <formula>LEFT(H73,4)="Late"</formula>
    </cfRule>
  </conditionalFormatting>
  <conditionalFormatting sqref="I91:I110">
    <cfRule type="expression" priority="13" aboveAverage="0" equalAverage="0" bottom="0" percent="0" rank="0" text="" dxfId="24">
      <formula>LEFT(I91,4)="Late"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AD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29" min="4" style="0" width="9"/>
  </cols>
  <sheetData>
    <row r="1" customFormat="false" ht="19.7" hidden="false" customHeight="false" outlineLevel="0" collapsed="false">
      <c r="A1" s="26" t="str">
        <f aca="false">ProjectName&amp;"  -  Resource Report"</f>
        <v>Customer Portal Implementation  -  Resource Report</v>
      </c>
    </row>
    <row r="2" customFormat="false" ht="15" hidden="false" customHeight="false" outlineLevel="0" collapsed="false">
      <c r="A2" s="0" t="str">
        <f aca="false">"Weeks from "&amp;TEXT(ResourceWeekStart,"ddd dd-mmm-yyyy")&amp;" (Settings &gt; ResourceWeekStart). Hours are each task's work spread over its forecast working days; red = more than Max Units x HoursPerDay x working days in the week."</f>
        <v>Weeks from Mon 05-Oct-2026 (Settings &gt; ResourceWeekStart). Hours are each task's work spread over its forecast working days; red = more than Max Units x HoursPerDay x working days in the week.</v>
      </c>
    </row>
    <row r="4" customFormat="false" ht="15" hidden="false" customHeight="false" outlineLevel="0" collapsed="false">
      <c r="B4" s="36" t="s">
        <v>193</v>
      </c>
    </row>
    <row r="5" customFormat="false" ht="23.85" hidden="false" customHeight="false" outlineLevel="0" collapsed="false">
      <c r="B5" s="9" t="s">
        <v>188</v>
      </c>
      <c r="C5" s="9" t="s">
        <v>194</v>
      </c>
      <c r="D5" s="9" t="s">
        <v>195</v>
      </c>
      <c r="E5" s="9" t="s">
        <v>196</v>
      </c>
      <c r="F5" s="9" t="s">
        <v>197</v>
      </c>
      <c r="G5" s="9" t="s">
        <v>198</v>
      </c>
      <c r="H5" s="9" t="s">
        <v>199</v>
      </c>
      <c r="I5" s="9" t="s">
        <v>200</v>
      </c>
      <c r="J5" s="9" t="s">
        <v>201</v>
      </c>
      <c r="K5" s="9" t="s">
        <v>181</v>
      </c>
      <c r="L5" s="9" t="s">
        <v>202</v>
      </c>
      <c r="M5" s="9" t="s">
        <v>203</v>
      </c>
      <c r="N5" s="9" t="s">
        <v>204</v>
      </c>
    </row>
    <row r="6" customFormat="false" ht="15" hidden="false" customHeight="false" outlineLevel="0" collapsed="false">
      <c r="B6" s="24" t="str">
        <f aca="false">IFERROR(INDEX(res_Name,ROW()-ROW(ResourceSummary[[#Headers],[Resource]]))&amp;"","")</f>
        <v>Priya Sharma</v>
      </c>
      <c r="C6" s="46" t="n">
        <f aca="false">IF(ResourceSummary[[#This Row],[Resource]]="","",INDEX(ResourceTable[Max Units],ROW()-ROW(ResourceSummary[[#Headers],[Resource]])))</f>
        <v>0.5</v>
      </c>
      <c r="D6" s="49" t="n">
        <f aca="false">IF(ResourceSummary[[#This Row],[Resource]]="","",INDEX(ResourceTable[Tasks],ROW()-ROW(ResourceSummary[[#Headers],[Resource]])))</f>
        <v>4</v>
      </c>
      <c r="E6" s="51" t="n">
        <f aca="false">IF(ResourceSummary[[#This Row],[Resource]]="","",INDEX(ResourceTable[Work],ROW()-ROW(ResourceSummary[[#Headers],[Resource]])))</f>
        <v>56</v>
      </c>
      <c r="F6" s="51" t="n">
        <f aca="false">IF(ResourceSummary[[#This Row],[Resource]]="","",SUMIFS(tsk_LeafWorkDone,tsk_Resource,ResourceSummary[[#This Row],[Resource]]))</f>
        <v>24</v>
      </c>
      <c r="G6" s="51" t="n">
        <f aca="false">IF(ResourceSummary[[#This Row],[Resource]]="","",ResourceSummary[[#This Row],[Work]]-ResourceSummary[[#This Row],[Work Done]])</f>
        <v>32</v>
      </c>
      <c r="H6" s="51" t="n">
        <f aca="false">IF(ResourceSummary[[#This Row],[Resource]]="","",INDEX(ResourceTable[Cost],ROW()-ROW(ResourceSummary[[#Headers],[Resource]])))</f>
        <v>5320</v>
      </c>
      <c r="I6" s="51" t="n">
        <f aca="false">IF(ResourceSummary[[#This Row],[Resource]]="","",INDEX(ResourceTable[Actual Cost],ROW()-ROW(ResourceSummary[[#Headers],[Resource]])))</f>
        <v>3040</v>
      </c>
      <c r="J6" s="49" t="n">
        <f aca="false">IF(ResourceSummary[[#This Row],[Resource]]="","",COUNTIFS(tsk_Resource,ResourceSummary[[#This Row],[Resource]],tsk_LateKey,"&gt;0"))</f>
        <v>0</v>
      </c>
      <c r="K6" s="49" t="n">
        <f aca="false">IF(ResourceSummary[[#This Row],[Resource]]="","",COUNTIFS(tsk_Resource,ResourceSummary[[#This Row],[Resource]],tsk_Critical,"Yes",tsk_IsLeaf,1))</f>
        <v>2</v>
      </c>
      <c r="L6" s="47" t="n">
        <f aca="false">IF(ResourceSummary[[#This Row],[Resource]]="","",MAX(INDEX(rw_Load,ROW()-ROW(ResourceSummary[[#Headers],[Resource]]),0)))</f>
        <v>16</v>
      </c>
      <c r="M6" s="46" t="n">
        <f aca="false">IF(ResourceSummary[[#This Row],[Resource]]="","",MAX(INDEX(rw_Util,ROW()-ROW(ResourceSummary[[#Headers],[Resource]]),0)))</f>
        <v>0.8</v>
      </c>
      <c r="N6" s="49" t="n">
        <f aca="false">IF(ResourceSummary[[#This Row],[Resource]]="","",COUNTIF(INDEX(rw_Util,ROW()-ROW(ResourceSummary[[#Headers],[Resource]]),0),"&gt;1"))</f>
        <v>0</v>
      </c>
    </row>
    <row r="7" customFormat="false" ht="15" hidden="false" customHeight="false" outlineLevel="0" collapsed="false">
      <c r="B7" s="24" t="str">
        <f aca="false">IFERROR(INDEX(res_Name,ROW()-ROW(ResourceSummary[[#Headers],[Resource]]))&amp;"","")</f>
        <v>Morgan Patel</v>
      </c>
      <c r="C7" s="46" t="n">
        <f aca="false">IF(ResourceSummary[[#This Row],[Resource]]="","",INDEX(ResourceTable[Max Units],ROW()-ROW(ResourceSummary[[#Headers],[Resource]])))</f>
        <v>1</v>
      </c>
      <c r="D7" s="49" t="n">
        <f aca="false">IF(ResourceSummary[[#This Row],[Resource]]="","",INDEX(ResourceTable[Tasks],ROW()-ROW(ResourceSummary[[#Headers],[Resource]])))</f>
        <v>3</v>
      </c>
      <c r="E7" s="51" t="n">
        <f aca="false">IF(ResourceSummary[[#This Row],[Resource]]="","",INDEX(ResourceTable[Work],ROW()-ROW(ResourceSummary[[#Headers],[Resource]])))</f>
        <v>128</v>
      </c>
      <c r="F7" s="51" t="n">
        <f aca="false">IF(ResourceSummary[[#This Row],[Resource]]="","",SUMIFS(tsk_LeafWorkDone,tsk_Resource,ResourceSummary[[#This Row],[Resource]]))</f>
        <v>80</v>
      </c>
      <c r="G7" s="51" t="n">
        <f aca="false">IF(ResourceSummary[[#This Row],[Resource]]="","",ResourceSummary[[#This Row],[Work]]-ResourceSummary[[#This Row],[Work Done]])</f>
        <v>48</v>
      </c>
      <c r="H7" s="51" t="n">
        <f aca="false">IF(ResourceSummary[[#This Row],[Resource]]="","",INDEX(ResourceTable[Cost],ROW()-ROW(ResourceSummary[[#Headers],[Resource]])))</f>
        <v>8960</v>
      </c>
      <c r="I7" s="51" t="n">
        <f aca="false">IF(ResourceSummary[[#This Row],[Resource]]="","",INDEX(ResourceTable[Actual Cost],ROW()-ROW(ResourceSummary[[#Headers],[Resource]])))</f>
        <v>6160</v>
      </c>
      <c r="J7" s="49" t="n">
        <f aca="false">IF(ResourceSummary[[#This Row],[Resource]]="","",COUNTIFS(tsk_Resource,ResourceSummary[[#This Row],[Resource]],tsk_LateKey,"&gt;0"))</f>
        <v>0</v>
      </c>
      <c r="K7" s="49" t="n">
        <f aca="false">IF(ResourceSummary[[#This Row],[Resource]]="","",COUNTIFS(tsk_Resource,ResourceSummary[[#This Row],[Resource]],tsk_Critical,"Yes",tsk_IsLeaf,1))</f>
        <v>1</v>
      </c>
      <c r="L7" s="47" t="n">
        <f aca="false">IF(ResourceSummary[[#This Row],[Resource]]="","",MAX(INDEX(rw_Load,ROW()-ROW(ResourceSummary[[#Headers],[Resource]]),0)))</f>
        <v>40</v>
      </c>
      <c r="M7" s="46" t="n">
        <f aca="false">IF(ResourceSummary[[#This Row],[Resource]]="","",MAX(INDEX(rw_Util,ROW()-ROW(ResourceSummary[[#Headers],[Resource]]),0)))</f>
        <v>1</v>
      </c>
      <c r="N7" s="49" t="n">
        <f aca="false">IF(ResourceSummary[[#This Row],[Resource]]="","",COUNTIF(INDEX(rw_Util,ROW()-ROW(ResourceSummary[[#Headers],[Resource]]),0),"&gt;1"))</f>
        <v>0</v>
      </c>
    </row>
    <row r="8" customFormat="false" ht="15" hidden="false" customHeight="false" outlineLevel="0" collapsed="false">
      <c r="B8" s="24" t="str">
        <f aca="false">IFERROR(INDEX(res_Name,ROW()-ROW(ResourceSummary[[#Headers],[Resource]]))&amp;"","")</f>
        <v>Alex Chen</v>
      </c>
      <c r="C8" s="46" t="n">
        <f aca="false">IF(ResourceSummary[[#This Row],[Resource]]="","",INDEX(ResourceTable[Max Units],ROW()-ROW(ResourceSummary[[#Headers],[Resource]])))</f>
        <v>0.5</v>
      </c>
      <c r="D8" s="49" t="n">
        <f aca="false">IF(ResourceSummary[[#This Row],[Resource]]="","",INDEX(ResourceTable[Tasks],ROW()-ROW(ResourceSummary[[#Headers],[Resource]])))</f>
        <v>1</v>
      </c>
      <c r="E8" s="51" t="n">
        <f aca="false">IF(ResourceSummary[[#This Row],[Resource]]="","",INDEX(ResourceTable[Work],ROW()-ROW(ResourceSummary[[#Headers],[Resource]])))</f>
        <v>40</v>
      </c>
      <c r="F8" s="51" t="n">
        <f aca="false">IF(ResourceSummary[[#This Row],[Resource]]="","",SUMIFS(tsk_LeafWorkDone,tsk_Resource,ResourceSummary[[#This Row],[Resource]]))</f>
        <v>40</v>
      </c>
      <c r="G8" s="51" t="n">
        <f aca="false">IF(ResourceSummary[[#This Row],[Resource]]="","",ResourceSummary[[#This Row],[Work]]-ResourceSummary[[#This Row],[Work Done]])</f>
        <v>0</v>
      </c>
      <c r="H8" s="51" t="n">
        <f aca="false">IF(ResourceSummary[[#This Row],[Resource]]="","",INDEX(ResourceTable[Cost],ROW()-ROW(ResourceSummary[[#Headers],[Resource]])))</f>
        <v>4400</v>
      </c>
      <c r="I8" s="51" t="n">
        <f aca="false">IF(ResourceSummary[[#This Row],[Resource]]="","",INDEX(ResourceTable[Actual Cost],ROW()-ROW(ResourceSummary[[#Headers],[Resource]])))</f>
        <v>4400</v>
      </c>
      <c r="J8" s="49" t="n">
        <f aca="false">IF(ResourceSummary[[#This Row],[Resource]]="","",COUNTIFS(tsk_Resource,ResourceSummary[[#This Row],[Resource]],tsk_LateKey,"&gt;0"))</f>
        <v>0</v>
      </c>
      <c r="K8" s="49" t="n">
        <f aca="false">IF(ResourceSummary[[#This Row],[Resource]]="","",COUNTIFS(tsk_Resource,ResourceSummary[[#This Row],[Resource]],tsk_Critical,"Yes",tsk_IsLeaf,1))</f>
        <v>0</v>
      </c>
      <c r="L8" s="47" t="n">
        <f aca="false">IF(ResourceSummary[[#This Row],[Resource]]="","",MAX(INDEX(rw_Load,ROW()-ROW(ResourceSummary[[#Headers],[Resource]]),0)))</f>
        <v>0</v>
      </c>
      <c r="M8" s="46" t="n">
        <f aca="false">IF(ResourceSummary[[#This Row],[Resource]]="","",MAX(INDEX(rw_Util,ROW()-ROW(ResourceSummary[[#Headers],[Resource]]),0)))</f>
        <v>0</v>
      </c>
      <c r="N8" s="49" t="n">
        <f aca="false">IF(ResourceSummary[[#This Row],[Resource]]="","",COUNTIF(INDEX(rw_Util,ROW()-ROW(ResourceSummary[[#Headers],[Resource]]),0),"&gt;1"))</f>
        <v>0</v>
      </c>
    </row>
    <row r="9" customFormat="false" ht="15" hidden="false" customHeight="false" outlineLevel="0" collapsed="false">
      <c r="B9" s="24" t="str">
        <f aca="false">IFERROR(INDEX(res_Name,ROW()-ROW(ResourceSummary[[#Headers],[Resource]]))&amp;"","")</f>
        <v>Casey Kim</v>
      </c>
      <c r="C9" s="46" t="n">
        <f aca="false">IF(ResourceSummary[[#This Row],[Resource]]="","",INDEX(ResourceTable[Max Units],ROW()-ROW(ResourceSummary[[#Headers],[Resource]])))</f>
        <v>1</v>
      </c>
      <c r="D9" s="49" t="n">
        <f aca="false">IF(ResourceSummary[[#This Row],[Resource]]="","",INDEX(ResourceTable[Tasks],ROW()-ROW(ResourceSummary[[#Headers],[Resource]])))</f>
        <v>3</v>
      </c>
      <c r="E9" s="51" t="n">
        <f aca="false">IF(ResourceSummary[[#This Row],[Resource]]="","",INDEX(ResourceTable[Work],ROW()-ROW(ResourceSummary[[#Headers],[Resource]])))</f>
        <v>80</v>
      </c>
      <c r="F9" s="51" t="n">
        <f aca="false">IF(ResourceSummary[[#This Row],[Resource]]="","",SUMIFS(tsk_LeafWorkDone,tsk_Resource,ResourceSummary[[#This Row],[Resource]]))</f>
        <v>48</v>
      </c>
      <c r="G9" s="51" t="n">
        <f aca="false">IF(ResourceSummary[[#This Row],[Resource]]="","",ResourceSummary[[#This Row],[Work]]-ResourceSummary[[#This Row],[Work Done]])</f>
        <v>32</v>
      </c>
      <c r="H9" s="51" t="n">
        <f aca="false">IF(ResourceSummary[[#This Row],[Resource]]="","",INDEX(ResourceTable[Cost],ROW()-ROW(ResourceSummary[[#Headers],[Resource]])))</f>
        <v>6000</v>
      </c>
      <c r="I9" s="51" t="n">
        <f aca="false">IF(ResourceSummary[[#This Row],[Resource]]="","",INDEX(ResourceTable[Actual Cost],ROW()-ROW(ResourceSummary[[#Headers],[Resource]])))</f>
        <v>3600</v>
      </c>
      <c r="J9" s="49" t="n">
        <f aca="false">IF(ResourceSummary[[#This Row],[Resource]]="","",COUNTIFS(tsk_Resource,ResourceSummary[[#This Row],[Resource]],tsk_LateKey,"&gt;0"))</f>
        <v>2</v>
      </c>
      <c r="K9" s="49" t="n">
        <f aca="false">IF(ResourceSummary[[#This Row],[Resource]]="","",COUNTIFS(tsk_Resource,ResourceSummary[[#This Row],[Resource]],tsk_Critical,"Yes",tsk_IsLeaf,1))</f>
        <v>1</v>
      </c>
      <c r="L9" s="47" t="n">
        <f aca="false">IF(ResourceSummary[[#This Row],[Resource]]="","",MAX(INDEX(rw_Load,ROW()-ROW(ResourceSummary[[#Headers],[Resource]]),0)))</f>
        <v>13.7142857142857</v>
      </c>
      <c r="M9" s="46" t="n">
        <f aca="false">IF(ResourceSummary[[#This Row],[Resource]]="","",MAX(INDEX(rw_Util,ROW()-ROW(ResourceSummary[[#Headers],[Resource]]),0)))</f>
        <v>0.342857142857143</v>
      </c>
      <c r="N9" s="49" t="n">
        <f aca="false">IF(ResourceSummary[[#This Row],[Resource]]="","",COUNTIF(INDEX(rw_Util,ROW()-ROW(ResourceSummary[[#Headers],[Resource]]),0),"&gt;1"))</f>
        <v>0</v>
      </c>
    </row>
    <row r="10" customFormat="false" ht="15" hidden="false" customHeight="false" outlineLevel="0" collapsed="false">
      <c r="B10" s="24" t="str">
        <f aca="false">IFERROR(INDEX(res_Name,ROW()-ROW(ResourceSummary[[#Headers],[Resource]]))&amp;"","")</f>
        <v>Jordan Lee</v>
      </c>
      <c r="C10" s="46" t="n">
        <f aca="false">IF(ResourceSummary[[#This Row],[Resource]]="","",INDEX(ResourceTable[Max Units],ROW()-ROW(ResourceSummary[[#Headers],[Resource]])))</f>
        <v>1</v>
      </c>
      <c r="D10" s="49" t="n">
        <f aca="false">IF(ResourceSummary[[#This Row],[Resource]]="","",INDEX(ResourceTable[Tasks],ROW()-ROW(ResourceSummary[[#Headers],[Resource]])))</f>
        <v>4</v>
      </c>
      <c r="E10" s="51" t="n">
        <f aca="false">IF(ResourceSummary[[#This Row],[Resource]]="","",INDEX(ResourceTable[Work],ROW()-ROW(ResourceSummary[[#Headers],[Resource]])))</f>
        <v>208</v>
      </c>
      <c r="F10" s="51" t="n">
        <f aca="false">IF(ResourceSummary[[#This Row],[Resource]]="","",SUMIFS(tsk_LeafWorkDone,tsk_Resource,ResourceSummary[[#This Row],[Resource]]))</f>
        <v>80</v>
      </c>
      <c r="G10" s="51" t="n">
        <f aca="false">IF(ResourceSummary[[#This Row],[Resource]]="","",ResourceSummary[[#This Row],[Work]]-ResourceSummary[[#This Row],[Work Done]])</f>
        <v>128</v>
      </c>
      <c r="H10" s="51" t="n">
        <f aca="false">IF(ResourceSummary[[#This Row],[Resource]]="","",INDEX(ResourceTable[Cost],ROW()-ROW(ResourceSummary[[#Headers],[Resource]])))</f>
        <v>17680</v>
      </c>
      <c r="I10" s="51" t="n">
        <f aca="false">IF(ResourceSummary[[#This Row],[Resource]]="","",INDEX(ResourceTable[Actual Cost],ROW()-ROW(ResourceSummary[[#Headers],[Resource]])))</f>
        <v>7480</v>
      </c>
      <c r="J10" s="49" t="n">
        <f aca="false">IF(ResourceSummary[[#This Row],[Resource]]="","",COUNTIFS(tsk_Resource,ResourceSummary[[#This Row],[Resource]],tsk_LateKey,"&gt;0"))</f>
        <v>2</v>
      </c>
      <c r="K10" s="49" t="n">
        <f aca="false">IF(ResourceSummary[[#This Row],[Resource]]="","",COUNTIFS(tsk_Resource,ResourceSummary[[#This Row],[Resource]],tsk_Critical,"Yes",tsk_IsLeaf,1))</f>
        <v>3</v>
      </c>
      <c r="L10" s="47" t="n">
        <f aca="false">IF(ResourceSummary[[#This Row],[Resource]]="","",MAX(INDEX(rw_Load,ROW()-ROW(ResourceSummary[[#Headers],[Resource]]),0)))</f>
        <v>40</v>
      </c>
      <c r="M10" s="46" t="n">
        <f aca="false">IF(ResourceSummary[[#This Row],[Resource]]="","",MAX(INDEX(rw_Util,ROW()-ROW(ResourceSummary[[#Headers],[Resource]]),0)))</f>
        <v>1</v>
      </c>
      <c r="N10" s="49" t="n">
        <f aca="false">IF(ResourceSummary[[#This Row],[Resource]]="","",COUNTIF(INDEX(rw_Util,ROW()-ROW(ResourceSummary[[#Headers],[Resource]]),0),"&gt;1"))</f>
        <v>0</v>
      </c>
    </row>
    <row r="11" customFormat="false" ht="15" hidden="false" customHeight="false" outlineLevel="0" collapsed="false">
      <c r="B11" s="24" t="str">
        <f aca="false">IFERROR(INDEX(res_Name,ROW()-ROW(ResourceSummary[[#Headers],[Resource]]))&amp;"","")</f>
        <v>Sam Rivera</v>
      </c>
      <c r="C11" s="46" t="n">
        <f aca="false">IF(ResourceSummary[[#This Row],[Resource]]="","",INDEX(ResourceTable[Max Units],ROW()-ROW(ResourceSummary[[#Headers],[Resource]])))</f>
        <v>1</v>
      </c>
      <c r="D11" s="49" t="n">
        <f aca="false">IF(ResourceSummary[[#This Row],[Resource]]="","",INDEX(ResourceTable[Tasks],ROW()-ROW(ResourceSummary[[#Headers],[Resource]])))</f>
        <v>2</v>
      </c>
      <c r="E11" s="51" t="n">
        <f aca="false">IF(ResourceSummary[[#This Row],[Resource]]="","",INDEX(ResourceTable[Work],ROW()-ROW(ResourceSummary[[#Headers],[Resource]])))</f>
        <v>144</v>
      </c>
      <c r="F11" s="51" t="n">
        <f aca="false">IF(ResourceSummary[[#This Row],[Resource]]="","",SUMIFS(tsk_LeafWorkDone,tsk_Resource,ResourceSummary[[#This Row],[Resource]]))</f>
        <v>72</v>
      </c>
      <c r="G11" s="51" t="n">
        <f aca="false">IF(ResourceSummary[[#This Row],[Resource]]="","",ResourceSummary[[#This Row],[Work]]-ResourceSummary[[#This Row],[Work Done]])</f>
        <v>72</v>
      </c>
      <c r="H11" s="51" t="n">
        <f aca="false">IF(ResourceSummary[[#This Row],[Resource]]="","",INDEX(ResourceTable[Cost],ROW()-ROW(ResourceSummary[[#Headers],[Resource]])))</f>
        <v>11520</v>
      </c>
      <c r="I11" s="51" t="n">
        <f aca="false">IF(ResourceSummary[[#This Row],[Resource]]="","",INDEX(ResourceTable[Actual Cost],ROW()-ROW(ResourceSummary[[#Headers],[Resource]])))</f>
        <v>5760</v>
      </c>
      <c r="J11" s="49" t="n">
        <f aca="false">IF(ResourceSummary[[#This Row],[Resource]]="","",COUNTIFS(tsk_Resource,ResourceSummary[[#This Row],[Resource]],tsk_LateKey,"&gt;0"))</f>
        <v>1</v>
      </c>
      <c r="K11" s="49" t="n">
        <f aca="false">IF(ResourceSummary[[#This Row],[Resource]]="","",COUNTIFS(tsk_Resource,ResourceSummary[[#This Row],[Resource]],tsk_Critical,"Yes",tsk_IsLeaf,1))</f>
        <v>1</v>
      </c>
      <c r="L11" s="47" t="n">
        <f aca="false">IF(ResourceSummary[[#This Row],[Resource]]="","",MAX(INDEX(rw_Load,ROW()-ROW(ResourceSummary[[#Headers],[Resource]]),0)))</f>
        <v>34.2857142857143</v>
      </c>
      <c r="M11" s="46" t="n">
        <f aca="false">IF(ResourceSummary[[#This Row],[Resource]]="","",MAX(INDEX(rw_Util,ROW()-ROW(ResourceSummary[[#Headers],[Resource]]),0)))</f>
        <v>0.857142857142858</v>
      </c>
      <c r="N11" s="49" t="n">
        <f aca="false">IF(ResourceSummary[[#This Row],[Resource]]="","",COUNTIF(INDEX(rw_Util,ROW()-ROW(ResourceSummary[[#Headers],[Resource]]),0),"&gt;1"))</f>
        <v>0</v>
      </c>
    </row>
    <row r="12" customFormat="false" ht="15" hidden="false" customHeight="false" outlineLevel="0" collapsed="false">
      <c r="B12" s="24" t="str">
        <f aca="false">IFERROR(INDEX(res_Name,ROW()-ROW(ResourceSummary[[#Headers],[Resource]]))&amp;"","")</f>
        <v>Taylor Morgan</v>
      </c>
      <c r="C12" s="46" t="n">
        <f aca="false">IF(ResourceSummary[[#This Row],[Resource]]="","",INDEX(ResourceTable[Max Units],ROW()-ROW(ResourceSummary[[#Headers],[Resource]])))</f>
        <v>1</v>
      </c>
      <c r="D12" s="49" t="n">
        <f aca="false">IF(ResourceSummary[[#This Row],[Resource]]="","",INDEX(ResourceTable[Tasks],ROW()-ROW(ResourceSummary[[#Headers],[Resource]])))</f>
        <v>1</v>
      </c>
      <c r="E12" s="51" t="n">
        <f aca="false">IF(ResourceSummary[[#This Row],[Resource]]="","",INDEX(ResourceTable[Work],ROW()-ROW(ResourceSummary[[#Headers],[Resource]])))</f>
        <v>64</v>
      </c>
      <c r="F12" s="51" t="n">
        <f aca="false">IF(ResourceSummary[[#This Row],[Resource]]="","",SUMIFS(tsk_LeafWorkDone,tsk_Resource,ResourceSummary[[#This Row],[Resource]]))</f>
        <v>0</v>
      </c>
      <c r="G12" s="51" t="n">
        <f aca="false">IF(ResourceSummary[[#This Row],[Resource]]="","",ResourceSummary[[#This Row],[Work]]-ResourceSummary[[#This Row],[Work Done]])</f>
        <v>64</v>
      </c>
      <c r="H12" s="51" t="n">
        <f aca="false">IF(ResourceSummary[[#This Row],[Resource]]="","",INDEX(ResourceTable[Cost],ROW()-ROW(ResourceSummary[[#Headers],[Resource]])))</f>
        <v>4160</v>
      </c>
      <c r="I12" s="51" t="n">
        <f aca="false">IF(ResourceSummary[[#This Row],[Resource]]="","",INDEX(ResourceTable[Actual Cost],ROW()-ROW(ResourceSummary[[#Headers],[Resource]])))</f>
        <v>0</v>
      </c>
      <c r="J12" s="49" t="n">
        <f aca="false">IF(ResourceSummary[[#This Row],[Resource]]="","",COUNTIFS(tsk_Resource,ResourceSummary[[#This Row],[Resource]],tsk_LateKey,"&gt;0"))</f>
        <v>1</v>
      </c>
      <c r="K12" s="49" t="n">
        <f aca="false">IF(ResourceSummary[[#This Row],[Resource]]="","",COUNTIFS(tsk_Resource,ResourceSummary[[#This Row],[Resource]],tsk_Critical,"Yes",tsk_IsLeaf,1))</f>
        <v>0</v>
      </c>
      <c r="L12" s="47" t="n">
        <f aca="false">IF(ResourceSummary[[#This Row],[Resource]]="","",MAX(INDEX(rw_Load,ROW()-ROW(ResourceSummary[[#Headers],[Resource]]),0)))</f>
        <v>32</v>
      </c>
      <c r="M12" s="46" t="n">
        <f aca="false">IF(ResourceSummary[[#This Row],[Resource]]="","",MAX(INDEX(rw_Util,ROW()-ROW(ResourceSummary[[#Headers],[Resource]]),0)))</f>
        <v>0.8</v>
      </c>
      <c r="N12" s="49" t="n">
        <f aca="false">IF(ResourceSummary[[#This Row],[Resource]]="","",COUNTIF(INDEX(rw_Util,ROW()-ROW(ResourceSummary[[#Headers],[Resource]]),0),"&gt;1"))</f>
        <v>0</v>
      </c>
    </row>
    <row r="13" customFormat="false" ht="15" hidden="false" customHeight="false" outlineLevel="0" collapsed="false">
      <c r="B13" s="24" t="str">
        <f aca="false">IFERROR(INDEX(res_Name,ROW()-ROW(ResourceSummary[[#Headers],[Resource]]))&amp;"","")</f>
        <v/>
      </c>
      <c r="C13" s="46" t="str">
        <f aca="false">IF(ResourceSummary[[#This Row],[Resource]]="","",INDEX(ResourceTable[Max Units],ROW()-ROW(ResourceSummary[[#Headers],[Resource]])))</f>
        <v/>
      </c>
      <c r="D13" s="49" t="str">
        <f aca="false">IF(ResourceSummary[[#This Row],[Resource]]="","",INDEX(ResourceTable[Tasks],ROW()-ROW(ResourceSummary[[#Headers],[Resource]])))</f>
        <v/>
      </c>
      <c r="E13" s="51" t="str">
        <f aca="false">IF(ResourceSummary[[#This Row],[Resource]]="","",INDEX(ResourceTable[Work],ROW()-ROW(ResourceSummary[[#Headers],[Resource]])))</f>
        <v/>
      </c>
      <c r="F13" s="51" t="str">
        <f aca="false">IF(ResourceSummary[[#This Row],[Resource]]="","",SUMIFS(tsk_LeafWorkDone,tsk_Resource,ResourceSummary[[#This Row],[Resource]]))</f>
        <v/>
      </c>
      <c r="G13" s="51" t="str">
        <f aca="false">IF(ResourceSummary[[#This Row],[Resource]]="","",ResourceSummary[[#This Row],[Work]]-ResourceSummary[[#This Row],[Work Done]])</f>
        <v/>
      </c>
      <c r="H13" s="51" t="str">
        <f aca="false">IF(ResourceSummary[[#This Row],[Resource]]="","",INDEX(ResourceTable[Cost],ROW()-ROW(ResourceSummary[[#Headers],[Resource]])))</f>
        <v/>
      </c>
      <c r="I13" s="51" t="str">
        <f aca="false">IF(ResourceSummary[[#This Row],[Resource]]="","",INDEX(ResourceTable[Actual Cost],ROW()-ROW(ResourceSummary[[#Headers],[Resource]])))</f>
        <v/>
      </c>
      <c r="J13" s="49" t="str">
        <f aca="false">IF(ResourceSummary[[#This Row],[Resource]]="","",COUNTIFS(tsk_Resource,ResourceSummary[[#This Row],[Resource]],tsk_LateKey,"&gt;0"))</f>
        <v/>
      </c>
      <c r="K13" s="49" t="str">
        <f aca="false">IF(ResourceSummary[[#This Row],[Resource]]="","",COUNTIFS(tsk_Resource,ResourceSummary[[#This Row],[Resource]],tsk_Critical,"Yes",tsk_IsLeaf,1))</f>
        <v/>
      </c>
      <c r="L13" s="47" t="str">
        <f aca="false">IF(ResourceSummary[[#This Row],[Resource]]="","",MAX(INDEX(rw_Load,ROW()-ROW(ResourceSummary[[#Headers],[Resource]]),0)))</f>
        <v/>
      </c>
      <c r="M13" s="46" t="str">
        <f aca="false">IF(ResourceSummary[[#This Row],[Resource]]="","",MAX(INDEX(rw_Util,ROW()-ROW(ResourceSummary[[#Headers],[Resource]]),0)))</f>
        <v/>
      </c>
      <c r="N13" s="49" t="str">
        <f aca="false">IF(ResourceSummary[[#This Row],[Resource]]="","",COUNTIF(INDEX(rw_Util,ROW()-ROW(ResourceSummary[[#Headers],[Resource]]),0),"&gt;1"))</f>
        <v/>
      </c>
    </row>
    <row r="14" customFormat="false" ht="15" hidden="false" customHeight="false" outlineLevel="0" collapsed="false">
      <c r="B14" s="24" t="str">
        <f aca="false">IFERROR(INDEX(res_Name,ROW()-ROW(ResourceSummary[[#Headers],[Resource]]))&amp;"","")</f>
        <v/>
      </c>
      <c r="C14" s="46" t="str">
        <f aca="false">IF(ResourceSummary[[#This Row],[Resource]]="","",INDEX(ResourceTable[Max Units],ROW()-ROW(ResourceSummary[[#Headers],[Resource]])))</f>
        <v/>
      </c>
      <c r="D14" s="49" t="str">
        <f aca="false">IF(ResourceSummary[[#This Row],[Resource]]="","",INDEX(ResourceTable[Tasks],ROW()-ROW(ResourceSummary[[#Headers],[Resource]])))</f>
        <v/>
      </c>
      <c r="E14" s="51" t="str">
        <f aca="false">IF(ResourceSummary[[#This Row],[Resource]]="","",INDEX(ResourceTable[Work],ROW()-ROW(ResourceSummary[[#Headers],[Resource]])))</f>
        <v/>
      </c>
      <c r="F14" s="51" t="str">
        <f aca="false">IF(ResourceSummary[[#This Row],[Resource]]="","",SUMIFS(tsk_LeafWorkDone,tsk_Resource,ResourceSummary[[#This Row],[Resource]]))</f>
        <v/>
      </c>
      <c r="G14" s="51" t="str">
        <f aca="false">IF(ResourceSummary[[#This Row],[Resource]]="","",ResourceSummary[[#This Row],[Work]]-ResourceSummary[[#This Row],[Work Done]])</f>
        <v/>
      </c>
      <c r="H14" s="51" t="str">
        <f aca="false">IF(ResourceSummary[[#This Row],[Resource]]="","",INDEX(ResourceTable[Cost],ROW()-ROW(ResourceSummary[[#Headers],[Resource]])))</f>
        <v/>
      </c>
      <c r="I14" s="51" t="str">
        <f aca="false">IF(ResourceSummary[[#This Row],[Resource]]="","",INDEX(ResourceTable[Actual Cost],ROW()-ROW(ResourceSummary[[#Headers],[Resource]])))</f>
        <v/>
      </c>
      <c r="J14" s="49" t="str">
        <f aca="false">IF(ResourceSummary[[#This Row],[Resource]]="","",COUNTIFS(tsk_Resource,ResourceSummary[[#This Row],[Resource]],tsk_LateKey,"&gt;0"))</f>
        <v/>
      </c>
      <c r="K14" s="49" t="str">
        <f aca="false">IF(ResourceSummary[[#This Row],[Resource]]="","",COUNTIFS(tsk_Resource,ResourceSummary[[#This Row],[Resource]],tsk_Critical,"Yes",tsk_IsLeaf,1))</f>
        <v/>
      </c>
      <c r="L14" s="47" t="str">
        <f aca="false">IF(ResourceSummary[[#This Row],[Resource]]="","",MAX(INDEX(rw_Load,ROW()-ROW(ResourceSummary[[#Headers],[Resource]]),0)))</f>
        <v/>
      </c>
      <c r="M14" s="46" t="str">
        <f aca="false">IF(ResourceSummary[[#This Row],[Resource]]="","",MAX(INDEX(rw_Util,ROW()-ROW(ResourceSummary[[#Headers],[Resource]]),0)))</f>
        <v/>
      </c>
      <c r="N14" s="49" t="str">
        <f aca="false">IF(ResourceSummary[[#This Row],[Resource]]="","",COUNTIF(INDEX(rw_Util,ROW()-ROW(ResourceSummary[[#Headers],[Resource]]),0),"&gt;1"))</f>
        <v/>
      </c>
    </row>
    <row r="15" customFormat="false" ht="15" hidden="false" customHeight="false" outlineLevel="0" collapsed="false">
      <c r="B15" s="24" t="str">
        <f aca="false">IFERROR(INDEX(res_Name,ROW()-ROW(ResourceSummary[[#Headers],[Resource]]))&amp;"","")</f>
        <v/>
      </c>
      <c r="C15" s="46" t="str">
        <f aca="false">IF(ResourceSummary[[#This Row],[Resource]]="","",INDEX(ResourceTable[Max Units],ROW()-ROW(ResourceSummary[[#Headers],[Resource]])))</f>
        <v/>
      </c>
      <c r="D15" s="49" t="str">
        <f aca="false">IF(ResourceSummary[[#This Row],[Resource]]="","",INDEX(ResourceTable[Tasks],ROW()-ROW(ResourceSummary[[#Headers],[Resource]])))</f>
        <v/>
      </c>
      <c r="E15" s="51" t="str">
        <f aca="false">IF(ResourceSummary[[#This Row],[Resource]]="","",INDEX(ResourceTable[Work],ROW()-ROW(ResourceSummary[[#Headers],[Resource]])))</f>
        <v/>
      </c>
      <c r="F15" s="51" t="str">
        <f aca="false">IF(ResourceSummary[[#This Row],[Resource]]="","",SUMIFS(tsk_LeafWorkDone,tsk_Resource,ResourceSummary[[#This Row],[Resource]]))</f>
        <v/>
      </c>
      <c r="G15" s="51" t="str">
        <f aca="false">IF(ResourceSummary[[#This Row],[Resource]]="","",ResourceSummary[[#This Row],[Work]]-ResourceSummary[[#This Row],[Work Done]])</f>
        <v/>
      </c>
      <c r="H15" s="51" t="str">
        <f aca="false">IF(ResourceSummary[[#This Row],[Resource]]="","",INDEX(ResourceTable[Cost],ROW()-ROW(ResourceSummary[[#Headers],[Resource]])))</f>
        <v/>
      </c>
      <c r="I15" s="51" t="str">
        <f aca="false">IF(ResourceSummary[[#This Row],[Resource]]="","",INDEX(ResourceTable[Actual Cost],ROW()-ROW(ResourceSummary[[#Headers],[Resource]])))</f>
        <v/>
      </c>
      <c r="J15" s="49" t="str">
        <f aca="false">IF(ResourceSummary[[#This Row],[Resource]]="","",COUNTIFS(tsk_Resource,ResourceSummary[[#This Row],[Resource]],tsk_LateKey,"&gt;0"))</f>
        <v/>
      </c>
      <c r="K15" s="49" t="str">
        <f aca="false">IF(ResourceSummary[[#This Row],[Resource]]="","",COUNTIFS(tsk_Resource,ResourceSummary[[#This Row],[Resource]],tsk_Critical,"Yes",tsk_IsLeaf,1))</f>
        <v/>
      </c>
      <c r="L15" s="47" t="str">
        <f aca="false">IF(ResourceSummary[[#This Row],[Resource]]="","",MAX(INDEX(rw_Load,ROW()-ROW(ResourceSummary[[#Headers],[Resource]]),0)))</f>
        <v/>
      </c>
      <c r="M15" s="46" t="str">
        <f aca="false">IF(ResourceSummary[[#This Row],[Resource]]="","",MAX(INDEX(rw_Util,ROW()-ROW(ResourceSummary[[#Headers],[Resource]]),0)))</f>
        <v/>
      </c>
      <c r="N15" s="49" t="str">
        <f aca="false">IF(ResourceSummary[[#This Row],[Resource]]="","",COUNTIF(INDEX(rw_Util,ROW()-ROW(ResourceSummary[[#Headers],[Resource]]),0),"&gt;1"))</f>
        <v/>
      </c>
    </row>
    <row r="16" customFormat="false" ht="15" hidden="false" customHeight="false" outlineLevel="0" collapsed="false">
      <c r="B16" s="24" t="str">
        <f aca="false">IFERROR(INDEX(res_Name,ROW()-ROW(ResourceSummary[[#Headers],[Resource]]))&amp;"","")</f>
        <v/>
      </c>
      <c r="C16" s="46" t="str">
        <f aca="false">IF(ResourceSummary[[#This Row],[Resource]]="","",INDEX(ResourceTable[Max Units],ROW()-ROW(ResourceSummary[[#Headers],[Resource]])))</f>
        <v/>
      </c>
      <c r="D16" s="49" t="str">
        <f aca="false">IF(ResourceSummary[[#This Row],[Resource]]="","",INDEX(ResourceTable[Tasks],ROW()-ROW(ResourceSummary[[#Headers],[Resource]])))</f>
        <v/>
      </c>
      <c r="E16" s="51" t="str">
        <f aca="false">IF(ResourceSummary[[#This Row],[Resource]]="","",INDEX(ResourceTable[Work],ROW()-ROW(ResourceSummary[[#Headers],[Resource]])))</f>
        <v/>
      </c>
      <c r="F16" s="51" t="str">
        <f aca="false">IF(ResourceSummary[[#This Row],[Resource]]="","",SUMIFS(tsk_LeafWorkDone,tsk_Resource,ResourceSummary[[#This Row],[Resource]]))</f>
        <v/>
      </c>
      <c r="G16" s="51" t="str">
        <f aca="false">IF(ResourceSummary[[#This Row],[Resource]]="","",ResourceSummary[[#This Row],[Work]]-ResourceSummary[[#This Row],[Work Done]])</f>
        <v/>
      </c>
      <c r="H16" s="51" t="str">
        <f aca="false">IF(ResourceSummary[[#This Row],[Resource]]="","",INDEX(ResourceTable[Cost],ROW()-ROW(ResourceSummary[[#Headers],[Resource]])))</f>
        <v/>
      </c>
      <c r="I16" s="51" t="str">
        <f aca="false">IF(ResourceSummary[[#This Row],[Resource]]="","",INDEX(ResourceTable[Actual Cost],ROW()-ROW(ResourceSummary[[#Headers],[Resource]])))</f>
        <v/>
      </c>
      <c r="J16" s="49" t="str">
        <f aca="false">IF(ResourceSummary[[#This Row],[Resource]]="","",COUNTIFS(tsk_Resource,ResourceSummary[[#This Row],[Resource]],tsk_LateKey,"&gt;0"))</f>
        <v/>
      </c>
      <c r="K16" s="49" t="str">
        <f aca="false">IF(ResourceSummary[[#This Row],[Resource]]="","",COUNTIFS(tsk_Resource,ResourceSummary[[#This Row],[Resource]],tsk_Critical,"Yes",tsk_IsLeaf,1))</f>
        <v/>
      </c>
      <c r="L16" s="47" t="str">
        <f aca="false">IF(ResourceSummary[[#This Row],[Resource]]="","",MAX(INDEX(rw_Load,ROW()-ROW(ResourceSummary[[#Headers],[Resource]]),0)))</f>
        <v/>
      </c>
      <c r="M16" s="46" t="str">
        <f aca="false">IF(ResourceSummary[[#This Row],[Resource]]="","",MAX(INDEX(rw_Util,ROW()-ROW(ResourceSummary[[#Headers],[Resource]]),0)))</f>
        <v/>
      </c>
      <c r="N16" s="49" t="str">
        <f aca="false">IF(ResourceSummary[[#This Row],[Resource]]="","",COUNTIF(INDEX(rw_Util,ROW()-ROW(ResourceSummary[[#Headers],[Resource]]),0),"&gt;1"))</f>
        <v/>
      </c>
    </row>
    <row r="17" customFormat="false" ht="15" hidden="false" customHeight="false" outlineLevel="0" collapsed="false">
      <c r="B17" s="24" t="str">
        <f aca="false">IFERROR(INDEX(res_Name,ROW()-ROW(ResourceSummary[[#Headers],[Resource]]))&amp;"","")</f>
        <v/>
      </c>
      <c r="C17" s="46" t="str">
        <f aca="false">IF(ResourceSummary[[#This Row],[Resource]]="","",INDEX(ResourceTable[Max Units],ROW()-ROW(ResourceSummary[[#Headers],[Resource]])))</f>
        <v/>
      </c>
      <c r="D17" s="49" t="str">
        <f aca="false">IF(ResourceSummary[[#This Row],[Resource]]="","",INDEX(ResourceTable[Tasks],ROW()-ROW(ResourceSummary[[#Headers],[Resource]])))</f>
        <v/>
      </c>
      <c r="E17" s="51" t="str">
        <f aca="false">IF(ResourceSummary[[#This Row],[Resource]]="","",INDEX(ResourceTable[Work],ROW()-ROW(ResourceSummary[[#Headers],[Resource]])))</f>
        <v/>
      </c>
      <c r="F17" s="51" t="str">
        <f aca="false">IF(ResourceSummary[[#This Row],[Resource]]="","",SUMIFS(tsk_LeafWorkDone,tsk_Resource,ResourceSummary[[#This Row],[Resource]]))</f>
        <v/>
      </c>
      <c r="G17" s="51" t="str">
        <f aca="false">IF(ResourceSummary[[#This Row],[Resource]]="","",ResourceSummary[[#This Row],[Work]]-ResourceSummary[[#This Row],[Work Done]])</f>
        <v/>
      </c>
      <c r="H17" s="51" t="str">
        <f aca="false">IF(ResourceSummary[[#This Row],[Resource]]="","",INDEX(ResourceTable[Cost],ROW()-ROW(ResourceSummary[[#Headers],[Resource]])))</f>
        <v/>
      </c>
      <c r="I17" s="51" t="str">
        <f aca="false">IF(ResourceSummary[[#This Row],[Resource]]="","",INDEX(ResourceTable[Actual Cost],ROW()-ROW(ResourceSummary[[#Headers],[Resource]])))</f>
        <v/>
      </c>
      <c r="J17" s="49" t="str">
        <f aca="false">IF(ResourceSummary[[#This Row],[Resource]]="","",COUNTIFS(tsk_Resource,ResourceSummary[[#This Row],[Resource]],tsk_LateKey,"&gt;0"))</f>
        <v/>
      </c>
      <c r="K17" s="49" t="str">
        <f aca="false">IF(ResourceSummary[[#This Row],[Resource]]="","",COUNTIFS(tsk_Resource,ResourceSummary[[#This Row],[Resource]],tsk_Critical,"Yes",tsk_IsLeaf,1))</f>
        <v/>
      </c>
      <c r="L17" s="47" t="str">
        <f aca="false">IF(ResourceSummary[[#This Row],[Resource]]="","",MAX(INDEX(rw_Load,ROW()-ROW(ResourceSummary[[#Headers],[Resource]]),0)))</f>
        <v/>
      </c>
      <c r="M17" s="46" t="str">
        <f aca="false">IF(ResourceSummary[[#This Row],[Resource]]="","",MAX(INDEX(rw_Util,ROW()-ROW(ResourceSummary[[#Headers],[Resource]]),0)))</f>
        <v/>
      </c>
      <c r="N17" s="49" t="str">
        <f aca="false">IF(ResourceSummary[[#This Row],[Resource]]="","",COUNTIF(INDEX(rw_Util,ROW()-ROW(ResourceSummary[[#Headers],[Resource]]),0),"&gt;1"))</f>
        <v/>
      </c>
    </row>
    <row r="18" customFormat="false" ht="15" hidden="false" customHeight="false" outlineLevel="0" collapsed="false">
      <c r="B18" s="24" t="str">
        <f aca="false">IFERROR(INDEX(res_Name,ROW()-ROW(ResourceSummary[[#Headers],[Resource]]))&amp;"","")</f>
        <v/>
      </c>
      <c r="C18" s="46" t="str">
        <f aca="false">IF(ResourceSummary[[#This Row],[Resource]]="","",INDEX(ResourceTable[Max Units],ROW()-ROW(ResourceSummary[[#Headers],[Resource]])))</f>
        <v/>
      </c>
      <c r="D18" s="49" t="str">
        <f aca="false">IF(ResourceSummary[[#This Row],[Resource]]="","",INDEX(ResourceTable[Tasks],ROW()-ROW(ResourceSummary[[#Headers],[Resource]])))</f>
        <v/>
      </c>
      <c r="E18" s="51" t="str">
        <f aca="false">IF(ResourceSummary[[#This Row],[Resource]]="","",INDEX(ResourceTable[Work],ROW()-ROW(ResourceSummary[[#Headers],[Resource]])))</f>
        <v/>
      </c>
      <c r="F18" s="51" t="str">
        <f aca="false">IF(ResourceSummary[[#This Row],[Resource]]="","",SUMIFS(tsk_LeafWorkDone,tsk_Resource,ResourceSummary[[#This Row],[Resource]]))</f>
        <v/>
      </c>
      <c r="G18" s="51" t="str">
        <f aca="false">IF(ResourceSummary[[#This Row],[Resource]]="","",ResourceSummary[[#This Row],[Work]]-ResourceSummary[[#This Row],[Work Done]])</f>
        <v/>
      </c>
      <c r="H18" s="51" t="str">
        <f aca="false">IF(ResourceSummary[[#This Row],[Resource]]="","",INDEX(ResourceTable[Cost],ROW()-ROW(ResourceSummary[[#Headers],[Resource]])))</f>
        <v/>
      </c>
      <c r="I18" s="51" t="str">
        <f aca="false">IF(ResourceSummary[[#This Row],[Resource]]="","",INDEX(ResourceTable[Actual Cost],ROW()-ROW(ResourceSummary[[#Headers],[Resource]])))</f>
        <v/>
      </c>
      <c r="J18" s="49" t="str">
        <f aca="false">IF(ResourceSummary[[#This Row],[Resource]]="","",COUNTIFS(tsk_Resource,ResourceSummary[[#This Row],[Resource]],tsk_LateKey,"&gt;0"))</f>
        <v/>
      </c>
      <c r="K18" s="49" t="str">
        <f aca="false">IF(ResourceSummary[[#This Row],[Resource]]="","",COUNTIFS(tsk_Resource,ResourceSummary[[#This Row],[Resource]],tsk_Critical,"Yes",tsk_IsLeaf,1))</f>
        <v/>
      </c>
      <c r="L18" s="47" t="str">
        <f aca="false">IF(ResourceSummary[[#This Row],[Resource]]="","",MAX(INDEX(rw_Load,ROW()-ROW(ResourceSummary[[#Headers],[Resource]]),0)))</f>
        <v/>
      </c>
      <c r="M18" s="46" t="str">
        <f aca="false">IF(ResourceSummary[[#This Row],[Resource]]="","",MAX(INDEX(rw_Util,ROW()-ROW(ResourceSummary[[#Headers],[Resource]]),0)))</f>
        <v/>
      </c>
      <c r="N18" s="49" t="str">
        <f aca="false">IF(ResourceSummary[[#This Row],[Resource]]="","",COUNTIF(INDEX(rw_Util,ROW()-ROW(ResourceSummary[[#Headers],[Resource]]),0),"&gt;1"))</f>
        <v/>
      </c>
    </row>
    <row r="19" customFormat="false" ht="15" hidden="false" customHeight="false" outlineLevel="0" collapsed="false">
      <c r="B19" s="24" t="str">
        <f aca="false">IFERROR(INDEX(res_Name,ROW()-ROW(ResourceSummary[[#Headers],[Resource]]))&amp;"","")</f>
        <v/>
      </c>
      <c r="C19" s="46" t="str">
        <f aca="false">IF(ResourceSummary[[#This Row],[Resource]]="","",INDEX(ResourceTable[Max Units],ROW()-ROW(ResourceSummary[[#Headers],[Resource]])))</f>
        <v/>
      </c>
      <c r="D19" s="49" t="str">
        <f aca="false">IF(ResourceSummary[[#This Row],[Resource]]="","",INDEX(ResourceTable[Tasks],ROW()-ROW(ResourceSummary[[#Headers],[Resource]])))</f>
        <v/>
      </c>
      <c r="E19" s="51" t="str">
        <f aca="false">IF(ResourceSummary[[#This Row],[Resource]]="","",INDEX(ResourceTable[Work],ROW()-ROW(ResourceSummary[[#Headers],[Resource]])))</f>
        <v/>
      </c>
      <c r="F19" s="51" t="str">
        <f aca="false">IF(ResourceSummary[[#This Row],[Resource]]="","",SUMIFS(tsk_LeafWorkDone,tsk_Resource,ResourceSummary[[#This Row],[Resource]]))</f>
        <v/>
      </c>
      <c r="G19" s="51" t="str">
        <f aca="false">IF(ResourceSummary[[#This Row],[Resource]]="","",ResourceSummary[[#This Row],[Work]]-ResourceSummary[[#This Row],[Work Done]])</f>
        <v/>
      </c>
      <c r="H19" s="51" t="str">
        <f aca="false">IF(ResourceSummary[[#This Row],[Resource]]="","",INDEX(ResourceTable[Cost],ROW()-ROW(ResourceSummary[[#Headers],[Resource]])))</f>
        <v/>
      </c>
      <c r="I19" s="51" t="str">
        <f aca="false">IF(ResourceSummary[[#This Row],[Resource]]="","",INDEX(ResourceTable[Actual Cost],ROW()-ROW(ResourceSummary[[#Headers],[Resource]])))</f>
        <v/>
      </c>
      <c r="J19" s="49" t="str">
        <f aca="false">IF(ResourceSummary[[#This Row],[Resource]]="","",COUNTIFS(tsk_Resource,ResourceSummary[[#This Row],[Resource]],tsk_LateKey,"&gt;0"))</f>
        <v/>
      </c>
      <c r="K19" s="49" t="str">
        <f aca="false">IF(ResourceSummary[[#This Row],[Resource]]="","",COUNTIFS(tsk_Resource,ResourceSummary[[#This Row],[Resource]],tsk_Critical,"Yes",tsk_IsLeaf,1))</f>
        <v/>
      </c>
      <c r="L19" s="47" t="str">
        <f aca="false">IF(ResourceSummary[[#This Row],[Resource]]="","",MAX(INDEX(rw_Load,ROW()-ROW(ResourceSummary[[#Headers],[Resource]]),0)))</f>
        <v/>
      </c>
      <c r="M19" s="46" t="str">
        <f aca="false">IF(ResourceSummary[[#This Row],[Resource]]="","",MAX(INDEX(rw_Util,ROW()-ROW(ResourceSummary[[#Headers],[Resource]]),0)))</f>
        <v/>
      </c>
      <c r="N19" s="49" t="str">
        <f aca="false">IF(ResourceSummary[[#This Row],[Resource]]="","",COUNTIF(INDEX(rw_Util,ROW()-ROW(ResourceSummary[[#Headers],[Resource]]),0),"&gt;1"))</f>
        <v/>
      </c>
    </row>
    <row r="20" customFormat="false" ht="15" hidden="false" customHeight="false" outlineLevel="0" collapsed="false">
      <c r="B20" s="24" t="str">
        <f aca="false">IFERROR(INDEX(res_Name,ROW()-ROW(ResourceSummary[[#Headers],[Resource]]))&amp;"","")</f>
        <v/>
      </c>
      <c r="C20" s="46" t="str">
        <f aca="false">IF(ResourceSummary[[#This Row],[Resource]]="","",INDEX(ResourceTable[Max Units],ROW()-ROW(ResourceSummary[[#Headers],[Resource]])))</f>
        <v/>
      </c>
      <c r="D20" s="49" t="str">
        <f aca="false">IF(ResourceSummary[[#This Row],[Resource]]="","",INDEX(ResourceTable[Tasks],ROW()-ROW(ResourceSummary[[#Headers],[Resource]])))</f>
        <v/>
      </c>
      <c r="E20" s="51" t="str">
        <f aca="false">IF(ResourceSummary[[#This Row],[Resource]]="","",INDEX(ResourceTable[Work],ROW()-ROW(ResourceSummary[[#Headers],[Resource]])))</f>
        <v/>
      </c>
      <c r="F20" s="51" t="str">
        <f aca="false">IF(ResourceSummary[[#This Row],[Resource]]="","",SUMIFS(tsk_LeafWorkDone,tsk_Resource,ResourceSummary[[#This Row],[Resource]]))</f>
        <v/>
      </c>
      <c r="G20" s="51" t="str">
        <f aca="false">IF(ResourceSummary[[#This Row],[Resource]]="","",ResourceSummary[[#This Row],[Work]]-ResourceSummary[[#This Row],[Work Done]])</f>
        <v/>
      </c>
      <c r="H20" s="51" t="str">
        <f aca="false">IF(ResourceSummary[[#This Row],[Resource]]="","",INDEX(ResourceTable[Cost],ROW()-ROW(ResourceSummary[[#Headers],[Resource]])))</f>
        <v/>
      </c>
      <c r="I20" s="51" t="str">
        <f aca="false">IF(ResourceSummary[[#This Row],[Resource]]="","",INDEX(ResourceTable[Actual Cost],ROW()-ROW(ResourceSummary[[#Headers],[Resource]])))</f>
        <v/>
      </c>
      <c r="J20" s="49" t="str">
        <f aca="false">IF(ResourceSummary[[#This Row],[Resource]]="","",COUNTIFS(tsk_Resource,ResourceSummary[[#This Row],[Resource]],tsk_LateKey,"&gt;0"))</f>
        <v/>
      </c>
      <c r="K20" s="49" t="str">
        <f aca="false">IF(ResourceSummary[[#This Row],[Resource]]="","",COUNTIFS(tsk_Resource,ResourceSummary[[#This Row],[Resource]],tsk_Critical,"Yes",tsk_IsLeaf,1))</f>
        <v/>
      </c>
      <c r="L20" s="47" t="str">
        <f aca="false">IF(ResourceSummary[[#This Row],[Resource]]="","",MAX(INDEX(rw_Load,ROW()-ROW(ResourceSummary[[#Headers],[Resource]]),0)))</f>
        <v/>
      </c>
      <c r="M20" s="46" t="str">
        <f aca="false">IF(ResourceSummary[[#This Row],[Resource]]="","",MAX(INDEX(rw_Util,ROW()-ROW(ResourceSummary[[#Headers],[Resource]]),0)))</f>
        <v/>
      </c>
      <c r="N20" s="49" t="str">
        <f aca="false">IF(ResourceSummary[[#This Row],[Resource]]="","",COUNTIF(INDEX(rw_Util,ROW()-ROW(ResourceSummary[[#Headers],[Resource]]),0),"&gt;1"))</f>
        <v/>
      </c>
    </row>
    <row r="21" customFormat="false" ht="15" hidden="false" customHeight="false" outlineLevel="0" collapsed="false">
      <c r="B21" s="24" t="str">
        <f aca="false">IFERROR(INDEX(res_Name,ROW()-ROW(ResourceSummary[[#Headers],[Resource]]))&amp;"","")</f>
        <v/>
      </c>
      <c r="C21" s="46" t="str">
        <f aca="false">IF(ResourceSummary[[#This Row],[Resource]]="","",INDEX(ResourceTable[Max Units],ROW()-ROW(ResourceSummary[[#Headers],[Resource]])))</f>
        <v/>
      </c>
      <c r="D21" s="49" t="str">
        <f aca="false">IF(ResourceSummary[[#This Row],[Resource]]="","",INDEX(ResourceTable[Tasks],ROW()-ROW(ResourceSummary[[#Headers],[Resource]])))</f>
        <v/>
      </c>
      <c r="E21" s="51" t="str">
        <f aca="false">IF(ResourceSummary[[#This Row],[Resource]]="","",INDEX(ResourceTable[Work],ROW()-ROW(ResourceSummary[[#Headers],[Resource]])))</f>
        <v/>
      </c>
      <c r="F21" s="51" t="str">
        <f aca="false">IF(ResourceSummary[[#This Row],[Resource]]="","",SUMIFS(tsk_LeafWorkDone,tsk_Resource,ResourceSummary[[#This Row],[Resource]]))</f>
        <v/>
      </c>
      <c r="G21" s="51" t="str">
        <f aca="false">IF(ResourceSummary[[#This Row],[Resource]]="","",ResourceSummary[[#This Row],[Work]]-ResourceSummary[[#This Row],[Work Done]])</f>
        <v/>
      </c>
      <c r="H21" s="51" t="str">
        <f aca="false">IF(ResourceSummary[[#This Row],[Resource]]="","",INDEX(ResourceTable[Cost],ROW()-ROW(ResourceSummary[[#Headers],[Resource]])))</f>
        <v/>
      </c>
      <c r="I21" s="51" t="str">
        <f aca="false">IF(ResourceSummary[[#This Row],[Resource]]="","",INDEX(ResourceTable[Actual Cost],ROW()-ROW(ResourceSummary[[#Headers],[Resource]])))</f>
        <v/>
      </c>
      <c r="J21" s="49" t="str">
        <f aca="false">IF(ResourceSummary[[#This Row],[Resource]]="","",COUNTIFS(tsk_Resource,ResourceSummary[[#This Row],[Resource]],tsk_LateKey,"&gt;0"))</f>
        <v/>
      </c>
      <c r="K21" s="49" t="str">
        <f aca="false">IF(ResourceSummary[[#This Row],[Resource]]="","",COUNTIFS(tsk_Resource,ResourceSummary[[#This Row],[Resource]],tsk_Critical,"Yes",tsk_IsLeaf,1))</f>
        <v/>
      </c>
      <c r="L21" s="47" t="str">
        <f aca="false">IF(ResourceSummary[[#This Row],[Resource]]="","",MAX(INDEX(rw_Load,ROW()-ROW(ResourceSummary[[#Headers],[Resource]]),0)))</f>
        <v/>
      </c>
      <c r="M21" s="46" t="str">
        <f aca="false">IF(ResourceSummary[[#This Row],[Resource]]="","",MAX(INDEX(rw_Util,ROW()-ROW(ResourceSummary[[#Headers],[Resource]]),0)))</f>
        <v/>
      </c>
      <c r="N21" s="49" t="str">
        <f aca="false">IF(ResourceSummary[[#This Row],[Resource]]="","",COUNTIF(INDEX(rw_Util,ROW()-ROW(ResourceSummary[[#Headers],[Resource]]),0),"&gt;1"))</f>
        <v/>
      </c>
    </row>
    <row r="22" customFormat="false" ht="15" hidden="false" customHeight="false" outlineLevel="0" collapsed="false">
      <c r="B22" s="24" t="str">
        <f aca="false">IFERROR(INDEX(res_Name,ROW()-ROW(ResourceSummary[[#Headers],[Resource]]))&amp;"","")</f>
        <v/>
      </c>
      <c r="C22" s="46" t="str">
        <f aca="false">IF(ResourceSummary[[#This Row],[Resource]]="","",INDEX(ResourceTable[Max Units],ROW()-ROW(ResourceSummary[[#Headers],[Resource]])))</f>
        <v/>
      </c>
      <c r="D22" s="49" t="str">
        <f aca="false">IF(ResourceSummary[[#This Row],[Resource]]="","",INDEX(ResourceTable[Tasks],ROW()-ROW(ResourceSummary[[#Headers],[Resource]])))</f>
        <v/>
      </c>
      <c r="E22" s="51" t="str">
        <f aca="false">IF(ResourceSummary[[#This Row],[Resource]]="","",INDEX(ResourceTable[Work],ROW()-ROW(ResourceSummary[[#Headers],[Resource]])))</f>
        <v/>
      </c>
      <c r="F22" s="51" t="str">
        <f aca="false">IF(ResourceSummary[[#This Row],[Resource]]="","",SUMIFS(tsk_LeafWorkDone,tsk_Resource,ResourceSummary[[#This Row],[Resource]]))</f>
        <v/>
      </c>
      <c r="G22" s="51" t="str">
        <f aca="false">IF(ResourceSummary[[#This Row],[Resource]]="","",ResourceSummary[[#This Row],[Work]]-ResourceSummary[[#This Row],[Work Done]])</f>
        <v/>
      </c>
      <c r="H22" s="51" t="str">
        <f aca="false">IF(ResourceSummary[[#This Row],[Resource]]="","",INDEX(ResourceTable[Cost],ROW()-ROW(ResourceSummary[[#Headers],[Resource]])))</f>
        <v/>
      </c>
      <c r="I22" s="51" t="str">
        <f aca="false">IF(ResourceSummary[[#This Row],[Resource]]="","",INDEX(ResourceTable[Actual Cost],ROW()-ROW(ResourceSummary[[#Headers],[Resource]])))</f>
        <v/>
      </c>
      <c r="J22" s="49" t="str">
        <f aca="false">IF(ResourceSummary[[#This Row],[Resource]]="","",COUNTIFS(tsk_Resource,ResourceSummary[[#This Row],[Resource]],tsk_LateKey,"&gt;0"))</f>
        <v/>
      </c>
      <c r="K22" s="49" t="str">
        <f aca="false">IF(ResourceSummary[[#This Row],[Resource]]="","",COUNTIFS(tsk_Resource,ResourceSummary[[#This Row],[Resource]],tsk_Critical,"Yes",tsk_IsLeaf,1))</f>
        <v/>
      </c>
      <c r="L22" s="47" t="str">
        <f aca="false">IF(ResourceSummary[[#This Row],[Resource]]="","",MAX(INDEX(rw_Load,ROW()-ROW(ResourceSummary[[#Headers],[Resource]]),0)))</f>
        <v/>
      </c>
      <c r="M22" s="46" t="str">
        <f aca="false">IF(ResourceSummary[[#This Row],[Resource]]="","",MAX(INDEX(rw_Util,ROW()-ROW(ResourceSummary[[#Headers],[Resource]]),0)))</f>
        <v/>
      </c>
      <c r="N22" s="49" t="str">
        <f aca="false">IF(ResourceSummary[[#This Row],[Resource]]="","",COUNTIF(INDEX(rw_Util,ROW()-ROW(ResourceSummary[[#Headers],[Resource]]),0),"&gt;1"))</f>
        <v/>
      </c>
    </row>
    <row r="23" customFormat="false" ht="15" hidden="false" customHeight="false" outlineLevel="0" collapsed="false">
      <c r="B23" s="24" t="str">
        <f aca="false">IFERROR(INDEX(res_Name,ROW()-ROW(ResourceSummary[[#Headers],[Resource]]))&amp;"","")</f>
        <v/>
      </c>
      <c r="C23" s="46" t="str">
        <f aca="false">IF(ResourceSummary[[#This Row],[Resource]]="","",INDEX(ResourceTable[Max Units],ROW()-ROW(ResourceSummary[[#Headers],[Resource]])))</f>
        <v/>
      </c>
      <c r="D23" s="49" t="str">
        <f aca="false">IF(ResourceSummary[[#This Row],[Resource]]="","",INDEX(ResourceTable[Tasks],ROW()-ROW(ResourceSummary[[#Headers],[Resource]])))</f>
        <v/>
      </c>
      <c r="E23" s="51" t="str">
        <f aca="false">IF(ResourceSummary[[#This Row],[Resource]]="","",INDEX(ResourceTable[Work],ROW()-ROW(ResourceSummary[[#Headers],[Resource]])))</f>
        <v/>
      </c>
      <c r="F23" s="51" t="str">
        <f aca="false">IF(ResourceSummary[[#This Row],[Resource]]="","",SUMIFS(tsk_LeafWorkDone,tsk_Resource,ResourceSummary[[#This Row],[Resource]]))</f>
        <v/>
      </c>
      <c r="G23" s="51" t="str">
        <f aca="false">IF(ResourceSummary[[#This Row],[Resource]]="","",ResourceSummary[[#This Row],[Work]]-ResourceSummary[[#This Row],[Work Done]])</f>
        <v/>
      </c>
      <c r="H23" s="51" t="str">
        <f aca="false">IF(ResourceSummary[[#This Row],[Resource]]="","",INDEX(ResourceTable[Cost],ROW()-ROW(ResourceSummary[[#Headers],[Resource]])))</f>
        <v/>
      </c>
      <c r="I23" s="51" t="str">
        <f aca="false">IF(ResourceSummary[[#This Row],[Resource]]="","",INDEX(ResourceTable[Actual Cost],ROW()-ROW(ResourceSummary[[#Headers],[Resource]])))</f>
        <v/>
      </c>
      <c r="J23" s="49" t="str">
        <f aca="false">IF(ResourceSummary[[#This Row],[Resource]]="","",COUNTIFS(tsk_Resource,ResourceSummary[[#This Row],[Resource]],tsk_LateKey,"&gt;0"))</f>
        <v/>
      </c>
      <c r="K23" s="49" t="str">
        <f aca="false">IF(ResourceSummary[[#This Row],[Resource]]="","",COUNTIFS(tsk_Resource,ResourceSummary[[#This Row],[Resource]],tsk_Critical,"Yes",tsk_IsLeaf,1))</f>
        <v/>
      </c>
      <c r="L23" s="47" t="str">
        <f aca="false">IF(ResourceSummary[[#This Row],[Resource]]="","",MAX(INDEX(rw_Load,ROW()-ROW(ResourceSummary[[#Headers],[Resource]]),0)))</f>
        <v/>
      </c>
      <c r="M23" s="46" t="str">
        <f aca="false">IF(ResourceSummary[[#This Row],[Resource]]="","",MAX(INDEX(rw_Util,ROW()-ROW(ResourceSummary[[#Headers],[Resource]]),0)))</f>
        <v/>
      </c>
      <c r="N23" s="49" t="str">
        <f aca="false">IF(ResourceSummary[[#This Row],[Resource]]="","",COUNTIF(INDEX(rw_Util,ROW()-ROW(ResourceSummary[[#Headers],[Resource]]),0),"&gt;1"))</f>
        <v/>
      </c>
    </row>
    <row r="24" customFormat="false" ht="15" hidden="false" customHeight="false" outlineLevel="0" collapsed="false">
      <c r="B24" s="24" t="str">
        <f aca="false">IFERROR(INDEX(res_Name,ROW()-ROW(ResourceSummary[[#Headers],[Resource]]))&amp;"","")</f>
        <v/>
      </c>
      <c r="C24" s="46" t="str">
        <f aca="false">IF(ResourceSummary[[#This Row],[Resource]]="","",INDEX(ResourceTable[Max Units],ROW()-ROW(ResourceSummary[[#Headers],[Resource]])))</f>
        <v/>
      </c>
      <c r="D24" s="49" t="str">
        <f aca="false">IF(ResourceSummary[[#This Row],[Resource]]="","",INDEX(ResourceTable[Tasks],ROW()-ROW(ResourceSummary[[#Headers],[Resource]])))</f>
        <v/>
      </c>
      <c r="E24" s="51" t="str">
        <f aca="false">IF(ResourceSummary[[#This Row],[Resource]]="","",INDEX(ResourceTable[Work],ROW()-ROW(ResourceSummary[[#Headers],[Resource]])))</f>
        <v/>
      </c>
      <c r="F24" s="51" t="str">
        <f aca="false">IF(ResourceSummary[[#This Row],[Resource]]="","",SUMIFS(tsk_LeafWorkDone,tsk_Resource,ResourceSummary[[#This Row],[Resource]]))</f>
        <v/>
      </c>
      <c r="G24" s="51" t="str">
        <f aca="false">IF(ResourceSummary[[#This Row],[Resource]]="","",ResourceSummary[[#This Row],[Work]]-ResourceSummary[[#This Row],[Work Done]])</f>
        <v/>
      </c>
      <c r="H24" s="51" t="str">
        <f aca="false">IF(ResourceSummary[[#This Row],[Resource]]="","",INDEX(ResourceTable[Cost],ROW()-ROW(ResourceSummary[[#Headers],[Resource]])))</f>
        <v/>
      </c>
      <c r="I24" s="51" t="str">
        <f aca="false">IF(ResourceSummary[[#This Row],[Resource]]="","",INDEX(ResourceTable[Actual Cost],ROW()-ROW(ResourceSummary[[#Headers],[Resource]])))</f>
        <v/>
      </c>
      <c r="J24" s="49" t="str">
        <f aca="false">IF(ResourceSummary[[#This Row],[Resource]]="","",COUNTIFS(tsk_Resource,ResourceSummary[[#This Row],[Resource]],tsk_LateKey,"&gt;0"))</f>
        <v/>
      </c>
      <c r="K24" s="49" t="str">
        <f aca="false">IF(ResourceSummary[[#This Row],[Resource]]="","",COUNTIFS(tsk_Resource,ResourceSummary[[#This Row],[Resource]],tsk_Critical,"Yes",tsk_IsLeaf,1))</f>
        <v/>
      </c>
      <c r="L24" s="47" t="str">
        <f aca="false">IF(ResourceSummary[[#This Row],[Resource]]="","",MAX(INDEX(rw_Load,ROW()-ROW(ResourceSummary[[#Headers],[Resource]]),0)))</f>
        <v/>
      </c>
      <c r="M24" s="46" t="str">
        <f aca="false">IF(ResourceSummary[[#This Row],[Resource]]="","",MAX(INDEX(rw_Util,ROW()-ROW(ResourceSummary[[#Headers],[Resource]]),0)))</f>
        <v/>
      </c>
      <c r="N24" s="49" t="str">
        <f aca="false">IF(ResourceSummary[[#This Row],[Resource]]="","",COUNTIF(INDEX(rw_Util,ROW()-ROW(ResourceSummary[[#Headers],[Resource]]),0),"&gt;1"))</f>
        <v/>
      </c>
    </row>
    <row r="25" customFormat="false" ht="15" hidden="false" customHeight="false" outlineLevel="0" collapsed="false">
      <c r="B25" s="24" t="str">
        <f aca="false">IFERROR(INDEX(res_Name,ROW()-ROW(ResourceSummary[[#Headers],[Resource]]))&amp;"","")</f>
        <v/>
      </c>
      <c r="C25" s="46" t="str">
        <f aca="false">IF(ResourceSummary[[#This Row],[Resource]]="","",INDEX(ResourceTable[Max Units],ROW()-ROW(ResourceSummary[[#Headers],[Resource]])))</f>
        <v/>
      </c>
      <c r="D25" s="49" t="str">
        <f aca="false">IF(ResourceSummary[[#This Row],[Resource]]="","",INDEX(ResourceTable[Tasks],ROW()-ROW(ResourceSummary[[#Headers],[Resource]])))</f>
        <v/>
      </c>
      <c r="E25" s="51" t="str">
        <f aca="false">IF(ResourceSummary[[#This Row],[Resource]]="","",INDEX(ResourceTable[Work],ROW()-ROW(ResourceSummary[[#Headers],[Resource]])))</f>
        <v/>
      </c>
      <c r="F25" s="51" t="str">
        <f aca="false">IF(ResourceSummary[[#This Row],[Resource]]="","",SUMIFS(tsk_LeafWorkDone,tsk_Resource,ResourceSummary[[#This Row],[Resource]]))</f>
        <v/>
      </c>
      <c r="G25" s="51" t="str">
        <f aca="false">IF(ResourceSummary[[#This Row],[Resource]]="","",ResourceSummary[[#This Row],[Work]]-ResourceSummary[[#This Row],[Work Done]])</f>
        <v/>
      </c>
      <c r="H25" s="51" t="str">
        <f aca="false">IF(ResourceSummary[[#This Row],[Resource]]="","",INDEX(ResourceTable[Cost],ROW()-ROW(ResourceSummary[[#Headers],[Resource]])))</f>
        <v/>
      </c>
      <c r="I25" s="51" t="str">
        <f aca="false">IF(ResourceSummary[[#This Row],[Resource]]="","",INDEX(ResourceTable[Actual Cost],ROW()-ROW(ResourceSummary[[#Headers],[Resource]])))</f>
        <v/>
      </c>
      <c r="J25" s="49" t="str">
        <f aca="false">IF(ResourceSummary[[#This Row],[Resource]]="","",COUNTIFS(tsk_Resource,ResourceSummary[[#This Row],[Resource]],tsk_LateKey,"&gt;0"))</f>
        <v/>
      </c>
      <c r="K25" s="49" t="str">
        <f aca="false">IF(ResourceSummary[[#This Row],[Resource]]="","",COUNTIFS(tsk_Resource,ResourceSummary[[#This Row],[Resource]],tsk_Critical,"Yes",tsk_IsLeaf,1))</f>
        <v/>
      </c>
      <c r="L25" s="47" t="str">
        <f aca="false">IF(ResourceSummary[[#This Row],[Resource]]="","",MAX(INDEX(rw_Load,ROW()-ROW(ResourceSummary[[#Headers],[Resource]]),0)))</f>
        <v/>
      </c>
      <c r="M25" s="46" t="str">
        <f aca="false">IF(ResourceSummary[[#This Row],[Resource]]="","",MAX(INDEX(rw_Util,ROW()-ROW(ResourceSummary[[#Headers],[Resource]]),0)))</f>
        <v/>
      </c>
      <c r="N25" s="49" t="str">
        <f aca="false">IF(ResourceSummary[[#This Row],[Resource]]="","",COUNTIF(INDEX(rw_Util,ROW()-ROW(ResourceSummary[[#Headers],[Resource]]),0),"&gt;1"))</f>
        <v/>
      </c>
    </row>
    <row r="26" customFormat="false" ht="15" hidden="false" customHeight="false" outlineLevel="0" collapsed="false">
      <c r="B26" s="24" t="str">
        <f aca="false">IFERROR(INDEX(res_Name,ROW()-ROW(ResourceSummary[[#Headers],[Resource]]))&amp;"","")</f>
        <v/>
      </c>
      <c r="C26" s="46" t="str">
        <f aca="false">IF(ResourceSummary[[#This Row],[Resource]]="","",INDEX(ResourceTable[Max Units],ROW()-ROW(ResourceSummary[[#Headers],[Resource]])))</f>
        <v/>
      </c>
      <c r="D26" s="49" t="str">
        <f aca="false">IF(ResourceSummary[[#This Row],[Resource]]="","",INDEX(ResourceTable[Tasks],ROW()-ROW(ResourceSummary[[#Headers],[Resource]])))</f>
        <v/>
      </c>
      <c r="E26" s="51" t="str">
        <f aca="false">IF(ResourceSummary[[#This Row],[Resource]]="","",INDEX(ResourceTable[Work],ROW()-ROW(ResourceSummary[[#Headers],[Resource]])))</f>
        <v/>
      </c>
      <c r="F26" s="51" t="str">
        <f aca="false">IF(ResourceSummary[[#This Row],[Resource]]="","",SUMIFS(tsk_LeafWorkDone,tsk_Resource,ResourceSummary[[#This Row],[Resource]]))</f>
        <v/>
      </c>
      <c r="G26" s="51" t="str">
        <f aca="false">IF(ResourceSummary[[#This Row],[Resource]]="","",ResourceSummary[[#This Row],[Work]]-ResourceSummary[[#This Row],[Work Done]])</f>
        <v/>
      </c>
      <c r="H26" s="51" t="str">
        <f aca="false">IF(ResourceSummary[[#This Row],[Resource]]="","",INDEX(ResourceTable[Cost],ROW()-ROW(ResourceSummary[[#Headers],[Resource]])))</f>
        <v/>
      </c>
      <c r="I26" s="51" t="str">
        <f aca="false">IF(ResourceSummary[[#This Row],[Resource]]="","",INDEX(ResourceTable[Actual Cost],ROW()-ROW(ResourceSummary[[#Headers],[Resource]])))</f>
        <v/>
      </c>
      <c r="J26" s="49" t="str">
        <f aca="false">IF(ResourceSummary[[#This Row],[Resource]]="","",COUNTIFS(tsk_Resource,ResourceSummary[[#This Row],[Resource]],tsk_LateKey,"&gt;0"))</f>
        <v/>
      </c>
      <c r="K26" s="49" t="str">
        <f aca="false">IF(ResourceSummary[[#This Row],[Resource]]="","",COUNTIFS(tsk_Resource,ResourceSummary[[#This Row],[Resource]],tsk_Critical,"Yes",tsk_IsLeaf,1))</f>
        <v/>
      </c>
      <c r="L26" s="47" t="str">
        <f aca="false">IF(ResourceSummary[[#This Row],[Resource]]="","",MAX(INDEX(rw_Load,ROW()-ROW(ResourceSummary[[#Headers],[Resource]]),0)))</f>
        <v/>
      </c>
      <c r="M26" s="46" t="str">
        <f aca="false">IF(ResourceSummary[[#This Row],[Resource]]="","",MAX(INDEX(rw_Util,ROW()-ROW(ResourceSummary[[#Headers],[Resource]]),0)))</f>
        <v/>
      </c>
      <c r="N26" s="49" t="str">
        <f aca="false">IF(ResourceSummary[[#This Row],[Resource]]="","",COUNTIF(INDEX(rw_Util,ROW()-ROW(ResourceSummary[[#Headers],[Resource]]),0),"&gt;1"))</f>
        <v/>
      </c>
    </row>
    <row r="27" customFormat="false" ht="15" hidden="false" customHeight="false" outlineLevel="0" collapsed="false">
      <c r="B27" s="24" t="str">
        <f aca="false">IFERROR(INDEX(res_Name,ROW()-ROW(ResourceSummary[[#Headers],[Resource]]))&amp;"","")</f>
        <v/>
      </c>
      <c r="C27" s="46" t="str">
        <f aca="false">IF(ResourceSummary[[#This Row],[Resource]]="","",INDEX(ResourceTable[Max Units],ROW()-ROW(ResourceSummary[[#Headers],[Resource]])))</f>
        <v/>
      </c>
      <c r="D27" s="49" t="str">
        <f aca="false">IF(ResourceSummary[[#This Row],[Resource]]="","",INDEX(ResourceTable[Tasks],ROW()-ROW(ResourceSummary[[#Headers],[Resource]])))</f>
        <v/>
      </c>
      <c r="E27" s="51" t="str">
        <f aca="false">IF(ResourceSummary[[#This Row],[Resource]]="","",INDEX(ResourceTable[Work],ROW()-ROW(ResourceSummary[[#Headers],[Resource]])))</f>
        <v/>
      </c>
      <c r="F27" s="51" t="str">
        <f aca="false">IF(ResourceSummary[[#This Row],[Resource]]="","",SUMIFS(tsk_LeafWorkDone,tsk_Resource,ResourceSummary[[#This Row],[Resource]]))</f>
        <v/>
      </c>
      <c r="G27" s="51" t="str">
        <f aca="false">IF(ResourceSummary[[#This Row],[Resource]]="","",ResourceSummary[[#This Row],[Work]]-ResourceSummary[[#This Row],[Work Done]])</f>
        <v/>
      </c>
      <c r="H27" s="51" t="str">
        <f aca="false">IF(ResourceSummary[[#This Row],[Resource]]="","",INDEX(ResourceTable[Cost],ROW()-ROW(ResourceSummary[[#Headers],[Resource]])))</f>
        <v/>
      </c>
      <c r="I27" s="51" t="str">
        <f aca="false">IF(ResourceSummary[[#This Row],[Resource]]="","",INDEX(ResourceTable[Actual Cost],ROW()-ROW(ResourceSummary[[#Headers],[Resource]])))</f>
        <v/>
      </c>
      <c r="J27" s="49" t="str">
        <f aca="false">IF(ResourceSummary[[#This Row],[Resource]]="","",COUNTIFS(tsk_Resource,ResourceSummary[[#This Row],[Resource]],tsk_LateKey,"&gt;0"))</f>
        <v/>
      </c>
      <c r="K27" s="49" t="str">
        <f aca="false">IF(ResourceSummary[[#This Row],[Resource]]="","",COUNTIFS(tsk_Resource,ResourceSummary[[#This Row],[Resource]],tsk_Critical,"Yes",tsk_IsLeaf,1))</f>
        <v/>
      </c>
      <c r="L27" s="47" t="str">
        <f aca="false">IF(ResourceSummary[[#This Row],[Resource]]="","",MAX(INDEX(rw_Load,ROW()-ROW(ResourceSummary[[#Headers],[Resource]]),0)))</f>
        <v/>
      </c>
      <c r="M27" s="46" t="str">
        <f aca="false">IF(ResourceSummary[[#This Row],[Resource]]="","",MAX(INDEX(rw_Util,ROW()-ROW(ResourceSummary[[#Headers],[Resource]]),0)))</f>
        <v/>
      </c>
      <c r="N27" s="49" t="str">
        <f aca="false">IF(ResourceSummary[[#This Row],[Resource]]="","",COUNTIF(INDEX(rw_Util,ROW()-ROW(ResourceSummary[[#Headers],[Resource]]),0),"&gt;1"))</f>
        <v/>
      </c>
    </row>
    <row r="28" customFormat="false" ht="15" hidden="false" customHeight="false" outlineLevel="0" collapsed="false">
      <c r="B28" s="24" t="str">
        <f aca="false">IFERROR(INDEX(res_Name,ROW()-ROW(ResourceSummary[[#Headers],[Resource]]))&amp;"","")</f>
        <v/>
      </c>
      <c r="C28" s="46" t="str">
        <f aca="false">IF(ResourceSummary[[#This Row],[Resource]]="","",INDEX(ResourceTable[Max Units],ROW()-ROW(ResourceSummary[[#Headers],[Resource]])))</f>
        <v/>
      </c>
      <c r="D28" s="49" t="str">
        <f aca="false">IF(ResourceSummary[[#This Row],[Resource]]="","",INDEX(ResourceTable[Tasks],ROW()-ROW(ResourceSummary[[#Headers],[Resource]])))</f>
        <v/>
      </c>
      <c r="E28" s="51" t="str">
        <f aca="false">IF(ResourceSummary[[#This Row],[Resource]]="","",INDEX(ResourceTable[Work],ROW()-ROW(ResourceSummary[[#Headers],[Resource]])))</f>
        <v/>
      </c>
      <c r="F28" s="51" t="str">
        <f aca="false">IF(ResourceSummary[[#This Row],[Resource]]="","",SUMIFS(tsk_LeafWorkDone,tsk_Resource,ResourceSummary[[#This Row],[Resource]]))</f>
        <v/>
      </c>
      <c r="G28" s="51" t="str">
        <f aca="false">IF(ResourceSummary[[#This Row],[Resource]]="","",ResourceSummary[[#This Row],[Work]]-ResourceSummary[[#This Row],[Work Done]])</f>
        <v/>
      </c>
      <c r="H28" s="51" t="str">
        <f aca="false">IF(ResourceSummary[[#This Row],[Resource]]="","",INDEX(ResourceTable[Cost],ROW()-ROW(ResourceSummary[[#Headers],[Resource]])))</f>
        <v/>
      </c>
      <c r="I28" s="51" t="str">
        <f aca="false">IF(ResourceSummary[[#This Row],[Resource]]="","",INDEX(ResourceTable[Actual Cost],ROW()-ROW(ResourceSummary[[#Headers],[Resource]])))</f>
        <v/>
      </c>
      <c r="J28" s="49" t="str">
        <f aca="false">IF(ResourceSummary[[#This Row],[Resource]]="","",COUNTIFS(tsk_Resource,ResourceSummary[[#This Row],[Resource]],tsk_LateKey,"&gt;0"))</f>
        <v/>
      </c>
      <c r="K28" s="49" t="str">
        <f aca="false">IF(ResourceSummary[[#This Row],[Resource]]="","",COUNTIFS(tsk_Resource,ResourceSummary[[#This Row],[Resource]],tsk_Critical,"Yes",tsk_IsLeaf,1))</f>
        <v/>
      </c>
      <c r="L28" s="47" t="str">
        <f aca="false">IF(ResourceSummary[[#This Row],[Resource]]="","",MAX(INDEX(rw_Load,ROW()-ROW(ResourceSummary[[#Headers],[Resource]]),0)))</f>
        <v/>
      </c>
      <c r="M28" s="46" t="str">
        <f aca="false">IF(ResourceSummary[[#This Row],[Resource]]="","",MAX(INDEX(rw_Util,ROW()-ROW(ResourceSummary[[#Headers],[Resource]]),0)))</f>
        <v/>
      </c>
      <c r="N28" s="49" t="str">
        <f aca="false">IF(ResourceSummary[[#This Row],[Resource]]="","",COUNTIF(INDEX(rw_Util,ROW()-ROW(ResourceSummary[[#Headers],[Resource]]),0),"&gt;1"))</f>
        <v/>
      </c>
    </row>
    <row r="29" customFormat="false" ht="15" hidden="false" customHeight="false" outlineLevel="0" collapsed="false">
      <c r="B29" s="24" t="str">
        <f aca="false">IFERROR(INDEX(res_Name,ROW()-ROW(ResourceSummary[[#Headers],[Resource]]))&amp;"","")</f>
        <v/>
      </c>
      <c r="C29" s="46" t="str">
        <f aca="false">IF(ResourceSummary[[#This Row],[Resource]]="","",INDEX(ResourceTable[Max Units],ROW()-ROW(ResourceSummary[[#Headers],[Resource]])))</f>
        <v/>
      </c>
      <c r="D29" s="49" t="str">
        <f aca="false">IF(ResourceSummary[[#This Row],[Resource]]="","",INDEX(ResourceTable[Tasks],ROW()-ROW(ResourceSummary[[#Headers],[Resource]])))</f>
        <v/>
      </c>
      <c r="E29" s="51" t="str">
        <f aca="false">IF(ResourceSummary[[#This Row],[Resource]]="","",INDEX(ResourceTable[Work],ROW()-ROW(ResourceSummary[[#Headers],[Resource]])))</f>
        <v/>
      </c>
      <c r="F29" s="51" t="str">
        <f aca="false">IF(ResourceSummary[[#This Row],[Resource]]="","",SUMIFS(tsk_LeafWorkDone,tsk_Resource,ResourceSummary[[#This Row],[Resource]]))</f>
        <v/>
      </c>
      <c r="G29" s="51" t="str">
        <f aca="false">IF(ResourceSummary[[#This Row],[Resource]]="","",ResourceSummary[[#This Row],[Work]]-ResourceSummary[[#This Row],[Work Done]])</f>
        <v/>
      </c>
      <c r="H29" s="51" t="str">
        <f aca="false">IF(ResourceSummary[[#This Row],[Resource]]="","",INDEX(ResourceTable[Cost],ROW()-ROW(ResourceSummary[[#Headers],[Resource]])))</f>
        <v/>
      </c>
      <c r="I29" s="51" t="str">
        <f aca="false">IF(ResourceSummary[[#This Row],[Resource]]="","",INDEX(ResourceTable[Actual Cost],ROW()-ROW(ResourceSummary[[#Headers],[Resource]])))</f>
        <v/>
      </c>
      <c r="J29" s="49" t="str">
        <f aca="false">IF(ResourceSummary[[#This Row],[Resource]]="","",COUNTIFS(tsk_Resource,ResourceSummary[[#This Row],[Resource]],tsk_LateKey,"&gt;0"))</f>
        <v/>
      </c>
      <c r="K29" s="49" t="str">
        <f aca="false">IF(ResourceSummary[[#This Row],[Resource]]="","",COUNTIFS(tsk_Resource,ResourceSummary[[#This Row],[Resource]],tsk_Critical,"Yes",tsk_IsLeaf,1))</f>
        <v/>
      </c>
      <c r="L29" s="47" t="str">
        <f aca="false">IF(ResourceSummary[[#This Row],[Resource]]="","",MAX(INDEX(rw_Load,ROW()-ROW(ResourceSummary[[#Headers],[Resource]]),0)))</f>
        <v/>
      </c>
      <c r="M29" s="46" t="str">
        <f aca="false">IF(ResourceSummary[[#This Row],[Resource]]="","",MAX(INDEX(rw_Util,ROW()-ROW(ResourceSummary[[#Headers],[Resource]]),0)))</f>
        <v/>
      </c>
      <c r="N29" s="49" t="str">
        <f aca="false">IF(ResourceSummary[[#This Row],[Resource]]="","",COUNTIF(INDEX(rw_Util,ROW()-ROW(ResourceSummary[[#Headers],[Resource]]),0),"&gt;1"))</f>
        <v/>
      </c>
    </row>
    <row r="30" customFormat="false" ht="15" hidden="false" customHeight="false" outlineLevel="0" collapsed="false">
      <c r="B30" s="24" t="str">
        <f aca="false">IFERROR(INDEX(res_Name,ROW()-ROW(ResourceSummary[[#Headers],[Resource]]))&amp;"","")</f>
        <v/>
      </c>
      <c r="C30" s="46" t="str">
        <f aca="false">IF(ResourceSummary[[#This Row],[Resource]]="","",INDEX(ResourceTable[Max Units],ROW()-ROW(ResourceSummary[[#Headers],[Resource]])))</f>
        <v/>
      </c>
      <c r="D30" s="49" t="str">
        <f aca="false">IF(ResourceSummary[[#This Row],[Resource]]="","",INDEX(ResourceTable[Tasks],ROW()-ROW(ResourceSummary[[#Headers],[Resource]])))</f>
        <v/>
      </c>
      <c r="E30" s="51" t="str">
        <f aca="false">IF(ResourceSummary[[#This Row],[Resource]]="","",INDEX(ResourceTable[Work],ROW()-ROW(ResourceSummary[[#Headers],[Resource]])))</f>
        <v/>
      </c>
      <c r="F30" s="51" t="str">
        <f aca="false">IF(ResourceSummary[[#This Row],[Resource]]="","",SUMIFS(tsk_LeafWorkDone,tsk_Resource,ResourceSummary[[#This Row],[Resource]]))</f>
        <v/>
      </c>
      <c r="G30" s="51" t="str">
        <f aca="false">IF(ResourceSummary[[#This Row],[Resource]]="","",ResourceSummary[[#This Row],[Work]]-ResourceSummary[[#This Row],[Work Done]])</f>
        <v/>
      </c>
      <c r="H30" s="51" t="str">
        <f aca="false">IF(ResourceSummary[[#This Row],[Resource]]="","",INDEX(ResourceTable[Cost],ROW()-ROW(ResourceSummary[[#Headers],[Resource]])))</f>
        <v/>
      </c>
      <c r="I30" s="51" t="str">
        <f aca="false">IF(ResourceSummary[[#This Row],[Resource]]="","",INDEX(ResourceTable[Actual Cost],ROW()-ROW(ResourceSummary[[#Headers],[Resource]])))</f>
        <v/>
      </c>
      <c r="J30" s="49" t="str">
        <f aca="false">IF(ResourceSummary[[#This Row],[Resource]]="","",COUNTIFS(tsk_Resource,ResourceSummary[[#This Row],[Resource]],tsk_LateKey,"&gt;0"))</f>
        <v/>
      </c>
      <c r="K30" s="49" t="str">
        <f aca="false">IF(ResourceSummary[[#This Row],[Resource]]="","",COUNTIFS(tsk_Resource,ResourceSummary[[#This Row],[Resource]],tsk_Critical,"Yes",tsk_IsLeaf,1))</f>
        <v/>
      </c>
      <c r="L30" s="47" t="str">
        <f aca="false">IF(ResourceSummary[[#This Row],[Resource]]="","",MAX(INDEX(rw_Load,ROW()-ROW(ResourceSummary[[#Headers],[Resource]]),0)))</f>
        <v/>
      </c>
      <c r="M30" s="46" t="str">
        <f aca="false">IF(ResourceSummary[[#This Row],[Resource]]="","",MAX(INDEX(rw_Util,ROW()-ROW(ResourceSummary[[#Headers],[Resource]]),0)))</f>
        <v/>
      </c>
      <c r="N30" s="49" t="str">
        <f aca="false">IF(ResourceSummary[[#This Row],[Resource]]="","",COUNTIF(INDEX(rw_Util,ROW()-ROW(ResourceSummary[[#Headers],[Resource]]),0),"&gt;1"))</f>
        <v/>
      </c>
    </row>
    <row r="32" customFormat="false" ht="15" hidden="false" customHeight="false" outlineLevel="0" collapsed="false">
      <c r="B32" s="52" t="s">
        <v>205</v>
      </c>
    </row>
    <row r="34" customFormat="false" ht="15" hidden="false" customHeight="false" outlineLevel="0" collapsed="false">
      <c r="B34" s="9" t="s">
        <v>188</v>
      </c>
      <c r="C34" s="9" t="s">
        <v>194</v>
      </c>
      <c r="D34" s="53" t="n">
        <f aca="false">(ResourceWeekStart+7*((COLUMN()-COLUMN(rw_LoadOrigin)-1)-1))</f>
        <v>46300</v>
      </c>
      <c r="E34" s="53" t="n">
        <f aca="false">(ResourceWeekStart+7*((COLUMN()-COLUMN(rw_LoadOrigin)-1)-1))</f>
        <v>46307</v>
      </c>
      <c r="F34" s="53" t="n">
        <f aca="false">(ResourceWeekStart+7*((COLUMN()-COLUMN(rw_LoadOrigin)-1)-1))</f>
        <v>46314</v>
      </c>
      <c r="G34" s="53" t="n">
        <f aca="false">(ResourceWeekStart+7*((COLUMN()-COLUMN(rw_LoadOrigin)-1)-1))</f>
        <v>46321</v>
      </c>
      <c r="H34" s="53" t="n">
        <f aca="false">(ResourceWeekStart+7*((COLUMN()-COLUMN(rw_LoadOrigin)-1)-1))</f>
        <v>46328</v>
      </c>
      <c r="I34" s="53" t="n">
        <f aca="false">(ResourceWeekStart+7*((COLUMN()-COLUMN(rw_LoadOrigin)-1)-1))</f>
        <v>46335</v>
      </c>
      <c r="J34" s="53" t="n">
        <f aca="false">(ResourceWeekStart+7*((COLUMN()-COLUMN(rw_LoadOrigin)-1)-1))</f>
        <v>46342</v>
      </c>
      <c r="K34" s="53" t="n">
        <f aca="false">(ResourceWeekStart+7*((COLUMN()-COLUMN(rw_LoadOrigin)-1)-1))</f>
        <v>46349</v>
      </c>
      <c r="L34" s="53" t="n">
        <f aca="false">(ResourceWeekStart+7*((COLUMN()-COLUMN(rw_LoadOrigin)-1)-1))</f>
        <v>46356</v>
      </c>
      <c r="M34" s="53" t="n">
        <f aca="false">(ResourceWeekStart+7*((COLUMN()-COLUMN(rw_LoadOrigin)-1)-1))</f>
        <v>46363</v>
      </c>
      <c r="N34" s="53" t="n">
        <f aca="false">(ResourceWeekStart+7*((COLUMN()-COLUMN(rw_LoadOrigin)-1)-1))</f>
        <v>46370</v>
      </c>
      <c r="O34" s="53" t="n">
        <f aca="false">(ResourceWeekStart+7*((COLUMN()-COLUMN(rw_LoadOrigin)-1)-1))</f>
        <v>46377</v>
      </c>
      <c r="P34" s="53" t="n">
        <f aca="false">(ResourceWeekStart+7*((COLUMN()-COLUMN(rw_LoadOrigin)-1)-1))</f>
        <v>46384</v>
      </c>
      <c r="Q34" s="53" t="n">
        <f aca="false">(ResourceWeekStart+7*((COLUMN()-COLUMN(rw_LoadOrigin)-1)-1))</f>
        <v>46391</v>
      </c>
      <c r="R34" s="53" t="n">
        <f aca="false">(ResourceWeekStart+7*((COLUMN()-COLUMN(rw_LoadOrigin)-1)-1))</f>
        <v>46398</v>
      </c>
      <c r="S34" s="53" t="n">
        <f aca="false">(ResourceWeekStart+7*((COLUMN()-COLUMN(rw_LoadOrigin)-1)-1))</f>
        <v>46405</v>
      </c>
      <c r="T34" s="53" t="n">
        <f aca="false">(ResourceWeekStart+7*((COLUMN()-COLUMN(rw_LoadOrigin)-1)-1))</f>
        <v>46412</v>
      </c>
      <c r="U34" s="53" t="n">
        <f aca="false">(ResourceWeekStart+7*((COLUMN()-COLUMN(rw_LoadOrigin)-1)-1))</f>
        <v>46419</v>
      </c>
      <c r="V34" s="53" t="n">
        <f aca="false">(ResourceWeekStart+7*((COLUMN()-COLUMN(rw_LoadOrigin)-1)-1))</f>
        <v>46426</v>
      </c>
      <c r="W34" s="53" t="n">
        <f aca="false">(ResourceWeekStart+7*((COLUMN()-COLUMN(rw_LoadOrigin)-1)-1))</f>
        <v>46433</v>
      </c>
      <c r="X34" s="53" t="n">
        <f aca="false">(ResourceWeekStart+7*((COLUMN()-COLUMN(rw_LoadOrigin)-1)-1))</f>
        <v>46440</v>
      </c>
      <c r="Y34" s="53" t="n">
        <f aca="false">(ResourceWeekStart+7*((COLUMN()-COLUMN(rw_LoadOrigin)-1)-1))</f>
        <v>46447</v>
      </c>
      <c r="Z34" s="53" t="n">
        <f aca="false">(ResourceWeekStart+7*((COLUMN()-COLUMN(rw_LoadOrigin)-1)-1))</f>
        <v>46454</v>
      </c>
      <c r="AA34" s="53" t="n">
        <f aca="false">(ResourceWeekStart+7*((COLUMN()-COLUMN(rw_LoadOrigin)-1)-1))</f>
        <v>46461</v>
      </c>
      <c r="AB34" s="53" t="n">
        <f aca="false">(ResourceWeekStart+7*((COLUMN()-COLUMN(rw_LoadOrigin)-1)-1))</f>
        <v>46468</v>
      </c>
      <c r="AC34" s="53" t="n">
        <f aca="false">(ResourceWeekStart+7*((COLUMN()-COLUMN(rw_LoadOrigin)-1)-1))</f>
        <v>46475</v>
      </c>
    </row>
    <row r="35" customFormat="false" ht="15" hidden="false" customHeight="false" outlineLevel="0" collapsed="false">
      <c r="B35" s="54" t="s">
        <v>206</v>
      </c>
      <c r="D35" s="55" t="n">
        <f aca="false">NETWORKDAYS.INTL((ResourceWeekStart+7*((COLUMN()-COLUMN(rw_LoadOrigin)-1)-1)),(ResourceWeekStart+7*((COLUMN()-COLUMN(rw_LoadOrigin)-1)-1))+6,WorkWeek,Holidays)</f>
        <v>5</v>
      </c>
      <c r="E35" s="55" t="n">
        <f aca="false">NETWORKDAYS.INTL((ResourceWeekStart+7*((COLUMN()-COLUMN(rw_LoadOrigin)-1)-1)),(ResourceWeekStart+7*((COLUMN()-COLUMN(rw_LoadOrigin)-1)-1))+6,WorkWeek,Holidays)</f>
        <v>5</v>
      </c>
      <c r="F35" s="55" t="n">
        <f aca="false">NETWORKDAYS.INTL((ResourceWeekStart+7*((COLUMN()-COLUMN(rw_LoadOrigin)-1)-1)),(ResourceWeekStart+7*((COLUMN()-COLUMN(rw_LoadOrigin)-1)-1))+6,WorkWeek,Holidays)</f>
        <v>5</v>
      </c>
      <c r="G35" s="55" t="n">
        <f aca="false">NETWORKDAYS.INTL((ResourceWeekStart+7*((COLUMN()-COLUMN(rw_LoadOrigin)-1)-1)),(ResourceWeekStart+7*((COLUMN()-COLUMN(rw_LoadOrigin)-1)-1))+6,WorkWeek,Holidays)</f>
        <v>5</v>
      </c>
      <c r="H35" s="55" t="n">
        <f aca="false">NETWORKDAYS.INTL((ResourceWeekStart+7*((COLUMN()-COLUMN(rw_LoadOrigin)-1)-1)),(ResourceWeekStart+7*((COLUMN()-COLUMN(rw_LoadOrigin)-1)-1))+6,WorkWeek,Holidays)</f>
        <v>5</v>
      </c>
      <c r="I35" s="55" t="n">
        <f aca="false">NETWORKDAYS.INTL((ResourceWeekStart+7*((COLUMN()-COLUMN(rw_LoadOrigin)-1)-1)),(ResourceWeekStart+7*((COLUMN()-COLUMN(rw_LoadOrigin)-1)-1))+6,WorkWeek,Holidays)</f>
        <v>5</v>
      </c>
      <c r="J35" s="55" t="n">
        <f aca="false">NETWORKDAYS.INTL((ResourceWeekStart+7*((COLUMN()-COLUMN(rw_LoadOrigin)-1)-1)),(ResourceWeekStart+7*((COLUMN()-COLUMN(rw_LoadOrigin)-1)-1))+6,WorkWeek,Holidays)</f>
        <v>5</v>
      </c>
      <c r="K35" s="55" t="n">
        <f aca="false">NETWORKDAYS.INTL((ResourceWeekStart+7*((COLUMN()-COLUMN(rw_LoadOrigin)-1)-1)),(ResourceWeekStart+7*((COLUMN()-COLUMN(rw_LoadOrigin)-1)-1))+6,WorkWeek,Holidays)</f>
        <v>5</v>
      </c>
      <c r="L35" s="55" t="n">
        <f aca="false">NETWORKDAYS.INTL((ResourceWeekStart+7*((COLUMN()-COLUMN(rw_LoadOrigin)-1)-1)),(ResourceWeekStart+7*((COLUMN()-COLUMN(rw_LoadOrigin)-1)-1))+6,WorkWeek,Holidays)</f>
        <v>5</v>
      </c>
      <c r="M35" s="55" t="n">
        <f aca="false">NETWORKDAYS.INTL((ResourceWeekStart+7*((COLUMN()-COLUMN(rw_LoadOrigin)-1)-1)),(ResourceWeekStart+7*((COLUMN()-COLUMN(rw_LoadOrigin)-1)-1))+6,WorkWeek,Holidays)</f>
        <v>5</v>
      </c>
      <c r="N35" s="55" t="n">
        <f aca="false">NETWORKDAYS.INTL((ResourceWeekStart+7*((COLUMN()-COLUMN(rw_LoadOrigin)-1)-1)),(ResourceWeekStart+7*((COLUMN()-COLUMN(rw_LoadOrigin)-1)-1))+6,WorkWeek,Holidays)</f>
        <v>5</v>
      </c>
      <c r="O35" s="55" t="n">
        <f aca="false">NETWORKDAYS.INTL((ResourceWeekStart+7*((COLUMN()-COLUMN(rw_LoadOrigin)-1)-1)),(ResourceWeekStart+7*((COLUMN()-COLUMN(rw_LoadOrigin)-1)-1))+6,WorkWeek,Holidays)</f>
        <v>3</v>
      </c>
      <c r="P35" s="55" t="n">
        <f aca="false">NETWORKDAYS.INTL((ResourceWeekStart+7*((COLUMN()-COLUMN(rw_LoadOrigin)-1)-1)),(ResourceWeekStart+7*((COLUMN()-COLUMN(rw_LoadOrigin)-1)-1))+6,WorkWeek,Holidays)</f>
        <v>3</v>
      </c>
      <c r="Q35" s="55" t="n">
        <f aca="false">NETWORKDAYS.INTL((ResourceWeekStart+7*((COLUMN()-COLUMN(rw_LoadOrigin)-1)-1)),(ResourceWeekStart+7*((COLUMN()-COLUMN(rw_LoadOrigin)-1)-1))+6,WorkWeek,Holidays)</f>
        <v>5</v>
      </c>
      <c r="R35" s="55" t="n">
        <f aca="false">NETWORKDAYS.INTL((ResourceWeekStart+7*((COLUMN()-COLUMN(rw_LoadOrigin)-1)-1)),(ResourceWeekStart+7*((COLUMN()-COLUMN(rw_LoadOrigin)-1)-1))+6,WorkWeek,Holidays)</f>
        <v>5</v>
      </c>
      <c r="S35" s="55" t="n">
        <f aca="false">NETWORKDAYS.INTL((ResourceWeekStart+7*((COLUMN()-COLUMN(rw_LoadOrigin)-1)-1)),(ResourceWeekStart+7*((COLUMN()-COLUMN(rw_LoadOrigin)-1)-1))+6,WorkWeek,Holidays)</f>
        <v>5</v>
      </c>
      <c r="T35" s="55" t="n">
        <f aca="false">NETWORKDAYS.INTL((ResourceWeekStart+7*((COLUMN()-COLUMN(rw_LoadOrigin)-1)-1)),(ResourceWeekStart+7*((COLUMN()-COLUMN(rw_LoadOrigin)-1)-1))+6,WorkWeek,Holidays)</f>
        <v>5</v>
      </c>
      <c r="U35" s="55" t="n">
        <f aca="false">NETWORKDAYS.INTL((ResourceWeekStart+7*((COLUMN()-COLUMN(rw_LoadOrigin)-1)-1)),(ResourceWeekStart+7*((COLUMN()-COLUMN(rw_LoadOrigin)-1)-1))+6,WorkWeek,Holidays)</f>
        <v>5</v>
      </c>
      <c r="V35" s="55" t="n">
        <f aca="false">NETWORKDAYS.INTL((ResourceWeekStart+7*((COLUMN()-COLUMN(rw_LoadOrigin)-1)-1)),(ResourceWeekStart+7*((COLUMN()-COLUMN(rw_LoadOrigin)-1)-1))+6,WorkWeek,Holidays)</f>
        <v>5</v>
      </c>
      <c r="W35" s="55" t="n">
        <f aca="false">NETWORKDAYS.INTL((ResourceWeekStart+7*((COLUMN()-COLUMN(rw_LoadOrigin)-1)-1)),(ResourceWeekStart+7*((COLUMN()-COLUMN(rw_LoadOrigin)-1)-1))+6,WorkWeek,Holidays)</f>
        <v>5</v>
      </c>
      <c r="X35" s="55" t="n">
        <f aca="false">NETWORKDAYS.INTL((ResourceWeekStart+7*((COLUMN()-COLUMN(rw_LoadOrigin)-1)-1)),(ResourceWeekStart+7*((COLUMN()-COLUMN(rw_LoadOrigin)-1)-1))+6,WorkWeek,Holidays)</f>
        <v>5</v>
      </c>
      <c r="Y35" s="55" t="n">
        <f aca="false">NETWORKDAYS.INTL((ResourceWeekStart+7*((COLUMN()-COLUMN(rw_LoadOrigin)-1)-1)),(ResourceWeekStart+7*((COLUMN()-COLUMN(rw_LoadOrigin)-1)-1))+6,WorkWeek,Holidays)</f>
        <v>5</v>
      </c>
      <c r="Z35" s="55" t="n">
        <f aca="false">NETWORKDAYS.INTL((ResourceWeekStart+7*((COLUMN()-COLUMN(rw_LoadOrigin)-1)-1)),(ResourceWeekStart+7*((COLUMN()-COLUMN(rw_LoadOrigin)-1)-1))+6,WorkWeek,Holidays)</f>
        <v>5</v>
      </c>
      <c r="AA35" s="55" t="n">
        <f aca="false">NETWORKDAYS.INTL((ResourceWeekStart+7*((COLUMN()-COLUMN(rw_LoadOrigin)-1)-1)),(ResourceWeekStart+7*((COLUMN()-COLUMN(rw_LoadOrigin)-1)-1))+6,WorkWeek,Holidays)</f>
        <v>5</v>
      </c>
      <c r="AB35" s="55" t="n">
        <f aca="false">NETWORKDAYS.INTL((ResourceWeekStart+7*((COLUMN()-COLUMN(rw_LoadOrigin)-1)-1)),(ResourceWeekStart+7*((COLUMN()-COLUMN(rw_LoadOrigin)-1)-1))+6,WorkWeek,Holidays)</f>
        <v>5</v>
      </c>
      <c r="AC35" s="55" t="n">
        <f aca="false">NETWORKDAYS.INTL((ResourceWeekStart+7*((COLUMN()-COLUMN(rw_LoadOrigin)-1)-1)),(ResourceWeekStart+7*((COLUMN()-COLUMN(rw_LoadOrigin)-1)-1))+6,WorkWeek,Holidays)</f>
        <v>5</v>
      </c>
    </row>
    <row r="36" customFormat="false" ht="15" hidden="false" customHeight="false" outlineLevel="0" collapsed="false">
      <c r="B36" s="31" t="str">
        <f aca="false">IFERROR(INDEX(res_Name,(ROW()-ROW(rw_LoadOrigin)-1))&amp;"","")</f>
        <v>Priya Sharma</v>
      </c>
      <c r="C36" s="56" t="n">
        <f aca="false">IFERROR(IF(INDEX(res_Name,(ROW()-ROW(rw_LoadOrigin)-1))="","",INDEX(res_MaxUnits,(ROW()-ROW(rw_LoadOrigin)-1))),"")</f>
        <v>0.5</v>
      </c>
      <c r="D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E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F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G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H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I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J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8</v>
      </c>
      <c r="K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L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M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N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8</v>
      </c>
      <c r="O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P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Q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16</v>
      </c>
      <c r="R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S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T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U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V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W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X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Y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Z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A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B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C36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</row>
    <row r="37" customFormat="false" ht="15" hidden="false" customHeight="false" outlineLevel="0" collapsed="false">
      <c r="B37" s="31" t="str">
        <f aca="false">IFERROR(INDEX(res_Name,(ROW()-ROW(rw_LoadOrigin)-1))&amp;"","")</f>
        <v>Morgan Patel</v>
      </c>
      <c r="C37" s="56" t="n">
        <f aca="false">IFERROR(IF(INDEX(res_Name,(ROW()-ROW(rw_LoadOrigin)-1))="","",INDEX(res_MaxUnits,(ROW()-ROW(rw_LoadOrigin)-1))),"")</f>
        <v>1</v>
      </c>
      <c r="D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E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F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G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H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I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J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K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L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M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40</v>
      </c>
      <c r="N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8</v>
      </c>
      <c r="O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P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Q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R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S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T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U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V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W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X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Y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Z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A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B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C37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</row>
    <row r="38" customFormat="false" ht="15" hidden="false" customHeight="false" outlineLevel="0" collapsed="false">
      <c r="B38" s="31" t="str">
        <f aca="false">IFERROR(INDEX(res_Name,(ROW()-ROW(rw_LoadOrigin)-1))&amp;"","")</f>
        <v>Alex Chen</v>
      </c>
      <c r="C38" s="56" t="n">
        <f aca="false">IFERROR(IF(INDEX(res_Name,(ROW()-ROW(rw_LoadOrigin)-1))="","",INDEX(res_MaxUnits,(ROW()-ROW(rw_LoadOrigin)-1))),"")</f>
        <v>0.5</v>
      </c>
      <c r="D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E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F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G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H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I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J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K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L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M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N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O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P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Q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R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S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T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U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V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W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X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Y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Z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A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B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C38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</row>
    <row r="39" customFormat="false" ht="15" hidden="false" customHeight="false" outlineLevel="0" collapsed="false">
      <c r="B39" s="31" t="str">
        <f aca="false">IFERROR(INDEX(res_Name,(ROW()-ROW(rw_LoadOrigin)-1))&amp;"","")</f>
        <v>Casey Kim</v>
      </c>
      <c r="C39" s="56" t="n">
        <f aca="false">IFERROR(IF(INDEX(res_Name,(ROW()-ROW(rw_LoadOrigin)-1))="","",INDEX(res_MaxUnits,(ROW()-ROW(rw_LoadOrigin)-1))),"")</f>
        <v>1</v>
      </c>
      <c r="D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13.7142857142857</v>
      </c>
      <c r="E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F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G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H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12</v>
      </c>
      <c r="I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8</v>
      </c>
      <c r="J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12</v>
      </c>
      <c r="K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L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M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N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O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P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Q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R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S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T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U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V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W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X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Y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Z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A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B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C39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</row>
    <row r="40" customFormat="false" ht="15" hidden="false" customHeight="false" outlineLevel="0" collapsed="false">
      <c r="B40" s="31" t="str">
        <f aca="false">IFERROR(INDEX(res_Name,(ROW()-ROW(rw_LoadOrigin)-1))&amp;"","")</f>
        <v>Jordan Lee</v>
      </c>
      <c r="C40" s="56" t="n">
        <f aca="false">IFERROR(IF(INDEX(res_Name,(ROW()-ROW(rw_LoadOrigin)-1))="","",INDEX(res_MaxUnits,(ROW()-ROW(rw_LoadOrigin)-1))),"")</f>
        <v>1</v>
      </c>
      <c r="D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20</v>
      </c>
      <c r="E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33.3333333333333</v>
      </c>
      <c r="F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33.3333333333334</v>
      </c>
      <c r="G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33.3333333333333</v>
      </c>
      <c r="H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40</v>
      </c>
      <c r="I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8</v>
      </c>
      <c r="J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K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L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M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N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12</v>
      </c>
      <c r="O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12</v>
      </c>
      <c r="P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12</v>
      </c>
      <c r="Q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4</v>
      </c>
      <c r="R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S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T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U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V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W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X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Y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Z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A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B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C40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</row>
    <row r="41" customFormat="false" ht="15" hidden="false" customHeight="false" outlineLevel="0" collapsed="false">
      <c r="B41" s="31" t="str">
        <f aca="false">IFERROR(INDEX(res_Name,(ROW()-ROW(rw_LoadOrigin)-1))&amp;"","")</f>
        <v>Sam Rivera</v>
      </c>
      <c r="C41" s="56" t="n">
        <f aca="false">IFERROR(IF(INDEX(res_Name,(ROW()-ROW(rw_LoadOrigin)-1))="","",INDEX(res_MaxUnits,(ROW()-ROW(rw_LoadOrigin)-1))),"")</f>
        <v>1</v>
      </c>
      <c r="D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18</v>
      </c>
      <c r="E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30</v>
      </c>
      <c r="F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34.2857142857143</v>
      </c>
      <c r="G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34.2857142857143</v>
      </c>
      <c r="H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27.4285714285714</v>
      </c>
      <c r="I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J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K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L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M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N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O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P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Q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R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S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T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U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V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W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X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Y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Z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A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B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C41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</row>
    <row r="42" customFormat="false" ht="15" hidden="false" customHeight="false" outlineLevel="0" collapsed="false">
      <c r="B42" s="31" t="str">
        <f aca="false">IFERROR(INDEX(res_Name,(ROW()-ROW(rw_LoadOrigin)-1))&amp;"","")</f>
        <v>Taylor Morgan</v>
      </c>
      <c r="C42" s="56" t="n">
        <f aca="false">IFERROR(IF(INDEX(res_Name,(ROW()-ROW(rw_LoadOrigin)-1))="","",INDEX(res_MaxUnits,(ROW()-ROW(rw_LoadOrigin)-1))),"")</f>
        <v>1</v>
      </c>
      <c r="D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E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F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G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H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I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32</v>
      </c>
      <c r="J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32</v>
      </c>
      <c r="K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L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M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N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O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P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Q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R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S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T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U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V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W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X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Y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Z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A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B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  <c r="AC42" s="57" t="n">
        <f aca="false">IFERROR(IF(INDEX(res_Name,(ROW()-ROW(rw_LoadOrigin)-1))="","",INDEX(rw_Cum,(ROW()-ROW(rw_LoadOrigin)-1),(COLUMN()-COLUMN(rw_LoadOrigin)-1)+1)-INDEX(rw_Cum,(ROW()-ROW(rw_LoadOrigin)-1),(COLUMN()-COLUMN(rw_LoadOrigin)-1))),"")</f>
        <v>0</v>
      </c>
    </row>
    <row r="43" customFormat="false" ht="15" hidden="false" customHeight="false" outlineLevel="0" collapsed="false">
      <c r="B43" s="31" t="str">
        <f aca="false">IFERROR(INDEX(res_Name,(ROW()-ROW(rw_LoadOrigin)-1))&amp;"","")</f>
        <v/>
      </c>
      <c r="C43" s="56" t="str">
        <f aca="false">IFERROR(IF(INDEX(res_Name,(ROW()-ROW(rw_LoadOrigin)-1))="","",INDEX(res_MaxUnits,(ROW()-ROW(rw_LoadOrigin)-1))),"")</f>
        <v/>
      </c>
      <c r="D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4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44" customFormat="false" ht="15" hidden="false" customHeight="false" outlineLevel="0" collapsed="false">
      <c r="B44" s="31" t="str">
        <f aca="false">IFERROR(INDEX(res_Name,(ROW()-ROW(rw_LoadOrigin)-1))&amp;"","")</f>
        <v/>
      </c>
      <c r="C44" s="56" t="str">
        <f aca="false">IFERROR(IF(INDEX(res_Name,(ROW()-ROW(rw_LoadOrigin)-1))="","",INDEX(res_MaxUnits,(ROW()-ROW(rw_LoadOrigin)-1))),"")</f>
        <v/>
      </c>
      <c r="D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4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45" customFormat="false" ht="15" hidden="false" customHeight="false" outlineLevel="0" collapsed="false">
      <c r="B45" s="31" t="str">
        <f aca="false">IFERROR(INDEX(res_Name,(ROW()-ROW(rw_LoadOrigin)-1))&amp;"","")</f>
        <v/>
      </c>
      <c r="C45" s="56" t="str">
        <f aca="false">IFERROR(IF(INDEX(res_Name,(ROW()-ROW(rw_LoadOrigin)-1))="","",INDEX(res_MaxUnits,(ROW()-ROW(rw_LoadOrigin)-1))),"")</f>
        <v/>
      </c>
      <c r="D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4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46" customFormat="false" ht="15" hidden="false" customHeight="false" outlineLevel="0" collapsed="false">
      <c r="B46" s="31" t="str">
        <f aca="false">IFERROR(INDEX(res_Name,(ROW()-ROW(rw_LoadOrigin)-1))&amp;"","")</f>
        <v/>
      </c>
      <c r="C46" s="56" t="str">
        <f aca="false">IFERROR(IF(INDEX(res_Name,(ROW()-ROW(rw_LoadOrigin)-1))="","",INDEX(res_MaxUnits,(ROW()-ROW(rw_LoadOrigin)-1))),"")</f>
        <v/>
      </c>
      <c r="D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4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47" customFormat="false" ht="15" hidden="false" customHeight="false" outlineLevel="0" collapsed="false">
      <c r="B47" s="31" t="str">
        <f aca="false">IFERROR(INDEX(res_Name,(ROW()-ROW(rw_LoadOrigin)-1))&amp;"","")</f>
        <v/>
      </c>
      <c r="C47" s="56" t="str">
        <f aca="false">IFERROR(IF(INDEX(res_Name,(ROW()-ROW(rw_LoadOrigin)-1))="","",INDEX(res_MaxUnits,(ROW()-ROW(rw_LoadOrigin)-1))),"")</f>
        <v/>
      </c>
      <c r="D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4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48" customFormat="false" ht="15" hidden="false" customHeight="false" outlineLevel="0" collapsed="false">
      <c r="B48" s="31" t="str">
        <f aca="false">IFERROR(INDEX(res_Name,(ROW()-ROW(rw_LoadOrigin)-1))&amp;"","")</f>
        <v/>
      </c>
      <c r="C48" s="56" t="str">
        <f aca="false">IFERROR(IF(INDEX(res_Name,(ROW()-ROW(rw_LoadOrigin)-1))="","",INDEX(res_MaxUnits,(ROW()-ROW(rw_LoadOrigin)-1))),"")</f>
        <v/>
      </c>
      <c r="D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4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49" customFormat="false" ht="15" hidden="false" customHeight="false" outlineLevel="0" collapsed="false">
      <c r="B49" s="31" t="str">
        <f aca="false">IFERROR(INDEX(res_Name,(ROW()-ROW(rw_LoadOrigin)-1))&amp;"","")</f>
        <v/>
      </c>
      <c r="C49" s="56" t="str">
        <f aca="false">IFERROR(IF(INDEX(res_Name,(ROW()-ROW(rw_LoadOrigin)-1))="","",INDEX(res_MaxUnits,(ROW()-ROW(rw_LoadOrigin)-1))),"")</f>
        <v/>
      </c>
      <c r="D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4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50" customFormat="false" ht="15" hidden="false" customHeight="false" outlineLevel="0" collapsed="false">
      <c r="B50" s="31" t="str">
        <f aca="false">IFERROR(INDEX(res_Name,(ROW()-ROW(rw_LoadOrigin)-1))&amp;"","")</f>
        <v/>
      </c>
      <c r="C50" s="56" t="str">
        <f aca="false">IFERROR(IF(INDEX(res_Name,(ROW()-ROW(rw_LoadOrigin)-1))="","",INDEX(res_MaxUnits,(ROW()-ROW(rw_LoadOrigin)-1))),"")</f>
        <v/>
      </c>
      <c r="D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5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51" customFormat="false" ht="15" hidden="false" customHeight="false" outlineLevel="0" collapsed="false">
      <c r="B51" s="31" t="str">
        <f aca="false">IFERROR(INDEX(res_Name,(ROW()-ROW(rw_LoadOrigin)-1))&amp;"","")</f>
        <v/>
      </c>
      <c r="C51" s="56" t="str">
        <f aca="false">IFERROR(IF(INDEX(res_Name,(ROW()-ROW(rw_LoadOrigin)-1))="","",INDEX(res_MaxUnits,(ROW()-ROW(rw_LoadOrigin)-1))),"")</f>
        <v/>
      </c>
      <c r="D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51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52" customFormat="false" ht="15" hidden="false" customHeight="false" outlineLevel="0" collapsed="false">
      <c r="B52" s="31" t="str">
        <f aca="false">IFERROR(INDEX(res_Name,(ROW()-ROW(rw_LoadOrigin)-1))&amp;"","")</f>
        <v/>
      </c>
      <c r="C52" s="56" t="str">
        <f aca="false">IFERROR(IF(INDEX(res_Name,(ROW()-ROW(rw_LoadOrigin)-1))="","",INDEX(res_MaxUnits,(ROW()-ROW(rw_LoadOrigin)-1))),"")</f>
        <v/>
      </c>
      <c r="D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52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53" customFormat="false" ht="15" hidden="false" customHeight="false" outlineLevel="0" collapsed="false">
      <c r="B53" s="31" t="str">
        <f aca="false">IFERROR(INDEX(res_Name,(ROW()-ROW(rw_LoadOrigin)-1))&amp;"","")</f>
        <v/>
      </c>
      <c r="C53" s="56" t="str">
        <f aca="false">IFERROR(IF(INDEX(res_Name,(ROW()-ROW(rw_LoadOrigin)-1))="","",INDEX(res_MaxUnits,(ROW()-ROW(rw_LoadOrigin)-1))),"")</f>
        <v/>
      </c>
      <c r="D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53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54" customFormat="false" ht="15" hidden="false" customHeight="false" outlineLevel="0" collapsed="false">
      <c r="B54" s="31" t="str">
        <f aca="false">IFERROR(INDEX(res_Name,(ROW()-ROW(rw_LoadOrigin)-1))&amp;"","")</f>
        <v/>
      </c>
      <c r="C54" s="56" t="str">
        <f aca="false">IFERROR(IF(INDEX(res_Name,(ROW()-ROW(rw_LoadOrigin)-1))="","",INDEX(res_MaxUnits,(ROW()-ROW(rw_LoadOrigin)-1))),"")</f>
        <v/>
      </c>
      <c r="D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54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55" customFormat="false" ht="15" hidden="false" customHeight="false" outlineLevel="0" collapsed="false">
      <c r="B55" s="31" t="str">
        <f aca="false">IFERROR(INDEX(res_Name,(ROW()-ROW(rw_LoadOrigin)-1))&amp;"","")</f>
        <v/>
      </c>
      <c r="C55" s="56" t="str">
        <f aca="false">IFERROR(IF(INDEX(res_Name,(ROW()-ROW(rw_LoadOrigin)-1))="","",INDEX(res_MaxUnits,(ROW()-ROW(rw_LoadOrigin)-1))),"")</f>
        <v/>
      </c>
      <c r="D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55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56" customFormat="false" ht="15" hidden="false" customHeight="false" outlineLevel="0" collapsed="false">
      <c r="B56" s="31" t="str">
        <f aca="false">IFERROR(INDEX(res_Name,(ROW()-ROW(rw_LoadOrigin)-1))&amp;"","")</f>
        <v/>
      </c>
      <c r="C56" s="56" t="str">
        <f aca="false">IFERROR(IF(INDEX(res_Name,(ROW()-ROW(rw_LoadOrigin)-1))="","",INDEX(res_MaxUnits,(ROW()-ROW(rw_LoadOrigin)-1))),"")</f>
        <v/>
      </c>
      <c r="D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56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57" customFormat="false" ht="15" hidden="false" customHeight="false" outlineLevel="0" collapsed="false">
      <c r="B57" s="31" t="str">
        <f aca="false">IFERROR(INDEX(res_Name,(ROW()-ROW(rw_LoadOrigin)-1))&amp;"","")</f>
        <v/>
      </c>
      <c r="C57" s="56" t="str">
        <f aca="false">IFERROR(IF(INDEX(res_Name,(ROW()-ROW(rw_LoadOrigin)-1))="","",INDEX(res_MaxUnits,(ROW()-ROW(rw_LoadOrigin)-1))),"")</f>
        <v/>
      </c>
      <c r="D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57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58" customFormat="false" ht="15" hidden="false" customHeight="false" outlineLevel="0" collapsed="false">
      <c r="B58" s="31" t="str">
        <f aca="false">IFERROR(INDEX(res_Name,(ROW()-ROW(rw_LoadOrigin)-1))&amp;"","")</f>
        <v/>
      </c>
      <c r="C58" s="56" t="str">
        <f aca="false">IFERROR(IF(INDEX(res_Name,(ROW()-ROW(rw_LoadOrigin)-1))="","",INDEX(res_MaxUnits,(ROW()-ROW(rw_LoadOrigin)-1))),"")</f>
        <v/>
      </c>
      <c r="D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58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59" customFormat="false" ht="15" hidden="false" customHeight="false" outlineLevel="0" collapsed="false">
      <c r="B59" s="31" t="str">
        <f aca="false">IFERROR(INDEX(res_Name,(ROW()-ROW(rw_LoadOrigin)-1))&amp;"","")</f>
        <v/>
      </c>
      <c r="C59" s="56" t="str">
        <f aca="false">IFERROR(IF(INDEX(res_Name,(ROW()-ROW(rw_LoadOrigin)-1))="","",INDEX(res_MaxUnits,(ROW()-ROW(rw_LoadOrigin)-1))),"")</f>
        <v/>
      </c>
      <c r="D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59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60" customFormat="false" ht="15" hidden="false" customHeight="false" outlineLevel="0" collapsed="false">
      <c r="B60" s="31" t="str">
        <f aca="false">IFERROR(INDEX(res_Name,(ROW()-ROW(rw_LoadOrigin)-1))&amp;"","")</f>
        <v/>
      </c>
      <c r="C60" s="56" t="str">
        <f aca="false">IFERROR(IF(INDEX(res_Name,(ROW()-ROW(rw_LoadOrigin)-1))="","",INDEX(res_MaxUnits,(ROW()-ROW(rw_LoadOrigin)-1))),"")</f>
        <v/>
      </c>
      <c r="D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E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F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G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H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I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J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K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L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M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N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O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P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Q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R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S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T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U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V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W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X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Y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Z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A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B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  <c r="AC60" s="57" t="str">
        <f aca="false">IFERROR(IF(INDEX(res_Name,(ROW()-ROW(rw_LoadOrigin)-1))="","",INDEX(rw_Cum,(ROW()-ROW(rw_LoadOrigin)-1),(COLUMN()-COLUMN(rw_LoadOrigin)-1)+1)-INDEX(rw_Cum,(ROW()-ROW(rw_LoadOrigin)-1),(COLUMN()-COLUMN(rw_LoadOrigin)-1))),"")</f>
        <v/>
      </c>
    </row>
    <row r="61" customFormat="false" ht="15" hidden="false" customHeight="false" outlineLevel="0" collapsed="false">
      <c r="B61" s="31" t="s">
        <v>207</v>
      </c>
      <c r="D61" s="58" t="n">
        <f aca="false">SUM(INDEX(rw_Load,0,(COLUMN()-COLUMN(rw_LoadOrigin)-1)))</f>
        <v>51.7142857142857</v>
      </c>
      <c r="E61" s="58" t="n">
        <f aca="false">SUM(INDEX(rw_Load,0,(COLUMN()-COLUMN(rw_LoadOrigin)-1)))</f>
        <v>63.3333333333333</v>
      </c>
      <c r="F61" s="58" t="n">
        <f aca="false">SUM(INDEX(rw_Load,0,(COLUMN()-COLUMN(rw_LoadOrigin)-1)))</f>
        <v>67.6190476190477</v>
      </c>
      <c r="G61" s="58" t="n">
        <f aca="false">SUM(INDEX(rw_Load,0,(COLUMN()-COLUMN(rw_LoadOrigin)-1)))</f>
        <v>67.6190476190476</v>
      </c>
      <c r="H61" s="58" t="n">
        <f aca="false">SUM(INDEX(rw_Load,0,(COLUMN()-COLUMN(rw_LoadOrigin)-1)))</f>
        <v>79.4285714285714</v>
      </c>
      <c r="I61" s="58" t="n">
        <f aca="false">SUM(INDEX(rw_Load,0,(COLUMN()-COLUMN(rw_LoadOrigin)-1)))</f>
        <v>48</v>
      </c>
      <c r="J61" s="58" t="n">
        <f aca="false">SUM(INDEX(rw_Load,0,(COLUMN()-COLUMN(rw_LoadOrigin)-1)))</f>
        <v>52</v>
      </c>
      <c r="K61" s="58" t="n">
        <f aca="false">SUM(INDEX(rw_Load,0,(COLUMN()-COLUMN(rw_LoadOrigin)-1)))</f>
        <v>0</v>
      </c>
      <c r="L61" s="58" t="n">
        <f aca="false">SUM(INDEX(rw_Load,0,(COLUMN()-COLUMN(rw_LoadOrigin)-1)))</f>
        <v>0</v>
      </c>
      <c r="M61" s="58" t="n">
        <f aca="false">SUM(INDEX(rw_Load,0,(COLUMN()-COLUMN(rw_LoadOrigin)-1)))</f>
        <v>40</v>
      </c>
      <c r="N61" s="58" t="n">
        <f aca="false">SUM(INDEX(rw_Load,0,(COLUMN()-COLUMN(rw_LoadOrigin)-1)))</f>
        <v>28</v>
      </c>
      <c r="O61" s="58" t="n">
        <f aca="false">SUM(INDEX(rw_Load,0,(COLUMN()-COLUMN(rw_LoadOrigin)-1)))</f>
        <v>12</v>
      </c>
      <c r="P61" s="58" t="n">
        <f aca="false">SUM(INDEX(rw_Load,0,(COLUMN()-COLUMN(rw_LoadOrigin)-1)))</f>
        <v>12</v>
      </c>
      <c r="Q61" s="58" t="n">
        <f aca="false">SUM(INDEX(rw_Load,0,(COLUMN()-COLUMN(rw_LoadOrigin)-1)))</f>
        <v>20</v>
      </c>
      <c r="R61" s="58" t="n">
        <f aca="false">SUM(INDEX(rw_Load,0,(COLUMN()-COLUMN(rw_LoadOrigin)-1)))</f>
        <v>0</v>
      </c>
      <c r="S61" s="58" t="n">
        <f aca="false">SUM(INDEX(rw_Load,0,(COLUMN()-COLUMN(rw_LoadOrigin)-1)))</f>
        <v>0</v>
      </c>
      <c r="T61" s="58" t="n">
        <f aca="false">SUM(INDEX(rw_Load,0,(COLUMN()-COLUMN(rw_LoadOrigin)-1)))</f>
        <v>0</v>
      </c>
      <c r="U61" s="58" t="n">
        <f aca="false">SUM(INDEX(rw_Load,0,(COLUMN()-COLUMN(rw_LoadOrigin)-1)))</f>
        <v>0</v>
      </c>
      <c r="V61" s="58" t="n">
        <f aca="false">SUM(INDEX(rw_Load,0,(COLUMN()-COLUMN(rw_LoadOrigin)-1)))</f>
        <v>0</v>
      </c>
      <c r="W61" s="58" t="n">
        <f aca="false">SUM(INDEX(rw_Load,0,(COLUMN()-COLUMN(rw_LoadOrigin)-1)))</f>
        <v>0</v>
      </c>
      <c r="X61" s="58" t="n">
        <f aca="false">SUM(INDEX(rw_Load,0,(COLUMN()-COLUMN(rw_LoadOrigin)-1)))</f>
        <v>0</v>
      </c>
      <c r="Y61" s="58" t="n">
        <f aca="false">SUM(INDEX(rw_Load,0,(COLUMN()-COLUMN(rw_LoadOrigin)-1)))</f>
        <v>0</v>
      </c>
      <c r="Z61" s="58" t="n">
        <f aca="false">SUM(INDEX(rw_Load,0,(COLUMN()-COLUMN(rw_LoadOrigin)-1)))</f>
        <v>0</v>
      </c>
      <c r="AA61" s="58" t="n">
        <f aca="false">SUM(INDEX(rw_Load,0,(COLUMN()-COLUMN(rw_LoadOrigin)-1)))</f>
        <v>0</v>
      </c>
      <c r="AB61" s="58" t="n">
        <f aca="false">SUM(INDEX(rw_Load,0,(COLUMN()-COLUMN(rw_LoadOrigin)-1)))</f>
        <v>0</v>
      </c>
      <c r="AC61" s="58" t="n">
        <f aca="false">SUM(INDEX(rw_Load,0,(COLUMN()-COLUMN(rw_LoadOrigin)-1)))</f>
        <v>0</v>
      </c>
    </row>
    <row r="62" customFormat="false" ht="15" hidden="false" customHeight="false" outlineLevel="0" collapsed="false">
      <c r="B62" s="31" t="s">
        <v>208</v>
      </c>
      <c r="D62" s="58" t="n">
        <f aca="false">SUMIFS(res_MaxUnits,res_Type,"Work")*HoursPerDay*INDEX(rw_WeekDays,(COLUMN()-COLUMN(rw_LoadOrigin)-1))</f>
        <v>240</v>
      </c>
      <c r="E62" s="58" t="n">
        <f aca="false">SUMIFS(res_MaxUnits,res_Type,"Work")*HoursPerDay*INDEX(rw_WeekDays,(COLUMN()-COLUMN(rw_LoadOrigin)-1))</f>
        <v>240</v>
      </c>
      <c r="F62" s="58" t="n">
        <f aca="false">SUMIFS(res_MaxUnits,res_Type,"Work")*HoursPerDay*INDEX(rw_WeekDays,(COLUMN()-COLUMN(rw_LoadOrigin)-1))</f>
        <v>240</v>
      </c>
      <c r="G62" s="58" t="n">
        <f aca="false">SUMIFS(res_MaxUnits,res_Type,"Work")*HoursPerDay*INDEX(rw_WeekDays,(COLUMN()-COLUMN(rw_LoadOrigin)-1))</f>
        <v>240</v>
      </c>
      <c r="H62" s="58" t="n">
        <f aca="false">SUMIFS(res_MaxUnits,res_Type,"Work")*HoursPerDay*INDEX(rw_WeekDays,(COLUMN()-COLUMN(rw_LoadOrigin)-1))</f>
        <v>240</v>
      </c>
      <c r="I62" s="58" t="n">
        <f aca="false">SUMIFS(res_MaxUnits,res_Type,"Work")*HoursPerDay*INDEX(rw_WeekDays,(COLUMN()-COLUMN(rw_LoadOrigin)-1))</f>
        <v>240</v>
      </c>
      <c r="J62" s="58" t="n">
        <f aca="false">SUMIFS(res_MaxUnits,res_Type,"Work")*HoursPerDay*INDEX(rw_WeekDays,(COLUMN()-COLUMN(rw_LoadOrigin)-1))</f>
        <v>240</v>
      </c>
      <c r="K62" s="58" t="n">
        <f aca="false">SUMIFS(res_MaxUnits,res_Type,"Work")*HoursPerDay*INDEX(rw_WeekDays,(COLUMN()-COLUMN(rw_LoadOrigin)-1))</f>
        <v>240</v>
      </c>
      <c r="L62" s="58" t="n">
        <f aca="false">SUMIFS(res_MaxUnits,res_Type,"Work")*HoursPerDay*INDEX(rw_WeekDays,(COLUMN()-COLUMN(rw_LoadOrigin)-1))</f>
        <v>240</v>
      </c>
      <c r="M62" s="58" t="n">
        <f aca="false">SUMIFS(res_MaxUnits,res_Type,"Work")*HoursPerDay*INDEX(rw_WeekDays,(COLUMN()-COLUMN(rw_LoadOrigin)-1))</f>
        <v>240</v>
      </c>
      <c r="N62" s="58" t="n">
        <f aca="false">SUMIFS(res_MaxUnits,res_Type,"Work")*HoursPerDay*INDEX(rw_WeekDays,(COLUMN()-COLUMN(rw_LoadOrigin)-1))</f>
        <v>240</v>
      </c>
      <c r="O62" s="58" t="n">
        <f aca="false">SUMIFS(res_MaxUnits,res_Type,"Work")*HoursPerDay*INDEX(rw_WeekDays,(COLUMN()-COLUMN(rw_LoadOrigin)-1))</f>
        <v>144</v>
      </c>
      <c r="P62" s="58" t="n">
        <f aca="false">SUMIFS(res_MaxUnits,res_Type,"Work")*HoursPerDay*INDEX(rw_WeekDays,(COLUMN()-COLUMN(rw_LoadOrigin)-1))</f>
        <v>144</v>
      </c>
      <c r="Q62" s="58" t="n">
        <f aca="false">SUMIFS(res_MaxUnits,res_Type,"Work")*HoursPerDay*INDEX(rw_WeekDays,(COLUMN()-COLUMN(rw_LoadOrigin)-1))</f>
        <v>240</v>
      </c>
      <c r="R62" s="58" t="n">
        <f aca="false">SUMIFS(res_MaxUnits,res_Type,"Work")*HoursPerDay*INDEX(rw_WeekDays,(COLUMN()-COLUMN(rw_LoadOrigin)-1))</f>
        <v>240</v>
      </c>
      <c r="S62" s="58" t="n">
        <f aca="false">SUMIFS(res_MaxUnits,res_Type,"Work")*HoursPerDay*INDEX(rw_WeekDays,(COLUMN()-COLUMN(rw_LoadOrigin)-1))</f>
        <v>240</v>
      </c>
      <c r="T62" s="58" t="n">
        <f aca="false">SUMIFS(res_MaxUnits,res_Type,"Work")*HoursPerDay*INDEX(rw_WeekDays,(COLUMN()-COLUMN(rw_LoadOrigin)-1))</f>
        <v>240</v>
      </c>
      <c r="U62" s="58" t="n">
        <f aca="false">SUMIFS(res_MaxUnits,res_Type,"Work")*HoursPerDay*INDEX(rw_WeekDays,(COLUMN()-COLUMN(rw_LoadOrigin)-1))</f>
        <v>240</v>
      </c>
      <c r="V62" s="58" t="n">
        <f aca="false">SUMIFS(res_MaxUnits,res_Type,"Work")*HoursPerDay*INDEX(rw_WeekDays,(COLUMN()-COLUMN(rw_LoadOrigin)-1))</f>
        <v>240</v>
      </c>
      <c r="W62" s="58" t="n">
        <f aca="false">SUMIFS(res_MaxUnits,res_Type,"Work")*HoursPerDay*INDEX(rw_WeekDays,(COLUMN()-COLUMN(rw_LoadOrigin)-1))</f>
        <v>240</v>
      </c>
      <c r="X62" s="58" t="n">
        <f aca="false">SUMIFS(res_MaxUnits,res_Type,"Work")*HoursPerDay*INDEX(rw_WeekDays,(COLUMN()-COLUMN(rw_LoadOrigin)-1))</f>
        <v>240</v>
      </c>
      <c r="Y62" s="58" t="n">
        <f aca="false">SUMIFS(res_MaxUnits,res_Type,"Work")*HoursPerDay*INDEX(rw_WeekDays,(COLUMN()-COLUMN(rw_LoadOrigin)-1))</f>
        <v>240</v>
      </c>
      <c r="Z62" s="58" t="n">
        <f aca="false">SUMIFS(res_MaxUnits,res_Type,"Work")*HoursPerDay*INDEX(rw_WeekDays,(COLUMN()-COLUMN(rw_LoadOrigin)-1))</f>
        <v>240</v>
      </c>
      <c r="AA62" s="58" t="n">
        <f aca="false">SUMIFS(res_MaxUnits,res_Type,"Work")*HoursPerDay*INDEX(rw_WeekDays,(COLUMN()-COLUMN(rw_LoadOrigin)-1))</f>
        <v>240</v>
      </c>
      <c r="AB62" s="58" t="n">
        <f aca="false">SUMIFS(res_MaxUnits,res_Type,"Work")*HoursPerDay*INDEX(rw_WeekDays,(COLUMN()-COLUMN(rw_LoadOrigin)-1))</f>
        <v>240</v>
      </c>
      <c r="AC62" s="58" t="n">
        <f aca="false">SUMIFS(res_MaxUnits,res_Type,"Work")*HoursPerDay*INDEX(rw_WeekDays,(COLUMN()-COLUMN(rw_LoadOrigin)-1))</f>
        <v>240</v>
      </c>
    </row>
    <row r="64" customFormat="false" ht="15" hidden="false" customHeight="false" outlineLevel="0" collapsed="false">
      <c r="B64" s="52" t="s">
        <v>209</v>
      </c>
    </row>
    <row r="66" customFormat="false" ht="15" hidden="false" customHeight="false" outlineLevel="0" collapsed="false">
      <c r="B66" s="9" t="s">
        <v>188</v>
      </c>
      <c r="C66" s="9" t="s">
        <v>194</v>
      </c>
      <c r="D66" s="53" t="n">
        <f aca="false">(ResourceWeekStart+7*((COLUMN()-COLUMN(rw_UtilOrigin)-1)-1))</f>
        <v>46300</v>
      </c>
      <c r="E66" s="53" t="n">
        <f aca="false">(ResourceWeekStart+7*((COLUMN()-COLUMN(rw_UtilOrigin)-1)-1))</f>
        <v>46307</v>
      </c>
      <c r="F66" s="53" t="n">
        <f aca="false">(ResourceWeekStart+7*((COLUMN()-COLUMN(rw_UtilOrigin)-1)-1))</f>
        <v>46314</v>
      </c>
      <c r="G66" s="53" t="n">
        <f aca="false">(ResourceWeekStart+7*((COLUMN()-COLUMN(rw_UtilOrigin)-1)-1))</f>
        <v>46321</v>
      </c>
      <c r="H66" s="53" t="n">
        <f aca="false">(ResourceWeekStart+7*((COLUMN()-COLUMN(rw_UtilOrigin)-1)-1))</f>
        <v>46328</v>
      </c>
      <c r="I66" s="53" t="n">
        <f aca="false">(ResourceWeekStart+7*((COLUMN()-COLUMN(rw_UtilOrigin)-1)-1))</f>
        <v>46335</v>
      </c>
      <c r="J66" s="53" t="n">
        <f aca="false">(ResourceWeekStart+7*((COLUMN()-COLUMN(rw_UtilOrigin)-1)-1))</f>
        <v>46342</v>
      </c>
      <c r="K66" s="53" t="n">
        <f aca="false">(ResourceWeekStart+7*((COLUMN()-COLUMN(rw_UtilOrigin)-1)-1))</f>
        <v>46349</v>
      </c>
      <c r="L66" s="53" t="n">
        <f aca="false">(ResourceWeekStart+7*((COLUMN()-COLUMN(rw_UtilOrigin)-1)-1))</f>
        <v>46356</v>
      </c>
      <c r="M66" s="53" t="n">
        <f aca="false">(ResourceWeekStart+7*((COLUMN()-COLUMN(rw_UtilOrigin)-1)-1))</f>
        <v>46363</v>
      </c>
      <c r="N66" s="53" t="n">
        <f aca="false">(ResourceWeekStart+7*((COLUMN()-COLUMN(rw_UtilOrigin)-1)-1))</f>
        <v>46370</v>
      </c>
      <c r="O66" s="53" t="n">
        <f aca="false">(ResourceWeekStart+7*((COLUMN()-COLUMN(rw_UtilOrigin)-1)-1))</f>
        <v>46377</v>
      </c>
      <c r="P66" s="53" t="n">
        <f aca="false">(ResourceWeekStart+7*((COLUMN()-COLUMN(rw_UtilOrigin)-1)-1))</f>
        <v>46384</v>
      </c>
      <c r="Q66" s="53" t="n">
        <f aca="false">(ResourceWeekStart+7*((COLUMN()-COLUMN(rw_UtilOrigin)-1)-1))</f>
        <v>46391</v>
      </c>
      <c r="R66" s="53" t="n">
        <f aca="false">(ResourceWeekStart+7*((COLUMN()-COLUMN(rw_UtilOrigin)-1)-1))</f>
        <v>46398</v>
      </c>
      <c r="S66" s="53" t="n">
        <f aca="false">(ResourceWeekStart+7*((COLUMN()-COLUMN(rw_UtilOrigin)-1)-1))</f>
        <v>46405</v>
      </c>
      <c r="T66" s="53" t="n">
        <f aca="false">(ResourceWeekStart+7*((COLUMN()-COLUMN(rw_UtilOrigin)-1)-1))</f>
        <v>46412</v>
      </c>
      <c r="U66" s="53" t="n">
        <f aca="false">(ResourceWeekStart+7*((COLUMN()-COLUMN(rw_UtilOrigin)-1)-1))</f>
        <v>46419</v>
      </c>
      <c r="V66" s="53" t="n">
        <f aca="false">(ResourceWeekStart+7*((COLUMN()-COLUMN(rw_UtilOrigin)-1)-1))</f>
        <v>46426</v>
      </c>
      <c r="W66" s="53" t="n">
        <f aca="false">(ResourceWeekStart+7*((COLUMN()-COLUMN(rw_UtilOrigin)-1)-1))</f>
        <v>46433</v>
      </c>
      <c r="X66" s="53" t="n">
        <f aca="false">(ResourceWeekStart+7*((COLUMN()-COLUMN(rw_UtilOrigin)-1)-1))</f>
        <v>46440</v>
      </c>
      <c r="Y66" s="53" t="n">
        <f aca="false">(ResourceWeekStart+7*((COLUMN()-COLUMN(rw_UtilOrigin)-1)-1))</f>
        <v>46447</v>
      </c>
      <c r="Z66" s="53" t="n">
        <f aca="false">(ResourceWeekStart+7*((COLUMN()-COLUMN(rw_UtilOrigin)-1)-1))</f>
        <v>46454</v>
      </c>
      <c r="AA66" s="53" t="n">
        <f aca="false">(ResourceWeekStart+7*((COLUMN()-COLUMN(rw_UtilOrigin)-1)-1))</f>
        <v>46461</v>
      </c>
      <c r="AB66" s="53" t="n">
        <f aca="false">(ResourceWeekStart+7*((COLUMN()-COLUMN(rw_UtilOrigin)-1)-1))</f>
        <v>46468</v>
      </c>
      <c r="AC66" s="53" t="n">
        <f aca="false">(ResourceWeekStart+7*((COLUMN()-COLUMN(rw_UtilOrigin)-1)-1))</f>
        <v>46475</v>
      </c>
    </row>
    <row r="67" customFormat="false" ht="15" hidden="false" customHeight="false" outlineLevel="0" collapsed="false">
      <c r="B67" s="54" t="s">
        <v>206</v>
      </c>
      <c r="D67" s="55" t="n">
        <f aca="false">NETWORKDAYS.INTL((ResourceWeekStart+7*((COLUMN()-COLUMN(rw_UtilOrigin)-1)-1)),(ResourceWeekStart+7*((COLUMN()-COLUMN(rw_UtilOrigin)-1)-1))+6,WorkWeek,Holidays)</f>
        <v>5</v>
      </c>
      <c r="E67" s="55" t="n">
        <f aca="false">NETWORKDAYS.INTL((ResourceWeekStart+7*((COLUMN()-COLUMN(rw_UtilOrigin)-1)-1)),(ResourceWeekStart+7*((COLUMN()-COLUMN(rw_UtilOrigin)-1)-1))+6,WorkWeek,Holidays)</f>
        <v>5</v>
      </c>
      <c r="F67" s="55" t="n">
        <f aca="false">NETWORKDAYS.INTL((ResourceWeekStart+7*((COLUMN()-COLUMN(rw_UtilOrigin)-1)-1)),(ResourceWeekStart+7*((COLUMN()-COLUMN(rw_UtilOrigin)-1)-1))+6,WorkWeek,Holidays)</f>
        <v>5</v>
      </c>
      <c r="G67" s="55" t="n">
        <f aca="false">NETWORKDAYS.INTL((ResourceWeekStart+7*((COLUMN()-COLUMN(rw_UtilOrigin)-1)-1)),(ResourceWeekStart+7*((COLUMN()-COLUMN(rw_UtilOrigin)-1)-1))+6,WorkWeek,Holidays)</f>
        <v>5</v>
      </c>
      <c r="H67" s="55" t="n">
        <f aca="false">NETWORKDAYS.INTL((ResourceWeekStart+7*((COLUMN()-COLUMN(rw_UtilOrigin)-1)-1)),(ResourceWeekStart+7*((COLUMN()-COLUMN(rw_UtilOrigin)-1)-1))+6,WorkWeek,Holidays)</f>
        <v>5</v>
      </c>
      <c r="I67" s="55" t="n">
        <f aca="false">NETWORKDAYS.INTL((ResourceWeekStart+7*((COLUMN()-COLUMN(rw_UtilOrigin)-1)-1)),(ResourceWeekStart+7*((COLUMN()-COLUMN(rw_UtilOrigin)-1)-1))+6,WorkWeek,Holidays)</f>
        <v>5</v>
      </c>
      <c r="J67" s="55" t="n">
        <f aca="false">NETWORKDAYS.INTL((ResourceWeekStart+7*((COLUMN()-COLUMN(rw_UtilOrigin)-1)-1)),(ResourceWeekStart+7*((COLUMN()-COLUMN(rw_UtilOrigin)-1)-1))+6,WorkWeek,Holidays)</f>
        <v>5</v>
      </c>
      <c r="K67" s="55" t="n">
        <f aca="false">NETWORKDAYS.INTL((ResourceWeekStart+7*((COLUMN()-COLUMN(rw_UtilOrigin)-1)-1)),(ResourceWeekStart+7*((COLUMN()-COLUMN(rw_UtilOrigin)-1)-1))+6,WorkWeek,Holidays)</f>
        <v>5</v>
      </c>
      <c r="L67" s="55" t="n">
        <f aca="false">NETWORKDAYS.INTL((ResourceWeekStart+7*((COLUMN()-COLUMN(rw_UtilOrigin)-1)-1)),(ResourceWeekStart+7*((COLUMN()-COLUMN(rw_UtilOrigin)-1)-1))+6,WorkWeek,Holidays)</f>
        <v>5</v>
      </c>
      <c r="M67" s="55" t="n">
        <f aca="false">NETWORKDAYS.INTL((ResourceWeekStart+7*((COLUMN()-COLUMN(rw_UtilOrigin)-1)-1)),(ResourceWeekStart+7*((COLUMN()-COLUMN(rw_UtilOrigin)-1)-1))+6,WorkWeek,Holidays)</f>
        <v>5</v>
      </c>
      <c r="N67" s="55" t="n">
        <f aca="false">NETWORKDAYS.INTL((ResourceWeekStart+7*((COLUMN()-COLUMN(rw_UtilOrigin)-1)-1)),(ResourceWeekStart+7*((COLUMN()-COLUMN(rw_UtilOrigin)-1)-1))+6,WorkWeek,Holidays)</f>
        <v>5</v>
      </c>
      <c r="O67" s="55" t="n">
        <f aca="false">NETWORKDAYS.INTL((ResourceWeekStart+7*((COLUMN()-COLUMN(rw_UtilOrigin)-1)-1)),(ResourceWeekStart+7*((COLUMN()-COLUMN(rw_UtilOrigin)-1)-1))+6,WorkWeek,Holidays)</f>
        <v>3</v>
      </c>
      <c r="P67" s="55" t="n">
        <f aca="false">NETWORKDAYS.INTL((ResourceWeekStart+7*((COLUMN()-COLUMN(rw_UtilOrigin)-1)-1)),(ResourceWeekStart+7*((COLUMN()-COLUMN(rw_UtilOrigin)-1)-1))+6,WorkWeek,Holidays)</f>
        <v>3</v>
      </c>
      <c r="Q67" s="55" t="n">
        <f aca="false">NETWORKDAYS.INTL((ResourceWeekStart+7*((COLUMN()-COLUMN(rw_UtilOrigin)-1)-1)),(ResourceWeekStart+7*((COLUMN()-COLUMN(rw_UtilOrigin)-1)-1))+6,WorkWeek,Holidays)</f>
        <v>5</v>
      </c>
      <c r="R67" s="55" t="n">
        <f aca="false">NETWORKDAYS.INTL((ResourceWeekStart+7*((COLUMN()-COLUMN(rw_UtilOrigin)-1)-1)),(ResourceWeekStart+7*((COLUMN()-COLUMN(rw_UtilOrigin)-1)-1))+6,WorkWeek,Holidays)</f>
        <v>5</v>
      </c>
      <c r="S67" s="55" t="n">
        <f aca="false">NETWORKDAYS.INTL((ResourceWeekStart+7*((COLUMN()-COLUMN(rw_UtilOrigin)-1)-1)),(ResourceWeekStart+7*((COLUMN()-COLUMN(rw_UtilOrigin)-1)-1))+6,WorkWeek,Holidays)</f>
        <v>5</v>
      </c>
      <c r="T67" s="55" t="n">
        <f aca="false">NETWORKDAYS.INTL((ResourceWeekStart+7*((COLUMN()-COLUMN(rw_UtilOrigin)-1)-1)),(ResourceWeekStart+7*((COLUMN()-COLUMN(rw_UtilOrigin)-1)-1))+6,WorkWeek,Holidays)</f>
        <v>5</v>
      </c>
      <c r="U67" s="55" t="n">
        <f aca="false">NETWORKDAYS.INTL((ResourceWeekStart+7*((COLUMN()-COLUMN(rw_UtilOrigin)-1)-1)),(ResourceWeekStart+7*((COLUMN()-COLUMN(rw_UtilOrigin)-1)-1))+6,WorkWeek,Holidays)</f>
        <v>5</v>
      </c>
      <c r="V67" s="55" t="n">
        <f aca="false">NETWORKDAYS.INTL((ResourceWeekStart+7*((COLUMN()-COLUMN(rw_UtilOrigin)-1)-1)),(ResourceWeekStart+7*((COLUMN()-COLUMN(rw_UtilOrigin)-1)-1))+6,WorkWeek,Holidays)</f>
        <v>5</v>
      </c>
      <c r="W67" s="55" t="n">
        <f aca="false">NETWORKDAYS.INTL((ResourceWeekStart+7*((COLUMN()-COLUMN(rw_UtilOrigin)-1)-1)),(ResourceWeekStart+7*((COLUMN()-COLUMN(rw_UtilOrigin)-1)-1))+6,WorkWeek,Holidays)</f>
        <v>5</v>
      </c>
      <c r="X67" s="55" t="n">
        <f aca="false">NETWORKDAYS.INTL((ResourceWeekStart+7*((COLUMN()-COLUMN(rw_UtilOrigin)-1)-1)),(ResourceWeekStart+7*((COLUMN()-COLUMN(rw_UtilOrigin)-1)-1))+6,WorkWeek,Holidays)</f>
        <v>5</v>
      </c>
      <c r="Y67" s="55" t="n">
        <f aca="false">NETWORKDAYS.INTL((ResourceWeekStart+7*((COLUMN()-COLUMN(rw_UtilOrigin)-1)-1)),(ResourceWeekStart+7*((COLUMN()-COLUMN(rw_UtilOrigin)-1)-1))+6,WorkWeek,Holidays)</f>
        <v>5</v>
      </c>
      <c r="Z67" s="55" t="n">
        <f aca="false">NETWORKDAYS.INTL((ResourceWeekStart+7*((COLUMN()-COLUMN(rw_UtilOrigin)-1)-1)),(ResourceWeekStart+7*((COLUMN()-COLUMN(rw_UtilOrigin)-1)-1))+6,WorkWeek,Holidays)</f>
        <v>5</v>
      </c>
      <c r="AA67" s="55" t="n">
        <f aca="false">NETWORKDAYS.INTL((ResourceWeekStart+7*((COLUMN()-COLUMN(rw_UtilOrigin)-1)-1)),(ResourceWeekStart+7*((COLUMN()-COLUMN(rw_UtilOrigin)-1)-1))+6,WorkWeek,Holidays)</f>
        <v>5</v>
      </c>
      <c r="AB67" s="55" t="n">
        <f aca="false">NETWORKDAYS.INTL((ResourceWeekStart+7*((COLUMN()-COLUMN(rw_UtilOrigin)-1)-1)),(ResourceWeekStart+7*((COLUMN()-COLUMN(rw_UtilOrigin)-1)-1))+6,WorkWeek,Holidays)</f>
        <v>5</v>
      </c>
      <c r="AC67" s="55" t="n">
        <f aca="false">NETWORKDAYS.INTL((ResourceWeekStart+7*((COLUMN()-COLUMN(rw_UtilOrigin)-1)-1)),(ResourceWeekStart+7*((COLUMN()-COLUMN(rw_UtilOrigin)-1)-1))+6,WorkWeek,Holidays)</f>
        <v>5</v>
      </c>
    </row>
    <row r="68" customFormat="false" ht="15" hidden="false" customHeight="false" outlineLevel="0" collapsed="false">
      <c r="B68" s="31" t="str">
        <f aca="false">IFERROR(INDEX(res_Name,(ROW()-ROW(rw_UtilOrigin)-1))&amp;"","")</f>
        <v>Priya Sharma</v>
      </c>
      <c r="C68" s="56" t="n">
        <f aca="false">IFERROR(IF(INDEX(res_Name,(ROW()-ROW(rw_UtilOrigin)-1))="","",INDEX(res_MaxUnits,(ROW()-ROW(rw_UtilOrigin)-1))),"")</f>
        <v>0.5</v>
      </c>
      <c r="D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E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F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G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H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I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J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0.4</v>
      </c>
      <c r="K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L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M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N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0.4</v>
      </c>
      <c r="O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P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Q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0.8</v>
      </c>
      <c r="R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S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T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U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V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W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X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Y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Z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A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B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C68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</row>
    <row r="69" customFormat="false" ht="15" hidden="false" customHeight="false" outlineLevel="0" collapsed="false">
      <c r="B69" s="31" t="str">
        <f aca="false">IFERROR(INDEX(res_Name,(ROW()-ROW(rw_UtilOrigin)-1))&amp;"","")</f>
        <v>Morgan Patel</v>
      </c>
      <c r="C69" s="56" t="n">
        <f aca="false">IFERROR(IF(INDEX(res_Name,(ROW()-ROW(rw_UtilOrigin)-1))="","",INDEX(res_MaxUnits,(ROW()-ROW(rw_UtilOrigin)-1))),"")</f>
        <v>1</v>
      </c>
      <c r="D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E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F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G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H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I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J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K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L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M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1</v>
      </c>
      <c r="N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0.2</v>
      </c>
      <c r="O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P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Q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R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S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T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U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V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W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X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Y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Z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A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B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C69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</row>
    <row r="70" customFormat="false" ht="15" hidden="false" customHeight="false" outlineLevel="0" collapsed="false">
      <c r="B70" s="31" t="str">
        <f aca="false">IFERROR(INDEX(res_Name,(ROW()-ROW(rw_UtilOrigin)-1))&amp;"","")</f>
        <v>Alex Chen</v>
      </c>
      <c r="C70" s="56" t="n">
        <f aca="false">IFERROR(IF(INDEX(res_Name,(ROW()-ROW(rw_UtilOrigin)-1))="","",INDEX(res_MaxUnits,(ROW()-ROW(rw_UtilOrigin)-1))),"")</f>
        <v>0.5</v>
      </c>
      <c r="D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E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F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G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H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I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J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K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L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M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N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O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P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Q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R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S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T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U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V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W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X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Y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Z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A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B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C70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</row>
    <row r="71" customFormat="false" ht="15" hidden="false" customHeight="false" outlineLevel="0" collapsed="false">
      <c r="B71" s="31" t="str">
        <f aca="false">IFERROR(INDEX(res_Name,(ROW()-ROW(rw_UtilOrigin)-1))&amp;"","")</f>
        <v>Casey Kim</v>
      </c>
      <c r="C71" s="56" t="n">
        <f aca="false">IFERROR(IF(INDEX(res_Name,(ROW()-ROW(rw_UtilOrigin)-1))="","",INDEX(res_MaxUnits,(ROW()-ROW(rw_UtilOrigin)-1))),"")</f>
        <v>1</v>
      </c>
      <c r="D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0.342857142857143</v>
      </c>
      <c r="E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F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G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H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0.3</v>
      </c>
      <c r="I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0.2</v>
      </c>
      <c r="J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0.3</v>
      </c>
      <c r="K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L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M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N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O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P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Q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R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S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T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U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V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W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X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Y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Z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A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B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C71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</row>
    <row r="72" customFormat="false" ht="15" hidden="false" customHeight="false" outlineLevel="0" collapsed="false">
      <c r="B72" s="31" t="str">
        <f aca="false">IFERROR(INDEX(res_Name,(ROW()-ROW(rw_UtilOrigin)-1))&amp;"","")</f>
        <v>Jordan Lee</v>
      </c>
      <c r="C72" s="56" t="n">
        <f aca="false">IFERROR(IF(INDEX(res_Name,(ROW()-ROW(rw_UtilOrigin)-1))="","",INDEX(res_MaxUnits,(ROW()-ROW(rw_UtilOrigin)-1))),"")</f>
        <v>1</v>
      </c>
      <c r="D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0.5</v>
      </c>
      <c r="E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0.833333333333333</v>
      </c>
      <c r="F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0.833333333333334</v>
      </c>
      <c r="G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0.833333333333333</v>
      </c>
      <c r="H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1</v>
      </c>
      <c r="I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0.2</v>
      </c>
      <c r="J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K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L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M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N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0.3</v>
      </c>
      <c r="O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0.5</v>
      </c>
      <c r="P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0.5</v>
      </c>
      <c r="Q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0.1</v>
      </c>
      <c r="R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S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T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U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V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W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X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Y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Z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A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B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C72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</row>
    <row r="73" customFormat="false" ht="15" hidden="false" customHeight="false" outlineLevel="0" collapsed="false">
      <c r="B73" s="31" t="str">
        <f aca="false">IFERROR(INDEX(res_Name,(ROW()-ROW(rw_UtilOrigin)-1))&amp;"","")</f>
        <v>Sam Rivera</v>
      </c>
      <c r="C73" s="56" t="n">
        <f aca="false">IFERROR(IF(INDEX(res_Name,(ROW()-ROW(rw_UtilOrigin)-1))="","",INDEX(res_MaxUnits,(ROW()-ROW(rw_UtilOrigin)-1))),"")</f>
        <v>1</v>
      </c>
      <c r="D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0.45</v>
      </c>
      <c r="E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0.75</v>
      </c>
      <c r="F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0.857142857142858</v>
      </c>
      <c r="G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0.857142857142857</v>
      </c>
      <c r="H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0.685714285714285</v>
      </c>
      <c r="I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J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K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L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M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N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O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P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Q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R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S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T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U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V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W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X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Y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Z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A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B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C73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</row>
    <row r="74" customFormat="false" ht="15" hidden="false" customHeight="false" outlineLevel="0" collapsed="false">
      <c r="B74" s="31" t="str">
        <f aca="false">IFERROR(INDEX(res_Name,(ROW()-ROW(rw_UtilOrigin)-1))&amp;"","")</f>
        <v>Taylor Morgan</v>
      </c>
      <c r="C74" s="56" t="n">
        <f aca="false">IFERROR(IF(INDEX(res_Name,(ROW()-ROW(rw_UtilOrigin)-1))="","",INDEX(res_MaxUnits,(ROW()-ROW(rw_UtilOrigin)-1))),"")</f>
        <v>1</v>
      </c>
      <c r="D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E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F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G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H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I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0.8</v>
      </c>
      <c r="J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0.8</v>
      </c>
      <c r="K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L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M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N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O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P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Q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R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S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T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U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V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W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X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Y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Z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A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B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  <c r="AC74" s="59" t="n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>0</v>
      </c>
    </row>
    <row r="75" customFormat="false" ht="15" hidden="false" customHeight="false" outlineLevel="0" collapsed="false">
      <c r="B75" s="31" t="str">
        <f aca="false">IFERROR(INDEX(res_Name,(ROW()-ROW(rw_UtilOrigin)-1))&amp;"","")</f>
        <v/>
      </c>
      <c r="C75" s="56" t="str">
        <f aca="false">IFERROR(IF(INDEX(res_Name,(ROW()-ROW(rw_UtilOrigin)-1))="","",INDEX(res_MaxUnits,(ROW()-ROW(rw_UtilOrigin)-1))),"")</f>
        <v/>
      </c>
      <c r="D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7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76" customFormat="false" ht="15" hidden="false" customHeight="false" outlineLevel="0" collapsed="false">
      <c r="B76" s="31" t="str">
        <f aca="false">IFERROR(INDEX(res_Name,(ROW()-ROW(rw_UtilOrigin)-1))&amp;"","")</f>
        <v/>
      </c>
      <c r="C76" s="56" t="str">
        <f aca="false">IFERROR(IF(INDEX(res_Name,(ROW()-ROW(rw_UtilOrigin)-1))="","",INDEX(res_MaxUnits,(ROW()-ROW(rw_UtilOrigin)-1))),"")</f>
        <v/>
      </c>
      <c r="D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7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77" customFormat="false" ht="15" hidden="false" customHeight="false" outlineLevel="0" collapsed="false">
      <c r="B77" s="31" t="str">
        <f aca="false">IFERROR(INDEX(res_Name,(ROW()-ROW(rw_UtilOrigin)-1))&amp;"","")</f>
        <v/>
      </c>
      <c r="C77" s="56" t="str">
        <f aca="false">IFERROR(IF(INDEX(res_Name,(ROW()-ROW(rw_UtilOrigin)-1))="","",INDEX(res_MaxUnits,(ROW()-ROW(rw_UtilOrigin)-1))),"")</f>
        <v/>
      </c>
      <c r="D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7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78" customFormat="false" ht="15" hidden="false" customHeight="false" outlineLevel="0" collapsed="false">
      <c r="B78" s="31" t="str">
        <f aca="false">IFERROR(INDEX(res_Name,(ROW()-ROW(rw_UtilOrigin)-1))&amp;"","")</f>
        <v/>
      </c>
      <c r="C78" s="56" t="str">
        <f aca="false">IFERROR(IF(INDEX(res_Name,(ROW()-ROW(rw_UtilOrigin)-1))="","",INDEX(res_MaxUnits,(ROW()-ROW(rw_UtilOrigin)-1))),"")</f>
        <v/>
      </c>
      <c r="D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7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79" customFormat="false" ht="15" hidden="false" customHeight="false" outlineLevel="0" collapsed="false">
      <c r="B79" s="31" t="str">
        <f aca="false">IFERROR(INDEX(res_Name,(ROW()-ROW(rw_UtilOrigin)-1))&amp;"","")</f>
        <v/>
      </c>
      <c r="C79" s="56" t="str">
        <f aca="false">IFERROR(IF(INDEX(res_Name,(ROW()-ROW(rw_UtilOrigin)-1))="","",INDEX(res_MaxUnits,(ROW()-ROW(rw_UtilOrigin)-1))),"")</f>
        <v/>
      </c>
      <c r="D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7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80" customFormat="false" ht="15" hidden="false" customHeight="false" outlineLevel="0" collapsed="false">
      <c r="B80" s="31" t="str">
        <f aca="false">IFERROR(INDEX(res_Name,(ROW()-ROW(rw_UtilOrigin)-1))&amp;"","")</f>
        <v/>
      </c>
      <c r="C80" s="56" t="str">
        <f aca="false">IFERROR(IF(INDEX(res_Name,(ROW()-ROW(rw_UtilOrigin)-1))="","",INDEX(res_MaxUnits,(ROW()-ROW(rw_UtilOrigin)-1))),"")</f>
        <v/>
      </c>
      <c r="D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8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81" customFormat="false" ht="15" hidden="false" customHeight="false" outlineLevel="0" collapsed="false">
      <c r="B81" s="31" t="str">
        <f aca="false">IFERROR(INDEX(res_Name,(ROW()-ROW(rw_UtilOrigin)-1))&amp;"","")</f>
        <v/>
      </c>
      <c r="C81" s="56" t="str">
        <f aca="false">IFERROR(IF(INDEX(res_Name,(ROW()-ROW(rw_UtilOrigin)-1))="","",INDEX(res_MaxUnits,(ROW()-ROW(rw_UtilOrigin)-1))),"")</f>
        <v/>
      </c>
      <c r="D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8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82" customFormat="false" ht="15" hidden="false" customHeight="false" outlineLevel="0" collapsed="false">
      <c r="B82" s="31" t="str">
        <f aca="false">IFERROR(INDEX(res_Name,(ROW()-ROW(rw_UtilOrigin)-1))&amp;"","")</f>
        <v/>
      </c>
      <c r="C82" s="56" t="str">
        <f aca="false">IFERROR(IF(INDEX(res_Name,(ROW()-ROW(rw_UtilOrigin)-1))="","",INDEX(res_MaxUnits,(ROW()-ROW(rw_UtilOrigin)-1))),"")</f>
        <v/>
      </c>
      <c r="D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8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83" customFormat="false" ht="15" hidden="false" customHeight="false" outlineLevel="0" collapsed="false">
      <c r="B83" s="31" t="str">
        <f aca="false">IFERROR(INDEX(res_Name,(ROW()-ROW(rw_UtilOrigin)-1))&amp;"","")</f>
        <v/>
      </c>
      <c r="C83" s="56" t="str">
        <f aca="false">IFERROR(IF(INDEX(res_Name,(ROW()-ROW(rw_UtilOrigin)-1))="","",INDEX(res_MaxUnits,(ROW()-ROW(rw_UtilOrigin)-1))),"")</f>
        <v/>
      </c>
      <c r="D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83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84" customFormat="false" ht="15" hidden="false" customHeight="false" outlineLevel="0" collapsed="false">
      <c r="B84" s="31" t="str">
        <f aca="false">IFERROR(INDEX(res_Name,(ROW()-ROW(rw_UtilOrigin)-1))&amp;"","")</f>
        <v/>
      </c>
      <c r="C84" s="56" t="str">
        <f aca="false">IFERROR(IF(INDEX(res_Name,(ROW()-ROW(rw_UtilOrigin)-1))="","",INDEX(res_MaxUnits,(ROW()-ROW(rw_UtilOrigin)-1))),"")</f>
        <v/>
      </c>
      <c r="D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84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85" customFormat="false" ht="15" hidden="false" customHeight="false" outlineLevel="0" collapsed="false">
      <c r="B85" s="31" t="str">
        <f aca="false">IFERROR(INDEX(res_Name,(ROW()-ROW(rw_UtilOrigin)-1))&amp;"","")</f>
        <v/>
      </c>
      <c r="C85" s="56" t="str">
        <f aca="false">IFERROR(IF(INDEX(res_Name,(ROW()-ROW(rw_UtilOrigin)-1))="","",INDEX(res_MaxUnits,(ROW()-ROW(rw_UtilOrigin)-1))),"")</f>
        <v/>
      </c>
      <c r="D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85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86" customFormat="false" ht="15" hidden="false" customHeight="false" outlineLevel="0" collapsed="false">
      <c r="B86" s="31" t="str">
        <f aca="false">IFERROR(INDEX(res_Name,(ROW()-ROW(rw_UtilOrigin)-1))&amp;"","")</f>
        <v/>
      </c>
      <c r="C86" s="56" t="str">
        <f aca="false">IFERROR(IF(INDEX(res_Name,(ROW()-ROW(rw_UtilOrigin)-1))="","",INDEX(res_MaxUnits,(ROW()-ROW(rw_UtilOrigin)-1))),"")</f>
        <v/>
      </c>
      <c r="D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86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87" customFormat="false" ht="15" hidden="false" customHeight="false" outlineLevel="0" collapsed="false">
      <c r="B87" s="31" t="str">
        <f aca="false">IFERROR(INDEX(res_Name,(ROW()-ROW(rw_UtilOrigin)-1))&amp;"","")</f>
        <v/>
      </c>
      <c r="C87" s="56" t="str">
        <f aca="false">IFERROR(IF(INDEX(res_Name,(ROW()-ROW(rw_UtilOrigin)-1))="","",INDEX(res_MaxUnits,(ROW()-ROW(rw_UtilOrigin)-1))),"")</f>
        <v/>
      </c>
      <c r="D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87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88" customFormat="false" ht="15" hidden="false" customHeight="false" outlineLevel="0" collapsed="false">
      <c r="B88" s="31" t="str">
        <f aca="false">IFERROR(INDEX(res_Name,(ROW()-ROW(rw_UtilOrigin)-1))&amp;"","")</f>
        <v/>
      </c>
      <c r="C88" s="56" t="str">
        <f aca="false">IFERROR(IF(INDEX(res_Name,(ROW()-ROW(rw_UtilOrigin)-1))="","",INDEX(res_MaxUnits,(ROW()-ROW(rw_UtilOrigin)-1))),"")</f>
        <v/>
      </c>
      <c r="D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88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89" customFormat="false" ht="15" hidden="false" customHeight="false" outlineLevel="0" collapsed="false">
      <c r="B89" s="31" t="str">
        <f aca="false">IFERROR(INDEX(res_Name,(ROW()-ROW(rw_UtilOrigin)-1))&amp;"","")</f>
        <v/>
      </c>
      <c r="C89" s="56" t="str">
        <f aca="false">IFERROR(IF(INDEX(res_Name,(ROW()-ROW(rw_UtilOrigin)-1))="","",INDEX(res_MaxUnits,(ROW()-ROW(rw_UtilOrigin)-1))),"")</f>
        <v/>
      </c>
      <c r="D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89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90" customFormat="false" ht="15" hidden="false" customHeight="false" outlineLevel="0" collapsed="false">
      <c r="B90" s="31" t="str">
        <f aca="false">IFERROR(INDEX(res_Name,(ROW()-ROW(rw_UtilOrigin)-1))&amp;"","")</f>
        <v/>
      </c>
      <c r="C90" s="56" t="str">
        <f aca="false">IFERROR(IF(INDEX(res_Name,(ROW()-ROW(rw_UtilOrigin)-1))="","",INDEX(res_MaxUnits,(ROW()-ROW(rw_UtilOrigin)-1))),"")</f>
        <v/>
      </c>
      <c r="D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90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91" customFormat="false" ht="15" hidden="false" customHeight="false" outlineLevel="0" collapsed="false">
      <c r="B91" s="31" t="str">
        <f aca="false">IFERROR(INDEX(res_Name,(ROW()-ROW(rw_UtilOrigin)-1))&amp;"","")</f>
        <v/>
      </c>
      <c r="C91" s="56" t="str">
        <f aca="false">IFERROR(IF(INDEX(res_Name,(ROW()-ROW(rw_UtilOrigin)-1))="","",INDEX(res_MaxUnits,(ROW()-ROW(rw_UtilOrigin)-1))),"")</f>
        <v/>
      </c>
      <c r="D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91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92" customFormat="false" ht="15" hidden="false" customHeight="false" outlineLevel="0" collapsed="false">
      <c r="B92" s="31" t="str">
        <f aca="false">IFERROR(INDEX(res_Name,(ROW()-ROW(rw_UtilOrigin)-1))&amp;"","")</f>
        <v/>
      </c>
      <c r="C92" s="56" t="str">
        <f aca="false">IFERROR(IF(INDEX(res_Name,(ROW()-ROW(rw_UtilOrigin)-1))="","",INDEX(res_MaxUnits,(ROW()-ROW(rw_UtilOrigin)-1))),"")</f>
        <v/>
      </c>
      <c r="D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E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F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G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H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I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J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K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L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M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N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O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P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Q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R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S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T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U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V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W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X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Y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Z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A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B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  <c r="AC92" s="59" t="str">
        <f aca="false">IFERROR(IF(OR(INDEX(res_Name,(ROW()-ROW(rw_UtilOrigin)-1))="",N(INDEX(res_MaxUnits,(ROW()-ROW(rw_UtilOrigin)-1)))=0,INDEX(rw_WeekDays,(COLUMN()-COLUMN(rw_UtilOrigin)-1))=0),"",INDEX(rw_Load,(ROW()-ROW(rw_UtilOrigin)-1),(COLUMN()-COLUMN(rw_UtilOrigin)-1))/(INDEX(res_MaxUnits,(ROW()-ROW(rw_UtilOrigin)-1))*HoursPerDay*INDEX(rw_WeekDays,(COLUMN()-COLUMN(rw_UtilOrigin)-1)))),"")</f>
        <v/>
      </c>
    </row>
    <row r="95" customFormat="false" ht="15" hidden="true" customHeight="false" outlineLevel="0" collapsed="false">
      <c r="B95" s="60" t="s">
        <v>210</v>
      </c>
    </row>
    <row r="96" customFormat="false" ht="15" hidden="true" customHeight="false" outlineLevel="0" collapsed="false">
      <c r="D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24</v>
      </c>
      <c r="E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24</v>
      </c>
      <c r="F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24</v>
      </c>
      <c r="G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24</v>
      </c>
      <c r="H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24</v>
      </c>
      <c r="I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24</v>
      </c>
      <c r="J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24</v>
      </c>
      <c r="K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32</v>
      </c>
      <c r="L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32</v>
      </c>
      <c r="M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32</v>
      </c>
      <c r="N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32</v>
      </c>
      <c r="O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P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Q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R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S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T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U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V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W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X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Y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Z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AA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AB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AC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  <c r="AD96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56</v>
      </c>
    </row>
    <row r="97" customFormat="false" ht="15" hidden="true" customHeight="false" outlineLevel="0" collapsed="false">
      <c r="D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E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F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G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H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I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J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K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L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M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N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120</v>
      </c>
      <c r="O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P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Q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R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S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T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U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V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W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X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Y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Z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AA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AB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AC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  <c r="AD97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128</v>
      </c>
    </row>
    <row r="98" customFormat="false" ht="15" hidden="true" customHeight="false" outlineLevel="0" collapsed="false">
      <c r="D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E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F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G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H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I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J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K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L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M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N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O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P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Q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R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S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T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U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V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W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X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Y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Z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AA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AB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AC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  <c r="AD98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40</v>
      </c>
    </row>
    <row r="99" customFormat="false" ht="15" hidden="true" customHeight="false" outlineLevel="0" collapsed="false">
      <c r="D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34.2857142857143</v>
      </c>
      <c r="E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48</v>
      </c>
      <c r="F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48</v>
      </c>
      <c r="G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48</v>
      </c>
      <c r="H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48</v>
      </c>
      <c r="I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60</v>
      </c>
      <c r="J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68</v>
      </c>
      <c r="K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L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M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N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O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P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Q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R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S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T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U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V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W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X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Y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Z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AA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AB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AC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  <c r="AD99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80</v>
      </c>
    </row>
    <row r="100" customFormat="false" ht="15" hidden="true" customHeight="false" outlineLevel="0" collapsed="false">
      <c r="D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0</v>
      </c>
      <c r="E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</v>
      </c>
      <c r="F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53.3333333333333</v>
      </c>
      <c r="G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86.6666666666667</v>
      </c>
      <c r="H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120</v>
      </c>
      <c r="I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160</v>
      </c>
      <c r="J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168</v>
      </c>
      <c r="K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168</v>
      </c>
      <c r="L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168</v>
      </c>
      <c r="M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168</v>
      </c>
      <c r="N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168</v>
      </c>
      <c r="O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180</v>
      </c>
      <c r="P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192</v>
      </c>
      <c r="Q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204</v>
      </c>
      <c r="R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S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T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U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V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W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X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Y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Z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AA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AB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AC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  <c r="AD100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208</v>
      </c>
    </row>
    <row r="101" customFormat="false" ht="15" hidden="true" customHeight="false" outlineLevel="0" collapsed="false">
      <c r="D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0</v>
      </c>
      <c r="E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18</v>
      </c>
      <c r="F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48</v>
      </c>
      <c r="G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82.2857142857143</v>
      </c>
      <c r="H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116.571428571429</v>
      </c>
      <c r="I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J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K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L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M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N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O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P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Q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R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S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T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U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V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W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X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Y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Z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AA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AB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AC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  <c r="AD101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144</v>
      </c>
    </row>
    <row r="102" customFormat="false" ht="15" hidden="true" customHeight="false" outlineLevel="0" collapsed="false">
      <c r="D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0</v>
      </c>
      <c r="E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0</v>
      </c>
      <c r="F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0</v>
      </c>
      <c r="G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0</v>
      </c>
      <c r="H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0</v>
      </c>
      <c r="I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0</v>
      </c>
      <c r="J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32</v>
      </c>
      <c r="K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L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M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N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O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P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Q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R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S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T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U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V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W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X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Y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Z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AA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AB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AC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  <c r="AD102" s="61" t="n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>64</v>
      </c>
    </row>
    <row r="103" customFormat="false" ht="15" hidden="true" customHeight="false" outlineLevel="0" collapsed="false">
      <c r="D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0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04" customFormat="false" ht="15" hidden="true" customHeight="false" outlineLevel="0" collapsed="false">
      <c r="D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0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05" customFormat="false" ht="15" hidden="true" customHeight="false" outlineLevel="0" collapsed="false">
      <c r="D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0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06" customFormat="false" ht="15" hidden="true" customHeight="false" outlineLevel="0" collapsed="false">
      <c r="D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0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07" customFormat="false" ht="15" hidden="true" customHeight="false" outlineLevel="0" collapsed="false">
      <c r="D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0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08" customFormat="false" ht="15" hidden="true" customHeight="false" outlineLevel="0" collapsed="false">
      <c r="D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0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09" customFormat="false" ht="15" hidden="true" customHeight="false" outlineLevel="0" collapsed="false">
      <c r="D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0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10" customFormat="false" ht="15" hidden="true" customHeight="false" outlineLevel="0" collapsed="false">
      <c r="D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1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11" customFormat="false" ht="15" hidden="true" customHeight="false" outlineLevel="0" collapsed="false">
      <c r="D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11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12" customFormat="false" ht="15" hidden="true" customHeight="false" outlineLevel="0" collapsed="false">
      <c r="D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12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13" customFormat="false" ht="15" hidden="true" customHeight="false" outlineLevel="0" collapsed="false">
      <c r="D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13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14" customFormat="false" ht="15" hidden="true" customHeight="false" outlineLevel="0" collapsed="false">
      <c r="D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14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15" customFormat="false" ht="15" hidden="true" customHeight="false" outlineLevel="0" collapsed="false">
      <c r="D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15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16" customFormat="false" ht="15" hidden="true" customHeight="false" outlineLevel="0" collapsed="false">
      <c r="D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16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17" customFormat="false" ht="15" hidden="true" customHeight="false" outlineLevel="0" collapsed="false">
      <c r="D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17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18" customFormat="false" ht="15" hidden="true" customHeight="false" outlineLevel="0" collapsed="false">
      <c r="D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18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19" customFormat="false" ht="15" hidden="true" customHeight="false" outlineLevel="0" collapsed="false">
      <c r="D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19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  <row r="120" customFormat="false" ht="15" hidden="true" customHeight="false" outlineLevel="0" collapsed="false">
      <c r="D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E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F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G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H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I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J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K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L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M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N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O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P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Q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R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S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T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U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V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W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X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Y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Z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A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B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C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  <c r="AD120" s="61" t="str">
        <f aca="false">IFERROR(IF(INDEX(res_Name,(ROW()-ROW(rw_CumOrigin)))="","",IF((ResourceWeekStart+7*(COLUMN()-COLUMN(rw_CumOrigin)-2)-1)&lt;ProjectStart,0,IF((ResourceWeekStart+7*(COLUMN()-COLUMN(rw_CumOrigin)-2)-1)&gt;=ProjectFinish,SUMIFS(tsk_LeafWork,tsk_Resource,INDEX(res_Name,(ROW()-ROW(rw_CumOrigin)))),(SUMIFS(tsk_LeafWork,tsk_FinishWD,"&lt;"&amp;NETWORKDAYS.INTL(ProjectStart,(ResourceWeekStart+7*(COLUMN()-COLUMN(rw_CumOrigin)-2)-1),WorkWeek,Holidays),tsk_FinishWD,"&gt;0",tsk_Resource,INDEX(res_Name,(ROW()-ROW(rw_CumOrigin))))+NETWORKDAYS.INTL(ProjectStart,(ResourceWeekStart+7*(COLUMN()-COLUMN(rw_CumOrigin)-2)-1),WorkWeek,Holidays)*SUMIFS(tsk_WorkPerWD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-SUMIFS(tsk_WorkBeforeStart,tsk_StartWD,"&lt;="&amp;NETWORKDAYS.INTL(ProjectStart,(ResourceWeekStart+7*(COLUMN()-COLUMN(rw_CumOrigin)-2)-1),WorkWeek,Holidays),tsk_FinishWD,"&gt;="&amp;NETWORKDAYS.INTL(ProjectStart,(ResourceWeekStart+7*(COLUMN()-COLUMN(rw_CumOrigin)-2)-1),WorkWeek,Holidays),tsk_Resource,INDEX(res_Name,(ROW()-ROW(rw_CumOrigin)))))))),"")</f>
        <v/>
      </c>
    </row>
  </sheetData>
  <conditionalFormatting sqref="N6:N30">
    <cfRule type="expression" priority="2" aboveAverage="0" equalAverage="0" bottom="0" percent="0" rank="0" text="" dxfId="15">
      <formula>N(N6)&gt;0</formula>
    </cfRule>
  </conditionalFormatting>
  <conditionalFormatting sqref="M6:M30">
    <cfRule type="expression" priority="3" aboveAverage="0" equalAverage="0" bottom="0" percent="0" rank="0" text="" dxfId="26">
      <formula>AND(ISNUMBER(M6),M6&gt;1)</formula>
    </cfRule>
  </conditionalFormatting>
  <conditionalFormatting sqref="D36:AC60">
    <cfRule type="expression" priority="4" aboveAverage="0" equalAverage="0" bottom="0" percent="0" rank="0" text="" dxfId="15">
      <formula>AND(ISNUMBER(D36),D36&gt;$C36*HoursPerDay*D$35)</formula>
    </cfRule>
  </conditionalFormatting>
  <conditionalFormatting sqref="D68:AC92">
    <cfRule type="colorScale" priority="5">
      <colorScale>
        <cfvo type="num" val="0"/>
        <cfvo type="num" val="0.8"/>
        <cfvo type="num" val="1.2"/>
        <color rgb="FFFFFFFF"/>
        <color rgb="FFC6EFCE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true" outlineLevel="0" max="2" min="2" style="0" width="4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8" min="6" style="0" width="14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26" t="str">
        <f aca="false">ProjectName&amp;"  -  Agile Report"</f>
        <v>Customer Portal Implementation  -  Agile Report</v>
      </c>
    </row>
    <row r="2" customFormat="false" ht="15" hidden="false" customHeight="false" outlineLevel="0" collapsed="false">
      <c r="A2" s="0" t="str">
        <f aca="false">"Status date "&amp;TEXT(StatusDate,"ddd dd-mmm-yyyy")&amp;"   Sprint length "&amp;SprintLength&amp;" days. Per-sprint numbers: Sprints sheet. Enter Story Points (and optionally Planned Sprint) on Tasks."</f>
        <v>Status date Sun 25-Oct-2026   Sprint length 14 days. Per-sprint numbers: Sprints sheet. Enter Story Points (and optionally Planned Sprint) on Tasks.</v>
      </c>
    </row>
    <row r="3" customFormat="false" ht="15" hidden="false" customHeight="false" outlineLevel="0" collapsed="false">
      <c r="C3" s="36" t="s">
        <v>211</v>
      </c>
    </row>
    <row r="4" customFormat="false" ht="15" hidden="false" customHeight="false" outlineLevel="0" collapsed="false">
      <c r="C4" s="9" t="s">
        <v>111</v>
      </c>
      <c r="D4" s="9" t="s">
        <v>80</v>
      </c>
    </row>
    <row r="5" customFormat="false" ht="15" hidden="false" customHeight="false" outlineLevel="0" collapsed="false">
      <c r="C5" s="10" t="s">
        <v>212</v>
      </c>
      <c r="D5" s="62" t="n">
        <f aca="false">TotalPoints</f>
        <v>82</v>
      </c>
    </row>
    <row r="6" customFormat="false" ht="15" hidden="false" customHeight="false" outlineLevel="0" collapsed="false">
      <c r="C6" s="10" t="s">
        <v>213</v>
      </c>
      <c r="D6" s="62" t="n">
        <f aca="false">SUMIFS(tsk_LeafPoints,tsk_DoneDate,"&lt;="&amp;StatusDate)</f>
        <v>33</v>
      </c>
    </row>
    <row r="7" customFormat="false" ht="15" hidden="false" customHeight="false" outlineLevel="0" collapsed="false">
      <c r="C7" s="10" t="s">
        <v>198</v>
      </c>
      <c r="D7" s="62" t="n">
        <f aca="false">agl_Total-agl_Done</f>
        <v>49</v>
      </c>
    </row>
    <row r="8" customFormat="false" ht="15" hidden="false" customHeight="false" outlineLevel="0" collapsed="false">
      <c r="C8" s="10" t="s">
        <v>214</v>
      </c>
      <c r="D8" s="63" t="n">
        <f aca="false">IFERROR(LOOKUP(2,1/(spr_Velocity&lt;&gt;""),spr_Velocity),"")</f>
        <v>11</v>
      </c>
    </row>
    <row r="9" customFormat="false" ht="15" hidden="false" customHeight="false" outlineLevel="0" collapsed="false">
      <c r="C9" s="10" t="s">
        <v>215</v>
      </c>
      <c r="D9" s="35" t="n">
        <f aca="false">IF(N(agl_Velocity)&gt;0,ROUNDUP(agl_Remaining/agl_Velocity,0),"")</f>
        <v>5</v>
      </c>
    </row>
    <row r="10" customFormat="false" ht="15" hidden="false" customHeight="false" outlineLevel="0" collapsed="false">
      <c r="C10" s="10" t="s">
        <v>216</v>
      </c>
      <c r="D10" s="35" t="n">
        <f aca="false">COUNTIF(spr_Status,"Closed")</f>
        <v>3</v>
      </c>
    </row>
    <row r="11" customFormat="false" ht="15" hidden="false" customHeight="false" outlineLevel="0" collapsed="false">
      <c r="C11" s="10" t="s">
        <v>217</v>
      </c>
      <c r="D11" s="64" t="str">
        <f aca="false">IF(agl_SprintsLeft="","",IF(agl_LastClosed+agl_SprintsLeft&lt;=SprintCount,INDEX(spr_Name,agl_LastClosed+agl_SprintsLeft),"after "&amp;INDEX(spr_Name,SprintCount)))</f>
        <v>Sprint 8</v>
      </c>
    </row>
    <row r="12" customFormat="false" ht="15" hidden="false" customHeight="false" outlineLevel="0" collapsed="false">
      <c r="C12" s="10" t="s">
        <v>218</v>
      </c>
      <c r="D12" s="65" t="n">
        <f aca="false">IF(agl_SprintsLeft="","",IF(agl_LastClosed+agl_SprintsLeft&lt;=SprintCount,INDEX(spr_End,agl_LastClosed+agl_SprintsLeft),""))</f>
        <v>46383</v>
      </c>
    </row>
    <row r="13" customFormat="false" ht="15" hidden="false" customHeight="false" outlineLevel="0" collapsed="false">
      <c r="C13" s="10" t="s">
        <v>219</v>
      </c>
      <c r="D13" s="65" t="n">
        <f aca="false">ProjectFinish</f>
        <v>46393</v>
      </c>
    </row>
    <row r="14" customFormat="false" ht="15" hidden="false" customHeight="false" outlineLevel="0" collapsed="false">
      <c r="C14" s="10" t="s">
        <v>98</v>
      </c>
      <c r="D14" s="64" t="str">
        <f aca="false">IF(CurrentSprint="","(outside sprint range)",CurrentSprint)</f>
        <v>Sprint 4</v>
      </c>
    </row>
    <row r="15" customFormat="false" ht="15" hidden="false" customHeight="false" outlineLevel="0" collapsed="false">
      <c r="C15" s="10" t="s">
        <v>220</v>
      </c>
      <c r="D15" s="62" t="n">
        <f aca="false">SUMIFS(tsk_LeafPoints,tsk_Sprint,CurrentSprint)</f>
        <v>8</v>
      </c>
    </row>
    <row r="16" customFormat="false" ht="15" hidden="false" customHeight="false" outlineLevel="0" collapsed="false">
      <c r="C16" s="10" t="s">
        <v>221</v>
      </c>
      <c r="D16" s="62" t="n">
        <f aca="false">SUMIFS(tsk_LeafPoints,tsk_Sprint,CurrentSprint,tsk_DoneDate,"&lt;="&amp;StatusDate)</f>
        <v>0</v>
      </c>
    </row>
    <row r="17" customFormat="false" ht="15" hidden="false" customHeight="false" outlineLevel="0" collapsed="false">
      <c r="C17" s="10" t="s">
        <v>222</v>
      </c>
      <c r="D17" s="35" t="n">
        <f aca="false">COUNTIFS(tsk_IsLeaf,1,tsk_StoryPoints,"",tsk_Duration,"&gt;0")</f>
        <v>0</v>
      </c>
    </row>
    <row r="19" customFormat="false" ht="15" hidden="false" customHeight="false" outlineLevel="0" collapsed="false">
      <c r="C19" s="36" t="str">
        <f aca="false">"Current sprint backlog ("&amp;agl_Current&amp;")"&amp;": "&amp;COUNT(tsk_CurrentSprintKey)&amp;IF(COUNT(tsk_CurrentSprintKey)&gt;ROWS(SprintBacklog[_Task])," (showing the first "&amp;ROWS(SprintBacklog[_Task])&amp;")","")</f>
        <v>Current sprint backlog (Sprint 4): 1</v>
      </c>
    </row>
    <row r="20" customFormat="false" ht="23.85" hidden="false" customHeight="false" outlineLevel="0" collapsed="false">
      <c r="B20" s="42" t="s">
        <v>168</v>
      </c>
      <c r="C20" s="9" t="s">
        <v>187</v>
      </c>
      <c r="D20" s="9" t="s">
        <v>223</v>
      </c>
      <c r="E20" s="9" t="s">
        <v>188</v>
      </c>
      <c r="F20" s="9" t="s">
        <v>172</v>
      </c>
      <c r="G20" s="9" t="s">
        <v>174</v>
      </c>
      <c r="H20" s="9" t="s">
        <v>81</v>
      </c>
    </row>
    <row r="21" customFormat="false" ht="15" hidden="false" customHeight="false" outlineLevel="0" collapsed="false">
      <c r="B21" s="43" t="n">
        <f aca="false">IFERROR(MATCH(SMALL(tsk_CurrentSprintKey,ROW()-ROW(SprintBacklog[[#Headers],[_Task]])),tsk_CurrentSprintKey,0),"")</f>
        <v>17</v>
      </c>
      <c r="C21" s="24" t="str">
        <f aca="false">IF(SprintBacklog[[#This Row],[_Task]]="","",INDEX(tsk_Name,SprintBacklog[[#This Row],[_Task]])&amp;"")</f>
        <v>Feature screens</v>
      </c>
      <c r="D21" s="66" t="n">
        <f aca="false">IF(SprintBacklog[[#This Row],[_Task]]="","",INDEX(tsk_StoryPoints,SprintBacklog[[#This Row],[_Task]]))</f>
        <v>8</v>
      </c>
      <c r="E21" s="24" t="str">
        <f aca="false">IF(SprintBacklog[[#This Row],[_Task]]="","",INDEX(tsk_Resource,SprintBacklog[[#This Row],[_Task]])&amp;"")</f>
        <v>Sam Rivera</v>
      </c>
      <c r="F21" s="44" t="n">
        <f aca="false">IF(SprintBacklog[[#This Row],[_Task]]="","",IF(N(INDEX(tsk_FcFinish,SprintBacklog[[#This Row],[_Task]]))=0,"",INDEX(tsk_FcFinish,SprintBacklog[[#This Row],[_Task]])))</f>
        <v>46331</v>
      </c>
      <c r="G21" s="46" t="n">
        <f aca="false">IF(SprintBacklog[[#This Row],[_Task]]="","",INDEX(tsk_Progress,SprintBacklog[[#This Row],[_Task]]))</f>
        <v>0.25</v>
      </c>
      <c r="H21" s="24" t="str">
        <f aca="false">IF(SprintBacklog[[#This Row],[_Task]]="","",INDEX(tsk_Status,SprintBacklog[[#This Row],[_Task]])&amp;"")</f>
        <v>Behind</v>
      </c>
    </row>
    <row r="22" customFormat="false" ht="15" hidden="false" customHeight="false" outlineLevel="0" collapsed="false">
      <c r="B22" s="43" t="str">
        <f aca="false">IFERROR(MATCH(SMALL(tsk_CurrentSprintKey,ROW()-ROW(SprintBacklog[[#Headers],[_Task]])),tsk_CurrentSprintKey,0),"")</f>
        <v/>
      </c>
      <c r="C22" s="24" t="str">
        <f aca="false">IF(SprintBacklog[[#This Row],[_Task]]="","",INDEX(tsk_Name,SprintBacklog[[#This Row],[_Task]])&amp;"")</f>
        <v/>
      </c>
      <c r="D22" s="66" t="str">
        <f aca="false">IF(SprintBacklog[[#This Row],[_Task]]="","",INDEX(tsk_StoryPoints,SprintBacklog[[#This Row],[_Task]]))</f>
        <v/>
      </c>
      <c r="E22" s="24" t="str">
        <f aca="false">IF(SprintBacklog[[#This Row],[_Task]]="","",INDEX(tsk_Resource,SprintBacklog[[#This Row],[_Task]])&amp;"")</f>
        <v/>
      </c>
      <c r="F22" s="44" t="str">
        <f aca="false">IF(SprintBacklog[[#This Row],[_Task]]="","",IF(N(INDEX(tsk_FcFinish,SprintBacklog[[#This Row],[_Task]]))=0,"",INDEX(tsk_FcFinish,SprintBacklog[[#This Row],[_Task]])))</f>
        <v/>
      </c>
      <c r="G22" s="46" t="str">
        <f aca="false">IF(SprintBacklog[[#This Row],[_Task]]="","",INDEX(tsk_Progress,SprintBacklog[[#This Row],[_Task]]))</f>
        <v/>
      </c>
      <c r="H22" s="24" t="str">
        <f aca="false">IF(SprintBacklog[[#This Row],[_Task]]="","",INDEX(tsk_Status,SprintBacklog[[#This Row],[_Task]])&amp;"")</f>
        <v/>
      </c>
    </row>
    <row r="23" customFormat="false" ht="15" hidden="false" customHeight="false" outlineLevel="0" collapsed="false">
      <c r="B23" s="43" t="str">
        <f aca="false">IFERROR(MATCH(SMALL(tsk_CurrentSprintKey,ROW()-ROW(SprintBacklog[[#Headers],[_Task]])),tsk_CurrentSprintKey,0),"")</f>
        <v/>
      </c>
      <c r="C23" s="24" t="str">
        <f aca="false">IF(SprintBacklog[[#This Row],[_Task]]="","",INDEX(tsk_Name,SprintBacklog[[#This Row],[_Task]])&amp;"")</f>
        <v/>
      </c>
      <c r="D23" s="66" t="str">
        <f aca="false">IF(SprintBacklog[[#This Row],[_Task]]="","",INDEX(tsk_StoryPoints,SprintBacklog[[#This Row],[_Task]]))</f>
        <v/>
      </c>
      <c r="E23" s="24" t="str">
        <f aca="false">IF(SprintBacklog[[#This Row],[_Task]]="","",INDEX(tsk_Resource,SprintBacklog[[#This Row],[_Task]])&amp;"")</f>
        <v/>
      </c>
      <c r="F23" s="44" t="str">
        <f aca="false">IF(SprintBacklog[[#This Row],[_Task]]="","",IF(N(INDEX(tsk_FcFinish,SprintBacklog[[#This Row],[_Task]]))=0,"",INDEX(tsk_FcFinish,SprintBacklog[[#This Row],[_Task]])))</f>
        <v/>
      </c>
      <c r="G23" s="46" t="str">
        <f aca="false">IF(SprintBacklog[[#This Row],[_Task]]="","",INDEX(tsk_Progress,SprintBacklog[[#This Row],[_Task]]))</f>
        <v/>
      </c>
      <c r="H23" s="24" t="str">
        <f aca="false">IF(SprintBacklog[[#This Row],[_Task]]="","",INDEX(tsk_Status,SprintBacklog[[#This Row],[_Task]])&amp;"")</f>
        <v/>
      </c>
    </row>
    <row r="24" customFormat="false" ht="15" hidden="false" customHeight="false" outlineLevel="0" collapsed="false">
      <c r="B24" s="43" t="str">
        <f aca="false">IFERROR(MATCH(SMALL(tsk_CurrentSprintKey,ROW()-ROW(SprintBacklog[[#Headers],[_Task]])),tsk_CurrentSprintKey,0),"")</f>
        <v/>
      </c>
      <c r="C24" s="24" t="str">
        <f aca="false">IF(SprintBacklog[[#This Row],[_Task]]="","",INDEX(tsk_Name,SprintBacklog[[#This Row],[_Task]])&amp;"")</f>
        <v/>
      </c>
      <c r="D24" s="66" t="str">
        <f aca="false">IF(SprintBacklog[[#This Row],[_Task]]="","",INDEX(tsk_StoryPoints,SprintBacklog[[#This Row],[_Task]]))</f>
        <v/>
      </c>
      <c r="E24" s="24" t="str">
        <f aca="false">IF(SprintBacklog[[#This Row],[_Task]]="","",INDEX(tsk_Resource,SprintBacklog[[#This Row],[_Task]])&amp;"")</f>
        <v/>
      </c>
      <c r="F24" s="44" t="str">
        <f aca="false">IF(SprintBacklog[[#This Row],[_Task]]="","",IF(N(INDEX(tsk_FcFinish,SprintBacklog[[#This Row],[_Task]]))=0,"",INDEX(tsk_FcFinish,SprintBacklog[[#This Row],[_Task]])))</f>
        <v/>
      </c>
      <c r="G24" s="46" t="str">
        <f aca="false">IF(SprintBacklog[[#This Row],[_Task]]="","",INDEX(tsk_Progress,SprintBacklog[[#This Row],[_Task]]))</f>
        <v/>
      </c>
      <c r="H24" s="24" t="str">
        <f aca="false">IF(SprintBacklog[[#This Row],[_Task]]="","",INDEX(tsk_Status,SprintBacklog[[#This Row],[_Task]])&amp;"")</f>
        <v/>
      </c>
    </row>
    <row r="25" customFormat="false" ht="15" hidden="false" customHeight="false" outlineLevel="0" collapsed="false">
      <c r="B25" s="43" t="str">
        <f aca="false">IFERROR(MATCH(SMALL(tsk_CurrentSprintKey,ROW()-ROW(SprintBacklog[[#Headers],[_Task]])),tsk_CurrentSprintKey,0),"")</f>
        <v/>
      </c>
      <c r="C25" s="24" t="str">
        <f aca="false">IF(SprintBacklog[[#This Row],[_Task]]="","",INDEX(tsk_Name,SprintBacklog[[#This Row],[_Task]])&amp;"")</f>
        <v/>
      </c>
      <c r="D25" s="66" t="str">
        <f aca="false">IF(SprintBacklog[[#This Row],[_Task]]="","",INDEX(tsk_StoryPoints,SprintBacklog[[#This Row],[_Task]]))</f>
        <v/>
      </c>
      <c r="E25" s="24" t="str">
        <f aca="false">IF(SprintBacklog[[#This Row],[_Task]]="","",INDEX(tsk_Resource,SprintBacklog[[#This Row],[_Task]])&amp;"")</f>
        <v/>
      </c>
      <c r="F25" s="44" t="str">
        <f aca="false">IF(SprintBacklog[[#This Row],[_Task]]="","",IF(N(INDEX(tsk_FcFinish,SprintBacklog[[#This Row],[_Task]]))=0,"",INDEX(tsk_FcFinish,SprintBacklog[[#This Row],[_Task]])))</f>
        <v/>
      </c>
      <c r="G25" s="46" t="str">
        <f aca="false">IF(SprintBacklog[[#This Row],[_Task]]="","",INDEX(tsk_Progress,SprintBacklog[[#This Row],[_Task]]))</f>
        <v/>
      </c>
      <c r="H25" s="24" t="str">
        <f aca="false">IF(SprintBacklog[[#This Row],[_Task]]="","",INDEX(tsk_Status,SprintBacklog[[#This Row],[_Task]])&amp;"")</f>
        <v/>
      </c>
    </row>
    <row r="26" customFormat="false" ht="15" hidden="false" customHeight="false" outlineLevel="0" collapsed="false">
      <c r="B26" s="43" t="str">
        <f aca="false">IFERROR(MATCH(SMALL(tsk_CurrentSprintKey,ROW()-ROW(SprintBacklog[[#Headers],[_Task]])),tsk_CurrentSprintKey,0),"")</f>
        <v/>
      </c>
      <c r="C26" s="24" t="str">
        <f aca="false">IF(SprintBacklog[[#This Row],[_Task]]="","",INDEX(tsk_Name,SprintBacklog[[#This Row],[_Task]])&amp;"")</f>
        <v/>
      </c>
      <c r="D26" s="66" t="str">
        <f aca="false">IF(SprintBacklog[[#This Row],[_Task]]="","",INDEX(tsk_StoryPoints,SprintBacklog[[#This Row],[_Task]]))</f>
        <v/>
      </c>
      <c r="E26" s="24" t="str">
        <f aca="false">IF(SprintBacklog[[#This Row],[_Task]]="","",INDEX(tsk_Resource,SprintBacklog[[#This Row],[_Task]])&amp;"")</f>
        <v/>
      </c>
      <c r="F26" s="44" t="str">
        <f aca="false">IF(SprintBacklog[[#This Row],[_Task]]="","",IF(N(INDEX(tsk_FcFinish,SprintBacklog[[#This Row],[_Task]]))=0,"",INDEX(tsk_FcFinish,SprintBacklog[[#This Row],[_Task]])))</f>
        <v/>
      </c>
      <c r="G26" s="46" t="str">
        <f aca="false">IF(SprintBacklog[[#This Row],[_Task]]="","",INDEX(tsk_Progress,SprintBacklog[[#This Row],[_Task]]))</f>
        <v/>
      </c>
      <c r="H26" s="24" t="str">
        <f aca="false">IF(SprintBacklog[[#This Row],[_Task]]="","",INDEX(tsk_Status,SprintBacklog[[#This Row],[_Task]])&amp;"")</f>
        <v/>
      </c>
    </row>
    <row r="27" customFormat="false" ht="15" hidden="false" customHeight="false" outlineLevel="0" collapsed="false">
      <c r="B27" s="43" t="str">
        <f aca="false">IFERROR(MATCH(SMALL(tsk_CurrentSprintKey,ROW()-ROW(SprintBacklog[[#Headers],[_Task]])),tsk_CurrentSprintKey,0),"")</f>
        <v/>
      </c>
      <c r="C27" s="24" t="str">
        <f aca="false">IF(SprintBacklog[[#This Row],[_Task]]="","",INDEX(tsk_Name,SprintBacklog[[#This Row],[_Task]])&amp;"")</f>
        <v/>
      </c>
      <c r="D27" s="66" t="str">
        <f aca="false">IF(SprintBacklog[[#This Row],[_Task]]="","",INDEX(tsk_StoryPoints,SprintBacklog[[#This Row],[_Task]]))</f>
        <v/>
      </c>
      <c r="E27" s="24" t="str">
        <f aca="false">IF(SprintBacklog[[#This Row],[_Task]]="","",INDEX(tsk_Resource,SprintBacklog[[#This Row],[_Task]])&amp;"")</f>
        <v/>
      </c>
      <c r="F27" s="44" t="str">
        <f aca="false">IF(SprintBacklog[[#This Row],[_Task]]="","",IF(N(INDEX(tsk_FcFinish,SprintBacklog[[#This Row],[_Task]]))=0,"",INDEX(tsk_FcFinish,SprintBacklog[[#This Row],[_Task]])))</f>
        <v/>
      </c>
      <c r="G27" s="46" t="str">
        <f aca="false">IF(SprintBacklog[[#This Row],[_Task]]="","",INDEX(tsk_Progress,SprintBacklog[[#This Row],[_Task]]))</f>
        <v/>
      </c>
      <c r="H27" s="24" t="str">
        <f aca="false">IF(SprintBacklog[[#This Row],[_Task]]="","",INDEX(tsk_Status,SprintBacklog[[#This Row],[_Task]])&amp;"")</f>
        <v/>
      </c>
    </row>
    <row r="28" customFormat="false" ht="15" hidden="false" customHeight="false" outlineLevel="0" collapsed="false">
      <c r="B28" s="43" t="str">
        <f aca="false">IFERROR(MATCH(SMALL(tsk_CurrentSprintKey,ROW()-ROW(SprintBacklog[[#Headers],[_Task]])),tsk_CurrentSprintKey,0),"")</f>
        <v/>
      </c>
      <c r="C28" s="24" t="str">
        <f aca="false">IF(SprintBacklog[[#This Row],[_Task]]="","",INDEX(tsk_Name,SprintBacklog[[#This Row],[_Task]])&amp;"")</f>
        <v/>
      </c>
      <c r="D28" s="66" t="str">
        <f aca="false">IF(SprintBacklog[[#This Row],[_Task]]="","",INDEX(tsk_StoryPoints,SprintBacklog[[#This Row],[_Task]]))</f>
        <v/>
      </c>
      <c r="E28" s="24" t="str">
        <f aca="false">IF(SprintBacklog[[#This Row],[_Task]]="","",INDEX(tsk_Resource,SprintBacklog[[#This Row],[_Task]])&amp;"")</f>
        <v/>
      </c>
      <c r="F28" s="44" t="str">
        <f aca="false">IF(SprintBacklog[[#This Row],[_Task]]="","",IF(N(INDEX(tsk_FcFinish,SprintBacklog[[#This Row],[_Task]]))=0,"",INDEX(tsk_FcFinish,SprintBacklog[[#This Row],[_Task]])))</f>
        <v/>
      </c>
      <c r="G28" s="46" t="str">
        <f aca="false">IF(SprintBacklog[[#This Row],[_Task]]="","",INDEX(tsk_Progress,SprintBacklog[[#This Row],[_Task]]))</f>
        <v/>
      </c>
      <c r="H28" s="24" t="str">
        <f aca="false">IF(SprintBacklog[[#This Row],[_Task]]="","",INDEX(tsk_Status,SprintBacklog[[#This Row],[_Task]])&amp;"")</f>
        <v/>
      </c>
    </row>
    <row r="29" customFormat="false" ht="15" hidden="false" customHeight="false" outlineLevel="0" collapsed="false">
      <c r="B29" s="43" t="str">
        <f aca="false">IFERROR(MATCH(SMALL(tsk_CurrentSprintKey,ROW()-ROW(SprintBacklog[[#Headers],[_Task]])),tsk_CurrentSprintKey,0),"")</f>
        <v/>
      </c>
      <c r="C29" s="24" t="str">
        <f aca="false">IF(SprintBacklog[[#This Row],[_Task]]="","",INDEX(tsk_Name,SprintBacklog[[#This Row],[_Task]])&amp;"")</f>
        <v/>
      </c>
      <c r="D29" s="66" t="str">
        <f aca="false">IF(SprintBacklog[[#This Row],[_Task]]="","",INDEX(tsk_StoryPoints,SprintBacklog[[#This Row],[_Task]]))</f>
        <v/>
      </c>
      <c r="E29" s="24" t="str">
        <f aca="false">IF(SprintBacklog[[#This Row],[_Task]]="","",INDEX(tsk_Resource,SprintBacklog[[#This Row],[_Task]])&amp;"")</f>
        <v/>
      </c>
      <c r="F29" s="44" t="str">
        <f aca="false">IF(SprintBacklog[[#This Row],[_Task]]="","",IF(N(INDEX(tsk_FcFinish,SprintBacklog[[#This Row],[_Task]]))=0,"",INDEX(tsk_FcFinish,SprintBacklog[[#This Row],[_Task]])))</f>
        <v/>
      </c>
      <c r="G29" s="46" t="str">
        <f aca="false">IF(SprintBacklog[[#This Row],[_Task]]="","",INDEX(tsk_Progress,SprintBacklog[[#This Row],[_Task]]))</f>
        <v/>
      </c>
      <c r="H29" s="24" t="str">
        <f aca="false">IF(SprintBacklog[[#This Row],[_Task]]="","",INDEX(tsk_Status,SprintBacklog[[#This Row],[_Task]])&amp;"")</f>
        <v/>
      </c>
    </row>
    <row r="30" customFormat="false" ht="15" hidden="false" customHeight="false" outlineLevel="0" collapsed="false">
      <c r="B30" s="43" t="str">
        <f aca="false">IFERROR(MATCH(SMALL(tsk_CurrentSprintKey,ROW()-ROW(SprintBacklog[[#Headers],[_Task]])),tsk_CurrentSprintKey,0),"")</f>
        <v/>
      </c>
      <c r="C30" s="24" t="str">
        <f aca="false">IF(SprintBacklog[[#This Row],[_Task]]="","",INDEX(tsk_Name,SprintBacklog[[#This Row],[_Task]])&amp;"")</f>
        <v/>
      </c>
      <c r="D30" s="66" t="str">
        <f aca="false">IF(SprintBacklog[[#This Row],[_Task]]="","",INDEX(tsk_StoryPoints,SprintBacklog[[#This Row],[_Task]]))</f>
        <v/>
      </c>
      <c r="E30" s="24" t="str">
        <f aca="false">IF(SprintBacklog[[#This Row],[_Task]]="","",INDEX(tsk_Resource,SprintBacklog[[#This Row],[_Task]])&amp;"")</f>
        <v/>
      </c>
      <c r="F30" s="44" t="str">
        <f aca="false">IF(SprintBacklog[[#This Row],[_Task]]="","",IF(N(INDEX(tsk_FcFinish,SprintBacklog[[#This Row],[_Task]]))=0,"",INDEX(tsk_FcFinish,SprintBacklog[[#This Row],[_Task]])))</f>
        <v/>
      </c>
      <c r="G30" s="46" t="str">
        <f aca="false">IF(SprintBacklog[[#This Row],[_Task]]="","",INDEX(tsk_Progress,SprintBacklog[[#This Row],[_Task]]))</f>
        <v/>
      </c>
      <c r="H30" s="24" t="str">
        <f aca="false">IF(SprintBacklog[[#This Row],[_Task]]="","",INDEX(tsk_Status,SprintBacklog[[#This Row],[_Task]])&amp;"")</f>
        <v/>
      </c>
    </row>
    <row r="31" customFormat="false" ht="15" hidden="false" customHeight="false" outlineLevel="0" collapsed="false">
      <c r="B31" s="43" t="str">
        <f aca="false">IFERROR(MATCH(SMALL(tsk_CurrentSprintKey,ROW()-ROW(SprintBacklog[[#Headers],[_Task]])),tsk_CurrentSprintKey,0),"")</f>
        <v/>
      </c>
      <c r="C31" s="24" t="str">
        <f aca="false">IF(SprintBacklog[[#This Row],[_Task]]="","",INDEX(tsk_Name,SprintBacklog[[#This Row],[_Task]])&amp;"")</f>
        <v/>
      </c>
      <c r="D31" s="66" t="str">
        <f aca="false">IF(SprintBacklog[[#This Row],[_Task]]="","",INDEX(tsk_StoryPoints,SprintBacklog[[#This Row],[_Task]]))</f>
        <v/>
      </c>
      <c r="E31" s="24" t="str">
        <f aca="false">IF(SprintBacklog[[#This Row],[_Task]]="","",INDEX(tsk_Resource,SprintBacklog[[#This Row],[_Task]])&amp;"")</f>
        <v/>
      </c>
      <c r="F31" s="44" t="str">
        <f aca="false">IF(SprintBacklog[[#This Row],[_Task]]="","",IF(N(INDEX(tsk_FcFinish,SprintBacklog[[#This Row],[_Task]]))=0,"",INDEX(tsk_FcFinish,SprintBacklog[[#This Row],[_Task]])))</f>
        <v/>
      </c>
      <c r="G31" s="46" t="str">
        <f aca="false">IF(SprintBacklog[[#This Row],[_Task]]="","",INDEX(tsk_Progress,SprintBacklog[[#This Row],[_Task]]))</f>
        <v/>
      </c>
      <c r="H31" s="24" t="str">
        <f aca="false">IF(SprintBacklog[[#This Row],[_Task]]="","",INDEX(tsk_Status,SprintBacklog[[#This Row],[_Task]])&amp;"")</f>
        <v/>
      </c>
    </row>
    <row r="32" customFormat="false" ht="15" hidden="false" customHeight="false" outlineLevel="0" collapsed="false">
      <c r="B32" s="43" t="str">
        <f aca="false">IFERROR(MATCH(SMALL(tsk_CurrentSprintKey,ROW()-ROW(SprintBacklog[[#Headers],[_Task]])),tsk_CurrentSprintKey,0),"")</f>
        <v/>
      </c>
      <c r="C32" s="24" t="str">
        <f aca="false">IF(SprintBacklog[[#This Row],[_Task]]="","",INDEX(tsk_Name,SprintBacklog[[#This Row],[_Task]])&amp;"")</f>
        <v/>
      </c>
      <c r="D32" s="66" t="str">
        <f aca="false">IF(SprintBacklog[[#This Row],[_Task]]="","",INDEX(tsk_StoryPoints,SprintBacklog[[#This Row],[_Task]]))</f>
        <v/>
      </c>
      <c r="E32" s="24" t="str">
        <f aca="false">IF(SprintBacklog[[#This Row],[_Task]]="","",INDEX(tsk_Resource,SprintBacklog[[#This Row],[_Task]])&amp;"")</f>
        <v/>
      </c>
      <c r="F32" s="44" t="str">
        <f aca="false">IF(SprintBacklog[[#This Row],[_Task]]="","",IF(N(INDEX(tsk_FcFinish,SprintBacklog[[#This Row],[_Task]]))=0,"",INDEX(tsk_FcFinish,SprintBacklog[[#This Row],[_Task]])))</f>
        <v/>
      </c>
      <c r="G32" s="46" t="str">
        <f aca="false">IF(SprintBacklog[[#This Row],[_Task]]="","",INDEX(tsk_Progress,SprintBacklog[[#This Row],[_Task]]))</f>
        <v/>
      </c>
      <c r="H32" s="24" t="str">
        <f aca="false">IF(SprintBacklog[[#This Row],[_Task]]="","",INDEX(tsk_Status,SprintBacklog[[#This Row],[_Task]])&amp;"")</f>
        <v/>
      </c>
    </row>
    <row r="33" customFormat="false" ht="15" hidden="false" customHeight="false" outlineLevel="0" collapsed="false">
      <c r="B33" s="43" t="str">
        <f aca="false">IFERROR(MATCH(SMALL(tsk_CurrentSprintKey,ROW()-ROW(SprintBacklog[[#Headers],[_Task]])),tsk_CurrentSprintKey,0),"")</f>
        <v/>
      </c>
      <c r="C33" s="24" t="str">
        <f aca="false">IF(SprintBacklog[[#This Row],[_Task]]="","",INDEX(tsk_Name,SprintBacklog[[#This Row],[_Task]])&amp;"")</f>
        <v/>
      </c>
      <c r="D33" s="66" t="str">
        <f aca="false">IF(SprintBacklog[[#This Row],[_Task]]="","",INDEX(tsk_StoryPoints,SprintBacklog[[#This Row],[_Task]]))</f>
        <v/>
      </c>
      <c r="E33" s="24" t="str">
        <f aca="false">IF(SprintBacklog[[#This Row],[_Task]]="","",INDEX(tsk_Resource,SprintBacklog[[#This Row],[_Task]])&amp;"")</f>
        <v/>
      </c>
      <c r="F33" s="44" t="str">
        <f aca="false">IF(SprintBacklog[[#This Row],[_Task]]="","",IF(N(INDEX(tsk_FcFinish,SprintBacklog[[#This Row],[_Task]]))=0,"",INDEX(tsk_FcFinish,SprintBacklog[[#This Row],[_Task]])))</f>
        <v/>
      </c>
      <c r="G33" s="46" t="str">
        <f aca="false">IF(SprintBacklog[[#This Row],[_Task]]="","",INDEX(tsk_Progress,SprintBacklog[[#This Row],[_Task]]))</f>
        <v/>
      </c>
      <c r="H33" s="24" t="str">
        <f aca="false">IF(SprintBacklog[[#This Row],[_Task]]="","",INDEX(tsk_Status,SprintBacklog[[#This Row],[_Task]])&amp;"")</f>
        <v/>
      </c>
    </row>
    <row r="34" customFormat="false" ht="15" hidden="false" customHeight="false" outlineLevel="0" collapsed="false">
      <c r="B34" s="43" t="str">
        <f aca="false">IFERROR(MATCH(SMALL(tsk_CurrentSprintKey,ROW()-ROW(SprintBacklog[[#Headers],[_Task]])),tsk_CurrentSprintKey,0),"")</f>
        <v/>
      </c>
      <c r="C34" s="24" t="str">
        <f aca="false">IF(SprintBacklog[[#This Row],[_Task]]="","",INDEX(tsk_Name,SprintBacklog[[#This Row],[_Task]])&amp;"")</f>
        <v/>
      </c>
      <c r="D34" s="66" t="str">
        <f aca="false">IF(SprintBacklog[[#This Row],[_Task]]="","",INDEX(tsk_StoryPoints,SprintBacklog[[#This Row],[_Task]]))</f>
        <v/>
      </c>
      <c r="E34" s="24" t="str">
        <f aca="false">IF(SprintBacklog[[#This Row],[_Task]]="","",INDEX(tsk_Resource,SprintBacklog[[#This Row],[_Task]])&amp;"")</f>
        <v/>
      </c>
      <c r="F34" s="44" t="str">
        <f aca="false">IF(SprintBacklog[[#This Row],[_Task]]="","",IF(N(INDEX(tsk_FcFinish,SprintBacklog[[#This Row],[_Task]]))=0,"",INDEX(tsk_FcFinish,SprintBacklog[[#This Row],[_Task]])))</f>
        <v/>
      </c>
      <c r="G34" s="46" t="str">
        <f aca="false">IF(SprintBacklog[[#This Row],[_Task]]="","",INDEX(tsk_Progress,SprintBacklog[[#This Row],[_Task]]))</f>
        <v/>
      </c>
      <c r="H34" s="24" t="str">
        <f aca="false">IF(SprintBacklog[[#This Row],[_Task]]="","",INDEX(tsk_Status,SprintBacklog[[#This Row],[_Task]])&amp;"")</f>
        <v/>
      </c>
    </row>
    <row r="35" customFormat="false" ht="15" hidden="false" customHeight="false" outlineLevel="0" collapsed="false">
      <c r="B35" s="43" t="str">
        <f aca="false">IFERROR(MATCH(SMALL(tsk_CurrentSprintKey,ROW()-ROW(SprintBacklog[[#Headers],[_Task]])),tsk_CurrentSprintKey,0),"")</f>
        <v/>
      </c>
      <c r="C35" s="24" t="str">
        <f aca="false">IF(SprintBacklog[[#This Row],[_Task]]="","",INDEX(tsk_Name,SprintBacklog[[#This Row],[_Task]])&amp;"")</f>
        <v/>
      </c>
      <c r="D35" s="66" t="str">
        <f aca="false">IF(SprintBacklog[[#This Row],[_Task]]="","",INDEX(tsk_StoryPoints,SprintBacklog[[#This Row],[_Task]]))</f>
        <v/>
      </c>
      <c r="E35" s="24" t="str">
        <f aca="false">IF(SprintBacklog[[#This Row],[_Task]]="","",INDEX(tsk_Resource,SprintBacklog[[#This Row],[_Task]])&amp;"")</f>
        <v/>
      </c>
      <c r="F35" s="44" t="str">
        <f aca="false">IF(SprintBacklog[[#This Row],[_Task]]="","",IF(N(INDEX(tsk_FcFinish,SprintBacklog[[#This Row],[_Task]]))=0,"",INDEX(tsk_FcFinish,SprintBacklog[[#This Row],[_Task]])))</f>
        <v/>
      </c>
      <c r="G35" s="46" t="str">
        <f aca="false">IF(SprintBacklog[[#This Row],[_Task]]="","",INDEX(tsk_Progress,SprintBacklog[[#This Row],[_Task]]))</f>
        <v/>
      </c>
      <c r="H35" s="24" t="str">
        <f aca="false">IF(SprintBacklog[[#This Row],[_Task]]="","",INDEX(tsk_Status,SprintBacklog[[#This Row],[_Task]])&amp;"")</f>
        <v/>
      </c>
    </row>
    <row r="36" customFormat="false" ht="15" hidden="false" customHeight="false" outlineLevel="0" collapsed="false">
      <c r="B36" s="43" t="str">
        <f aca="false">IFERROR(MATCH(SMALL(tsk_CurrentSprintKey,ROW()-ROW(SprintBacklog[[#Headers],[_Task]])),tsk_CurrentSprintKey,0),"")</f>
        <v/>
      </c>
      <c r="C36" s="24" t="str">
        <f aca="false">IF(SprintBacklog[[#This Row],[_Task]]="","",INDEX(tsk_Name,SprintBacklog[[#This Row],[_Task]])&amp;"")</f>
        <v/>
      </c>
      <c r="D36" s="66" t="str">
        <f aca="false">IF(SprintBacklog[[#This Row],[_Task]]="","",INDEX(tsk_StoryPoints,SprintBacklog[[#This Row],[_Task]]))</f>
        <v/>
      </c>
      <c r="E36" s="24" t="str">
        <f aca="false">IF(SprintBacklog[[#This Row],[_Task]]="","",INDEX(tsk_Resource,SprintBacklog[[#This Row],[_Task]])&amp;"")</f>
        <v/>
      </c>
      <c r="F36" s="44" t="str">
        <f aca="false">IF(SprintBacklog[[#This Row],[_Task]]="","",IF(N(INDEX(tsk_FcFinish,SprintBacklog[[#This Row],[_Task]]))=0,"",INDEX(tsk_FcFinish,SprintBacklog[[#This Row],[_Task]])))</f>
        <v/>
      </c>
      <c r="G36" s="46" t="str">
        <f aca="false">IF(SprintBacklog[[#This Row],[_Task]]="","",INDEX(tsk_Progress,SprintBacklog[[#This Row],[_Task]]))</f>
        <v/>
      </c>
      <c r="H36" s="24" t="str">
        <f aca="false">IF(SprintBacklog[[#This Row],[_Task]]="","",INDEX(tsk_Status,SprintBacklog[[#This Row],[_Task]])&amp;"")</f>
        <v/>
      </c>
    </row>
    <row r="37" customFormat="false" ht="15" hidden="false" customHeight="false" outlineLevel="0" collapsed="false">
      <c r="B37" s="43" t="str">
        <f aca="false">IFERROR(MATCH(SMALL(tsk_CurrentSprintKey,ROW()-ROW(SprintBacklog[[#Headers],[_Task]])),tsk_CurrentSprintKey,0),"")</f>
        <v/>
      </c>
      <c r="C37" s="24" t="str">
        <f aca="false">IF(SprintBacklog[[#This Row],[_Task]]="","",INDEX(tsk_Name,SprintBacklog[[#This Row],[_Task]])&amp;"")</f>
        <v/>
      </c>
      <c r="D37" s="66" t="str">
        <f aca="false">IF(SprintBacklog[[#This Row],[_Task]]="","",INDEX(tsk_StoryPoints,SprintBacklog[[#This Row],[_Task]]))</f>
        <v/>
      </c>
      <c r="E37" s="24" t="str">
        <f aca="false">IF(SprintBacklog[[#This Row],[_Task]]="","",INDEX(tsk_Resource,SprintBacklog[[#This Row],[_Task]])&amp;"")</f>
        <v/>
      </c>
      <c r="F37" s="44" t="str">
        <f aca="false">IF(SprintBacklog[[#This Row],[_Task]]="","",IF(N(INDEX(tsk_FcFinish,SprintBacklog[[#This Row],[_Task]]))=0,"",INDEX(tsk_FcFinish,SprintBacklog[[#This Row],[_Task]])))</f>
        <v/>
      </c>
      <c r="G37" s="46" t="str">
        <f aca="false">IF(SprintBacklog[[#This Row],[_Task]]="","",INDEX(tsk_Progress,SprintBacklog[[#This Row],[_Task]]))</f>
        <v/>
      </c>
      <c r="H37" s="24" t="str">
        <f aca="false">IF(SprintBacklog[[#This Row],[_Task]]="","",INDEX(tsk_Status,SprintBacklog[[#This Row],[_Task]])&amp;"")</f>
        <v/>
      </c>
    </row>
    <row r="38" customFormat="false" ht="15" hidden="false" customHeight="false" outlineLevel="0" collapsed="false">
      <c r="B38" s="43" t="str">
        <f aca="false">IFERROR(MATCH(SMALL(tsk_CurrentSprintKey,ROW()-ROW(SprintBacklog[[#Headers],[_Task]])),tsk_CurrentSprintKey,0),"")</f>
        <v/>
      </c>
      <c r="C38" s="24" t="str">
        <f aca="false">IF(SprintBacklog[[#This Row],[_Task]]="","",INDEX(tsk_Name,SprintBacklog[[#This Row],[_Task]])&amp;"")</f>
        <v/>
      </c>
      <c r="D38" s="66" t="str">
        <f aca="false">IF(SprintBacklog[[#This Row],[_Task]]="","",INDEX(tsk_StoryPoints,SprintBacklog[[#This Row],[_Task]]))</f>
        <v/>
      </c>
      <c r="E38" s="24" t="str">
        <f aca="false">IF(SprintBacklog[[#This Row],[_Task]]="","",INDEX(tsk_Resource,SprintBacklog[[#This Row],[_Task]])&amp;"")</f>
        <v/>
      </c>
      <c r="F38" s="44" t="str">
        <f aca="false">IF(SprintBacklog[[#This Row],[_Task]]="","",IF(N(INDEX(tsk_FcFinish,SprintBacklog[[#This Row],[_Task]]))=0,"",INDEX(tsk_FcFinish,SprintBacklog[[#This Row],[_Task]])))</f>
        <v/>
      </c>
      <c r="G38" s="46" t="str">
        <f aca="false">IF(SprintBacklog[[#This Row],[_Task]]="","",INDEX(tsk_Progress,SprintBacklog[[#This Row],[_Task]]))</f>
        <v/>
      </c>
      <c r="H38" s="24" t="str">
        <f aca="false">IF(SprintBacklog[[#This Row],[_Task]]="","",INDEX(tsk_Status,SprintBacklog[[#This Row],[_Task]])&amp;"")</f>
        <v/>
      </c>
    </row>
    <row r="39" customFormat="false" ht="15" hidden="false" customHeight="false" outlineLevel="0" collapsed="false">
      <c r="B39" s="43" t="str">
        <f aca="false">IFERROR(MATCH(SMALL(tsk_CurrentSprintKey,ROW()-ROW(SprintBacklog[[#Headers],[_Task]])),tsk_CurrentSprintKey,0),"")</f>
        <v/>
      </c>
      <c r="C39" s="24" t="str">
        <f aca="false">IF(SprintBacklog[[#This Row],[_Task]]="","",INDEX(tsk_Name,SprintBacklog[[#This Row],[_Task]])&amp;"")</f>
        <v/>
      </c>
      <c r="D39" s="66" t="str">
        <f aca="false">IF(SprintBacklog[[#This Row],[_Task]]="","",INDEX(tsk_StoryPoints,SprintBacklog[[#This Row],[_Task]]))</f>
        <v/>
      </c>
      <c r="E39" s="24" t="str">
        <f aca="false">IF(SprintBacklog[[#This Row],[_Task]]="","",INDEX(tsk_Resource,SprintBacklog[[#This Row],[_Task]])&amp;"")</f>
        <v/>
      </c>
      <c r="F39" s="44" t="str">
        <f aca="false">IF(SprintBacklog[[#This Row],[_Task]]="","",IF(N(INDEX(tsk_FcFinish,SprintBacklog[[#This Row],[_Task]]))=0,"",INDEX(tsk_FcFinish,SprintBacklog[[#This Row],[_Task]])))</f>
        <v/>
      </c>
      <c r="G39" s="46" t="str">
        <f aca="false">IF(SprintBacklog[[#This Row],[_Task]]="","",INDEX(tsk_Progress,SprintBacklog[[#This Row],[_Task]]))</f>
        <v/>
      </c>
      <c r="H39" s="24" t="str">
        <f aca="false">IF(SprintBacklog[[#This Row],[_Task]]="","",INDEX(tsk_Status,SprintBacklog[[#This Row],[_Task]])&amp;"")</f>
        <v/>
      </c>
    </row>
    <row r="40" customFormat="false" ht="15" hidden="false" customHeight="false" outlineLevel="0" collapsed="false">
      <c r="B40" s="43" t="str">
        <f aca="false">IFERROR(MATCH(SMALL(tsk_CurrentSprintKey,ROW()-ROW(SprintBacklog[[#Headers],[_Task]])),tsk_CurrentSprintKey,0),"")</f>
        <v/>
      </c>
      <c r="C40" s="24" t="str">
        <f aca="false">IF(SprintBacklog[[#This Row],[_Task]]="","",INDEX(tsk_Name,SprintBacklog[[#This Row],[_Task]])&amp;"")</f>
        <v/>
      </c>
      <c r="D40" s="66" t="str">
        <f aca="false">IF(SprintBacklog[[#This Row],[_Task]]="","",INDEX(tsk_StoryPoints,SprintBacklog[[#This Row],[_Task]]))</f>
        <v/>
      </c>
      <c r="E40" s="24" t="str">
        <f aca="false">IF(SprintBacklog[[#This Row],[_Task]]="","",INDEX(tsk_Resource,SprintBacklog[[#This Row],[_Task]])&amp;"")</f>
        <v/>
      </c>
      <c r="F40" s="44" t="str">
        <f aca="false">IF(SprintBacklog[[#This Row],[_Task]]="","",IF(N(INDEX(tsk_FcFinish,SprintBacklog[[#This Row],[_Task]]))=0,"",INDEX(tsk_FcFinish,SprintBacklog[[#This Row],[_Task]])))</f>
        <v/>
      </c>
      <c r="G40" s="46" t="str">
        <f aca="false">IF(SprintBacklog[[#This Row],[_Task]]="","",INDEX(tsk_Progress,SprintBacklog[[#This Row],[_Task]]))</f>
        <v/>
      </c>
      <c r="H40" s="24" t="str">
        <f aca="false">IF(SprintBacklog[[#This Row],[_Task]]="","",INDEX(tsk_Status,SprintBacklog[[#This Row],[_Task]])&amp;"")</f>
        <v/>
      </c>
    </row>
    <row r="42" customFormat="false" ht="15" hidden="false" customHeight="false" outlineLevel="0" collapsed="false">
      <c r="C42" s="36" t="s">
        <v>224</v>
      </c>
    </row>
    <row r="43" customFormat="false" ht="23.85" hidden="false" customHeight="false" outlineLevel="0" collapsed="false">
      <c r="C43" s="9" t="s">
        <v>225</v>
      </c>
      <c r="D43" s="9" t="s">
        <v>198</v>
      </c>
      <c r="E43" s="9" t="s">
        <v>226</v>
      </c>
      <c r="F43" s="42" t="s">
        <v>227</v>
      </c>
      <c r="G43" s="42" t="s">
        <v>228</v>
      </c>
      <c r="H43" s="42" t="s">
        <v>229</v>
      </c>
    </row>
    <row r="44" customFormat="false" ht="15" hidden="false" customHeight="false" outlineLevel="0" collapsed="false">
      <c r="C44" s="25" t="n">
        <f aca="false">IF(OR(CurrentSprint="",ROW()-ROW(SprintBurndown[[#Headers],[Day]])&gt;SprintLength),"",CurrentSprintStart+ROW()-ROW(SprintBurndown[[#Headers],[Day]])-1)</f>
        <v>46314</v>
      </c>
      <c r="D44" s="67" t="n">
        <f aca="false">IF(OR(SprintBurndown[[#This Row],[Day]]="",SprintBurndown[[#This Row],[Day]]&gt;StatusDate),"",agl_CurCommitted-SUMIFS(tsk_LeafPoints,tsk_Sprint,CurrentSprint,tsk_DoneDate,"&lt;="&amp;SprintBurndown[[#This Row],[Day]]))</f>
        <v>8</v>
      </c>
      <c r="E44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7.2</v>
      </c>
      <c r="F44" s="68" t="str">
        <f aca="false">IF(SprintBurndown[[#This Row],[Day]]="","",TEXT(SprintBurndown[[#This Row],[Day]],"dd-mmm"))</f>
        <v>19-Oct</v>
      </c>
      <c r="G44" s="69" t="n">
        <f aca="false">IF(SprintBurndown[[#This Row],[Remaining]]="",NA(),SprintBurndown[[#This Row],[Remaining]])</f>
        <v>8</v>
      </c>
      <c r="H44" s="69" t="n">
        <f aca="false">IF(SprintBurndown[[#This Row],[Ideal]]="",NA(),SprintBurndown[[#This Row],[Ideal]])</f>
        <v>7.2</v>
      </c>
    </row>
    <row r="45" customFormat="false" ht="15" hidden="false" customHeight="false" outlineLevel="0" collapsed="false">
      <c r="C45" s="25" t="n">
        <f aca="false">IF(OR(CurrentSprint="",ROW()-ROW(SprintBurndown[[#Headers],[Day]])&gt;SprintLength),"",CurrentSprintStart+ROW()-ROW(SprintBurndown[[#Headers],[Day]])-1)</f>
        <v>46315</v>
      </c>
      <c r="D45" s="67" t="n">
        <f aca="false">IF(OR(SprintBurndown[[#This Row],[Day]]="",SprintBurndown[[#This Row],[Day]]&gt;StatusDate),"",agl_CurCommitted-SUMIFS(tsk_LeafPoints,tsk_Sprint,CurrentSprint,tsk_DoneDate,"&lt;="&amp;SprintBurndown[[#This Row],[Day]]))</f>
        <v>8</v>
      </c>
      <c r="E45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6.4</v>
      </c>
      <c r="F45" s="68" t="str">
        <f aca="false">IF(SprintBurndown[[#This Row],[Day]]="","",TEXT(SprintBurndown[[#This Row],[Day]],"dd-mmm"))</f>
        <v>20-Oct</v>
      </c>
      <c r="G45" s="69" t="n">
        <f aca="false">IF(SprintBurndown[[#This Row],[Remaining]]="",NA(),SprintBurndown[[#This Row],[Remaining]])</f>
        <v>8</v>
      </c>
      <c r="H45" s="69" t="n">
        <f aca="false">IF(SprintBurndown[[#This Row],[Ideal]]="",NA(),SprintBurndown[[#This Row],[Ideal]])</f>
        <v>6.4</v>
      </c>
    </row>
    <row r="46" customFormat="false" ht="15" hidden="false" customHeight="false" outlineLevel="0" collapsed="false">
      <c r="C46" s="25" t="n">
        <f aca="false">IF(OR(CurrentSprint="",ROW()-ROW(SprintBurndown[[#Headers],[Day]])&gt;SprintLength),"",CurrentSprintStart+ROW()-ROW(SprintBurndown[[#Headers],[Day]])-1)</f>
        <v>46316</v>
      </c>
      <c r="D46" s="67" t="n">
        <f aca="false">IF(OR(SprintBurndown[[#This Row],[Day]]="",SprintBurndown[[#This Row],[Day]]&gt;StatusDate),"",agl_CurCommitted-SUMIFS(tsk_LeafPoints,tsk_Sprint,CurrentSprint,tsk_DoneDate,"&lt;="&amp;SprintBurndown[[#This Row],[Day]]))</f>
        <v>8</v>
      </c>
      <c r="E46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5.6</v>
      </c>
      <c r="F46" s="68" t="str">
        <f aca="false">IF(SprintBurndown[[#This Row],[Day]]="","",TEXT(SprintBurndown[[#This Row],[Day]],"dd-mmm"))</f>
        <v>21-Oct</v>
      </c>
      <c r="G46" s="69" t="n">
        <f aca="false">IF(SprintBurndown[[#This Row],[Remaining]]="",NA(),SprintBurndown[[#This Row],[Remaining]])</f>
        <v>8</v>
      </c>
      <c r="H46" s="69" t="n">
        <f aca="false">IF(SprintBurndown[[#This Row],[Ideal]]="",NA(),SprintBurndown[[#This Row],[Ideal]])</f>
        <v>5.6</v>
      </c>
    </row>
    <row r="47" customFormat="false" ht="15" hidden="false" customHeight="false" outlineLevel="0" collapsed="false">
      <c r="C47" s="25" t="n">
        <f aca="false">IF(OR(CurrentSprint="",ROW()-ROW(SprintBurndown[[#Headers],[Day]])&gt;SprintLength),"",CurrentSprintStart+ROW()-ROW(SprintBurndown[[#Headers],[Day]])-1)</f>
        <v>46317</v>
      </c>
      <c r="D47" s="67" t="n">
        <f aca="false">IF(OR(SprintBurndown[[#This Row],[Day]]="",SprintBurndown[[#This Row],[Day]]&gt;StatusDate),"",agl_CurCommitted-SUMIFS(tsk_LeafPoints,tsk_Sprint,CurrentSprint,tsk_DoneDate,"&lt;="&amp;SprintBurndown[[#This Row],[Day]]))</f>
        <v>8</v>
      </c>
      <c r="E47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4.8</v>
      </c>
      <c r="F47" s="68" t="str">
        <f aca="false">IF(SprintBurndown[[#This Row],[Day]]="","",TEXT(SprintBurndown[[#This Row],[Day]],"dd-mmm"))</f>
        <v>22-Oct</v>
      </c>
      <c r="G47" s="69" t="n">
        <f aca="false">IF(SprintBurndown[[#This Row],[Remaining]]="",NA(),SprintBurndown[[#This Row],[Remaining]])</f>
        <v>8</v>
      </c>
      <c r="H47" s="69" t="n">
        <f aca="false">IF(SprintBurndown[[#This Row],[Ideal]]="",NA(),SprintBurndown[[#This Row],[Ideal]])</f>
        <v>4.8</v>
      </c>
    </row>
    <row r="48" customFormat="false" ht="15" hidden="false" customHeight="false" outlineLevel="0" collapsed="false">
      <c r="C48" s="25" t="n">
        <f aca="false">IF(OR(CurrentSprint="",ROW()-ROW(SprintBurndown[[#Headers],[Day]])&gt;SprintLength),"",CurrentSprintStart+ROW()-ROW(SprintBurndown[[#Headers],[Day]])-1)</f>
        <v>46318</v>
      </c>
      <c r="D48" s="67" t="n">
        <f aca="false">IF(OR(SprintBurndown[[#This Row],[Day]]="",SprintBurndown[[#This Row],[Day]]&gt;StatusDate),"",agl_CurCommitted-SUMIFS(tsk_LeafPoints,tsk_Sprint,CurrentSprint,tsk_DoneDate,"&lt;="&amp;SprintBurndown[[#This Row],[Day]]))</f>
        <v>8</v>
      </c>
      <c r="E48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4</v>
      </c>
      <c r="F48" s="68" t="str">
        <f aca="false">IF(SprintBurndown[[#This Row],[Day]]="","",TEXT(SprintBurndown[[#This Row],[Day]],"dd-mmm"))</f>
        <v>23-Oct</v>
      </c>
      <c r="G48" s="69" t="n">
        <f aca="false">IF(SprintBurndown[[#This Row],[Remaining]]="",NA(),SprintBurndown[[#This Row],[Remaining]])</f>
        <v>8</v>
      </c>
      <c r="H48" s="69" t="n">
        <f aca="false">IF(SprintBurndown[[#This Row],[Ideal]]="",NA(),SprintBurndown[[#This Row],[Ideal]])</f>
        <v>4</v>
      </c>
    </row>
    <row r="49" customFormat="false" ht="15" hidden="false" customHeight="false" outlineLevel="0" collapsed="false">
      <c r="C49" s="25" t="n">
        <f aca="false">IF(OR(CurrentSprint="",ROW()-ROW(SprintBurndown[[#Headers],[Day]])&gt;SprintLength),"",CurrentSprintStart+ROW()-ROW(SprintBurndown[[#Headers],[Day]])-1)</f>
        <v>46319</v>
      </c>
      <c r="D49" s="67" t="n">
        <f aca="false">IF(OR(SprintBurndown[[#This Row],[Day]]="",SprintBurndown[[#This Row],[Day]]&gt;StatusDate),"",agl_CurCommitted-SUMIFS(tsk_LeafPoints,tsk_Sprint,CurrentSprint,tsk_DoneDate,"&lt;="&amp;SprintBurndown[[#This Row],[Day]]))</f>
        <v>8</v>
      </c>
      <c r="E49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4</v>
      </c>
      <c r="F49" s="68" t="str">
        <f aca="false">IF(SprintBurndown[[#This Row],[Day]]="","",TEXT(SprintBurndown[[#This Row],[Day]],"dd-mmm"))</f>
        <v>24-Oct</v>
      </c>
      <c r="G49" s="69" t="n">
        <f aca="false">IF(SprintBurndown[[#This Row],[Remaining]]="",NA(),SprintBurndown[[#This Row],[Remaining]])</f>
        <v>8</v>
      </c>
      <c r="H49" s="69" t="n">
        <f aca="false">IF(SprintBurndown[[#This Row],[Ideal]]="",NA(),SprintBurndown[[#This Row],[Ideal]])</f>
        <v>4</v>
      </c>
    </row>
    <row r="50" customFormat="false" ht="15" hidden="false" customHeight="false" outlineLevel="0" collapsed="false">
      <c r="C50" s="25" t="n">
        <f aca="false">IF(OR(CurrentSprint="",ROW()-ROW(SprintBurndown[[#Headers],[Day]])&gt;SprintLength),"",CurrentSprintStart+ROW()-ROW(SprintBurndown[[#Headers],[Day]])-1)</f>
        <v>46320</v>
      </c>
      <c r="D50" s="67" t="n">
        <f aca="false">IF(OR(SprintBurndown[[#This Row],[Day]]="",SprintBurndown[[#This Row],[Day]]&gt;StatusDate),"",agl_CurCommitted-SUMIFS(tsk_LeafPoints,tsk_Sprint,CurrentSprint,tsk_DoneDate,"&lt;="&amp;SprintBurndown[[#This Row],[Day]]))</f>
        <v>8</v>
      </c>
      <c r="E50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4</v>
      </c>
      <c r="F50" s="68" t="str">
        <f aca="false">IF(SprintBurndown[[#This Row],[Day]]="","",TEXT(SprintBurndown[[#This Row],[Day]],"dd-mmm"))</f>
        <v>25-Oct</v>
      </c>
      <c r="G50" s="69" t="n">
        <f aca="false">IF(SprintBurndown[[#This Row],[Remaining]]="",NA(),SprintBurndown[[#This Row],[Remaining]])</f>
        <v>8</v>
      </c>
      <c r="H50" s="69" t="n">
        <f aca="false">IF(SprintBurndown[[#This Row],[Ideal]]="",NA(),SprintBurndown[[#This Row],[Ideal]])</f>
        <v>4</v>
      </c>
    </row>
    <row r="51" customFormat="false" ht="15" hidden="false" customHeight="false" outlineLevel="0" collapsed="false">
      <c r="C51" s="25" t="n">
        <f aca="false">IF(OR(CurrentSprint="",ROW()-ROW(SprintBurndown[[#Headers],[Day]])&gt;SprintLength),"",CurrentSprintStart+ROW()-ROW(SprintBurndown[[#Headers],[Day]])-1)</f>
        <v>46321</v>
      </c>
      <c r="D51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51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3.2</v>
      </c>
      <c r="F51" s="68" t="str">
        <f aca="false">IF(SprintBurndown[[#This Row],[Day]]="","",TEXT(SprintBurndown[[#This Row],[Day]],"dd-mmm"))</f>
        <v>26-Oct</v>
      </c>
      <c r="G51" s="68" t="e">
        <f aca="false">IF(SprintBurndown[[#This Row],[Remaining]]="",NA(),SprintBurndown[[#This Row],[Remaining]])</f>
        <v>#N/A</v>
      </c>
      <c r="H51" s="69" t="n">
        <f aca="false">IF(SprintBurndown[[#This Row],[Ideal]]="",NA(),SprintBurndown[[#This Row],[Ideal]])</f>
        <v>3.2</v>
      </c>
    </row>
    <row r="52" customFormat="false" ht="15" hidden="false" customHeight="false" outlineLevel="0" collapsed="false">
      <c r="C52" s="25" t="n">
        <f aca="false">IF(OR(CurrentSprint="",ROW()-ROW(SprintBurndown[[#Headers],[Day]])&gt;SprintLength),"",CurrentSprintStart+ROW()-ROW(SprintBurndown[[#Headers],[Day]])-1)</f>
        <v>46322</v>
      </c>
      <c r="D52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52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2.4</v>
      </c>
      <c r="F52" s="68" t="str">
        <f aca="false">IF(SprintBurndown[[#This Row],[Day]]="","",TEXT(SprintBurndown[[#This Row],[Day]],"dd-mmm"))</f>
        <v>27-Oct</v>
      </c>
      <c r="G52" s="68" t="e">
        <f aca="false">IF(SprintBurndown[[#This Row],[Remaining]]="",NA(),SprintBurndown[[#This Row],[Remaining]])</f>
        <v>#N/A</v>
      </c>
      <c r="H52" s="69" t="n">
        <f aca="false">IF(SprintBurndown[[#This Row],[Ideal]]="",NA(),SprintBurndown[[#This Row],[Ideal]])</f>
        <v>2.4</v>
      </c>
    </row>
    <row r="53" customFormat="false" ht="15" hidden="false" customHeight="false" outlineLevel="0" collapsed="false">
      <c r="C53" s="25" t="n">
        <f aca="false">IF(OR(CurrentSprint="",ROW()-ROW(SprintBurndown[[#Headers],[Day]])&gt;SprintLength),"",CurrentSprintStart+ROW()-ROW(SprintBurndown[[#Headers],[Day]])-1)</f>
        <v>46323</v>
      </c>
      <c r="D53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53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1.6</v>
      </c>
      <c r="F53" s="68" t="str">
        <f aca="false">IF(SprintBurndown[[#This Row],[Day]]="","",TEXT(SprintBurndown[[#This Row],[Day]],"dd-mmm"))</f>
        <v>28-Oct</v>
      </c>
      <c r="G53" s="68" t="e">
        <f aca="false">IF(SprintBurndown[[#This Row],[Remaining]]="",NA(),SprintBurndown[[#This Row],[Remaining]])</f>
        <v>#N/A</v>
      </c>
      <c r="H53" s="69" t="n">
        <f aca="false">IF(SprintBurndown[[#This Row],[Ideal]]="",NA(),SprintBurndown[[#This Row],[Ideal]])</f>
        <v>1.6</v>
      </c>
    </row>
    <row r="54" customFormat="false" ht="15" hidden="false" customHeight="false" outlineLevel="0" collapsed="false">
      <c r="C54" s="25" t="n">
        <f aca="false">IF(OR(CurrentSprint="",ROW()-ROW(SprintBurndown[[#Headers],[Day]])&gt;SprintLength),"",CurrentSprintStart+ROW()-ROW(SprintBurndown[[#Headers],[Day]])-1)</f>
        <v>46324</v>
      </c>
      <c r="D54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54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0.8</v>
      </c>
      <c r="F54" s="68" t="str">
        <f aca="false">IF(SprintBurndown[[#This Row],[Day]]="","",TEXT(SprintBurndown[[#This Row],[Day]],"dd-mmm"))</f>
        <v>29-Oct</v>
      </c>
      <c r="G54" s="68" t="e">
        <f aca="false">IF(SprintBurndown[[#This Row],[Remaining]]="",NA(),SprintBurndown[[#This Row],[Remaining]])</f>
        <v>#N/A</v>
      </c>
      <c r="H54" s="69" t="n">
        <f aca="false">IF(SprintBurndown[[#This Row],[Ideal]]="",NA(),SprintBurndown[[#This Row],[Ideal]])</f>
        <v>0.8</v>
      </c>
    </row>
    <row r="55" customFormat="false" ht="15" hidden="false" customHeight="false" outlineLevel="0" collapsed="false">
      <c r="C55" s="25" t="n">
        <f aca="false">IF(OR(CurrentSprint="",ROW()-ROW(SprintBurndown[[#Headers],[Day]])&gt;SprintLength),"",CurrentSprintStart+ROW()-ROW(SprintBurndown[[#Headers],[Day]])-1)</f>
        <v>46325</v>
      </c>
      <c r="D55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55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0</v>
      </c>
      <c r="F55" s="68" t="str">
        <f aca="false">IF(SprintBurndown[[#This Row],[Day]]="","",TEXT(SprintBurndown[[#This Row],[Day]],"dd-mmm"))</f>
        <v>30-Oct</v>
      </c>
      <c r="G55" s="68" t="e">
        <f aca="false">IF(SprintBurndown[[#This Row],[Remaining]]="",NA(),SprintBurndown[[#This Row],[Remaining]])</f>
        <v>#N/A</v>
      </c>
      <c r="H55" s="69" t="n">
        <f aca="false">IF(SprintBurndown[[#This Row],[Ideal]]="",NA(),SprintBurndown[[#This Row],[Ideal]])</f>
        <v>0</v>
      </c>
    </row>
    <row r="56" customFormat="false" ht="15" hidden="false" customHeight="false" outlineLevel="0" collapsed="false">
      <c r="C56" s="25" t="n">
        <f aca="false">IF(OR(CurrentSprint="",ROW()-ROW(SprintBurndown[[#Headers],[Day]])&gt;SprintLength),"",CurrentSprintStart+ROW()-ROW(SprintBurndown[[#Headers],[Day]])-1)</f>
        <v>46326</v>
      </c>
      <c r="D56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56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0</v>
      </c>
      <c r="F56" s="68" t="str">
        <f aca="false">IF(SprintBurndown[[#This Row],[Day]]="","",TEXT(SprintBurndown[[#This Row],[Day]],"dd-mmm"))</f>
        <v>31-Oct</v>
      </c>
      <c r="G56" s="68" t="e">
        <f aca="false">IF(SprintBurndown[[#This Row],[Remaining]]="",NA(),SprintBurndown[[#This Row],[Remaining]])</f>
        <v>#N/A</v>
      </c>
      <c r="H56" s="69" t="n">
        <f aca="false">IF(SprintBurndown[[#This Row],[Ideal]]="",NA(),SprintBurndown[[#This Row],[Ideal]])</f>
        <v>0</v>
      </c>
    </row>
    <row r="57" customFormat="false" ht="15" hidden="false" customHeight="false" outlineLevel="0" collapsed="false">
      <c r="C57" s="25" t="n">
        <f aca="false">IF(OR(CurrentSprint="",ROW()-ROW(SprintBurndown[[#Headers],[Day]])&gt;SprintLength),"",CurrentSprintStart+ROW()-ROW(SprintBurndown[[#Headers],[Day]])-1)</f>
        <v>46327</v>
      </c>
      <c r="D57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57" s="67" t="n">
        <f aca="false">IF(SprintBurndown[[#This Row],[Day]]="","",agl_CurCommitted*MAX(0,1-NETWORKDAYS.INTL(CurrentSprintStart,SprintBurndown[[#This Row],[Day]],WorkWeek,Holidays)/MAX(1,NETWORKDAYS.INTL(CurrentSprintStart,CurrentSprintEnd,WorkWeek,Holidays))))</f>
        <v>0</v>
      </c>
      <c r="F57" s="68" t="str">
        <f aca="false">IF(SprintBurndown[[#This Row],[Day]]="","",TEXT(SprintBurndown[[#This Row],[Day]],"dd-mmm"))</f>
        <v>01-Nov</v>
      </c>
      <c r="G57" s="68" t="e">
        <f aca="false">IF(SprintBurndown[[#This Row],[Remaining]]="",NA(),SprintBurndown[[#This Row],[Remaining]])</f>
        <v>#N/A</v>
      </c>
      <c r="H57" s="69" t="n">
        <f aca="false">IF(SprintBurndown[[#This Row],[Ideal]]="",NA(),SprintBurndown[[#This Row],[Ideal]])</f>
        <v>0</v>
      </c>
    </row>
    <row r="58" customFormat="false" ht="15" hidden="false" customHeight="false" outlineLevel="0" collapsed="false">
      <c r="C58" s="25" t="str">
        <f aca="false">IF(OR(CurrentSprint="",ROW()-ROW(SprintBurndown[[#Headers],[Day]])&gt;SprintLength),"",CurrentSprintStart+ROW()-ROW(SprintBurndown[[#Headers],[Day]])-1)</f>
        <v/>
      </c>
      <c r="D58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58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58" s="68" t="str">
        <f aca="false">IF(SprintBurndown[[#This Row],[Day]]="","",TEXT(SprintBurndown[[#This Row],[Day]],"dd-mmm"))</f>
        <v/>
      </c>
      <c r="G58" s="68" t="e">
        <f aca="false">IF(SprintBurndown[[#This Row],[Remaining]]="",NA(),SprintBurndown[[#This Row],[Remaining]])</f>
        <v>#N/A</v>
      </c>
      <c r="H58" s="68" t="e">
        <f aca="false">IF(SprintBurndown[[#This Row],[Ideal]]="",NA(),SprintBurndown[[#This Row],[Ideal]])</f>
        <v>#N/A</v>
      </c>
    </row>
    <row r="59" customFormat="false" ht="15" hidden="false" customHeight="false" outlineLevel="0" collapsed="false">
      <c r="C59" s="25" t="str">
        <f aca="false">IF(OR(CurrentSprint="",ROW()-ROW(SprintBurndown[[#Headers],[Day]])&gt;SprintLength),"",CurrentSprintStart+ROW()-ROW(SprintBurndown[[#Headers],[Day]])-1)</f>
        <v/>
      </c>
      <c r="D59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59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59" s="68" t="str">
        <f aca="false">IF(SprintBurndown[[#This Row],[Day]]="","",TEXT(SprintBurndown[[#This Row],[Day]],"dd-mmm"))</f>
        <v/>
      </c>
      <c r="G59" s="68" t="e">
        <f aca="false">IF(SprintBurndown[[#This Row],[Remaining]]="",NA(),SprintBurndown[[#This Row],[Remaining]])</f>
        <v>#N/A</v>
      </c>
      <c r="H59" s="68" t="e">
        <f aca="false">IF(SprintBurndown[[#This Row],[Ideal]]="",NA(),SprintBurndown[[#This Row],[Ideal]])</f>
        <v>#N/A</v>
      </c>
    </row>
    <row r="60" customFormat="false" ht="15" hidden="false" customHeight="false" outlineLevel="0" collapsed="false">
      <c r="C60" s="25" t="str">
        <f aca="false">IF(OR(CurrentSprint="",ROW()-ROW(SprintBurndown[[#Headers],[Day]])&gt;SprintLength),"",CurrentSprintStart+ROW()-ROW(SprintBurndown[[#Headers],[Day]])-1)</f>
        <v/>
      </c>
      <c r="D60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60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60" s="68" t="str">
        <f aca="false">IF(SprintBurndown[[#This Row],[Day]]="","",TEXT(SprintBurndown[[#This Row],[Day]],"dd-mmm"))</f>
        <v/>
      </c>
      <c r="G60" s="68" t="e">
        <f aca="false">IF(SprintBurndown[[#This Row],[Remaining]]="",NA(),SprintBurndown[[#This Row],[Remaining]])</f>
        <v>#N/A</v>
      </c>
      <c r="H60" s="68" t="e">
        <f aca="false">IF(SprintBurndown[[#This Row],[Ideal]]="",NA(),SprintBurndown[[#This Row],[Ideal]])</f>
        <v>#N/A</v>
      </c>
    </row>
    <row r="61" customFormat="false" ht="15" hidden="false" customHeight="false" outlineLevel="0" collapsed="false">
      <c r="C61" s="25" t="str">
        <f aca="false">IF(OR(CurrentSprint="",ROW()-ROW(SprintBurndown[[#Headers],[Day]])&gt;SprintLength),"",CurrentSprintStart+ROW()-ROW(SprintBurndown[[#Headers],[Day]])-1)</f>
        <v/>
      </c>
      <c r="D61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61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61" s="68" t="str">
        <f aca="false">IF(SprintBurndown[[#This Row],[Day]]="","",TEXT(SprintBurndown[[#This Row],[Day]],"dd-mmm"))</f>
        <v/>
      </c>
      <c r="G61" s="68" t="e">
        <f aca="false">IF(SprintBurndown[[#This Row],[Remaining]]="",NA(),SprintBurndown[[#This Row],[Remaining]])</f>
        <v>#N/A</v>
      </c>
      <c r="H61" s="68" t="e">
        <f aca="false">IF(SprintBurndown[[#This Row],[Ideal]]="",NA(),SprintBurndown[[#This Row],[Ideal]])</f>
        <v>#N/A</v>
      </c>
    </row>
    <row r="62" customFormat="false" ht="15" hidden="false" customHeight="false" outlineLevel="0" collapsed="false">
      <c r="C62" s="25" t="str">
        <f aca="false">IF(OR(CurrentSprint="",ROW()-ROW(SprintBurndown[[#Headers],[Day]])&gt;SprintLength),"",CurrentSprintStart+ROW()-ROW(SprintBurndown[[#Headers],[Day]])-1)</f>
        <v/>
      </c>
      <c r="D62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62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62" s="68" t="str">
        <f aca="false">IF(SprintBurndown[[#This Row],[Day]]="","",TEXT(SprintBurndown[[#This Row],[Day]],"dd-mmm"))</f>
        <v/>
      </c>
      <c r="G62" s="68" t="e">
        <f aca="false">IF(SprintBurndown[[#This Row],[Remaining]]="",NA(),SprintBurndown[[#This Row],[Remaining]])</f>
        <v>#N/A</v>
      </c>
      <c r="H62" s="68" t="e">
        <f aca="false">IF(SprintBurndown[[#This Row],[Ideal]]="",NA(),SprintBurndown[[#This Row],[Ideal]])</f>
        <v>#N/A</v>
      </c>
    </row>
    <row r="63" customFormat="false" ht="15" hidden="false" customHeight="false" outlineLevel="0" collapsed="false">
      <c r="C63" s="25" t="str">
        <f aca="false">IF(OR(CurrentSprint="",ROW()-ROW(SprintBurndown[[#Headers],[Day]])&gt;SprintLength),"",CurrentSprintStart+ROW()-ROW(SprintBurndown[[#Headers],[Day]])-1)</f>
        <v/>
      </c>
      <c r="D63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63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63" s="68" t="str">
        <f aca="false">IF(SprintBurndown[[#This Row],[Day]]="","",TEXT(SprintBurndown[[#This Row],[Day]],"dd-mmm"))</f>
        <v/>
      </c>
      <c r="G63" s="68" t="e">
        <f aca="false">IF(SprintBurndown[[#This Row],[Remaining]]="",NA(),SprintBurndown[[#This Row],[Remaining]])</f>
        <v>#N/A</v>
      </c>
      <c r="H63" s="68" t="e">
        <f aca="false">IF(SprintBurndown[[#This Row],[Ideal]]="",NA(),SprintBurndown[[#This Row],[Ideal]])</f>
        <v>#N/A</v>
      </c>
    </row>
    <row r="64" customFormat="false" ht="15" hidden="false" customHeight="false" outlineLevel="0" collapsed="false">
      <c r="C64" s="25" t="str">
        <f aca="false">IF(OR(CurrentSprint="",ROW()-ROW(SprintBurndown[[#Headers],[Day]])&gt;SprintLength),"",CurrentSprintStart+ROW()-ROW(SprintBurndown[[#Headers],[Day]])-1)</f>
        <v/>
      </c>
      <c r="D64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64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64" s="68" t="str">
        <f aca="false">IF(SprintBurndown[[#This Row],[Day]]="","",TEXT(SprintBurndown[[#This Row],[Day]],"dd-mmm"))</f>
        <v/>
      </c>
      <c r="G64" s="68" t="e">
        <f aca="false">IF(SprintBurndown[[#This Row],[Remaining]]="",NA(),SprintBurndown[[#This Row],[Remaining]])</f>
        <v>#N/A</v>
      </c>
      <c r="H64" s="68" t="e">
        <f aca="false">IF(SprintBurndown[[#This Row],[Ideal]]="",NA(),SprintBurndown[[#This Row],[Ideal]])</f>
        <v>#N/A</v>
      </c>
    </row>
    <row r="65" customFormat="false" ht="15" hidden="false" customHeight="false" outlineLevel="0" collapsed="false">
      <c r="C65" s="25" t="str">
        <f aca="false">IF(OR(CurrentSprint="",ROW()-ROW(SprintBurndown[[#Headers],[Day]])&gt;SprintLength),"",CurrentSprintStart+ROW()-ROW(SprintBurndown[[#Headers],[Day]])-1)</f>
        <v/>
      </c>
      <c r="D65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65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65" s="68" t="str">
        <f aca="false">IF(SprintBurndown[[#This Row],[Day]]="","",TEXT(SprintBurndown[[#This Row],[Day]],"dd-mmm"))</f>
        <v/>
      </c>
      <c r="G65" s="68" t="e">
        <f aca="false">IF(SprintBurndown[[#This Row],[Remaining]]="",NA(),SprintBurndown[[#This Row],[Remaining]])</f>
        <v>#N/A</v>
      </c>
      <c r="H65" s="68" t="e">
        <f aca="false">IF(SprintBurndown[[#This Row],[Ideal]]="",NA(),SprintBurndown[[#This Row],[Ideal]])</f>
        <v>#N/A</v>
      </c>
    </row>
    <row r="66" customFormat="false" ht="15" hidden="false" customHeight="false" outlineLevel="0" collapsed="false">
      <c r="C66" s="25" t="str">
        <f aca="false">IF(OR(CurrentSprint="",ROW()-ROW(SprintBurndown[[#Headers],[Day]])&gt;SprintLength),"",CurrentSprintStart+ROW()-ROW(SprintBurndown[[#Headers],[Day]])-1)</f>
        <v/>
      </c>
      <c r="D66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66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66" s="68" t="str">
        <f aca="false">IF(SprintBurndown[[#This Row],[Day]]="","",TEXT(SprintBurndown[[#This Row],[Day]],"dd-mmm"))</f>
        <v/>
      </c>
      <c r="G66" s="68" t="e">
        <f aca="false">IF(SprintBurndown[[#This Row],[Remaining]]="",NA(),SprintBurndown[[#This Row],[Remaining]])</f>
        <v>#N/A</v>
      </c>
      <c r="H66" s="68" t="e">
        <f aca="false">IF(SprintBurndown[[#This Row],[Ideal]]="",NA(),SprintBurndown[[#This Row],[Ideal]])</f>
        <v>#N/A</v>
      </c>
    </row>
    <row r="67" customFormat="false" ht="15" hidden="false" customHeight="false" outlineLevel="0" collapsed="false">
      <c r="C67" s="25" t="str">
        <f aca="false">IF(OR(CurrentSprint="",ROW()-ROW(SprintBurndown[[#Headers],[Day]])&gt;SprintLength),"",CurrentSprintStart+ROW()-ROW(SprintBurndown[[#Headers],[Day]])-1)</f>
        <v/>
      </c>
      <c r="D67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67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67" s="68" t="str">
        <f aca="false">IF(SprintBurndown[[#This Row],[Day]]="","",TEXT(SprintBurndown[[#This Row],[Day]],"dd-mmm"))</f>
        <v/>
      </c>
      <c r="G67" s="68" t="e">
        <f aca="false">IF(SprintBurndown[[#This Row],[Remaining]]="",NA(),SprintBurndown[[#This Row],[Remaining]])</f>
        <v>#N/A</v>
      </c>
      <c r="H67" s="68" t="e">
        <f aca="false">IF(SprintBurndown[[#This Row],[Ideal]]="",NA(),SprintBurndown[[#This Row],[Ideal]])</f>
        <v>#N/A</v>
      </c>
    </row>
    <row r="68" customFormat="false" ht="15" hidden="false" customHeight="false" outlineLevel="0" collapsed="false">
      <c r="C68" s="25" t="str">
        <f aca="false">IF(OR(CurrentSprint="",ROW()-ROW(SprintBurndown[[#Headers],[Day]])&gt;SprintLength),"",CurrentSprintStart+ROW()-ROW(SprintBurndown[[#Headers],[Day]])-1)</f>
        <v/>
      </c>
      <c r="D68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68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68" s="68" t="str">
        <f aca="false">IF(SprintBurndown[[#This Row],[Day]]="","",TEXT(SprintBurndown[[#This Row],[Day]],"dd-mmm"))</f>
        <v/>
      </c>
      <c r="G68" s="68" t="e">
        <f aca="false">IF(SprintBurndown[[#This Row],[Remaining]]="",NA(),SprintBurndown[[#This Row],[Remaining]])</f>
        <v>#N/A</v>
      </c>
      <c r="H68" s="68" t="e">
        <f aca="false">IF(SprintBurndown[[#This Row],[Ideal]]="",NA(),SprintBurndown[[#This Row],[Ideal]])</f>
        <v>#N/A</v>
      </c>
    </row>
    <row r="69" customFormat="false" ht="15" hidden="false" customHeight="false" outlineLevel="0" collapsed="false">
      <c r="C69" s="25" t="str">
        <f aca="false">IF(OR(CurrentSprint="",ROW()-ROW(SprintBurndown[[#Headers],[Day]])&gt;SprintLength),"",CurrentSprintStart+ROW()-ROW(SprintBurndown[[#Headers],[Day]])-1)</f>
        <v/>
      </c>
      <c r="D69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69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69" s="68" t="str">
        <f aca="false">IF(SprintBurndown[[#This Row],[Day]]="","",TEXT(SprintBurndown[[#This Row],[Day]],"dd-mmm"))</f>
        <v/>
      </c>
      <c r="G69" s="68" t="e">
        <f aca="false">IF(SprintBurndown[[#This Row],[Remaining]]="",NA(),SprintBurndown[[#This Row],[Remaining]])</f>
        <v>#N/A</v>
      </c>
      <c r="H69" s="68" t="e">
        <f aca="false">IF(SprintBurndown[[#This Row],[Ideal]]="",NA(),SprintBurndown[[#This Row],[Ideal]])</f>
        <v>#N/A</v>
      </c>
    </row>
    <row r="70" customFormat="false" ht="15" hidden="false" customHeight="false" outlineLevel="0" collapsed="false">
      <c r="C70" s="25" t="str">
        <f aca="false">IF(OR(CurrentSprint="",ROW()-ROW(SprintBurndown[[#Headers],[Day]])&gt;SprintLength),"",CurrentSprintStart+ROW()-ROW(SprintBurndown[[#Headers],[Day]])-1)</f>
        <v/>
      </c>
      <c r="D70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70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70" s="68" t="str">
        <f aca="false">IF(SprintBurndown[[#This Row],[Day]]="","",TEXT(SprintBurndown[[#This Row],[Day]],"dd-mmm"))</f>
        <v/>
      </c>
      <c r="G70" s="68" t="e">
        <f aca="false">IF(SprintBurndown[[#This Row],[Remaining]]="",NA(),SprintBurndown[[#This Row],[Remaining]])</f>
        <v>#N/A</v>
      </c>
      <c r="H70" s="68" t="e">
        <f aca="false">IF(SprintBurndown[[#This Row],[Ideal]]="",NA(),SprintBurndown[[#This Row],[Ideal]])</f>
        <v>#N/A</v>
      </c>
    </row>
    <row r="71" customFormat="false" ht="15" hidden="false" customHeight="false" outlineLevel="0" collapsed="false">
      <c r="C71" s="25" t="str">
        <f aca="false">IF(OR(CurrentSprint="",ROW()-ROW(SprintBurndown[[#Headers],[Day]])&gt;SprintLength),"",CurrentSprintStart+ROW()-ROW(SprintBurndown[[#Headers],[Day]])-1)</f>
        <v/>
      </c>
      <c r="D71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71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71" s="68" t="str">
        <f aca="false">IF(SprintBurndown[[#This Row],[Day]]="","",TEXT(SprintBurndown[[#This Row],[Day]],"dd-mmm"))</f>
        <v/>
      </c>
      <c r="G71" s="68" t="e">
        <f aca="false">IF(SprintBurndown[[#This Row],[Remaining]]="",NA(),SprintBurndown[[#This Row],[Remaining]])</f>
        <v>#N/A</v>
      </c>
      <c r="H71" s="68" t="e">
        <f aca="false">IF(SprintBurndown[[#This Row],[Ideal]]="",NA(),SprintBurndown[[#This Row],[Ideal]])</f>
        <v>#N/A</v>
      </c>
    </row>
    <row r="72" customFormat="false" ht="15" hidden="false" customHeight="false" outlineLevel="0" collapsed="false">
      <c r="C72" s="25" t="str">
        <f aca="false">IF(OR(CurrentSprint="",ROW()-ROW(SprintBurndown[[#Headers],[Day]])&gt;SprintLength),"",CurrentSprintStart+ROW()-ROW(SprintBurndown[[#Headers],[Day]])-1)</f>
        <v/>
      </c>
      <c r="D72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72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72" s="68" t="str">
        <f aca="false">IF(SprintBurndown[[#This Row],[Day]]="","",TEXT(SprintBurndown[[#This Row],[Day]],"dd-mmm"))</f>
        <v/>
      </c>
      <c r="G72" s="68" t="e">
        <f aca="false">IF(SprintBurndown[[#This Row],[Remaining]]="",NA(),SprintBurndown[[#This Row],[Remaining]])</f>
        <v>#N/A</v>
      </c>
      <c r="H72" s="68" t="e">
        <f aca="false">IF(SprintBurndown[[#This Row],[Ideal]]="",NA(),SprintBurndown[[#This Row],[Ideal]])</f>
        <v>#N/A</v>
      </c>
    </row>
    <row r="73" customFormat="false" ht="15" hidden="false" customHeight="false" outlineLevel="0" collapsed="false">
      <c r="C73" s="25" t="str">
        <f aca="false">IF(OR(CurrentSprint="",ROW()-ROW(SprintBurndown[[#Headers],[Day]])&gt;SprintLength),"",CurrentSprintStart+ROW()-ROW(SprintBurndown[[#Headers],[Day]])-1)</f>
        <v/>
      </c>
      <c r="D73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73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73" s="68" t="str">
        <f aca="false">IF(SprintBurndown[[#This Row],[Day]]="","",TEXT(SprintBurndown[[#This Row],[Day]],"dd-mmm"))</f>
        <v/>
      </c>
      <c r="G73" s="68" t="e">
        <f aca="false">IF(SprintBurndown[[#This Row],[Remaining]]="",NA(),SprintBurndown[[#This Row],[Remaining]])</f>
        <v>#N/A</v>
      </c>
      <c r="H73" s="68" t="e">
        <f aca="false">IF(SprintBurndown[[#This Row],[Ideal]]="",NA(),SprintBurndown[[#This Row],[Ideal]])</f>
        <v>#N/A</v>
      </c>
    </row>
    <row r="74" customFormat="false" ht="15" hidden="false" customHeight="false" outlineLevel="0" collapsed="false">
      <c r="C74" s="25" t="str">
        <f aca="false">IF(OR(CurrentSprint="",ROW()-ROW(SprintBurndown[[#Headers],[Day]])&gt;SprintLength),"",CurrentSprintStart+ROW()-ROW(SprintBurndown[[#Headers],[Day]])-1)</f>
        <v/>
      </c>
      <c r="D74" s="67" t="str">
        <f aca="false">IF(OR(SprintBurndown[[#This Row],[Day]]="",SprintBurndown[[#This Row],[Day]]&gt;StatusDate),"",agl_CurCommitted-SUMIFS(tsk_LeafPoints,tsk_Sprint,CurrentSprint,tsk_DoneDate,"&lt;="&amp;SprintBurndown[[#This Row],[Day]]))</f>
        <v/>
      </c>
      <c r="E74" s="67" t="str">
        <f aca="false">IF(SprintBurndown[[#This Row],[Day]]="","",agl_CurCommitted*MAX(0,1-NETWORKDAYS.INTL(CurrentSprintStart,SprintBurndown[[#This Row],[Day]],WorkWeek,Holidays)/MAX(1,NETWORKDAYS.INTL(CurrentSprintStart,CurrentSprintEnd,WorkWeek,Holidays))))</f>
        <v/>
      </c>
      <c r="F74" s="68" t="str">
        <f aca="false">IF(SprintBurndown[[#This Row],[Day]]="","",TEXT(SprintBurndown[[#This Row],[Day]],"dd-mmm"))</f>
        <v/>
      </c>
      <c r="G74" s="68" t="e">
        <f aca="false">IF(SprintBurndown[[#This Row],[Remaining]]="",NA(),SprintBurndown[[#This Row],[Remaining]])</f>
        <v>#N/A</v>
      </c>
      <c r="H74" s="68" t="e">
        <f aca="false">IF(SprintBurndown[[#This Row],[Ideal]]="",NA(),SprintBurndown[[#This Row],[Ideal]])</f>
        <v>#N/A</v>
      </c>
    </row>
  </sheetData>
  <conditionalFormatting sqref="F44:H74">
    <cfRule type="expression" priority="2" aboveAverage="0" equalAverage="0" bottom="0" percent="0" rank="0" text="" dxfId="27">
      <formula>ISNA(F44)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24"/>
    <col collapsed="false" customWidth="true" hidden="false" outlineLevel="0" max="5" min="5" style="0" width="80"/>
  </cols>
  <sheetData>
    <row r="1" customFormat="false" ht="19.7" hidden="false" customHeight="false" outlineLevel="0" collapsed="false">
      <c r="A1" s="26" t="s">
        <v>230</v>
      </c>
    </row>
    <row r="2" customFormat="false" ht="15" hidden="false" customHeight="false" outlineLevel="0" collapsed="false">
      <c r="A2" s="8" t="s">
        <v>231</v>
      </c>
    </row>
    <row r="4" customFormat="false" ht="15" hidden="false" customHeight="false" outlineLevel="0" collapsed="false">
      <c r="B4" s="9" t="s">
        <v>232</v>
      </c>
      <c r="C4" s="9" t="s">
        <v>80</v>
      </c>
      <c r="D4" s="9" t="s">
        <v>233</v>
      </c>
      <c r="E4" s="9" t="s">
        <v>161</v>
      </c>
    </row>
    <row r="5" customFormat="false" ht="15" hidden="false" customHeight="false" outlineLevel="0" collapsed="false">
      <c r="B5" s="61" t="s">
        <v>234</v>
      </c>
      <c r="C5" s="70" t="s">
        <v>235</v>
      </c>
      <c r="D5" s="71" t="s">
        <v>236</v>
      </c>
      <c r="E5" s="8" t="s">
        <v>237</v>
      </c>
    </row>
    <row r="6" customFormat="false" ht="15" hidden="false" customHeight="false" outlineLevel="0" collapsed="false">
      <c r="B6" s="61" t="s">
        <v>238</v>
      </c>
      <c r="C6" s="70" t="s">
        <v>239</v>
      </c>
      <c r="D6" s="71" t="s">
        <v>240</v>
      </c>
      <c r="E6" s="8"/>
    </row>
    <row r="7" customFormat="false" ht="15" hidden="false" customHeight="false" outlineLevel="0" collapsed="false">
      <c r="B7" s="61" t="s">
        <v>241</v>
      </c>
      <c r="C7" s="72" t="n">
        <v>46272</v>
      </c>
      <c r="D7" s="71" t="s">
        <v>242</v>
      </c>
      <c r="E7" s="8" t="s">
        <v>243</v>
      </c>
    </row>
    <row r="8" customFormat="false" ht="15" hidden="false" customHeight="false" outlineLevel="0" collapsed="false">
      <c r="B8" s="61" t="s">
        <v>244</v>
      </c>
      <c r="C8" s="25" t="n">
        <f aca="false">MAX(1,N(ProjectStartDate))</f>
        <v>46272</v>
      </c>
      <c r="D8" s="71" t="s">
        <v>245</v>
      </c>
      <c r="E8" s="8" t="s">
        <v>246</v>
      </c>
    </row>
    <row r="9" customFormat="false" ht="15" hidden="false" customHeight="false" outlineLevel="0" collapsed="false">
      <c r="B9" s="61" t="s">
        <v>247</v>
      </c>
      <c r="C9" s="72" t="n">
        <v>46320</v>
      </c>
      <c r="D9" s="71" t="s">
        <v>248</v>
      </c>
      <c r="E9" s="8" t="s">
        <v>249</v>
      </c>
    </row>
    <row r="10" customFormat="false" ht="15" hidden="false" customHeight="false" outlineLevel="0" collapsed="false">
      <c r="B10" s="61" t="s">
        <v>250</v>
      </c>
      <c r="C10" s="25" t="n">
        <f aca="false">IF(N(StatusDateInput)&gt;0,StatusDateInput,ProjectStart)</f>
        <v>46320</v>
      </c>
      <c r="D10" s="71" t="s">
        <v>251</v>
      </c>
      <c r="E10" s="8" t="s">
        <v>252</v>
      </c>
    </row>
    <row r="11" customFormat="false" ht="15" hidden="false" customHeight="false" outlineLevel="0" collapsed="false">
      <c r="B11" s="61" t="s">
        <v>253</v>
      </c>
      <c r="C11" s="25" t="n">
        <f aca="false">WORKDAY.INTL(StatusDate-1,1,WorkWeek,Holidays)</f>
        <v>46321</v>
      </c>
      <c r="D11" s="71" t="s">
        <v>254</v>
      </c>
      <c r="E11" s="8"/>
    </row>
    <row r="12" customFormat="false" ht="15" hidden="false" customHeight="false" outlineLevel="0" collapsed="false">
      <c r="B12" s="61" t="s">
        <v>255</v>
      </c>
      <c r="C12" s="70" t="s">
        <v>256</v>
      </c>
      <c r="D12" s="71" t="s">
        <v>257</v>
      </c>
      <c r="E12" s="8" t="s">
        <v>258</v>
      </c>
    </row>
    <row r="13" customFormat="false" ht="15" hidden="false" customHeight="false" outlineLevel="0" collapsed="false">
      <c r="B13" s="61" t="s">
        <v>259</v>
      </c>
      <c r="C13" s="73" t="n">
        <v>8</v>
      </c>
      <c r="D13" s="71" t="s">
        <v>260</v>
      </c>
      <c r="E13" s="8" t="s">
        <v>261</v>
      </c>
    </row>
    <row r="14" customFormat="false" ht="15" hidden="false" customHeight="false" outlineLevel="0" collapsed="false">
      <c r="B14" s="61" t="s">
        <v>262</v>
      </c>
      <c r="C14" s="74" t="n">
        <v>1</v>
      </c>
      <c r="D14" s="71" t="s">
        <v>263</v>
      </c>
      <c r="E14" s="8" t="s">
        <v>264</v>
      </c>
    </row>
    <row r="15" customFormat="false" ht="15" hidden="false" customHeight="false" outlineLevel="0" collapsed="false">
      <c r="B15" s="61" t="s">
        <v>265</v>
      </c>
      <c r="C15" s="70" t="s">
        <v>256</v>
      </c>
      <c r="D15" s="71" t="s">
        <v>266</v>
      </c>
      <c r="E15" s="8" t="s">
        <v>267</v>
      </c>
    </row>
    <row r="16" customFormat="false" ht="15" hidden="false" customHeight="false" outlineLevel="0" collapsed="false">
      <c r="B16" s="61" t="s">
        <v>268</v>
      </c>
      <c r="C16" s="70" t="s">
        <v>256</v>
      </c>
      <c r="D16" s="71" t="s">
        <v>269</v>
      </c>
      <c r="E16" s="8"/>
    </row>
    <row r="17" customFormat="false" ht="15" hidden="false" customHeight="false" outlineLevel="0" collapsed="false">
      <c r="B17" s="61" t="s">
        <v>270</v>
      </c>
      <c r="C17" s="70" t="s">
        <v>256</v>
      </c>
      <c r="D17" s="71" t="s">
        <v>271</v>
      </c>
      <c r="E17" s="8"/>
    </row>
    <row r="18" customFormat="false" ht="15" hidden="false" customHeight="false" outlineLevel="0" collapsed="false">
      <c r="B18" s="61" t="s">
        <v>272</v>
      </c>
      <c r="C18" s="70" t="s">
        <v>256</v>
      </c>
      <c r="D18" s="71" t="s">
        <v>273</v>
      </c>
      <c r="E18" s="8"/>
    </row>
    <row r="19" customFormat="false" ht="15" hidden="false" customHeight="false" outlineLevel="0" collapsed="false">
      <c r="B19" s="61" t="s">
        <v>274</v>
      </c>
      <c r="C19" s="70" t="s">
        <v>256</v>
      </c>
      <c r="D19" s="71" t="s">
        <v>275</v>
      </c>
      <c r="E19" s="8"/>
    </row>
    <row r="20" customFormat="false" ht="15" hidden="false" customHeight="false" outlineLevel="0" collapsed="false">
      <c r="B20" s="61" t="s">
        <v>276</v>
      </c>
      <c r="C20" s="70" t="s">
        <v>277</v>
      </c>
      <c r="D20" s="71" t="s">
        <v>278</v>
      </c>
      <c r="E20" s="8"/>
    </row>
    <row r="21" customFormat="false" ht="15" hidden="false" customHeight="false" outlineLevel="0" collapsed="false">
      <c r="B21" s="61" t="s">
        <v>279</v>
      </c>
      <c r="C21" s="70" t="s">
        <v>277</v>
      </c>
      <c r="D21" s="71" t="s">
        <v>280</v>
      </c>
      <c r="E21" s="8"/>
    </row>
    <row r="22" customFormat="false" ht="15" hidden="false" customHeight="false" outlineLevel="0" collapsed="false">
      <c r="B22" s="61" t="s">
        <v>281</v>
      </c>
      <c r="C22" s="75" t="str">
        <f aca="false">IF(WorkMon="Yes","0","1")&amp;IF(WorkTue="Yes","0","1")&amp;IF(WorkWed="Yes","0","1")&amp;IF(WorkThu="Yes","0","1")&amp;IF(WorkFri="Yes","0","1")&amp;IF(WorkSat="Yes","0","1")&amp;IF(WorkSun="Yes","0","1")</f>
        <v>0000011</v>
      </c>
      <c r="D22" s="71" t="s">
        <v>282</v>
      </c>
      <c r="E22" s="8" t="s">
        <v>283</v>
      </c>
    </row>
    <row r="23" customFormat="false" ht="15" hidden="false" customHeight="false" outlineLevel="0" collapsed="false">
      <c r="B23" s="61" t="s">
        <v>284</v>
      </c>
      <c r="C23" s="72" t="n">
        <f aca="false">ProjectStart-WEEKDAY(ProjectStart,3)</f>
        <v>46272</v>
      </c>
      <c r="D23" s="71" t="s">
        <v>285</v>
      </c>
      <c r="E23" s="8" t="s">
        <v>286</v>
      </c>
    </row>
    <row r="24" customFormat="false" ht="15" hidden="false" customHeight="false" outlineLevel="0" collapsed="false">
      <c r="B24" s="61" t="s">
        <v>287</v>
      </c>
      <c r="C24" s="76" t="n">
        <v>1</v>
      </c>
      <c r="D24" s="71" t="s">
        <v>288</v>
      </c>
      <c r="E24" s="8" t="s">
        <v>289</v>
      </c>
    </row>
    <row r="25" customFormat="false" ht="15" hidden="false" customHeight="false" outlineLevel="0" collapsed="false">
      <c r="B25" s="61" t="s">
        <v>290</v>
      </c>
      <c r="C25" s="72" t="n">
        <f aca="false">ProjectStart</f>
        <v>46272</v>
      </c>
      <c r="D25" s="71" t="s">
        <v>291</v>
      </c>
      <c r="E25" s="8" t="s">
        <v>292</v>
      </c>
    </row>
    <row r="26" customFormat="false" ht="15" hidden="false" customHeight="false" outlineLevel="0" collapsed="false">
      <c r="B26" s="61" t="s">
        <v>293</v>
      </c>
      <c r="C26" s="76" t="n">
        <v>14</v>
      </c>
      <c r="D26" s="71" t="s">
        <v>294</v>
      </c>
      <c r="E26" s="8" t="s">
        <v>295</v>
      </c>
    </row>
    <row r="27" customFormat="false" ht="15" hidden="false" customHeight="false" outlineLevel="0" collapsed="false">
      <c r="B27" s="61" t="s">
        <v>296</v>
      </c>
      <c r="C27" s="76" t="n">
        <v>12</v>
      </c>
      <c r="D27" s="71" t="s">
        <v>297</v>
      </c>
      <c r="E27" s="8" t="s">
        <v>298</v>
      </c>
    </row>
    <row r="28" customFormat="false" ht="15" hidden="false" customHeight="false" outlineLevel="0" collapsed="false">
      <c r="B28" s="61" t="s">
        <v>299</v>
      </c>
      <c r="C28" s="70" t="s">
        <v>300</v>
      </c>
      <c r="D28" s="71" t="s">
        <v>301</v>
      </c>
      <c r="E28" s="8" t="s">
        <v>302</v>
      </c>
    </row>
    <row r="29" customFormat="false" ht="15" hidden="false" customHeight="false" outlineLevel="0" collapsed="false">
      <c r="B29" s="61" t="s">
        <v>303</v>
      </c>
      <c r="C29" s="25" t="n">
        <f aca="false">INDEX(spr_End,SprintCount)</f>
        <v>46439</v>
      </c>
      <c r="D29" s="71" t="s">
        <v>304</v>
      </c>
      <c r="E29" s="8"/>
    </row>
    <row r="30" customFormat="false" ht="15" hidden="false" customHeight="false" outlineLevel="0" collapsed="false">
      <c r="B30" s="61" t="s">
        <v>305</v>
      </c>
      <c r="C30" s="75" t="str">
        <f aca="false">IF(OR(StatusDate&lt;Sprint1Start,StatusDate&gt;SprintLastEnd),"",INDEX(spr_Name,MATCH(StatusDate,spr_Start,1)))</f>
        <v>Sprint 4</v>
      </c>
      <c r="D30" s="71" t="s">
        <v>306</v>
      </c>
      <c r="E30" s="8" t="s">
        <v>307</v>
      </c>
    </row>
    <row r="31" customFormat="false" ht="15" hidden="false" customHeight="false" outlineLevel="0" collapsed="false">
      <c r="B31" s="61" t="s">
        <v>308</v>
      </c>
      <c r="C31" s="25" t="n">
        <f aca="false">IF(CurrentSprint="","",INDEX(spr_Start,MATCH(CurrentSprint,spr_Name,0)))</f>
        <v>46314</v>
      </c>
      <c r="D31" s="71" t="s">
        <v>309</v>
      </c>
      <c r="E31" s="8"/>
    </row>
    <row r="32" customFormat="false" ht="15" hidden="false" customHeight="false" outlineLevel="0" collapsed="false">
      <c r="B32" s="61" t="s">
        <v>310</v>
      </c>
      <c r="C32" s="25" t="n">
        <f aca="false">IF(CurrentSprint="","",INDEX(spr_End,MATCH(CurrentSprint,spr_Name,0)))</f>
        <v>46327</v>
      </c>
      <c r="D32" s="71" t="s">
        <v>311</v>
      </c>
      <c r="E32" s="8"/>
    </row>
    <row r="33" customFormat="false" ht="15" hidden="false" customHeight="false" outlineLevel="0" collapsed="false">
      <c r="B33" s="61" t="s">
        <v>312</v>
      </c>
      <c r="C33" s="67" t="n">
        <f aca="false">SUM(tsk_LeafPoints)</f>
        <v>82</v>
      </c>
      <c r="D33" s="71" t="s">
        <v>313</v>
      </c>
      <c r="E33" s="8" t="s">
        <v>314</v>
      </c>
    </row>
    <row r="34" customFormat="false" ht="15" hidden="false" customHeight="false" outlineLevel="0" collapsed="false">
      <c r="B34" s="61" t="s">
        <v>315</v>
      </c>
      <c r="C34" s="76" t="n">
        <v>0</v>
      </c>
      <c r="D34" s="71" t="s">
        <v>316</v>
      </c>
      <c r="E34" s="8" t="s">
        <v>317</v>
      </c>
    </row>
    <row r="35" customFormat="false" ht="15" hidden="false" customHeight="false" outlineLevel="0" collapsed="false">
      <c r="B35" s="61" t="s">
        <v>318</v>
      </c>
      <c r="C35" s="25" t="n">
        <f aca="false">MAX(tsk_FcFinish)</f>
        <v>46393</v>
      </c>
      <c r="D35" s="71" t="s">
        <v>319</v>
      </c>
      <c r="E35" s="8" t="s">
        <v>320</v>
      </c>
    </row>
    <row r="36" customFormat="false" ht="15" hidden="false" customHeight="false" outlineLevel="0" collapsed="false">
      <c r="B36" s="61" t="s">
        <v>321</v>
      </c>
      <c r="C36" s="25" t="n">
        <f aca="false">MAX(tsk_PlanFinish)</f>
        <v>46393</v>
      </c>
      <c r="D36" s="71" t="s">
        <v>322</v>
      </c>
      <c r="E36" s="8" t="s">
        <v>323</v>
      </c>
    </row>
    <row r="37" customFormat="false" ht="15" hidden="false" customHeight="false" outlineLevel="0" collapsed="false">
      <c r="B37" s="61" t="s">
        <v>324</v>
      </c>
      <c r="C37" s="77" t="n">
        <f aca="false">IF(ProjectFinish&gt;=PlannedFinish,NETWORKDAYS.INTL(PlannedFinish,ProjectFinish,WorkWeek,Holidays)-1,1-NETWORKDAYS.INTL(ProjectFinish,PlannedFinish,WorkWeek,Holidays))</f>
        <v>0</v>
      </c>
      <c r="D37" s="71" t="s">
        <v>325</v>
      </c>
      <c r="E37" s="8" t="s">
        <v>326</v>
      </c>
    </row>
    <row r="38" customFormat="false" ht="15" hidden="false" customHeight="false" outlineLevel="0" collapsed="false">
      <c r="B38" s="61" t="s">
        <v>327</v>
      </c>
      <c r="C38" s="76" t="n">
        <v>10</v>
      </c>
      <c r="D38" s="71" t="s">
        <v>328</v>
      </c>
      <c r="E38" s="8" t="s">
        <v>329</v>
      </c>
    </row>
    <row r="39" customFormat="false" ht="15" hidden="false" customHeight="false" outlineLevel="0" collapsed="false">
      <c r="B39" s="61" t="s">
        <v>330</v>
      </c>
      <c r="C39" s="25" t="n">
        <f aca="false">WORKDAY.INTL(StatusDate-1,LookaheadDays,WorkWeek,Holidays)</f>
        <v>46332</v>
      </c>
      <c r="D39" s="71" t="s">
        <v>331</v>
      </c>
      <c r="E39" s="8"/>
    </row>
    <row r="40" customFormat="false" ht="15" hidden="false" customHeight="false" outlineLevel="0" collapsed="false">
      <c r="B40" s="61" t="s">
        <v>332</v>
      </c>
      <c r="C40" s="76" t="n">
        <v>3</v>
      </c>
      <c r="D40" s="71" t="s">
        <v>333</v>
      </c>
      <c r="E40" s="8" t="s">
        <v>334</v>
      </c>
    </row>
    <row r="41" customFormat="false" ht="15" hidden="false" customHeight="false" outlineLevel="0" collapsed="false">
      <c r="B41" s="61" t="s">
        <v>335</v>
      </c>
      <c r="C41" s="76" t="n">
        <v>10</v>
      </c>
      <c r="D41" s="71" t="s">
        <v>336</v>
      </c>
      <c r="E41" s="8"/>
    </row>
    <row r="42" customFormat="false" ht="15" hidden="false" customHeight="false" outlineLevel="0" collapsed="false">
      <c r="B42" s="61" t="s">
        <v>337</v>
      </c>
      <c r="C42" s="78" t="n">
        <v>0.95</v>
      </c>
      <c r="D42" s="71" t="s">
        <v>338</v>
      </c>
      <c r="E42" s="8" t="s">
        <v>339</v>
      </c>
    </row>
    <row r="43" customFormat="false" ht="15" hidden="false" customHeight="false" outlineLevel="0" collapsed="false">
      <c r="B43" s="61" t="s">
        <v>340</v>
      </c>
      <c r="C43" s="78" t="n">
        <v>0.85</v>
      </c>
      <c r="D43" s="71" t="s">
        <v>341</v>
      </c>
      <c r="E43" s="8"/>
    </row>
    <row r="44" customFormat="false" ht="15" hidden="false" customHeight="false" outlineLevel="0" collapsed="false">
      <c r="B44" s="61" t="s">
        <v>342</v>
      </c>
      <c r="C44" s="72" t="n">
        <f aca="false">MAX(2,StatusDate-WEEKDAY(StatusDate,3)-14)</f>
        <v>46300</v>
      </c>
      <c r="D44" s="71" t="s">
        <v>343</v>
      </c>
      <c r="E44" s="8" t="s">
        <v>344</v>
      </c>
    </row>
    <row r="45" customFormat="false" ht="15" hidden="false" customHeight="false" outlineLevel="0" collapsed="false">
      <c r="B45" s="61" t="s">
        <v>345</v>
      </c>
      <c r="C45" s="79" t="n">
        <f aca="false">MAX(tsk_UID)+1</f>
        <v>201</v>
      </c>
      <c r="D45" s="71" t="s">
        <v>346</v>
      </c>
      <c r="E45" s="8" t="s">
        <v>347</v>
      </c>
    </row>
  </sheetData>
  <conditionalFormatting sqref="C7">
    <cfRule type="expression" priority="2" aboveAverage="0" equalAverage="0" bottom="0" percent="0" rank="0" text="" dxfId="28">
      <formula>N(C7)=0</formula>
    </cfRule>
  </conditionalFormatting>
  <conditionalFormatting sqref="C9">
    <cfRule type="expression" priority="3" aboveAverage="0" equalAverage="0" bottom="0" percent="0" rank="0" text="" dxfId="28">
      <formula>N(C9)=0</formula>
    </cfRule>
  </conditionalFormatting>
  <dataValidations count="3">
    <dataValidation allowBlank="false" errorStyle="stop" operator="between" showDropDown="false" showErrorMessage="false" showInputMessage="false" sqref="C12 C15:C21" type="list">
      <formula1>L_YesNo</formula1>
      <formula2>0</formula2>
    </dataValidation>
    <dataValidation allowBlank="false" errorStyle="stop" operator="between" showDropDown="false" showErrorMessage="false" showInputMessage="false" sqref="C24" type="list">
      <formula1>L_Period</formula1>
      <formula2>0</formula2>
    </dataValidation>
    <dataValidation allowBlank="false" errorStyle="stop" operator="between" showDropDown="false" showErrorMessage="false" showInputMessage="false" sqref="C27" type="whole">
      <formula1>1</formula1>
      <formula2>26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1:DR20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36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10" min="9" style="0" width="6"/>
    <col collapsed="false" customWidth="true" hidden="false" outlineLevel="0" max="11" min="11" style="0" width="7"/>
    <col collapsed="false" customWidth="true" hidden="false" outlineLevel="0" max="13" min="12" style="0" width="6"/>
    <col collapsed="false" customWidth="true" hidden="false" outlineLevel="0" max="21" min="14" style="0" width="15"/>
    <col collapsed="false" customWidth="true" hidden="false" outlineLevel="0" max="23" min="22" style="0" width="8"/>
    <col collapsed="false" customWidth="true" hidden="false" outlineLevel="0" max="25" min="24" style="0" width="15"/>
    <col collapsed="false" customWidth="true" hidden="false" outlineLevel="0" max="28" min="26" style="0" width="8"/>
    <col collapsed="false" customWidth="true" hidden="false" outlineLevel="0" max="29" min="29" style="0" width="12"/>
    <col collapsed="false" customWidth="true" hidden="false" outlineLevel="0" max="30" min="30" style="0" width="24"/>
    <col collapsed="false" customWidth="true" hidden="false" outlineLevel="0" max="32" min="31" style="0" width="9"/>
    <col collapsed="false" customWidth="true" hidden="false" outlineLevel="0" max="33" min="33" style="0" width="12"/>
    <col collapsed="false" customWidth="true" hidden="false" outlineLevel="0" max="34" min="34" style="0" width="16"/>
    <col collapsed="false" customWidth="true" hidden="false" outlineLevel="0" max="35" min="35" style="0" width="7"/>
    <col collapsed="false" customWidth="true" hidden="false" outlineLevel="0" max="36" min="36" style="0" width="9"/>
    <col collapsed="false" customWidth="true" hidden="false" outlineLevel="0" max="39" min="37" style="0" width="11"/>
    <col collapsed="false" customWidth="true" hidden="false" outlineLevel="0" max="40" min="40" style="0" width="10"/>
    <col collapsed="false" customWidth="true" hidden="false" outlineLevel="0" max="41" min="41" style="0" width="8"/>
    <col collapsed="false" customWidth="true" hidden="false" outlineLevel="0" max="42" min="42" style="0" width="14"/>
    <col collapsed="false" customWidth="true" hidden="false" outlineLevel="0" max="43" min="43" style="0" width="40"/>
    <col collapsed="false" customWidth="true" hidden="false" outlineLevel="0" max="45" min="44" style="0" width="15"/>
    <col collapsed="false" customWidth="true" hidden="false" outlineLevel="0" max="47" min="46" style="0" width="9"/>
    <col collapsed="false" customWidth="true" hidden="false" outlineLevel="0" max="48" min="48" style="0" width="11"/>
    <col collapsed="false" customWidth="true" hidden="false" outlineLevel="0" max="50" min="49" style="0" width="15"/>
    <col collapsed="false" customWidth="true" hidden="false" outlineLevel="0" max="52" min="51" style="0" width="9"/>
    <col collapsed="false" customWidth="true" hidden="false" outlineLevel="0" max="53" min="53" style="0" width="11"/>
    <col collapsed="false" customWidth="true" hidden="false" outlineLevel="0" max="55" min="54" style="0" width="9"/>
    <col collapsed="false" customWidth="true" hidden="false" outlineLevel="0" max="60" min="56" style="0" width="11"/>
    <col collapsed="false" customWidth="true" hidden="true" outlineLevel="1" max="122" min="61" style="0" width="11"/>
  </cols>
  <sheetData>
    <row r="1" customFormat="false" ht="19.7" hidden="false" customHeight="false" outlineLevel="0" collapsed="false">
      <c r="A1" s="26" t="str">
        <f aca="false">ProjectName&amp;"  -  Task Entry"</f>
        <v>Customer Portal Implementation  -  Task Entry</v>
      </c>
    </row>
    <row r="2" customFormat="false" ht="15" hidden="false" customHeight="false" outlineLevel="0" collapsed="false">
      <c r="A2" s="8" t="s">
        <v>348</v>
      </c>
    </row>
    <row r="3" customFormat="false" ht="15" hidden="false" customHeight="false" outlineLevel="0" collapsed="false">
      <c r="A3" s="36" t="str">
        <f aca="false">"Next free UID for a new row: "&amp;NextFreeUID</f>
        <v>Next free UID for a new row: 201</v>
      </c>
    </row>
    <row r="4" customFormat="false" ht="15" hidden="false" customHeight="false" outlineLevel="0" collapsed="false">
      <c r="A4" s="36" t="s">
        <v>349</v>
      </c>
      <c r="F4" s="36" t="s">
        <v>350</v>
      </c>
      <c r="P4" s="36" t="s">
        <v>351</v>
      </c>
      <c r="V4" s="36" t="s">
        <v>352</v>
      </c>
      <c r="X4" s="36" t="s">
        <v>353</v>
      </c>
      <c r="AC4" s="36" t="s">
        <v>354</v>
      </c>
      <c r="AE4" s="36" t="s">
        <v>355</v>
      </c>
      <c r="AH4" s="36" t="s">
        <v>356</v>
      </c>
      <c r="AR4" s="36" t="s">
        <v>357</v>
      </c>
      <c r="BB4" s="36" t="s">
        <v>358</v>
      </c>
      <c r="BE4" s="36" t="s">
        <v>359</v>
      </c>
      <c r="BI4" s="36" t="s">
        <v>360</v>
      </c>
    </row>
    <row r="5" customFormat="false" ht="42" hidden="false" customHeight="true" outlineLevel="0" collapsed="false">
      <c r="A5" s="9" t="s">
        <v>361</v>
      </c>
      <c r="B5" s="27" t="s">
        <v>362</v>
      </c>
      <c r="C5" s="9" t="s">
        <v>169</v>
      </c>
      <c r="D5" s="27" t="s">
        <v>363</v>
      </c>
      <c r="E5" s="27" t="s">
        <v>364</v>
      </c>
      <c r="F5" s="27" t="s">
        <v>49</v>
      </c>
      <c r="G5" s="27" t="s">
        <v>191</v>
      </c>
      <c r="H5" s="27" t="s">
        <v>365</v>
      </c>
      <c r="I5" s="27" t="s">
        <v>366</v>
      </c>
      <c r="J5" s="27" t="s">
        <v>367</v>
      </c>
      <c r="K5" s="27" t="s">
        <v>368</v>
      </c>
      <c r="L5" s="27" t="s">
        <v>369</v>
      </c>
      <c r="M5" s="27" t="s">
        <v>370</v>
      </c>
      <c r="N5" s="27" t="s">
        <v>371</v>
      </c>
      <c r="O5" s="27" t="s">
        <v>185</v>
      </c>
      <c r="P5" s="9" t="s">
        <v>372</v>
      </c>
      <c r="Q5" s="9" t="s">
        <v>171</v>
      </c>
      <c r="R5" s="27" t="s">
        <v>373</v>
      </c>
      <c r="S5" s="27" t="s">
        <v>374</v>
      </c>
      <c r="T5" s="9" t="s">
        <v>190</v>
      </c>
      <c r="U5" s="9" t="s">
        <v>172</v>
      </c>
      <c r="V5" s="9" t="s">
        <v>375</v>
      </c>
      <c r="W5" s="9" t="s">
        <v>173</v>
      </c>
      <c r="X5" s="9" t="s">
        <v>90</v>
      </c>
      <c r="Y5" s="9" t="s">
        <v>376</v>
      </c>
      <c r="Z5" s="9" t="s">
        <v>192</v>
      </c>
      <c r="AA5" s="9" t="s">
        <v>377</v>
      </c>
      <c r="AB5" s="9" t="s">
        <v>189</v>
      </c>
      <c r="AC5" s="9" t="s">
        <v>186</v>
      </c>
      <c r="AD5" s="9" t="s">
        <v>378</v>
      </c>
      <c r="AE5" s="27" t="s">
        <v>379</v>
      </c>
      <c r="AF5" s="9" t="s">
        <v>174</v>
      </c>
      <c r="AG5" s="9" t="s">
        <v>81</v>
      </c>
      <c r="AH5" s="27" t="s">
        <v>188</v>
      </c>
      <c r="AI5" s="27" t="s">
        <v>380</v>
      </c>
      <c r="AJ5" s="9" t="s">
        <v>196</v>
      </c>
      <c r="AK5" s="9" t="s">
        <v>199</v>
      </c>
      <c r="AL5" s="27" t="s">
        <v>200</v>
      </c>
      <c r="AM5" s="27" t="s">
        <v>381</v>
      </c>
      <c r="AN5" s="9" t="s">
        <v>382</v>
      </c>
      <c r="AO5" s="27" t="s">
        <v>223</v>
      </c>
      <c r="AP5" s="9" t="s">
        <v>47</v>
      </c>
      <c r="AQ5" s="27" t="s">
        <v>161</v>
      </c>
      <c r="AR5" s="9" t="s">
        <v>383</v>
      </c>
      <c r="AS5" s="9" t="s">
        <v>384</v>
      </c>
      <c r="AT5" s="9" t="s">
        <v>385</v>
      </c>
      <c r="AU5" s="9" t="s">
        <v>386</v>
      </c>
      <c r="AV5" s="9" t="s">
        <v>387</v>
      </c>
      <c r="AW5" s="27" t="s">
        <v>388</v>
      </c>
      <c r="AX5" s="27" t="s">
        <v>389</v>
      </c>
      <c r="AY5" s="27" t="s">
        <v>390</v>
      </c>
      <c r="AZ5" s="27" t="s">
        <v>391</v>
      </c>
      <c r="BA5" s="27" t="s">
        <v>392</v>
      </c>
      <c r="BB5" s="9" t="s">
        <v>393</v>
      </c>
      <c r="BC5" s="9" t="s">
        <v>394</v>
      </c>
      <c r="BD5" s="9" t="s">
        <v>395</v>
      </c>
      <c r="BE5" s="9" t="s">
        <v>175</v>
      </c>
      <c r="BF5" s="9" t="s">
        <v>176</v>
      </c>
      <c r="BG5" s="9" t="s">
        <v>177</v>
      </c>
      <c r="BH5" s="9" t="s">
        <v>178</v>
      </c>
      <c r="BI5" s="42" t="s">
        <v>396</v>
      </c>
      <c r="BJ5" s="42" t="s">
        <v>397</v>
      </c>
      <c r="BK5" s="42" t="s">
        <v>398</v>
      </c>
      <c r="BL5" s="42" t="s">
        <v>399</v>
      </c>
      <c r="BM5" s="42" t="s">
        <v>400</v>
      </c>
      <c r="BN5" s="42" t="s">
        <v>401</v>
      </c>
      <c r="BO5" s="42" t="s">
        <v>402</v>
      </c>
      <c r="BP5" s="42" t="s">
        <v>403</v>
      </c>
      <c r="BQ5" s="42" t="s">
        <v>404</v>
      </c>
      <c r="BR5" s="42" t="s">
        <v>405</v>
      </c>
      <c r="BS5" s="42" t="s">
        <v>406</v>
      </c>
      <c r="BT5" s="42" t="s">
        <v>407</v>
      </c>
      <c r="BU5" s="42" t="s">
        <v>408</v>
      </c>
      <c r="BV5" s="42" t="s">
        <v>409</v>
      </c>
      <c r="BW5" s="42" t="s">
        <v>410</v>
      </c>
      <c r="BX5" s="42" t="s">
        <v>411</v>
      </c>
      <c r="BY5" s="42" t="s">
        <v>412</v>
      </c>
      <c r="BZ5" s="42" t="s">
        <v>413</v>
      </c>
      <c r="CA5" s="42" t="s">
        <v>414</v>
      </c>
      <c r="CB5" s="42" t="s">
        <v>415</v>
      </c>
      <c r="CC5" s="42" t="s">
        <v>416</v>
      </c>
      <c r="CD5" s="42" t="s">
        <v>417</v>
      </c>
      <c r="CE5" s="42" t="s">
        <v>418</v>
      </c>
      <c r="CF5" s="42" t="s">
        <v>419</v>
      </c>
      <c r="CG5" s="42" t="s">
        <v>420</v>
      </c>
      <c r="CH5" s="42" t="s">
        <v>421</v>
      </c>
      <c r="CI5" s="42" t="s">
        <v>422</v>
      </c>
      <c r="CJ5" s="42" t="s">
        <v>423</v>
      </c>
      <c r="CK5" s="42" t="s">
        <v>424</v>
      </c>
      <c r="CL5" s="42" t="s">
        <v>425</v>
      </c>
      <c r="CM5" s="42" t="s">
        <v>426</v>
      </c>
      <c r="CN5" s="42" t="s">
        <v>427</v>
      </c>
      <c r="CO5" s="42" t="s">
        <v>428</v>
      </c>
      <c r="CP5" s="42" t="s">
        <v>429</v>
      </c>
      <c r="CQ5" s="42" t="s">
        <v>430</v>
      </c>
      <c r="CR5" s="42" t="s">
        <v>431</v>
      </c>
      <c r="CS5" s="42" t="s">
        <v>432</v>
      </c>
      <c r="CT5" s="42" t="s">
        <v>433</v>
      </c>
      <c r="CU5" s="42" t="s">
        <v>434</v>
      </c>
      <c r="CV5" s="42" t="s">
        <v>435</v>
      </c>
      <c r="CW5" s="42" t="s">
        <v>436</v>
      </c>
      <c r="CX5" s="42" t="s">
        <v>437</v>
      </c>
      <c r="CY5" s="42" t="s">
        <v>438</v>
      </c>
      <c r="CZ5" s="42" t="s">
        <v>439</v>
      </c>
      <c r="DA5" s="42" t="s">
        <v>440</v>
      </c>
      <c r="DB5" s="42" t="s">
        <v>441</v>
      </c>
      <c r="DC5" s="42" t="s">
        <v>442</v>
      </c>
      <c r="DD5" s="42" t="s">
        <v>443</v>
      </c>
      <c r="DE5" s="42" t="s">
        <v>444</v>
      </c>
      <c r="DF5" s="42" t="s">
        <v>445</v>
      </c>
      <c r="DG5" s="42" t="s">
        <v>446</v>
      </c>
      <c r="DH5" s="42" t="s">
        <v>447</v>
      </c>
      <c r="DI5" s="42" t="s">
        <v>448</v>
      </c>
      <c r="DJ5" s="42" t="s">
        <v>449</v>
      </c>
      <c r="DK5" s="42" t="s">
        <v>450</v>
      </c>
      <c r="DL5" s="42" t="s">
        <v>451</v>
      </c>
      <c r="DM5" s="42" t="s">
        <v>452</v>
      </c>
      <c r="DN5" s="42" t="s">
        <v>453</v>
      </c>
      <c r="DO5" s="42" t="s">
        <v>454</v>
      </c>
      <c r="DP5" s="42" t="s">
        <v>455</v>
      </c>
      <c r="DQ5" s="42" t="s">
        <v>456</v>
      </c>
      <c r="DR5" s="42" t="s">
        <v>457</v>
      </c>
    </row>
    <row r="6" customFormat="false" ht="15" hidden="false" customHeight="false" outlineLevel="0" collapsed="false">
      <c r="A6" s="28" t="n">
        <f aca="false">IF(Tasks[[#This Row],[Task Name]]="","",COUNTA(Tasks[[#Headers],[Task Name]]:Tasks[[#This Row],[Task Name]])-1)</f>
        <v>1</v>
      </c>
      <c r="B6" s="29" t="n">
        <v>1</v>
      </c>
      <c r="C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1</v>
      </c>
      <c r="D6" s="29" t="n">
        <v>1</v>
      </c>
      <c r="E6" s="30" t="s">
        <v>458</v>
      </c>
      <c r="F6" s="29" t="s">
        <v>459</v>
      </c>
      <c r="G6" s="29"/>
      <c r="H6" s="29"/>
      <c r="I6" s="29"/>
      <c r="J6" s="29"/>
      <c r="K6" s="29"/>
      <c r="L6" s="29"/>
      <c r="M6" s="29"/>
      <c r="N6" s="72"/>
      <c r="O6" s="72"/>
      <c r="P6" s="25" t="n">
        <f aca="false">IF(Tasks[[#This Row],[Task Name]]="","",IF(N(Tasks[[#This Row],[Baseline Start]])&gt;0,Tasks[[#This Row],[Baseline Start]],Tasks[[#This Row],[_CalcStart]]))</f>
        <v>46272</v>
      </c>
      <c r="Q6" s="25" t="n">
        <f aca="false">IF(Tasks[[#This Row],[Task Name]]="","",IF(N(Tasks[[#This Row],[Baseline Finish]])&gt;0,Tasks[[#This Row],[Baseline Finish]],Tasks[[#This Row],[_CalcFinish]]))</f>
        <v>46276</v>
      </c>
      <c r="R6" s="72"/>
      <c r="S6" s="72"/>
      <c r="T6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46272</v>
      </c>
      <c r="U6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46279</v>
      </c>
      <c r="V6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0</v>
      </c>
      <c r="W6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1</v>
      </c>
      <c r="X6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46279</v>
      </c>
      <c r="Y6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46283</v>
      </c>
      <c r="Z6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4</v>
      </c>
      <c r="AA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6" s="74"/>
      <c r="AF6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1</v>
      </c>
      <c r="AG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Complete</v>
      </c>
      <c r="AH6" s="30"/>
      <c r="AI6" s="74"/>
      <c r="AJ6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40</v>
      </c>
      <c r="AK6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3400</v>
      </c>
      <c r="AL6" s="83"/>
      <c r="AM6" s="29"/>
      <c r="AN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6" s="84"/>
      <c r="AP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6" s="30" t="s">
        <v>460</v>
      </c>
      <c r="AR6" s="25" t="n">
        <f aca="false">IF(Tasks[[#This Row],[Task Name]]="","",Tasks[[#This Row],[Forecast Start]])</f>
        <v>46272</v>
      </c>
      <c r="AS6" s="25" t="n">
        <f aca="false">IF(Tasks[[#This Row],[Task Name]]="","",Tasks[[#This Row],[Forecast Finish]])</f>
        <v>46279</v>
      </c>
      <c r="AT6" s="28" t="n">
        <f aca="false">IF(Tasks[[#This Row],[Task Name]]="","",IF(Tasks[[#This Row],[_IsSummary]],NETWORKDAYS.INTL(Tasks[[#This Row],[Forecast Start]],Tasks[[#This Row],[Forecast Finish]],WorkWeek,Holidays),N(Tasks[[#This Row],[Duration]])))</f>
        <v>6</v>
      </c>
      <c r="AU6" s="81" t="n">
        <f aca="false">IF(Tasks[[#This Row],[Task Name]]="","",Tasks[[#This Row],[Work]])</f>
        <v>40</v>
      </c>
      <c r="AV6" s="82" t="n">
        <f aca="false">IF(Tasks[[#This Row],[Task Name]]="","",Tasks[[#This Row],[Cost]])</f>
        <v>3400</v>
      </c>
      <c r="AW6" s="72"/>
      <c r="AX6" s="72"/>
      <c r="AY6" s="29"/>
      <c r="AZ6" s="85"/>
      <c r="BA6" s="83"/>
      <c r="BB6" s="28" t="str">
        <f aca="false">IF(OR(Tasks[[#This Row],[Task Name]]="",Tasks[[#This Row],[Baseline Duration]]=""),"",Tasks[[#This Row],[BL Source Duration]]-N(Tasks[[#This Row],[Baseline Duration]]))</f>
        <v/>
      </c>
      <c r="BC6" s="81" t="str">
        <f aca="false">IF(OR(Tasks[[#This Row],[Task Name]]="",Tasks[[#This Row],[Baseline Work]]=""),"",Tasks[[#This Row],[Work]]-N(Tasks[[#This Row],[Baseline Work]]))</f>
        <v/>
      </c>
      <c r="BD6" s="82" t="str">
        <f aca="false">IF(OR(Tasks[[#This Row],[Task Name]]="",Tasks[[#This Row],[Baseline Cost]]=""),"",Tasks[[#This Row],[Cost]]-N(Tasks[[#This Row],[Baseline Cost]]))</f>
        <v/>
      </c>
      <c r="BE6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3400</v>
      </c>
      <c r="BF6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3400</v>
      </c>
      <c r="BG6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3400</v>
      </c>
      <c r="BH6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4160</v>
      </c>
      <c r="BI6" s="43" t="n">
        <f aca="false">IF(Tasks[[#This Row],[Task Name]]="","",MAX(1,N(Tasks[[#This Row],[Level]])))</f>
        <v>1</v>
      </c>
      <c r="BJ6" s="43" t="n">
        <f aca="false">ROW()-ROW(Tasks[[#Headers],[ID]])</f>
        <v>1</v>
      </c>
      <c r="BK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6" s="43" t="n">
        <f aca="false">IFERROR(N(INDEX(Tasks[_Level],Tasks[[#This Row],[_Row]]+1)),0)</f>
        <v>2</v>
      </c>
      <c r="BM6" s="86" t="b">
        <f aca="false">AND(Tasks[[#This Row],[Task Name]]&lt;&gt;"",Tasks[[#This Row],[_NextLevel]]&gt;Tasks[[#This Row],[_Level]])</f>
        <v>1</v>
      </c>
      <c r="BN6" s="43" t="n">
        <f aca="false">IF(Tasks[[#This Row],[_IsSummary]],COUNTIF(Tasks[WBS],Tasks[[#This Row],[WBS]]&amp;".*"),0)</f>
        <v>3</v>
      </c>
      <c r="BO6" s="43" t="n">
        <f aca="false">IF(AND(Tasks[[#This Row],[Task Name]]&lt;&gt;"",NOT(Tasks[[#This Row],[_IsSummary]])),1,0)</f>
        <v>0</v>
      </c>
      <c r="BP6" s="43" t="n">
        <f aca="false">IF(N(Tasks[[#This Row],[Pred1 UID]])=0,0,IFERROR(MATCH(Tasks[[#This Row],[Pred1 UID]],Tasks[UID],0),-1))</f>
        <v>0</v>
      </c>
      <c r="BQ6" s="43" t="n">
        <f aca="false">IF(N(Tasks[[#This Row],[Pred2 UID]])=0,0,IFERROR(MATCH(Tasks[[#This Row],[Pred2 UID]],Tasks[UID],0),-1))</f>
        <v>0</v>
      </c>
      <c r="BR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6" s="43" t="n">
        <f aca="false">IF(NOT(Tasks[[#This Row],[_IsLeaf]]=1),0,IF(N(Tasks[[#This Row],[Actual Finish]])&gt;0,1,MIN(1,N(Tasks[[#This Row],[% Complete]]))))</f>
        <v>0</v>
      </c>
      <c r="BW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6" s="43" t="n">
        <f aca="false">IF(Tasks[[#This Row],[_LeafWork]]=0,0,Tasks[[#This Row],[_LeafWork]]*IFERROR(INDEX(res_Rate,MATCH(Tasks[[#This Row],[Resource]],res_Name,0)),0))</f>
        <v>0</v>
      </c>
      <c r="BY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6" s="43" t="n">
        <f aca="false">IF(NOT(Tasks[[#This Row],[_IsLeaf]]=1),0,MAX(_xlfn.MAXIFS(Tasks[_Row],Tasks[Pred1 UID],Tasks[[#This Row],[UID]]),_xlfn.MAXIFS(Tasks[_Row],Tasks[Pred2 UID],Tasks[[#This Row],[UID]])))</f>
        <v>0</v>
      </c>
      <c r="CD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6" s="87" t="str">
        <f aca="false">IF(NOT(Tasks[[#This Row],[_IsLeaf]]=1),"",MIN(ProjectFinish,IF(N(Tasks[[#This Row],[Deadline]])&gt;0,Tasks[[#This Row],[Deadline]],2958465),Tasks[[#This Row],[_SuccessorFinishLimit]]))</f>
        <v/>
      </c>
      <c r="CF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6" s="86" t="b">
        <f aca="false">AND(Tasks[[#This Row],[_IsLeaf]]=1,Tasks[[#This Row],[_LeafProgress]]&lt;1,N(Tasks[[#This Row],[_LeafTotalSlack]])&lt;=CriticalSlackDays)</f>
        <v>0</v>
      </c>
      <c r="CI6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46272</v>
      </c>
      <c r="CJ6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46276</v>
      </c>
      <c r="CK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6" s="43" t="n">
        <f aca="false">IF(AND(Tasks[[#This Row],[_IsLeaf]]=1,Tasks[[#This Row],[_LeafWork]]&gt;0),NETWORKDAYS.INTL(ProjectStart,Tasks[[#This Row],[_LeafFcstStart]],WorkWeek,Holidays),0)</f>
        <v>0</v>
      </c>
      <c r="CR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6" s="43" t="n">
        <f aca="false">IF(AND(Tasks[[#This Row],[_IsLeaf]]=1,Tasks[[#This Row],[_LeafWork]]&gt;0),Tasks[[#This Row],[_LeafWork]]/(Tasks[[#This Row],[_FinishWorkday]]-Tasks[[#This Row],[_StartWorkday]]+1),0)</f>
        <v>0</v>
      </c>
      <c r="CT6" s="43" t="n">
        <f aca="false">Tasks[[#This Row],[_WorkPerWorkday]]*(Tasks[[#This Row],[_StartWorkday]]-1)</f>
        <v>-0</v>
      </c>
      <c r="CU6" s="43" t="n">
        <f aca="false">IF(Tasks[[#This Row],[_IsLeaf]]=1,MAX(N(Tasks[[#This Row],[Duration]]),0.1),0)</f>
        <v>0</v>
      </c>
      <c r="CV6" s="43" t="n">
        <f aca="false">Tasks[[#This Row],[_WeightDur]]*Tasks[[#This Row],[_LeafProgress]]</f>
        <v>0</v>
      </c>
      <c r="CW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6" s="43" t="str">
        <f aca="false">IF(AND(Tasks[[#This Row],[_IsLeaf]]=1,N(Tasks[[#This Row],[Duration]])=0,Tasks[[#This Row],[_LeafProgress]]&lt;1),Tasks[[#This Row],[_LeafFcstFinish]]+Tasks[[#This Row],[_Row]]/100000,"")</f>
        <v/>
      </c>
      <c r="DC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6" s="43" t="n">
        <f aca="false">IF(NOT(Tasks[[#This Row],[_IsLeaf]]=1),0,IF(Tasks[[#This Row],[Baseline Cost]]="",Tasks[[#This Row],[_LeafCost]],N(Tasks[[#This Row],[Baseline Cost]])))</f>
        <v>0</v>
      </c>
      <c r="DE6" s="43" t="n">
        <f aca="false">Tasks[[#This Row],[_LeafBudget]]*Tasks[[#This Row],[_PlannedPct]]</f>
        <v>0</v>
      </c>
      <c r="DF6" s="43" t="n">
        <f aca="false">Tasks[[#This Row],[_LeafBudget]]*Tasks[[#This Row],[_LeafProgress]]</f>
        <v>0</v>
      </c>
      <c r="DG6" s="43" t="n">
        <f aca="false">IF(NOT(Tasks[[#This Row],[_IsLeaf]]=1),0,IF(Tasks[[#This Row],[Actual Cost]]="",Tasks[[#This Row],[_LeafCost]]*Tasks[[#This Row],[_LeafProgress]],N(Tasks[[#This Row],[Actual Cost]])))</f>
        <v>0</v>
      </c>
      <c r="DH6" s="43" t="str">
        <f aca="false">IF(Tasks[[#This Row],[Task Name]]="","",LEFT(Tasks[[#This Row],[WBS]],FIND(".",Tasks[[#This Row],[WBS]]&amp;".")-1))</f>
        <v>1</v>
      </c>
      <c r="DI6" s="43" t="n">
        <f aca="false">IF(AND(Tasks[[#This Row],[Task Name]]&lt;&gt;"",Tasks[[#This Row],[_Level]]=1),Tasks[[#This Row],[_Row]],"")</f>
        <v>1</v>
      </c>
      <c r="DJ6" s="43" t="str">
        <f aca="false">IF(AND(Tasks[[#This Row],[_IsLeaf]]=1,N(Tasks[[#This Row],[Duration]])=0),Tasks[[#This Row],[Planned Finish]]+Tasks[[#This Row],[_Row]]/100000,"")</f>
        <v/>
      </c>
      <c r="DK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6" s="43" t="str">
        <f aca="false">IF(Tasks[[#This Row],[_LeafCritical]],Tasks[[#This Row],[_LeafFcstStart]]+Tasks[[#This Row],[_Row]]/100000,"")</f>
        <v/>
      </c>
      <c r="DO6" s="43" t="n">
        <f aca="false">Tasks[[#This Row],[_LeafWork]]*Tasks[[#This Row],[_LeafProgress]]</f>
        <v>0</v>
      </c>
      <c r="DP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6" s="43" t="n">
        <f aca="false">IF(Tasks[[#This Row],[_IsLeaf]]=1,N(Tasks[[#This Row],[Story Points]]),0)</f>
        <v>0</v>
      </c>
      <c r="DR6" s="43" t="str">
        <f aca="false">IF(AND(Tasks[[#This Row],[_IsLeaf]]=1,CurrentSprint&lt;&gt;"",Tasks[[#This Row],[Sprint]]=CurrentSprint),Tasks[[#This Row],[_Row]],"")</f>
        <v/>
      </c>
    </row>
    <row r="7" customFormat="false" ht="15" hidden="false" customHeight="false" outlineLevel="0" collapsed="false">
      <c r="A7" s="28" t="n">
        <f aca="false">IF(Tasks[[#This Row],[Task Name]]="","",COUNTA(Tasks[[#Headers],[Task Name]]:Tasks[[#This Row],[Task Name]])-1)</f>
        <v>2</v>
      </c>
      <c r="B7" s="29" t="n">
        <v>2</v>
      </c>
      <c r="C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1.1</v>
      </c>
      <c r="D7" s="29" t="n">
        <v>2</v>
      </c>
      <c r="E7" s="30" t="s">
        <v>461</v>
      </c>
      <c r="F7" s="29" t="s">
        <v>459</v>
      </c>
      <c r="G7" s="29" t="n">
        <v>3</v>
      </c>
      <c r="H7" s="29"/>
      <c r="I7" s="29"/>
      <c r="J7" s="29"/>
      <c r="K7" s="29"/>
      <c r="L7" s="29"/>
      <c r="M7" s="29"/>
      <c r="N7" s="72"/>
      <c r="O7" s="72"/>
      <c r="P7" s="25" t="n">
        <f aca="false">IF(Tasks[[#This Row],[Task Name]]="","",IF(N(Tasks[[#This Row],[Baseline Start]])&gt;0,Tasks[[#This Row],[Baseline Start]],Tasks[[#This Row],[_CalcStart]]))</f>
        <v>46272</v>
      </c>
      <c r="Q7" s="25" t="n">
        <f aca="false">IF(Tasks[[#This Row],[Task Name]]="","",IF(N(Tasks[[#This Row],[Baseline Finish]])&gt;0,Tasks[[#This Row],[Baseline Finish]],Tasks[[#This Row],[_CalcFinish]]))</f>
        <v>46274</v>
      </c>
      <c r="R7" s="72" t="n">
        <v>46272</v>
      </c>
      <c r="S7" s="72" t="n">
        <v>46275</v>
      </c>
      <c r="T7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46272</v>
      </c>
      <c r="U7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46275</v>
      </c>
      <c r="V7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0</v>
      </c>
      <c r="W7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1</v>
      </c>
      <c r="X7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46279</v>
      </c>
      <c r="Y7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46281</v>
      </c>
      <c r="Z7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4</v>
      </c>
      <c r="AA7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7" s="74" t="n">
        <v>1</v>
      </c>
      <c r="AF7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1</v>
      </c>
      <c r="AG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Complete</v>
      </c>
      <c r="AH7" s="30" t="s">
        <v>239</v>
      </c>
      <c r="AI7" s="74"/>
      <c r="AJ7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24</v>
      </c>
      <c r="AK7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2280</v>
      </c>
      <c r="AL7" s="83" t="n">
        <v>3040</v>
      </c>
      <c r="AM7" s="29"/>
      <c r="AN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1</v>
      </c>
      <c r="AO7" s="84" t="n">
        <v>3</v>
      </c>
      <c r="AP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7" s="30" t="s">
        <v>462</v>
      </c>
      <c r="AR7" s="25" t="n">
        <f aca="false">IF(Tasks[[#This Row],[Task Name]]="","",Tasks[[#This Row],[Forecast Start]])</f>
        <v>46272</v>
      </c>
      <c r="AS7" s="25" t="n">
        <f aca="false">IF(Tasks[[#This Row],[Task Name]]="","",Tasks[[#This Row],[Forecast Finish]])</f>
        <v>46275</v>
      </c>
      <c r="AT7" s="28" t="n">
        <f aca="false">IF(Tasks[[#This Row],[Task Name]]="","",IF(Tasks[[#This Row],[_IsSummary]],NETWORKDAYS.INTL(Tasks[[#This Row],[Forecast Start]],Tasks[[#This Row],[Forecast Finish]],WorkWeek,Holidays),N(Tasks[[#This Row],[Duration]])))</f>
        <v>3</v>
      </c>
      <c r="AU7" s="81" t="n">
        <f aca="false">IF(Tasks[[#This Row],[Task Name]]="","",Tasks[[#This Row],[Work]])</f>
        <v>24</v>
      </c>
      <c r="AV7" s="82" t="n">
        <f aca="false">IF(Tasks[[#This Row],[Task Name]]="","",Tasks[[#This Row],[Cost]])</f>
        <v>2280</v>
      </c>
      <c r="AW7" s="72"/>
      <c r="AX7" s="72"/>
      <c r="AY7" s="29"/>
      <c r="AZ7" s="85"/>
      <c r="BA7" s="83"/>
      <c r="BB7" s="28" t="str">
        <f aca="false">IF(OR(Tasks[[#This Row],[Task Name]]="",Tasks[[#This Row],[Baseline Duration]]=""),"",Tasks[[#This Row],[BL Source Duration]]-N(Tasks[[#This Row],[Baseline Duration]]))</f>
        <v/>
      </c>
      <c r="BC7" s="81" t="str">
        <f aca="false">IF(OR(Tasks[[#This Row],[Task Name]]="",Tasks[[#This Row],[Baseline Work]]=""),"",Tasks[[#This Row],[Work]]-N(Tasks[[#This Row],[Baseline Work]]))</f>
        <v/>
      </c>
      <c r="BD7" s="82" t="str">
        <f aca="false">IF(OR(Tasks[[#This Row],[Task Name]]="",Tasks[[#This Row],[Baseline Cost]]=""),"",Tasks[[#This Row],[Cost]]-N(Tasks[[#This Row],[Baseline Cost]]))</f>
        <v/>
      </c>
      <c r="BE7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2280</v>
      </c>
      <c r="BF7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2280</v>
      </c>
      <c r="BG7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2280</v>
      </c>
      <c r="BH7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3040</v>
      </c>
      <c r="BI7" s="43" t="n">
        <f aca="false">IF(Tasks[[#This Row],[Task Name]]="","",MAX(1,N(Tasks[[#This Row],[Level]])))</f>
        <v>2</v>
      </c>
      <c r="BJ7" s="43" t="n">
        <f aca="false">ROW()-ROW(Tasks[[#Headers],[ID]])</f>
        <v>2</v>
      </c>
      <c r="BK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6</v>
      </c>
      <c r="BL7" s="43" t="n">
        <f aca="false">IFERROR(N(INDEX(Tasks[_Level],Tasks[[#This Row],[_Row]]+1)),0)</f>
        <v>2</v>
      </c>
      <c r="BM7" s="86" t="b">
        <f aca="false">AND(Tasks[[#This Row],[Task Name]]&lt;&gt;"",Tasks[[#This Row],[_NextLevel]]&gt;Tasks[[#This Row],[_Level]])</f>
        <v>0</v>
      </c>
      <c r="BN7" s="43" t="n">
        <f aca="false">IF(Tasks[[#This Row],[_IsSummary]],COUNTIF(Tasks[WBS],Tasks[[#This Row],[WBS]]&amp;".*"),0)</f>
        <v>0</v>
      </c>
      <c r="BO7" s="43" t="n">
        <f aca="false">IF(AND(Tasks[[#This Row],[Task Name]]&lt;&gt;"",NOT(Tasks[[#This Row],[_IsSummary]])),1,0)</f>
        <v>1</v>
      </c>
      <c r="BP7" s="43" t="n">
        <f aca="false">IF(N(Tasks[[#This Row],[Pred1 UID]])=0,0,IFERROR(MATCH(Tasks[[#This Row],[Pred1 UID]],Tasks[UID],0),-1))</f>
        <v>0</v>
      </c>
      <c r="BQ7" s="43" t="n">
        <f aca="false">IF(N(Tasks[[#This Row],[Pred2 UID]])=0,0,IFERROR(MATCH(Tasks[[#This Row],[Pred2 UID]],Tasks[UID],0),-1))</f>
        <v>0</v>
      </c>
      <c r="BR7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46272</v>
      </c>
      <c r="BS7" s="87" t="n">
        <f aca="false">IF(NOT(Tasks[[#This Row],[_IsLeaf]]=1),"",IF(N(Tasks[[#This Row],[Duration]])&lt;=0,Tasks[[#This Row],[_LeafCalcStart]],WORKDAY.INTL(Tasks[[#This Row],[_LeafCalcStart]],Tasks[[#This Row],[Duration]]-1,WorkWeek,Holidays)))</f>
        <v>46274</v>
      </c>
      <c r="BT7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46272</v>
      </c>
      <c r="BU7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46275</v>
      </c>
      <c r="BV7" s="43" t="n">
        <f aca="false">IF(NOT(Tasks[[#This Row],[_IsLeaf]]=1),0,IF(N(Tasks[[#This Row],[Actual Finish]])&gt;0,1,MIN(1,N(Tasks[[#This Row],[% Complete]]))))</f>
        <v>1</v>
      </c>
      <c r="BW7" s="43" t="n">
        <f aca="false">IF(OR(NOT(Tasks[[#This Row],[_IsLeaf]]=1),Tasks[[#This Row],[Resource]]=""),0,N(Tasks[[#This Row],[Duration]])*HoursPerDay*IF(Tasks[[#This Row],[Units]]="",DefaultUnits,Tasks[[#This Row],[Units]]))</f>
        <v>24</v>
      </c>
      <c r="BX7" s="43" t="n">
        <f aca="false">IF(Tasks[[#This Row],[_LeafWork]]=0,0,Tasks[[#This Row],[_LeafWork]]*IFERROR(INDEX(res_Rate,MATCH(Tasks[[#This Row],[Resource]],res_Name,0)),0))</f>
        <v>2280</v>
      </c>
      <c r="BY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7" s="43" t="n">
        <f aca="false">IF(NOT(Tasks[[#This Row],[_IsLeaf]]=1),0,MAX(_xlfn.MAXIFS(Tasks[_Row],Tasks[Pred1 UID],Tasks[[#This Row],[UID]]),_xlfn.MAXIFS(Tasks[_Row],Tasks[Pred2 UID],Tasks[[#This Row],[UID]])))</f>
        <v>3</v>
      </c>
      <c r="CD7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46281</v>
      </c>
      <c r="CE7" s="87" t="n">
        <f aca="false">IF(NOT(Tasks[[#This Row],[_IsLeaf]]=1),"",MIN(ProjectFinish,IF(N(Tasks[[#This Row],[Deadline]])&gt;0,Tasks[[#This Row],[Deadline]],2958465),Tasks[[#This Row],[_SuccessorFinishLimit]]))</f>
        <v>46281</v>
      </c>
      <c r="CF7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46279</v>
      </c>
      <c r="CG7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4</v>
      </c>
      <c r="CH7" s="86" t="b">
        <f aca="false">AND(Tasks[[#This Row],[_IsLeaf]]=1,Tasks[[#This Row],[_LeafProgress]]&lt;1,N(Tasks[[#This Row],[_LeafTotalSlack]])&lt;=CriticalSlackDays)</f>
        <v>0</v>
      </c>
      <c r="CI7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46272</v>
      </c>
      <c r="CJ7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46274</v>
      </c>
      <c r="CK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7" s="43" t="n">
        <f aca="false">IF(AND(Tasks[[#This Row],[_IsLeaf]]=1,Tasks[[#This Row],[_LeafWork]]&gt;0),NETWORKDAYS.INTL(ProjectStart,Tasks[[#This Row],[_LeafFcstStart]],WorkWeek,Holidays),0)</f>
        <v>1</v>
      </c>
      <c r="CR7" s="43" t="n">
        <f aca="false">IF(AND(Tasks[[#This Row],[_IsLeaf]]=1,Tasks[[#This Row],[_LeafWork]]&gt;0),MAX(Tasks[[#This Row],[_StartWorkday]],NETWORKDAYS.INTL(ProjectStart,Tasks[[#This Row],[_LeafFcstFinish]],WorkWeek,Holidays)),0)</f>
        <v>4</v>
      </c>
      <c r="CS7" s="43" t="n">
        <f aca="false">IF(AND(Tasks[[#This Row],[_IsLeaf]]=1,Tasks[[#This Row],[_LeafWork]]&gt;0),Tasks[[#This Row],[_LeafWork]]/(Tasks[[#This Row],[_FinishWorkday]]-Tasks[[#This Row],[_StartWorkday]]+1),0)</f>
        <v>6</v>
      </c>
      <c r="CT7" s="43" t="n">
        <f aca="false">Tasks[[#This Row],[_WorkPerWorkday]]*(Tasks[[#This Row],[_StartWorkday]]-1)</f>
        <v>0</v>
      </c>
      <c r="CU7" s="43" t="n">
        <f aca="false">IF(Tasks[[#This Row],[_IsLeaf]]=1,MAX(N(Tasks[[#This Row],[Duration]]),0.1),0)</f>
        <v>3</v>
      </c>
      <c r="CV7" s="43" t="n">
        <f aca="false">Tasks[[#This Row],[_WeightDur]]*Tasks[[#This Row],[_LeafProgress]]</f>
        <v>3</v>
      </c>
      <c r="CW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7" s="43" t="str">
        <f aca="false">IF(AND(Tasks[[#This Row],[_IsLeaf]]=1,N(Tasks[[#This Row],[Duration]])=0,Tasks[[#This Row],[_LeafProgress]]&lt;1),Tasks[[#This Row],[_LeafFcstFinish]]+Tasks[[#This Row],[_Row]]/100000,"")</f>
        <v/>
      </c>
      <c r="DC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1</v>
      </c>
      <c r="DD7" s="43" t="n">
        <f aca="false">IF(NOT(Tasks[[#This Row],[_IsLeaf]]=1),0,IF(Tasks[[#This Row],[Baseline Cost]]="",Tasks[[#This Row],[_LeafCost]],N(Tasks[[#This Row],[Baseline Cost]])))</f>
        <v>2280</v>
      </c>
      <c r="DE7" s="43" t="n">
        <f aca="false">Tasks[[#This Row],[_LeafBudget]]*Tasks[[#This Row],[_PlannedPct]]</f>
        <v>2280</v>
      </c>
      <c r="DF7" s="43" t="n">
        <f aca="false">Tasks[[#This Row],[_LeafBudget]]*Tasks[[#This Row],[_LeafProgress]]</f>
        <v>2280</v>
      </c>
      <c r="DG7" s="43" t="n">
        <f aca="false">IF(NOT(Tasks[[#This Row],[_IsLeaf]]=1),0,IF(Tasks[[#This Row],[Actual Cost]]="",Tasks[[#This Row],[_LeafCost]]*Tasks[[#This Row],[_LeafProgress]],N(Tasks[[#This Row],[Actual Cost]])))</f>
        <v>3040</v>
      </c>
      <c r="DH7" s="43" t="str">
        <f aca="false">IF(Tasks[[#This Row],[Task Name]]="","",LEFT(Tasks[[#This Row],[WBS]],FIND(".",Tasks[[#This Row],[WBS]]&amp;".")-1))</f>
        <v>1</v>
      </c>
      <c r="DI7" s="43" t="str">
        <f aca="false">IF(AND(Tasks[[#This Row],[Task Name]]&lt;&gt;"",Tasks[[#This Row],[_Level]]=1),Tasks[[#This Row],[_Row]],"")</f>
        <v/>
      </c>
      <c r="DJ7" s="43" t="str">
        <f aca="false">IF(AND(Tasks[[#This Row],[_IsLeaf]]=1,N(Tasks[[#This Row],[Duration]])=0),Tasks[[#This Row],[Planned Finish]]+Tasks[[#This Row],[_Row]]/100000,"")</f>
        <v/>
      </c>
      <c r="DK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7" s="43" t="str">
        <f aca="false">IF(Tasks[[#This Row],[_LeafCritical]],Tasks[[#This Row],[_LeafFcstStart]]+Tasks[[#This Row],[_Row]]/100000,"")</f>
        <v/>
      </c>
      <c r="DO7" s="43" t="n">
        <f aca="false">Tasks[[#This Row],[_LeafWork]]*Tasks[[#This Row],[_LeafProgress]]</f>
        <v>24</v>
      </c>
      <c r="DP7" s="87" t="n">
        <f aca="false">IF(AND(Tasks[[#This Row],[_IsLeaf]]=1,Tasks[[#This Row],[_LeafProgress]]&gt;=1),IF(N(Tasks[[#This Row],[Actual Finish]])&gt;0,Tasks[[#This Row],[Actual Finish]],Tasks[[#This Row],[_LeafFcstFinish]]),"")</f>
        <v>46275</v>
      </c>
      <c r="DQ7" s="43" t="n">
        <f aca="false">IF(Tasks[[#This Row],[_IsLeaf]]=1,N(Tasks[[#This Row],[Story Points]]),0)</f>
        <v>3</v>
      </c>
      <c r="DR7" s="43" t="str">
        <f aca="false">IF(AND(Tasks[[#This Row],[_IsLeaf]]=1,CurrentSprint&lt;&gt;"",Tasks[[#This Row],[Sprint]]=CurrentSprint),Tasks[[#This Row],[_Row]],"")</f>
        <v/>
      </c>
    </row>
    <row r="8" customFormat="false" ht="15" hidden="false" customHeight="false" outlineLevel="0" collapsed="false">
      <c r="A8" s="28" t="n">
        <f aca="false">IF(Tasks[[#This Row],[Task Name]]="","",COUNTA(Tasks[[#Headers],[Task Name]]:Tasks[[#This Row],[Task Name]])-1)</f>
        <v>3</v>
      </c>
      <c r="B8" s="29" t="n">
        <v>3</v>
      </c>
      <c r="C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1.2</v>
      </c>
      <c r="D8" s="29" t="n">
        <v>2</v>
      </c>
      <c r="E8" s="30" t="s">
        <v>463</v>
      </c>
      <c r="F8" s="29" t="s">
        <v>459</v>
      </c>
      <c r="G8" s="29" t="n">
        <v>2</v>
      </c>
      <c r="H8" s="29" t="n">
        <v>2</v>
      </c>
      <c r="I8" s="29" t="s">
        <v>464</v>
      </c>
      <c r="J8" s="29"/>
      <c r="K8" s="29"/>
      <c r="L8" s="29"/>
      <c r="M8" s="29"/>
      <c r="N8" s="72"/>
      <c r="O8" s="72"/>
      <c r="P8" s="25" t="n">
        <f aca="false">IF(Tasks[[#This Row],[Task Name]]="","",IF(N(Tasks[[#This Row],[Baseline Start]])&gt;0,Tasks[[#This Row],[Baseline Start]],Tasks[[#This Row],[_CalcStart]]))</f>
        <v>46275</v>
      </c>
      <c r="Q8" s="25" t="n">
        <f aca="false">IF(Tasks[[#This Row],[Task Name]]="","",IF(N(Tasks[[#This Row],[Baseline Finish]])&gt;0,Tasks[[#This Row],[Baseline Finish]],Tasks[[#This Row],[_CalcFinish]]))</f>
        <v>46276</v>
      </c>
      <c r="R8" s="72" t="n">
        <v>46276</v>
      </c>
      <c r="S8" s="72" t="n">
        <v>46279</v>
      </c>
      <c r="T8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46276</v>
      </c>
      <c r="U8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46279</v>
      </c>
      <c r="V8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1</v>
      </c>
      <c r="W8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1</v>
      </c>
      <c r="X8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46282</v>
      </c>
      <c r="Y8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46283</v>
      </c>
      <c r="Z8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4</v>
      </c>
      <c r="AA8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8" s="74" t="n">
        <v>1</v>
      </c>
      <c r="AF8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1</v>
      </c>
      <c r="AG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Complete</v>
      </c>
      <c r="AH8" s="30" t="s">
        <v>465</v>
      </c>
      <c r="AI8" s="74"/>
      <c r="AJ8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16</v>
      </c>
      <c r="AK8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1120</v>
      </c>
      <c r="AL8" s="83"/>
      <c r="AM8" s="29"/>
      <c r="AN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1</v>
      </c>
      <c r="AO8" s="84" t="n">
        <v>2</v>
      </c>
      <c r="AP8" s="24" t="str">
        <f aca="false">IF(Tasks[[#This Row],[Task Name]]="","",Tasks[[#This Row],[_Pred1IDText]]&amp;IF(AND(Tasks[[#This Row],[_Pred1IDText]]&lt;&gt;"",Tasks[[#This Row],[_Pred2IDText]]&lt;&gt;""),",","")&amp;Tasks[[#This Row],[_Pred2IDText]])</f>
        <v>2</v>
      </c>
      <c r="AQ8" s="30"/>
      <c r="AR8" s="25" t="n">
        <f aca="false">IF(Tasks[[#This Row],[Task Name]]="","",Tasks[[#This Row],[Forecast Start]])</f>
        <v>46276</v>
      </c>
      <c r="AS8" s="25" t="n">
        <f aca="false">IF(Tasks[[#This Row],[Task Name]]="","",Tasks[[#This Row],[Forecast Finish]])</f>
        <v>46279</v>
      </c>
      <c r="AT8" s="28" t="n">
        <f aca="false">IF(Tasks[[#This Row],[Task Name]]="","",IF(Tasks[[#This Row],[_IsSummary]],NETWORKDAYS.INTL(Tasks[[#This Row],[Forecast Start]],Tasks[[#This Row],[Forecast Finish]],WorkWeek,Holidays),N(Tasks[[#This Row],[Duration]])))</f>
        <v>2</v>
      </c>
      <c r="AU8" s="81" t="n">
        <f aca="false">IF(Tasks[[#This Row],[Task Name]]="","",Tasks[[#This Row],[Work]])</f>
        <v>16</v>
      </c>
      <c r="AV8" s="82" t="n">
        <f aca="false">IF(Tasks[[#This Row],[Task Name]]="","",Tasks[[#This Row],[Cost]])</f>
        <v>1120</v>
      </c>
      <c r="AW8" s="72"/>
      <c r="AX8" s="72"/>
      <c r="AY8" s="29"/>
      <c r="AZ8" s="85"/>
      <c r="BA8" s="83"/>
      <c r="BB8" s="28" t="str">
        <f aca="false">IF(OR(Tasks[[#This Row],[Task Name]]="",Tasks[[#This Row],[Baseline Duration]]=""),"",Tasks[[#This Row],[BL Source Duration]]-N(Tasks[[#This Row],[Baseline Duration]]))</f>
        <v/>
      </c>
      <c r="BC8" s="81" t="str">
        <f aca="false">IF(OR(Tasks[[#This Row],[Task Name]]="",Tasks[[#This Row],[Baseline Work]]=""),"",Tasks[[#This Row],[Work]]-N(Tasks[[#This Row],[Baseline Work]]))</f>
        <v/>
      </c>
      <c r="BD8" s="82" t="str">
        <f aca="false">IF(OR(Tasks[[#This Row],[Task Name]]="",Tasks[[#This Row],[Baseline Cost]]=""),"",Tasks[[#This Row],[Cost]]-N(Tasks[[#This Row],[Baseline Cost]]))</f>
        <v/>
      </c>
      <c r="BE8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1120</v>
      </c>
      <c r="BF8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1120</v>
      </c>
      <c r="BG8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1120</v>
      </c>
      <c r="BH8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1120</v>
      </c>
      <c r="BI8" s="43" t="n">
        <f aca="false">IF(Tasks[[#This Row],[Task Name]]="","",MAX(1,N(Tasks[[#This Row],[Level]])))</f>
        <v>2</v>
      </c>
      <c r="BJ8" s="43" t="n">
        <f aca="false">ROW()-ROW(Tasks[[#Headers],[ID]])</f>
        <v>3</v>
      </c>
      <c r="BK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6</v>
      </c>
      <c r="BL8" s="43" t="n">
        <f aca="false">IFERROR(N(INDEX(Tasks[_Level],Tasks[[#This Row],[_Row]]+1)),0)</f>
        <v>2</v>
      </c>
      <c r="BM8" s="86" t="b">
        <f aca="false">AND(Tasks[[#This Row],[Task Name]]&lt;&gt;"",Tasks[[#This Row],[_NextLevel]]&gt;Tasks[[#This Row],[_Level]])</f>
        <v>0</v>
      </c>
      <c r="BN8" s="43" t="n">
        <f aca="false">IF(Tasks[[#This Row],[_IsSummary]],COUNTIF(Tasks[WBS],Tasks[[#This Row],[WBS]]&amp;".*"),0)</f>
        <v>0</v>
      </c>
      <c r="BO8" s="43" t="n">
        <f aca="false">IF(AND(Tasks[[#This Row],[Task Name]]&lt;&gt;"",NOT(Tasks[[#This Row],[_IsSummary]])),1,0)</f>
        <v>1</v>
      </c>
      <c r="BP8" s="43" t="n">
        <f aca="false">IF(N(Tasks[[#This Row],[Pred1 UID]])=0,0,IFERROR(MATCH(Tasks[[#This Row],[Pred1 UID]],Tasks[UID],0),-1))</f>
        <v>2</v>
      </c>
      <c r="BQ8" s="43" t="n">
        <f aca="false">IF(N(Tasks[[#This Row],[Pred2 UID]])=0,0,IFERROR(MATCH(Tasks[[#This Row],[Pred2 UID]],Tasks[UID],0),-1))</f>
        <v>0</v>
      </c>
      <c r="BR8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46275</v>
      </c>
      <c r="BS8" s="87" t="n">
        <f aca="false">IF(NOT(Tasks[[#This Row],[_IsLeaf]]=1),"",IF(N(Tasks[[#This Row],[Duration]])&lt;=0,Tasks[[#This Row],[_LeafCalcStart]],WORKDAY.INTL(Tasks[[#This Row],[_LeafCalcStart]],Tasks[[#This Row],[Duration]]-1,WorkWeek,Holidays)))</f>
        <v>46276</v>
      </c>
      <c r="BT8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46276</v>
      </c>
      <c r="BU8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46279</v>
      </c>
      <c r="BV8" s="43" t="n">
        <f aca="false">IF(NOT(Tasks[[#This Row],[_IsLeaf]]=1),0,IF(N(Tasks[[#This Row],[Actual Finish]])&gt;0,1,MIN(1,N(Tasks[[#This Row],[% Complete]]))))</f>
        <v>1</v>
      </c>
      <c r="BW8" s="43" t="n">
        <f aca="false">IF(OR(NOT(Tasks[[#This Row],[_IsLeaf]]=1),Tasks[[#This Row],[Resource]]=""),0,N(Tasks[[#This Row],[Duration]])*HoursPerDay*IF(Tasks[[#This Row],[Units]]="",DefaultUnits,Tasks[[#This Row],[Units]]))</f>
        <v>16</v>
      </c>
      <c r="BX8" s="43" t="n">
        <f aca="false">IF(Tasks[[#This Row],[_LeafWork]]=0,0,Tasks[[#This Row],[_LeafWork]]*IFERROR(INDEX(res_Rate,MATCH(Tasks[[#This Row],[Resource]],res_Name,0)),0))</f>
        <v>1120</v>
      </c>
      <c r="BY8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2912184</v>
      </c>
      <c r="BZ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8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8" s="43" t="n">
        <f aca="false">IF(NOT(Tasks[[#This Row],[_IsLeaf]]=1),0,MAX(_xlfn.MAXIFS(Tasks[_Row],Tasks[Pred1 UID],Tasks[[#This Row],[UID]]),_xlfn.MAXIFS(Tasks[_Row],Tasks[Pred2 UID],Tasks[[#This Row],[UID]])))</f>
        <v>4</v>
      </c>
      <c r="CD8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46283</v>
      </c>
      <c r="CE8" s="87" t="n">
        <f aca="false">IF(NOT(Tasks[[#This Row],[_IsLeaf]]=1),"",MIN(ProjectFinish,IF(N(Tasks[[#This Row],[Deadline]])&gt;0,Tasks[[#This Row],[Deadline]],2958465),Tasks[[#This Row],[_SuccessorFinishLimit]]))</f>
        <v>46283</v>
      </c>
      <c r="CF8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46282</v>
      </c>
      <c r="CG8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4</v>
      </c>
      <c r="CH8" s="86" t="b">
        <f aca="false">AND(Tasks[[#This Row],[_IsLeaf]]=1,Tasks[[#This Row],[_LeafProgress]]&lt;1,N(Tasks[[#This Row],[_LeafTotalSlack]])&lt;=CriticalSlackDays)</f>
        <v>0</v>
      </c>
      <c r="CI8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46275</v>
      </c>
      <c r="CJ8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46276</v>
      </c>
      <c r="CK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46275</v>
      </c>
      <c r="CN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46276</v>
      </c>
      <c r="CP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8" s="43" t="n">
        <f aca="false">IF(AND(Tasks[[#This Row],[_IsLeaf]]=1,Tasks[[#This Row],[_LeafWork]]&gt;0),NETWORKDAYS.INTL(ProjectStart,Tasks[[#This Row],[_LeafFcstStart]],WorkWeek,Holidays),0)</f>
        <v>5</v>
      </c>
      <c r="CR8" s="43" t="n">
        <f aca="false">IF(AND(Tasks[[#This Row],[_IsLeaf]]=1,Tasks[[#This Row],[_LeafWork]]&gt;0),MAX(Tasks[[#This Row],[_StartWorkday]],NETWORKDAYS.INTL(ProjectStart,Tasks[[#This Row],[_LeafFcstFinish]],WorkWeek,Holidays)),0)</f>
        <v>6</v>
      </c>
      <c r="CS8" s="43" t="n">
        <f aca="false">IF(AND(Tasks[[#This Row],[_IsLeaf]]=1,Tasks[[#This Row],[_LeafWork]]&gt;0),Tasks[[#This Row],[_LeafWork]]/(Tasks[[#This Row],[_FinishWorkday]]-Tasks[[#This Row],[_StartWorkday]]+1),0)</f>
        <v>8</v>
      </c>
      <c r="CT8" s="43" t="n">
        <f aca="false">Tasks[[#This Row],[_WorkPerWorkday]]*(Tasks[[#This Row],[_StartWorkday]]-1)</f>
        <v>32</v>
      </c>
      <c r="CU8" s="43" t="n">
        <f aca="false">IF(Tasks[[#This Row],[_IsLeaf]]=1,MAX(N(Tasks[[#This Row],[Duration]]),0.1),0)</f>
        <v>2</v>
      </c>
      <c r="CV8" s="43" t="n">
        <f aca="false">Tasks[[#This Row],[_WeightDur]]*Tasks[[#This Row],[_LeafProgress]]</f>
        <v>2</v>
      </c>
      <c r="CW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</v>
      </c>
      <c r="CX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</v>
      </c>
      <c r="CZ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2</v>
      </c>
      <c r="DB8" s="43" t="str">
        <f aca="false">IF(AND(Tasks[[#This Row],[_IsLeaf]]=1,N(Tasks[[#This Row],[Duration]])=0,Tasks[[#This Row],[_LeafProgress]]&lt;1),Tasks[[#This Row],[_LeafFcstFinish]]+Tasks[[#This Row],[_Row]]/100000,"")</f>
        <v/>
      </c>
      <c r="DC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1</v>
      </c>
      <c r="DD8" s="43" t="n">
        <f aca="false">IF(NOT(Tasks[[#This Row],[_IsLeaf]]=1),0,IF(Tasks[[#This Row],[Baseline Cost]]="",Tasks[[#This Row],[_LeafCost]],N(Tasks[[#This Row],[Baseline Cost]])))</f>
        <v>1120</v>
      </c>
      <c r="DE8" s="43" t="n">
        <f aca="false">Tasks[[#This Row],[_LeafBudget]]*Tasks[[#This Row],[_PlannedPct]]</f>
        <v>1120</v>
      </c>
      <c r="DF8" s="43" t="n">
        <f aca="false">Tasks[[#This Row],[_LeafBudget]]*Tasks[[#This Row],[_LeafProgress]]</f>
        <v>1120</v>
      </c>
      <c r="DG8" s="43" t="n">
        <f aca="false">IF(NOT(Tasks[[#This Row],[_IsLeaf]]=1),0,IF(Tasks[[#This Row],[Actual Cost]]="",Tasks[[#This Row],[_LeafCost]]*Tasks[[#This Row],[_LeafProgress]],N(Tasks[[#This Row],[Actual Cost]])))</f>
        <v>1120</v>
      </c>
      <c r="DH8" s="43" t="str">
        <f aca="false">IF(Tasks[[#This Row],[Task Name]]="","",LEFT(Tasks[[#This Row],[WBS]],FIND(".",Tasks[[#This Row],[WBS]]&amp;".")-1))</f>
        <v>1</v>
      </c>
      <c r="DI8" s="43" t="str">
        <f aca="false">IF(AND(Tasks[[#This Row],[Task Name]]&lt;&gt;"",Tasks[[#This Row],[_Level]]=1),Tasks[[#This Row],[_Row]],"")</f>
        <v/>
      </c>
      <c r="DJ8" s="43" t="str">
        <f aca="false">IF(AND(Tasks[[#This Row],[_IsLeaf]]=1,N(Tasks[[#This Row],[Duration]])=0),Tasks[[#This Row],[Planned Finish]]+Tasks[[#This Row],[_Row]]/100000,"")</f>
        <v/>
      </c>
      <c r="DK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8" s="43" t="str">
        <f aca="false">IF(Tasks[[#This Row],[_LeafCritical]],Tasks[[#This Row],[_LeafFcstStart]]+Tasks[[#This Row],[_Row]]/100000,"")</f>
        <v/>
      </c>
      <c r="DO8" s="43" t="n">
        <f aca="false">Tasks[[#This Row],[_LeafWork]]*Tasks[[#This Row],[_LeafProgress]]</f>
        <v>16</v>
      </c>
      <c r="DP8" s="87" t="n">
        <f aca="false">IF(AND(Tasks[[#This Row],[_IsLeaf]]=1,Tasks[[#This Row],[_LeafProgress]]&gt;=1),IF(N(Tasks[[#This Row],[Actual Finish]])&gt;0,Tasks[[#This Row],[Actual Finish]],Tasks[[#This Row],[_LeafFcstFinish]]),"")</f>
        <v>46279</v>
      </c>
      <c r="DQ8" s="43" t="n">
        <f aca="false">IF(Tasks[[#This Row],[_IsLeaf]]=1,N(Tasks[[#This Row],[Story Points]]),0)</f>
        <v>2</v>
      </c>
      <c r="DR8" s="43" t="str">
        <f aca="false">IF(AND(Tasks[[#This Row],[_IsLeaf]]=1,CurrentSprint&lt;&gt;"",Tasks[[#This Row],[Sprint]]=CurrentSprint),Tasks[[#This Row],[_Row]],"")</f>
        <v/>
      </c>
    </row>
    <row r="9" customFormat="false" ht="15" hidden="false" customHeight="false" outlineLevel="0" collapsed="false">
      <c r="A9" s="28" t="n">
        <f aca="false">IF(Tasks[[#This Row],[Task Name]]="","",COUNTA(Tasks[[#Headers],[Task Name]]:Tasks[[#This Row],[Task Name]])-1)</f>
        <v>4</v>
      </c>
      <c r="B9" s="29" t="n">
        <v>4</v>
      </c>
      <c r="C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1.3</v>
      </c>
      <c r="D9" s="29" t="n">
        <v>2</v>
      </c>
      <c r="E9" s="30" t="s">
        <v>466</v>
      </c>
      <c r="F9" s="29" t="s">
        <v>459</v>
      </c>
      <c r="G9" s="29" t="n">
        <v>0</v>
      </c>
      <c r="H9" s="29" t="n">
        <v>3</v>
      </c>
      <c r="I9" s="29" t="s">
        <v>464</v>
      </c>
      <c r="J9" s="29"/>
      <c r="K9" s="29"/>
      <c r="L9" s="29"/>
      <c r="M9" s="29"/>
      <c r="N9" s="72"/>
      <c r="O9" s="72"/>
      <c r="P9" s="25" t="n">
        <f aca="false">IF(Tasks[[#This Row],[Task Name]]="","",IF(N(Tasks[[#This Row],[Baseline Start]])&gt;0,Tasks[[#This Row],[Baseline Start]],Tasks[[#This Row],[_CalcStart]]))</f>
        <v>46276</v>
      </c>
      <c r="Q9" s="25" t="n">
        <f aca="false">IF(Tasks[[#This Row],[Task Name]]="","",IF(N(Tasks[[#This Row],[Baseline Finish]])&gt;0,Tasks[[#This Row],[Baseline Finish]],Tasks[[#This Row],[_CalcFinish]]))</f>
        <v>46276</v>
      </c>
      <c r="R9" s="72" t="n">
        <v>46279</v>
      </c>
      <c r="S9" s="72" t="n">
        <v>46279</v>
      </c>
      <c r="T9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46279</v>
      </c>
      <c r="U9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46279</v>
      </c>
      <c r="V9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1</v>
      </c>
      <c r="W9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1</v>
      </c>
      <c r="X9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46283</v>
      </c>
      <c r="Y9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46283</v>
      </c>
      <c r="Z9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4</v>
      </c>
      <c r="AA9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9" s="74" t="n">
        <v>1</v>
      </c>
      <c r="AF9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1</v>
      </c>
      <c r="AG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Complete</v>
      </c>
      <c r="AH9" s="30"/>
      <c r="AI9" s="74"/>
      <c r="AJ9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0</v>
      </c>
      <c r="AK9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0</v>
      </c>
      <c r="AL9" s="83"/>
      <c r="AM9" s="29"/>
      <c r="AN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1</v>
      </c>
      <c r="AO9" s="84"/>
      <c r="AP9" s="24" t="str">
        <f aca="false">IF(Tasks[[#This Row],[Task Name]]="","",Tasks[[#This Row],[_Pred1IDText]]&amp;IF(AND(Tasks[[#This Row],[_Pred1IDText]]&lt;&gt;"",Tasks[[#This Row],[_Pred2IDText]]&lt;&gt;""),",","")&amp;Tasks[[#This Row],[_Pred2IDText]])</f>
        <v>3</v>
      </c>
      <c r="AQ9" s="30" t="s">
        <v>467</v>
      </c>
      <c r="AR9" s="25" t="n">
        <f aca="false">IF(Tasks[[#This Row],[Task Name]]="","",Tasks[[#This Row],[Forecast Start]])</f>
        <v>46279</v>
      </c>
      <c r="AS9" s="25" t="n">
        <f aca="false">IF(Tasks[[#This Row],[Task Name]]="","",Tasks[[#This Row],[Forecast Finish]])</f>
        <v>46279</v>
      </c>
      <c r="AT9" s="28" t="n">
        <f aca="false">IF(Tasks[[#This Row],[Task Name]]="","",IF(Tasks[[#This Row],[_IsSummary]],NETWORKDAYS.INTL(Tasks[[#This Row],[Forecast Start]],Tasks[[#This Row],[Forecast Finish]],WorkWeek,Holidays),N(Tasks[[#This Row],[Duration]])))</f>
        <v>0</v>
      </c>
      <c r="AU9" s="81" t="n">
        <f aca="false">IF(Tasks[[#This Row],[Task Name]]="","",Tasks[[#This Row],[Work]])</f>
        <v>0</v>
      </c>
      <c r="AV9" s="82" t="n">
        <f aca="false">IF(Tasks[[#This Row],[Task Name]]="","",Tasks[[#This Row],[Cost]])</f>
        <v>0</v>
      </c>
      <c r="AW9" s="72"/>
      <c r="AX9" s="72"/>
      <c r="AY9" s="29"/>
      <c r="AZ9" s="85"/>
      <c r="BA9" s="83"/>
      <c r="BB9" s="28" t="str">
        <f aca="false">IF(OR(Tasks[[#This Row],[Task Name]]="",Tasks[[#This Row],[Baseline Duration]]=""),"",Tasks[[#This Row],[BL Source Duration]]-N(Tasks[[#This Row],[Baseline Duration]]))</f>
        <v/>
      </c>
      <c r="BC9" s="81" t="str">
        <f aca="false">IF(OR(Tasks[[#This Row],[Task Name]]="",Tasks[[#This Row],[Baseline Work]]=""),"",Tasks[[#This Row],[Work]]-N(Tasks[[#This Row],[Baseline Work]]))</f>
        <v/>
      </c>
      <c r="BD9" s="82" t="str">
        <f aca="false">IF(OR(Tasks[[#This Row],[Task Name]]="",Tasks[[#This Row],[Baseline Cost]]=""),"",Tasks[[#This Row],[Cost]]-N(Tasks[[#This Row],[Baseline Cost]]))</f>
        <v/>
      </c>
      <c r="BE9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0</v>
      </c>
      <c r="BF9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9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9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9" s="43" t="n">
        <f aca="false">IF(Tasks[[#This Row],[Task Name]]="","",MAX(1,N(Tasks[[#This Row],[Level]])))</f>
        <v>2</v>
      </c>
      <c r="BJ9" s="43" t="n">
        <f aca="false">ROW()-ROW(Tasks[[#Headers],[ID]])</f>
        <v>4</v>
      </c>
      <c r="BK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6</v>
      </c>
      <c r="BL9" s="43" t="n">
        <f aca="false">IFERROR(N(INDEX(Tasks[_Level],Tasks[[#This Row],[_Row]]+1)),0)</f>
        <v>1</v>
      </c>
      <c r="BM9" s="86" t="b">
        <f aca="false">AND(Tasks[[#This Row],[Task Name]]&lt;&gt;"",Tasks[[#This Row],[_NextLevel]]&gt;Tasks[[#This Row],[_Level]])</f>
        <v>0</v>
      </c>
      <c r="BN9" s="43" t="n">
        <f aca="false">IF(Tasks[[#This Row],[_IsSummary]],COUNTIF(Tasks[WBS],Tasks[[#This Row],[WBS]]&amp;".*"),0)</f>
        <v>0</v>
      </c>
      <c r="BO9" s="43" t="n">
        <f aca="false">IF(AND(Tasks[[#This Row],[Task Name]]&lt;&gt;"",NOT(Tasks[[#This Row],[_IsSummary]])),1,0)</f>
        <v>1</v>
      </c>
      <c r="BP9" s="43" t="n">
        <f aca="false">IF(N(Tasks[[#This Row],[Pred1 UID]])=0,0,IFERROR(MATCH(Tasks[[#This Row],[Pred1 UID]],Tasks[UID],0),-1))</f>
        <v>3</v>
      </c>
      <c r="BQ9" s="43" t="n">
        <f aca="false">IF(N(Tasks[[#This Row],[Pred2 UID]])=0,0,IFERROR(MATCH(Tasks[[#This Row],[Pred2 UID]],Tasks[UID],0),-1))</f>
        <v>0</v>
      </c>
      <c r="BR9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46276</v>
      </c>
      <c r="BS9" s="87" t="n">
        <f aca="false">IF(NOT(Tasks[[#This Row],[_IsLeaf]]=1),"",IF(N(Tasks[[#This Row],[Duration]])&lt;=0,Tasks[[#This Row],[_LeafCalcStart]],WORKDAY.INTL(Tasks[[#This Row],[_LeafCalcStart]],Tasks[[#This Row],[Duration]]-1,WorkWeek,Holidays)))</f>
        <v>46276</v>
      </c>
      <c r="BT9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46279</v>
      </c>
      <c r="BU9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46279</v>
      </c>
      <c r="BV9" s="43" t="n">
        <f aca="false">IF(NOT(Tasks[[#This Row],[_IsLeaf]]=1),0,IF(N(Tasks[[#This Row],[Actual Finish]])&gt;0,1,MIN(1,N(Tasks[[#This Row],[% Complete]]))))</f>
        <v>1</v>
      </c>
      <c r="BW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9" s="43" t="n">
        <f aca="false">IF(Tasks[[#This Row],[_LeafWork]]=0,0,Tasks[[#This Row],[_LeafWork]]*IFERROR(INDEX(res_Rate,MATCH(Tasks[[#This Row],[Resource]],res_Name,0)),0))</f>
        <v>0</v>
      </c>
      <c r="BY9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2912182</v>
      </c>
      <c r="BZ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9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9" s="43" t="n">
        <f aca="false">IF(NOT(Tasks[[#This Row],[_IsLeaf]]=1),0,MAX(_xlfn.MAXIFS(Tasks[_Row],Tasks[Pred1 UID],Tasks[[#This Row],[UID]]),_xlfn.MAXIFS(Tasks[_Row],Tasks[Pred2 UID],Tasks[[#This Row],[UID]])))</f>
        <v>6</v>
      </c>
      <c r="CD9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46283</v>
      </c>
      <c r="CE9" s="87" t="n">
        <f aca="false">IF(NOT(Tasks[[#This Row],[_IsLeaf]]=1),"",MIN(ProjectFinish,IF(N(Tasks[[#This Row],[Deadline]])&gt;0,Tasks[[#This Row],[Deadline]],2958465),Tasks[[#This Row],[_SuccessorFinishLimit]]))</f>
        <v>46283</v>
      </c>
      <c r="CF9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46283</v>
      </c>
      <c r="CG9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4</v>
      </c>
      <c r="CH9" s="86" t="b">
        <f aca="false">AND(Tasks[[#This Row],[_IsLeaf]]=1,Tasks[[#This Row],[_LeafProgress]]&lt;1,N(Tasks[[#This Row],[_LeafTotalSlack]])&lt;=CriticalSlackDays)</f>
        <v>0</v>
      </c>
      <c r="CI9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46276</v>
      </c>
      <c r="CJ9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46276</v>
      </c>
      <c r="CK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46276</v>
      </c>
      <c r="CN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46279</v>
      </c>
      <c r="CP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9" s="43" t="n">
        <f aca="false">IF(AND(Tasks[[#This Row],[_IsLeaf]]=1,Tasks[[#This Row],[_LeafWork]]&gt;0),NETWORKDAYS.INTL(ProjectStart,Tasks[[#This Row],[_LeafFcstStart]],WorkWeek,Holidays),0)</f>
        <v>0</v>
      </c>
      <c r="CR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9" s="43" t="n">
        <f aca="false">IF(AND(Tasks[[#This Row],[_IsLeaf]]=1,Tasks[[#This Row],[_LeafWork]]&gt;0),Tasks[[#This Row],[_LeafWork]]/(Tasks[[#This Row],[_FinishWorkday]]-Tasks[[#This Row],[_StartWorkday]]+1),0)</f>
        <v>0</v>
      </c>
      <c r="CT9" s="43" t="n">
        <f aca="false">Tasks[[#This Row],[_WorkPerWorkday]]*(Tasks[[#This Row],[_StartWorkday]]-1)</f>
        <v>-0</v>
      </c>
      <c r="CU9" s="43" t="n">
        <f aca="false">IF(Tasks[[#This Row],[_IsLeaf]]=1,MAX(N(Tasks[[#This Row],[Duration]]),0.1),0)</f>
        <v>0.1</v>
      </c>
      <c r="CV9" s="43" t="n">
        <f aca="false">Tasks[[#This Row],[_WeightDur]]*Tasks[[#This Row],[_LeafProgress]]</f>
        <v>0.1</v>
      </c>
      <c r="CW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3</v>
      </c>
      <c r="CX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3</v>
      </c>
      <c r="CZ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3</v>
      </c>
      <c r="DB9" s="43" t="str">
        <f aca="false">IF(AND(Tasks[[#This Row],[_IsLeaf]]=1,N(Tasks[[#This Row],[Duration]])=0,Tasks[[#This Row],[_LeafProgress]]&lt;1),Tasks[[#This Row],[_LeafFcstFinish]]+Tasks[[#This Row],[_Row]]/100000,"")</f>
        <v/>
      </c>
      <c r="DC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1</v>
      </c>
      <c r="DD9" s="43" t="n">
        <f aca="false">IF(NOT(Tasks[[#This Row],[_IsLeaf]]=1),0,IF(Tasks[[#This Row],[Baseline Cost]]="",Tasks[[#This Row],[_LeafCost]],N(Tasks[[#This Row],[Baseline Cost]])))</f>
        <v>0</v>
      </c>
      <c r="DE9" s="43" t="n">
        <f aca="false">Tasks[[#This Row],[_LeafBudget]]*Tasks[[#This Row],[_PlannedPct]]</f>
        <v>0</v>
      </c>
      <c r="DF9" s="43" t="n">
        <f aca="false">Tasks[[#This Row],[_LeafBudget]]*Tasks[[#This Row],[_LeafProgress]]</f>
        <v>0</v>
      </c>
      <c r="DG9" s="43" t="n">
        <f aca="false">IF(NOT(Tasks[[#This Row],[_IsLeaf]]=1),0,IF(Tasks[[#This Row],[Actual Cost]]="",Tasks[[#This Row],[_LeafCost]]*Tasks[[#This Row],[_LeafProgress]],N(Tasks[[#This Row],[Actual Cost]])))</f>
        <v>0</v>
      </c>
      <c r="DH9" s="43" t="str">
        <f aca="false">IF(Tasks[[#This Row],[Task Name]]="","",LEFT(Tasks[[#This Row],[WBS]],FIND(".",Tasks[[#This Row],[WBS]]&amp;".")-1))</f>
        <v>1</v>
      </c>
      <c r="DI9" s="43" t="str">
        <f aca="false">IF(AND(Tasks[[#This Row],[Task Name]]&lt;&gt;"",Tasks[[#This Row],[_Level]]=1),Tasks[[#This Row],[_Row]],"")</f>
        <v/>
      </c>
      <c r="DJ9" s="88" t="n">
        <f aca="false">IF(AND(Tasks[[#This Row],[_IsLeaf]]=1,N(Tasks[[#This Row],[Duration]])=0),Tasks[[#This Row],[Planned Finish]]+Tasks[[#This Row],[_Row]]/100000,"")</f>
        <v>46276.00004</v>
      </c>
      <c r="DK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9" s="43" t="str">
        <f aca="false">IF(Tasks[[#This Row],[_LeafCritical]],Tasks[[#This Row],[_LeafFcstStart]]+Tasks[[#This Row],[_Row]]/100000,"")</f>
        <v/>
      </c>
      <c r="DO9" s="43" t="n">
        <f aca="false">Tasks[[#This Row],[_LeafWork]]*Tasks[[#This Row],[_LeafProgress]]</f>
        <v>0</v>
      </c>
      <c r="DP9" s="87" t="n">
        <f aca="false">IF(AND(Tasks[[#This Row],[_IsLeaf]]=1,Tasks[[#This Row],[_LeafProgress]]&gt;=1),IF(N(Tasks[[#This Row],[Actual Finish]])&gt;0,Tasks[[#This Row],[Actual Finish]],Tasks[[#This Row],[_LeafFcstFinish]]),"")</f>
        <v>46279</v>
      </c>
      <c r="DQ9" s="43" t="n">
        <f aca="false">IF(Tasks[[#This Row],[_IsLeaf]]=1,N(Tasks[[#This Row],[Story Points]]),0)</f>
        <v>0</v>
      </c>
      <c r="DR9" s="43" t="str">
        <f aca="false">IF(AND(Tasks[[#This Row],[_IsLeaf]]=1,CurrentSprint&lt;&gt;"",Tasks[[#This Row],[Sprint]]=CurrentSprint),Tasks[[#This Row],[_Row]],"")</f>
        <v/>
      </c>
    </row>
    <row r="10" customFormat="false" ht="15" hidden="false" customHeight="false" outlineLevel="0" collapsed="false">
      <c r="A10" s="28" t="n">
        <f aca="false">IF(Tasks[[#This Row],[Task Name]]="","",COUNTA(Tasks[[#Headers],[Task Name]]:Tasks[[#This Row],[Task Name]])-1)</f>
        <v>5</v>
      </c>
      <c r="B10" s="29" t="n">
        <v>5</v>
      </c>
      <c r="C1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2</v>
      </c>
      <c r="D10" s="29" t="n">
        <v>1</v>
      </c>
      <c r="E10" s="30" t="s">
        <v>468</v>
      </c>
      <c r="F10" s="29" t="s">
        <v>459</v>
      </c>
      <c r="G10" s="29"/>
      <c r="H10" s="29"/>
      <c r="I10" s="29"/>
      <c r="J10" s="29"/>
      <c r="K10" s="29"/>
      <c r="L10" s="29"/>
      <c r="M10" s="29"/>
      <c r="N10" s="72"/>
      <c r="O10" s="72"/>
      <c r="P10" s="25" t="n">
        <f aca="false">IF(Tasks[[#This Row],[Task Name]]="","",IF(N(Tasks[[#This Row],[Baseline Start]])&gt;0,Tasks[[#This Row],[Baseline Start]],Tasks[[#This Row],[_CalcStart]]))</f>
        <v>46279</v>
      </c>
      <c r="Q10" s="25" t="n">
        <f aca="false">IF(Tasks[[#This Row],[Task Name]]="","",IF(N(Tasks[[#This Row],[Baseline Finish]])&gt;0,Tasks[[#This Row],[Baseline Finish]],Tasks[[#This Row],[_CalcFinish]]))</f>
        <v>46296</v>
      </c>
      <c r="R10" s="72"/>
      <c r="S10" s="72"/>
      <c r="T10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46280</v>
      </c>
      <c r="U10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46301</v>
      </c>
      <c r="V10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1</v>
      </c>
      <c r="W10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3</v>
      </c>
      <c r="X10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46286</v>
      </c>
      <c r="Y10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46303</v>
      </c>
      <c r="Z10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2</v>
      </c>
      <c r="AA1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0" s="74"/>
      <c r="AF10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1</v>
      </c>
      <c r="AG1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Complete</v>
      </c>
      <c r="AH10" s="30"/>
      <c r="AI10" s="74"/>
      <c r="AJ10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152</v>
      </c>
      <c r="AK10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12480</v>
      </c>
      <c r="AL10" s="83"/>
      <c r="AM10" s="29"/>
      <c r="AN1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0" s="84"/>
      <c r="AP1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0" s="30"/>
      <c r="AR10" s="25" t="n">
        <f aca="false">IF(Tasks[[#This Row],[Task Name]]="","",Tasks[[#This Row],[Forecast Start]])</f>
        <v>46280</v>
      </c>
      <c r="AS10" s="25" t="n">
        <f aca="false">IF(Tasks[[#This Row],[Task Name]]="","",Tasks[[#This Row],[Forecast Finish]])</f>
        <v>46301</v>
      </c>
      <c r="AT10" s="28" t="n">
        <f aca="false">IF(Tasks[[#This Row],[Task Name]]="","",IF(Tasks[[#This Row],[_IsSummary]],NETWORKDAYS.INTL(Tasks[[#This Row],[Forecast Start]],Tasks[[#This Row],[Forecast Finish]],WorkWeek,Holidays),N(Tasks[[#This Row],[Duration]])))</f>
        <v>16</v>
      </c>
      <c r="AU10" s="81" t="n">
        <f aca="false">IF(Tasks[[#This Row],[Task Name]]="","",Tasks[[#This Row],[Work]])</f>
        <v>152</v>
      </c>
      <c r="AV10" s="82" t="n">
        <f aca="false">IF(Tasks[[#This Row],[Task Name]]="","",Tasks[[#This Row],[Cost]])</f>
        <v>12480</v>
      </c>
      <c r="AW10" s="72"/>
      <c r="AX10" s="72"/>
      <c r="AY10" s="29"/>
      <c r="AZ10" s="85"/>
      <c r="BA10" s="83"/>
      <c r="BB10" s="28" t="str">
        <f aca="false">IF(OR(Tasks[[#This Row],[Task Name]]="",Tasks[[#This Row],[Baseline Duration]]=""),"",Tasks[[#This Row],[BL Source Duration]]-N(Tasks[[#This Row],[Baseline Duration]]))</f>
        <v/>
      </c>
      <c r="BC10" s="81" t="str">
        <f aca="false">IF(OR(Tasks[[#This Row],[Task Name]]="",Tasks[[#This Row],[Baseline Work]]=""),"",Tasks[[#This Row],[Work]]-N(Tasks[[#This Row],[Baseline Work]]))</f>
        <v/>
      </c>
      <c r="BD10" s="82" t="str">
        <f aca="false">IF(OR(Tasks[[#This Row],[Task Name]]="",Tasks[[#This Row],[Baseline Cost]]=""),"",Tasks[[#This Row],[Cost]]-N(Tasks[[#This Row],[Baseline Cost]]))</f>
        <v/>
      </c>
      <c r="BE10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12480</v>
      </c>
      <c r="BF10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12480</v>
      </c>
      <c r="BG10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12480</v>
      </c>
      <c r="BH10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13040</v>
      </c>
      <c r="BI10" s="43" t="n">
        <f aca="false">IF(Tasks[[#This Row],[Task Name]]="","",MAX(1,N(Tasks[[#This Row],[Level]])))</f>
        <v>1</v>
      </c>
      <c r="BJ10" s="43" t="n">
        <f aca="false">ROW()-ROW(Tasks[[#Headers],[ID]])</f>
        <v>5</v>
      </c>
      <c r="BK1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0" s="43" t="n">
        <f aca="false">IFERROR(N(INDEX(Tasks[_Level],Tasks[[#This Row],[_Row]]+1)),0)</f>
        <v>2</v>
      </c>
      <c r="BM10" s="86" t="b">
        <f aca="false">AND(Tasks[[#This Row],[Task Name]]&lt;&gt;"",Tasks[[#This Row],[_NextLevel]]&gt;Tasks[[#This Row],[_Level]])</f>
        <v>1</v>
      </c>
      <c r="BN10" s="43" t="n">
        <f aca="false">IF(Tasks[[#This Row],[_IsSummary]],COUNTIF(Tasks[WBS],Tasks[[#This Row],[WBS]]&amp;".*"),0)</f>
        <v>4</v>
      </c>
      <c r="BO10" s="43" t="n">
        <f aca="false">IF(AND(Tasks[[#This Row],[Task Name]]&lt;&gt;"",NOT(Tasks[[#This Row],[_IsSummary]])),1,0)</f>
        <v>0</v>
      </c>
      <c r="BP10" s="43" t="n">
        <f aca="false">IF(N(Tasks[[#This Row],[Pred1 UID]])=0,0,IFERROR(MATCH(Tasks[[#This Row],[Pred1 UID]],Tasks[UID],0),-1))</f>
        <v>0</v>
      </c>
      <c r="BQ10" s="43" t="n">
        <f aca="false">IF(N(Tasks[[#This Row],[Pred2 UID]])=0,0,IFERROR(MATCH(Tasks[[#This Row],[Pred2 UID]],Tasks[UID],0),-1))</f>
        <v>0</v>
      </c>
      <c r="BR1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0" s="43" t="n">
        <f aca="false">IF(NOT(Tasks[[#This Row],[_IsLeaf]]=1),0,IF(N(Tasks[[#This Row],[Actual Finish]])&gt;0,1,MIN(1,N(Tasks[[#This Row],[% Complete]]))))</f>
        <v>0</v>
      </c>
      <c r="BW1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0" s="43" t="n">
        <f aca="false">IF(Tasks[[#This Row],[_LeafWork]]=0,0,Tasks[[#This Row],[_LeafWork]]*IFERROR(INDEX(res_Rate,MATCH(Tasks[[#This Row],[Resource]],res_Name,0)),0))</f>
        <v>0</v>
      </c>
      <c r="BY1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0" s="43" t="n">
        <f aca="false">IF(NOT(Tasks[[#This Row],[_IsLeaf]]=1),0,MAX(_xlfn.MAXIFS(Tasks[_Row],Tasks[Pred1 UID],Tasks[[#This Row],[UID]]),_xlfn.MAXIFS(Tasks[_Row],Tasks[Pred2 UID],Tasks[[#This Row],[UID]])))</f>
        <v>0</v>
      </c>
      <c r="CD1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0" s="87" t="str">
        <f aca="false">IF(NOT(Tasks[[#This Row],[_IsLeaf]]=1),"",MIN(ProjectFinish,IF(N(Tasks[[#This Row],[Deadline]])&gt;0,Tasks[[#This Row],[Deadline]],2958465),Tasks[[#This Row],[_SuccessorFinishLimit]]))</f>
        <v/>
      </c>
      <c r="CF1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0" s="86" t="b">
        <f aca="false">AND(Tasks[[#This Row],[_IsLeaf]]=1,Tasks[[#This Row],[_LeafProgress]]&lt;1,N(Tasks[[#This Row],[_LeafTotalSlack]])&lt;=CriticalSlackDays)</f>
        <v>0</v>
      </c>
      <c r="CI10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46279</v>
      </c>
      <c r="CJ10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46296</v>
      </c>
      <c r="CK1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0" s="43" t="n">
        <f aca="false">IF(AND(Tasks[[#This Row],[_IsLeaf]]=1,Tasks[[#This Row],[_LeafWork]]&gt;0),NETWORKDAYS.INTL(ProjectStart,Tasks[[#This Row],[_LeafFcstStart]],WorkWeek,Holidays),0)</f>
        <v>0</v>
      </c>
      <c r="CR1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0" s="43" t="n">
        <f aca="false">IF(AND(Tasks[[#This Row],[_IsLeaf]]=1,Tasks[[#This Row],[_LeafWork]]&gt;0),Tasks[[#This Row],[_LeafWork]]/(Tasks[[#This Row],[_FinishWorkday]]-Tasks[[#This Row],[_StartWorkday]]+1),0)</f>
        <v>0</v>
      </c>
      <c r="CT10" s="43" t="n">
        <f aca="false">Tasks[[#This Row],[_WorkPerWorkday]]*(Tasks[[#This Row],[_StartWorkday]]-1)</f>
        <v>-0</v>
      </c>
      <c r="CU10" s="43" t="n">
        <f aca="false">IF(Tasks[[#This Row],[_IsLeaf]]=1,MAX(N(Tasks[[#This Row],[Duration]]),0.1),0)</f>
        <v>0</v>
      </c>
      <c r="CV10" s="43" t="n">
        <f aca="false">Tasks[[#This Row],[_WeightDur]]*Tasks[[#This Row],[_LeafProgress]]</f>
        <v>0</v>
      </c>
      <c r="CW1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0" s="43" t="str">
        <f aca="false">IF(AND(Tasks[[#This Row],[_IsLeaf]]=1,N(Tasks[[#This Row],[Duration]])=0,Tasks[[#This Row],[_LeafProgress]]&lt;1),Tasks[[#This Row],[_LeafFcstFinish]]+Tasks[[#This Row],[_Row]]/100000,"")</f>
        <v/>
      </c>
      <c r="DC1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0" s="43" t="n">
        <f aca="false">IF(NOT(Tasks[[#This Row],[_IsLeaf]]=1),0,IF(Tasks[[#This Row],[Baseline Cost]]="",Tasks[[#This Row],[_LeafCost]],N(Tasks[[#This Row],[Baseline Cost]])))</f>
        <v>0</v>
      </c>
      <c r="DE10" s="43" t="n">
        <f aca="false">Tasks[[#This Row],[_LeafBudget]]*Tasks[[#This Row],[_PlannedPct]]</f>
        <v>0</v>
      </c>
      <c r="DF10" s="43" t="n">
        <f aca="false">Tasks[[#This Row],[_LeafBudget]]*Tasks[[#This Row],[_LeafProgress]]</f>
        <v>0</v>
      </c>
      <c r="DG10" s="43" t="n">
        <f aca="false">IF(NOT(Tasks[[#This Row],[_IsLeaf]]=1),0,IF(Tasks[[#This Row],[Actual Cost]]="",Tasks[[#This Row],[_LeafCost]]*Tasks[[#This Row],[_LeafProgress]],N(Tasks[[#This Row],[Actual Cost]])))</f>
        <v>0</v>
      </c>
      <c r="DH10" s="43" t="str">
        <f aca="false">IF(Tasks[[#This Row],[Task Name]]="","",LEFT(Tasks[[#This Row],[WBS]],FIND(".",Tasks[[#This Row],[WBS]]&amp;".")-1))</f>
        <v>2</v>
      </c>
      <c r="DI10" s="43" t="n">
        <f aca="false">IF(AND(Tasks[[#This Row],[Task Name]]&lt;&gt;"",Tasks[[#This Row],[_Level]]=1),Tasks[[#This Row],[_Row]],"")</f>
        <v>5</v>
      </c>
      <c r="DJ10" s="43" t="str">
        <f aca="false">IF(AND(Tasks[[#This Row],[_IsLeaf]]=1,N(Tasks[[#This Row],[Duration]])=0),Tasks[[#This Row],[Planned Finish]]+Tasks[[#This Row],[_Row]]/100000,"")</f>
        <v/>
      </c>
      <c r="DK1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0" s="43" t="str">
        <f aca="false">IF(Tasks[[#This Row],[_LeafCritical]],Tasks[[#This Row],[_LeafFcstStart]]+Tasks[[#This Row],[_Row]]/100000,"")</f>
        <v/>
      </c>
      <c r="DO10" s="43" t="n">
        <f aca="false">Tasks[[#This Row],[_LeafWork]]*Tasks[[#This Row],[_LeafProgress]]</f>
        <v>0</v>
      </c>
      <c r="DP1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0" s="43" t="n">
        <f aca="false">IF(Tasks[[#This Row],[_IsLeaf]]=1,N(Tasks[[#This Row],[Story Points]]),0)</f>
        <v>0</v>
      </c>
      <c r="DR10" s="43" t="str">
        <f aca="false">IF(AND(Tasks[[#This Row],[_IsLeaf]]=1,CurrentSprint&lt;&gt;"",Tasks[[#This Row],[Sprint]]=CurrentSprint),Tasks[[#This Row],[_Row]],"")</f>
        <v/>
      </c>
    </row>
    <row r="11" customFormat="false" ht="15" hidden="false" customHeight="false" outlineLevel="0" collapsed="false">
      <c r="A11" s="28" t="n">
        <f aca="false">IF(Tasks[[#This Row],[Task Name]]="","",COUNTA(Tasks[[#Headers],[Task Name]]:Tasks[[#This Row],[Task Name]])-1)</f>
        <v>6</v>
      </c>
      <c r="B11" s="29" t="n">
        <v>6</v>
      </c>
      <c r="C1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2.1</v>
      </c>
      <c r="D11" s="29" t="n">
        <v>2</v>
      </c>
      <c r="E11" s="30" t="s">
        <v>469</v>
      </c>
      <c r="F11" s="29" t="s">
        <v>459</v>
      </c>
      <c r="G11" s="29" t="n">
        <v>8</v>
      </c>
      <c r="H11" s="29" t="n">
        <v>4</v>
      </c>
      <c r="I11" s="29" t="s">
        <v>464</v>
      </c>
      <c r="J11" s="29"/>
      <c r="K11" s="29"/>
      <c r="L11" s="29"/>
      <c r="M11" s="29"/>
      <c r="N11" s="72"/>
      <c r="O11" s="72"/>
      <c r="P11" s="25" t="n">
        <f aca="false">IF(Tasks[[#This Row],[Task Name]]="","",IF(N(Tasks[[#This Row],[Baseline Start]])&gt;0,Tasks[[#This Row],[Baseline Start]],Tasks[[#This Row],[_CalcStart]]))</f>
        <v>46279</v>
      </c>
      <c r="Q11" s="25" t="n">
        <f aca="false">IF(Tasks[[#This Row],[Task Name]]="","",IF(N(Tasks[[#This Row],[Baseline Finish]])&gt;0,Tasks[[#This Row],[Baseline Finish]],Tasks[[#This Row],[_CalcFinish]]))</f>
        <v>46288</v>
      </c>
      <c r="R11" s="72" t="n">
        <v>46280</v>
      </c>
      <c r="S11" s="72" t="n">
        <v>46290</v>
      </c>
      <c r="T11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46280</v>
      </c>
      <c r="U11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46290</v>
      </c>
      <c r="V11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1</v>
      </c>
      <c r="W11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2</v>
      </c>
      <c r="X11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46286</v>
      </c>
      <c r="Y11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46295</v>
      </c>
      <c r="Z11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3</v>
      </c>
      <c r="AA11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1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1" s="74" t="n">
        <v>1</v>
      </c>
      <c r="AF11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1</v>
      </c>
      <c r="AG1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Complete</v>
      </c>
      <c r="AH11" s="30" t="s">
        <v>465</v>
      </c>
      <c r="AI11" s="74"/>
      <c r="AJ11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64</v>
      </c>
      <c r="AK11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4480</v>
      </c>
      <c r="AL11" s="83" t="n">
        <v>5040</v>
      </c>
      <c r="AM11" s="29"/>
      <c r="AN1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1</v>
      </c>
      <c r="AO11" s="84" t="n">
        <v>8</v>
      </c>
      <c r="AP11" s="24" t="str">
        <f aca="false">IF(Tasks[[#This Row],[Task Name]]="","",Tasks[[#This Row],[_Pred1IDText]]&amp;IF(AND(Tasks[[#This Row],[_Pred1IDText]]&lt;&gt;"",Tasks[[#This Row],[_Pred2IDText]]&lt;&gt;""),",","")&amp;Tasks[[#This Row],[_Pred2IDText]])</f>
        <v>4</v>
      </c>
      <c r="AQ11" s="30"/>
      <c r="AR11" s="25" t="n">
        <f aca="false">IF(Tasks[[#This Row],[Task Name]]="","",Tasks[[#This Row],[Forecast Start]])</f>
        <v>46280</v>
      </c>
      <c r="AS11" s="25" t="n">
        <f aca="false">IF(Tasks[[#This Row],[Task Name]]="","",Tasks[[#This Row],[Forecast Finish]])</f>
        <v>46290</v>
      </c>
      <c r="AT11" s="28" t="n">
        <f aca="false">IF(Tasks[[#This Row],[Task Name]]="","",IF(Tasks[[#This Row],[_IsSummary]],NETWORKDAYS.INTL(Tasks[[#This Row],[Forecast Start]],Tasks[[#This Row],[Forecast Finish]],WorkWeek,Holidays),N(Tasks[[#This Row],[Duration]])))</f>
        <v>8</v>
      </c>
      <c r="AU11" s="81" t="n">
        <f aca="false">IF(Tasks[[#This Row],[Task Name]]="","",Tasks[[#This Row],[Work]])</f>
        <v>64</v>
      </c>
      <c r="AV11" s="82" t="n">
        <f aca="false">IF(Tasks[[#This Row],[Task Name]]="","",Tasks[[#This Row],[Cost]])</f>
        <v>4480</v>
      </c>
      <c r="AW11" s="72"/>
      <c r="AX11" s="72"/>
      <c r="AY11" s="29"/>
      <c r="AZ11" s="85"/>
      <c r="BA11" s="83"/>
      <c r="BB11" s="28" t="str">
        <f aca="false">IF(OR(Tasks[[#This Row],[Task Name]]="",Tasks[[#This Row],[Baseline Duration]]=""),"",Tasks[[#This Row],[BL Source Duration]]-N(Tasks[[#This Row],[Baseline Duration]]))</f>
        <v/>
      </c>
      <c r="BC11" s="81" t="str">
        <f aca="false">IF(OR(Tasks[[#This Row],[Task Name]]="",Tasks[[#This Row],[Baseline Work]]=""),"",Tasks[[#This Row],[Work]]-N(Tasks[[#This Row],[Baseline Work]]))</f>
        <v/>
      </c>
      <c r="BD11" s="82" t="str">
        <f aca="false">IF(OR(Tasks[[#This Row],[Task Name]]="",Tasks[[#This Row],[Baseline Cost]]=""),"",Tasks[[#This Row],[Cost]]-N(Tasks[[#This Row],[Baseline Cost]]))</f>
        <v/>
      </c>
      <c r="BE11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4480</v>
      </c>
      <c r="BF11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4480</v>
      </c>
      <c r="BG11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4480</v>
      </c>
      <c r="BH11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5040</v>
      </c>
      <c r="BI11" s="43" t="n">
        <f aca="false">IF(Tasks[[#This Row],[Task Name]]="","",MAX(1,N(Tasks[[#This Row],[Level]])))</f>
        <v>2</v>
      </c>
      <c r="BJ11" s="43" t="n">
        <f aca="false">ROW()-ROW(Tasks[[#Headers],[ID]])</f>
        <v>6</v>
      </c>
      <c r="BK1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10</v>
      </c>
      <c r="BL11" s="43" t="n">
        <f aca="false">IFERROR(N(INDEX(Tasks[_Level],Tasks[[#This Row],[_Row]]+1)),0)</f>
        <v>2</v>
      </c>
      <c r="BM11" s="86" t="b">
        <f aca="false">AND(Tasks[[#This Row],[Task Name]]&lt;&gt;"",Tasks[[#This Row],[_NextLevel]]&gt;Tasks[[#This Row],[_Level]])</f>
        <v>0</v>
      </c>
      <c r="BN11" s="43" t="n">
        <f aca="false">IF(Tasks[[#This Row],[_IsSummary]],COUNTIF(Tasks[WBS],Tasks[[#This Row],[WBS]]&amp;".*"),0)</f>
        <v>0</v>
      </c>
      <c r="BO11" s="43" t="n">
        <f aca="false">IF(AND(Tasks[[#This Row],[Task Name]]&lt;&gt;"",NOT(Tasks[[#This Row],[_IsSummary]])),1,0)</f>
        <v>1</v>
      </c>
      <c r="BP11" s="43" t="n">
        <f aca="false">IF(N(Tasks[[#This Row],[Pred1 UID]])=0,0,IFERROR(MATCH(Tasks[[#This Row],[Pred1 UID]],Tasks[UID],0),-1))</f>
        <v>4</v>
      </c>
      <c r="BQ11" s="43" t="n">
        <f aca="false">IF(N(Tasks[[#This Row],[Pred2 UID]])=0,0,IFERROR(MATCH(Tasks[[#This Row],[Pred2 UID]],Tasks[UID],0),-1))</f>
        <v>0</v>
      </c>
      <c r="BR11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46279</v>
      </c>
      <c r="BS11" s="87" t="n">
        <f aca="false">IF(NOT(Tasks[[#This Row],[_IsLeaf]]=1),"",IF(N(Tasks[[#This Row],[Duration]])&lt;=0,Tasks[[#This Row],[_LeafCalcStart]],WORKDAY.INTL(Tasks[[#This Row],[_LeafCalcStart]],Tasks[[#This Row],[Duration]]-1,WorkWeek,Holidays)))</f>
        <v>46288</v>
      </c>
      <c r="BT11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46280</v>
      </c>
      <c r="BU11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46290</v>
      </c>
      <c r="BV11" s="43" t="n">
        <f aca="false">IF(NOT(Tasks[[#This Row],[_IsLeaf]]=1),0,IF(N(Tasks[[#This Row],[Actual Finish]])&gt;0,1,MIN(1,N(Tasks[[#This Row],[% Complete]]))))</f>
        <v>1</v>
      </c>
      <c r="BW11" s="43" t="n">
        <f aca="false">IF(OR(NOT(Tasks[[#This Row],[_IsLeaf]]=1),Tasks[[#This Row],[Resource]]=""),0,N(Tasks[[#This Row],[Duration]])*HoursPerDay*IF(Tasks[[#This Row],[Units]]="",DefaultUnits,Tasks[[#This Row],[Units]]))</f>
        <v>64</v>
      </c>
      <c r="BX11" s="43" t="n">
        <f aca="false">IF(Tasks[[#This Row],[_LeafWork]]=0,0,Tasks[[#This Row],[_LeafWork]]*IFERROR(INDEX(res_Rate,MATCH(Tasks[[#This Row],[Resource]],res_Name,0)),0))</f>
        <v>4480</v>
      </c>
      <c r="BY11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2912182</v>
      </c>
      <c r="BZ1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1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1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1" s="43" t="n">
        <f aca="false">IF(NOT(Tasks[[#This Row],[_IsLeaf]]=1),0,MAX(_xlfn.MAXIFS(Tasks[_Row],Tasks[Pred1 UID],Tasks[[#This Row],[UID]]),_xlfn.MAXIFS(Tasks[_Row],Tasks[Pred2 UID],Tasks[[#This Row],[UID]])))</f>
        <v>8</v>
      </c>
      <c r="CD11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46295</v>
      </c>
      <c r="CE11" s="87" t="n">
        <f aca="false">IF(NOT(Tasks[[#This Row],[_IsLeaf]]=1),"",MIN(ProjectFinish,IF(N(Tasks[[#This Row],[Deadline]])&gt;0,Tasks[[#This Row],[Deadline]],2958465),Tasks[[#This Row],[_SuccessorFinishLimit]]))</f>
        <v>46295</v>
      </c>
      <c r="CF11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46286</v>
      </c>
      <c r="CG11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3</v>
      </c>
      <c r="CH11" s="86" t="b">
        <f aca="false">AND(Tasks[[#This Row],[_IsLeaf]]=1,Tasks[[#This Row],[_LeafProgress]]&lt;1,N(Tasks[[#This Row],[_LeafTotalSlack]])&lt;=CriticalSlackDays)</f>
        <v>0</v>
      </c>
      <c r="CI11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46279</v>
      </c>
      <c r="CJ11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46288</v>
      </c>
      <c r="CK1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46279</v>
      </c>
      <c r="CN1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46280</v>
      </c>
      <c r="CP1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1" s="43" t="n">
        <f aca="false">IF(AND(Tasks[[#This Row],[_IsLeaf]]=1,Tasks[[#This Row],[_LeafWork]]&gt;0),NETWORKDAYS.INTL(ProjectStart,Tasks[[#This Row],[_LeafFcstStart]],WorkWeek,Holidays),0)</f>
        <v>7</v>
      </c>
      <c r="CR11" s="43" t="n">
        <f aca="false">IF(AND(Tasks[[#This Row],[_IsLeaf]]=1,Tasks[[#This Row],[_LeafWork]]&gt;0),MAX(Tasks[[#This Row],[_StartWorkday]],NETWORKDAYS.INTL(ProjectStart,Tasks[[#This Row],[_LeafFcstFinish]],WorkWeek,Holidays)),0)</f>
        <v>15</v>
      </c>
      <c r="CS11" s="43" t="n">
        <f aca="false">IF(AND(Tasks[[#This Row],[_IsLeaf]]=1,Tasks[[#This Row],[_LeafWork]]&gt;0),Tasks[[#This Row],[_LeafWork]]/(Tasks[[#This Row],[_FinishWorkday]]-Tasks[[#This Row],[_StartWorkday]]+1),0)</f>
        <v>7.11111111111111</v>
      </c>
      <c r="CT11" s="43" t="n">
        <f aca="false">Tasks[[#This Row],[_WorkPerWorkday]]*(Tasks[[#This Row],[_StartWorkday]]-1)</f>
        <v>42.6666666666667</v>
      </c>
      <c r="CU11" s="43" t="n">
        <f aca="false">IF(Tasks[[#This Row],[_IsLeaf]]=1,MAX(N(Tasks[[#This Row],[Duration]]),0.1),0)</f>
        <v>8</v>
      </c>
      <c r="CV11" s="43" t="n">
        <f aca="false">Tasks[[#This Row],[_WeightDur]]*Tasks[[#This Row],[_LeafProgress]]</f>
        <v>8</v>
      </c>
      <c r="CW1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4</v>
      </c>
      <c r="CX1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4</v>
      </c>
      <c r="CZ1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4</v>
      </c>
      <c r="DB11" s="43" t="str">
        <f aca="false">IF(AND(Tasks[[#This Row],[_IsLeaf]]=1,N(Tasks[[#This Row],[Duration]])=0,Tasks[[#This Row],[_LeafProgress]]&lt;1),Tasks[[#This Row],[_LeafFcstFinish]]+Tasks[[#This Row],[_Row]]/100000,"")</f>
        <v/>
      </c>
      <c r="DC1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1</v>
      </c>
      <c r="DD11" s="43" t="n">
        <f aca="false">IF(NOT(Tasks[[#This Row],[_IsLeaf]]=1),0,IF(Tasks[[#This Row],[Baseline Cost]]="",Tasks[[#This Row],[_LeafCost]],N(Tasks[[#This Row],[Baseline Cost]])))</f>
        <v>4480</v>
      </c>
      <c r="DE11" s="43" t="n">
        <f aca="false">Tasks[[#This Row],[_LeafBudget]]*Tasks[[#This Row],[_PlannedPct]]</f>
        <v>4480</v>
      </c>
      <c r="DF11" s="43" t="n">
        <f aca="false">Tasks[[#This Row],[_LeafBudget]]*Tasks[[#This Row],[_LeafProgress]]</f>
        <v>4480</v>
      </c>
      <c r="DG11" s="43" t="n">
        <f aca="false">IF(NOT(Tasks[[#This Row],[_IsLeaf]]=1),0,IF(Tasks[[#This Row],[Actual Cost]]="",Tasks[[#This Row],[_LeafCost]]*Tasks[[#This Row],[_LeafProgress]],N(Tasks[[#This Row],[Actual Cost]])))</f>
        <v>5040</v>
      </c>
      <c r="DH11" s="43" t="str">
        <f aca="false">IF(Tasks[[#This Row],[Task Name]]="","",LEFT(Tasks[[#This Row],[WBS]],FIND(".",Tasks[[#This Row],[WBS]]&amp;".")-1))</f>
        <v>2</v>
      </c>
      <c r="DI11" s="43" t="str">
        <f aca="false">IF(AND(Tasks[[#This Row],[Task Name]]&lt;&gt;"",Tasks[[#This Row],[_Level]]=1),Tasks[[#This Row],[_Row]],"")</f>
        <v/>
      </c>
      <c r="DJ11" s="43" t="str">
        <f aca="false">IF(AND(Tasks[[#This Row],[_IsLeaf]]=1,N(Tasks[[#This Row],[Duration]])=0),Tasks[[#This Row],[Planned Finish]]+Tasks[[#This Row],[_Row]]/100000,"")</f>
        <v/>
      </c>
      <c r="DK1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1" s="43" t="str">
        <f aca="false">IF(Tasks[[#This Row],[_LeafCritical]],Tasks[[#This Row],[_LeafFcstStart]]+Tasks[[#This Row],[_Row]]/100000,"")</f>
        <v/>
      </c>
      <c r="DO11" s="43" t="n">
        <f aca="false">Tasks[[#This Row],[_LeafWork]]*Tasks[[#This Row],[_LeafProgress]]</f>
        <v>64</v>
      </c>
      <c r="DP11" s="87" t="n">
        <f aca="false">IF(AND(Tasks[[#This Row],[_IsLeaf]]=1,Tasks[[#This Row],[_LeafProgress]]&gt;=1),IF(N(Tasks[[#This Row],[Actual Finish]])&gt;0,Tasks[[#This Row],[Actual Finish]],Tasks[[#This Row],[_LeafFcstFinish]]),"")</f>
        <v>46290</v>
      </c>
      <c r="DQ11" s="43" t="n">
        <f aca="false">IF(Tasks[[#This Row],[_IsLeaf]]=1,N(Tasks[[#This Row],[Story Points]]),0)</f>
        <v>8</v>
      </c>
      <c r="DR11" s="43" t="str">
        <f aca="false">IF(AND(Tasks[[#This Row],[_IsLeaf]]=1,CurrentSprint&lt;&gt;"",Tasks[[#This Row],[Sprint]]=CurrentSprint),Tasks[[#This Row],[_Row]],"")</f>
        <v/>
      </c>
    </row>
    <row r="12" customFormat="false" ht="15" hidden="false" customHeight="false" outlineLevel="0" collapsed="false">
      <c r="A12" s="28" t="n">
        <f aca="false">IF(Tasks[[#This Row],[Task Name]]="","",COUNTA(Tasks[[#Headers],[Task Name]]:Tasks[[#This Row],[Task Name]])-1)</f>
        <v>7</v>
      </c>
      <c r="B12" s="29" t="n">
        <v>7</v>
      </c>
      <c r="C1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2.2</v>
      </c>
      <c r="D12" s="29" t="n">
        <v>2</v>
      </c>
      <c r="E12" s="30" t="s">
        <v>470</v>
      </c>
      <c r="F12" s="29" t="s">
        <v>459</v>
      </c>
      <c r="G12" s="29" t="n">
        <v>5</v>
      </c>
      <c r="H12" s="29" t="n">
        <v>6</v>
      </c>
      <c r="I12" s="29" t="s">
        <v>471</v>
      </c>
      <c r="J12" s="29" t="n">
        <v>3</v>
      </c>
      <c r="K12" s="29"/>
      <c r="L12" s="29"/>
      <c r="M12" s="29"/>
      <c r="N12" s="72"/>
      <c r="O12" s="72"/>
      <c r="P12" s="25" t="n">
        <f aca="false">IF(Tasks[[#This Row],[Task Name]]="","",IF(N(Tasks[[#This Row],[Baseline Start]])&gt;0,Tasks[[#This Row],[Baseline Start]],Tasks[[#This Row],[_CalcStart]]))</f>
        <v>46282</v>
      </c>
      <c r="Q12" s="25" t="n">
        <f aca="false">IF(Tasks[[#This Row],[Task Name]]="","",IF(N(Tasks[[#This Row],[Baseline Finish]])&gt;0,Tasks[[#This Row],[Baseline Finish]],Tasks[[#This Row],[_CalcFinish]]))</f>
        <v>46288</v>
      </c>
      <c r="R12" s="72" t="n">
        <v>46283</v>
      </c>
      <c r="S12" s="72" t="n">
        <v>46290</v>
      </c>
      <c r="T12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46283</v>
      </c>
      <c r="U12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46290</v>
      </c>
      <c r="V12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1</v>
      </c>
      <c r="W12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2</v>
      </c>
      <c r="X12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46297</v>
      </c>
      <c r="Y12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46303</v>
      </c>
      <c r="Z12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9</v>
      </c>
      <c r="AA12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7</v>
      </c>
      <c r="AB1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2" s="74" t="n">
        <v>1</v>
      </c>
      <c r="AF12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1</v>
      </c>
      <c r="AG1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Complete</v>
      </c>
      <c r="AH12" s="30" t="s">
        <v>472</v>
      </c>
      <c r="AI12" s="74"/>
      <c r="AJ12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40</v>
      </c>
      <c r="AK12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4400</v>
      </c>
      <c r="AL12" s="83"/>
      <c r="AM12" s="29"/>
      <c r="AN1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1</v>
      </c>
      <c r="AO12" s="84" t="n">
        <v>5</v>
      </c>
      <c r="AP12" s="24" t="str">
        <f aca="false">IF(Tasks[[#This Row],[Task Name]]="","",Tasks[[#This Row],[_Pred1IDText]]&amp;IF(AND(Tasks[[#This Row],[_Pred1IDText]]&lt;&gt;"",Tasks[[#This Row],[_Pred2IDText]]&lt;&gt;""),",","")&amp;Tasks[[#This Row],[_Pred2IDText]])</f>
        <v>6SS+3d</v>
      </c>
      <c r="AQ12" s="30" t="s">
        <v>473</v>
      </c>
      <c r="AR12" s="25" t="n">
        <f aca="false">IF(Tasks[[#This Row],[Task Name]]="","",Tasks[[#This Row],[Forecast Start]])</f>
        <v>46283</v>
      </c>
      <c r="AS12" s="25" t="n">
        <f aca="false">IF(Tasks[[#This Row],[Task Name]]="","",Tasks[[#This Row],[Forecast Finish]])</f>
        <v>46290</v>
      </c>
      <c r="AT12" s="28" t="n">
        <f aca="false">IF(Tasks[[#This Row],[Task Name]]="","",IF(Tasks[[#This Row],[_IsSummary]],NETWORKDAYS.INTL(Tasks[[#This Row],[Forecast Start]],Tasks[[#This Row],[Forecast Finish]],WorkWeek,Holidays),N(Tasks[[#This Row],[Duration]])))</f>
        <v>5</v>
      </c>
      <c r="AU12" s="81" t="n">
        <f aca="false">IF(Tasks[[#This Row],[Task Name]]="","",Tasks[[#This Row],[Work]])</f>
        <v>40</v>
      </c>
      <c r="AV12" s="82" t="n">
        <f aca="false">IF(Tasks[[#This Row],[Task Name]]="","",Tasks[[#This Row],[Cost]])</f>
        <v>4400</v>
      </c>
      <c r="AW12" s="72"/>
      <c r="AX12" s="72"/>
      <c r="AY12" s="29"/>
      <c r="AZ12" s="85"/>
      <c r="BA12" s="83"/>
      <c r="BB12" s="28" t="str">
        <f aca="false">IF(OR(Tasks[[#This Row],[Task Name]]="",Tasks[[#This Row],[Baseline Duration]]=""),"",Tasks[[#This Row],[BL Source Duration]]-N(Tasks[[#This Row],[Baseline Duration]]))</f>
        <v/>
      </c>
      <c r="BC12" s="81" t="str">
        <f aca="false">IF(OR(Tasks[[#This Row],[Task Name]]="",Tasks[[#This Row],[Baseline Work]]=""),"",Tasks[[#This Row],[Work]]-N(Tasks[[#This Row],[Baseline Work]]))</f>
        <v/>
      </c>
      <c r="BD12" s="82" t="str">
        <f aca="false">IF(OR(Tasks[[#This Row],[Task Name]]="",Tasks[[#This Row],[Baseline Cost]]=""),"",Tasks[[#This Row],[Cost]]-N(Tasks[[#This Row],[Baseline Cost]]))</f>
        <v/>
      </c>
      <c r="BE12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4400</v>
      </c>
      <c r="BF12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4400</v>
      </c>
      <c r="BG12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4400</v>
      </c>
      <c r="BH12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4400</v>
      </c>
      <c r="BI12" s="43" t="n">
        <f aca="false">IF(Tasks[[#This Row],[Task Name]]="","",MAX(1,N(Tasks[[#This Row],[Level]])))</f>
        <v>2</v>
      </c>
      <c r="BJ12" s="43" t="n">
        <f aca="false">ROW()-ROW(Tasks[[#Headers],[ID]])</f>
        <v>7</v>
      </c>
      <c r="BK1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10</v>
      </c>
      <c r="BL12" s="43" t="n">
        <f aca="false">IFERROR(N(INDEX(Tasks[_Level],Tasks[[#This Row],[_Row]]+1)),0)</f>
        <v>2</v>
      </c>
      <c r="BM12" s="86" t="b">
        <f aca="false">AND(Tasks[[#This Row],[Task Name]]&lt;&gt;"",Tasks[[#This Row],[_NextLevel]]&gt;Tasks[[#This Row],[_Level]])</f>
        <v>0</v>
      </c>
      <c r="BN12" s="43" t="n">
        <f aca="false">IF(Tasks[[#This Row],[_IsSummary]],COUNTIF(Tasks[WBS],Tasks[[#This Row],[WBS]]&amp;".*"),0)</f>
        <v>0</v>
      </c>
      <c r="BO12" s="43" t="n">
        <f aca="false">IF(AND(Tasks[[#This Row],[Task Name]]&lt;&gt;"",NOT(Tasks[[#This Row],[_IsSummary]])),1,0)</f>
        <v>1</v>
      </c>
      <c r="BP12" s="43" t="n">
        <f aca="false">IF(N(Tasks[[#This Row],[Pred1 UID]])=0,0,IFERROR(MATCH(Tasks[[#This Row],[Pred1 UID]],Tasks[UID],0),-1))</f>
        <v>6</v>
      </c>
      <c r="BQ12" s="43" t="n">
        <f aca="false">IF(N(Tasks[[#This Row],[Pred2 UID]])=0,0,IFERROR(MATCH(Tasks[[#This Row],[Pred2 UID]],Tasks[UID],0),-1))</f>
        <v>0</v>
      </c>
      <c r="BR12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46282</v>
      </c>
      <c r="BS12" s="87" t="n">
        <f aca="false">IF(NOT(Tasks[[#This Row],[_IsLeaf]]=1),"",IF(N(Tasks[[#This Row],[Duration]])&lt;=0,Tasks[[#This Row],[_LeafCalcStart]],WORKDAY.INTL(Tasks[[#This Row],[_LeafCalcStart]],Tasks[[#This Row],[Duration]]-1,WorkWeek,Holidays)))</f>
        <v>46288</v>
      </c>
      <c r="BT12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46283</v>
      </c>
      <c r="BU12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46290</v>
      </c>
      <c r="BV12" s="43" t="n">
        <f aca="false">IF(NOT(Tasks[[#This Row],[_IsLeaf]]=1),0,IF(N(Tasks[[#This Row],[Actual Finish]])&gt;0,1,MIN(1,N(Tasks[[#This Row],[% Complete]]))))</f>
        <v>1</v>
      </c>
      <c r="BW12" s="43" t="n">
        <f aca="false">IF(OR(NOT(Tasks[[#This Row],[_IsLeaf]]=1),Tasks[[#This Row],[Resource]]=""),0,N(Tasks[[#This Row],[Duration]])*HoursPerDay*IF(Tasks[[#This Row],[Units]]="",DefaultUnits,Tasks[[#This Row],[Units]]))</f>
        <v>40</v>
      </c>
      <c r="BX12" s="43" t="n">
        <f aca="false">IF(Tasks[[#This Row],[_LeafWork]]=0,0,Tasks[[#This Row],[_LeafWork]]*IFERROR(INDEX(res_Rate,MATCH(Tasks[[#This Row],[Resource]],res_Name,0)),0))</f>
        <v>4400</v>
      </c>
      <c r="BY12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2912162</v>
      </c>
      <c r="BZ1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2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1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2" s="43" t="n">
        <f aca="false">IF(NOT(Tasks[[#This Row],[_IsLeaf]]=1),0,MAX(_xlfn.MAXIFS(Tasks[_Row],Tasks[Pred1 UID],Tasks[[#This Row],[UID]]),_xlfn.MAXIFS(Tasks[_Row],Tasks[Pred2 UID],Tasks[[#This Row],[UID]])))</f>
        <v>9</v>
      </c>
      <c r="CD12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46303</v>
      </c>
      <c r="CE12" s="87" t="n">
        <f aca="false">IF(NOT(Tasks[[#This Row],[_IsLeaf]]=1),"",MIN(ProjectFinish,IF(N(Tasks[[#This Row],[Deadline]])&gt;0,Tasks[[#This Row],[Deadline]],2958465),Tasks[[#This Row],[_SuccessorFinishLimit]]))</f>
        <v>46303</v>
      </c>
      <c r="CF12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46297</v>
      </c>
      <c r="CG12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9</v>
      </c>
      <c r="CH12" s="86" t="b">
        <f aca="false">AND(Tasks[[#This Row],[_IsLeaf]]=1,Tasks[[#This Row],[_LeafProgress]]&lt;1,N(Tasks[[#This Row],[_LeafTotalSlack]])&lt;=CriticalSlackDays)</f>
        <v>0</v>
      </c>
      <c r="CI12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46282</v>
      </c>
      <c r="CJ12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46288</v>
      </c>
      <c r="CK1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46282</v>
      </c>
      <c r="CN1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46283</v>
      </c>
      <c r="CP1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2" s="43" t="n">
        <f aca="false">IF(AND(Tasks[[#This Row],[_IsLeaf]]=1,Tasks[[#This Row],[_LeafWork]]&gt;0),NETWORKDAYS.INTL(ProjectStart,Tasks[[#This Row],[_LeafFcstStart]],WorkWeek,Holidays),0)</f>
        <v>10</v>
      </c>
      <c r="CR12" s="43" t="n">
        <f aca="false">IF(AND(Tasks[[#This Row],[_IsLeaf]]=1,Tasks[[#This Row],[_LeafWork]]&gt;0),MAX(Tasks[[#This Row],[_StartWorkday]],NETWORKDAYS.INTL(ProjectStart,Tasks[[#This Row],[_LeafFcstFinish]],WorkWeek,Holidays)),0)</f>
        <v>15</v>
      </c>
      <c r="CS12" s="43" t="n">
        <f aca="false">IF(AND(Tasks[[#This Row],[_IsLeaf]]=1,Tasks[[#This Row],[_LeafWork]]&gt;0),Tasks[[#This Row],[_LeafWork]]/(Tasks[[#This Row],[_FinishWorkday]]-Tasks[[#This Row],[_StartWorkday]]+1),0)</f>
        <v>6.66666666666667</v>
      </c>
      <c r="CT12" s="43" t="n">
        <f aca="false">Tasks[[#This Row],[_WorkPerWorkday]]*(Tasks[[#This Row],[_StartWorkday]]-1)</f>
        <v>60</v>
      </c>
      <c r="CU12" s="43" t="n">
        <f aca="false">IF(Tasks[[#This Row],[_IsLeaf]]=1,MAX(N(Tasks[[#This Row],[Duration]]),0.1),0)</f>
        <v>5</v>
      </c>
      <c r="CV12" s="43" t="n">
        <f aca="false">Tasks[[#This Row],[_WeightDur]]*Tasks[[#This Row],[_LeafProgress]]</f>
        <v>5</v>
      </c>
      <c r="CW1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6SS+3d</v>
      </c>
      <c r="CX1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6SS+3d</v>
      </c>
      <c r="CZ1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6SS+3d</v>
      </c>
      <c r="DB12" s="43" t="str">
        <f aca="false">IF(AND(Tasks[[#This Row],[_IsLeaf]]=1,N(Tasks[[#This Row],[Duration]])=0,Tasks[[#This Row],[_LeafProgress]]&lt;1),Tasks[[#This Row],[_LeafFcstFinish]]+Tasks[[#This Row],[_Row]]/100000,"")</f>
        <v/>
      </c>
      <c r="DC1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1</v>
      </c>
      <c r="DD12" s="43" t="n">
        <f aca="false">IF(NOT(Tasks[[#This Row],[_IsLeaf]]=1),0,IF(Tasks[[#This Row],[Baseline Cost]]="",Tasks[[#This Row],[_LeafCost]],N(Tasks[[#This Row],[Baseline Cost]])))</f>
        <v>4400</v>
      </c>
      <c r="DE12" s="43" t="n">
        <f aca="false">Tasks[[#This Row],[_LeafBudget]]*Tasks[[#This Row],[_PlannedPct]]</f>
        <v>4400</v>
      </c>
      <c r="DF12" s="43" t="n">
        <f aca="false">Tasks[[#This Row],[_LeafBudget]]*Tasks[[#This Row],[_LeafProgress]]</f>
        <v>4400</v>
      </c>
      <c r="DG12" s="43" t="n">
        <f aca="false">IF(NOT(Tasks[[#This Row],[_IsLeaf]]=1),0,IF(Tasks[[#This Row],[Actual Cost]]="",Tasks[[#This Row],[_LeafCost]]*Tasks[[#This Row],[_LeafProgress]],N(Tasks[[#This Row],[Actual Cost]])))</f>
        <v>4400</v>
      </c>
      <c r="DH12" s="43" t="str">
        <f aca="false">IF(Tasks[[#This Row],[Task Name]]="","",LEFT(Tasks[[#This Row],[WBS]],FIND(".",Tasks[[#This Row],[WBS]]&amp;".")-1))</f>
        <v>2</v>
      </c>
      <c r="DI12" s="43" t="str">
        <f aca="false">IF(AND(Tasks[[#This Row],[Task Name]]&lt;&gt;"",Tasks[[#This Row],[_Level]]=1),Tasks[[#This Row],[_Row]],"")</f>
        <v/>
      </c>
      <c r="DJ12" s="43" t="str">
        <f aca="false">IF(AND(Tasks[[#This Row],[_IsLeaf]]=1,N(Tasks[[#This Row],[Duration]])=0),Tasks[[#This Row],[Planned Finish]]+Tasks[[#This Row],[_Row]]/100000,"")</f>
        <v/>
      </c>
      <c r="DK1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2" s="43" t="str">
        <f aca="false">IF(Tasks[[#This Row],[_LeafCritical]],Tasks[[#This Row],[_LeafFcstStart]]+Tasks[[#This Row],[_Row]]/100000,"")</f>
        <v/>
      </c>
      <c r="DO12" s="43" t="n">
        <f aca="false">Tasks[[#This Row],[_LeafWork]]*Tasks[[#This Row],[_LeafProgress]]</f>
        <v>40</v>
      </c>
      <c r="DP12" s="87" t="n">
        <f aca="false">IF(AND(Tasks[[#This Row],[_IsLeaf]]=1,Tasks[[#This Row],[_LeafProgress]]&gt;=1),IF(N(Tasks[[#This Row],[Actual Finish]])&gt;0,Tasks[[#This Row],[Actual Finish]],Tasks[[#This Row],[_LeafFcstFinish]]),"")</f>
        <v>46290</v>
      </c>
      <c r="DQ12" s="43" t="n">
        <f aca="false">IF(Tasks[[#This Row],[_IsLeaf]]=1,N(Tasks[[#This Row],[Story Points]]),0)</f>
        <v>5</v>
      </c>
      <c r="DR12" s="43" t="str">
        <f aca="false">IF(AND(Tasks[[#This Row],[_IsLeaf]]=1,CurrentSprint&lt;&gt;"",Tasks[[#This Row],[Sprint]]=CurrentSprint),Tasks[[#This Row],[_Row]],"")</f>
        <v/>
      </c>
    </row>
    <row r="13" customFormat="false" ht="15" hidden="false" customHeight="false" outlineLevel="0" collapsed="false">
      <c r="A13" s="28" t="n">
        <f aca="false">IF(Tasks[[#This Row],[Task Name]]="","",COUNTA(Tasks[[#Headers],[Task Name]]:Tasks[[#This Row],[Task Name]])-1)</f>
        <v>8</v>
      </c>
      <c r="B13" s="29" t="n">
        <v>8</v>
      </c>
      <c r="C1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2.3</v>
      </c>
      <c r="D13" s="29" t="n">
        <v>2</v>
      </c>
      <c r="E13" s="30" t="s">
        <v>474</v>
      </c>
      <c r="F13" s="29" t="s">
        <v>459</v>
      </c>
      <c r="G13" s="29" t="n">
        <v>6</v>
      </c>
      <c r="H13" s="29" t="n">
        <v>6</v>
      </c>
      <c r="I13" s="29" t="s">
        <v>464</v>
      </c>
      <c r="J13" s="29"/>
      <c r="K13" s="29"/>
      <c r="L13" s="29"/>
      <c r="M13" s="29"/>
      <c r="N13" s="72"/>
      <c r="O13" s="72"/>
      <c r="P13" s="25" t="n">
        <f aca="false">IF(Tasks[[#This Row],[Task Name]]="","",IF(N(Tasks[[#This Row],[Baseline Start]])&gt;0,Tasks[[#This Row],[Baseline Start]],Tasks[[#This Row],[_CalcStart]]))</f>
        <v>46289</v>
      </c>
      <c r="Q13" s="25" t="n">
        <f aca="false">IF(Tasks[[#This Row],[Task Name]]="","",IF(N(Tasks[[#This Row],[Baseline Finish]])&gt;0,Tasks[[#This Row],[Baseline Finish]],Tasks[[#This Row],[_CalcFinish]]))</f>
        <v>46296</v>
      </c>
      <c r="R13" s="72" t="n">
        <v>46293</v>
      </c>
      <c r="S13" s="72" t="n">
        <v>46301</v>
      </c>
      <c r="T13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46293</v>
      </c>
      <c r="U13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46301</v>
      </c>
      <c r="V13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2</v>
      </c>
      <c r="W13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3</v>
      </c>
      <c r="X13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46296</v>
      </c>
      <c r="Y13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46303</v>
      </c>
      <c r="Z13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2</v>
      </c>
      <c r="AA13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1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3" s="74" t="n">
        <v>1</v>
      </c>
      <c r="AF13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1</v>
      </c>
      <c r="AG1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Complete</v>
      </c>
      <c r="AH13" s="30" t="s">
        <v>475</v>
      </c>
      <c r="AI13" s="74"/>
      <c r="AJ13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48</v>
      </c>
      <c r="AK13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3600</v>
      </c>
      <c r="AL13" s="83"/>
      <c r="AM13" s="29"/>
      <c r="AN1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2</v>
      </c>
      <c r="AO13" s="84" t="n">
        <v>5</v>
      </c>
      <c r="AP13" s="24" t="str">
        <f aca="false">IF(Tasks[[#This Row],[Task Name]]="","",Tasks[[#This Row],[_Pred1IDText]]&amp;IF(AND(Tasks[[#This Row],[_Pred1IDText]]&lt;&gt;"",Tasks[[#This Row],[_Pred2IDText]]&lt;&gt;""),",","")&amp;Tasks[[#This Row],[_Pred2IDText]])</f>
        <v>6</v>
      </c>
      <c r="AQ13" s="30"/>
      <c r="AR13" s="25" t="n">
        <f aca="false">IF(Tasks[[#This Row],[Task Name]]="","",Tasks[[#This Row],[Forecast Start]])</f>
        <v>46293</v>
      </c>
      <c r="AS13" s="25" t="n">
        <f aca="false">IF(Tasks[[#This Row],[Task Name]]="","",Tasks[[#This Row],[Forecast Finish]])</f>
        <v>46301</v>
      </c>
      <c r="AT13" s="28" t="n">
        <f aca="false">IF(Tasks[[#This Row],[Task Name]]="","",IF(Tasks[[#This Row],[_IsSummary]],NETWORKDAYS.INTL(Tasks[[#This Row],[Forecast Start]],Tasks[[#This Row],[Forecast Finish]],WorkWeek,Holidays),N(Tasks[[#This Row],[Duration]])))</f>
        <v>6</v>
      </c>
      <c r="AU13" s="81" t="n">
        <f aca="false">IF(Tasks[[#This Row],[Task Name]]="","",Tasks[[#This Row],[Work]])</f>
        <v>48</v>
      </c>
      <c r="AV13" s="82" t="n">
        <f aca="false">IF(Tasks[[#This Row],[Task Name]]="","",Tasks[[#This Row],[Cost]])</f>
        <v>3600</v>
      </c>
      <c r="AW13" s="72"/>
      <c r="AX13" s="72"/>
      <c r="AY13" s="29"/>
      <c r="AZ13" s="85"/>
      <c r="BA13" s="83"/>
      <c r="BB13" s="28" t="str">
        <f aca="false">IF(OR(Tasks[[#This Row],[Task Name]]="",Tasks[[#This Row],[Baseline Duration]]=""),"",Tasks[[#This Row],[BL Source Duration]]-N(Tasks[[#This Row],[Baseline Duration]]))</f>
        <v/>
      </c>
      <c r="BC13" s="81" t="str">
        <f aca="false">IF(OR(Tasks[[#This Row],[Task Name]]="",Tasks[[#This Row],[Baseline Work]]=""),"",Tasks[[#This Row],[Work]]-N(Tasks[[#This Row],[Baseline Work]]))</f>
        <v/>
      </c>
      <c r="BD13" s="82" t="str">
        <f aca="false">IF(OR(Tasks[[#This Row],[Task Name]]="",Tasks[[#This Row],[Baseline Cost]]=""),"",Tasks[[#This Row],[Cost]]-N(Tasks[[#This Row],[Baseline Cost]]))</f>
        <v/>
      </c>
      <c r="BE13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3600</v>
      </c>
      <c r="BF13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3600</v>
      </c>
      <c r="BG13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3600</v>
      </c>
      <c r="BH13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3600</v>
      </c>
      <c r="BI13" s="43" t="n">
        <f aca="false">IF(Tasks[[#This Row],[Task Name]]="","",MAX(1,N(Tasks[[#This Row],[Level]])))</f>
        <v>2</v>
      </c>
      <c r="BJ13" s="43" t="n">
        <f aca="false">ROW()-ROW(Tasks[[#Headers],[ID]])</f>
        <v>8</v>
      </c>
      <c r="BK1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10</v>
      </c>
      <c r="BL13" s="43" t="n">
        <f aca="false">IFERROR(N(INDEX(Tasks[_Level],Tasks[[#This Row],[_Row]]+1)),0)</f>
        <v>2</v>
      </c>
      <c r="BM13" s="86" t="b">
        <f aca="false">AND(Tasks[[#This Row],[Task Name]]&lt;&gt;"",Tasks[[#This Row],[_NextLevel]]&gt;Tasks[[#This Row],[_Level]])</f>
        <v>0</v>
      </c>
      <c r="BN13" s="43" t="n">
        <f aca="false">IF(Tasks[[#This Row],[_IsSummary]],COUNTIF(Tasks[WBS],Tasks[[#This Row],[WBS]]&amp;".*"),0)</f>
        <v>0</v>
      </c>
      <c r="BO13" s="43" t="n">
        <f aca="false">IF(AND(Tasks[[#This Row],[Task Name]]&lt;&gt;"",NOT(Tasks[[#This Row],[_IsSummary]])),1,0)</f>
        <v>1</v>
      </c>
      <c r="BP13" s="43" t="n">
        <f aca="false">IF(N(Tasks[[#This Row],[Pred1 UID]])=0,0,IFERROR(MATCH(Tasks[[#This Row],[Pred1 UID]],Tasks[UID],0),-1))</f>
        <v>6</v>
      </c>
      <c r="BQ13" s="43" t="n">
        <f aca="false">IF(N(Tasks[[#This Row],[Pred2 UID]])=0,0,IFERROR(MATCH(Tasks[[#This Row],[Pred2 UID]],Tasks[UID],0),-1))</f>
        <v>0</v>
      </c>
      <c r="BR13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46289</v>
      </c>
      <c r="BS13" s="87" t="n">
        <f aca="false">IF(NOT(Tasks[[#This Row],[_IsLeaf]]=1),"",IF(N(Tasks[[#This Row],[Duration]])&lt;=0,Tasks[[#This Row],[_LeafCalcStart]],WORKDAY.INTL(Tasks[[#This Row],[_LeafCalcStart]],Tasks[[#This Row],[Duration]]-1,WorkWeek,Holidays)))</f>
        <v>46296</v>
      </c>
      <c r="BT13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46293</v>
      </c>
      <c r="BU13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46301</v>
      </c>
      <c r="BV13" s="43" t="n">
        <f aca="false">IF(NOT(Tasks[[#This Row],[_IsLeaf]]=1),0,IF(N(Tasks[[#This Row],[Actual Finish]])&gt;0,1,MIN(1,N(Tasks[[#This Row],[% Complete]]))))</f>
        <v>1</v>
      </c>
      <c r="BW13" s="43" t="n">
        <f aca="false">IF(OR(NOT(Tasks[[#This Row],[_IsLeaf]]=1),Tasks[[#This Row],[Resource]]=""),0,N(Tasks[[#This Row],[Duration]])*HoursPerDay*IF(Tasks[[#This Row],[Units]]="",DefaultUnits,Tasks[[#This Row],[Units]]))</f>
        <v>48</v>
      </c>
      <c r="BX13" s="43" t="n">
        <f aca="false">IF(Tasks[[#This Row],[_LeafWork]]=0,0,Tasks[[#This Row],[_LeafWork]]*IFERROR(INDEX(res_Rate,MATCH(Tasks[[#This Row],[Resource]],res_Name,0)),0))</f>
        <v>3600</v>
      </c>
      <c r="BY13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2912170</v>
      </c>
      <c r="BZ1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3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1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3" s="43" t="n">
        <f aca="false">IF(NOT(Tasks[[#This Row],[_IsLeaf]]=1),0,MAX(_xlfn.MAXIFS(Tasks[_Row],Tasks[Pred1 UID],Tasks[[#This Row],[UID]]),_xlfn.MAXIFS(Tasks[_Row],Tasks[Pred2 UID],Tasks[[#This Row],[UID]])))</f>
        <v>9</v>
      </c>
      <c r="CD13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46303</v>
      </c>
      <c r="CE13" s="87" t="n">
        <f aca="false">IF(NOT(Tasks[[#This Row],[_IsLeaf]]=1),"",MIN(ProjectFinish,IF(N(Tasks[[#This Row],[Deadline]])&gt;0,Tasks[[#This Row],[Deadline]],2958465),Tasks[[#This Row],[_SuccessorFinishLimit]]))</f>
        <v>46303</v>
      </c>
      <c r="CF13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46296</v>
      </c>
      <c r="CG13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2</v>
      </c>
      <c r="CH13" s="86" t="b">
        <f aca="false">AND(Tasks[[#This Row],[_IsLeaf]]=1,Tasks[[#This Row],[_LeafProgress]]&lt;1,N(Tasks[[#This Row],[_LeafTotalSlack]])&lt;=CriticalSlackDays)</f>
        <v>0</v>
      </c>
      <c r="CI13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46289</v>
      </c>
      <c r="CJ13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46296</v>
      </c>
      <c r="CK1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46289</v>
      </c>
      <c r="CN1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46293</v>
      </c>
      <c r="CP1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3" s="43" t="n">
        <f aca="false">IF(AND(Tasks[[#This Row],[_IsLeaf]]=1,Tasks[[#This Row],[_LeafWork]]&gt;0),NETWORKDAYS.INTL(ProjectStart,Tasks[[#This Row],[_LeafFcstStart]],WorkWeek,Holidays),0)</f>
        <v>16</v>
      </c>
      <c r="CR13" s="43" t="n">
        <f aca="false">IF(AND(Tasks[[#This Row],[_IsLeaf]]=1,Tasks[[#This Row],[_LeafWork]]&gt;0),MAX(Tasks[[#This Row],[_StartWorkday]],NETWORKDAYS.INTL(ProjectStart,Tasks[[#This Row],[_LeafFcstFinish]],WorkWeek,Holidays)),0)</f>
        <v>22</v>
      </c>
      <c r="CS13" s="43" t="n">
        <f aca="false">IF(AND(Tasks[[#This Row],[_IsLeaf]]=1,Tasks[[#This Row],[_LeafWork]]&gt;0),Tasks[[#This Row],[_LeafWork]]/(Tasks[[#This Row],[_FinishWorkday]]-Tasks[[#This Row],[_StartWorkday]]+1),0)</f>
        <v>6.85714285714286</v>
      </c>
      <c r="CT13" s="43" t="n">
        <f aca="false">Tasks[[#This Row],[_WorkPerWorkday]]*(Tasks[[#This Row],[_StartWorkday]]-1)</f>
        <v>102.857142857143</v>
      </c>
      <c r="CU13" s="43" t="n">
        <f aca="false">IF(Tasks[[#This Row],[_IsLeaf]]=1,MAX(N(Tasks[[#This Row],[Duration]]),0.1),0)</f>
        <v>6</v>
      </c>
      <c r="CV13" s="43" t="n">
        <f aca="false">Tasks[[#This Row],[_WeightDur]]*Tasks[[#This Row],[_LeafProgress]]</f>
        <v>6</v>
      </c>
      <c r="CW1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6</v>
      </c>
      <c r="CX1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6</v>
      </c>
      <c r="CZ1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6</v>
      </c>
      <c r="DB13" s="43" t="str">
        <f aca="false">IF(AND(Tasks[[#This Row],[_IsLeaf]]=1,N(Tasks[[#This Row],[Duration]])=0,Tasks[[#This Row],[_LeafProgress]]&lt;1),Tasks[[#This Row],[_LeafFcstFinish]]+Tasks[[#This Row],[_Row]]/100000,"")</f>
        <v/>
      </c>
      <c r="DC1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1</v>
      </c>
      <c r="DD13" s="43" t="n">
        <f aca="false">IF(NOT(Tasks[[#This Row],[_IsLeaf]]=1),0,IF(Tasks[[#This Row],[Baseline Cost]]="",Tasks[[#This Row],[_LeafCost]],N(Tasks[[#This Row],[Baseline Cost]])))</f>
        <v>3600</v>
      </c>
      <c r="DE13" s="43" t="n">
        <f aca="false">Tasks[[#This Row],[_LeafBudget]]*Tasks[[#This Row],[_PlannedPct]]</f>
        <v>3600</v>
      </c>
      <c r="DF13" s="43" t="n">
        <f aca="false">Tasks[[#This Row],[_LeafBudget]]*Tasks[[#This Row],[_LeafProgress]]</f>
        <v>3600</v>
      </c>
      <c r="DG13" s="43" t="n">
        <f aca="false">IF(NOT(Tasks[[#This Row],[_IsLeaf]]=1),0,IF(Tasks[[#This Row],[Actual Cost]]="",Tasks[[#This Row],[_LeafCost]]*Tasks[[#This Row],[_LeafProgress]],N(Tasks[[#This Row],[Actual Cost]])))</f>
        <v>3600</v>
      </c>
      <c r="DH13" s="43" t="str">
        <f aca="false">IF(Tasks[[#This Row],[Task Name]]="","",LEFT(Tasks[[#This Row],[WBS]],FIND(".",Tasks[[#This Row],[WBS]]&amp;".")-1))</f>
        <v>2</v>
      </c>
      <c r="DI13" s="43" t="str">
        <f aca="false">IF(AND(Tasks[[#This Row],[Task Name]]&lt;&gt;"",Tasks[[#This Row],[_Level]]=1),Tasks[[#This Row],[_Row]],"")</f>
        <v/>
      </c>
      <c r="DJ13" s="43" t="str">
        <f aca="false">IF(AND(Tasks[[#This Row],[_IsLeaf]]=1,N(Tasks[[#This Row],[Duration]])=0),Tasks[[#This Row],[Planned Finish]]+Tasks[[#This Row],[_Row]]/100000,"")</f>
        <v/>
      </c>
      <c r="DK1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3" s="43" t="str">
        <f aca="false">IF(Tasks[[#This Row],[_LeafCritical]],Tasks[[#This Row],[_LeafFcstStart]]+Tasks[[#This Row],[_Row]]/100000,"")</f>
        <v/>
      </c>
      <c r="DO13" s="43" t="n">
        <f aca="false">Tasks[[#This Row],[_LeafWork]]*Tasks[[#This Row],[_LeafProgress]]</f>
        <v>48</v>
      </c>
      <c r="DP13" s="87" t="n">
        <f aca="false">IF(AND(Tasks[[#This Row],[_IsLeaf]]=1,Tasks[[#This Row],[_LeafProgress]]&gt;=1),IF(N(Tasks[[#This Row],[Actual Finish]])&gt;0,Tasks[[#This Row],[Actual Finish]],Tasks[[#This Row],[_LeafFcstFinish]]),"")</f>
        <v>46301</v>
      </c>
      <c r="DQ13" s="43" t="n">
        <f aca="false">IF(Tasks[[#This Row],[_IsLeaf]]=1,N(Tasks[[#This Row],[Story Points]]),0)</f>
        <v>5</v>
      </c>
      <c r="DR13" s="43" t="str">
        <f aca="false">IF(AND(Tasks[[#This Row],[_IsLeaf]]=1,CurrentSprint&lt;&gt;"",Tasks[[#This Row],[Sprint]]=CurrentSprint),Tasks[[#This Row],[_Row]],"")</f>
        <v/>
      </c>
    </row>
    <row r="14" customFormat="false" ht="15" hidden="false" customHeight="false" outlineLevel="0" collapsed="false">
      <c r="A14" s="28" t="n">
        <f aca="false">IF(Tasks[[#This Row],[Task Name]]="","",COUNTA(Tasks[[#Headers],[Task Name]]:Tasks[[#This Row],[Task Name]])-1)</f>
        <v>9</v>
      </c>
      <c r="B14" s="29" t="n">
        <v>9</v>
      </c>
      <c r="C1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2.4</v>
      </c>
      <c r="D14" s="29" t="n">
        <v>2</v>
      </c>
      <c r="E14" s="30" t="s">
        <v>476</v>
      </c>
      <c r="F14" s="29" t="s">
        <v>459</v>
      </c>
      <c r="G14" s="29" t="n">
        <v>0</v>
      </c>
      <c r="H14" s="29" t="n">
        <v>7</v>
      </c>
      <c r="I14" s="29" t="s">
        <v>464</v>
      </c>
      <c r="J14" s="29"/>
      <c r="K14" s="29" t="n">
        <v>8</v>
      </c>
      <c r="L14" s="29" t="s">
        <v>464</v>
      </c>
      <c r="M14" s="29"/>
      <c r="N14" s="72"/>
      <c r="O14" s="72"/>
      <c r="P14" s="25" t="n">
        <f aca="false">IF(Tasks[[#This Row],[Task Name]]="","",IF(N(Tasks[[#This Row],[Baseline Start]])&gt;0,Tasks[[#This Row],[Baseline Start]],Tasks[[#This Row],[_CalcStart]]))</f>
        <v>46296</v>
      </c>
      <c r="Q14" s="25" t="n">
        <f aca="false">IF(Tasks[[#This Row],[Task Name]]="","",IF(N(Tasks[[#This Row],[Baseline Finish]])&gt;0,Tasks[[#This Row],[Baseline Finish]],Tasks[[#This Row],[_CalcFinish]]))</f>
        <v>46296</v>
      </c>
      <c r="R14" s="72" t="n">
        <v>46301</v>
      </c>
      <c r="S14" s="72" t="n">
        <v>46301</v>
      </c>
      <c r="T14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46301</v>
      </c>
      <c r="U14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46301</v>
      </c>
      <c r="V14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3</v>
      </c>
      <c r="W14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3</v>
      </c>
      <c r="X14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46303</v>
      </c>
      <c r="Y14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46303</v>
      </c>
      <c r="Z14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2</v>
      </c>
      <c r="AA14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1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4" s="74" t="n">
        <v>1</v>
      </c>
      <c r="AF14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1</v>
      </c>
      <c r="AG1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Complete</v>
      </c>
      <c r="AH14" s="30"/>
      <c r="AI14" s="74"/>
      <c r="AJ14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0</v>
      </c>
      <c r="AK14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0</v>
      </c>
      <c r="AL14" s="83"/>
      <c r="AM14" s="29"/>
      <c r="AN1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3</v>
      </c>
      <c r="AO14" s="84"/>
      <c r="AP14" s="24" t="str">
        <f aca="false">IF(Tasks[[#This Row],[Task Name]]="","",Tasks[[#This Row],[_Pred1IDText]]&amp;IF(AND(Tasks[[#This Row],[_Pred1IDText]]&lt;&gt;"",Tasks[[#This Row],[_Pred2IDText]]&lt;&gt;""),",","")&amp;Tasks[[#This Row],[_Pred2IDText]])</f>
        <v>7,8</v>
      </c>
      <c r="AQ14" s="30" t="s">
        <v>477</v>
      </c>
      <c r="AR14" s="25" t="n">
        <f aca="false">IF(Tasks[[#This Row],[Task Name]]="","",Tasks[[#This Row],[Forecast Start]])</f>
        <v>46301</v>
      </c>
      <c r="AS14" s="25" t="n">
        <f aca="false">IF(Tasks[[#This Row],[Task Name]]="","",Tasks[[#This Row],[Forecast Finish]])</f>
        <v>46301</v>
      </c>
      <c r="AT14" s="28" t="n">
        <f aca="false">IF(Tasks[[#This Row],[Task Name]]="","",IF(Tasks[[#This Row],[_IsSummary]],NETWORKDAYS.INTL(Tasks[[#This Row],[Forecast Start]],Tasks[[#This Row],[Forecast Finish]],WorkWeek,Holidays),N(Tasks[[#This Row],[Duration]])))</f>
        <v>0</v>
      </c>
      <c r="AU14" s="81" t="n">
        <f aca="false">IF(Tasks[[#This Row],[Task Name]]="","",Tasks[[#This Row],[Work]])</f>
        <v>0</v>
      </c>
      <c r="AV14" s="82" t="n">
        <f aca="false">IF(Tasks[[#This Row],[Task Name]]="","",Tasks[[#This Row],[Cost]])</f>
        <v>0</v>
      </c>
      <c r="AW14" s="72"/>
      <c r="AX14" s="72"/>
      <c r="AY14" s="29"/>
      <c r="AZ14" s="85"/>
      <c r="BA14" s="83"/>
      <c r="BB14" s="28" t="str">
        <f aca="false">IF(OR(Tasks[[#This Row],[Task Name]]="",Tasks[[#This Row],[Baseline Duration]]=""),"",Tasks[[#This Row],[BL Source Duration]]-N(Tasks[[#This Row],[Baseline Duration]]))</f>
        <v/>
      </c>
      <c r="BC14" s="81" t="str">
        <f aca="false">IF(OR(Tasks[[#This Row],[Task Name]]="",Tasks[[#This Row],[Baseline Work]]=""),"",Tasks[[#This Row],[Work]]-N(Tasks[[#This Row],[Baseline Work]]))</f>
        <v/>
      </c>
      <c r="BD14" s="82" t="str">
        <f aca="false">IF(OR(Tasks[[#This Row],[Task Name]]="",Tasks[[#This Row],[Baseline Cost]]=""),"",Tasks[[#This Row],[Cost]]-N(Tasks[[#This Row],[Baseline Cost]]))</f>
        <v/>
      </c>
      <c r="BE14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0</v>
      </c>
      <c r="BF14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14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14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14" s="43" t="n">
        <f aca="false">IF(Tasks[[#This Row],[Task Name]]="","",MAX(1,N(Tasks[[#This Row],[Level]])))</f>
        <v>2</v>
      </c>
      <c r="BJ14" s="43" t="n">
        <f aca="false">ROW()-ROW(Tasks[[#Headers],[ID]])</f>
        <v>9</v>
      </c>
      <c r="BK1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10</v>
      </c>
      <c r="BL14" s="43" t="n">
        <f aca="false">IFERROR(N(INDEX(Tasks[_Level],Tasks[[#This Row],[_Row]]+1)),0)</f>
        <v>1</v>
      </c>
      <c r="BM14" s="86" t="b">
        <f aca="false">AND(Tasks[[#This Row],[Task Name]]&lt;&gt;"",Tasks[[#This Row],[_NextLevel]]&gt;Tasks[[#This Row],[_Level]])</f>
        <v>0</v>
      </c>
      <c r="BN14" s="43" t="n">
        <f aca="false">IF(Tasks[[#This Row],[_IsSummary]],COUNTIF(Tasks[WBS],Tasks[[#This Row],[WBS]]&amp;".*"),0)</f>
        <v>0</v>
      </c>
      <c r="BO14" s="43" t="n">
        <f aca="false">IF(AND(Tasks[[#This Row],[Task Name]]&lt;&gt;"",NOT(Tasks[[#This Row],[_IsSummary]])),1,0)</f>
        <v>1</v>
      </c>
      <c r="BP14" s="43" t="n">
        <f aca="false">IF(N(Tasks[[#This Row],[Pred1 UID]])=0,0,IFERROR(MATCH(Tasks[[#This Row],[Pred1 UID]],Tasks[UID],0),-1))</f>
        <v>7</v>
      </c>
      <c r="BQ14" s="43" t="n">
        <f aca="false">IF(N(Tasks[[#This Row],[Pred2 UID]])=0,0,IFERROR(MATCH(Tasks[[#This Row],[Pred2 UID]],Tasks[UID],0),-1))</f>
        <v>8</v>
      </c>
      <c r="BR14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46296</v>
      </c>
      <c r="BS14" s="87" t="n">
        <f aca="false">IF(NOT(Tasks[[#This Row],[_IsLeaf]]=1),"",IF(N(Tasks[[#This Row],[Duration]])&lt;=0,Tasks[[#This Row],[_LeafCalcStart]],WORKDAY.INTL(Tasks[[#This Row],[_LeafCalcStart]],Tasks[[#This Row],[Duration]]-1,WorkWeek,Holidays)))</f>
        <v>46296</v>
      </c>
      <c r="BT14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46301</v>
      </c>
      <c r="BU14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46301</v>
      </c>
      <c r="BV14" s="43" t="n">
        <f aca="false">IF(NOT(Tasks[[#This Row],[_IsLeaf]]=1),0,IF(N(Tasks[[#This Row],[Actual Finish]])&gt;0,1,MIN(1,N(Tasks[[#This Row],[% Complete]]))))</f>
        <v>1</v>
      </c>
      <c r="BW1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4" s="43" t="n">
        <f aca="false">IF(Tasks[[#This Row],[_LeafWork]]=0,0,Tasks[[#This Row],[_LeafWork]]*IFERROR(INDEX(res_Rate,MATCH(Tasks[[#This Row],[Resource]],res_Name,0)),0))</f>
        <v>0</v>
      </c>
      <c r="BY14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2912162</v>
      </c>
      <c r="BZ14" s="88" t="n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>2912162</v>
      </c>
      <c r="CA14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99993</v>
      </c>
      <c r="CB14" s="43" t="n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>100000</v>
      </c>
      <c r="CC14" s="43" t="n">
        <f aca="false">IF(NOT(Tasks[[#This Row],[_IsLeaf]]=1),0,MAX(_xlfn.MAXIFS(Tasks[_Row],Tasks[Pred1 UID],Tasks[[#This Row],[UID]]),_xlfn.MAXIFS(Tasks[_Row],Tasks[Pred2 UID],Tasks[[#This Row],[UID]])))</f>
        <v>16</v>
      </c>
      <c r="CD14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46303</v>
      </c>
      <c r="CE14" s="87" t="n">
        <f aca="false">IF(NOT(Tasks[[#This Row],[_IsLeaf]]=1),"",MIN(ProjectFinish,IF(N(Tasks[[#This Row],[Deadline]])&gt;0,Tasks[[#This Row],[Deadline]],2958465),Tasks[[#This Row],[_SuccessorFinishLimit]]))</f>
        <v>46303</v>
      </c>
      <c r="CF14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46303</v>
      </c>
      <c r="CG14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2</v>
      </c>
      <c r="CH14" s="86" t="b">
        <f aca="false">AND(Tasks[[#This Row],[_IsLeaf]]=1,Tasks[[#This Row],[_LeafProgress]]&lt;1,N(Tasks[[#This Row],[_LeafTotalSlack]])&lt;=CriticalSlackDays)</f>
        <v>0</v>
      </c>
      <c r="CI14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46296</v>
      </c>
      <c r="CJ14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46296</v>
      </c>
      <c r="CK1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46288</v>
      </c>
      <c r="CN1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46296</v>
      </c>
      <c r="CO1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46290</v>
      </c>
      <c r="CP1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46301</v>
      </c>
      <c r="CQ14" s="43" t="n">
        <f aca="false">IF(AND(Tasks[[#This Row],[_IsLeaf]]=1,Tasks[[#This Row],[_LeafWork]]&gt;0),NETWORKDAYS.INTL(ProjectStart,Tasks[[#This Row],[_LeafFcstStart]],WorkWeek,Holidays),0)</f>
        <v>0</v>
      </c>
      <c r="CR1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4" s="43" t="n">
        <f aca="false">IF(AND(Tasks[[#This Row],[_IsLeaf]]=1,Tasks[[#This Row],[_LeafWork]]&gt;0),Tasks[[#This Row],[_LeafWork]]/(Tasks[[#This Row],[_FinishWorkday]]-Tasks[[#This Row],[_StartWorkday]]+1),0)</f>
        <v>0</v>
      </c>
      <c r="CT14" s="43" t="n">
        <f aca="false">Tasks[[#This Row],[_WorkPerWorkday]]*(Tasks[[#This Row],[_StartWorkday]]-1)</f>
        <v>-0</v>
      </c>
      <c r="CU14" s="43" t="n">
        <f aca="false">IF(Tasks[[#This Row],[_IsLeaf]]=1,MAX(N(Tasks[[#This Row],[Duration]]),0.1),0)</f>
        <v>0.1</v>
      </c>
      <c r="CV14" s="43" t="n">
        <f aca="false">Tasks[[#This Row],[_WeightDur]]*Tasks[[#This Row],[_LeafProgress]]</f>
        <v>0.1</v>
      </c>
      <c r="CW1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7</v>
      </c>
      <c r="CX1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>8</v>
      </c>
      <c r="CY1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7</v>
      </c>
      <c r="CZ1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>8</v>
      </c>
      <c r="DA1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7,8</v>
      </c>
      <c r="DB14" s="43" t="str">
        <f aca="false">IF(AND(Tasks[[#This Row],[_IsLeaf]]=1,N(Tasks[[#This Row],[Duration]])=0,Tasks[[#This Row],[_LeafProgress]]&lt;1),Tasks[[#This Row],[_LeafFcstFinish]]+Tasks[[#This Row],[_Row]]/100000,"")</f>
        <v/>
      </c>
      <c r="DC1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1</v>
      </c>
      <c r="DD14" s="43" t="n">
        <f aca="false">IF(NOT(Tasks[[#This Row],[_IsLeaf]]=1),0,IF(Tasks[[#This Row],[Baseline Cost]]="",Tasks[[#This Row],[_LeafCost]],N(Tasks[[#This Row],[Baseline Cost]])))</f>
        <v>0</v>
      </c>
      <c r="DE14" s="43" t="n">
        <f aca="false">Tasks[[#This Row],[_LeafBudget]]*Tasks[[#This Row],[_PlannedPct]]</f>
        <v>0</v>
      </c>
      <c r="DF14" s="43" t="n">
        <f aca="false">Tasks[[#This Row],[_LeafBudget]]*Tasks[[#This Row],[_LeafProgress]]</f>
        <v>0</v>
      </c>
      <c r="DG14" s="43" t="n">
        <f aca="false">IF(NOT(Tasks[[#This Row],[_IsLeaf]]=1),0,IF(Tasks[[#This Row],[Actual Cost]]="",Tasks[[#This Row],[_LeafCost]]*Tasks[[#This Row],[_LeafProgress]],N(Tasks[[#This Row],[Actual Cost]])))</f>
        <v>0</v>
      </c>
      <c r="DH14" s="43" t="str">
        <f aca="false">IF(Tasks[[#This Row],[Task Name]]="","",LEFT(Tasks[[#This Row],[WBS]],FIND(".",Tasks[[#This Row],[WBS]]&amp;".")-1))</f>
        <v>2</v>
      </c>
      <c r="DI14" s="43" t="str">
        <f aca="false">IF(AND(Tasks[[#This Row],[Task Name]]&lt;&gt;"",Tasks[[#This Row],[_Level]]=1),Tasks[[#This Row],[_Row]],"")</f>
        <v/>
      </c>
      <c r="DJ14" s="88" t="n">
        <f aca="false">IF(AND(Tasks[[#This Row],[_IsLeaf]]=1,N(Tasks[[#This Row],[Duration]])=0),Tasks[[#This Row],[Planned Finish]]+Tasks[[#This Row],[_Row]]/100000,"")</f>
        <v>46296.00009</v>
      </c>
      <c r="DK1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4" s="43" t="str">
        <f aca="false">IF(Tasks[[#This Row],[_LeafCritical]],Tasks[[#This Row],[_LeafFcstStart]]+Tasks[[#This Row],[_Row]]/100000,"")</f>
        <v/>
      </c>
      <c r="DO14" s="43" t="n">
        <f aca="false">Tasks[[#This Row],[_LeafWork]]*Tasks[[#This Row],[_LeafProgress]]</f>
        <v>0</v>
      </c>
      <c r="DP14" s="87" t="n">
        <f aca="false">IF(AND(Tasks[[#This Row],[_IsLeaf]]=1,Tasks[[#This Row],[_LeafProgress]]&gt;=1),IF(N(Tasks[[#This Row],[Actual Finish]])&gt;0,Tasks[[#This Row],[Actual Finish]],Tasks[[#This Row],[_LeafFcstFinish]]),"")</f>
        <v>46301</v>
      </c>
      <c r="DQ14" s="43" t="n">
        <f aca="false">IF(Tasks[[#This Row],[_IsLeaf]]=1,N(Tasks[[#This Row],[Story Points]]),0)</f>
        <v>0</v>
      </c>
      <c r="DR14" s="43" t="str">
        <f aca="false">IF(AND(Tasks[[#This Row],[_IsLeaf]]=1,CurrentSprint&lt;&gt;"",Tasks[[#This Row],[Sprint]]=CurrentSprint),Tasks[[#This Row],[_Row]],"")</f>
        <v/>
      </c>
    </row>
    <row r="15" customFormat="false" ht="15" hidden="false" customHeight="false" outlineLevel="0" collapsed="false">
      <c r="A15" s="28" t="n">
        <f aca="false">IF(Tasks[[#This Row],[Task Name]]="","",COUNTA(Tasks[[#Headers],[Task Name]]:Tasks[[#This Row],[Task Name]])-1)</f>
        <v>10</v>
      </c>
      <c r="B15" s="29" t="n">
        <v>10</v>
      </c>
      <c r="C1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3</v>
      </c>
      <c r="D15" s="29" t="n">
        <v>1</v>
      </c>
      <c r="E15" s="30" t="s">
        <v>478</v>
      </c>
      <c r="F15" s="29" t="s">
        <v>459</v>
      </c>
      <c r="G15" s="29"/>
      <c r="H15" s="29"/>
      <c r="I15" s="29"/>
      <c r="J15" s="29"/>
      <c r="K15" s="29"/>
      <c r="L15" s="29"/>
      <c r="M15" s="29"/>
      <c r="N15" s="72"/>
      <c r="O15" s="72"/>
      <c r="P15" s="25" t="n">
        <f aca="false">IF(Tasks[[#This Row],[Task Name]]="","",IF(N(Tasks[[#This Row],[Baseline Start]])&gt;0,Tasks[[#This Row],[Baseline Start]],Tasks[[#This Row],[_CalcStart]]))</f>
        <v>46297</v>
      </c>
      <c r="Q15" s="25" t="n">
        <f aca="false">IF(Tasks[[#This Row],[Task Name]]="","",IF(N(Tasks[[#This Row],[Baseline Finish]])&gt;0,Tasks[[#This Row],[Baseline Finish]],Tasks[[#This Row],[_CalcFinish]]))</f>
        <v>46325</v>
      </c>
      <c r="R15" s="72"/>
      <c r="S15" s="72"/>
      <c r="T15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46302</v>
      </c>
      <c r="U15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46335</v>
      </c>
      <c r="V15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3</v>
      </c>
      <c r="W15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6</v>
      </c>
      <c r="X15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46304</v>
      </c>
      <c r="Y15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46332</v>
      </c>
      <c r="Z15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-1</v>
      </c>
      <c r="AA1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1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5" s="74"/>
      <c r="AF15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0.451306413301663</v>
      </c>
      <c r="AG1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Behind</v>
      </c>
      <c r="AH15" s="30"/>
      <c r="AI15" s="74"/>
      <c r="AJ15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324</v>
      </c>
      <c r="AK15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26700</v>
      </c>
      <c r="AL15" s="83"/>
      <c r="AM15" s="29"/>
      <c r="AN1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5" s="84"/>
      <c r="AP1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5" s="30"/>
      <c r="AR15" s="25" t="n">
        <f aca="false">IF(Tasks[[#This Row],[Task Name]]="","",Tasks[[#This Row],[Forecast Start]])</f>
        <v>46302</v>
      </c>
      <c r="AS15" s="25" t="n">
        <f aca="false">IF(Tasks[[#This Row],[Task Name]]="","",Tasks[[#This Row],[Forecast Finish]])</f>
        <v>46335</v>
      </c>
      <c r="AT15" s="28" t="n">
        <f aca="false">IF(Tasks[[#This Row],[Task Name]]="","",IF(Tasks[[#This Row],[_IsSummary]],NETWORKDAYS.INTL(Tasks[[#This Row],[Forecast Start]],Tasks[[#This Row],[Forecast Finish]],WorkWeek,Holidays),N(Tasks[[#This Row],[Duration]])))</f>
        <v>24</v>
      </c>
      <c r="AU15" s="81" t="n">
        <f aca="false">IF(Tasks[[#This Row],[Task Name]]="","",Tasks[[#This Row],[Work]])</f>
        <v>324</v>
      </c>
      <c r="AV15" s="82" t="n">
        <f aca="false">IF(Tasks[[#This Row],[Task Name]]="","",Tasks[[#This Row],[Cost]])</f>
        <v>26700</v>
      </c>
      <c r="AW15" s="72"/>
      <c r="AX15" s="72"/>
      <c r="AY15" s="29"/>
      <c r="AZ15" s="85"/>
      <c r="BA15" s="83"/>
      <c r="BB15" s="28" t="str">
        <f aca="false">IF(OR(Tasks[[#This Row],[Task Name]]="",Tasks[[#This Row],[Baseline Duration]]=""),"",Tasks[[#This Row],[BL Source Duration]]-N(Tasks[[#This Row],[Baseline Duration]]))</f>
        <v/>
      </c>
      <c r="BC15" s="81" t="str">
        <f aca="false">IF(OR(Tasks[[#This Row],[Task Name]]="",Tasks[[#This Row],[Baseline Work]]=""),"",Tasks[[#This Row],[Work]]-N(Tasks[[#This Row],[Baseline Work]]))</f>
        <v/>
      </c>
      <c r="BD15" s="82" t="str">
        <f aca="false">IF(OR(Tasks[[#This Row],[Task Name]]="",Tasks[[#This Row],[Baseline Cost]]=""),"",Tasks[[#This Row],[Cost]]-N(Tasks[[#This Row],[Baseline Cost]]))</f>
        <v/>
      </c>
      <c r="BE15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26700</v>
      </c>
      <c r="BF15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20480</v>
      </c>
      <c r="BG15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12560</v>
      </c>
      <c r="BH15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13240</v>
      </c>
      <c r="BI15" s="43" t="n">
        <f aca="false">IF(Tasks[[#This Row],[Task Name]]="","",MAX(1,N(Tasks[[#This Row],[Level]])))</f>
        <v>1</v>
      </c>
      <c r="BJ15" s="43" t="n">
        <f aca="false">ROW()-ROW(Tasks[[#Headers],[ID]])</f>
        <v>10</v>
      </c>
      <c r="BK1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5" s="43" t="n">
        <f aca="false">IFERROR(N(INDEX(Tasks[_Level],Tasks[[#This Row],[_Row]]+1)),0)</f>
        <v>2</v>
      </c>
      <c r="BM15" s="86" t="b">
        <f aca="false">AND(Tasks[[#This Row],[Task Name]]&lt;&gt;"",Tasks[[#This Row],[_NextLevel]]&gt;Tasks[[#This Row],[_Level]])</f>
        <v>1</v>
      </c>
      <c r="BN15" s="43" t="n">
        <f aca="false">IF(Tasks[[#This Row],[_IsSummary]],COUNTIF(Tasks[WBS],Tasks[[#This Row],[WBS]]&amp;".*"),0)</f>
        <v>9</v>
      </c>
      <c r="BO15" s="43" t="n">
        <f aca="false">IF(AND(Tasks[[#This Row],[Task Name]]&lt;&gt;"",NOT(Tasks[[#This Row],[_IsSummary]])),1,0)</f>
        <v>0</v>
      </c>
      <c r="BP15" s="43" t="n">
        <f aca="false">IF(N(Tasks[[#This Row],[Pred1 UID]])=0,0,IFERROR(MATCH(Tasks[[#This Row],[Pred1 UID]],Tasks[UID],0),-1))</f>
        <v>0</v>
      </c>
      <c r="BQ15" s="43" t="n">
        <f aca="false">IF(N(Tasks[[#This Row],[Pred2 UID]])=0,0,IFERROR(MATCH(Tasks[[#This Row],[Pred2 UID]],Tasks[UID],0),-1))</f>
        <v>0</v>
      </c>
      <c r="BR1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5" s="43" t="n">
        <f aca="false">IF(NOT(Tasks[[#This Row],[_IsLeaf]]=1),0,IF(N(Tasks[[#This Row],[Actual Finish]])&gt;0,1,MIN(1,N(Tasks[[#This Row],[% Complete]]))))</f>
        <v>0</v>
      </c>
      <c r="BW1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5" s="43" t="n">
        <f aca="false">IF(Tasks[[#This Row],[_LeafWork]]=0,0,Tasks[[#This Row],[_LeafWork]]*IFERROR(INDEX(res_Rate,MATCH(Tasks[[#This Row],[Resource]],res_Name,0)),0))</f>
        <v>0</v>
      </c>
      <c r="BY1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5" s="43" t="n">
        <f aca="false">IF(NOT(Tasks[[#This Row],[_IsLeaf]]=1),0,MAX(_xlfn.MAXIFS(Tasks[_Row],Tasks[Pred1 UID],Tasks[[#This Row],[UID]]),_xlfn.MAXIFS(Tasks[_Row],Tasks[Pred2 UID],Tasks[[#This Row],[UID]])))</f>
        <v>0</v>
      </c>
      <c r="CD1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5" s="87" t="str">
        <f aca="false">IF(NOT(Tasks[[#This Row],[_IsLeaf]]=1),"",MIN(ProjectFinish,IF(N(Tasks[[#This Row],[Deadline]])&gt;0,Tasks[[#This Row],[Deadline]],2958465),Tasks[[#This Row],[_SuccessorFinishLimit]]))</f>
        <v/>
      </c>
      <c r="CF1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5" s="86" t="b">
        <f aca="false">AND(Tasks[[#This Row],[_IsLeaf]]=1,Tasks[[#This Row],[_LeafProgress]]&lt;1,N(Tasks[[#This Row],[_LeafTotalSlack]])&lt;=CriticalSlackDays)</f>
        <v>0</v>
      </c>
      <c r="CI15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46297</v>
      </c>
      <c r="CJ15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46325</v>
      </c>
      <c r="CK1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5" s="43" t="n">
        <f aca="false">IF(AND(Tasks[[#This Row],[_IsLeaf]]=1,Tasks[[#This Row],[_LeafWork]]&gt;0),NETWORKDAYS.INTL(ProjectStart,Tasks[[#This Row],[_LeafFcstStart]],WorkWeek,Holidays),0)</f>
        <v>0</v>
      </c>
      <c r="CR1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5" s="43" t="n">
        <f aca="false">IF(AND(Tasks[[#This Row],[_IsLeaf]]=1,Tasks[[#This Row],[_LeafWork]]&gt;0),Tasks[[#This Row],[_LeafWork]]/(Tasks[[#This Row],[_FinishWorkday]]-Tasks[[#This Row],[_StartWorkday]]+1),0)</f>
        <v>0</v>
      </c>
      <c r="CT15" s="43" t="n">
        <f aca="false">Tasks[[#This Row],[_WorkPerWorkday]]*(Tasks[[#This Row],[_StartWorkday]]-1)</f>
        <v>-0</v>
      </c>
      <c r="CU15" s="43" t="n">
        <f aca="false">IF(Tasks[[#This Row],[_IsLeaf]]=1,MAX(N(Tasks[[#This Row],[Duration]]),0.1),0)</f>
        <v>0</v>
      </c>
      <c r="CV15" s="43" t="n">
        <f aca="false">Tasks[[#This Row],[_WeightDur]]*Tasks[[#This Row],[_LeafProgress]]</f>
        <v>0</v>
      </c>
      <c r="CW1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5" s="43" t="str">
        <f aca="false">IF(AND(Tasks[[#This Row],[_IsLeaf]]=1,N(Tasks[[#This Row],[Duration]])=0,Tasks[[#This Row],[_LeafProgress]]&lt;1),Tasks[[#This Row],[_LeafFcstFinish]]+Tasks[[#This Row],[_Row]]/100000,"")</f>
        <v/>
      </c>
      <c r="DC1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5" s="43" t="n">
        <f aca="false">IF(NOT(Tasks[[#This Row],[_IsLeaf]]=1),0,IF(Tasks[[#This Row],[Baseline Cost]]="",Tasks[[#This Row],[_LeafCost]],N(Tasks[[#This Row],[Baseline Cost]])))</f>
        <v>0</v>
      </c>
      <c r="DE15" s="43" t="n">
        <f aca="false">Tasks[[#This Row],[_LeafBudget]]*Tasks[[#This Row],[_PlannedPct]]</f>
        <v>0</v>
      </c>
      <c r="DF15" s="43" t="n">
        <f aca="false">Tasks[[#This Row],[_LeafBudget]]*Tasks[[#This Row],[_LeafProgress]]</f>
        <v>0</v>
      </c>
      <c r="DG15" s="43" t="n">
        <f aca="false">IF(NOT(Tasks[[#This Row],[_IsLeaf]]=1),0,IF(Tasks[[#This Row],[Actual Cost]]="",Tasks[[#This Row],[_LeafCost]]*Tasks[[#This Row],[_LeafProgress]],N(Tasks[[#This Row],[Actual Cost]])))</f>
        <v>0</v>
      </c>
      <c r="DH15" s="43" t="str">
        <f aca="false">IF(Tasks[[#This Row],[Task Name]]="","",LEFT(Tasks[[#This Row],[WBS]],FIND(".",Tasks[[#This Row],[WBS]]&amp;".")-1))</f>
        <v>3</v>
      </c>
      <c r="DI15" s="43" t="n">
        <f aca="false">IF(AND(Tasks[[#This Row],[Task Name]]&lt;&gt;"",Tasks[[#This Row],[_Level]]=1),Tasks[[#This Row],[_Row]],"")</f>
        <v>10</v>
      </c>
      <c r="DJ15" s="43" t="str">
        <f aca="false">IF(AND(Tasks[[#This Row],[_IsLeaf]]=1,N(Tasks[[#This Row],[Duration]])=0),Tasks[[#This Row],[Planned Finish]]+Tasks[[#This Row],[_Row]]/100000,"")</f>
        <v/>
      </c>
      <c r="DK1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5" s="43" t="str">
        <f aca="false">IF(Tasks[[#This Row],[_LeafCritical]],Tasks[[#This Row],[_LeafFcstStart]]+Tasks[[#This Row],[_Row]]/100000,"")</f>
        <v/>
      </c>
      <c r="DO15" s="43" t="n">
        <f aca="false">Tasks[[#This Row],[_LeafWork]]*Tasks[[#This Row],[_LeafProgress]]</f>
        <v>0</v>
      </c>
      <c r="DP1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5" s="43" t="n">
        <f aca="false">IF(Tasks[[#This Row],[_IsLeaf]]=1,N(Tasks[[#This Row],[Story Points]]),0)</f>
        <v>0</v>
      </c>
      <c r="DR15" s="43" t="str">
        <f aca="false">IF(AND(Tasks[[#This Row],[_IsLeaf]]=1,CurrentSprint&lt;&gt;"",Tasks[[#This Row],[Sprint]]=CurrentSprint),Tasks[[#This Row],[_Row]],"")</f>
        <v/>
      </c>
    </row>
    <row r="16" customFormat="false" ht="15" hidden="false" customHeight="false" outlineLevel="0" collapsed="false">
      <c r="A16" s="28" t="n">
        <f aca="false">IF(Tasks[[#This Row],[Task Name]]="","",COUNTA(Tasks[[#Headers],[Task Name]]:Tasks[[#This Row],[Task Name]])-1)</f>
        <v>11</v>
      </c>
      <c r="B16" s="29" t="n">
        <v>11</v>
      </c>
      <c r="C1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3.1</v>
      </c>
      <c r="D16" s="29" t="n">
        <v>2</v>
      </c>
      <c r="E16" s="30" t="s">
        <v>479</v>
      </c>
      <c r="F16" s="29" t="s">
        <v>459</v>
      </c>
      <c r="G16" s="29"/>
      <c r="H16" s="29"/>
      <c r="I16" s="29"/>
      <c r="J16" s="29"/>
      <c r="K16" s="29"/>
      <c r="L16" s="29"/>
      <c r="M16" s="29"/>
      <c r="N16" s="72"/>
      <c r="O16" s="72"/>
      <c r="P16" s="25" t="n">
        <f aca="false">IF(Tasks[[#This Row],[Task Name]]="","",IF(N(Tasks[[#This Row],[Baseline Start]])&gt;0,Tasks[[#This Row],[Baseline Start]],Tasks[[#This Row],[_CalcStart]]))</f>
        <v>46297</v>
      </c>
      <c r="Q16" s="25" t="n">
        <f aca="false">IF(Tasks[[#This Row],[Task Name]]="","",IF(N(Tasks[[#This Row],[Baseline Finish]])&gt;0,Tasks[[#This Row],[Baseline Finish]],Tasks[[#This Row],[_CalcFinish]]))</f>
        <v>46325</v>
      </c>
      <c r="R16" s="72"/>
      <c r="S16" s="72"/>
      <c r="T16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46302</v>
      </c>
      <c r="U16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46335</v>
      </c>
      <c r="V16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3</v>
      </c>
      <c r="W16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6</v>
      </c>
      <c r="X16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46304</v>
      </c>
      <c r="Y16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46332</v>
      </c>
      <c r="Z16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-1</v>
      </c>
      <c r="AA1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1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6" s="74"/>
      <c r="AF16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0.476190476190476</v>
      </c>
      <c r="AG1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Behind</v>
      </c>
      <c r="AH16" s="30"/>
      <c r="AI16" s="74"/>
      <c r="AJ16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168</v>
      </c>
      <c r="AK16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14280</v>
      </c>
      <c r="AL16" s="83"/>
      <c r="AM16" s="29"/>
      <c r="AN1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6" s="84"/>
      <c r="AP1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6" s="30" t="s">
        <v>480</v>
      </c>
      <c r="AR16" s="25" t="n">
        <f aca="false">IF(Tasks[[#This Row],[Task Name]]="","",Tasks[[#This Row],[Forecast Start]])</f>
        <v>46302</v>
      </c>
      <c r="AS16" s="25" t="n">
        <f aca="false">IF(Tasks[[#This Row],[Task Name]]="","",Tasks[[#This Row],[Forecast Finish]])</f>
        <v>46335</v>
      </c>
      <c r="AT16" s="28" t="n">
        <f aca="false">IF(Tasks[[#This Row],[Task Name]]="","",IF(Tasks[[#This Row],[_IsSummary]],NETWORKDAYS.INTL(Tasks[[#This Row],[Forecast Start]],Tasks[[#This Row],[Forecast Finish]],WorkWeek,Holidays),N(Tasks[[#This Row],[Duration]])))</f>
        <v>24</v>
      </c>
      <c r="AU16" s="81" t="n">
        <f aca="false">IF(Tasks[[#This Row],[Task Name]]="","",Tasks[[#This Row],[Work]])</f>
        <v>168</v>
      </c>
      <c r="AV16" s="82" t="n">
        <f aca="false">IF(Tasks[[#This Row],[Task Name]]="","",Tasks[[#This Row],[Cost]])</f>
        <v>14280</v>
      </c>
      <c r="AW16" s="72"/>
      <c r="AX16" s="72"/>
      <c r="AY16" s="29"/>
      <c r="AZ16" s="85"/>
      <c r="BA16" s="83"/>
      <c r="BB16" s="28" t="str">
        <f aca="false">IF(OR(Tasks[[#This Row],[Task Name]]="",Tasks[[#This Row],[Baseline Duration]]=""),"",Tasks[[#This Row],[BL Source Duration]]-N(Tasks[[#This Row],[Baseline Duration]]))</f>
        <v/>
      </c>
      <c r="BC16" s="81" t="str">
        <f aca="false">IF(OR(Tasks[[#This Row],[Task Name]]="",Tasks[[#This Row],[Baseline Work]]=""),"",Tasks[[#This Row],[Work]]-N(Tasks[[#This Row],[Baseline Work]]))</f>
        <v/>
      </c>
      <c r="BD16" s="82" t="str">
        <f aca="false">IF(OR(Tasks[[#This Row],[Task Name]]="",Tasks[[#This Row],[Baseline Cost]]=""),"",Tasks[[#This Row],[Cost]]-N(Tasks[[#This Row],[Baseline Cost]]))</f>
        <v/>
      </c>
      <c r="BE16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14280</v>
      </c>
      <c r="BF16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10880</v>
      </c>
      <c r="BG16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6800</v>
      </c>
      <c r="BH16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7480</v>
      </c>
      <c r="BI16" s="43" t="n">
        <f aca="false">IF(Tasks[[#This Row],[Task Name]]="","",MAX(1,N(Tasks[[#This Row],[Level]])))</f>
        <v>2</v>
      </c>
      <c r="BJ16" s="43" t="n">
        <f aca="false">ROW()-ROW(Tasks[[#Headers],[ID]])</f>
        <v>11</v>
      </c>
      <c r="BK1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15</v>
      </c>
      <c r="BL16" s="43" t="n">
        <f aca="false">IFERROR(N(INDEX(Tasks[_Level],Tasks[[#This Row],[_Row]]+1)),0)</f>
        <v>3</v>
      </c>
      <c r="BM16" s="86" t="b">
        <f aca="false">AND(Tasks[[#This Row],[Task Name]]&lt;&gt;"",Tasks[[#This Row],[_NextLevel]]&gt;Tasks[[#This Row],[_Level]])</f>
        <v>1</v>
      </c>
      <c r="BN16" s="43" t="n">
        <f aca="false">IF(Tasks[[#This Row],[_IsSummary]],COUNTIF(Tasks[WBS],Tasks[[#This Row],[WBS]]&amp;".*"),0)</f>
        <v>3</v>
      </c>
      <c r="BO16" s="43" t="n">
        <f aca="false">IF(AND(Tasks[[#This Row],[Task Name]]&lt;&gt;"",NOT(Tasks[[#This Row],[_IsSummary]])),1,0)</f>
        <v>0</v>
      </c>
      <c r="BP16" s="43" t="n">
        <f aca="false">IF(N(Tasks[[#This Row],[Pred1 UID]])=0,0,IFERROR(MATCH(Tasks[[#This Row],[Pred1 UID]],Tasks[UID],0),-1))</f>
        <v>0</v>
      </c>
      <c r="BQ16" s="43" t="n">
        <f aca="false">IF(N(Tasks[[#This Row],[Pred2 UID]])=0,0,IFERROR(MATCH(Tasks[[#This Row],[Pred2 UID]],Tasks[UID],0),-1))</f>
        <v>0</v>
      </c>
      <c r="BR1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6" s="43" t="n">
        <f aca="false">IF(NOT(Tasks[[#This Row],[_IsLeaf]]=1),0,IF(N(Tasks[[#This Row],[Actual Finish]])&gt;0,1,MIN(1,N(Tasks[[#This Row],[% Complete]]))))</f>
        <v>0</v>
      </c>
      <c r="BW1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6" s="43" t="n">
        <f aca="false">IF(Tasks[[#This Row],[_LeafWork]]=0,0,Tasks[[#This Row],[_LeafWork]]*IFERROR(INDEX(res_Rate,MATCH(Tasks[[#This Row],[Resource]],res_Name,0)),0))</f>
        <v>0</v>
      </c>
      <c r="BY1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6" s="43" t="n">
        <f aca="false">IF(NOT(Tasks[[#This Row],[_IsLeaf]]=1),0,MAX(_xlfn.MAXIFS(Tasks[_Row],Tasks[Pred1 UID],Tasks[[#This Row],[UID]]),_xlfn.MAXIFS(Tasks[_Row],Tasks[Pred2 UID],Tasks[[#This Row],[UID]])))</f>
        <v>0</v>
      </c>
      <c r="CD1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6" s="87" t="str">
        <f aca="false">IF(NOT(Tasks[[#This Row],[_IsLeaf]]=1),"",MIN(ProjectFinish,IF(N(Tasks[[#This Row],[Deadline]])&gt;0,Tasks[[#This Row],[Deadline]],2958465),Tasks[[#This Row],[_SuccessorFinishLimit]]))</f>
        <v/>
      </c>
      <c r="CF1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6" s="86" t="b">
        <f aca="false">AND(Tasks[[#This Row],[_IsLeaf]]=1,Tasks[[#This Row],[_LeafProgress]]&lt;1,N(Tasks[[#This Row],[_LeafTotalSlack]])&lt;=CriticalSlackDays)</f>
        <v>0</v>
      </c>
      <c r="CI16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46297</v>
      </c>
      <c r="CJ16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46325</v>
      </c>
      <c r="CK1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6" s="43" t="n">
        <f aca="false">IF(AND(Tasks[[#This Row],[_IsLeaf]]=1,Tasks[[#This Row],[_LeafWork]]&gt;0),NETWORKDAYS.INTL(ProjectStart,Tasks[[#This Row],[_LeafFcstStart]],WorkWeek,Holidays),0)</f>
        <v>0</v>
      </c>
      <c r="CR1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6" s="43" t="n">
        <f aca="false">IF(AND(Tasks[[#This Row],[_IsLeaf]]=1,Tasks[[#This Row],[_LeafWork]]&gt;0),Tasks[[#This Row],[_LeafWork]]/(Tasks[[#This Row],[_FinishWorkday]]-Tasks[[#This Row],[_StartWorkday]]+1),0)</f>
        <v>0</v>
      </c>
      <c r="CT16" s="43" t="n">
        <f aca="false">Tasks[[#This Row],[_WorkPerWorkday]]*(Tasks[[#This Row],[_StartWorkday]]-1)</f>
        <v>-0</v>
      </c>
      <c r="CU16" s="43" t="n">
        <f aca="false">IF(Tasks[[#This Row],[_IsLeaf]]=1,MAX(N(Tasks[[#This Row],[Duration]]),0.1),0)</f>
        <v>0</v>
      </c>
      <c r="CV16" s="43" t="n">
        <f aca="false">Tasks[[#This Row],[_WeightDur]]*Tasks[[#This Row],[_LeafProgress]]</f>
        <v>0</v>
      </c>
      <c r="CW1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6" s="43" t="str">
        <f aca="false">IF(AND(Tasks[[#This Row],[_IsLeaf]]=1,N(Tasks[[#This Row],[Duration]])=0,Tasks[[#This Row],[_LeafProgress]]&lt;1),Tasks[[#This Row],[_LeafFcstFinish]]+Tasks[[#This Row],[_Row]]/100000,"")</f>
        <v/>
      </c>
      <c r="DC1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6" s="43" t="n">
        <f aca="false">IF(NOT(Tasks[[#This Row],[_IsLeaf]]=1),0,IF(Tasks[[#This Row],[Baseline Cost]]="",Tasks[[#This Row],[_LeafCost]],N(Tasks[[#This Row],[Baseline Cost]])))</f>
        <v>0</v>
      </c>
      <c r="DE16" s="43" t="n">
        <f aca="false">Tasks[[#This Row],[_LeafBudget]]*Tasks[[#This Row],[_PlannedPct]]</f>
        <v>0</v>
      </c>
      <c r="DF16" s="43" t="n">
        <f aca="false">Tasks[[#This Row],[_LeafBudget]]*Tasks[[#This Row],[_LeafProgress]]</f>
        <v>0</v>
      </c>
      <c r="DG16" s="43" t="n">
        <f aca="false">IF(NOT(Tasks[[#This Row],[_IsLeaf]]=1),0,IF(Tasks[[#This Row],[Actual Cost]]="",Tasks[[#This Row],[_LeafCost]]*Tasks[[#This Row],[_LeafProgress]],N(Tasks[[#This Row],[Actual Cost]])))</f>
        <v>0</v>
      </c>
      <c r="DH16" s="43" t="str">
        <f aca="false">IF(Tasks[[#This Row],[Task Name]]="","",LEFT(Tasks[[#This Row],[WBS]],FIND(".",Tasks[[#This Row],[WBS]]&amp;".")-1))</f>
        <v>3</v>
      </c>
      <c r="DI16" s="43" t="str">
        <f aca="false">IF(AND(Tasks[[#This Row],[Task Name]]&lt;&gt;"",Tasks[[#This Row],[_Level]]=1),Tasks[[#This Row],[_Row]],"")</f>
        <v/>
      </c>
      <c r="DJ16" s="43" t="str">
        <f aca="false">IF(AND(Tasks[[#This Row],[_IsLeaf]]=1,N(Tasks[[#This Row],[Duration]])=0),Tasks[[#This Row],[Planned Finish]]+Tasks[[#This Row],[_Row]]/100000,"")</f>
        <v/>
      </c>
      <c r="DK1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6" s="43" t="str">
        <f aca="false">IF(Tasks[[#This Row],[_LeafCritical]],Tasks[[#This Row],[_LeafFcstStart]]+Tasks[[#This Row],[_Row]]/100000,"")</f>
        <v/>
      </c>
      <c r="DO16" s="43" t="n">
        <f aca="false">Tasks[[#This Row],[_LeafWork]]*Tasks[[#This Row],[_LeafProgress]]</f>
        <v>0</v>
      </c>
      <c r="DP1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6" s="43" t="n">
        <f aca="false">IF(Tasks[[#This Row],[_IsLeaf]]=1,N(Tasks[[#This Row],[Story Points]]),0)</f>
        <v>0</v>
      </c>
      <c r="DR16" s="43" t="str">
        <f aca="false">IF(AND(Tasks[[#This Row],[_IsLeaf]]=1,CurrentSprint&lt;&gt;"",Tasks[[#This Row],[Sprint]]=CurrentSprint),Tasks[[#This Row],[_Row]],"")</f>
        <v/>
      </c>
    </row>
    <row r="17" customFormat="false" ht="15" hidden="false" customHeight="false" outlineLevel="0" collapsed="false">
      <c r="A17" s="28" t="n">
        <f aca="false">IF(Tasks[[#This Row],[Task Name]]="","",COUNTA(Tasks[[#Headers],[Task Name]]:Tasks[[#This Row],[Task Name]])-1)</f>
        <v>12</v>
      </c>
      <c r="B17" s="29" t="n">
        <v>12</v>
      </c>
      <c r="C1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3.1.1</v>
      </c>
      <c r="D17" s="29" t="n">
        <v>3</v>
      </c>
      <c r="E17" s="30" t="s">
        <v>481</v>
      </c>
      <c r="F17" s="29" t="s">
        <v>459</v>
      </c>
      <c r="G17" s="29" t="n">
        <v>5</v>
      </c>
      <c r="H17" s="29" t="n">
        <v>9</v>
      </c>
      <c r="I17" s="29" t="s">
        <v>464</v>
      </c>
      <c r="J17" s="29"/>
      <c r="K17" s="29"/>
      <c r="L17" s="29"/>
      <c r="M17" s="29"/>
      <c r="N17" s="72"/>
      <c r="O17" s="72"/>
      <c r="P17" s="25" t="n">
        <f aca="false">IF(Tasks[[#This Row],[Task Name]]="","",IF(N(Tasks[[#This Row],[Baseline Start]])&gt;0,Tasks[[#This Row],[Baseline Start]],Tasks[[#This Row],[_CalcStart]]))</f>
        <v>46297</v>
      </c>
      <c r="Q17" s="25" t="n">
        <f aca="false">IF(Tasks[[#This Row],[Task Name]]="","",IF(N(Tasks[[#This Row],[Baseline Finish]])&gt;0,Tasks[[#This Row],[Baseline Finish]],Tasks[[#This Row],[_CalcFinish]]))</f>
        <v>46303</v>
      </c>
      <c r="R17" s="72" t="n">
        <v>46302</v>
      </c>
      <c r="S17" s="72" t="n">
        <v>46309</v>
      </c>
      <c r="T17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46302</v>
      </c>
      <c r="U17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46309</v>
      </c>
      <c r="V17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3</v>
      </c>
      <c r="W17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4</v>
      </c>
      <c r="X17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46304</v>
      </c>
      <c r="Y17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46310</v>
      </c>
      <c r="Z17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1</v>
      </c>
      <c r="AA17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1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7" s="74" t="n">
        <v>1</v>
      </c>
      <c r="AF17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1</v>
      </c>
      <c r="AG1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Complete</v>
      </c>
      <c r="AH17" s="30" t="s">
        <v>482</v>
      </c>
      <c r="AI17" s="74"/>
      <c r="AJ17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40</v>
      </c>
      <c r="AK17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3400</v>
      </c>
      <c r="AL17" s="83"/>
      <c r="AM17" s="29"/>
      <c r="AN1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3</v>
      </c>
      <c r="AO17" s="84" t="n">
        <v>5</v>
      </c>
      <c r="AP17" s="24" t="str">
        <f aca="false">IF(Tasks[[#This Row],[Task Name]]="","",Tasks[[#This Row],[_Pred1IDText]]&amp;IF(AND(Tasks[[#This Row],[_Pred1IDText]]&lt;&gt;"",Tasks[[#This Row],[_Pred2IDText]]&lt;&gt;""),",","")&amp;Tasks[[#This Row],[_Pred2IDText]])</f>
        <v>9</v>
      </c>
      <c r="AQ17" s="30"/>
      <c r="AR17" s="25" t="n">
        <f aca="false">IF(Tasks[[#This Row],[Task Name]]="","",Tasks[[#This Row],[Forecast Start]])</f>
        <v>46302</v>
      </c>
      <c r="AS17" s="25" t="n">
        <f aca="false">IF(Tasks[[#This Row],[Task Name]]="","",Tasks[[#This Row],[Forecast Finish]])</f>
        <v>46309</v>
      </c>
      <c r="AT17" s="28" t="n">
        <f aca="false">IF(Tasks[[#This Row],[Task Name]]="","",IF(Tasks[[#This Row],[_IsSummary]],NETWORKDAYS.INTL(Tasks[[#This Row],[Forecast Start]],Tasks[[#This Row],[Forecast Finish]],WorkWeek,Holidays),N(Tasks[[#This Row],[Duration]])))</f>
        <v>5</v>
      </c>
      <c r="AU17" s="81" t="n">
        <f aca="false">IF(Tasks[[#This Row],[Task Name]]="","",Tasks[[#This Row],[Work]])</f>
        <v>40</v>
      </c>
      <c r="AV17" s="82" t="n">
        <f aca="false">IF(Tasks[[#This Row],[Task Name]]="","",Tasks[[#This Row],[Cost]])</f>
        <v>3400</v>
      </c>
      <c r="AW17" s="72"/>
      <c r="AX17" s="72"/>
      <c r="AY17" s="29"/>
      <c r="AZ17" s="85"/>
      <c r="BA17" s="83"/>
      <c r="BB17" s="28" t="str">
        <f aca="false">IF(OR(Tasks[[#This Row],[Task Name]]="",Tasks[[#This Row],[Baseline Duration]]=""),"",Tasks[[#This Row],[BL Source Duration]]-N(Tasks[[#This Row],[Baseline Duration]]))</f>
        <v/>
      </c>
      <c r="BC17" s="81" t="str">
        <f aca="false">IF(OR(Tasks[[#This Row],[Task Name]]="",Tasks[[#This Row],[Baseline Work]]=""),"",Tasks[[#This Row],[Work]]-N(Tasks[[#This Row],[Baseline Work]]))</f>
        <v/>
      </c>
      <c r="BD17" s="82" t="str">
        <f aca="false">IF(OR(Tasks[[#This Row],[Task Name]]="",Tasks[[#This Row],[Baseline Cost]]=""),"",Tasks[[#This Row],[Cost]]-N(Tasks[[#This Row],[Baseline Cost]]))</f>
        <v/>
      </c>
      <c r="BE17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3400</v>
      </c>
      <c r="BF17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3400</v>
      </c>
      <c r="BG17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3400</v>
      </c>
      <c r="BH17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3400</v>
      </c>
      <c r="BI17" s="43" t="n">
        <f aca="false">IF(Tasks[[#This Row],[Task Name]]="","",MAX(1,N(Tasks[[#This Row],[Level]])))</f>
        <v>3</v>
      </c>
      <c r="BJ17" s="43" t="n">
        <f aca="false">ROW()-ROW(Tasks[[#Headers],[ID]])</f>
        <v>12</v>
      </c>
      <c r="BK1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16</v>
      </c>
      <c r="BL17" s="43" t="n">
        <f aca="false">IFERROR(N(INDEX(Tasks[_Level],Tasks[[#This Row],[_Row]]+1)),0)</f>
        <v>3</v>
      </c>
      <c r="BM17" s="86" t="b">
        <f aca="false">AND(Tasks[[#This Row],[Task Name]]&lt;&gt;"",Tasks[[#This Row],[_NextLevel]]&gt;Tasks[[#This Row],[_Level]])</f>
        <v>0</v>
      </c>
      <c r="BN17" s="43" t="n">
        <f aca="false">IF(Tasks[[#This Row],[_IsSummary]],COUNTIF(Tasks[WBS],Tasks[[#This Row],[WBS]]&amp;".*"),0)</f>
        <v>0</v>
      </c>
      <c r="BO17" s="43" t="n">
        <f aca="false">IF(AND(Tasks[[#This Row],[Task Name]]&lt;&gt;"",NOT(Tasks[[#This Row],[_IsSummary]])),1,0)</f>
        <v>1</v>
      </c>
      <c r="BP17" s="43" t="n">
        <f aca="false">IF(N(Tasks[[#This Row],[Pred1 UID]])=0,0,IFERROR(MATCH(Tasks[[#This Row],[Pred1 UID]],Tasks[UID],0),-1))</f>
        <v>9</v>
      </c>
      <c r="BQ17" s="43" t="n">
        <f aca="false">IF(N(Tasks[[#This Row],[Pred2 UID]])=0,0,IFERROR(MATCH(Tasks[[#This Row],[Pred2 UID]],Tasks[UID],0),-1))</f>
        <v>0</v>
      </c>
      <c r="BR17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46297</v>
      </c>
      <c r="BS17" s="87" t="n">
        <f aca="false">IF(NOT(Tasks[[#This Row],[_IsLeaf]]=1),"",IF(N(Tasks[[#This Row],[Duration]])&lt;=0,Tasks[[#This Row],[_LeafCalcStart]],WORKDAY.INTL(Tasks[[#This Row],[_LeafCalcStart]],Tasks[[#This Row],[Duration]]-1,WorkWeek,Holidays)))</f>
        <v>46303</v>
      </c>
      <c r="BT17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46302</v>
      </c>
      <c r="BU17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46309</v>
      </c>
      <c r="BV17" s="43" t="n">
        <f aca="false">IF(NOT(Tasks[[#This Row],[_IsLeaf]]=1),0,IF(N(Tasks[[#This Row],[Actual Finish]])&gt;0,1,MIN(1,N(Tasks[[#This Row],[% Complete]]))))</f>
        <v>1</v>
      </c>
      <c r="BW17" s="43" t="n">
        <f aca="false">IF(OR(NOT(Tasks[[#This Row],[_IsLeaf]]=1),Tasks[[#This Row],[Resource]]=""),0,N(Tasks[[#This Row],[Duration]])*HoursPerDay*IF(Tasks[[#This Row],[Units]]="",DefaultUnits,Tasks[[#This Row],[Units]]))</f>
        <v>40</v>
      </c>
      <c r="BX17" s="43" t="n">
        <f aca="false">IF(Tasks[[#This Row],[_LeafWork]]=0,0,Tasks[[#This Row],[_LeafWork]]*IFERROR(INDEX(res_Rate,MATCH(Tasks[[#This Row],[Resource]],res_Name,0)),0))</f>
        <v>3400</v>
      </c>
      <c r="BY17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2912162</v>
      </c>
      <c r="BZ1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7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1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7" s="43" t="n">
        <f aca="false">IF(NOT(Tasks[[#This Row],[_IsLeaf]]=1),0,MAX(_xlfn.MAXIFS(Tasks[_Row],Tasks[Pred1 UID],Tasks[[#This Row],[UID]]),_xlfn.MAXIFS(Tasks[_Row],Tasks[Pred2 UID],Tasks[[#This Row],[UID]])))</f>
        <v>13</v>
      </c>
      <c r="CD17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46310</v>
      </c>
      <c r="CE17" s="87" t="n">
        <f aca="false">IF(NOT(Tasks[[#This Row],[_IsLeaf]]=1),"",MIN(ProjectFinish,IF(N(Tasks[[#This Row],[Deadline]])&gt;0,Tasks[[#This Row],[Deadline]],2958465),Tasks[[#This Row],[_SuccessorFinishLimit]]))</f>
        <v>46310</v>
      </c>
      <c r="CF17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46304</v>
      </c>
      <c r="CG17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1</v>
      </c>
      <c r="CH17" s="86" t="b">
        <f aca="false">AND(Tasks[[#This Row],[_IsLeaf]]=1,Tasks[[#This Row],[_LeafProgress]]&lt;1,N(Tasks[[#This Row],[_LeafTotalSlack]])&lt;=CriticalSlackDays)</f>
        <v>0</v>
      </c>
      <c r="CI17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46297</v>
      </c>
      <c r="CJ17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46303</v>
      </c>
      <c r="CK1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46297</v>
      </c>
      <c r="CN1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46302</v>
      </c>
      <c r="CP1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7" s="43" t="n">
        <f aca="false">IF(AND(Tasks[[#This Row],[_IsLeaf]]=1,Tasks[[#This Row],[_LeafWork]]&gt;0),NETWORKDAYS.INTL(ProjectStart,Tasks[[#This Row],[_LeafFcstStart]],WorkWeek,Holidays),0)</f>
        <v>23</v>
      </c>
      <c r="CR17" s="43" t="n">
        <f aca="false">IF(AND(Tasks[[#This Row],[_IsLeaf]]=1,Tasks[[#This Row],[_LeafWork]]&gt;0),MAX(Tasks[[#This Row],[_StartWorkday]],NETWORKDAYS.INTL(ProjectStart,Tasks[[#This Row],[_LeafFcstFinish]],WorkWeek,Holidays)),0)</f>
        <v>28</v>
      </c>
      <c r="CS17" s="43" t="n">
        <f aca="false">IF(AND(Tasks[[#This Row],[_IsLeaf]]=1,Tasks[[#This Row],[_LeafWork]]&gt;0),Tasks[[#This Row],[_LeafWork]]/(Tasks[[#This Row],[_FinishWorkday]]-Tasks[[#This Row],[_StartWorkday]]+1),0)</f>
        <v>6.66666666666667</v>
      </c>
      <c r="CT17" s="43" t="n">
        <f aca="false">Tasks[[#This Row],[_WorkPerWorkday]]*(Tasks[[#This Row],[_StartWorkday]]-1)</f>
        <v>146.666666666667</v>
      </c>
      <c r="CU17" s="43" t="n">
        <f aca="false">IF(Tasks[[#This Row],[_IsLeaf]]=1,MAX(N(Tasks[[#This Row],[Duration]]),0.1),0)</f>
        <v>5</v>
      </c>
      <c r="CV17" s="43" t="n">
        <f aca="false">Tasks[[#This Row],[_WeightDur]]*Tasks[[#This Row],[_LeafProgress]]</f>
        <v>5</v>
      </c>
      <c r="CW1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9</v>
      </c>
      <c r="CX1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9</v>
      </c>
      <c r="CZ1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9</v>
      </c>
      <c r="DB17" s="43" t="str">
        <f aca="false">IF(AND(Tasks[[#This Row],[_IsLeaf]]=1,N(Tasks[[#This Row],[Duration]])=0,Tasks[[#This Row],[_LeafProgress]]&lt;1),Tasks[[#This Row],[_LeafFcstFinish]]+Tasks[[#This Row],[_Row]]/100000,"")</f>
        <v/>
      </c>
      <c r="DC1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1</v>
      </c>
      <c r="DD17" s="43" t="n">
        <f aca="false">IF(NOT(Tasks[[#This Row],[_IsLeaf]]=1),0,IF(Tasks[[#This Row],[Baseline Cost]]="",Tasks[[#This Row],[_LeafCost]],N(Tasks[[#This Row],[Baseline Cost]])))</f>
        <v>3400</v>
      </c>
      <c r="DE17" s="43" t="n">
        <f aca="false">Tasks[[#This Row],[_LeafBudget]]*Tasks[[#This Row],[_PlannedPct]]</f>
        <v>3400</v>
      </c>
      <c r="DF17" s="43" t="n">
        <f aca="false">Tasks[[#This Row],[_LeafBudget]]*Tasks[[#This Row],[_LeafProgress]]</f>
        <v>3400</v>
      </c>
      <c r="DG17" s="43" t="n">
        <f aca="false">IF(NOT(Tasks[[#This Row],[_IsLeaf]]=1),0,IF(Tasks[[#This Row],[Actual Cost]]="",Tasks[[#This Row],[_LeafCost]]*Tasks[[#This Row],[_LeafProgress]],N(Tasks[[#This Row],[Actual Cost]])))</f>
        <v>3400</v>
      </c>
      <c r="DH17" s="43" t="str">
        <f aca="false">IF(Tasks[[#This Row],[Task Name]]="","",LEFT(Tasks[[#This Row],[WBS]],FIND(".",Tasks[[#This Row],[WBS]]&amp;".")-1))</f>
        <v>3</v>
      </c>
      <c r="DI17" s="43" t="str">
        <f aca="false">IF(AND(Tasks[[#This Row],[Task Name]]&lt;&gt;"",Tasks[[#This Row],[_Level]]=1),Tasks[[#This Row],[_Row]],"")</f>
        <v/>
      </c>
      <c r="DJ17" s="43" t="str">
        <f aca="false">IF(AND(Tasks[[#This Row],[_IsLeaf]]=1,N(Tasks[[#This Row],[Duration]])=0),Tasks[[#This Row],[Planned Finish]]+Tasks[[#This Row],[_Row]]/100000,"")</f>
        <v/>
      </c>
      <c r="DK1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7" s="43" t="str">
        <f aca="false">IF(Tasks[[#This Row],[_LeafCritical]],Tasks[[#This Row],[_LeafFcstStart]]+Tasks[[#This Row],[_Row]]/100000,"")</f>
        <v/>
      </c>
      <c r="DO17" s="43" t="n">
        <f aca="false">Tasks[[#This Row],[_LeafWork]]*Tasks[[#This Row],[_LeafProgress]]</f>
        <v>40</v>
      </c>
      <c r="DP17" s="87" t="n">
        <f aca="false">IF(AND(Tasks[[#This Row],[_IsLeaf]]=1,Tasks[[#This Row],[_LeafProgress]]&gt;=1),IF(N(Tasks[[#This Row],[Actual Finish]])&gt;0,Tasks[[#This Row],[Actual Finish]],Tasks[[#This Row],[_LeafFcstFinish]]),"")</f>
        <v>46309</v>
      </c>
      <c r="DQ17" s="43" t="n">
        <f aca="false">IF(Tasks[[#This Row],[_IsLeaf]]=1,N(Tasks[[#This Row],[Story Points]]),0)</f>
        <v>5</v>
      </c>
      <c r="DR17" s="43" t="str">
        <f aca="false">IF(AND(Tasks[[#This Row],[_IsLeaf]]=1,CurrentSprint&lt;&gt;"",Tasks[[#This Row],[Sprint]]=CurrentSprint),Tasks[[#This Row],[_Row]],"")</f>
        <v/>
      </c>
    </row>
    <row r="18" customFormat="false" ht="15" hidden="false" customHeight="false" outlineLevel="0" collapsed="false">
      <c r="A18" s="28" t="n">
        <f aca="false">IF(Tasks[[#This Row],[Task Name]]="","",COUNTA(Tasks[[#Headers],[Task Name]]:Tasks[[#This Row],[Task Name]])-1)</f>
        <v>13</v>
      </c>
      <c r="B18" s="29" t="n">
        <v>13</v>
      </c>
      <c r="C1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3.1.2</v>
      </c>
      <c r="D18" s="29" t="n">
        <v>3</v>
      </c>
      <c r="E18" s="30" t="s">
        <v>483</v>
      </c>
      <c r="F18" s="29" t="s">
        <v>459</v>
      </c>
      <c r="G18" s="29" t="n">
        <v>10</v>
      </c>
      <c r="H18" s="29" t="n">
        <v>12</v>
      </c>
      <c r="I18" s="29" t="s">
        <v>464</v>
      </c>
      <c r="J18" s="29"/>
      <c r="K18" s="29"/>
      <c r="L18" s="29"/>
      <c r="M18" s="29"/>
      <c r="N18" s="72"/>
      <c r="O18" s="72"/>
      <c r="P18" s="25" t="n">
        <f aca="false">IF(Tasks[[#This Row],[Task Name]]="","",IF(N(Tasks[[#This Row],[Baseline Start]])&gt;0,Tasks[[#This Row],[Baseline Start]],Tasks[[#This Row],[_CalcStart]]))</f>
        <v>46304</v>
      </c>
      <c r="Q18" s="25" t="n">
        <f aca="false">IF(Tasks[[#This Row],[Task Name]]="","",IF(N(Tasks[[#This Row],[Baseline Finish]])&gt;0,Tasks[[#This Row],[Baseline Finish]],Tasks[[#This Row],[_CalcFinish]]))</f>
        <v>46317</v>
      </c>
      <c r="R18" s="72" t="n">
        <v>46310</v>
      </c>
      <c r="S18" s="72"/>
      <c r="T18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46310</v>
      </c>
      <c r="U18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46325</v>
      </c>
      <c r="V18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4</v>
      </c>
      <c r="W18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6</v>
      </c>
      <c r="X18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46311</v>
      </c>
      <c r="Y18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46324</v>
      </c>
      <c r="Z18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-1</v>
      </c>
      <c r="AA18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-1</v>
      </c>
      <c r="AB1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1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8" s="74" t="n">
        <v>0.5</v>
      </c>
      <c r="AF18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0.5</v>
      </c>
      <c r="AG1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Behind</v>
      </c>
      <c r="AH18" s="30" t="s">
        <v>482</v>
      </c>
      <c r="AI18" s="74"/>
      <c r="AJ18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80</v>
      </c>
      <c r="AK18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6800</v>
      </c>
      <c r="AL18" s="83" t="n">
        <v>4080</v>
      </c>
      <c r="AM18" s="29"/>
      <c r="AN1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3</v>
      </c>
      <c r="AO18" s="84" t="n">
        <v>8</v>
      </c>
      <c r="AP18" s="24" t="str">
        <f aca="false">IF(Tasks[[#This Row],[Task Name]]="","",Tasks[[#This Row],[_Pred1IDText]]&amp;IF(AND(Tasks[[#This Row],[_Pred1IDText]]&lt;&gt;"",Tasks[[#This Row],[_Pred2IDText]]&lt;&gt;""),",","")&amp;Tasks[[#This Row],[_Pred2IDText]])</f>
        <v>12</v>
      </c>
      <c r="AQ18" s="30" t="s">
        <v>484</v>
      </c>
      <c r="AR18" s="25" t="n">
        <f aca="false">IF(Tasks[[#This Row],[Task Name]]="","",Tasks[[#This Row],[Forecast Start]])</f>
        <v>46310</v>
      </c>
      <c r="AS18" s="25" t="n">
        <f aca="false">IF(Tasks[[#This Row],[Task Name]]="","",Tasks[[#This Row],[Forecast Finish]])</f>
        <v>46325</v>
      </c>
      <c r="AT18" s="28" t="n">
        <f aca="false">IF(Tasks[[#This Row],[Task Name]]="","",IF(Tasks[[#This Row],[_IsSummary]],NETWORKDAYS.INTL(Tasks[[#This Row],[Forecast Start]],Tasks[[#This Row],[Forecast Finish]],WorkWeek,Holidays),N(Tasks[[#This Row],[Duration]])))</f>
        <v>10</v>
      </c>
      <c r="AU18" s="81" t="n">
        <f aca="false">IF(Tasks[[#This Row],[Task Name]]="","",Tasks[[#This Row],[Work]])</f>
        <v>80</v>
      </c>
      <c r="AV18" s="82" t="n">
        <f aca="false">IF(Tasks[[#This Row],[Task Name]]="","",Tasks[[#This Row],[Cost]])</f>
        <v>6800</v>
      </c>
      <c r="AW18" s="72"/>
      <c r="AX18" s="72"/>
      <c r="AY18" s="29"/>
      <c r="AZ18" s="85"/>
      <c r="BA18" s="83"/>
      <c r="BB18" s="28" t="str">
        <f aca="false">IF(OR(Tasks[[#This Row],[Task Name]]="",Tasks[[#This Row],[Baseline Duration]]=""),"",Tasks[[#This Row],[BL Source Duration]]-N(Tasks[[#This Row],[Baseline Duration]]))</f>
        <v/>
      </c>
      <c r="BC18" s="81" t="str">
        <f aca="false">IF(OR(Tasks[[#This Row],[Task Name]]="",Tasks[[#This Row],[Baseline Work]]=""),"",Tasks[[#This Row],[Work]]-N(Tasks[[#This Row],[Baseline Work]]))</f>
        <v/>
      </c>
      <c r="BD18" s="82" t="str">
        <f aca="false">IF(OR(Tasks[[#This Row],[Task Name]]="",Tasks[[#This Row],[Baseline Cost]]=""),"",Tasks[[#This Row],[Cost]]-N(Tasks[[#This Row],[Baseline Cost]]))</f>
        <v/>
      </c>
      <c r="BE18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6800</v>
      </c>
      <c r="BF18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6800</v>
      </c>
      <c r="BG18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3400</v>
      </c>
      <c r="BH18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4080</v>
      </c>
      <c r="BI18" s="43" t="n">
        <f aca="false">IF(Tasks[[#This Row],[Task Name]]="","",MAX(1,N(Tasks[[#This Row],[Level]])))</f>
        <v>3</v>
      </c>
      <c r="BJ18" s="43" t="n">
        <f aca="false">ROW()-ROW(Tasks[[#Headers],[ID]])</f>
        <v>13</v>
      </c>
      <c r="BK1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16</v>
      </c>
      <c r="BL18" s="43" t="n">
        <f aca="false">IFERROR(N(INDEX(Tasks[_Level],Tasks[[#This Row],[_Row]]+1)),0)</f>
        <v>3</v>
      </c>
      <c r="BM18" s="86" t="b">
        <f aca="false">AND(Tasks[[#This Row],[Task Name]]&lt;&gt;"",Tasks[[#This Row],[_NextLevel]]&gt;Tasks[[#This Row],[_Level]])</f>
        <v>0</v>
      </c>
      <c r="BN18" s="43" t="n">
        <f aca="false">IF(Tasks[[#This Row],[_IsSummary]],COUNTIF(Tasks[WBS],Tasks[[#This Row],[WBS]]&amp;".*"),0)</f>
        <v>0</v>
      </c>
      <c r="BO18" s="43" t="n">
        <f aca="false">IF(AND(Tasks[[#This Row],[Task Name]]&lt;&gt;"",NOT(Tasks[[#This Row],[_IsSummary]])),1,0)</f>
        <v>1</v>
      </c>
      <c r="BP18" s="43" t="n">
        <f aca="false">IF(N(Tasks[[#This Row],[Pred1 UID]])=0,0,IFERROR(MATCH(Tasks[[#This Row],[Pred1 UID]],Tasks[UID],0),-1))</f>
        <v>12</v>
      </c>
      <c r="BQ18" s="43" t="n">
        <f aca="false">IF(N(Tasks[[#This Row],[Pred2 UID]])=0,0,IFERROR(MATCH(Tasks[[#This Row],[Pred2 UID]],Tasks[UID],0),-1))</f>
        <v>0</v>
      </c>
      <c r="BR18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46304</v>
      </c>
      <c r="BS18" s="87" t="n">
        <f aca="false">IF(NOT(Tasks[[#This Row],[_IsLeaf]]=1),"",IF(N(Tasks[[#This Row],[Duration]])&lt;=0,Tasks[[#This Row],[_LeafCalcStart]],WORKDAY.INTL(Tasks[[#This Row],[_LeafCalcStart]],Tasks[[#This Row],[Duration]]-1,WorkWeek,Holidays)))</f>
        <v>46317</v>
      </c>
      <c r="BT18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46310</v>
      </c>
      <c r="BU18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46325</v>
      </c>
      <c r="BV18" s="43" t="n">
        <f aca="false">IF(NOT(Tasks[[#This Row],[_IsLeaf]]=1),0,IF(N(Tasks[[#This Row],[Actual Finish]])&gt;0,1,MIN(1,N(Tasks[[#This Row],[% Complete]]))))</f>
        <v>0.5</v>
      </c>
      <c r="BW18" s="43" t="n">
        <f aca="false">IF(OR(NOT(Tasks[[#This Row],[_IsLeaf]]=1),Tasks[[#This Row],[Resource]]=""),0,N(Tasks[[#This Row],[Duration]])*HoursPerDay*IF(Tasks[[#This Row],[Units]]="",DefaultUnits,Tasks[[#This Row],[Units]]))</f>
        <v>80</v>
      </c>
      <c r="BX18" s="43" t="n">
        <f aca="false">IF(Tasks[[#This Row],[_LeafWork]]=0,0,Tasks[[#This Row],[_LeafWork]]*IFERROR(INDEX(res_Rate,MATCH(Tasks[[#This Row],[Resource]],res_Name,0)),0))</f>
        <v>6800</v>
      </c>
      <c r="BY18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2912155</v>
      </c>
      <c r="BZ1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8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1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8" s="43" t="n">
        <f aca="false">IF(NOT(Tasks[[#This Row],[_IsLeaf]]=1),0,MAX(_xlfn.MAXIFS(Tasks[_Row],Tasks[Pred1 UID],Tasks[[#This Row],[UID]]),_xlfn.MAXIFS(Tasks[_Row],Tasks[Pred2 UID],Tasks[[#This Row],[UID]])))</f>
        <v>17</v>
      </c>
      <c r="CD18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46324</v>
      </c>
      <c r="CE18" s="87" t="n">
        <f aca="false">IF(NOT(Tasks[[#This Row],[_IsLeaf]]=1),"",MIN(ProjectFinish,IF(N(Tasks[[#This Row],[Deadline]])&gt;0,Tasks[[#This Row],[Deadline]],2958465),Tasks[[#This Row],[_SuccessorFinishLimit]]))</f>
        <v>46324</v>
      </c>
      <c r="CF18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46311</v>
      </c>
      <c r="CG18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-1</v>
      </c>
      <c r="CH18" s="86" t="b">
        <f aca="false">AND(Tasks[[#This Row],[_IsLeaf]]=1,Tasks[[#This Row],[_LeafProgress]]&lt;1,N(Tasks[[#This Row],[_LeafTotalSlack]])&lt;=CriticalSlackDays)</f>
        <v>1</v>
      </c>
      <c r="CI18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46304</v>
      </c>
      <c r="CJ18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46317</v>
      </c>
      <c r="CK1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46304</v>
      </c>
      <c r="CN1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46310</v>
      </c>
      <c r="CP1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8" s="43" t="n">
        <f aca="false">IF(AND(Tasks[[#This Row],[_IsLeaf]]=1,Tasks[[#This Row],[_LeafWork]]&gt;0),NETWORKDAYS.INTL(ProjectStart,Tasks[[#This Row],[_LeafFcstStart]],WorkWeek,Holidays),0)</f>
        <v>29</v>
      </c>
      <c r="CR18" s="43" t="n">
        <f aca="false">IF(AND(Tasks[[#This Row],[_IsLeaf]]=1,Tasks[[#This Row],[_LeafWork]]&gt;0),MAX(Tasks[[#This Row],[_StartWorkday]],NETWORKDAYS.INTL(ProjectStart,Tasks[[#This Row],[_LeafFcstFinish]],WorkWeek,Holidays)),0)</f>
        <v>40</v>
      </c>
      <c r="CS18" s="43" t="n">
        <f aca="false">IF(AND(Tasks[[#This Row],[_IsLeaf]]=1,Tasks[[#This Row],[_LeafWork]]&gt;0),Tasks[[#This Row],[_LeafWork]]/(Tasks[[#This Row],[_FinishWorkday]]-Tasks[[#This Row],[_StartWorkday]]+1),0)</f>
        <v>6.66666666666667</v>
      </c>
      <c r="CT18" s="43" t="n">
        <f aca="false">Tasks[[#This Row],[_WorkPerWorkday]]*(Tasks[[#This Row],[_StartWorkday]]-1)</f>
        <v>186.666666666667</v>
      </c>
      <c r="CU18" s="43" t="n">
        <f aca="false">IF(Tasks[[#This Row],[_IsLeaf]]=1,MAX(N(Tasks[[#This Row],[Duration]]),0.1),0)</f>
        <v>10</v>
      </c>
      <c r="CV18" s="43" t="n">
        <f aca="false">Tasks[[#This Row],[_WeightDur]]*Tasks[[#This Row],[_LeafProgress]]</f>
        <v>5</v>
      </c>
      <c r="CW1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12</v>
      </c>
      <c r="CX1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12</v>
      </c>
      <c r="CZ1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12</v>
      </c>
      <c r="DB18" s="43" t="str">
        <f aca="false">IF(AND(Tasks[[#This Row],[_IsLeaf]]=1,N(Tasks[[#This Row],[Duration]])=0,Tasks[[#This Row],[_LeafProgress]]&lt;1),Tasks[[#This Row],[_LeafFcstFinish]]+Tasks[[#This Row],[_Row]]/100000,"")</f>
        <v/>
      </c>
      <c r="DC1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1</v>
      </c>
      <c r="DD18" s="43" t="n">
        <f aca="false">IF(NOT(Tasks[[#This Row],[_IsLeaf]]=1),0,IF(Tasks[[#This Row],[Baseline Cost]]="",Tasks[[#This Row],[_LeafCost]],N(Tasks[[#This Row],[Baseline Cost]])))</f>
        <v>6800</v>
      </c>
      <c r="DE18" s="43" t="n">
        <f aca="false">Tasks[[#This Row],[_LeafBudget]]*Tasks[[#This Row],[_PlannedPct]]</f>
        <v>6800</v>
      </c>
      <c r="DF18" s="43" t="n">
        <f aca="false">Tasks[[#This Row],[_LeafBudget]]*Tasks[[#This Row],[_LeafProgress]]</f>
        <v>3400</v>
      </c>
      <c r="DG18" s="43" t="n">
        <f aca="false">IF(NOT(Tasks[[#This Row],[_IsLeaf]]=1),0,IF(Tasks[[#This Row],[Actual Cost]]="",Tasks[[#This Row],[_LeafCost]]*Tasks[[#This Row],[_LeafProgress]],N(Tasks[[#This Row],[Actual Cost]])))</f>
        <v>4080</v>
      </c>
      <c r="DH18" s="43" t="str">
        <f aca="false">IF(Tasks[[#This Row],[Task Name]]="","",LEFT(Tasks[[#This Row],[WBS]],FIND(".",Tasks[[#This Row],[WBS]]&amp;".")-1))</f>
        <v>3</v>
      </c>
      <c r="DI18" s="43" t="str">
        <f aca="false">IF(AND(Tasks[[#This Row],[Task Name]]&lt;&gt;"",Tasks[[#This Row],[_Level]]=1),Tasks[[#This Row],[_Row]],"")</f>
        <v/>
      </c>
      <c r="DJ18" s="43" t="str">
        <f aca="false">IF(AND(Tasks[[#This Row],[_IsLeaf]]=1,N(Tasks[[#This Row],[Duration]])=0),Tasks[[#This Row],[Planned Finish]]+Tasks[[#This Row],[_Row]]/100000,"")</f>
        <v/>
      </c>
      <c r="DK18" s="43" t="n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>6.999987</v>
      </c>
      <c r="DL1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8" s="88" t="n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>46325.00013</v>
      </c>
      <c r="DN18" s="88" t="n">
        <f aca="false">IF(Tasks[[#This Row],[_LeafCritical]],Tasks[[#This Row],[_LeafFcstStart]]+Tasks[[#This Row],[_Row]]/100000,"")</f>
        <v>46310.00013</v>
      </c>
      <c r="DO18" s="43" t="n">
        <f aca="false">Tasks[[#This Row],[_LeafWork]]*Tasks[[#This Row],[_LeafProgress]]</f>
        <v>40</v>
      </c>
      <c r="DP1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8" s="43" t="n">
        <f aca="false">IF(Tasks[[#This Row],[_IsLeaf]]=1,N(Tasks[[#This Row],[Story Points]]),0)</f>
        <v>8</v>
      </c>
      <c r="DR18" s="43" t="str">
        <f aca="false">IF(AND(Tasks[[#This Row],[_IsLeaf]]=1,CurrentSprint&lt;&gt;"",Tasks[[#This Row],[Sprint]]=CurrentSprint),Tasks[[#This Row],[_Row]],"")</f>
        <v/>
      </c>
    </row>
    <row r="19" customFormat="false" ht="15" hidden="false" customHeight="false" outlineLevel="0" collapsed="false">
      <c r="A19" s="28" t="n">
        <f aca="false">IF(Tasks[[#This Row],[Task Name]]="","",COUNTA(Tasks[[#Headers],[Task Name]]:Tasks[[#This Row],[Task Name]])-1)</f>
        <v>14</v>
      </c>
      <c r="B19" s="29" t="n">
        <v>14</v>
      </c>
      <c r="C1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3.1.3</v>
      </c>
      <c r="D19" s="29" t="n">
        <v>3</v>
      </c>
      <c r="E19" s="30" t="s">
        <v>485</v>
      </c>
      <c r="F19" s="29" t="s">
        <v>459</v>
      </c>
      <c r="G19" s="29" t="n">
        <v>6</v>
      </c>
      <c r="H19" s="29" t="n">
        <v>13</v>
      </c>
      <c r="I19" s="29" t="s">
        <v>464</v>
      </c>
      <c r="J19" s="29"/>
      <c r="K19" s="29"/>
      <c r="L19" s="29"/>
      <c r="M19" s="29"/>
      <c r="N19" s="72"/>
      <c r="O19" s="72"/>
      <c r="P19" s="25" t="n">
        <f aca="false">IF(Tasks[[#This Row],[Task Name]]="","",IF(N(Tasks[[#This Row],[Baseline Start]])&gt;0,Tasks[[#This Row],[Baseline Start]],Tasks[[#This Row],[_CalcStart]]))</f>
        <v>46318</v>
      </c>
      <c r="Q19" s="25" t="n">
        <f aca="false">IF(Tasks[[#This Row],[Task Name]]="","",IF(N(Tasks[[#This Row],[Baseline Finish]])&gt;0,Tasks[[#This Row],[Baseline Finish]],Tasks[[#This Row],[_CalcFinish]]))</f>
        <v>46325</v>
      </c>
      <c r="R19" s="72"/>
      <c r="S19" s="72"/>
      <c r="T19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46328</v>
      </c>
      <c r="U19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46335</v>
      </c>
      <c r="V19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6</v>
      </c>
      <c r="W19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6</v>
      </c>
      <c r="X19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46325</v>
      </c>
      <c r="Y19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46332</v>
      </c>
      <c r="Z19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-1</v>
      </c>
      <c r="AA19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-1</v>
      </c>
      <c r="AB1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1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9" s="74"/>
      <c r="AF19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1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Late Start</v>
      </c>
      <c r="AH19" s="30" t="s">
        <v>482</v>
      </c>
      <c r="AI19" s="74"/>
      <c r="AJ19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48</v>
      </c>
      <c r="AK19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4080</v>
      </c>
      <c r="AL19" s="83"/>
      <c r="AM19" s="29"/>
      <c r="AN1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5</v>
      </c>
      <c r="AO19" s="84" t="n">
        <v>5</v>
      </c>
      <c r="AP19" s="24" t="str">
        <f aca="false">IF(Tasks[[#This Row],[Task Name]]="","",Tasks[[#This Row],[_Pred1IDText]]&amp;IF(AND(Tasks[[#This Row],[_Pred1IDText]]&lt;&gt;"",Tasks[[#This Row],[_Pred2IDText]]&lt;&gt;""),",","")&amp;Tasks[[#This Row],[_Pred2IDText]])</f>
        <v>13</v>
      </c>
      <c r="AQ19" s="30"/>
      <c r="AR19" s="25" t="n">
        <f aca="false">IF(Tasks[[#This Row],[Task Name]]="","",Tasks[[#This Row],[Forecast Start]])</f>
        <v>46328</v>
      </c>
      <c r="AS19" s="25" t="n">
        <f aca="false">IF(Tasks[[#This Row],[Task Name]]="","",Tasks[[#This Row],[Forecast Finish]])</f>
        <v>46335</v>
      </c>
      <c r="AT19" s="28" t="n">
        <f aca="false">IF(Tasks[[#This Row],[Task Name]]="","",IF(Tasks[[#This Row],[_IsSummary]],NETWORKDAYS.INTL(Tasks[[#This Row],[Forecast Start]],Tasks[[#This Row],[Forecast Finish]],WorkWeek,Holidays),N(Tasks[[#This Row],[Duration]])))</f>
        <v>6</v>
      </c>
      <c r="AU19" s="81" t="n">
        <f aca="false">IF(Tasks[[#This Row],[Task Name]]="","",Tasks[[#This Row],[Work]])</f>
        <v>48</v>
      </c>
      <c r="AV19" s="82" t="n">
        <f aca="false">IF(Tasks[[#This Row],[Task Name]]="","",Tasks[[#This Row],[Cost]])</f>
        <v>4080</v>
      </c>
      <c r="AW19" s="72"/>
      <c r="AX19" s="72"/>
      <c r="AY19" s="29"/>
      <c r="AZ19" s="85"/>
      <c r="BA19" s="83"/>
      <c r="BB19" s="28" t="str">
        <f aca="false">IF(OR(Tasks[[#This Row],[Task Name]]="",Tasks[[#This Row],[Baseline Duration]]=""),"",Tasks[[#This Row],[BL Source Duration]]-N(Tasks[[#This Row],[Baseline Duration]]))</f>
        <v/>
      </c>
      <c r="BC19" s="81" t="str">
        <f aca="false">IF(OR(Tasks[[#This Row],[Task Name]]="",Tasks[[#This Row],[Baseline Work]]=""),"",Tasks[[#This Row],[Work]]-N(Tasks[[#This Row],[Baseline Work]]))</f>
        <v/>
      </c>
      <c r="BD19" s="82" t="str">
        <f aca="false">IF(OR(Tasks[[#This Row],[Task Name]]="",Tasks[[#This Row],[Baseline Cost]]=""),"",Tasks[[#This Row],[Cost]]-N(Tasks[[#This Row],[Baseline Cost]]))</f>
        <v/>
      </c>
      <c r="BE19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4080</v>
      </c>
      <c r="BF19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680</v>
      </c>
      <c r="BG19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19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19" s="43" t="n">
        <f aca="false">IF(Tasks[[#This Row],[Task Name]]="","",MAX(1,N(Tasks[[#This Row],[Level]])))</f>
        <v>3</v>
      </c>
      <c r="BJ19" s="43" t="n">
        <f aca="false">ROW()-ROW(Tasks[[#Headers],[ID]])</f>
        <v>14</v>
      </c>
      <c r="BK1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16</v>
      </c>
      <c r="BL19" s="43" t="n">
        <f aca="false">IFERROR(N(INDEX(Tasks[_Level],Tasks[[#This Row],[_Row]]+1)),0)</f>
        <v>2</v>
      </c>
      <c r="BM19" s="86" t="b">
        <f aca="false">AND(Tasks[[#This Row],[Task Name]]&lt;&gt;"",Tasks[[#This Row],[_NextLevel]]&gt;Tasks[[#This Row],[_Level]])</f>
        <v>0</v>
      </c>
      <c r="BN19" s="43" t="n">
        <f aca="false">IF(Tasks[[#This Row],[_IsSummary]],COUNTIF(Tasks[WBS],Tasks[[#This Row],[WBS]]&amp;".*"),0)</f>
        <v>0</v>
      </c>
      <c r="BO19" s="43" t="n">
        <f aca="false">IF(AND(Tasks[[#This Row],[Task Name]]&lt;&gt;"",NOT(Tasks[[#This Row],[_IsSummary]])),1,0)</f>
        <v>1</v>
      </c>
      <c r="BP19" s="43" t="n">
        <f aca="false">IF(N(Tasks[[#This Row],[Pred1 UID]])=0,0,IFERROR(MATCH(Tasks[[#This Row],[Pred1 UID]],Tasks[UID],0),-1))</f>
        <v>13</v>
      </c>
      <c r="BQ19" s="43" t="n">
        <f aca="false">IF(N(Tasks[[#This Row],[Pred2 UID]])=0,0,IFERROR(MATCH(Tasks[[#This Row],[Pred2 UID]],Tasks[UID],0),-1))</f>
        <v>0</v>
      </c>
      <c r="BR19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46318</v>
      </c>
      <c r="BS19" s="87" t="n">
        <f aca="false">IF(NOT(Tasks[[#This Row],[_IsLeaf]]=1),"",IF(N(Tasks[[#This Row],[Duration]])&lt;=0,Tasks[[#This Row],[_LeafCalcStart]],WORKDAY.INTL(Tasks[[#This Row],[_LeafCalcStart]],Tasks[[#This Row],[Duration]]-1,WorkWeek,Holidays)))</f>
        <v>46325</v>
      </c>
      <c r="BT19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46328</v>
      </c>
      <c r="BU19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46335</v>
      </c>
      <c r="BV19" s="43" t="n">
        <f aca="false">IF(NOT(Tasks[[#This Row],[_IsLeaf]]=1),0,IF(N(Tasks[[#This Row],[Actual Finish]])&gt;0,1,MIN(1,N(Tasks[[#This Row],[% Complete]]))))</f>
        <v>0</v>
      </c>
      <c r="BW19" s="43" t="n">
        <f aca="false">IF(OR(NOT(Tasks[[#This Row],[_IsLeaf]]=1),Tasks[[#This Row],[Resource]]=""),0,N(Tasks[[#This Row],[Duration]])*HoursPerDay*IF(Tasks[[#This Row],[Units]]="",DefaultUnits,Tasks[[#This Row],[Units]]))</f>
        <v>48</v>
      </c>
      <c r="BX19" s="43" t="n">
        <f aca="false">IF(Tasks[[#This Row],[_LeafWork]]=0,0,Tasks[[#This Row],[_LeafWork]]*IFERROR(INDEX(res_Rate,MATCH(Tasks[[#This Row],[Resource]],res_Name,0)),0))</f>
        <v>4080</v>
      </c>
      <c r="BY19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2912141</v>
      </c>
      <c r="BZ1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9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1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9" s="43" t="n">
        <f aca="false">IF(NOT(Tasks[[#This Row],[_IsLeaf]]=1),0,MAX(_xlfn.MAXIFS(Tasks[_Row],Tasks[Pred1 UID],Tasks[[#This Row],[UID]]),_xlfn.MAXIFS(Tasks[_Row],Tasks[Pred2 UID],Tasks[[#This Row],[UID]])))</f>
        <v>19</v>
      </c>
      <c r="CD19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46332</v>
      </c>
      <c r="CE19" s="87" t="n">
        <f aca="false">IF(NOT(Tasks[[#This Row],[_IsLeaf]]=1),"",MIN(ProjectFinish,IF(N(Tasks[[#This Row],[Deadline]])&gt;0,Tasks[[#This Row],[Deadline]],2958465),Tasks[[#This Row],[_SuccessorFinishLimit]]))</f>
        <v>46332</v>
      </c>
      <c r="CF19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46325</v>
      </c>
      <c r="CG19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-1</v>
      </c>
      <c r="CH19" s="86" t="b">
        <f aca="false">AND(Tasks[[#This Row],[_IsLeaf]]=1,Tasks[[#This Row],[_LeafProgress]]&lt;1,N(Tasks[[#This Row],[_LeafTotalSlack]])&lt;=CriticalSlackDays)</f>
        <v>1</v>
      </c>
      <c r="CI19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46318</v>
      </c>
      <c r="CJ19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46325</v>
      </c>
      <c r="CK1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46318</v>
      </c>
      <c r="CN1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46328</v>
      </c>
      <c r="CP1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9" s="43" t="n">
        <f aca="false">IF(AND(Tasks[[#This Row],[_IsLeaf]]=1,Tasks[[#This Row],[_LeafWork]]&gt;0),NETWORKDAYS.INTL(ProjectStart,Tasks[[#This Row],[_LeafFcstStart]],WorkWeek,Holidays),0)</f>
        <v>41</v>
      </c>
      <c r="CR19" s="43" t="n">
        <f aca="false">IF(AND(Tasks[[#This Row],[_IsLeaf]]=1,Tasks[[#This Row],[_LeafWork]]&gt;0),MAX(Tasks[[#This Row],[_StartWorkday]],NETWORKDAYS.INTL(ProjectStart,Tasks[[#This Row],[_LeafFcstFinish]],WorkWeek,Holidays)),0)</f>
        <v>46</v>
      </c>
      <c r="CS19" s="43" t="n">
        <f aca="false">IF(AND(Tasks[[#This Row],[_IsLeaf]]=1,Tasks[[#This Row],[_LeafWork]]&gt;0),Tasks[[#This Row],[_LeafWork]]/(Tasks[[#This Row],[_FinishWorkday]]-Tasks[[#This Row],[_StartWorkday]]+1),0)</f>
        <v>8</v>
      </c>
      <c r="CT19" s="43" t="n">
        <f aca="false">Tasks[[#This Row],[_WorkPerWorkday]]*(Tasks[[#This Row],[_StartWorkday]]-1)</f>
        <v>320</v>
      </c>
      <c r="CU19" s="43" t="n">
        <f aca="false">IF(Tasks[[#This Row],[_IsLeaf]]=1,MAX(N(Tasks[[#This Row],[Duration]]),0.1),0)</f>
        <v>6</v>
      </c>
      <c r="CV19" s="43" t="n">
        <f aca="false">Tasks[[#This Row],[_WeightDur]]*Tasks[[#This Row],[_LeafProgress]]</f>
        <v>0</v>
      </c>
      <c r="CW1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13</v>
      </c>
      <c r="CX1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13</v>
      </c>
      <c r="CZ1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13</v>
      </c>
      <c r="DB19" s="43" t="str">
        <f aca="false">IF(AND(Tasks[[#This Row],[_IsLeaf]]=1,N(Tasks[[#This Row],[Duration]])=0,Tasks[[#This Row],[_LeafProgress]]&lt;1),Tasks[[#This Row],[_LeafFcstFinish]]+Tasks[[#This Row],[_Row]]/100000,"")</f>
        <v/>
      </c>
      <c r="DC1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0.166666666666667</v>
      </c>
      <c r="DD19" s="43" t="n">
        <f aca="false">IF(NOT(Tasks[[#This Row],[_IsLeaf]]=1),0,IF(Tasks[[#This Row],[Baseline Cost]]="",Tasks[[#This Row],[_LeafCost]],N(Tasks[[#This Row],[Baseline Cost]])))</f>
        <v>4080</v>
      </c>
      <c r="DE19" s="43" t="n">
        <f aca="false">Tasks[[#This Row],[_LeafBudget]]*Tasks[[#This Row],[_PlannedPct]]</f>
        <v>680</v>
      </c>
      <c r="DF19" s="43" t="n">
        <f aca="false">Tasks[[#This Row],[_LeafBudget]]*Tasks[[#This Row],[_LeafProgress]]</f>
        <v>0</v>
      </c>
      <c r="DG19" s="43" t="n">
        <f aca="false">IF(NOT(Tasks[[#This Row],[_IsLeaf]]=1),0,IF(Tasks[[#This Row],[Actual Cost]]="",Tasks[[#This Row],[_LeafCost]]*Tasks[[#This Row],[_LeafProgress]],N(Tasks[[#This Row],[Actual Cost]])))</f>
        <v>0</v>
      </c>
      <c r="DH19" s="43" t="str">
        <f aca="false">IF(Tasks[[#This Row],[Task Name]]="","",LEFT(Tasks[[#This Row],[WBS]],FIND(".",Tasks[[#This Row],[WBS]]&amp;".")-1))</f>
        <v>3</v>
      </c>
      <c r="DI19" s="43" t="str">
        <f aca="false">IF(AND(Tasks[[#This Row],[Task Name]]&lt;&gt;"",Tasks[[#This Row],[_Level]]=1),Tasks[[#This Row],[_Row]],"")</f>
        <v/>
      </c>
      <c r="DJ19" s="43" t="str">
        <f aca="false">IF(AND(Tasks[[#This Row],[_IsLeaf]]=1,N(Tasks[[#This Row],[Duration]])=0),Tasks[[#This Row],[Planned Finish]]+Tasks[[#This Row],[_Row]]/100000,"")</f>
        <v/>
      </c>
      <c r="DK19" s="43" t="n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>6.999986</v>
      </c>
      <c r="DL19" s="88" t="n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>46328.00014</v>
      </c>
      <c r="DM1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9" s="88" t="n">
        <f aca="false">IF(Tasks[[#This Row],[_LeafCritical]],Tasks[[#This Row],[_LeafFcstStart]]+Tasks[[#This Row],[_Row]]/100000,"")</f>
        <v>46328.00014</v>
      </c>
      <c r="DO19" s="43" t="n">
        <f aca="false">Tasks[[#This Row],[_LeafWork]]*Tasks[[#This Row],[_LeafProgress]]</f>
        <v>0</v>
      </c>
      <c r="DP1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9" s="43" t="n">
        <f aca="false">IF(Tasks[[#This Row],[_IsLeaf]]=1,N(Tasks[[#This Row],[Story Points]]),0)</f>
        <v>5</v>
      </c>
      <c r="DR19" s="43" t="str">
        <f aca="false">IF(AND(Tasks[[#This Row],[_IsLeaf]]=1,CurrentSprint&lt;&gt;"",Tasks[[#This Row],[Sprint]]=CurrentSprint),Tasks[[#This Row],[_Row]],"")</f>
        <v/>
      </c>
    </row>
    <row r="20" customFormat="false" ht="15" hidden="false" customHeight="false" outlineLevel="0" collapsed="false">
      <c r="A20" s="28" t="n">
        <f aca="false">IF(Tasks[[#This Row],[Task Name]]="","",COUNTA(Tasks[[#Headers],[Task Name]]:Tasks[[#This Row],[Task Name]])-1)</f>
        <v>15</v>
      </c>
      <c r="B20" s="29" t="n">
        <v>15</v>
      </c>
      <c r="C2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3.2</v>
      </c>
      <c r="D20" s="29" t="n">
        <v>2</v>
      </c>
      <c r="E20" s="30" t="s">
        <v>486</v>
      </c>
      <c r="F20" s="29" t="s">
        <v>459</v>
      </c>
      <c r="G20" s="29"/>
      <c r="H20" s="29"/>
      <c r="I20" s="29"/>
      <c r="J20" s="29"/>
      <c r="K20" s="29"/>
      <c r="L20" s="29"/>
      <c r="M20" s="29"/>
      <c r="N20" s="72"/>
      <c r="O20" s="72"/>
      <c r="P20" s="25" t="n">
        <f aca="false">IF(Tasks[[#This Row],[Task Name]]="","",IF(N(Tasks[[#This Row],[Baseline Start]])&gt;0,Tasks[[#This Row],[Baseline Start]],Tasks[[#This Row],[_CalcStart]]))</f>
        <v>46297</v>
      </c>
      <c r="Q20" s="25" t="n">
        <f aca="false">IF(Tasks[[#This Row],[Task Name]]="","",IF(N(Tasks[[#This Row],[Baseline Finish]])&gt;0,Tasks[[#This Row],[Baseline Finish]],Tasks[[#This Row],[_CalcFinish]]))</f>
        <v>46324</v>
      </c>
      <c r="R20" s="72"/>
      <c r="S20" s="72"/>
      <c r="T20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46302</v>
      </c>
      <c r="U20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46332</v>
      </c>
      <c r="V20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3</v>
      </c>
      <c r="W20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6</v>
      </c>
      <c r="X20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46308</v>
      </c>
      <c r="Y20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46332</v>
      </c>
      <c r="Z20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0</v>
      </c>
      <c r="AA2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2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2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0" s="74"/>
      <c r="AF20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0.428571428571429</v>
      </c>
      <c r="AG2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Behind</v>
      </c>
      <c r="AH20" s="30"/>
      <c r="AI20" s="74"/>
      <c r="AJ20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156</v>
      </c>
      <c r="AK20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12420</v>
      </c>
      <c r="AL20" s="83"/>
      <c r="AM20" s="29"/>
      <c r="AN2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20" s="84"/>
      <c r="AP2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20" s="30"/>
      <c r="AR20" s="25" t="n">
        <f aca="false">IF(Tasks[[#This Row],[Task Name]]="","",Tasks[[#This Row],[Forecast Start]])</f>
        <v>46302</v>
      </c>
      <c r="AS20" s="25" t="n">
        <f aca="false">IF(Tasks[[#This Row],[Task Name]]="","",Tasks[[#This Row],[Forecast Finish]])</f>
        <v>46332</v>
      </c>
      <c r="AT20" s="28" t="n">
        <f aca="false">IF(Tasks[[#This Row],[Task Name]]="","",IF(Tasks[[#This Row],[_IsSummary]],NETWORKDAYS.INTL(Tasks[[#This Row],[Forecast Start]],Tasks[[#This Row],[Forecast Finish]],WorkWeek,Holidays),N(Tasks[[#This Row],[Duration]])))</f>
        <v>23</v>
      </c>
      <c r="AU20" s="81" t="n">
        <f aca="false">IF(Tasks[[#This Row],[Task Name]]="","",Tasks[[#This Row],[Work]])</f>
        <v>156</v>
      </c>
      <c r="AV20" s="82" t="n">
        <f aca="false">IF(Tasks[[#This Row],[Task Name]]="","",Tasks[[#This Row],[Cost]])</f>
        <v>12420</v>
      </c>
      <c r="AW20" s="72"/>
      <c r="AX20" s="72"/>
      <c r="AY20" s="29"/>
      <c r="AZ20" s="85"/>
      <c r="BA20" s="83"/>
      <c r="BB20" s="28" t="str">
        <f aca="false">IF(OR(Tasks[[#This Row],[Task Name]]="",Tasks[[#This Row],[Baseline Duration]]=""),"",Tasks[[#This Row],[BL Source Duration]]-N(Tasks[[#This Row],[Baseline Duration]]))</f>
        <v/>
      </c>
      <c r="BC20" s="81" t="str">
        <f aca="false">IF(OR(Tasks[[#This Row],[Task Name]]="",Tasks[[#This Row],[Baseline Work]]=""),"",Tasks[[#This Row],[Work]]-N(Tasks[[#This Row],[Baseline Work]]))</f>
        <v/>
      </c>
      <c r="BD20" s="82" t="str">
        <f aca="false">IF(OR(Tasks[[#This Row],[Task Name]]="",Tasks[[#This Row],[Baseline Cost]]=""),"",Tasks[[#This Row],[Cost]]-N(Tasks[[#This Row],[Baseline Cost]]))</f>
        <v/>
      </c>
      <c r="BE20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12420</v>
      </c>
      <c r="BF20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9600</v>
      </c>
      <c r="BG20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5760</v>
      </c>
      <c r="BH20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5760</v>
      </c>
      <c r="BI20" s="43" t="n">
        <f aca="false">IF(Tasks[[#This Row],[Task Name]]="","",MAX(1,N(Tasks[[#This Row],[Level]])))</f>
        <v>2</v>
      </c>
      <c r="BJ20" s="43" t="n">
        <f aca="false">ROW()-ROW(Tasks[[#Headers],[ID]])</f>
        <v>15</v>
      </c>
      <c r="BK2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15</v>
      </c>
      <c r="BL20" s="43" t="n">
        <f aca="false">IFERROR(N(INDEX(Tasks[_Level],Tasks[[#This Row],[_Row]]+1)),0)</f>
        <v>3</v>
      </c>
      <c r="BM20" s="86" t="b">
        <f aca="false">AND(Tasks[[#This Row],[Task Name]]&lt;&gt;"",Tasks[[#This Row],[_NextLevel]]&gt;Tasks[[#This Row],[_Level]])</f>
        <v>1</v>
      </c>
      <c r="BN20" s="43" t="n">
        <f aca="false">IF(Tasks[[#This Row],[_IsSummary]],COUNTIF(Tasks[WBS],Tasks[[#This Row],[WBS]]&amp;".*"),0)</f>
        <v>3</v>
      </c>
      <c r="BO20" s="43" t="n">
        <f aca="false">IF(AND(Tasks[[#This Row],[Task Name]]&lt;&gt;"",NOT(Tasks[[#This Row],[_IsSummary]])),1,0)</f>
        <v>0</v>
      </c>
      <c r="BP20" s="43" t="n">
        <f aca="false">IF(N(Tasks[[#This Row],[Pred1 UID]])=0,0,IFERROR(MATCH(Tasks[[#This Row],[Pred1 UID]],Tasks[UID],0),-1))</f>
        <v>0</v>
      </c>
      <c r="BQ20" s="43" t="n">
        <f aca="false">IF(N(Tasks[[#This Row],[Pred2 UID]])=0,0,IFERROR(MATCH(Tasks[[#This Row],[Pred2 UID]],Tasks[UID],0),-1))</f>
        <v>0</v>
      </c>
      <c r="BR2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2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2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2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20" s="43" t="n">
        <f aca="false">IF(NOT(Tasks[[#This Row],[_IsLeaf]]=1),0,IF(N(Tasks[[#This Row],[Actual Finish]])&gt;0,1,MIN(1,N(Tasks[[#This Row],[% Complete]]))))</f>
        <v>0</v>
      </c>
      <c r="BW2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20" s="43" t="n">
        <f aca="false">IF(Tasks[[#This Row],[_LeafWork]]=0,0,Tasks[[#This Row],[_LeafWork]]*IFERROR(INDEX(res_Rate,MATCH(Tasks[[#This Row],[Resource]],res_Name,0)),0))</f>
        <v>0</v>
      </c>
      <c r="BY2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2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2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0" s="43" t="n">
        <f aca="false">IF(NOT(Tasks[[#This Row],[_IsLeaf]]=1),0,MAX(_xlfn.MAXIFS(Tasks[_Row],Tasks[Pred1 UID],Tasks[[#This Row],[UID]]),_xlfn.MAXIFS(Tasks[_Row],Tasks[Pred2 UID],Tasks[[#This Row],[UID]])))</f>
        <v>0</v>
      </c>
      <c r="CD2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20" s="87" t="str">
        <f aca="false">IF(NOT(Tasks[[#This Row],[_IsLeaf]]=1),"",MIN(ProjectFinish,IF(N(Tasks[[#This Row],[Deadline]])&gt;0,Tasks[[#This Row],[Deadline]],2958465),Tasks[[#This Row],[_SuccessorFinishLimit]]))</f>
        <v/>
      </c>
      <c r="CF2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2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20" s="86" t="b">
        <f aca="false">AND(Tasks[[#This Row],[_IsLeaf]]=1,Tasks[[#This Row],[_LeafProgress]]&lt;1,N(Tasks[[#This Row],[_LeafTotalSlack]])&lt;=CriticalSlackDays)</f>
        <v>0</v>
      </c>
      <c r="CI20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46297</v>
      </c>
      <c r="CJ20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46324</v>
      </c>
      <c r="CK2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2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2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0" s="43" t="n">
        <f aca="false">IF(AND(Tasks[[#This Row],[_IsLeaf]]=1,Tasks[[#This Row],[_LeafWork]]&gt;0),NETWORKDAYS.INTL(ProjectStart,Tasks[[#This Row],[_LeafFcstStart]],WorkWeek,Holidays),0)</f>
        <v>0</v>
      </c>
      <c r="CR2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20" s="43" t="n">
        <f aca="false">IF(AND(Tasks[[#This Row],[_IsLeaf]]=1,Tasks[[#This Row],[_LeafWork]]&gt;0),Tasks[[#This Row],[_LeafWork]]/(Tasks[[#This Row],[_FinishWorkday]]-Tasks[[#This Row],[_StartWorkday]]+1),0)</f>
        <v>0</v>
      </c>
      <c r="CT20" s="43" t="n">
        <f aca="false">Tasks[[#This Row],[_WorkPerWorkday]]*(Tasks[[#This Row],[_StartWorkday]]-1)</f>
        <v>-0</v>
      </c>
      <c r="CU20" s="43" t="n">
        <f aca="false">IF(Tasks[[#This Row],[_IsLeaf]]=1,MAX(N(Tasks[[#This Row],[Duration]]),0.1),0)</f>
        <v>0</v>
      </c>
      <c r="CV20" s="43" t="n">
        <f aca="false">Tasks[[#This Row],[_WeightDur]]*Tasks[[#This Row],[_LeafProgress]]</f>
        <v>0</v>
      </c>
      <c r="CW2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2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2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20" s="43" t="str">
        <f aca="false">IF(AND(Tasks[[#This Row],[_IsLeaf]]=1,N(Tasks[[#This Row],[Duration]])=0,Tasks[[#This Row],[_LeafProgress]]&lt;1),Tasks[[#This Row],[_LeafFcstFinish]]+Tasks[[#This Row],[_Row]]/100000,"")</f>
        <v/>
      </c>
      <c r="DC2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0" s="43" t="n">
        <f aca="false">IF(NOT(Tasks[[#This Row],[_IsLeaf]]=1),0,IF(Tasks[[#This Row],[Baseline Cost]]="",Tasks[[#This Row],[_LeafCost]],N(Tasks[[#This Row],[Baseline Cost]])))</f>
        <v>0</v>
      </c>
      <c r="DE20" s="43" t="n">
        <f aca="false">Tasks[[#This Row],[_LeafBudget]]*Tasks[[#This Row],[_PlannedPct]]</f>
        <v>0</v>
      </c>
      <c r="DF20" s="43" t="n">
        <f aca="false">Tasks[[#This Row],[_LeafBudget]]*Tasks[[#This Row],[_LeafProgress]]</f>
        <v>0</v>
      </c>
      <c r="DG20" s="43" t="n">
        <f aca="false">IF(NOT(Tasks[[#This Row],[_IsLeaf]]=1),0,IF(Tasks[[#This Row],[Actual Cost]]="",Tasks[[#This Row],[_LeafCost]]*Tasks[[#This Row],[_LeafProgress]],N(Tasks[[#This Row],[Actual Cost]])))</f>
        <v>0</v>
      </c>
      <c r="DH20" s="43" t="str">
        <f aca="false">IF(Tasks[[#This Row],[Task Name]]="","",LEFT(Tasks[[#This Row],[WBS]],FIND(".",Tasks[[#This Row],[WBS]]&amp;".")-1))</f>
        <v>3</v>
      </c>
      <c r="DI20" s="43" t="str">
        <f aca="false">IF(AND(Tasks[[#This Row],[Task Name]]&lt;&gt;"",Tasks[[#This Row],[_Level]]=1),Tasks[[#This Row],[_Row]],"")</f>
        <v/>
      </c>
      <c r="DJ20" s="43" t="str">
        <f aca="false">IF(AND(Tasks[[#This Row],[_IsLeaf]]=1,N(Tasks[[#This Row],[Duration]])=0),Tasks[[#This Row],[Planned Finish]]+Tasks[[#This Row],[_Row]]/100000,"")</f>
        <v/>
      </c>
      <c r="DK2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2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0" s="43" t="str">
        <f aca="false">IF(Tasks[[#This Row],[_LeafCritical]],Tasks[[#This Row],[_LeafFcstStart]]+Tasks[[#This Row],[_Row]]/100000,"")</f>
        <v/>
      </c>
      <c r="DO20" s="43" t="n">
        <f aca="false">Tasks[[#This Row],[_LeafWork]]*Tasks[[#This Row],[_LeafProgress]]</f>
        <v>0</v>
      </c>
      <c r="DP2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0" s="43" t="n">
        <f aca="false">IF(Tasks[[#This Row],[_IsLeaf]]=1,N(Tasks[[#This Row],[Story Points]]),0)</f>
        <v>0</v>
      </c>
      <c r="DR20" s="43" t="str">
        <f aca="false">IF(AND(Tasks[[#This Row],[_IsLeaf]]=1,CurrentSprint&lt;&gt;"",Tasks[[#This Row],[Sprint]]=CurrentSprint),Tasks[[#This Row],[_Row]],"")</f>
        <v/>
      </c>
    </row>
    <row r="21" customFormat="false" ht="15" hidden="false" customHeight="false" outlineLevel="0" collapsed="false">
      <c r="A21" s="28" t="n">
        <f aca="false">IF(Tasks[[#This Row],[Task Name]]="","",COUNTA(Tasks[[#Headers],[Task Name]]:Tasks[[#This Row],[Task Name]])-1)</f>
        <v>16</v>
      </c>
      <c r="B21" s="29" t="n">
        <v>16</v>
      </c>
      <c r="C2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3.2.1</v>
      </c>
      <c r="D21" s="29" t="n">
        <v>3</v>
      </c>
      <c r="E21" s="30" t="s">
        <v>487</v>
      </c>
      <c r="F21" s="29" t="s">
        <v>459</v>
      </c>
      <c r="G21" s="29" t="n">
        <v>6</v>
      </c>
      <c r="H21" s="29" t="n">
        <v>9</v>
      </c>
      <c r="I21" s="29" t="s">
        <v>464</v>
      </c>
      <c r="J21" s="29"/>
      <c r="K21" s="29"/>
      <c r="L21" s="29"/>
      <c r="M21" s="29"/>
      <c r="N21" s="72"/>
      <c r="O21" s="72"/>
      <c r="P21" s="25" t="n">
        <f aca="false">IF(Tasks[[#This Row],[Task Name]]="","",IF(N(Tasks[[#This Row],[Baseline Start]])&gt;0,Tasks[[#This Row],[Baseline Start]],Tasks[[#This Row],[_CalcStart]]))</f>
        <v>46297</v>
      </c>
      <c r="Q21" s="25" t="n">
        <f aca="false">IF(Tasks[[#This Row],[Task Name]]="","",IF(N(Tasks[[#This Row],[Baseline Finish]])&gt;0,Tasks[[#This Row],[Baseline Finish]],Tasks[[#This Row],[_CalcFinish]]))</f>
        <v>46304</v>
      </c>
      <c r="R21" s="72" t="n">
        <v>46302</v>
      </c>
      <c r="S21" s="72" t="n">
        <v>46311</v>
      </c>
      <c r="T21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46302</v>
      </c>
      <c r="U21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46311</v>
      </c>
      <c r="V21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3</v>
      </c>
      <c r="W21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5</v>
      </c>
      <c r="X21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46308</v>
      </c>
      <c r="Y21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46315</v>
      </c>
      <c r="Z21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2</v>
      </c>
      <c r="AA21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2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2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1" s="74" t="n">
        <v>1</v>
      </c>
      <c r="AF21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1</v>
      </c>
      <c r="AG2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Complete</v>
      </c>
      <c r="AH21" s="30" t="s">
        <v>488</v>
      </c>
      <c r="AI21" s="74"/>
      <c r="AJ21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48</v>
      </c>
      <c r="AK21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3840</v>
      </c>
      <c r="AL21" s="83"/>
      <c r="AM21" s="29"/>
      <c r="AN2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3</v>
      </c>
      <c r="AO21" s="84" t="n">
        <v>5</v>
      </c>
      <c r="AP21" s="24" t="str">
        <f aca="false">IF(Tasks[[#This Row],[Task Name]]="","",Tasks[[#This Row],[_Pred1IDText]]&amp;IF(AND(Tasks[[#This Row],[_Pred1IDText]]&lt;&gt;"",Tasks[[#This Row],[_Pred2IDText]]&lt;&gt;""),",","")&amp;Tasks[[#This Row],[_Pred2IDText]])</f>
        <v>9</v>
      </c>
      <c r="AQ21" s="30"/>
      <c r="AR21" s="25" t="n">
        <f aca="false">IF(Tasks[[#This Row],[Task Name]]="","",Tasks[[#This Row],[Forecast Start]])</f>
        <v>46302</v>
      </c>
      <c r="AS21" s="25" t="n">
        <f aca="false">IF(Tasks[[#This Row],[Task Name]]="","",Tasks[[#This Row],[Forecast Finish]])</f>
        <v>46311</v>
      </c>
      <c r="AT21" s="28" t="n">
        <f aca="false">IF(Tasks[[#This Row],[Task Name]]="","",IF(Tasks[[#This Row],[_IsSummary]],NETWORKDAYS.INTL(Tasks[[#This Row],[Forecast Start]],Tasks[[#This Row],[Forecast Finish]],WorkWeek,Holidays),N(Tasks[[#This Row],[Duration]])))</f>
        <v>6</v>
      </c>
      <c r="AU21" s="81" t="n">
        <f aca="false">IF(Tasks[[#This Row],[Task Name]]="","",Tasks[[#This Row],[Work]])</f>
        <v>48</v>
      </c>
      <c r="AV21" s="82" t="n">
        <f aca="false">IF(Tasks[[#This Row],[Task Name]]="","",Tasks[[#This Row],[Cost]])</f>
        <v>3840</v>
      </c>
      <c r="AW21" s="72"/>
      <c r="AX21" s="72"/>
      <c r="AY21" s="29"/>
      <c r="AZ21" s="85"/>
      <c r="BA21" s="83"/>
      <c r="BB21" s="28" t="str">
        <f aca="false">IF(OR(Tasks[[#This Row],[Task Name]]="",Tasks[[#This Row],[Baseline Duration]]=""),"",Tasks[[#This Row],[BL Source Duration]]-N(Tasks[[#This Row],[Baseline Duration]]))</f>
        <v/>
      </c>
      <c r="BC21" s="81" t="str">
        <f aca="false">IF(OR(Tasks[[#This Row],[Task Name]]="",Tasks[[#This Row],[Baseline Work]]=""),"",Tasks[[#This Row],[Work]]-N(Tasks[[#This Row],[Baseline Work]]))</f>
        <v/>
      </c>
      <c r="BD21" s="82" t="str">
        <f aca="false">IF(OR(Tasks[[#This Row],[Task Name]]="",Tasks[[#This Row],[Baseline Cost]]=""),"",Tasks[[#This Row],[Cost]]-N(Tasks[[#This Row],[Baseline Cost]]))</f>
        <v/>
      </c>
      <c r="BE21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3840</v>
      </c>
      <c r="BF21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3840</v>
      </c>
      <c r="BG21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3840</v>
      </c>
      <c r="BH21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3840</v>
      </c>
      <c r="BI21" s="43" t="n">
        <f aca="false">IF(Tasks[[#This Row],[Task Name]]="","",MAX(1,N(Tasks[[#This Row],[Level]])))</f>
        <v>3</v>
      </c>
      <c r="BJ21" s="43" t="n">
        <f aca="false">ROW()-ROW(Tasks[[#Headers],[ID]])</f>
        <v>16</v>
      </c>
      <c r="BK2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20</v>
      </c>
      <c r="BL21" s="43" t="n">
        <f aca="false">IFERROR(N(INDEX(Tasks[_Level],Tasks[[#This Row],[_Row]]+1)),0)</f>
        <v>3</v>
      </c>
      <c r="BM21" s="86" t="b">
        <f aca="false">AND(Tasks[[#This Row],[Task Name]]&lt;&gt;"",Tasks[[#This Row],[_NextLevel]]&gt;Tasks[[#This Row],[_Level]])</f>
        <v>0</v>
      </c>
      <c r="BN21" s="43" t="n">
        <f aca="false">IF(Tasks[[#This Row],[_IsSummary]],COUNTIF(Tasks[WBS],Tasks[[#This Row],[WBS]]&amp;".*"),0)</f>
        <v>0</v>
      </c>
      <c r="BO21" s="43" t="n">
        <f aca="false">IF(AND(Tasks[[#This Row],[Task Name]]&lt;&gt;"",NOT(Tasks[[#This Row],[_IsSummary]])),1,0)</f>
        <v>1</v>
      </c>
      <c r="BP21" s="43" t="n">
        <f aca="false">IF(N(Tasks[[#This Row],[Pred1 UID]])=0,0,IFERROR(MATCH(Tasks[[#This Row],[Pred1 UID]],Tasks[UID],0),-1))</f>
        <v>9</v>
      </c>
      <c r="BQ21" s="43" t="n">
        <f aca="false">IF(N(Tasks[[#This Row],[Pred2 UID]])=0,0,IFERROR(MATCH(Tasks[[#This Row],[Pred2 UID]],Tasks[UID],0),-1))</f>
        <v>0</v>
      </c>
      <c r="BR21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46297</v>
      </c>
      <c r="BS21" s="87" t="n">
        <f aca="false">IF(NOT(Tasks[[#This Row],[_IsLeaf]]=1),"",IF(N(Tasks[[#This Row],[Duration]])&lt;=0,Tasks[[#This Row],[_LeafCalcStart]],WORKDAY.INTL(Tasks[[#This Row],[_LeafCalcStart]],Tasks[[#This Row],[Duration]]-1,WorkWeek,Holidays)))</f>
        <v>46304</v>
      </c>
      <c r="BT21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46302</v>
      </c>
      <c r="BU21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46311</v>
      </c>
      <c r="BV21" s="43" t="n">
        <f aca="false">IF(NOT(Tasks[[#This Row],[_IsLeaf]]=1),0,IF(N(Tasks[[#This Row],[Actual Finish]])&gt;0,1,MIN(1,N(Tasks[[#This Row],[% Complete]]))))</f>
        <v>1</v>
      </c>
      <c r="BW21" s="43" t="n">
        <f aca="false">IF(OR(NOT(Tasks[[#This Row],[_IsLeaf]]=1),Tasks[[#This Row],[Resource]]=""),0,N(Tasks[[#This Row],[Duration]])*HoursPerDay*IF(Tasks[[#This Row],[Units]]="",DefaultUnits,Tasks[[#This Row],[Units]]))</f>
        <v>48</v>
      </c>
      <c r="BX21" s="43" t="n">
        <f aca="false">IF(Tasks[[#This Row],[_LeafWork]]=0,0,Tasks[[#This Row],[_LeafWork]]*IFERROR(INDEX(res_Rate,MATCH(Tasks[[#This Row],[Resource]],res_Name,0)),0))</f>
        <v>3840</v>
      </c>
      <c r="BY21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2912158</v>
      </c>
      <c r="BZ2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1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2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1" s="43" t="n">
        <f aca="false">IF(NOT(Tasks[[#This Row],[_IsLeaf]]=1),0,MAX(_xlfn.MAXIFS(Tasks[_Row],Tasks[Pred1 UID],Tasks[[#This Row],[UID]]),_xlfn.MAXIFS(Tasks[_Row],Tasks[Pred2 UID],Tasks[[#This Row],[UID]])))</f>
        <v>17</v>
      </c>
      <c r="CD21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46315</v>
      </c>
      <c r="CE21" s="87" t="n">
        <f aca="false">IF(NOT(Tasks[[#This Row],[_IsLeaf]]=1),"",MIN(ProjectFinish,IF(N(Tasks[[#This Row],[Deadline]])&gt;0,Tasks[[#This Row],[Deadline]],2958465),Tasks[[#This Row],[_SuccessorFinishLimit]]))</f>
        <v>46315</v>
      </c>
      <c r="CF21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46308</v>
      </c>
      <c r="CG21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2</v>
      </c>
      <c r="CH21" s="86" t="b">
        <f aca="false">AND(Tasks[[#This Row],[_IsLeaf]]=1,Tasks[[#This Row],[_LeafProgress]]&lt;1,N(Tasks[[#This Row],[_LeafTotalSlack]])&lt;=CriticalSlackDays)</f>
        <v>0</v>
      </c>
      <c r="CI21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46297</v>
      </c>
      <c r="CJ21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46304</v>
      </c>
      <c r="CK2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46297</v>
      </c>
      <c r="CN2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46302</v>
      </c>
      <c r="CP2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1" s="43" t="n">
        <f aca="false">IF(AND(Tasks[[#This Row],[_IsLeaf]]=1,Tasks[[#This Row],[_LeafWork]]&gt;0),NETWORKDAYS.INTL(ProjectStart,Tasks[[#This Row],[_LeafFcstStart]],WorkWeek,Holidays),0)</f>
        <v>23</v>
      </c>
      <c r="CR21" s="43" t="n">
        <f aca="false">IF(AND(Tasks[[#This Row],[_IsLeaf]]=1,Tasks[[#This Row],[_LeafWork]]&gt;0),MAX(Tasks[[#This Row],[_StartWorkday]],NETWORKDAYS.INTL(ProjectStart,Tasks[[#This Row],[_LeafFcstFinish]],WorkWeek,Holidays)),0)</f>
        <v>30</v>
      </c>
      <c r="CS21" s="43" t="n">
        <f aca="false">IF(AND(Tasks[[#This Row],[_IsLeaf]]=1,Tasks[[#This Row],[_LeafWork]]&gt;0),Tasks[[#This Row],[_LeafWork]]/(Tasks[[#This Row],[_FinishWorkday]]-Tasks[[#This Row],[_StartWorkday]]+1),0)</f>
        <v>6</v>
      </c>
      <c r="CT21" s="43" t="n">
        <f aca="false">Tasks[[#This Row],[_WorkPerWorkday]]*(Tasks[[#This Row],[_StartWorkday]]-1)</f>
        <v>132</v>
      </c>
      <c r="CU21" s="43" t="n">
        <f aca="false">IF(Tasks[[#This Row],[_IsLeaf]]=1,MAX(N(Tasks[[#This Row],[Duration]]),0.1),0)</f>
        <v>6</v>
      </c>
      <c r="CV21" s="43" t="n">
        <f aca="false">Tasks[[#This Row],[_WeightDur]]*Tasks[[#This Row],[_LeafProgress]]</f>
        <v>6</v>
      </c>
      <c r="CW2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9</v>
      </c>
      <c r="CX2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9</v>
      </c>
      <c r="CZ2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9</v>
      </c>
      <c r="DB21" s="43" t="str">
        <f aca="false">IF(AND(Tasks[[#This Row],[_IsLeaf]]=1,N(Tasks[[#This Row],[Duration]])=0,Tasks[[#This Row],[_LeafProgress]]&lt;1),Tasks[[#This Row],[_LeafFcstFinish]]+Tasks[[#This Row],[_Row]]/100000,"")</f>
        <v/>
      </c>
      <c r="DC2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1</v>
      </c>
      <c r="DD21" s="43" t="n">
        <f aca="false">IF(NOT(Tasks[[#This Row],[_IsLeaf]]=1),0,IF(Tasks[[#This Row],[Baseline Cost]]="",Tasks[[#This Row],[_LeafCost]],N(Tasks[[#This Row],[Baseline Cost]])))</f>
        <v>3840</v>
      </c>
      <c r="DE21" s="43" t="n">
        <f aca="false">Tasks[[#This Row],[_LeafBudget]]*Tasks[[#This Row],[_PlannedPct]]</f>
        <v>3840</v>
      </c>
      <c r="DF21" s="43" t="n">
        <f aca="false">Tasks[[#This Row],[_LeafBudget]]*Tasks[[#This Row],[_LeafProgress]]</f>
        <v>3840</v>
      </c>
      <c r="DG21" s="43" t="n">
        <f aca="false">IF(NOT(Tasks[[#This Row],[_IsLeaf]]=1),0,IF(Tasks[[#This Row],[Actual Cost]]="",Tasks[[#This Row],[_LeafCost]]*Tasks[[#This Row],[_LeafProgress]],N(Tasks[[#This Row],[Actual Cost]])))</f>
        <v>3840</v>
      </c>
      <c r="DH21" s="43" t="str">
        <f aca="false">IF(Tasks[[#This Row],[Task Name]]="","",LEFT(Tasks[[#This Row],[WBS]],FIND(".",Tasks[[#This Row],[WBS]]&amp;".")-1))</f>
        <v>3</v>
      </c>
      <c r="DI21" s="43" t="str">
        <f aca="false">IF(AND(Tasks[[#This Row],[Task Name]]&lt;&gt;"",Tasks[[#This Row],[_Level]]=1),Tasks[[#This Row],[_Row]],"")</f>
        <v/>
      </c>
      <c r="DJ21" s="43" t="str">
        <f aca="false">IF(AND(Tasks[[#This Row],[_IsLeaf]]=1,N(Tasks[[#This Row],[Duration]])=0),Tasks[[#This Row],[Planned Finish]]+Tasks[[#This Row],[_Row]]/100000,"")</f>
        <v/>
      </c>
      <c r="DK2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2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1" s="43" t="str">
        <f aca="false">IF(Tasks[[#This Row],[_LeafCritical]],Tasks[[#This Row],[_LeafFcstStart]]+Tasks[[#This Row],[_Row]]/100000,"")</f>
        <v/>
      </c>
      <c r="DO21" s="43" t="n">
        <f aca="false">Tasks[[#This Row],[_LeafWork]]*Tasks[[#This Row],[_LeafProgress]]</f>
        <v>48</v>
      </c>
      <c r="DP21" s="87" t="n">
        <f aca="false">IF(AND(Tasks[[#This Row],[_IsLeaf]]=1,Tasks[[#This Row],[_LeafProgress]]&gt;=1),IF(N(Tasks[[#This Row],[Actual Finish]])&gt;0,Tasks[[#This Row],[Actual Finish]],Tasks[[#This Row],[_LeafFcstFinish]]),"")</f>
        <v>46311</v>
      </c>
      <c r="DQ21" s="43" t="n">
        <f aca="false">IF(Tasks[[#This Row],[_IsLeaf]]=1,N(Tasks[[#This Row],[Story Points]]),0)</f>
        <v>5</v>
      </c>
      <c r="DR21" s="43" t="str">
        <f aca="false">IF(AND(Tasks[[#This Row],[_IsLeaf]]=1,CurrentSprint&lt;&gt;"",Tasks[[#This Row],[Sprint]]=CurrentSprint),Tasks[[#This Row],[_Row]],"")</f>
        <v/>
      </c>
    </row>
    <row r="22" customFormat="false" ht="15" hidden="false" customHeight="false" outlineLevel="0" collapsed="false">
      <c r="A22" s="28" t="n">
        <f aca="false">IF(Tasks[[#This Row],[Task Name]]="","",COUNTA(Tasks[[#Headers],[Task Name]]:Tasks[[#This Row],[Task Name]])-1)</f>
        <v>17</v>
      </c>
      <c r="B22" s="29" t="n">
        <v>17</v>
      </c>
      <c r="C2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3.2.2</v>
      </c>
      <c r="D22" s="29" t="n">
        <v>3</v>
      </c>
      <c r="E22" s="30" t="s">
        <v>489</v>
      </c>
      <c r="F22" s="29" t="s">
        <v>459</v>
      </c>
      <c r="G22" s="29" t="n">
        <v>12</v>
      </c>
      <c r="H22" s="29" t="n">
        <v>16</v>
      </c>
      <c r="I22" s="29" t="s">
        <v>464</v>
      </c>
      <c r="J22" s="29"/>
      <c r="K22" s="29" t="n">
        <v>13</v>
      </c>
      <c r="L22" s="29" t="s">
        <v>471</v>
      </c>
      <c r="M22" s="29" t="n">
        <v>2</v>
      </c>
      <c r="N22" s="72"/>
      <c r="O22" s="72"/>
      <c r="P22" s="25" t="n">
        <f aca="false">IF(Tasks[[#This Row],[Task Name]]="","",IF(N(Tasks[[#This Row],[Baseline Start]])&gt;0,Tasks[[#This Row],[Baseline Start]],Tasks[[#This Row],[_CalcStart]]))</f>
        <v>46308</v>
      </c>
      <c r="Q22" s="25" t="n">
        <f aca="false">IF(Tasks[[#This Row],[Task Name]]="","",IF(N(Tasks[[#This Row],[Baseline Finish]])&gt;0,Tasks[[#This Row],[Baseline Finish]],Tasks[[#This Row],[_CalcFinish]]))</f>
        <v>46323</v>
      </c>
      <c r="R22" s="72" t="n">
        <v>46314</v>
      </c>
      <c r="S22" s="72"/>
      <c r="T22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46314</v>
      </c>
      <c r="U22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46331</v>
      </c>
      <c r="V22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4</v>
      </c>
      <c r="W22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6</v>
      </c>
      <c r="X22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46316</v>
      </c>
      <c r="Y22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46331</v>
      </c>
      <c r="Z22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0</v>
      </c>
      <c r="AA22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2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2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2" s="74" t="n">
        <v>0.25</v>
      </c>
      <c r="AF22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0.25</v>
      </c>
      <c r="AG2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Behind</v>
      </c>
      <c r="AH22" s="30" t="s">
        <v>488</v>
      </c>
      <c r="AI22" s="74"/>
      <c r="AJ22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96</v>
      </c>
      <c r="AK22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7680</v>
      </c>
      <c r="AL22" s="83"/>
      <c r="AM22" s="29"/>
      <c r="AN2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4</v>
      </c>
      <c r="AO22" s="84" t="n">
        <v>8</v>
      </c>
      <c r="AP22" s="24" t="str">
        <f aca="false">IF(Tasks[[#This Row],[Task Name]]="","",Tasks[[#This Row],[_Pred1IDText]]&amp;IF(AND(Tasks[[#This Row],[_Pred1IDText]]&lt;&gt;"",Tasks[[#This Row],[_Pred2IDText]]&lt;&gt;""),",","")&amp;Tasks[[#This Row],[_Pred2IDText]])</f>
        <v>16,13SS+2d</v>
      </c>
      <c r="AQ22" s="30"/>
      <c r="AR22" s="25" t="n">
        <f aca="false">IF(Tasks[[#This Row],[Task Name]]="","",Tasks[[#This Row],[Forecast Start]])</f>
        <v>46314</v>
      </c>
      <c r="AS22" s="25" t="n">
        <f aca="false">IF(Tasks[[#This Row],[Task Name]]="","",Tasks[[#This Row],[Forecast Finish]])</f>
        <v>46331</v>
      </c>
      <c r="AT22" s="28" t="n">
        <f aca="false">IF(Tasks[[#This Row],[Task Name]]="","",IF(Tasks[[#This Row],[_IsSummary]],NETWORKDAYS.INTL(Tasks[[#This Row],[Forecast Start]],Tasks[[#This Row],[Forecast Finish]],WorkWeek,Holidays),N(Tasks[[#This Row],[Duration]])))</f>
        <v>12</v>
      </c>
      <c r="AU22" s="81" t="n">
        <f aca="false">IF(Tasks[[#This Row],[Task Name]]="","",Tasks[[#This Row],[Work]])</f>
        <v>96</v>
      </c>
      <c r="AV22" s="82" t="n">
        <f aca="false">IF(Tasks[[#This Row],[Task Name]]="","",Tasks[[#This Row],[Cost]])</f>
        <v>7680</v>
      </c>
      <c r="AW22" s="72"/>
      <c r="AX22" s="72"/>
      <c r="AY22" s="29"/>
      <c r="AZ22" s="85"/>
      <c r="BA22" s="83"/>
      <c r="BB22" s="28" t="str">
        <f aca="false">IF(OR(Tasks[[#This Row],[Task Name]]="",Tasks[[#This Row],[Baseline Duration]]=""),"",Tasks[[#This Row],[BL Source Duration]]-N(Tasks[[#This Row],[Baseline Duration]]))</f>
        <v/>
      </c>
      <c r="BC22" s="81" t="str">
        <f aca="false">IF(OR(Tasks[[#This Row],[Task Name]]="",Tasks[[#This Row],[Baseline Work]]=""),"",Tasks[[#This Row],[Work]]-N(Tasks[[#This Row],[Baseline Work]]))</f>
        <v/>
      </c>
      <c r="BD22" s="82" t="str">
        <f aca="false">IF(OR(Tasks[[#This Row],[Task Name]]="",Tasks[[#This Row],[Baseline Cost]]=""),"",Tasks[[#This Row],[Cost]]-N(Tasks[[#This Row],[Baseline Cost]]))</f>
        <v/>
      </c>
      <c r="BE22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7680</v>
      </c>
      <c r="BF22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5760</v>
      </c>
      <c r="BG22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1920</v>
      </c>
      <c r="BH22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1920</v>
      </c>
      <c r="BI22" s="43" t="n">
        <f aca="false">IF(Tasks[[#This Row],[Task Name]]="","",MAX(1,N(Tasks[[#This Row],[Level]])))</f>
        <v>3</v>
      </c>
      <c r="BJ22" s="43" t="n">
        <f aca="false">ROW()-ROW(Tasks[[#Headers],[ID]])</f>
        <v>17</v>
      </c>
      <c r="BK2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20</v>
      </c>
      <c r="BL22" s="43" t="n">
        <f aca="false">IFERROR(N(INDEX(Tasks[_Level],Tasks[[#This Row],[_Row]]+1)),0)</f>
        <v>3</v>
      </c>
      <c r="BM22" s="86" t="b">
        <f aca="false">AND(Tasks[[#This Row],[Task Name]]&lt;&gt;"",Tasks[[#This Row],[_NextLevel]]&gt;Tasks[[#This Row],[_Level]])</f>
        <v>0</v>
      </c>
      <c r="BN22" s="43" t="n">
        <f aca="false">IF(Tasks[[#This Row],[_IsSummary]],COUNTIF(Tasks[WBS],Tasks[[#This Row],[WBS]]&amp;".*"),0)</f>
        <v>0</v>
      </c>
      <c r="BO22" s="43" t="n">
        <f aca="false">IF(AND(Tasks[[#This Row],[Task Name]]&lt;&gt;"",NOT(Tasks[[#This Row],[_IsSummary]])),1,0)</f>
        <v>1</v>
      </c>
      <c r="BP22" s="43" t="n">
        <f aca="false">IF(N(Tasks[[#This Row],[Pred1 UID]])=0,0,IFERROR(MATCH(Tasks[[#This Row],[Pred1 UID]],Tasks[UID],0),-1))</f>
        <v>16</v>
      </c>
      <c r="BQ22" s="43" t="n">
        <f aca="false">IF(N(Tasks[[#This Row],[Pred2 UID]])=0,0,IFERROR(MATCH(Tasks[[#This Row],[Pred2 UID]],Tasks[UID],0),-1))</f>
        <v>13</v>
      </c>
      <c r="BR22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46308</v>
      </c>
      <c r="BS22" s="87" t="n">
        <f aca="false">IF(NOT(Tasks[[#This Row],[_IsLeaf]]=1),"",IF(N(Tasks[[#This Row],[Duration]])&lt;=0,Tasks[[#This Row],[_LeafCalcStart]],WORKDAY.INTL(Tasks[[#This Row],[_LeafCalcStart]],Tasks[[#This Row],[Duration]]-1,WorkWeek,Holidays)))</f>
        <v>46323</v>
      </c>
      <c r="BT22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46314</v>
      </c>
      <c r="BU22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46331</v>
      </c>
      <c r="BV22" s="43" t="n">
        <f aca="false">IF(NOT(Tasks[[#This Row],[_IsLeaf]]=1),0,IF(N(Tasks[[#This Row],[Actual Finish]])&gt;0,1,MIN(1,N(Tasks[[#This Row],[% Complete]]))))</f>
        <v>0.25</v>
      </c>
      <c r="BW22" s="43" t="n">
        <f aca="false">IF(OR(NOT(Tasks[[#This Row],[_IsLeaf]]=1),Tasks[[#This Row],[Resource]]=""),0,N(Tasks[[#This Row],[Duration]])*HoursPerDay*IF(Tasks[[#This Row],[Units]]="",DefaultUnits,Tasks[[#This Row],[Units]]))</f>
        <v>96</v>
      </c>
      <c r="BX22" s="43" t="n">
        <f aca="false">IF(Tasks[[#This Row],[_LeafWork]]=0,0,Tasks[[#This Row],[_LeafWork]]*IFERROR(INDEX(res_Rate,MATCH(Tasks[[#This Row],[Resource]],res_Name,0)),0))</f>
        <v>7680</v>
      </c>
      <c r="BY22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2912150</v>
      </c>
      <c r="BZ22" s="88" t="n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>2912140</v>
      </c>
      <c r="CA22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22" s="43" t="n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>100000</v>
      </c>
      <c r="CC22" s="43" t="n">
        <f aca="false">IF(NOT(Tasks[[#This Row],[_IsLeaf]]=1),0,MAX(_xlfn.MAXIFS(Tasks[_Row],Tasks[Pred1 UID],Tasks[[#This Row],[UID]]),_xlfn.MAXIFS(Tasks[_Row],Tasks[Pred2 UID],Tasks[[#This Row],[UID]])))</f>
        <v>18</v>
      </c>
      <c r="CD22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46331</v>
      </c>
      <c r="CE22" s="87" t="n">
        <f aca="false">IF(NOT(Tasks[[#This Row],[_IsLeaf]]=1),"",MIN(ProjectFinish,IF(N(Tasks[[#This Row],[Deadline]])&gt;0,Tasks[[#This Row],[Deadline]],2958465),Tasks[[#This Row],[_SuccessorFinishLimit]]))</f>
        <v>46331</v>
      </c>
      <c r="CF22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46316</v>
      </c>
      <c r="CG22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0</v>
      </c>
      <c r="CH22" s="86" t="b">
        <f aca="false">AND(Tasks[[#This Row],[_IsLeaf]]=1,Tasks[[#This Row],[_LeafProgress]]&lt;1,N(Tasks[[#This Row],[_LeafTotalSlack]])&lt;=CriticalSlackDays)</f>
        <v>1</v>
      </c>
      <c r="CI22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46308</v>
      </c>
      <c r="CJ22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46323</v>
      </c>
      <c r="CK2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46307</v>
      </c>
      <c r="CN2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46308</v>
      </c>
      <c r="CO2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46314</v>
      </c>
      <c r="CP2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46314</v>
      </c>
      <c r="CQ22" s="43" t="n">
        <f aca="false">IF(AND(Tasks[[#This Row],[_IsLeaf]]=1,Tasks[[#This Row],[_LeafWork]]&gt;0),NETWORKDAYS.INTL(ProjectStart,Tasks[[#This Row],[_LeafFcstStart]],WorkWeek,Holidays),0)</f>
        <v>31</v>
      </c>
      <c r="CR22" s="43" t="n">
        <f aca="false">IF(AND(Tasks[[#This Row],[_IsLeaf]]=1,Tasks[[#This Row],[_LeafWork]]&gt;0),MAX(Tasks[[#This Row],[_StartWorkday]],NETWORKDAYS.INTL(ProjectStart,Tasks[[#This Row],[_LeafFcstFinish]],WorkWeek,Holidays)),0)</f>
        <v>44</v>
      </c>
      <c r="CS22" s="43" t="n">
        <f aca="false">IF(AND(Tasks[[#This Row],[_IsLeaf]]=1,Tasks[[#This Row],[_LeafWork]]&gt;0),Tasks[[#This Row],[_LeafWork]]/(Tasks[[#This Row],[_FinishWorkday]]-Tasks[[#This Row],[_StartWorkday]]+1),0)</f>
        <v>6.85714285714286</v>
      </c>
      <c r="CT22" s="43" t="n">
        <f aca="false">Tasks[[#This Row],[_WorkPerWorkday]]*(Tasks[[#This Row],[_StartWorkday]]-1)</f>
        <v>205.714285714286</v>
      </c>
      <c r="CU22" s="43" t="n">
        <f aca="false">IF(Tasks[[#This Row],[_IsLeaf]]=1,MAX(N(Tasks[[#This Row],[Duration]]),0.1),0)</f>
        <v>12</v>
      </c>
      <c r="CV22" s="43" t="n">
        <f aca="false">Tasks[[#This Row],[_WeightDur]]*Tasks[[#This Row],[_LeafProgress]]</f>
        <v>3</v>
      </c>
      <c r="CW2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16</v>
      </c>
      <c r="CX2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>13SS+2d</v>
      </c>
      <c r="CY2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16</v>
      </c>
      <c r="CZ2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>13SS+2d</v>
      </c>
      <c r="DA2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16,13SS+2d</v>
      </c>
      <c r="DB22" s="43" t="str">
        <f aca="false">IF(AND(Tasks[[#This Row],[_IsLeaf]]=1,N(Tasks[[#This Row],[Duration]])=0,Tasks[[#This Row],[_LeafProgress]]&lt;1),Tasks[[#This Row],[_LeafFcstFinish]]+Tasks[[#This Row],[_Row]]/100000,"")</f>
        <v/>
      </c>
      <c r="DC2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0.75</v>
      </c>
      <c r="DD22" s="43" t="n">
        <f aca="false">IF(NOT(Tasks[[#This Row],[_IsLeaf]]=1),0,IF(Tasks[[#This Row],[Baseline Cost]]="",Tasks[[#This Row],[_LeafCost]],N(Tasks[[#This Row],[Baseline Cost]])))</f>
        <v>7680</v>
      </c>
      <c r="DE22" s="43" t="n">
        <f aca="false">Tasks[[#This Row],[_LeafBudget]]*Tasks[[#This Row],[_PlannedPct]]</f>
        <v>5760</v>
      </c>
      <c r="DF22" s="43" t="n">
        <f aca="false">Tasks[[#This Row],[_LeafBudget]]*Tasks[[#This Row],[_LeafProgress]]</f>
        <v>1920</v>
      </c>
      <c r="DG22" s="43" t="n">
        <f aca="false">IF(NOT(Tasks[[#This Row],[_IsLeaf]]=1),0,IF(Tasks[[#This Row],[Actual Cost]]="",Tasks[[#This Row],[_LeafCost]]*Tasks[[#This Row],[_LeafProgress]],N(Tasks[[#This Row],[Actual Cost]])))</f>
        <v>1920</v>
      </c>
      <c r="DH22" s="43" t="str">
        <f aca="false">IF(Tasks[[#This Row],[Task Name]]="","",LEFT(Tasks[[#This Row],[WBS]],FIND(".",Tasks[[#This Row],[WBS]]&amp;".")-1))</f>
        <v>3</v>
      </c>
      <c r="DI22" s="43" t="str">
        <f aca="false">IF(AND(Tasks[[#This Row],[Task Name]]&lt;&gt;"",Tasks[[#This Row],[_Level]]=1),Tasks[[#This Row],[_Row]],"")</f>
        <v/>
      </c>
      <c r="DJ22" s="43" t="str">
        <f aca="false">IF(AND(Tasks[[#This Row],[_IsLeaf]]=1,N(Tasks[[#This Row],[Duration]])=0),Tasks[[#This Row],[Planned Finish]]+Tasks[[#This Row],[_Row]]/100000,"")</f>
        <v/>
      </c>
      <c r="DK22" s="43" t="n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>6.999983</v>
      </c>
      <c r="DL2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2" s="88" t="n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>46331.00017</v>
      </c>
      <c r="DN22" s="88" t="n">
        <f aca="false">IF(Tasks[[#This Row],[_LeafCritical]],Tasks[[#This Row],[_LeafFcstStart]]+Tasks[[#This Row],[_Row]]/100000,"")</f>
        <v>46314.00017</v>
      </c>
      <c r="DO22" s="43" t="n">
        <f aca="false">Tasks[[#This Row],[_LeafWork]]*Tasks[[#This Row],[_LeafProgress]]</f>
        <v>24</v>
      </c>
      <c r="DP2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2" s="43" t="n">
        <f aca="false">IF(Tasks[[#This Row],[_IsLeaf]]=1,N(Tasks[[#This Row],[Story Points]]),0)</f>
        <v>8</v>
      </c>
      <c r="DR22" s="43" t="n">
        <f aca="false">IF(AND(Tasks[[#This Row],[_IsLeaf]]=1,CurrentSprint&lt;&gt;"",Tasks[[#This Row],[Sprint]]=CurrentSprint),Tasks[[#This Row],[_Row]],"")</f>
        <v>17</v>
      </c>
    </row>
    <row r="23" customFormat="false" ht="15" hidden="false" customHeight="false" outlineLevel="0" collapsed="false">
      <c r="A23" s="28" t="n">
        <f aca="false">IF(Tasks[[#This Row],[Task Name]]="","",COUNTA(Tasks[[#Headers],[Task Name]]:Tasks[[#This Row],[Task Name]])-1)</f>
        <v>18</v>
      </c>
      <c r="B23" s="29" t="n">
        <v>18</v>
      </c>
      <c r="C2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3.2.3</v>
      </c>
      <c r="D23" s="29" t="n">
        <v>3</v>
      </c>
      <c r="E23" s="30" t="s">
        <v>490</v>
      </c>
      <c r="F23" s="29" t="s">
        <v>459</v>
      </c>
      <c r="G23" s="29" t="n">
        <v>3</v>
      </c>
      <c r="H23" s="29" t="n">
        <v>17</v>
      </c>
      <c r="I23" s="29" t="s">
        <v>491</v>
      </c>
      <c r="J23" s="29" t="n">
        <v>1</v>
      </c>
      <c r="K23" s="29"/>
      <c r="L23" s="29"/>
      <c r="M23" s="29"/>
      <c r="N23" s="72"/>
      <c r="O23" s="72"/>
      <c r="P23" s="25" t="n">
        <f aca="false">IF(Tasks[[#This Row],[Task Name]]="","",IF(N(Tasks[[#This Row],[Baseline Start]])&gt;0,Tasks[[#This Row],[Baseline Start]],Tasks[[#This Row],[_CalcStart]]))</f>
        <v>46322</v>
      </c>
      <c r="Q23" s="25" t="n">
        <f aca="false">IF(Tasks[[#This Row],[Task Name]]="","",IF(N(Tasks[[#This Row],[Baseline Finish]])&gt;0,Tasks[[#This Row],[Baseline Finish]],Tasks[[#This Row],[_CalcFinish]]))</f>
        <v>46324</v>
      </c>
      <c r="R23" s="72"/>
      <c r="S23" s="72"/>
      <c r="T23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46330</v>
      </c>
      <c r="U23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46332</v>
      </c>
      <c r="V23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6</v>
      </c>
      <c r="W23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6</v>
      </c>
      <c r="X23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46330</v>
      </c>
      <c r="Y23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46332</v>
      </c>
      <c r="Z23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0</v>
      </c>
      <c r="AA23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2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2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3" s="74"/>
      <c r="AF23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2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23" s="30" t="s">
        <v>475</v>
      </c>
      <c r="AI23" s="74" t="n">
        <v>0.5</v>
      </c>
      <c r="AJ23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12</v>
      </c>
      <c r="AK23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900</v>
      </c>
      <c r="AL23" s="83"/>
      <c r="AM23" s="29"/>
      <c r="AN2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5</v>
      </c>
      <c r="AO23" s="84" t="n">
        <v>3</v>
      </c>
      <c r="AP23" s="24" t="str">
        <f aca="false">IF(Tasks[[#This Row],[Task Name]]="","",Tasks[[#This Row],[_Pred1IDText]]&amp;IF(AND(Tasks[[#This Row],[_Pred1IDText]]&lt;&gt;"",Tasks[[#This Row],[_Pred2IDText]]&lt;&gt;""),",","")&amp;Tasks[[#This Row],[_Pred2IDText]])</f>
        <v>17FF+1d</v>
      </c>
      <c r="AQ23" s="30" t="s">
        <v>492</v>
      </c>
      <c r="AR23" s="25" t="n">
        <f aca="false">IF(Tasks[[#This Row],[Task Name]]="","",Tasks[[#This Row],[Forecast Start]])</f>
        <v>46330</v>
      </c>
      <c r="AS23" s="25" t="n">
        <f aca="false">IF(Tasks[[#This Row],[Task Name]]="","",Tasks[[#This Row],[Forecast Finish]])</f>
        <v>46332</v>
      </c>
      <c r="AT23" s="28" t="n">
        <f aca="false">IF(Tasks[[#This Row],[Task Name]]="","",IF(Tasks[[#This Row],[_IsSummary]],NETWORKDAYS.INTL(Tasks[[#This Row],[Forecast Start]],Tasks[[#This Row],[Forecast Finish]],WorkWeek,Holidays),N(Tasks[[#This Row],[Duration]])))</f>
        <v>3</v>
      </c>
      <c r="AU23" s="81" t="n">
        <f aca="false">IF(Tasks[[#This Row],[Task Name]]="","",Tasks[[#This Row],[Work]])</f>
        <v>12</v>
      </c>
      <c r="AV23" s="82" t="n">
        <f aca="false">IF(Tasks[[#This Row],[Task Name]]="","",Tasks[[#This Row],[Cost]])</f>
        <v>900</v>
      </c>
      <c r="AW23" s="72"/>
      <c r="AX23" s="72"/>
      <c r="AY23" s="29"/>
      <c r="AZ23" s="85"/>
      <c r="BA23" s="83"/>
      <c r="BB23" s="28" t="str">
        <f aca="false">IF(OR(Tasks[[#This Row],[Task Name]]="",Tasks[[#This Row],[Baseline Duration]]=""),"",Tasks[[#This Row],[BL Source Duration]]-N(Tasks[[#This Row],[Baseline Duration]]))</f>
        <v/>
      </c>
      <c r="BC23" s="81" t="str">
        <f aca="false">IF(OR(Tasks[[#This Row],[Task Name]]="",Tasks[[#This Row],[Baseline Work]]=""),"",Tasks[[#This Row],[Work]]-N(Tasks[[#This Row],[Baseline Work]]))</f>
        <v/>
      </c>
      <c r="BD23" s="82" t="str">
        <f aca="false">IF(OR(Tasks[[#This Row],[Task Name]]="",Tasks[[#This Row],[Baseline Cost]]=""),"",Tasks[[#This Row],[Cost]]-N(Tasks[[#This Row],[Baseline Cost]]))</f>
        <v/>
      </c>
      <c r="BE23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900</v>
      </c>
      <c r="BF23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23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23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23" s="43" t="n">
        <f aca="false">IF(Tasks[[#This Row],[Task Name]]="","",MAX(1,N(Tasks[[#This Row],[Level]])))</f>
        <v>3</v>
      </c>
      <c r="BJ23" s="43" t="n">
        <f aca="false">ROW()-ROW(Tasks[[#Headers],[ID]])</f>
        <v>18</v>
      </c>
      <c r="BK2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20</v>
      </c>
      <c r="BL23" s="43" t="n">
        <f aca="false">IFERROR(N(INDEX(Tasks[_Level],Tasks[[#This Row],[_Row]]+1)),0)</f>
        <v>2</v>
      </c>
      <c r="BM23" s="86" t="b">
        <f aca="false">AND(Tasks[[#This Row],[Task Name]]&lt;&gt;"",Tasks[[#This Row],[_NextLevel]]&gt;Tasks[[#This Row],[_Level]])</f>
        <v>0</v>
      </c>
      <c r="BN23" s="43" t="n">
        <f aca="false">IF(Tasks[[#This Row],[_IsSummary]],COUNTIF(Tasks[WBS],Tasks[[#This Row],[WBS]]&amp;".*"),0)</f>
        <v>0</v>
      </c>
      <c r="BO23" s="43" t="n">
        <f aca="false">IF(AND(Tasks[[#This Row],[Task Name]]&lt;&gt;"",NOT(Tasks[[#This Row],[_IsSummary]])),1,0)</f>
        <v>1</v>
      </c>
      <c r="BP23" s="43" t="n">
        <f aca="false">IF(N(Tasks[[#This Row],[Pred1 UID]])=0,0,IFERROR(MATCH(Tasks[[#This Row],[Pred1 UID]],Tasks[UID],0),-1))</f>
        <v>17</v>
      </c>
      <c r="BQ23" s="43" t="n">
        <f aca="false">IF(N(Tasks[[#This Row],[Pred2 UID]])=0,0,IFERROR(MATCH(Tasks[[#This Row],[Pred2 UID]],Tasks[UID],0),-1))</f>
        <v>0</v>
      </c>
      <c r="BR23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46322</v>
      </c>
      <c r="BS23" s="87" t="n">
        <f aca="false">IF(NOT(Tasks[[#This Row],[_IsLeaf]]=1),"",IF(N(Tasks[[#This Row],[Duration]])&lt;=0,Tasks[[#This Row],[_LeafCalcStart]],WORKDAY.INTL(Tasks[[#This Row],[_LeafCalcStart]],Tasks[[#This Row],[Duration]]-1,WorkWeek,Holidays)))</f>
        <v>46324</v>
      </c>
      <c r="BT23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46330</v>
      </c>
      <c r="BU23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46332</v>
      </c>
      <c r="BV23" s="43" t="n">
        <f aca="false">IF(NOT(Tasks[[#This Row],[_IsLeaf]]=1),0,IF(N(Tasks[[#This Row],[Actual Finish]])&gt;0,1,MIN(1,N(Tasks[[#This Row],[% Complete]]))))</f>
        <v>0</v>
      </c>
      <c r="BW23" s="43" t="n">
        <f aca="false">IF(OR(NOT(Tasks[[#This Row],[_IsLeaf]]=1),Tasks[[#This Row],[Resource]]=""),0,N(Tasks[[#This Row],[Duration]])*HoursPerDay*IF(Tasks[[#This Row],[Units]]="",DefaultUnits,Tasks[[#This Row],[Units]]))</f>
        <v>12</v>
      </c>
      <c r="BX23" s="43" t="n">
        <f aca="false">IF(Tasks[[#This Row],[_LeafWork]]=0,0,Tasks[[#This Row],[_LeafWork]]*IFERROR(INDEX(res_Rate,MATCH(Tasks[[#This Row],[Resource]],res_Name,0)),0))</f>
        <v>900</v>
      </c>
      <c r="BY23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2912134</v>
      </c>
      <c r="BZ2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3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2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3" s="43" t="n">
        <f aca="false">IF(NOT(Tasks[[#This Row],[_IsLeaf]]=1),0,MAX(_xlfn.MAXIFS(Tasks[_Row],Tasks[Pred1 UID],Tasks[[#This Row],[UID]]),_xlfn.MAXIFS(Tasks[_Row],Tasks[Pred2 UID],Tasks[[#This Row],[UID]])))</f>
        <v>19</v>
      </c>
      <c r="CD23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46332</v>
      </c>
      <c r="CE23" s="87" t="n">
        <f aca="false">IF(NOT(Tasks[[#This Row],[_IsLeaf]]=1),"",MIN(ProjectFinish,IF(N(Tasks[[#This Row],[Deadline]])&gt;0,Tasks[[#This Row],[Deadline]],2958465),Tasks[[#This Row],[_SuccessorFinishLimit]]))</f>
        <v>46332</v>
      </c>
      <c r="CF23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46330</v>
      </c>
      <c r="CG23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0</v>
      </c>
      <c r="CH23" s="86" t="b">
        <f aca="false">AND(Tasks[[#This Row],[_IsLeaf]]=1,Tasks[[#This Row],[_LeafProgress]]&lt;1,N(Tasks[[#This Row],[_LeafTotalSlack]])&lt;=CriticalSlackDays)</f>
        <v>1</v>
      </c>
      <c r="CI23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46322</v>
      </c>
      <c r="CJ23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46324</v>
      </c>
      <c r="CK2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46322</v>
      </c>
      <c r="CN2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46330</v>
      </c>
      <c r="CP2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3" s="43" t="n">
        <f aca="false">IF(AND(Tasks[[#This Row],[_IsLeaf]]=1,Tasks[[#This Row],[_LeafWork]]&gt;0),NETWORKDAYS.INTL(ProjectStart,Tasks[[#This Row],[_LeafFcstStart]],WorkWeek,Holidays),0)</f>
        <v>43</v>
      </c>
      <c r="CR23" s="43" t="n">
        <f aca="false">IF(AND(Tasks[[#This Row],[_IsLeaf]]=1,Tasks[[#This Row],[_LeafWork]]&gt;0),MAX(Tasks[[#This Row],[_StartWorkday]],NETWORKDAYS.INTL(ProjectStart,Tasks[[#This Row],[_LeafFcstFinish]],WorkWeek,Holidays)),0)</f>
        <v>45</v>
      </c>
      <c r="CS23" s="43" t="n">
        <f aca="false">IF(AND(Tasks[[#This Row],[_IsLeaf]]=1,Tasks[[#This Row],[_LeafWork]]&gt;0),Tasks[[#This Row],[_LeafWork]]/(Tasks[[#This Row],[_FinishWorkday]]-Tasks[[#This Row],[_StartWorkday]]+1),0)</f>
        <v>4</v>
      </c>
      <c r="CT23" s="43" t="n">
        <f aca="false">Tasks[[#This Row],[_WorkPerWorkday]]*(Tasks[[#This Row],[_StartWorkday]]-1)</f>
        <v>168</v>
      </c>
      <c r="CU23" s="43" t="n">
        <f aca="false">IF(Tasks[[#This Row],[_IsLeaf]]=1,MAX(N(Tasks[[#This Row],[Duration]]),0.1),0)</f>
        <v>3</v>
      </c>
      <c r="CV23" s="43" t="n">
        <f aca="false">Tasks[[#This Row],[_WeightDur]]*Tasks[[#This Row],[_LeafProgress]]</f>
        <v>0</v>
      </c>
      <c r="CW2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17FF+1d</v>
      </c>
      <c r="CX2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17FF+1d</v>
      </c>
      <c r="CZ2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17FF+1d</v>
      </c>
      <c r="DB23" s="43" t="str">
        <f aca="false">IF(AND(Tasks[[#This Row],[_IsLeaf]]=1,N(Tasks[[#This Row],[Duration]])=0,Tasks[[#This Row],[_LeafProgress]]&lt;1),Tasks[[#This Row],[_LeafFcstFinish]]+Tasks[[#This Row],[_Row]]/100000,"")</f>
        <v/>
      </c>
      <c r="DC2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3" s="43" t="n">
        <f aca="false">IF(NOT(Tasks[[#This Row],[_IsLeaf]]=1),0,IF(Tasks[[#This Row],[Baseline Cost]]="",Tasks[[#This Row],[_LeafCost]],N(Tasks[[#This Row],[Baseline Cost]])))</f>
        <v>900</v>
      </c>
      <c r="DE23" s="43" t="n">
        <f aca="false">Tasks[[#This Row],[_LeafBudget]]*Tasks[[#This Row],[_PlannedPct]]</f>
        <v>0</v>
      </c>
      <c r="DF23" s="43" t="n">
        <f aca="false">Tasks[[#This Row],[_LeafBudget]]*Tasks[[#This Row],[_LeafProgress]]</f>
        <v>0</v>
      </c>
      <c r="DG23" s="43" t="n">
        <f aca="false">IF(NOT(Tasks[[#This Row],[_IsLeaf]]=1),0,IF(Tasks[[#This Row],[Actual Cost]]="",Tasks[[#This Row],[_LeafCost]]*Tasks[[#This Row],[_LeafProgress]],N(Tasks[[#This Row],[Actual Cost]])))</f>
        <v>0</v>
      </c>
      <c r="DH23" s="43" t="str">
        <f aca="false">IF(Tasks[[#This Row],[Task Name]]="","",LEFT(Tasks[[#This Row],[WBS]],FIND(".",Tasks[[#This Row],[WBS]]&amp;".")-1))</f>
        <v>3</v>
      </c>
      <c r="DI23" s="43" t="str">
        <f aca="false">IF(AND(Tasks[[#This Row],[Task Name]]&lt;&gt;"",Tasks[[#This Row],[_Level]]=1),Tasks[[#This Row],[_Row]],"")</f>
        <v/>
      </c>
      <c r="DJ23" s="43" t="str">
        <f aca="false">IF(AND(Tasks[[#This Row],[_IsLeaf]]=1,N(Tasks[[#This Row],[Duration]])=0),Tasks[[#This Row],[Planned Finish]]+Tasks[[#This Row],[_Row]]/100000,"")</f>
        <v/>
      </c>
      <c r="DK23" s="43" t="n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>6.999982</v>
      </c>
      <c r="DL23" s="88" t="n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>46330.00018</v>
      </c>
      <c r="DM23" s="88" t="n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>46332.00018</v>
      </c>
      <c r="DN23" s="88" t="n">
        <f aca="false">IF(Tasks[[#This Row],[_LeafCritical]],Tasks[[#This Row],[_LeafFcstStart]]+Tasks[[#This Row],[_Row]]/100000,"")</f>
        <v>46330.00018</v>
      </c>
      <c r="DO23" s="43" t="n">
        <f aca="false">Tasks[[#This Row],[_LeafWork]]*Tasks[[#This Row],[_LeafProgress]]</f>
        <v>0</v>
      </c>
      <c r="DP2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3" s="43" t="n">
        <f aca="false">IF(Tasks[[#This Row],[_IsLeaf]]=1,N(Tasks[[#This Row],[Story Points]]),0)</f>
        <v>3</v>
      </c>
      <c r="DR23" s="43" t="str">
        <f aca="false">IF(AND(Tasks[[#This Row],[_IsLeaf]]=1,CurrentSprint&lt;&gt;"",Tasks[[#This Row],[Sprint]]=CurrentSprint),Tasks[[#This Row],[_Row]],"")</f>
        <v/>
      </c>
    </row>
    <row r="24" customFormat="false" ht="15" hidden="false" customHeight="false" outlineLevel="0" collapsed="false">
      <c r="A24" s="28" t="n">
        <f aca="false">IF(Tasks[[#This Row],[Task Name]]="","",COUNTA(Tasks[[#Headers],[Task Name]]:Tasks[[#This Row],[Task Name]])-1)</f>
        <v>19</v>
      </c>
      <c r="B24" s="29" t="n">
        <v>19</v>
      </c>
      <c r="C2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3.3</v>
      </c>
      <c r="D24" s="29" t="n">
        <v>2</v>
      </c>
      <c r="E24" s="30" t="s">
        <v>493</v>
      </c>
      <c r="F24" s="29" t="s">
        <v>459</v>
      </c>
      <c r="G24" s="29" t="n">
        <v>0</v>
      </c>
      <c r="H24" s="29" t="n">
        <v>14</v>
      </c>
      <c r="I24" s="29" t="s">
        <v>464</v>
      </c>
      <c r="J24" s="29"/>
      <c r="K24" s="29" t="n">
        <v>18</v>
      </c>
      <c r="L24" s="29" t="s">
        <v>464</v>
      </c>
      <c r="M24" s="29"/>
      <c r="N24" s="72"/>
      <c r="O24" s="72" t="n">
        <v>46332</v>
      </c>
      <c r="P24" s="25" t="n">
        <f aca="false">IF(Tasks[[#This Row],[Task Name]]="","",IF(N(Tasks[[#This Row],[Baseline Start]])&gt;0,Tasks[[#This Row],[Baseline Start]],Tasks[[#This Row],[_CalcStart]]))</f>
        <v>46325</v>
      </c>
      <c r="Q24" s="25" t="n">
        <f aca="false">IF(Tasks[[#This Row],[Task Name]]="","",IF(N(Tasks[[#This Row],[Baseline Finish]])&gt;0,Tasks[[#This Row],[Baseline Finish]],Tasks[[#This Row],[_CalcFinish]]))</f>
        <v>46325</v>
      </c>
      <c r="R24" s="72"/>
      <c r="S24" s="72"/>
      <c r="T24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46335</v>
      </c>
      <c r="U24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46335</v>
      </c>
      <c r="V24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6</v>
      </c>
      <c r="W24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6</v>
      </c>
      <c r="X24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46332</v>
      </c>
      <c r="Y24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46332</v>
      </c>
      <c r="Z24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-1</v>
      </c>
      <c r="AA24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-1</v>
      </c>
      <c r="AB2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2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>Late by 1d</v>
      </c>
      <c r="AD2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4" s="74"/>
      <c r="AF24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2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24" s="30"/>
      <c r="AI24" s="74"/>
      <c r="AJ24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0</v>
      </c>
      <c r="AK24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0</v>
      </c>
      <c r="AL24" s="83"/>
      <c r="AM24" s="29"/>
      <c r="AN2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5</v>
      </c>
      <c r="AO24" s="84"/>
      <c r="AP24" s="24" t="str">
        <f aca="false">IF(Tasks[[#This Row],[Task Name]]="","",Tasks[[#This Row],[_Pred1IDText]]&amp;IF(AND(Tasks[[#This Row],[_Pred1IDText]]&lt;&gt;"",Tasks[[#This Row],[_Pred2IDText]]&lt;&gt;""),",","")&amp;Tasks[[#This Row],[_Pred2IDText]])</f>
        <v>14,18</v>
      </c>
      <c r="AQ24" s="30" t="s">
        <v>494</v>
      </c>
      <c r="AR24" s="25" t="n">
        <f aca="false">IF(Tasks[[#This Row],[Task Name]]="","",Tasks[[#This Row],[Forecast Start]])</f>
        <v>46335</v>
      </c>
      <c r="AS24" s="25" t="n">
        <f aca="false">IF(Tasks[[#This Row],[Task Name]]="","",Tasks[[#This Row],[Forecast Finish]])</f>
        <v>46335</v>
      </c>
      <c r="AT24" s="28" t="n">
        <f aca="false">IF(Tasks[[#This Row],[Task Name]]="","",IF(Tasks[[#This Row],[_IsSummary]],NETWORKDAYS.INTL(Tasks[[#This Row],[Forecast Start]],Tasks[[#This Row],[Forecast Finish]],WorkWeek,Holidays),N(Tasks[[#This Row],[Duration]])))</f>
        <v>0</v>
      </c>
      <c r="AU24" s="81" t="n">
        <f aca="false">IF(Tasks[[#This Row],[Task Name]]="","",Tasks[[#This Row],[Work]])</f>
        <v>0</v>
      </c>
      <c r="AV24" s="82" t="n">
        <f aca="false">IF(Tasks[[#This Row],[Task Name]]="","",Tasks[[#This Row],[Cost]])</f>
        <v>0</v>
      </c>
      <c r="AW24" s="72"/>
      <c r="AX24" s="72"/>
      <c r="AY24" s="29"/>
      <c r="AZ24" s="85"/>
      <c r="BA24" s="83"/>
      <c r="BB24" s="28" t="str">
        <f aca="false">IF(OR(Tasks[[#This Row],[Task Name]]="",Tasks[[#This Row],[Baseline Duration]]=""),"",Tasks[[#This Row],[BL Source Duration]]-N(Tasks[[#This Row],[Baseline Duration]]))</f>
        <v/>
      </c>
      <c r="BC24" s="81" t="str">
        <f aca="false">IF(OR(Tasks[[#This Row],[Task Name]]="",Tasks[[#This Row],[Baseline Work]]=""),"",Tasks[[#This Row],[Work]]-N(Tasks[[#This Row],[Baseline Work]]))</f>
        <v/>
      </c>
      <c r="BD24" s="82" t="str">
        <f aca="false">IF(OR(Tasks[[#This Row],[Task Name]]="",Tasks[[#This Row],[Baseline Cost]]=""),"",Tasks[[#This Row],[Cost]]-N(Tasks[[#This Row],[Baseline Cost]]))</f>
        <v/>
      </c>
      <c r="BE24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0</v>
      </c>
      <c r="BF24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24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24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24" s="43" t="n">
        <f aca="false">IF(Tasks[[#This Row],[Task Name]]="","",MAX(1,N(Tasks[[#This Row],[Level]])))</f>
        <v>2</v>
      </c>
      <c r="BJ24" s="43" t="n">
        <f aca="false">ROW()-ROW(Tasks[[#Headers],[ID]])</f>
        <v>19</v>
      </c>
      <c r="BK2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15</v>
      </c>
      <c r="BL24" s="43" t="n">
        <f aca="false">IFERROR(N(INDEX(Tasks[_Level],Tasks[[#This Row],[_Row]]+1)),0)</f>
        <v>1</v>
      </c>
      <c r="BM24" s="86" t="b">
        <f aca="false">AND(Tasks[[#This Row],[Task Name]]&lt;&gt;"",Tasks[[#This Row],[_NextLevel]]&gt;Tasks[[#This Row],[_Level]])</f>
        <v>0</v>
      </c>
      <c r="BN24" s="43" t="n">
        <f aca="false">IF(Tasks[[#This Row],[_IsSummary]],COUNTIF(Tasks[WBS],Tasks[[#This Row],[WBS]]&amp;".*"),0)</f>
        <v>0</v>
      </c>
      <c r="BO24" s="43" t="n">
        <f aca="false">IF(AND(Tasks[[#This Row],[Task Name]]&lt;&gt;"",NOT(Tasks[[#This Row],[_IsSummary]])),1,0)</f>
        <v>1</v>
      </c>
      <c r="BP24" s="43" t="n">
        <f aca="false">IF(N(Tasks[[#This Row],[Pred1 UID]])=0,0,IFERROR(MATCH(Tasks[[#This Row],[Pred1 UID]],Tasks[UID],0),-1))</f>
        <v>14</v>
      </c>
      <c r="BQ24" s="43" t="n">
        <f aca="false">IF(N(Tasks[[#This Row],[Pred2 UID]])=0,0,IFERROR(MATCH(Tasks[[#This Row],[Pred2 UID]],Tasks[UID],0),-1))</f>
        <v>18</v>
      </c>
      <c r="BR24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46325</v>
      </c>
      <c r="BS24" s="87" t="n">
        <f aca="false">IF(NOT(Tasks[[#This Row],[_IsLeaf]]=1),"",IF(N(Tasks[[#This Row],[Duration]])&lt;=0,Tasks[[#This Row],[_LeafCalcStart]],WORKDAY.INTL(Tasks[[#This Row],[_LeafCalcStart]],Tasks[[#This Row],[Duration]]-1,WorkWeek,Holidays)))</f>
        <v>46325</v>
      </c>
      <c r="BT24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46335</v>
      </c>
      <c r="BU24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46335</v>
      </c>
      <c r="BV24" s="43" t="n">
        <f aca="false">IF(NOT(Tasks[[#This Row],[_IsLeaf]]=1),0,IF(N(Tasks[[#This Row],[Actual Finish]])&gt;0,1,MIN(1,N(Tasks[[#This Row],[% Complete]]))))</f>
        <v>0</v>
      </c>
      <c r="BW2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24" s="43" t="n">
        <f aca="false">IF(Tasks[[#This Row],[_LeafWork]]=0,0,Tasks[[#This Row],[_LeafWork]]*IFERROR(INDEX(res_Rate,MATCH(Tasks[[#This Row],[Resource]],res_Name,0)),0))</f>
        <v>0</v>
      </c>
      <c r="BY24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2912133</v>
      </c>
      <c r="BZ24" s="88" t="n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>2912133</v>
      </c>
      <c r="CA24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24" s="43" t="n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>99999</v>
      </c>
      <c r="CC24" s="43" t="n">
        <f aca="false">IF(NOT(Tasks[[#This Row],[_IsLeaf]]=1),0,MAX(_xlfn.MAXIFS(Tasks[_Row],Tasks[Pred1 UID],Tasks[[#This Row],[UID]]),_xlfn.MAXIFS(Tasks[_Row],Tasks[Pred2 UID],Tasks[[#This Row],[UID]])))</f>
        <v>21</v>
      </c>
      <c r="CD24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46350</v>
      </c>
      <c r="CE24" s="87" t="n">
        <f aca="false">IF(NOT(Tasks[[#This Row],[_IsLeaf]]=1),"",MIN(ProjectFinish,IF(N(Tasks[[#This Row],[Deadline]])&gt;0,Tasks[[#This Row],[Deadline]],2958465),Tasks[[#This Row],[_SuccessorFinishLimit]]))</f>
        <v>46332</v>
      </c>
      <c r="CF24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46332</v>
      </c>
      <c r="CG24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-1</v>
      </c>
      <c r="CH24" s="86" t="b">
        <f aca="false">AND(Tasks[[#This Row],[_IsLeaf]]=1,Tasks[[#This Row],[_LeafProgress]]&lt;1,N(Tasks[[#This Row],[_LeafTotalSlack]])&lt;=CriticalSlackDays)</f>
        <v>1</v>
      </c>
      <c r="CI24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46325</v>
      </c>
      <c r="CJ24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46325</v>
      </c>
      <c r="CK2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46325</v>
      </c>
      <c r="CN2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46324</v>
      </c>
      <c r="CO2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46335</v>
      </c>
      <c r="CP2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46332</v>
      </c>
      <c r="CQ24" s="43" t="n">
        <f aca="false">IF(AND(Tasks[[#This Row],[_IsLeaf]]=1,Tasks[[#This Row],[_LeafWork]]&gt;0),NETWORKDAYS.INTL(ProjectStart,Tasks[[#This Row],[_LeafFcstStart]],WorkWeek,Holidays),0)</f>
        <v>0</v>
      </c>
      <c r="CR2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24" s="43" t="n">
        <f aca="false">IF(AND(Tasks[[#This Row],[_IsLeaf]]=1,Tasks[[#This Row],[_LeafWork]]&gt;0),Tasks[[#This Row],[_LeafWork]]/(Tasks[[#This Row],[_FinishWorkday]]-Tasks[[#This Row],[_StartWorkday]]+1),0)</f>
        <v>0</v>
      </c>
      <c r="CT24" s="43" t="n">
        <f aca="false">Tasks[[#This Row],[_WorkPerWorkday]]*(Tasks[[#This Row],[_StartWorkday]]-1)</f>
        <v>-0</v>
      </c>
      <c r="CU24" s="43" t="n">
        <f aca="false">IF(Tasks[[#This Row],[_IsLeaf]]=1,MAX(N(Tasks[[#This Row],[Duration]]),0.1),0)</f>
        <v>0.1</v>
      </c>
      <c r="CV24" s="43" t="n">
        <f aca="false">Tasks[[#This Row],[_WeightDur]]*Tasks[[#This Row],[_LeafProgress]]</f>
        <v>0</v>
      </c>
      <c r="CW2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14</v>
      </c>
      <c r="CX2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>18</v>
      </c>
      <c r="CY2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14</v>
      </c>
      <c r="CZ2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>18</v>
      </c>
      <c r="DA2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14,18</v>
      </c>
      <c r="DB24" s="88" t="n">
        <f aca="false">IF(AND(Tasks[[#This Row],[_IsLeaf]]=1,N(Tasks[[#This Row],[Duration]])=0,Tasks[[#This Row],[_LeafProgress]]&lt;1),Tasks[[#This Row],[_LeafFcstFinish]]+Tasks[[#This Row],[_Row]]/100000,"")</f>
        <v>46335.00019</v>
      </c>
      <c r="DC2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4" s="43" t="n">
        <f aca="false">IF(NOT(Tasks[[#This Row],[_IsLeaf]]=1),0,IF(Tasks[[#This Row],[Baseline Cost]]="",Tasks[[#This Row],[_LeafCost]],N(Tasks[[#This Row],[Baseline Cost]])))</f>
        <v>0</v>
      </c>
      <c r="DE24" s="43" t="n">
        <f aca="false">Tasks[[#This Row],[_LeafBudget]]*Tasks[[#This Row],[_PlannedPct]]</f>
        <v>0</v>
      </c>
      <c r="DF24" s="43" t="n">
        <f aca="false">Tasks[[#This Row],[_LeafBudget]]*Tasks[[#This Row],[_LeafProgress]]</f>
        <v>0</v>
      </c>
      <c r="DG24" s="43" t="n">
        <f aca="false">IF(NOT(Tasks[[#This Row],[_IsLeaf]]=1),0,IF(Tasks[[#This Row],[Actual Cost]]="",Tasks[[#This Row],[_LeafCost]]*Tasks[[#This Row],[_LeafProgress]],N(Tasks[[#This Row],[Actual Cost]])))</f>
        <v>0</v>
      </c>
      <c r="DH24" s="43" t="str">
        <f aca="false">IF(Tasks[[#This Row],[Task Name]]="","",LEFT(Tasks[[#This Row],[WBS]],FIND(".",Tasks[[#This Row],[WBS]]&amp;".")-1))</f>
        <v>3</v>
      </c>
      <c r="DI24" s="43" t="str">
        <f aca="false">IF(AND(Tasks[[#This Row],[Task Name]]&lt;&gt;"",Tasks[[#This Row],[_Level]]=1),Tasks[[#This Row],[_Row]],"")</f>
        <v/>
      </c>
      <c r="DJ24" s="88" t="n">
        <f aca="false">IF(AND(Tasks[[#This Row],[_IsLeaf]]=1,N(Tasks[[#This Row],[Duration]])=0),Tasks[[#This Row],[Planned Finish]]+Tasks[[#This Row],[_Row]]/100000,"")</f>
        <v>46325.00019</v>
      </c>
      <c r="DK24" s="43" t="n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>6.999981</v>
      </c>
      <c r="DL2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4" s="88" t="n">
        <f aca="false">IF(Tasks[[#This Row],[_LeafCritical]],Tasks[[#This Row],[_LeafFcstStart]]+Tasks[[#This Row],[_Row]]/100000,"")</f>
        <v>46335.00019</v>
      </c>
      <c r="DO24" s="43" t="n">
        <f aca="false">Tasks[[#This Row],[_LeafWork]]*Tasks[[#This Row],[_LeafProgress]]</f>
        <v>0</v>
      </c>
      <c r="DP2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4" s="43" t="n">
        <f aca="false">IF(Tasks[[#This Row],[_IsLeaf]]=1,N(Tasks[[#This Row],[Story Points]]),0)</f>
        <v>0</v>
      </c>
      <c r="DR24" s="43" t="str">
        <f aca="false">IF(AND(Tasks[[#This Row],[_IsLeaf]]=1,CurrentSprint&lt;&gt;"",Tasks[[#This Row],[Sprint]]=CurrentSprint),Tasks[[#This Row],[_Row]],"")</f>
        <v/>
      </c>
    </row>
    <row r="25" customFormat="false" ht="15" hidden="false" customHeight="false" outlineLevel="0" collapsed="false">
      <c r="A25" s="28" t="n">
        <f aca="false">IF(Tasks[[#This Row],[Task Name]]="","",COUNTA(Tasks[[#Headers],[Task Name]]:Tasks[[#This Row],[Task Name]])-1)</f>
        <v>20</v>
      </c>
      <c r="B25" s="29" t="n">
        <v>20</v>
      </c>
      <c r="C2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4</v>
      </c>
      <c r="D25" s="29" t="n">
        <v>1</v>
      </c>
      <c r="E25" s="30" t="s">
        <v>495</v>
      </c>
      <c r="F25" s="29" t="s">
        <v>459</v>
      </c>
      <c r="G25" s="29"/>
      <c r="H25" s="29"/>
      <c r="I25" s="29"/>
      <c r="J25" s="29"/>
      <c r="K25" s="29"/>
      <c r="L25" s="29"/>
      <c r="M25" s="29"/>
      <c r="N25" s="72"/>
      <c r="O25" s="72"/>
      <c r="P25" s="25" t="n">
        <f aca="false">IF(Tasks[[#This Row],[Task Name]]="","",IF(N(Tasks[[#This Row],[Baseline Start]])&gt;0,Tasks[[#This Row],[Baseline Start]],Tasks[[#This Row],[_CalcStart]]))</f>
        <v>46328</v>
      </c>
      <c r="Q25" s="25" t="n">
        <f aca="false">IF(Tasks[[#This Row],[Task Name]]="","",IF(N(Tasks[[#This Row],[Baseline Finish]])&gt;0,Tasks[[#This Row],[Baseline Finish]],Tasks[[#This Row],[_CalcFinish]]))</f>
        <v>46391</v>
      </c>
      <c r="R25" s="72"/>
      <c r="S25" s="72"/>
      <c r="T25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46336</v>
      </c>
      <c r="U25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46391</v>
      </c>
      <c r="V25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6</v>
      </c>
      <c r="W25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0</v>
      </c>
      <c r="X25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46351</v>
      </c>
      <c r="Y25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46391</v>
      </c>
      <c r="Z25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0</v>
      </c>
      <c r="AA2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2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2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5" s="74"/>
      <c r="AF25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2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25" s="30"/>
      <c r="AI25" s="74"/>
      <c r="AJ25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180</v>
      </c>
      <c r="AK25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13180</v>
      </c>
      <c r="AL25" s="83"/>
      <c r="AM25" s="29"/>
      <c r="AN2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25" s="84"/>
      <c r="AP2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25" s="30"/>
      <c r="AR25" s="25" t="n">
        <f aca="false">IF(Tasks[[#This Row],[Task Name]]="","",Tasks[[#This Row],[Forecast Start]])</f>
        <v>46336</v>
      </c>
      <c r="AS25" s="25" t="n">
        <f aca="false">IF(Tasks[[#This Row],[Task Name]]="","",Tasks[[#This Row],[Forecast Finish]])</f>
        <v>46391</v>
      </c>
      <c r="AT25" s="28" t="n">
        <f aca="false">IF(Tasks[[#This Row],[Task Name]]="","",IF(Tasks[[#This Row],[_IsSummary]],NETWORKDAYS.INTL(Tasks[[#This Row],[Forecast Start]],Tasks[[#This Row],[Forecast Finish]],WorkWeek,Holidays),N(Tasks[[#This Row],[Duration]])))</f>
        <v>36</v>
      </c>
      <c r="AU25" s="81" t="n">
        <f aca="false">IF(Tasks[[#This Row],[Task Name]]="","",Tasks[[#This Row],[Work]])</f>
        <v>180</v>
      </c>
      <c r="AV25" s="82" t="n">
        <f aca="false">IF(Tasks[[#This Row],[Task Name]]="","",Tasks[[#This Row],[Cost]])</f>
        <v>13180</v>
      </c>
      <c r="AW25" s="72"/>
      <c r="AX25" s="72"/>
      <c r="AY25" s="29"/>
      <c r="AZ25" s="85"/>
      <c r="BA25" s="83"/>
      <c r="BB25" s="28" t="str">
        <f aca="false">IF(OR(Tasks[[#This Row],[Task Name]]="",Tasks[[#This Row],[Baseline Duration]]=""),"",Tasks[[#This Row],[BL Source Duration]]-N(Tasks[[#This Row],[Baseline Duration]]))</f>
        <v/>
      </c>
      <c r="BC25" s="81" t="str">
        <f aca="false">IF(OR(Tasks[[#This Row],[Task Name]]="",Tasks[[#This Row],[Baseline Work]]=""),"",Tasks[[#This Row],[Work]]-N(Tasks[[#This Row],[Baseline Work]]))</f>
        <v/>
      </c>
      <c r="BD25" s="82" t="str">
        <f aca="false">IF(OR(Tasks[[#This Row],[Task Name]]="",Tasks[[#This Row],[Baseline Cost]]=""),"",Tasks[[#This Row],[Cost]]-N(Tasks[[#This Row],[Baseline Cost]]))</f>
        <v/>
      </c>
      <c r="BE25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13180</v>
      </c>
      <c r="BF25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25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25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25" s="43" t="n">
        <f aca="false">IF(Tasks[[#This Row],[Task Name]]="","",MAX(1,N(Tasks[[#This Row],[Level]])))</f>
        <v>1</v>
      </c>
      <c r="BJ25" s="43" t="n">
        <f aca="false">ROW()-ROW(Tasks[[#Headers],[ID]])</f>
        <v>20</v>
      </c>
      <c r="BK2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25" s="43" t="n">
        <f aca="false">IFERROR(N(INDEX(Tasks[_Level],Tasks[[#This Row],[_Row]]+1)),0)</f>
        <v>2</v>
      </c>
      <c r="BM25" s="86" t="b">
        <f aca="false">AND(Tasks[[#This Row],[Task Name]]&lt;&gt;"",Tasks[[#This Row],[_NextLevel]]&gt;Tasks[[#This Row],[_Level]])</f>
        <v>1</v>
      </c>
      <c r="BN25" s="43" t="n">
        <f aca="false">IF(Tasks[[#This Row],[_IsSummary]],COUNTIF(Tasks[WBS],Tasks[[#This Row],[WBS]]&amp;".*"),0)</f>
        <v>6</v>
      </c>
      <c r="BO25" s="43" t="n">
        <f aca="false">IF(AND(Tasks[[#This Row],[Task Name]]&lt;&gt;"",NOT(Tasks[[#This Row],[_IsSummary]])),1,0)</f>
        <v>0</v>
      </c>
      <c r="BP25" s="43" t="n">
        <f aca="false">IF(N(Tasks[[#This Row],[Pred1 UID]])=0,0,IFERROR(MATCH(Tasks[[#This Row],[Pred1 UID]],Tasks[UID],0),-1))</f>
        <v>0</v>
      </c>
      <c r="BQ25" s="43" t="n">
        <f aca="false">IF(N(Tasks[[#This Row],[Pred2 UID]])=0,0,IFERROR(MATCH(Tasks[[#This Row],[Pred2 UID]],Tasks[UID],0),-1))</f>
        <v>0</v>
      </c>
      <c r="BR2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2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2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2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25" s="43" t="n">
        <f aca="false">IF(NOT(Tasks[[#This Row],[_IsLeaf]]=1),0,IF(N(Tasks[[#This Row],[Actual Finish]])&gt;0,1,MIN(1,N(Tasks[[#This Row],[% Complete]]))))</f>
        <v>0</v>
      </c>
      <c r="BW2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25" s="43" t="n">
        <f aca="false">IF(Tasks[[#This Row],[_LeafWork]]=0,0,Tasks[[#This Row],[_LeafWork]]*IFERROR(INDEX(res_Rate,MATCH(Tasks[[#This Row],[Resource]],res_Name,0)),0))</f>
        <v>0</v>
      </c>
      <c r="BY2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2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2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5" s="43" t="n">
        <f aca="false">IF(NOT(Tasks[[#This Row],[_IsLeaf]]=1),0,MAX(_xlfn.MAXIFS(Tasks[_Row],Tasks[Pred1 UID],Tasks[[#This Row],[UID]]),_xlfn.MAXIFS(Tasks[_Row],Tasks[Pred2 UID],Tasks[[#This Row],[UID]])))</f>
        <v>0</v>
      </c>
      <c r="CD2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25" s="87" t="str">
        <f aca="false">IF(NOT(Tasks[[#This Row],[_IsLeaf]]=1),"",MIN(ProjectFinish,IF(N(Tasks[[#This Row],[Deadline]])&gt;0,Tasks[[#This Row],[Deadline]],2958465),Tasks[[#This Row],[_SuccessorFinishLimit]]))</f>
        <v/>
      </c>
      <c r="CF2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2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25" s="86" t="b">
        <f aca="false">AND(Tasks[[#This Row],[_IsLeaf]]=1,Tasks[[#This Row],[_LeafProgress]]&lt;1,N(Tasks[[#This Row],[_LeafTotalSlack]])&lt;=CriticalSlackDays)</f>
        <v>0</v>
      </c>
      <c r="CI25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46328</v>
      </c>
      <c r="CJ25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46391</v>
      </c>
      <c r="CK2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2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2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5" s="43" t="n">
        <f aca="false">IF(AND(Tasks[[#This Row],[_IsLeaf]]=1,Tasks[[#This Row],[_LeafWork]]&gt;0),NETWORKDAYS.INTL(ProjectStart,Tasks[[#This Row],[_LeafFcstStart]],WorkWeek,Holidays),0)</f>
        <v>0</v>
      </c>
      <c r="CR2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25" s="43" t="n">
        <f aca="false">IF(AND(Tasks[[#This Row],[_IsLeaf]]=1,Tasks[[#This Row],[_LeafWork]]&gt;0),Tasks[[#This Row],[_LeafWork]]/(Tasks[[#This Row],[_FinishWorkday]]-Tasks[[#This Row],[_StartWorkday]]+1),0)</f>
        <v>0</v>
      </c>
      <c r="CT25" s="43" t="n">
        <f aca="false">Tasks[[#This Row],[_WorkPerWorkday]]*(Tasks[[#This Row],[_StartWorkday]]-1)</f>
        <v>-0</v>
      </c>
      <c r="CU25" s="43" t="n">
        <f aca="false">IF(Tasks[[#This Row],[_IsLeaf]]=1,MAX(N(Tasks[[#This Row],[Duration]]),0.1),0)</f>
        <v>0</v>
      </c>
      <c r="CV25" s="43" t="n">
        <f aca="false">Tasks[[#This Row],[_WeightDur]]*Tasks[[#This Row],[_LeafProgress]]</f>
        <v>0</v>
      </c>
      <c r="CW2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2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2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25" s="43" t="str">
        <f aca="false">IF(AND(Tasks[[#This Row],[_IsLeaf]]=1,N(Tasks[[#This Row],[Duration]])=0,Tasks[[#This Row],[_LeafProgress]]&lt;1),Tasks[[#This Row],[_LeafFcstFinish]]+Tasks[[#This Row],[_Row]]/100000,"")</f>
        <v/>
      </c>
      <c r="DC2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5" s="43" t="n">
        <f aca="false">IF(NOT(Tasks[[#This Row],[_IsLeaf]]=1),0,IF(Tasks[[#This Row],[Baseline Cost]]="",Tasks[[#This Row],[_LeafCost]],N(Tasks[[#This Row],[Baseline Cost]])))</f>
        <v>0</v>
      </c>
      <c r="DE25" s="43" t="n">
        <f aca="false">Tasks[[#This Row],[_LeafBudget]]*Tasks[[#This Row],[_PlannedPct]]</f>
        <v>0</v>
      </c>
      <c r="DF25" s="43" t="n">
        <f aca="false">Tasks[[#This Row],[_LeafBudget]]*Tasks[[#This Row],[_LeafProgress]]</f>
        <v>0</v>
      </c>
      <c r="DG25" s="43" t="n">
        <f aca="false">IF(NOT(Tasks[[#This Row],[_IsLeaf]]=1),0,IF(Tasks[[#This Row],[Actual Cost]]="",Tasks[[#This Row],[_LeafCost]]*Tasks[[#This Row],[_LeafProgress]],N(Tasks[[#This Row],[Actual Cost]])))</f>
        <v>0</v>
      </c>
      <c r="DH25" s="43" t="str">
        <f aca="false">IF(Tasks[[#This Row],[Task Name]]="","",LEFT(Tasks[[#This Row],[WBS]],FIND(".",Tasks[[#This Row],[WBS]]&amp;".")-1))</f>
        <v>4</v>
      </c>
      <c r="DI25" s="43" t="n">
        <f aca="false">IF(AND(Tasks[[#This Row],[Task Name]]&lt;&gt;"",Tasks[[#This Row],[_Level]]=1),Tasks[[#This Row],[_Row]],"")</f>
        <v>20</v>
      </c>
      <c r="DJ25" s="43" t="str">
        <f aca="false">IF(AND(Tasks[[#This Row],[_IsLeaf]]=1,N(Tasks[[#This Row],[Duration]])=0),Tasks[[#This Row],[Planned Finish]]+Tasks[[#This Row],[_Row]]/100000,"")</f>
        <v/>
      </c>
      <c r="DK2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2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5" s="43" t="str">
        <f aca="false">IF(Tasks[[#This Row],[_LeafCritical]],Tasks[[#This Row],[_LeafFcstStart]]+Tasks[[#This Row],[_Row]]/100000,"")</f>
        <v/>
      </c>
      <c r="DO25" s="43" t="n">
        <f aca="false">Tasks[[#This Row],[_LeafWork]]*Tasks[[#This Row],[_LeafProgress]]</f>
        <v>0</v>
      </c>
      <c r="DP2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5" s="43" t="n">
        <f aca="false">IF(Tasks[[#This Row],[_IsLeaf]]=1,N(Tasks[[#This Row],[Story Points]]),0)</f>
        <v>0</v>
      </c>
      <c r="DR25" s="43" t="str">
        <f aca="false">IF(AND(Tasks[[#This Row],[_IsLeaf]]=1,CurrentSprint&lt;&gt;"",Tasks[[#This Row],[Sprint]]=CurrentSprint),Tasks[[#This Row],[_Row]],"")</f>
        <v/>
      </c>
    </row>
    <row r="26" customFormat="false" ht="15" hidden="false" customHeight="false" outlineLevel="0" collapsed="false">
      <c r="A26" s="28" t="n">
        <f aca="false">IF(Tasks[[#This Row],[Task Name]]="","",COUNTA(Tasks[[#Headers],[Task Name]]:Tasks[[#This Row],[Task Name]])-1)</f>
        <v>21</v>
      </c>
      <c r="B26" s="29" t="n">
        <v>21</v>
      </c>
      <c r="C2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4.1</v>
      </c>
      <c r="D26" s="29" t="n">
        <v>2</v>
      </c>
      <c r="E26" s="30" t="s">
        <v>496</v>
      </c>
      <c r="F26" s="29" t="s">
        <v>459</v>
      </c>
      <c r="G26" s="29" t="n">
        <v>8</v>
      </c>
      <c r="H26" s="29" t="n">
        <v>19</v>
      </c>
      <c r="I26" s="29" t="s">
        <v>464</v>
      </c>
      <c r="J26" s="29"/>
      <c r="K26" s="29"/>
      <c r="L26" s="29"/>
      <c r="M26" s="29"/>
      <c r="N26" s="72"/>
      <c r="O26" s="72"/>
      <c r="P26" s="25" t="n">
        <f aca="false">IF(Tasks[[#This Row],[Task Name]]="","",IF(N(Tasks[[#This Row],[Baseline Start]])&gt;0,Tasks[[#This Row],[Baseline Start]],Tasks[[#This Row],[_CalcStart]]))</f>
        <v>46328</v>
      </c>
      <c r="Q26" s="25" t="n">
        <f aca="false">IF(Tasks[[#This Row],[Task Name]]="","",IF(N(Tasks[[#This Row],[Baseline Finish]])&gt;0,Tasks[[#This Row],[Baseline Finish]],Tasks[[#This Row],[_CalcFinish]]))</f>
        <v>46337</v>
      </c>
      <c r="R26" s="72"/>
      <c r="S26" s="72"/>
      <c r="T26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46336</v>
      </c>
      <c r="U26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46345</v>
      </c>
      <c r="V26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6</v>
      </c>
      <c r="W26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6</v>
      </c>
      <c r="X26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46351</v>
      </c>
      <c r="Y26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46360</v>
      </c>
      <c r="Z26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11</v>
      </c>
      <c r="AA26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2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2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6" s="74"/>
      <c r="AF26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2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26" s="30" t="s">
        <v>497</v>
      </c>
      <c r="AI26" s="74"/>
      <c r="AJ26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64</v>
      </c>
      <c r="AK26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4160</v>
      </c>
      <c r="AL26" s="83"/>
      <c r="AM26" s="29"/>
      <c r="AN2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5</v>
      </c>
      <c r="AO26" s="84" t="n">
        <v>8</v>
      </c>
      <c r="AP26" s="24" t="str">
        <f aca="false">IF(Tasks[[#This Row],[Task Name]]="","",Tasks[[#This Row],[_Pred1IDText]]&amp;IF(AND(Tasks[[#This Row],[_Pred1IDText]]&lt;&gt;"",Tasks[[#This Row],[_Pred2IDText]]&lt;&gt;""),",","")&amp;Tasks[[#This Row],[_Pred2IDText]])</f>
        <v>19</v>
      </c>
      <c r="AQ26" s="30"/>
      <c r="AR26" s="25" t="n">
        <f aca="false">IF(Tasks[[#This Row],[Task Name]]="","",Tasks[[#This Row],[Forecast Start]])</f>
        <v>46336</v>
      </c>
      <c r="AS26" s="25" t="n">
        <f aca="false">IF(Tasks[[#This Row],[Task Name]]="","",Tasks[[#This Row],[Forecast Finish]])</f>
        <v>46345</v>
      </c>
      <c r="AT26" s="28" t="n">
        <f aca="false">IF(Tasks[[#This Row],[Task Name]]="","",IF(Tasks[[#This Row],[_IsSummary]],NETWORKDAYS.INTL(Tasks[[#This Row],[Forecast Start]],Tasks[[#This Row],[Forecast Finish]],WorkWeek,Holidays),N(Tasks[[#This Row],[Duration]])))</f>
        <v>8</v>
      </c>
      <c r="AU26" s="81" t="n">
        <f aca="false">IF(Tasks[[#This Row],[Task Name]]="","",Tasks[[#This Row],[Work]])</f>
        <v>64</v>
      </c>
      <c r="AV26" s="82" t="n">
        <f aca="false">IF(Tasks[[#This Row],[Task Name]]="","",Tasks[[#This Row],[Cost]])</f>
        <v>4160</v>
      </c>
      <c r="AW26" s="72"/>
      <c r="AX26" s="72"/>
      <c r="AY26" s="29"/>
      <c r="AZ26" s="85"/>
      <c r="BA26" s="83"/>
      <c r="BB26" s="28" t="str">
        <f aca="false">IF(OR(Tasks[[#This Row],[Task Name]]="",Tasks[[#This Row],[Baseline Duration]]=""),"",Tasks[[#This Row],[BL Source Duration]]-N(Tasks[[#This Row],[Baseline Duration]]))</f>
        <v/>
      </c>
      <c r="BC26" s="81" t="str">
        <f aca="false">IF(OR(Tasks[[#This Row],[Task Name]]="",Tasks[[#This Row],[Baseline Work]]=""),"",Tasks[[#This Row],[Work]]-N(Tasks[[#This Row],[Baseline Work]]))</f>
        <v/>
      </c>
      <c r="BD26" s="82" t="str">
        <f aca="false">IF(OR(Tasks[[#This Row],[Task Name]]="",Tasks[[#This Row],[Baseline Cost]]=""),"",Tasks[[#This Row],[Cost]]-N(Tasks[[#This Row],[Baseline Cost]]))</f>
        <v/>
      </c>
      <c r="BE26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4160</v>
      </c>
      <c r="BF26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26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26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26" s="43" t="n">
        <f aca="false">IF(Tasks[[#This Row],[Task Name]]="","",MAX(1,N(Tasks[[#This Row],[Level]])))</f>
        <v>2</v>
      </c>
      <c r="BJ26" s="43" t="n">
        <f aca="false">ROW()-ROW(Tasks[[#Headers],[ID]])</f>
        <v>21</v>
      </c>
      <c r="BK2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25</v>
      </c>
      <c r="BL26" s="43" t="n">
        <f aca="false">IFERROR(N(INDEX(Tasks[_Level],Tasks[[#This Row],[_Row]]+1)),0)</f>
        <v>2</v>
      </c>
      <c r="BM26" s="86" t="b">
        <f aca="false">AND(Tasks[[#This Row],[Task Name]]&lt;&gt;"",Tasks[[#This Row],[_NextLevel]]&gt;Tasks[[#This Row],[_Level]])</f>
        <v>0</v>
      </c>
      <c r="BN26" s="43" t="n">
        <f aca="false">IF(Tasks[[#This Row],[_IsSummary]],COUNTIF(Tasks[WBS],Tasks[[#This Row],[WBS]]&amp;".*"),0)</f>
        <v>0</v>
      </c>
      <c r="BO26" s="43" t="n">
        <f aca="false">IF(AND(Tasks[[#This Row],[Task Name]]&lt;&gt;"",NOT(Tasks[[#This Row],[_IsSummary]])),1,0)</f>
        <v>1</v>
      </c>
      <c r="BP26" s="43" t="n">
        <f aca="false">IF(N(Tasks[[#This Row],[Pred1 UID]])=0,0,IFERROR(MATCH(Tasks[[#This Row],[Pred1 UID]],Tasks[UID],0),-1))</f>
        <v>19</v>
      </c>
      <c r="BQ26" s="43" t="n">
        <f aca="false">IF(N(Tasks[[#This Row],[Pred2 UID]])=0,0,IFERROR(MATCH(Tasks[[#This Row],[Pred2 UID]],Tasks[UID],0),-1))</f>
        <v>0</v>
      </c>
      <c r="BR26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46328</v>
      </c>
      <c r="BS26" s="87" t="n">
        <f aca="false">IF(NOT(Tasks[[#This Row],[_IsLeaf]]=1),"",IF(N(Tasks[[#This Row],[Duration]])&lt;=0,Tasks[[#This Row],[_LeafCalcStart]],WORKDAY.INTL(Tasks[[#This Row],[_LeafCalcStart]],Tasks[[#This Row],[Duration]]-1,WorkWeek,Holidays)))</f>
        <v>46337</v>
      </c>
      <c r="BT26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46336</v>
      </c>
      <c r="BU26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46345</v>
      </c>
      <c r="BV26" s="43" t="n">
        <f aca="false">IF(NOT(Tasks[[#This Row],[_IsLeaf]]=1),0,IF(N(Tasks[[#This Row],[Actual Finish]])&gt;0,1,MIN(1,N(Tasks[[#This Row],[% Complete]]))))</f>
        <v>0</v>
      </c>
      <c r="BW26" s="43" t="n">
        <f aca="false">IF(OR(NOT(Tasks[[#This Row],[_IsLeaf]]=1),Tasks[[#This Row],[Resource]]=""),0,N(Tasks[[#This Row],[Duration]])*HoursPerDay*IF(Tasks[[#This Row],[Units]]="",DefaultUnits,Tasks[[#This Row],[Units]]))</f>
        <v>64</v>
      </c>
      <c r="BX26" s="43" t="n">
        <f aca="false">IF(Tasks[[#This Row],[_LeafWork]]=0,0,Tasks[[#This Row],[_LeafWork]]*IFERROR(INDEX(res_Rate,MATCH(Tasks[[#This Row],[Resource]],res_Name,0)),0))</f>
        <v>4160</v>
      </c>
      <c r="BY26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2912115</v>
      </c>
      <c r="BZ2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6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2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6" s="43" t="n">
        <f aca="false">IF(NOT(Tasks[[#This Row],[_IsLeaf]]=1),0,MAX(_xlfn.MAXIFS(Tasks[_Row],Tasks[Pred1 UID],Tasks[[#This Row],[UID]]),_xlfn.MAXIFS(Tasks[_Row],Tasks[Pred2 UID],Tasks[[#This Row],[UID]])))</f>
        <v>23</v>
      </c>
      <c r="CD26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46360</v>
      </c>
      <c r="CE26" s="87" t="n">
        <f aca="false">IF(NOT(Tasks[[#This Row],[_IsLeaf]]=1),"",MIN(ProjectFinish,IF(N(Tasks[[#This Row],[Deadline]])&gt;0,Tasks[[#This Row],[Deadline]],2958465),Tasks[[#This Row],[_SuccessorFinishLimit]]))</f>
        <v>46360</v>
      </c>
      <c r="CF26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46351</v>
      </c>
      <c r="CG26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11</v>
      </c>
      <c r="CH26" s="86" t="b">
        <f aca="false">AND(Tasks[[#This Row],[_IsLeaf]]=1,Tasks[[#This Row],[_LeafProgress]]&lt;1,N(Tasks[[#This Row],[_LeafTotalSlack]])&lt;=CriticalSlackDays)</f>
        <v>0</v>
      </c>
      <c r="CI26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46328</v>
      </c>
      <c r="CJ26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46337</v>
      </c>
      <c r="CK2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46328</v>
      </c>
      <c r="CN2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46336</v>
      </c>
      <c r="CP2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6" s="43" t="n">
        <f aca="false">IF(AND(Tasks[[#This Row],[_IsLeaf]]=1,Tasks[[#This Row],[_LeafWork]]&gt;0),NETWORKDAYS.INTL(ProjectStart,Tasks[[#This Row],[_LeafFcstStart]],WorkWeek,Holidays),0)</f>
        <v>47</v>
      </c>
      <c r="CR26" s="43" t="n">
        <f aca="false">IF(AND(Tasks[[#This Row],[_IsLeaf]]=1,Tasks[[#This Row],[_LeafWork]]&gt;0),MAX(Tasks[[#This Row],[_StartWorkday]],NETWORKDAYS.INTL(ProjectStart,Tasks[[#This Row],[_LeafFcstFinish]],WorkWeek,Holidays)),0)</f>
        <v>54</v>
      </c>
      <c r="CS26" s="43" t="n">
        <f aca="false">IF(AND(Tasks[[#This Row],[_IsLeaf]]=1,Tasks[[#This Row],[_LeafWork]]&gt;0),Tasks[[#This Row],[_LeafWork]]/(Tasks[[#This Row],[_FinishWorkday]]-Tasks[[#This Row],[_StartWorkday]]+1),0)</f>
        <v>8</v>
      </c>
      <c r="CT26" s="43" t="n">
        <f aca="false">Tasks[[#This Row],[_WorkPerWorkday]]*(Tasks[[#This Row],[_StartWorkday]]-1)</f>
        <v>368</v>
      </c>
      <c r="CU26" s="43" t="n">
        <f aca="false">IF(Tasks[[#This Row],[_IsLeaf]]=1,MAX(N(Tasks[[#This Row],[Duration]]),0.1),0)</f>
        <v>8</v>
      </c>
      <c r="CV26" s="43" t="n">
        <f aca="false">Tasks[[#This Row],[_WeightDur]]*Tasks[[#This Row],[_LeafProgress]]</f>
        <v>0</v>
      </c>
      <c r="CW2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19</v>
      </c>
      <c r="CX2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19</v>
      </c>
      <c r="CZ2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19</v>
      </c>
      <c r="DB26" s="43" t="str">
        <f aca="false">IF(AND(Tasks[[#This Row],[_IsLeaf]]=1,N(Tasks[[#This Row],[Duration]])=0,Tasks[[#This Row],[_LeafProgress]]&lt;1),Tasks[[#This Row],[_LeafFcstFinish]]+Tasks[[#This Row],[_Row]]/100000,"")</f>
        <v/>
      </c>
      <c r="DC2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6" s="43" t="n">
        <f aca="false">IF(NOT(Tasks[[#This Row],[_IsLeaf]]=1),0,IF(Tasks[[#This Row],[Baseline Cost]]="",Tasks[[#This Row],[_LeafCost]],N(Tasks[[#This Row],[Baseline Cost]])))</f>
        <v>4160</v>
      </c>
      <c r="DE26" s="43" t="n">
        <f aca="false">Tasks[[#This Row],[_LeafBudget]]*Tasks[[#This Row],[_PlannedPct]]</f>
        <v>0</v>
      </c>
      <c r="DF26" s="43" t="n">
        <f aca="false">Tasks[[#This Row],[_LeafBudget]]*Tasks[[#This Row],[_LeafProgress]]</f>
        <v>0</v>
      </c>
      <c r="DG26" s="43" t="n">
        <f aca="false">IF(NOT(Tasks[[#This Row],[_IsLeaf]]=1),0,IF(Tasks[[#This Row],[Actual Cost]]="",Tasks[[#This Row],[_LeafCost]]*Tasks[[#This Row],[_LeafProgress]],N(Tasks[[#This Row],[Actual Cost]])))</f>
        <v>0</v>
      </c>
      <c r="DH26" s="43" t="str">
        <f aca="false">IF(Tasks[[#This Row],[Task Name]]="","",LEFT(Tasks[[#This Row],[WBS]],FIND(".",Tasks[[#This Row],[WBS]]&amp;".")-1))</f>
        <v>4</v>
      </c>
      <c r="DI26" s="43" t="str">
        <f aca="false">IF(AND(Tasks[[#This Row],[Task Name]]&lt;&gt;"",Tasks[[#This Row],[_Level]]=1),Tasks[[#This Row],[_Row]],"")</f>
        <v/>
      </c>
      <c r="DJ26" s="43" t="str">
        <f aca="false">IF(AND(Tasks[[#This Row],[_IsLeaf]]=1,N(Tasks[[#This Row],[Duration]])=0),Tasks[[#This Row],[Planned Finish]]+Tasks[[#This Row],[_Row]]/100000,"")</f>
        <v/>
      </c>
      <c r="DK26" s="43" t="n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>6.999979</v>
      </c>
      <c r="DL2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6" s="43" t="str">
        <f aca="false">IF(Tasks[[#This Row],[_LeafCritical]],Tasks[[#This Row],[_LeafFcstStart]]+Tasks[[#This Row],[_Row]]/100000,"")</f>
        <v/>
      </c>
      <c r="DO26" s="43" t="n">
        <f aca="false">Tasks[[#This Row],[_LeafWork]]*Tasks[[#This Row],[_LeafProgress]]</f>
        <v>0</v>
      </c>
      <c r="DP2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6" s="43" t="n">
        <f aca="false">IF(Tasks[[#This Row],[_IsLeaf]]=1,N(Tasks[[#This Row],[Story Points]]),0)</f>
        <v>8</v>
      </c>
      <c r="DR26" s="43" t="str">
        <f aca="false">IF(AND(Tasks[[#This Row],[_IsLeaf]]=1,CurrentSprint&lt;&gt;"",Tasks[[#This Row],[Sprint]]=CurrentSprint),Tasks[[#This Row],[_Row]],"")</f>
        <v/>
      </c>
    </row>
    <row r="27" customFormat="false" ht="15" hidden="false" customHeight="false" outlineLevel="0" collapsed="false">
      <c r="A27" s="28" t="n">
        <f aca="false">IF(Tasks[[#This Row],[Task Name]]="","",COUNTA(Tasks[[#Headers],[Task Name]]:Tasks[[#This Row],[Task Name]])-1)</f>
        <v>22</v>
      </c>
      <c r="B27" s="29" t="n">
        <v>22</v>
      </c>
      <c r="C2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4.2</v>
      </c>
      <c r="D27" s="29" t="n">
        <v>2</v>
      </c>
      <c r="E27" s="30" t="s">
        <v>498</v>
      </c>
      <c r="F27" s="29" t="s">
        <v>459</v>
      </c>
      <c r="G27" s="29" t="n">
        <v>6</v>
      </c>
      <c r="H27" s="29" t="n">
        <v>21</v>
      </c>
      <c r="I27" s="29" t="s">
        <v>464</v>
      </c>
      <c r="J27" s="29"/>
      <c r="K27" s="29"/>
      <c r="L27" s="29"/>
      <c r="M27" s="29"/>
      <c r="N27" s="72" t="n">
        <v>46363</v>
      </c>
      <c r="O27" s="72"/>
      <c r="P27" s="25" t="n">
        <f aca="false">IF(Tasks[[#This Row],[Task Name]]="","",IF(N(Tasks[[#This Row],[Baseline Start]])&gt;0,Tasks[[#This Row],[Baseline Start]],Tasks[[#This Row],[_CalcStart]]))</f>
        <v>46363</v>
      </c>
      <c r="Q27" s="25" t="n">
        <f aca="false">IF(Tasks[[#This Row],[Task Name]]="","",IF(N(Tasks[[#This Row],[Baseline Finish]])&gt;0,Tasks[[#This Row],[Baseline Finish]],Tasks[[#This Row],[_CalcFinish]]))</f>
        <v>46370</v>
      </c>
      <c r="R27" s="72"/>
      <c r="S27" s="72"/>
      <c r="T27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46363</v>
      </c>
      <c r="U27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46370</v>
      </c>
      <c r="V27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0</v>
      </c>
      <c r="W27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0</v>
      </c>
      <c r="X27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46363</v>
      </c>
      <c r="Y27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46370</v>
      </c>
      <c r="Z27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0</v>
      </c>
      <c r="AA27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2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2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7" s="74"/>
      <c r="AF27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2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27" s="30" t="s">
        <v>465</v>
      </c>
      <c r="AI27" s="74"/>
      <c r="AJ27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48</v>
      </c>
      <c r="AK27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3360</v>
      </c>
      <c r="AL27" s="83"/>
      <c r="AM27" s="29"/>
      <c r="AN2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7</v>
      </c>
      <c r="AO27" s="84" t="n">
        <v>5</v>
      </c>
      <c r="AP27" s="24" t="str">
        <f aca="false">IF(Tasks[[#This Row],[Task Name]]="","",Tasks[[#This Row],[_Pred1IDText]]&amp;IF(AND(Tasks[[#This Row],[_Pred1IDText]]&lt;&gt;"",Tasks[[#This Row],[_Pred2IDText]]&lt;&gt;""),",","")&amp;Tasks[[#This Row],[_Pred2IDText]])</f>
        <v>21</v>
      </c>
      <c r="AQ27" s="30" t="s">
        <v>499</v>
      </c>
      <c r="AR27" s="25" t="n">
        <f aca="false">IF(Tasks[[#This Row],[Task Name]]="","",Tasks[[#This Row],[Forecast Start]])</f>
        <v>46363</v>
      </c>
      <c r="AS27" s="25" t="n">
        <f aca="false">IF(Tasks[[#This Row],[Task Name]]="","",Tasks[[#This Row],[Forecast Finish]])</f>
        <v>46370</v>
      </c>
      <c r="AT27" s="28" t="n">
        <f aca="false">IF(Tasks[[#This Row],[Task Name]]="","",IF(Tasks[[#This Row],[_IsSummary]],NETWORKDAYS.INTL(Tasks[[#This Row],[Forecast Start]],Tasks[[#This Row],[Forecast Finish]],WorkWeek,Holidays),N(Tasks[[#This Row],[Duration]])))</f>
        <v>6</v>
      </c>
      <c r="AU27" s="81" t="n">
        <f aca="false">IF(Tasks[[#This Row],[Task Name]]="","",Tasks[[#This Row],[Work]])</f>
        <v>48</v>
      </c>
      <c r="AV27" s="82" t="n">
        <f aca="false">IF(Tasks[[#This Row],[Task Name]]="","",Tasks[[#This Row],[Cost]])</f>
        <v>3360</v>
      </c>
      <c r="AW27" s="72"/>
      <c r="AX27" s="72"/>
      <c r="AY27" s="29"/>
      <c r="AZ27" s="85"/>
      <c r="BA27" s="83"/>
      <c r="BB27" s="28" t="str">
        <f aca="false">IF(OR(Tasks[[#This Row],[Task Name]]="",Tasks[[#This Row],[Baseline Duration]]=""),"",Tasks[[#This Row],[BL Source Duration]]-N(Tasks[[#This Row],[Baseline Duration]]))</f>
        <v/>
      </c>
      <c r="BC27" s="81" t="str">
        <f aca="false">IF(OR(Tasks[[#This Row],[Task Name]]="",Tasks[[#This Row],[Baseline Work]]=""),"",Tasks[[#This Row],[Work]]-N(Tasks[[#This Row],[Baseline Work]]))</f>
        <v/>
      </c>
      <c r="BD27" s="82" t="str">
        <f aca="false">IF(OR(Tasks[[#This Row],[Task Name]]="",Tasks[[#This Row],[Baseline Cost]]=""),"",Tasks[[#This Row],[Cost]]-N(Tasks[[#This Row],[Baseline Cost]]))</f>
        <v/>
      </c>
      <c r="BE27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3360</v>
      </c>
      <c r="BF27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27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27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27" s="43" t="n">
        <f aca="false">IF(Tasks[[#This Row],[Task Name]]="","",MAX(1,N(Tasks[[#This Row],[Level]])))</f>
        <v>2</v>
      </c>
      <c r="BJ27" s="43" t="n">
        <f aca="false">ROW()-ROW(Tasks[[#Headers],[ID]])</f>
        <v>22</v>
      </c>
      <c r="BK2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25</v>
      </c>
      <c r="BL27" s="43" t="n">
        <f aca="false">IFERROR(N(INDEX(Tasks[_Level],Tasks[[#This Row],[_Row]]+1)),0)</f>
        <v>2</v>
      </c>
      <c r="BM27" s="86" t="b">
        <f aca="false">AND(Tasks[[#This Row],[Task Name]]&lt;&gt;"",Tasks[[#This Row],[_NextLevel]]&gt;Tasks[[#This Row],[_Level]])</f>
        <v>0</v>
      </c>
      <c r="BN27" s="43" t="n">
        <f aca="false">IF(Tasks[[#This Row],[_IsSummary]],COUNTIF(Tasks[WBS],Tasks[[#This Row],[WBS]]&amp;".*"),0)</f>
        <v>0</v>
      </c>
      <c r="BO27" s="43" t="n">
        <f aca="false">IF(AND(Tasks[[#This Row],[Task Name]]&lt;&gt;"",NOT(Tasks[[#This Row],[_IsSummary]])),1,0)</f>
        <v>1</v>
      </c>
      <c r="BP27" s="43" t="n">
        <f aca="false">IF(N(Tasks[[#This Row],[Pred1 UID]])=0,0,IFERROR(MATCH(Tasks[[#This Row],[Pred1 UID]],Tasks[UID],0),-1))</f>
        <v>21</v>
      </c>
      <c r="BQ27" s="43" t="n">
        <f aca="false">IF(N(Tasks[[#This Row],[Pred2 UID]])=0,0,IFERROR(MATCH(Tasks[[#This Row],[Pred2 UID]],Tasks[UID],0),-1))</f>
        <v>0</v>
      </c>
      <c r="BR27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46363</v>
      </c>
      <c r="BS27" s="87" t="n">
        <f aca="false">IF(NOT(Tasks[[#This Row],[_IsLeaf]]=1),"",IF(N(Tasks[[#This Row],[Duration]])&lt;=0,Tasks[[#This Row],[_LeafCalcStart]],WORKDAY.INTL(Tasks[[#This Row],[_LeafCalcStart]],Tasks[[#This Row],[Duration]]-1,WorkWeek,Holidays)))</f>
        <v>46370</v>
      </c>
      <c r="BT27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46363</v>
      </c>
      <c r="BU27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46370</v>
      </c>
      <c r="BV27" s="43" t="n">
        <f aca="false">IF(NOT(Tasks[[#This Row],[_IsLeaf]]=1),0,IF(N(Tasks[[#This Row],[Actual Finish]])&gt;0,1,MIN(1,N(Tasks[[#This Row],[% Complete]]))))</f>
        <v>0</v>
      </c>
      <c r="BW27" s="43" t="n">
        <f aca="false">IF(OR(NOT(Tasks[[#This Row],[_IsLeaf]]=1),Tasks[[#This Row],[Resource]]=""),0,N(Tasks[[#This Row],[Duration]])*HoursPerDay*IF(Tasks[[#This Row],[Units]]="",DefaultUnits,Tasks[[#This Row],[Units]]))</f>
        <v>48</v>
      </c>
      <c r="BX27" s="43" t="n">
        <f aca="false">IF(Tasks[[#This Row],[_LeafWork]]=0,0,Tasks[[#This Row],[_LeafWork]]*IFERROR(INDEX(res_Rate,MATCH(Tasks[[#This Row],[Resource]],res_Name,0)),0))</f>
        <v>3360</v>
      </c>
      <c r="BY27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2912105</v>
      </c>
      <c r="BZ2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7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99989</v>
      </c>
      <c r="CB2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7" s="43" t="n">
        <f aca="false">IF(NOT(Tasks[[#This Row],[_IsLeaf]]=1),0,MAX(_xlfn.MAXIFS(Tasks[_Row],Tasks[Pred1 UID],Tasks[[#This Row],[UID]]),_xlfn.MAXIFS(Tasks[_Row],Tasks[Pred2 UID],Tasks[[#This Row],[UID]])))</f>
        <v>24</v>
      </c>
      <c r="CD27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46370</v>
      </c>
      <c r="CE27" s="87" t="n">
        <f aca="false">IF(NOT(Tasks[[#This Row],[_IsLeaf]]=1),"",MIN(ProjectFinish,IF(N(Tasks[[#This Row],[Deadline]])&gt;0,Tasks[[#This Row],[Deadline]],2958465),Tasks[[#This Row],[_SuccessorFinishLimit]]))</f>
        <v>46370</v>
      </c>
      <c r="CF27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46363</v>
      </c>
      <c r="CG27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0</v>
      </c>
      <c r="CH27" s="86" t="b">
        <f aca="false">AND(Tasks[[#This Row],[_IsLeaf]]=1,Tasks[[#This Row],[_LeafProgress]]&lt;1,N(Tasks[[#This Row],[_LeafTotalSlack]])&lt;=CriticalSlackDays)</f>
        <v>1</v>
      </c>
      <c r="CI27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46363</v>
      </c>
      <c r="CJ27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46370</v>
      </c>
      <c r="CK2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46338</v>
      </c>
      <c r="CN2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46346</v>
      </c>
      <c r="CP2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7" s="43" t="n">
        <f aca="false">IF(AND(Tasks[[#This Row],[_IsLeaf]]=1,Tasks[[#This Row],[_LeafWork]]&gt;0),NETWORKDAYS.INTL(ProjectStart,Tasks[[#This Row],[_LeafFcstStart]],WorkWeek,Holidays),0)</f>
        <v>66</v>
      </c>
      <c r="CR27" s="43" t="n">
        <f aca="false">IF(AND(Tasks[[#This Row],[_IsLeaf]]=1,Tasks[[#This Row],[_LeafWork]]&gt;0),MAX(Tasks[[#This Row],[_StartWorkday]],NETWORKDAYS.INTL(ProjectStart,Tasks[[#This Row],[_LeafFcstFinish]],WorkWeek,Holidays)),0)</f>
        <v>71</v>
      </c>
      <c r="CS27" s="43" t="n">
        <f aca="false">IF(AND(Tasks[[#This Row],[_IsLeaf]]=1,Tasks[[#This Row],[_LeafWork]]&gt;0),Tasks[[#This Row],[_LeafWork]]/(Tasks[[#This Row],[_FinishWorkday]]-Tasks[[#This Row],[_StartWorkday]]+1),0)</f>
        <v>8</v>
      </c>
      <c r="CT27" s="43" t="n">
        <f aca="false">Tasks[[#This Row],[_WorkPerWorkday]]*(Tasks[[#This Row],[_StartWorkday]]-1)</f>
        <v>520</v>
      </c>
      <c r="CU27" s="43" t="n">
        <f aca="false">IF(Tasks[[#This Row],[_IsLeaf]]=1,MAX(N(Tasks[[#This Row],[Duration]]),0.1),0)</f>
        <v>6</v>
      </c>
      <c r="CV27" s="43" t="n">
        <f aca="false">Tasks[[#This Row],[_WeightDur]]*Tasks[[#This Row],[_LeafProgress]]</f>
        <v>0</v>
      </c>
      <c r="CW2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21</v>
      </c>
      <c r="CX2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21</v>
      </c>
      <c r="CZ2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21</v>
      </c>
      <c r="DB27" s="43" t="str">
        <f aca="false">IF(AND(Tasks[[#This Row],[_IsLeaf]]=1,N(Tasks[[#This Row],[Duration]])=0,Tasks[[#This Row],[_LeafProgress]]&lt;1),Tasks[[#This Row],[_LeafFcstFinish]]+Tasks[[#This Row],[_Row]]/100000,"")</f>
        <v/>
      </c>
      <c r="DC2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7" s="43" t="n">
        <f aca="false">IF(NOT(Tasks[[#This Row],[_IsLeaf]]=1),0,IF(Tasks[[#This Row],[Baseline Cost]]="",Tasks[[#This Row],[_LeafCost]],N(Tasks[[#This Row],[Baseline Cost]])))</f>
        <v>3360</v>
      </c>
      <c r="DE27" s="43" t="n">
        <f aca="false">Tasks[[#This Row],[_LeafBudget]]*Tasks[[#This Row],[_PlannedPct]]</f>
        <v>0</v>
      </c>
      <c r="DF27" s="43" t="n">
        <f aca="false">Tasks[[#This Row],[_LeafBudget]]*Tasks[[#This Row],[_LeafProgress]]</f>
        <v>0</v>
      </c>
      <c r="DG27" s="43" t="n">
        <f aca="false">IF(NOT(Tasks[[#This Row],[_IsLeaf]]=1),0,IF(Tasks[[#This Row],[Actual Cost]]="",Tasks[[#This Row],[_LeafCost]]*Tasks[[#This Row],[_LeafProgress]],N(Tasks[[#This Row],[Actual Cost]])))</f>
        <v>0</v>
      </c>
      <c r="DH27" s="43" t="str">
        <f aca="false">IF(Tasks[[#This Row],[Task Name]]="","",LEFT(Tasks[[#This Row],[WBS]],FIND(".",Tasks[[#This Row],[WBS]]&amp;".")-1))</f>
        <v>4</v>
      </c>
      <c r="DI27" s="43" t="str">
        <f aca="false">IF(AND(Tasks[[#This Row],[Task Name]]&lt;&gt;"",Tasks[[#This Row],[_Level]]=1),Tasks[[#This Row],[_Row]],"")</f>
        <v/>
      </c>
      <c r="DJ27" s="43" t="str">
        <f aca="false">IF(AND(Tasks[[#This Row],[_IsLeaf]]=1,N(Tasks[[#This Row],[Duration]])=0),Tasks[[#This Row],[Planned Finish]]+Tasks[[#This Row],[_Row]]/100000,"")</f>
        <v/>
      </c>
      <c r="DK2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2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7" s="88" t="n">
        <f aca="false">IF(Tasks[[#This Row],[_LeafCritical]],Tasks[[#This Row],[_LeafFcstStart]]+Tasks[[#This Row],[_Row]]/100000,"")</f>
        <v>46363.00022</v>
      </c>
      <c r="DO27" s="43" t="n">
        <f aca="false">Tasks[[#This Row],[_LeafWork]]*Tasks[[#This Row],[_LeafProgress]]</f>
        <v>0</v>
      </c>
      <c r="DP2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7" s="43" t="n">
        <f aca="false">IF(Tasks[[#This Row],[_IsLeaf]]=1,N(Tasks[[#This Row],[Story Points]]),0)</f>
        <v>5</v>
      </c>
      <c r="DR27" s="43" t="str">
        <f aca="false">IF(AND(Tasks[[#This Row],[_IsLeaf]]=1,CurrentSprint&lt;&gt;"",Tasks[[#This Row],[Sprint]]=CurrentSprint),Tasks[[#This Row],[_Row]],"")</f>
        <v/>
      </c>
    </row>
    <row r="28" customFormat="false" ht="15" hidden="false" customHeight="false" outlineLevel="0" collapsed="false">
      <c r="A28" s="28" t="n">
        <f aca="false">IF(Tasks[[#This Row],[Task Name]]="","",COUNTA(Tasks[[#Headers],[Task Name]]:Tasks[[#This Row],[Task Name]])-1)</f>
        <v>23</v>
      </c>
      <c r="B28" s="29" t="n">
        <v>23</v>
      </c>
      <c r="C2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4.3</v>
      </c>
      <c r="D28" s="29" t="n">
        <v>2</v>
      </c>
      <c r="E28" s="30" t="s">
        <v>500</v>
      </c>
      <c r="F28" s="29" t="s">
        <v>459</v>
      </c>
      <c r="G28" s="29" t="n">
        <v>5</v>
      </c>
      <c r="H28" s="29" t="n">
        <v>21</v>
      </c>
      <c r="I28" s="29" t="s">
        <v>471</v>
      </c>
      <c r="J28" s="29" t="n">
        <v>2</v>
      </c>
      <c r="K28" s="29"/>
      <c r="L28" s="29"/>
      <c r="M28" s="29"/>
      <c r="N28" s="72"/>
      <c r="O28" s="72"/>
      <c r="P28" s="25" t="n">
        <f aca="false">IF(Tasks[[#This Row],[Task Name]]="","",IF(N(Tasks[[#This Row],[Baseline Start]])&gt;0,Tasks[[#This Row],[Baseline Start]],Tasks[[#This Row],[_CalcStart]]))</f>
        <v>46330</v>
      </c>
      <c r="Q28" s="25" t="n">
        <f aca="false">IF(Tasks[[#This Row],[Task Name]]="","",IF(N(Tasks[[#This Row],[Baseline Finish]])&gt;0,Tasks[[#This Row],[Baseline Finish]],Tasks[[#This Row],[_CalcFinish]]))</f>
        <v>46336</v>
      </c>
      <c r="R28" s="72"/>
      <c r="S28" s="72"/>
      <c r="T28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46338</v>
      </c>
      <c r="U28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46344</v>
      </c>
      <c r="V28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6</v>
      </c>
      <c r="W28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6</v>
      </c>
      <c r="X28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46364</v>
      </c>
      <c r="Y28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46370</v>
      </c>
      <c r="Z28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18</v>
      </c>
      <c r="AA28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18</v>
      </c>
      <c r="AB2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2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8" s="74"/>
      <c r="AF28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2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28" s="30" t="s">
        <v>475</v>
      </c>
      <c r="AI28" s="74" t="n">
        <v>0.5</v>
      </c>
      <c r="AJ28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20</v>
      </c>
      <c r="AK28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1500</v>
      </c>
      <c r="AL28" s="83"/>
      <c r="AM28" s="29"/>
      <c r="AN2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5</v>
      </c>
      <c r="AO28" s="84" t="n">
        <v>3</v>
      </c>
      <c r="AP28" s="24" t="str">
        <f aca="false">IF(Tasks[[#This Row],[Task Name]]="","",Tasks[[#This Row],[_Pred1IDText]]&amp;IF(AND(Tasks[[#This Row],[_Pred1IDText]]&lt;&gt;"",Tasks[[#This Row],[_Pred2IDText]]&lt;&gt;""),",","")&amp;Tasks[[#This Row],[_Pred2IDText]])</f>
        <v>21SS+2d</v>
      </c>
      <c r="AQ28" s="30"/>
      <c r="AR28" s="25" t="n">
        <f aca="false">IF(Tasks[[#This Row],[Task Name]]="","",Tasks[[#This Row],[Forecast Start]])</f>
        <v>46338</v>
      </c>
      <c r="AS28" s="25" t="n">
        <f aca="false">IF(Tasks[[#This Row],[Task Name]]="","",Tasks[[#This Row],[Forecast Finish]])</f>
        <v>46344</v>
      </c>
      <c r="AT28" s="28" t="n">
        <f aca="false">IF(Tasks[[#This Row],[Task Name]]="","",IF(Tasks[[#This Row],[_IsSummary]],NETWORKDAYS.INTL(Tasks[[#This Row],[Forecast Start]],Tasks[[#This Row],[Forecast Finish]],WorkWeek,Holidays),N(Tasks[[#This Row],[Duration]])))</f>
        <v>5</v>
      </c>
      <c r="AU28" s="81" t="n">
        <f aca="false">IF(Tasks[[#This Row],[Task Name]]="","",Tasks[[#This Row],[Work]])</f>
        <v>20</v>
      </c>
      <c r="AV28" s="82" t="n">
        <f aca="false">IF(Tasks[[#This Row],[Task Name]]="","",Tasks[[#This Row],[Cost]])</f>
        <v>1500</v>
      </c>
      <c r="AW28" s="72"/>
      <c r="AX28" s="72"/>
      <c r="AY28" s="29"/>
      <c r="AZ28" s="85"/>
      <c r="BA28" s="83"/>
      <c r="BB28" s="28" t="str">
        <f aca="false">IF(OR(Tasks[[#This Row],[Task Name]]="",Tasks[[#This Row],[Baseline Duration]]=""),"",Tasks[[#This Row],[BL Source Duration]]-N(Tasks[[#This Row],[Baseline Duration]]))</f>
        <v/>
      </c>
      <c r="BC28" s="81" t="str">
        <f aca="false">IF(OR(Tasks[[#This Row],[Task Name]]="",Tasks[[#This Row],[Baseline Work]]=""),"",Tasks[[#This Row],[Work]]-N(Tasks[[#This Row],[Baseline Work]]))</f>
        <v/>
      </c>
      <c r="BD28" s="82" t="str">
        <f aca="false">IF(OR(Tasks[[#This Row],[Task Name]]="",Tasks[[#This Row],[Baseline Cost]]=""),"",Tasks[[#This Row],[Cost]]-N(Tasks[[#This Row],[Baseline Cost]]))</f>
        <v/>
      </c>
      <c r="BE28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1500</v>
      </c>
      <c r="BF28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28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28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28" s="43" t="n">
        <f aca="false">IF(Tasks[[#This Row],[Task Name]]="","",MAX(1,N(Tasks[[#This Row],[Level]])))</f>
        <v>2</v>
      </c>
      <c r="BJ28" s="43" t="n">
        <f aca="false">ROW()-ROW(Tasks[[#Headers],[ID]])</f>
        <v>23</v>
      </c>
      <c r="BK2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25</v>
      </c>
      <c r="BL28" s="43" t="n">
        <f aca="false">IFERROR(N(INDEX(Tasks[_Level],Tasks[[#This Row],[_Row]]+1)),0)</f>
        <v>2</v>
      </c>
      <c r="BM28" s="86" t="b">
        <f aca="false">AND(Tasks[[#This Row],[Task Name]]&lt;&gt;"",Tasks[[#This Row],[_NextLevel]]&gt;Tasks[[#This Row],[_Level]])</f>
        <v>0</v>
      </c>
      <c r="BN28" s="43" t="n">
        <f aca="false">IF(Tasks[[#This Row],[_IsSummary]],COUNTIF(Tasks[WBS],Tasks[[#This Row],[WBS]]&amp;".*"),0)</f>
        <v>0</v>
      </c>
      <c r="BO28" s="43" t="n">
        <f aca="false">IF(AND(Tasks[[#This Row],[Task Name]]&lt;&gt;"",NOT(Tasks[[#This Row],[_IsSummary]])),1,0)</f>
        <v>1</v>
      </c>
      <c r="BP28" s="43" t="n">
        <f aca="false">IF(N(Tasks[[#This Row],[Pred1 UID]])=0,0,IFERROR(MATCH(Tasks[[#This Row],[Pred1 UID]],Tasks[UID],0),-1))</f>
        <v>21</v>
      </c>
      <c r="BQ28" s="43" t="n">
        <f aca="false">IF(N(Tasks[[#This Row],[Pred2 UID]])=0,0,IFERROR(MATCH(Tasks[[#This Row],[Pred2 UID]],Tasks[UID],0),-1))</f>
        <v>0</v>
      </c>
      <c r="BR28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46330</v>
      </c>
      <c r="BS28" s="87" t="n">
        <f aca="false">IF(NOT(Tasks[[#This Row],[_IsLeaf]]=1),"",IF(N(Tasks[[#This Row],[Duration]])&lt;=0,Tasks[[#This Row],[_LeafCalcStart]],WORKDAY.INTL(Tasks[[#This Row],[_LeafCalcStart]],Tasks[[#This Row],[Duration]]-1,WorkWeek,Holidays)))</f>
        <v>46336</v>
      </c>
      <c r="BT28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46338</v>
      </c>
      <c r="BU28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46344</v>
      </c>
      <c r="BV28" s="43" t="n">
        <f aca="false">IF(NOT(Tasks[[#This Row],[_IsLeaf]]=1),0,IF(N(Tasks[[#This Row],[Actual Finish]])&gt;0,1,MIN(1,N(Tasks[[#This Row],[% Complete]]))))</f>
        <v>0</v>
      </c>
      <c r="BW28" s="43" t="n">
        <f aca="false">IF(OR(NOT(Tasks[[#This Row],[_IsLeaf]]=1),Tasks[[#This Row],[Resource]]=""),0,N(Tasks[[#This Row],[Duration]])*HoursPerDay*IF(Tasks[[#This Row],[Units]]="",DefaultUnits,Tasks[[#This Row],[Units]]))</f>
        <v>20</v>
      </c>
      <c r="BX28" s="43" t="n">
        <f aca="false">IF(Tasks[[#This Row],[_LeafWork]]=0,0,Tasks[[#This Row],[_LeafWork]]*IFERROR(INDEX(res_Rate,MATCH(Tasks[[#This Row],[Resource]],res_Name,0)),0))</f>
        <v>1500</v>
      </c>
      <c r="BY28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2912094</v>
      </c>
      <c r="BZ2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8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2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8" s="43" t="n">
        <f aca="false">IF(NOT(Tasks[[#This Row],[_IsLeaf]]=1),0,MAX(_xlfn.MAXIFS(Tasks[_Row],Tasks[Pred1 UID],Tasks[[#This Row],[UID]]),_xlfn.MAXIFS(Tasks[_Row],Tasks[Pred2 UID],Tasks[[#This Row],[UID]])))</f>
        <v>24</v>
      </c>
      <c r="CD28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46370</v>
      </c>
      <c r="CE28" s="87" t="n">
        <f aca="false">IF(NOT(Tasks[[#This Row],[_IsLeaf]]=1),"",MIN(ProjectFinish,IF(N(Tasks[[#This Row],[Deadline]])&gt;0,Tasks[[#This Row],[Deadline]],2958465),Tasks[[#This Row],[_SuccessorFinishLimit]]))</f>
        <v>46370</v>
      </c>
      <c r="CF28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46364</v>
      </c>
      <c r="CG28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18</v>
      </c>
      <c r="CH28" s="86" t="b">
        <f aca="false">AND(Tasks[[#This Row],[_IsLeaf]]=1,Tasks[[#This Row],[_LeafProgress]]&lt;1,N(Tasks[[#This Row],[_LeafTotalSlack]])&lt;=CriticalSlackDays)</f>
        <v>0</v>
      </c>
      <c r="CI28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46330</v>
      </c>
      <c r="CJ28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46336</v>
      </c>
      <c r="CK2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46330</v>
      </c>
      <c r="CN2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46338</v>
      </c>
      <c r="CP2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8" s="43" t="n">
        <f aca="false">IF(AND(Tasks[[#This Row],[_IsLeaf]]=1,Tasks[[#This Row],[_LeafWork]]&gt;0),NETWORKDAYS.INTL(ProjectStart,Tasks[[#This Row],[_LeafFcstStart]],WorkWeek,Holidays),0)</f>
        <v>49</v>
      </c>
      <c r="CR28" s="43" t="n">
        <f aca="false">IF(AND(Tasks[[#This Row],[_IsLeaf]]=1,Tasks[[#This Row],[_LeafWork]]&gt;0),MAX(Tasks[[#This Row],[_StartWorkday]],NETWORKDAYS.INTL(ProjectStart,Tasks[[#This Row],[_LeafFcstFinish]],WorkWeek,Holidays)),0)</f>
        <v>53</v>
      </c>
      <c r="CS28" s="43" t="n">
        <f aca="false">IF(AND(Tasks[[#This Row],[_IsLeaf]]=1,Tasks[[#This Row],[_LeafWork]]&gt;0),Tasks[[#This Row],[_LeafWork]]/(Tasks[[#This Row],[_FinishWorkday]]-Tasks[[#This Row],[_StartWorkday]]+1),0)</f>
        <v>4</v>
      </c>
      <c r="CT28" s="43" t="n">
        <f aca="false">Tasks[[#This Row],[_WorkPerWorkday]]*(Tasks[[#This Row],[_StartWorkday]]-1)</f>
        <v>192</v>
      </c>
      <c r="CU28" s="43" t="n">
        <f aca="false">IF(Tasks[[#This Row],[_IsLeaf]]=1,MAX(N(Tasks[[#This Row],[Duration]]),0.1),0)</f>
        <v>5</v>
      </c>
      <c r="CV28" s="43" t="n">
        <f aca="false">Tasks[[#This Row],[_WeightDur]]*Tasks[[#This Row],[_LeafProgress]]</f>
        <v>0</v>
      </c>
      <c r="CW2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21SS+2d</v>
      </c>
      <c r="CX2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21SS+2d</v>
      </c>
      <c r="CZ2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21SS+2d</v>
      </c>
      <c r="DB28" s="43" t="str">
        <f aca="false">IF(AND(Tasks[[#This Row],[_IsLeaf]]=1,N(Tasks[[#This Row],[Duration]])=0,Tasks[[#This Row],[_LeafProgress]]&lt;1),Tasks[[#This Row],[_LeafFcstFinish]]+Tasks[[#This Row],[_Row]]/100000,"")</f>
        <v/>
      </c>
      <c r="DC2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8" s="43" t="n">
        <f aca="false">IF(NOT(Tasks[[#This Row],[_IsLeaf]]=1),0,IF(Tasks[[#This Row],[Baseline Cost]]="",Tasks[[#This Row],[_LeafCost]],N(Tasks[[#This Row],[Baseline Cost]])))</f>
        <v>1500</v>
      </c>
      <c r="DE28" s="43" t="n">
        <f aca="false">Tasks[[#This Row],[_LeafBudget]]*Tasks[[#This Row],[_PlannedPct]]</f>
        <v>0</v>
      </c>
      <c r="DF28" s="43" t="n">
        <f aca="false">Tasks[[#This Row],[_LeafBudget]]*Tasks[[#This Row],[_LeafProgress]]</f>
        <v>0</v>
      </c>
      <c r="DG28" s="43" t="n">
        <f aca="false">IF(NOT(Tasks[[#This Row],[_IsLeaf]]=1),0,IF(Tasks[[#This Row],[Actual Cost]]="",Tasks[[#This Row],[_LeafCost]]*Tasks[[#This Row],[_LeafProgress]],N(Tasks[[#This Row],[Actual Cost]])))</f>
        <v>0</v>
      </c>
      <c r="DH28" s="43" t="str">
        <f aca="false">IF(Tasks[[#This Row],[Task Name]]="","",LEFT(Tasks[[#This Row],[WBS]],FIND(".",Tasks[[#This Row],[WBS]]&amp;".")-1))</f>
        <v>4</v>
      </c>
      <c r="DI28" s="43" t="str">
        <f aca="false">IF(AND(Tasks[[#This Row],[Task Name]]&lt;&gt;"",Tasks[[#This Row],[_Level]]=1),Tasks[[#This Row],[_Row]],"")</f>
        <v/>
      </c>
      <c r="DJ28" s="43" t="str">
        <f aca="false">IF(AND(Tasks[[#This Row],[_IsLeaf]]=1,N(Tasks[[#This Row],[Duration]])=0),Tasks[[#This Row],[Planned Finish]]+Tasks[[#This Row],[_Row]]/100000,"")</f>
        <v/>
      </c>
      <c r="DK28" s="43" t="n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>6.999977</v>
      </c>
      <c r="DL2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8" s="43" t="str">
        <f aca="false">IF(Tasks[[#This Row],[_LeafCritical]],Tasks[[#This Row],[_LeafFcstStart]]+Tasks[[#This Row],[_Row]]/100000,"")</f>
        <v/>
      </c>
      <c r="DO28" s="43" t="n">
        <f aca="false">Tasks[[#This Row],[_LeafWork]]*Tasks[[#This Row],[_LeafProgress]]</f>
        <v>0</v>
      </c>
      <c r="DP2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8" s="43" t="n">
        <f aca="false">IF(Tasks[[#This Row],[_IsLeaf]]=1,N(Tasks[[#This Row],[Story Points]]),0)</f>
        <v>3</v>
      </c>
      <c r="DR28" s="43" t="str">
        <f aca="false">IF(AND(Tasks[[#This Row],[_IsLeaf]]=1,CurrentSprint&lt;&gt;"",Tasks[[#This Row],[Sprint]]=CurrentSprint),Tasks[[#This Row],[_Row]],"")</f>
        <v/>
      </c>
    </row>
    <row r="29" customFormat="false" ht="15" hidden="false" customHeight="false" outlineLevel="0" collapsed="false">
      <c r="A29" s="28" t="n">
        <f aca="false">IF(Tasks[[#This Row],[Task Name]]="","",COUNTA(Tasks[[#Headers],[Task Name]]:Tasks[[#This Row],[Task Name]])-1)</f>
        <v>24</v>
      </c>
      <c r="B29" s="29" t="n">
        <v>24</v>
      </c>
      <c r="C2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4.4</v>
      </c>
      <c r="D29" s="29" t="n">
        <v>2</v>
      </c>
      <c r="E29" s="30" t="s">
        <v>501</v>
      </c>
      <c r="F29" s="29" t="s">
        <v>459</v>
      </c>
      <c r="G29" s="29" t="n">
        <v>1</v>
      </c>
      <c r="H29" s="29" t="n">
        <v>22</v>
      </c>
      <c r="I29" s="29" t="s">
        <v>464</v>
      </c>
      <c r="J29" s="29"/>
      <c r="K29" s="29" t="n">
        <v>23</v>
      </c>
      <c r="L29" s="29" t="s">
        <v>464</v>
      </c>
      <c r="M29" s="29"/>
      <c r="N29" s="72"/>
      <c r="O29" s="72"/>
      <c r="P29" s="25" t="n">
        <f aca="false">IF(Tasks[[#This Row],[Task Name]]="","",IF(N(Tasks[[#This Row],[Baseline Start]])&gt;0,Tasks[[#This Row],[Baseline Start]],Tasks[[#This Row],[_CalcStart]]))</f>
        <v>46371</v>
      </c>
      <c r="Q29" s="25" t="n">
        <f aca="false">IF(Tasks[[#This Row],[Task Name]]="","",IF(N(Tasks[[#This Row],[Baseline Finish]])&gt;0,Tasks[[#This Row],[Baseline Finish]],Tasks[[#This Row],[_CalcFinish]]))</f>
        <v>46371</v>
      </c>
      <c r="R29" s="72"/>
      <c r="S29" s="72"/>
      <c r="T29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46371</v>
      </c>
      <c r="U29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46371</v>
      </c>
      <c r="V29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0</v>
      </c>
      <c r="W29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0</v>
      </c>
      <c r="X29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46371</v>
      </c>
      <c r="Y29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46371</v>
      </c>
      <c r="Z29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0</v>
      </c>
      <c r="AA29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2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2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9" s="74"/>
      <c r="AF29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2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29" s="30" t="s">
        <v>239</v>
      </c>
      <c r="AI29" s="74"/>
      <c r="AJ29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8</v>
      </c>
      <c r="AK29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760</v>
      </c>
      <c r="AL29" s="83"/>
      <c r="AM29" s="29"/>
      <c r="AN2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8</v>
      </c>
      <c r="AO29" s="84" t="n">
        <v>1</v>
      </c>
      <c r="AP29" s="24" t="str">
        <f aca="false">IF(Tasks[[#This Row],[Task Name]]="","",Tasks[[#This Row],[_Pred1IDText]]&amp;IF(AND(Tasks[[#This Row],[_Pred1IDText]]&lt;&gt;"",Tasks[[#This Row],[_Pred2IDText]]&lt;&gt;""),",","")&amp;Tasks[[#This Row],[_Pred2IDText]])</f>
        <v>22,23</v>
      </c>
      <c r="AQ29" s="30"/>
      <c r="AR29" s="25" t="n">
        <f aca="false">IF(Tasks[[#This Row],[Task Name]]="","",Tasks[[#This Row],[Forecast Start]])</f>
        <v>46371</v>
      </c>
      <c r="AS29" s="25" t="n">
        <f aca="false">IF(Tasks[[#This Row],[Task Name]]="","",Tasks[[#This Row],[Forecast Finish]])</f>
        <v>46371</v>
      </c>
      <c r="AT29" s="28" t="n">
        <f aca="false">IF(Tasks[[#This Row],[Task Name]]="","",IF(Tasks[[#This Row],[_IsSummary]],NETWORKDAYS.INTL(Tasks[[#This Row],[Forecast Start]],Tasks[[#This Row],[Forecast Finish]],WorkWeek,Holidays),N(Tasks[[#This Row],[Duration]])))</f>
        <v>1</v>
      </c>
      <c r="AU29" s="81" t="n">
        <f aca="false">IF(Tasks[[#This Row],[Task Name]]="","",Tasks[[#This Row],[Work]])</f>
        <v>8</v>
      </c>
      <c r="AV29" s="82" t="n">
        <f aca="false">IF(Tasks[[#This Row],[Task Name]]="","",Tasks[[#This Row],[Cost]])</f>
        <v>760</v>
      </c>
      <c r="AW29" s="72"/>
      <c r="AX29" s="72"/>
      <c r="AY29" s="29"/>
      <c r="AZ29" s="85"/>
      <c r="BA29" s="83"/>
      <c r="BB29" s="28" t="str">
        <f aca="false">IF(OR(Tasks[[#This Row],[Task Name]]="",Tasks[[#This Row],[Baseline Duration]]=""),"",Tasks[[#This Row],[BL Source Duration]]-N(Tasks[[#This Row],[Baseline Duration]]))</f>
        <v/>
      </c>
      <c r="BC29" s="81" t="str">
        <f aca="false">IF(OR(Tasks[[#This Row],[Task Name]]="",Tasks[[#This Row],[Baseline Work]]=""),"",Tasks[[#This Row],[Work]]-N(Tasks[[#This Row],[Baseline Work]]))</f>
        <v/>
      </c>
      <c r="BD29" s="82" t="str">
        <f aca="false">IF(OR(Tasks[[#This Row],[Task Name]]="",Tasks[[#This Row],[Baseline Cost]]=""),"",Tasks[[#This Row],[Cost]]-N(Tasks[[#This Row],[Baseline Cost]]))</f>
        <v/>
      </c>
      <c r="BE29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760</v>
      </c>
      <c r="BF29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29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29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29" s="43" t="n">
        <f aca="false">IF(Tasks[[#This Row],[Task Name]]="","",MAX(1,N(Tasks[[#This Row],[Level]])))</f>
        <v>2</v>
      </c>
      <c r="BJ29" s="43" t="n">
        <f aca="false">ROW()-ROW(Tasks[[#Headers],[ID]])</f>
        <v>24</v>
      </c>
      <c r="BK2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25</v>
      </c>
      <c r="BL29" s="43" t="n">
        <f aca="false">IFERROR(N(INDEX(Tasks[_Level],Tasks[[#This Row],[_Row]]+1)),0)</f>
        <v>2</v>
      </c>
      <c r="BM29" s="86" t="b">
        <f aca="false">AND(Tasks[[#This Row],[Task Name]]&lt;&gt;"",Tasks[[#This Row],[_NextLevel]]&gt;Tasks[[#This Row],[_Level]])</f>
        <v>0</v>
      </c>
      <c r="BN29" s="43" t="n">
        <f aca="false">IF(Tasks[[#This Row],[_IsSummary]],COUNTIF(Tasks[WBS],Tasks[[#This Row],[WBS]]&amp;".*"),0)</f>
        <v>0</v>
      </c>
      <c r="BO29" s="43" t="n">
        <f aca="false">IF(AND(Tasks[[#This Row],[Task Name]]&lt;&gt;"",NOT(Tasks[[#This Row],[_IsSummary]])),1,0)</f>
        <v>1</v>
      </c>
      <c r="BP29" s="43" t="n">
        <f aca="false">IF(N(Tasks[[#This Row],[Pred1 UID]])=0,0,IFERROR(MATCH(Tasks[[#This Row],[Pred1 UID]],Tasks[UID],0),-1))</f>
        <v>22</v>
      </c>
      <c r="BQ29" s="43" t="n">
        <f aca="false">IF(N(Tasks[[#This Row],[Pred2 UID]])=0,0,IFERROR(MATCH(Tasks[[#This Row],[Pred2 UID]],Tasks[UID],0),-1))</f>
        <v>23</v>
      </c>
      <c r="BR29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46371</v>
      </c>
      <c r="BS29" s="87" t="n">
        <f aca="false">IF(NOT(Tasks[[#This Row],[_IsLeaf]]=1),"",IF(N(Tasks[[#This Row],[Duration]])&lt;=0,Tasks[[#This Row],[_LeafCalcStart]],WORKDAY.INTL(Tasks[[#This Row],[_LeafCalcStart]],Tasks[[#This Row],[Duration]]-1,WorkWeek,Holidays)))</f>
        <v>46371</v>
      </c>
      <c r="BT29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46371</v>
      </c>
      <c r="BU29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46371</v>
      </c>
      <c r="BV29" s="43" t="n">
        <f aca="false">IF(NOT(Tasks[[#This Row],[_IsLeaf]]=1),0,IF(N(Tasks[[#This Row],[Actual Finish]])&gt;0,1,MIN(1,N(Tasks[[#This Row],[% Complete]]))))</f>
        <v>0</v>
      </c>
      <c r="BW29" s="43" t="n">
        <f aca="false">IF(OR(NOT(Tasks[[#This Row],[_IsLeaf]]=1),Tasks[[#This Row],[Resource]]=""),0,N(Tasks[[#This Row],[Duration]])*HoursPerDay*IF(Tasks[[#This Row],[Units]]="",DefaultUnits,Tasks[[#This Row],[Units]]))</f>
        <v>8</v>
      </c>
      <c r="BX29" s="43" t="n">
        <f aca="false">IF(Tasks[[#This Row],[_LeafWork]]=0,0,Tasks[[#This Row],[_LeafWork]]*IFERROR(INDEX(res_Rate,MATCH(Tasks[[#This Row],[Resource]],res_Name,0)),0))</f>
        <v>760</v>
      </c>
      <c r="BY29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2912095</v>
      </c>
      <c r="BZ29" s="88" t="n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>2912095</v>
      </c>
      <c r="CA29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29" s="43" t="n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>99982</v>
      </c>
      <c r="CC29" s="43" t="n">
        <f aca="false">IF(NOT(Tasks[[#This Row],[_IsLeaf]]=1),0,MAX(_xlfn.MAXIFS(Tasks[_Row],Tasks[Pred1 UID],Tasks[[#This Row],[UID]]),_xlfn.MAXIFS(Tasks[_Row],Tasks[Pred2 UID],Tasks[[#This Row],[UID]])))</f>
        <v>25</v>
      </c>
      <c r="CD29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46371</v>
      </c>
      <c r="CE29" s="87" t="n">
        <f aca="false">IF(NOT(Tasks[[#This Row],[_IsLeaf]]=1),"",MIN(ProjectFinish,IF(N(Tasks[[#This Row],[Deadline]])&gt;0,Tasks[[#This Row],[Deadline]],2958465),Tasks[[#This Row],[_SuccessorFinishLimit]]))</f>
        <v>46371</v>
      </c>
      <c r="CF29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46371</v>
      </c>
      <c r="CG29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0</v>
      </c>
      <c r="CH29" s="86" t="b">
        <f aca="false">AND(Tasks[[#This Row],[_IsLeaf]]=1,Tasks[[#This Row],[_LeafProgress]]&lt;1,N(Tasks[[#This Row],[_LeafTotalSlack]])&lt;=CriticalSlackDays)</f>
        <v>1</v>
      </c>
      <c r="CI29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46371</v>
      </c>
      <c r="CJ29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46371</v>
      </c>
      <c r="CK2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46371</v>
      </c>
      <c r="CN2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46337</v>
      </c>
      <c r="CO2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46371</v>
      </c>
      <c r="CP2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46345</v>
      </c>
      <c r="CQ29" s="43" t="n">
        <f aca="false">IF(AND(Tasks[[#This Row],[_IsLeaf]]=1,Tasks[[#This Row],[_LeafWork]]&gt;0),NETWORKDAYS.INTL(ProjectStart,Tasks[[#This Row],[_LeafFcstStart]],WorkWeek,Holidays),0)</f>
        <v>72</v>
      </c>
      <c r="CR29" s="43" t="n">
        <f aca="false">IF(AND(Tasks[[#This Row],[_IsLeaf]]=1,Tasks[[#This Row],[_LeafWork]]&gt;0),MAX(Tasks[[#This Row],[_StartWorkday]],NETWORKDAYS.INTL(ProjectStart,Tasks[[#This Row],[_LeafFcstFinish]],WorkWeek,Holidays)),0)</f>
        <v>72</v>
      </c>
      <c r="CS29" s="43" t="n">
        <f aca="false">IF(AND(Tasks[[#This Row],[_IsLeaf]]=1,Tasks[[#This Row],[_LeafWork]]&gt;0),Tasks[[#This Row],[_LeafWork]]/(Tasks[[#This Row],[_FinishWorkday]]-Tasks[[#This Row],[_StartWorkday]]+1),0)</f>
        <v>8</v>
      </c>
      <c r="CT29" s="43" t="n">
        <f aca="false">Tasks[[#This Row],[_WorkPerWorkday]]*(Tasks[[#This Row],[_StartWorkday]]-1)</f>
        <v>568</v>
      </c>
      <c r="CU29" s="43" t="n">
        <f aca="false">IF(Tasks[[#This Row],[_IsLeaf]]=1,MAX(N(Tasks[[#This Row],[Duration]]),0.1),0)</f>
        <v>1</v>
      </c>
      <c r="CV29" s="43" t="n">
        <f aca="false">Tasks[[#This Row],[_WeightDur]]*Tasks[[#This Row],[_LeafProgress]]</f>
        <v>0</v>
      </c>
      <c r="CW2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22</v>
      </c>
      <c r="CX2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>23</v>
      </c>
      <c r="CY2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22</v>
      </c>
      <c r="CZ2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>23</v>
      </c>
      <c r="DA2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22,23</v>
      </c>
      <c r="DB29" s="43" t="str">
        <f aca="false">IF(AND(Tasks[[#This Row],[_IsLeaf]]=1,N(Tasks[[#This Row],[Duration]])=0,Tasks[[#This Row],[_LeafProgress]]&lt;1),Tasks[[#This Row],[_LeafFcstFinish]]+Tasks[[#This Row],[_Row]]/100000,"")</f>
        <v/>
      </c>
      <c r="DC2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9" s="43" t="n">
        <f aca="false">IF(NOT(Tasks[[#This Row],[_IsLeaf]]=1),0,IF(Tasks[[#This Row],[Baseline Cost]]="",Tasks[[#This Row],[_LeafCost]],N(Tasks[[#This Row],[Baseline Cost]])))</f>
        <v>760</v>
      </c>
      <c r="DE29" s="43" t="n">
        <f aca="false">Tasks[[#This Row],[_LeafBudget]]*Tasks[[#This Row],[_PlannedPct]]</f>
        <v>0</v>
      </c>
      <c r="DF29" s="43" t="n">
        <f aca="false">Tasks[[#This Row],[_LeafBudget]]*Tasks[[#This Row],[_LeafProgress]]</f>
        <v>0</v>
      </c>
      <c r="DG29" s="43" t="n">
        <f aca="false">IF(NOT(Tasks[[#This Row],[_IsLeaf]]=1),0,IF(Tasks[[#This Row],[Actual Cost]]="",Tasks[[#This Row],[_LeafCost]]*Tasks[[#This Row],[_LeafProgress]],N(Tasks[[#This Row],[Actual Cost]])))</f>
        <v>0</v>
      </c>
      <c r="DH29" s="43" t="str">
        <f aca="false">IF(Tasks[[#This Row],[Task Name]]="","",LEFT(Tasks[[#This Row],[WBS]],FIND(".",Tasks[[#This Row],[WBS]]&amp;".")-1))</f>
        <v>4</v>
      </c>
      <c r="DI29" s="43" t="str">
        <f aca="false">IF(AND(Tasks[[#This Row],[Task Name]]&lt;&gt;"",Tasks[[#This Row],[_Level]]=1),Tasks[[#This Row],[_Row]],"")</f>
        <v/>
      </c>
      <c r="DJ29" s="43" t="str">
        <f aca="false">IF(AND(Tasks[[#This Row],[_IsLeaf]]=1,N(Tasks[[#This Row],[Duration]])=0),Tasks[[#This Row],[Planned Finish]]+Tasks[[#This Row],[_Row]]/100000,"")</f>
        <v/>
      </c>
      <c r="DK2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2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9" s="88" t="n">
        <f aca="false">IF(Tasks[[#This Row],[_LeafCritical]],Tasks[[#This Row],[_LeafFcstStart]]+Tasks[[#This Row],[_Row]]/100000,"")</f>
        <v>46371.00024</v>
      </c>
      <c r="DO29" s="43" t="n">
        <f aca="false">Tasks[[#This Row],[_LeafWork]]*Tasks[[#This Row],[_LeafProgress]]</f>
        <v>0</v>
      </c>
      <c r="DP2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9" s="43" t="n">
        <f aca="false">IF(Tasks[[#This Row],[_IsLeaf]]=1,N(Tasks[[#This Row],[Story Points]]),0)</f>
        <v>1</v>
      </c>
      <c r="DR29" s="43" t="str">
        <f aca="false">IF(AND(Tasks[[#This Row],[_IsLeaf]]=1,CurrentSprint&lt;&gt;"",Tasks[[#This Row],[Sprint]]=CurrentSprint),Tasks[[#This Row],[_Row]],"")</f>
        <v/>
      </c>
    </row>
    <row r="30" customFormat="false" ht="15" hidden="false" customHeight="false" outlineLevel="0" collapsed="false">
      <c r="A30" s="28" t="n">
        <f aca="false">IF(Tasks[[#This Row],[Task Name]]="","",COUNTA(Tasks[[#Headers],[Task Name]]:Tasks[[#This Row],[Task Name]])-1)</f>
        <v>25</v>
      </c>
      <c r="B30" s="29" t="n">
        <v>25</v>
      </c>
      <c r="C3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4.5</v>
      </c>
      <c r="D30" s="29" t="n">
        <v>2</v>
      </c>
      <c r="E30" s="30" t="s">
        <v>502</v>
      </c>
      <c r="F30" s="29" t="s">
        <v>459</v>
      </c>
      <c r="G30" s="29" t="n">
        <v>0</v>
      </c>
      <c r="H30" s="29" t="n">
        <v>24</v>
      </c>
      <c r="I30" s="29" t="s">
        <v>464</v>
      </c>
      <c r="J30" s="29"/>
      <c r="K30" s="29"/>
      <c r="L30" s="29"/>
      <c r="M30" s="29"/>
      <c r="N30" s="72"/>
      <c r="O30" s="72" t="n">
        <v>46374</v>
      </c>
      <c r="P30" s="25" t="n">
        <f aca="false">IF(Tasks[[#This Row],[Task Name]]="","",IF(N(Tasks[[#This Row],[Baseline Start]])&gt;0,Tasks[[#This Row],[Baseline Start]],Tasks[[#This Row],[_CalcStart]]))</f>
        <v>46371</v>
      </c>
      <c r="Q30" s="25" t="n">
        <f aca="false">IF(Tasks[[#This Row],[Task Name]]="","",IF(N(Tasks[[#This Row],[Baseline Finish]])&gt;0,Tasks[[#This Row],[Baseline Finish]],Tasks[[#This Row],[_CalcFinish]]))</f>
        <v>46371</v>
      </c>
      <c r="R30" s="72"/>
      <c r="S30" s="72"/>
      <c r="T30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46371</v>
      </c>
      <c r="U30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46371</v>
      </c>
      <c r="V30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0</v>
      </c>
      <c r="W30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0</v>
      </c>
      <c r="X30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46371</v>
      </c>
      <c r="Y30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46371</v>
      </c>
      <c r="Z30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0</v>
      </c>
      <c r="AA30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3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3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>OK</v>
      </c>
      <c r="AD3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30" s="74"/>
      <c r="AF30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3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30" s="30"/>
      <c r="AI30" s="74"/>
      <c r="AJ30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0</v>
      </c>
      <c r="AK30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0</v>
      </c>
      <c r="AL30" s="83"/>
      <c r="AM30" s="29"/>
      <c r="AN3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8</v>
      </c>
      <c r="AO30" s="84"/>
      <c r="AP30" s="24" t="str">
        <f aca="false">IF(Tasks[[#This Row],[Task Name]]="","",Tasks[[#This Row],[_Pred1IDText]]&amp;IF(AND(Tasks[[#This Row],[_Pred1IDText]]&lt;&gt;"",Tasks[[#This Row],[_Pred2IDText]]&lt;&gt;""),",","")&amp;Tasks[[#This Row],[_Pred2IDText]])</f>
        <v>24</v>
      </c>
      <c r="AQ30" s="30" t="s">
        <v>503</v>
      </c>
      <c r="AR30" s="25" t="n">
        <f aca="false">IF(Tasks[[#This Row],[Task Name]]="","",Tasks[[#This Row],[Forecast Start]])</f>
        <v>46371</v>
      </c>
      <c r="AS30" s="25" t="n">
        <f aca="false">IF(Tasks[[#This Row],[Task Name]]="","",Tasks[[#This Row],[Forecast Finish]])</f>
        <v>46371</v>
      </c>
      <c r="AT30" s="28" t="n">
        <f aca="false">IF(Tasks[[#This Row],[Task Name]]="","",IF(Tasks[[#This Row],[_IsSummary]],NETWORKDAYS.INTL(Tasks[[#This Row],[Forecast Start]],Tasks[[#This Row],[Forecast Finish]],WorkWeek,Holidays),N(Tasks[[#This Row],[Duration]])))</f>
        <v>0</v>
      </c>
      <c r="AU30" s="81" t="n">
        <f aca="false">IF(Tasks[[#This Row],[Task Name]]="","",Tasks[[#This Row],[Work]])</f>
        <v>0</v>
      </c>
      <c r="AV30" s="82" t="n">
        <f aca="false">IF(Tasks[[#This Row],[Task Name]]="","",Tasks[[#This Row],[Cost]])</f>
        <v>0</v>
      </c>
      <c r="AW30" s="72"/>
      <c r="AX30" s="72"/>
      <c r="AY30" s="29"/>
      <c r="AZ30" s="85"/>
      <c r="BA30" s="83"/>
      <c r="BB30" s="28" t="str">
        <f aca="false">IF(OR(Tasks[[#This Row],[Task Name]]="",Tasks[[#This Row],[Baseline Duration]]=""),"",Tasks[[#This Row],[BL Source Duration]]-N(Tasks[[#This Row],[Baseline Duration]]))</f>
        <v/>
      </c>
      <c r="BC30" s="81" t="str">
        <f aca="false">IF(OR(Tasks[[#This Row],[Task Name]]="",Tasks[[#This Row],[Baseline Work]]=""),"",Tasks[[#This Row],[Work]]-N(Tasks[[#This Row],[Baseline Work]]))</f>
        <v/>
      </c>
      <c r="BD30" s="82" t="str">
        <f aca="false">IF(OR(Tasks[[#This Row],[Task Name]]="",Tasks[[#This Row],[Baseline Cost]]=""),"",Tasks[[#This Row],[Cost]]-N(Tasks[[#This Row],[Baseline Cost]]))</f>
        <v/>
      </c>
      <c r="BE30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0</v>
      </c>
      <c r="BF30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30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30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30" s="43" t="n">
        <f aca="false">IF(Tasks[[#This Row],[Task Name]]="","",MAX(1,N(Tasks[[#This Row],[Level]])))</f>
        <v>2</v>
      </c>
      <c r="BJ30" s="43" t="n">
        <f aca="false">ROW()-ROW(Tasks[[#Headers],[ID]])</f>
        <v>25</v>
      </c>
      <c r="BK3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25</v>
      </c>
      <c r="BL30" s="43" t="n">
        <f aca="false">IFERROR(N(INDEX(Tasks[_Level],Tasks[[#This Row],[_Row]]+1)),0)</f>
        <v>2</v>
      </c>
      <c r="BM30" s="86" t="b">
        <f aca="false">AND(Tasks[[#This Row],[Task Name]]&lt;&gt;"",Tasks[[#This Row],[_NextLevel]]&gt;Tasks[[#This Row],[_Level]])</f>
        <v>0</v>
      </c>
      <c r="BN30" s="43" t="n">
        <f aca="false">IF(Tasks[[#This Row],[_IsSummary]],COUNTIF(Tasks[WBS],Tasks[[#This Row],[WBS]]&amp;".*"),0)</f>
        <v>0</v>
      </c>
      <c r="BO30" s="43" t="n">
        <f aca="false">IF(AND(Tasks[[#This Row],[Task Name]]&lt;&gt;"",NOT(Tasks[[#This Row],[_IsSummary]])),1,0)</f>
        <v>1</v>
      </c>
      <c r="BP30" s="43" t="n">
        <f aca="false">IF(N(Tasks[[#This Row],[Pred1 UID]])=0,0,IFERROR(MATCH(Tasks[[#This Row],[Pred1 UID]],Tasks[UID],0),-1))</f>
        <v>24</v>
      </c>
      <c r="BQ30" s="43" t="n">
        <f aca="false">IF(N(Tasks[[#This Row],[Pred2 UID]])=0,0,IFERROR(MATCH(Tasks[[#This Row],[Pred2 UID]],Tasks[UID],0),-1))</f>
        <v>0</v>
      </c>
      <c r="BR30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46371</v>
      </c>
      <c r="BS30" s="87" t="n">
        <f aca="false">IF(NOT(Tasks[[#This Row],[_IsLeaf]]=1),"",IF(N(Tasks[[#This Row],[Duration]])&lt;=0,Tasks[[#This Row],[_LeafCalcStart]],WORKDAY.INTL(Tasks[[#This Row],[_LeafCalcStart]],Tasks[[#This Row],[Duration]]-1,WorkWeek,Holidays)))</f>
        <v>46371</v>
      </c>
      <c r="BT30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46371</v>
      </c>
      <c r="BU30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46371</v>
      </c>
      <c r="BV30" s="43" t="n">
        <f aca="false">IF(NOT(Tasks[[#This Row],[_IsLeaf]]=1),0,IF(N(Tasks[[#This Row],[Actual Finish]])&gt;0,1,MIN(1,N(Tasks[[#This Row],[% Complete]]))))</f>
        <v>0</v>
      </c>
      <c r="BW3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30" s="43" t="n">
        <f aca="false">IF(Tasks[[#This Row],[_LeafWork]]=0,0,Tasks[[#This Row],[_LeafWork]]*IFERROR(INDEX(res_Rate,MATCH(Tasks[[#This Row],[Resource]],res_Name,0)),0))</f>
        <v>0</v>
      </c>
      <c r="BY30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2912094</v>
      </c>
      <c r="BZ3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30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3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30" s="43" t="n">
        <f aca="false">IF(NOT(Tasks[[#This Row],[_IsLeaf]]=1),0,MAX(_xlfn.MAXIFS(Tasks[_Row],Tasks[Pred1 UID],Tasks[[#This Row],[UID]]),_xlfn.MAXIFS(Tasks[_Row],Tasks[Pred2 UID],Tasks[[#This Row],[UID]])))</f>
        <v>26</v>
      </c>
      <c r="CD30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46371</v>
      </c>
      <c r="CE30" s="87" t="n">
        <f aca="false">IF(NOT(Tasks[[#This Row],[_IsLeaf]]=1),"",MIN(ProjectFinish,IF(N(Tasks[[#This Row],[Deadline]])&gt;0,Tasks[[#This Row],[Deadline]],2958465),Tasks[[#This Row],[_SuccessorFinishLimit]]))</f>
        <v>46371</v>
      </c>
      <c r="CF30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46371</v>
      </c>
      <c r="CG30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0</v>
      </c>
      <c r="CH30" s="86" t="b">
        <f aca="false">AND(Tasks[[#This Row],[_IsLeaf]]=1,Tasks[[#This Row],[_LeafProgress]]&lt;1,N(Tasks[[#This Row],[_LeafTotalSlack]])&lt;=CriticalSlackDays)</f>
        <v>1</v>
      </c>
      <c r="CI30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46371</v>
      </c>
      <c r="CJ30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46371</v>
      </c>
      <c r="CK3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3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3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46371</v>
      </c>
      <c r="CN3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3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46371</v>
      </c>
      <c r="CP3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30" s="43" t="n">
        <f aca="false">IF(AND(Tasks[[#This Row],[_IsLeaf]]=1,Tasks[[#This Row],[_LeafWork]]&gt;0),NETWORKDAYS.INTL(ProjectStart,Tasks[[#This Row],[_LeafFcstStart]],WorkWeek,Holidays),0)</f>
        <v>0</v>
      </c>
      <c r="CR3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30" s="43" t="n">
        <f aca="false">IF(AND(Tasks[[#This Row],[_IsLeaf]]=1,Tasks[[#This Row],[_LeafWork]]&gt;0),Tasks[[#This Row],[_LeafWork]]/(Tasks[[#This Row],[_FinishWorkday]]-Tasks[[#This Row],[_StartWorkday]]+1),0)</f>
        <v>0</v>
      </c>
      <c r="CT30" s="43" t="n">
        <f aca="false">Tasks[[#This Row],[_WorkPerWorkday]]*(Tasks[[#This Row],[_StartWorkday]]-1)</f>
        <v>-0</v>
      </c>
      <c r="CU30" s="43" t="n">
        <f aca="false">IF(Tasks[[#This Row],[_IsLeaf]]=1,MAX(N(Tasks[[#This Row],[Duration]]),0.1),0)</f>
        <v>0.1</v>
      </c>
      <c r="CV30" s="43" t="n">
        <f aca="false">Tasks[[#This Row],[_WeightDur]]*Tasks[[#This Row],[_LeafProgress]]</f>
        <v>0</v>
      </c>
      <c r="CW3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24</v>
      </c>
      <c r="CX3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3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24</v>
      </c>
      <c r="CZ3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3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24</v>
      </c>
      <c r="DB30" s="88" t="n">
        <f aca="false">IF(AND(Tasks[[#This Row],[_IsLeaf]]=1,N(Tasks[[#This Row],[Duration]])=0,Tasks[[#This Row],[_LeafProgress]]&lt;1),Tasks[[#This Row],[_LeafFcstFinish]]+Tasks[[#This Row],[_Row]]/100000,"")</f>
        <v>46371.00025</v>
      </c>
      <c r="DC3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30" s="43" t="n">
        <f aca="false">IF(NOT(Tasks[[#This Row],[_IsLeaf]]=1),0,IF(Tasks[[#This Row],[Baseline Cost]]="",Tasks[[#This Row],[_LeafCost]],N(Tasks[[#This Row],[Baseline Cost]])))</f>
        <v>0</v>
      </c>
      <c r="DE30" s="43" t="n">
        <f aca="false">Tasks[[#This Row],[_LeafBudget]]*Tasks[[#This Row],[_PlannedPct]]</f>
        <v>0</v>
      </c>
      <c r="DF30" s="43" t="n">
        <f aca="false">Tasks[[#This Row],[_LeafBudget]]*Tasks[[#This Row],[_LeafProgress]]</f>
        <v>0</v>
      </c>
      <c r="DG30" s="43" t="n">
        <f aca="false">IF(NOT(Tasks[[#This Row],[_IsLeaf]]=1),0,IF(Tasks[[#This Row],[Actual Cost]]="",Tasks[[#This Row],[_LeafCost]]*Tasks[[#This Row],[_LeafProgress]],N(Tasks[[#This Row],[Actual Cost]])))</f>
        <v>0</v>
      </c>
      <c r="DH30" s="43" t="str">
        <f aca="false">IF(Tasks[[#This Row],[Task Name]]="","",LEFT(Tasks[[#This Row],[WBS]],FIND(".",Tasks[[#This Row],[WBS]]&amp;".")-1))</f>
        <v>4</v>
      </c>
      <c r="DI30" s="43" t="str">
        <f aca="false">IF(AND(Tasks[[#This Row],[Task Name]]&lt;&gt;"",Tasks[[#This Row],[_Level]]=1),Tasks[[#This Row],[_Row]],"")</f>
        <v/>
      </c>
      <c r="DJ30" s="88" t="n">
        <f aca="false">IF(AND(Tasks[[#This Row],[_IsLeaf]]=1,N(Tasks[[#This Row],[Duration]])=0),Tasks[[#This Row],[Planned Finish]]+Tasks[[#This Row],[_Row]]/100000,"")</f>
        <v>46371.00025</v>
      </c>
      <c r="DK3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3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3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30" s="88" t="n">
        <f aca="false">IF(Tasks[[#This Row],[_LeafCritical]],Tasks[[#This Row],[_LeafFcstStart]]+Tasks[[#This Row],[_Row]]/100000,"")</f>
        <v>46371.00025</v>
      </c>
      <c r="DO30" s="43" t="n">
        <f aca="false">Tasks[[#This Row],[_LeafWork]]*Tasks[[#This Row],[_LeafProgress]]</f>
        <v>0</v>
      </c>
      <c r="DP3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30" s="43" t="n">
        <f aca="false">IF(Tasks[[#This Row],[_IsLeaf]]=1,N(Tasks[[#This Row],[Story Points]]),0)</f>
        <v>0</v>
      </c>
      <c r="DR30" s="43" t="str">
        <f aca="false">IF(AND(Tasks[[#This Row],[_IsLeaf]]=1,CurrentSprint&lt;&gt;"",Tasks[[#This Row],[Sprint]]=CurrentSprint),Tasks[[#This Row],[_Row]],"")</f>
        <v/>
      </c>
    </row>
    <row r="31" customFormat="false" ht="15" hidden="false" customHeight="false" outlineLevel="0" collapsed="false">
      <c r="A31" s="28" t="n">
        <f aca="false">IF(Tasks[[#This Row],[Task Name]]="","",COUNTA(Tasks[[#Headers],[Task Name]]:Tasks[[#This Row],[Task Name]])-1)</f>
        <v>26</v>
      </c>
      <c r="B31" s="29" t="n">
        <v>26</v>
      </c>
      <c r="C3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4.6</v>
      </c>
      <c r="D31" s="29" t="n">
        <v>2</v>
      </c>
      <c r="E31" s="30" t="s">
        <v>504</v>
      </c>
      <c r="F31" s="29" t="s">
        <v>459</v>
      </c>
      <c r="G31" s="29" t="n">
        <v>10</v>
      </c>
      <c r="H31" s="29" t="n">
        <v>25</v>
      </c>
      <c r="I31" s="29" t="s">
        <v>464</v>
      </c>
      <c r="J31" s="29"/>
      <c r="K31" s="29"/>
      <c r="L31" s="29"/>
      <c r="M31" s="29"/>
      <c r="N31" s="72"/>
      <c r="O31" s="72"/>
      <c r="P31" s="25" t="n">
        <f aca="false">IF(Tasks[[#This Row],[Task Name]]="","",IF(N(Tasks[[#This Row],[Baseline Start]])&gt;0,Tasks[[#This Row],[Baseline Start]],Tasks[[#This Row],[_CalcStart]]))</f>
        <v>46372</v>
      </c>
      <c r="Q31" s="25" t="n">
        <f aca="false">IF(Tasks[[#This Row],[Task Name]]="","",IF(N(Tasks[[#This Row],[Baseline Finish]])&gt;0,Tasks[[#This Row],[Baseline Finish]],Tasks[[#This Row],[_CalcFinish]]))</f>
        <v>46391</v>
      </c>
      <c r="R31" s="72"/>
      <c r="S31" s="72"/>
      <c r="T31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46372</v>
      </c>
      <c r="U31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46391</v>
      </c>
      <c r="V31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0</v>
      </c>
      <c r="W31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0</v>
      </c>
      <c r="X31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46372</v>
      </c>
      <c r="Y31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46391</v>
      </c>
      <c r="Z31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0</v>
      </c>
      <c r="AA31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3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3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3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31" s="74"/>
      <c r="AF31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3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31" s="30" t="s">
        <v>482</v>
      </c>
      <c r="AI31" s="74" t="n">
        <v>0.5</v>
      </c>
      <c r="AJ31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40</v>
      </c>
      <c r="AK31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3400</v>
      </c>
      <c r="AL31" s="83"/>
      <c r="AM31" s="29"/>
      <c r="AN3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8</v>
      </c>
      <c r="AO31" s="84" t="n">
        <v>5</v>
      </c>
      <c r="AP31" s="24" t="str">
        <f aca="false">IF(Tasks[[#This Row],[Task Name]]="","",Tasks[[#This Row],[_Pred1IDText]]&amp;IF(AND(Tasks[[#This Row],[_Pred1IDText]]&lt;&gt;"",Tasks[[#This Row],[_Pred2IDText]]&lt;&gt;""),",","")&amp;Tasks[[#This Row],[_Pred2IDText]])</f>
        <v>25</v>
      </c>
      <c r="AQ31" s="30"/>
      <c r="AR31" s="25" t="n">
        <f aca="false">IF(Tasks[[#This Row],[Task Name]]="","",Tasks[[#This Row],[Forecast Start]])</f>
        <v>46372</v>
      </c>
      <c r="AS31" s="25" t="n">
        <f aca="false">IF(Tasks[[#This Row],[Task Name]]="","",Tasks[[#This Row],[Forecast Finish]])</f>
        <v>46391</v>
      </c>
      <c r="AT31" s="28" t="n">
        <f aca="false">IF(Tasks[[#This Row],[Task Name]]="","",IF(Tasks[[#This Row],[_IsSummary]],NETWORKDAYS.INTL(Tasks[[#This Row],[Forecast Start]],Tasks[[#This Row],[Forecast Finish]],WorkWeek,Holidays),N(Tasks[[#This Row],[Duration]])))</f>
        <v>10</v>
      </c>
      <c r="AU31" s="81" t="n">
        <f aca="false">IF(Tasks[[#This Row],[Task Name]]="","",Tasks[[#This Row],[Work]])</f>
        <v>40</v>
      </c>
      <c r="AV31" s="82" t="n">
        <f aca="false">IF(Tasks[[#This Row],[Task Name]]="","",Tasks[[#This Row],[Cost]])</f>
        <v>3400</v>
      </c>
      <c r="AW31" s="72"/>
      <c r="AX31" s="72"/>
      <c r="AY31" s="29"/>
      <c r="AZ31" s="85"/>
      <c r="BA31" s="83"/>
      <c r="BB31" s="28" t="str">
        <f aca="false">IF(OR(Tasks[[#This Row],[Task Name]]="",Tasks[[#This Row],[Baseline Duration]]=""),"",Tasks[[#This Row],[BL Source Duration]]-N(Tasks[[#This Row],[Baseline Duration]]))</f>
        <v/>
      </c>
      <c r="BC31" s="81" t="str">
        <f aca="false">IF(OR(Tasks[[#This Row],[Task Name]]="",Tasks[[#This Row],[Baseline Work]]=""),"",Tasks[[#This Row],[Work]]-N(Tasks[[#This Row],[Baseline Work]]))</f>
        <v/>
      </c>
      <c r="BD31" s="82" t="str">
        <f aca="false">IF(OR(Tasks[[#This Row],[Task Name]]="",Tasks[[#This Row],[Baseline Cost]]=""),"",Tasks[[#This Row],[Cost]]-N(Tasks[[#This Row],[Baseline Cost]]))</f>
        <v/>
      </c>
      <c r="BE31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3400</v>
      </c>
      <c r="BF31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31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31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31" s="43" t="n">
        <f aca="false">IF(Tasks[[#This Row],[Task Name]]="","",MAX(1,N(Tasks[[#This Row],[Level]])))</f>
        <v>2</v>
      </c>
      <c r="BJ31" s="43" t="n">
        <f aca="false">ROW()-ROW(Tasks[[#Headers],[ID]])</f>
        <v>26</v>
      </c>
      <c r="BK3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25</v>
      </c>
      <c r="BL31" s="43" t="n">
        <f aca="false">IFERROR(N(INDEX(Tasks[_Level],Tasks[[#This Row],[_Row]]+1)),0)</f>
        <v>1</v>
      </c>
      <c r="BM31" s="86" t="b">
        <f aca="false">AND(Tasks[[#This Row],[Task Name]]&lt;&gt;"",Tasks[[#This Row],[_NextLevel]]&gt;Tasks[[#This Row],[_Level]])</f>
        <v>0</v>
      </c>
      <c r="BN31" s="43" t="n">
        <f aca="false">IF(Tasks[[#This Row],[_IsSummary]],COUNTIF(Tasks[WBS],Tasks[[#This Row],[WBS]]&amp;".*"),0)</f>
        <v>0</v>
      </c>
      <c r="BO31" s="43" t="n">
        <f aca="false">IF(AND(Tasks[[#This Row],[Task Name]]&lt;&gt;"",NOT(Tasks[[#This Row],[_IsSummary]])),1,0)</f>
        <v>1</v>
      </c>
      <c r="BP31" s="43" t="n">
        <f aca="false">IF(N(Tasks[[#This Row],[Pred1 UID]])=0,0,IFERROR(MATCH(Tasks[[#This Row],[Pred1 UID]],Tasks[UID],0),-1))</f>
        <v>25</v>
      </c>
      <c r="BQ31" s="43" t="n">
        <f aca="false">IF(N(Tasks[[#This Row],[Pred2 UID]])=0,0,IFERROR(MATCH(Tasks[[#This Row],[Pred2 UID]],Tasks[UID],0),-1))</f>
        <v>0</v>
      </c>
      <c r="BR31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46372</v>
      </c>
      <c r="BS31" s="87" t="n">
        <f aca="false">IF(NOT(Tasks[[#This Row],[_IsLeaf]]=1),"",IF(N(Tasks[[#This Row],[Duration]])&lt;=0,Tasks[[#This Row],[_LeafCalcStart]],WORKDAY.INTL(Tasks[[#This Row],[_LeafCalcStart]],Tasks[[#This Row],[Duration]]-1,WorkWeek,Holidays)))</f>
        <v>46391</v>
      </c>
      <c r="BT31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46372</v>
      </c>
      <c r="BU31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46391</v>
      </c>
      <c r="BV31" s="43" t="n">
        <f aca="false">IF(NOT(Tasks[[#This Row],[_IsLeaf]]=1),0,IF(N(Tasks[[#This Row],[Actual Finish]])&gt;0,1,MIN(1,N(Tasks[[#This Row],[% Complete]]))))</f>
        <v>0</v>
      </c>
      <c r="BW31" s="43" t="n">
        <f aca="false">IF(OR(NOT(Tasks[[#This Row],[_IsLeaf]]=1),Tasks[[#This Row],[Resource]]=""),0,N(Tasks[[#This Row],[Duration]])*HoursPerDay*IF(Tasks[[#This Row],[Units]]="",DefaultUnits,Tasks[[#This Row],[Units]]))</f>
        <v>40</v>
      </c>
      <c r="BX31" s="43" t="n">
        <f aca="false">IF(Tasks[[#This Row],[_LeafWork]]=0,0,Tasks[[#This Row],[_LeafWork]]*IFERROR(INDEX(res_Rate,MATCH(Tasks[[#This Row],[Resource]],res_Name,0)),0))</f>
        <v>3400</v>
      </c>
      <c r="BY31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2912094</v>
      </c>
      <c r="BZ3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31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3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31" s="43" t="n">
        <f aca="false">IF(NOT(Tasks[[#This Row],[_IsLeaf]]=1),0,MAX(_xlfn.MAXIFS(Tasks[_Row],Tasks[Pred1 UID],Tasks[[#This Row],[UID]]),_xlfn.MAXIFS(Tasks[_Row],Tasks[Pred2 UID],Tasks[[#This Row],[UID]])))</f>
        <v>29</v>
      </c>
      <c r="CD31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46391</v>
      </c>
      <c r="CE31" s="87" t="n">
        <f aca="false">IF(NOT(Tasks[[#This Row],[_IsLeaf]]=1),"",MIN(ProjectFinish,IF(N(Tasks[[#This Row],[Deadline]])&gt;0,Tasks[[#This Row],[Deadline]],2958465),Tasks[[#This Row],[_SuccessorFinishLimit]]))</f>
        <v>46391</v>
      </c>
      <c r="CF31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46372</v>
      </c>
      <c r="CG31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0</v>
      </c>
      <c r="CH31" s="86" t="b">
        <f aca="false">AND(Tasks[[#This Row],[_IsLeaf]]=1,Tasks[[#This Row],[_LeafProgress]]&lt;1,N(Tasks[[#This Row],[_LeafTotalSlack]])&lt;=CriticalSlackDays)</f>
        <v>1</v>
      </c>
      <c r="CI31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46372</v>
      </c>
      <c r="CJ31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46391</v>
      </c>
      <c r="CK3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3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3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46372</v>
      </c>
      <c r="CN3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3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46372</v>
      </c>
      <c r="CP3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31" s="43" t="n">
        <f aca="false">IF(AND(Tasks[[#This Row],[_IsLeaf]]=1,Tasks[[#This Row],[_LeafWork]]&gt;0),NETWORKDAYS.INTL(ProjectStart,Tasks[[#This Row],[_LeafFcstStart]],WorkWeek,Holidays),0)</f>
        <v>73</v>
      </c>
      <c r="CR31" s="43" t="n">
        <f aca="false">IF(AND(Tasks[[#This Row],[_IsLeaf]]=1,Tasks[[#This Row],[_LeafWork]]&gt;0),MAX(Tasks[[#This Row],[_StartWorkday]],NETWORKDAYS.INTL(ProjectStart,Tasks[[#This Row],[_LeafFcstFinish]],WorkWeek,Holidays)),0)</f>
        <v>82</v>
      </c>
      <c r="CS31" s="43" t="n">
        <f aca="false">IF(AND(Tasks[[#This Row],[_IsLeaf]]=1,Tasks[[#This Row],[_LeafWork]]&gt;0),Tasks[[#This Row],[_LeafWork]]/(Tasks[[#This Row],[_FinishWorkday]]-Tasks[[#This Row],[_StartWorkday]]+1),0)</f>
        <v>4</v>
      </c>
      <c r="CT31" s="43" t="n">
        <f aca="false">Tasks[[#This Row],[_WorkPerWorkday]]*(Tasks[[#This Row],[_StartWorkday]]-1)</f>
        <v>288</v>
      </c>
      <c r="CU31" s="43" t="n">
        <f aca="false">IF(Tasks[[#This Row],[_IsLeaf]]=1,MAX(N(Tasks[[#This Row],[Duration]]),0.1),0)</f>
        <v>10</v>
      </c>
      <c r="CV31" s="43" t="n">
        <f aca="false">Tasks[[#This Row],[_WeightDur]]*Tasks[[#This Row],[_LeafProgress]]</f>
        <v>0</v>
      </c>
      <c r="CW3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25</v>
      </c>
      <c r="CX3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3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25</v>
      </c>
      <c r="CZ3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3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25</v>
      </c>
      <c r="DB31" s="43" t="str">
        <f aca="false">IF(AND(Tasks[[#This Row],[_IsLeaf]]=1,N(Tasks[[#This Row],[Duration]])=0,Tasks[[#This Row],[_LeafProgress]]&lt;1),Tasks[[#This Row],[_LeafFcstFinish]]+Tasks[[#This Row],[_Row]]/100000,"")</f>
        <v/>
      </c>
      <c r="DC3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31" s="43" t="n">
        <f aca="false">IF(NOT(Tasks[[#This Row],[_IsLeaf]]=1),0,IF(Tasks[[#This Row],[Baseline Cost]]="",Tasks[[#This Row],[_LeafCost]],N(Tasks[[#This Row],[Baseline Cost]])))</f>
        <v>3400</v>
      </c>
      <c r="DE31" s="43" t="n">
        <f aca="false">Tasks[[#This Row],[_LeafBudget]]*Tasks[[#This Row],[_PlannedPct]]</f>
        <v>0</v>
      </c>
      <c r="DF31" s="43" t="n">
        <f aca="false">Tasks[[#This Row],[_LeafBudget]]*Tasks[[#This Row],[_LeafProgress]]</f>
        <v>0</v>
      </c>
      <c r="DG31" s="43" t="n">
        <f aca="false">IF(NOT(Tasks[[#This Row],[_IsLeaf]]=1),0,IF(Tasks[[#This Row],[Actual Cost]]="",Tasks[[#This Row],[_LeafCost]]*Tasks[[#This Row],[_LeafProgress]],N(Tasks[[#This Row],[Actual Cost]])))</f>
        <v>0</v>
      </c>
      <c r="DH31" s="43" t="str">
        <f aca="false">IF(Tasks[[#This Row],[Task Name]]="","",LEFT(Tasks[[#This Row],[WBS]],FIND(".",Tasks[[#This Row],[WBS]]&amp;".")-1))</f>
        <v>4</v>
      </c>
      <c r="DI31" s="43" t="str">
        <f aca="false">IF(AND(Tasks[[#This Row],[Task Name]]&lt;&gt;"",Tasks[[#This Row],[_Level]]=1),Tasks[[#This Row],[_Row]],"")</f>
        <v/>
      </c>
      <c r="DJ31" s="43" t="str">
        <f aca="false">IF(AND(Tasks[[#This Row],[_IsLeaf]]=1,N(Tasks[[#This Row],[Duration]])=0),Tasks[[#This Row],[Planned Finish]]+Tasks[[#This Row],[_Row]]/100000,"")</f>
        <v/>
      </c>
      <c r="DK3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3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3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31" s="88" t="n">
        <f aca="false">IF(Tasks[[#This Row],[_LeafCritical]],Tasks[[#This Row],[_LeafFcstStart]]+Tasks[[#This Row],[_Row]]/100000,"")</f>
        <v>46372.00026</v>
      </c>
      <c r="DO31" s="43" t="n">
        <f aca="false">Tasks[[#This Row],[_LeafWork]]*Tasks[[#This Row],[_LeafProgress]]</f>
        <v>0</v>
      </c>
      <c r="DP3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31" s="43" t="n">
        <f aca="false">IF(Tasks[[#This Row],[_IsLeaf]]=1,N(Tasks[[#This Row],[Story Points]]),0)</f>
        <v>5</v>
      </c>
      <c r="DR31" s="43" t="str">
        <f aca="false">IF(AND(Tasks[[#This Row],[_IsLeaf]]=1,CurrentSprint&lt;&gt;"",Tasks[[#This Row],[Sprint]]=CurrentSprint),Tasks[[#This Row],[_Row]],"")</f>
        <v/>
      </c>
    </row>
    <row r="32" customFormat="false" ht="15" hidden="false" customHeight="false" outlineLevel="0" collapsed="false">
      <c r="A32" s="28" t="n">
        <f aca="false">IF(Tasks[[#This Row],[Task Name]]="","",COUNTA(Tasks[[#Headers],[Task Name]]:Tasks[[#This Row],[Task Name]])-1)</f>
        <v>27</v>
      </c>
      <c r="B32" s="29" t="n">
        <v>27</v>
      </c>
      <c r="C3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5</v>
      </c>
      <c r="D32" s="29" t="n">
        <v>1</v>
      </c>
      <c r="E32" s="30" t="s">
        <v>505</v>
      </c>
      <c r="F32" s="29" t="s">
        <v>459</v>
      </c>
      <c r="G32" s="29"/>
      <c r="H32" s="29"/>
      <c r="I32" s="29"/>
      <c r="J32" s="29"/>
      <c r="K32" s="29"/>
      <c r="L32" s="29"/>
      <c r="M32" s="29"/>
      <c r="N32" s="72"/>
      <c r="O32" s="72"/>
      <c r="P32" s="25" t="n">
        <f aca="false">IF(Tasks[[#This Row],[Task Name]]="","",IF(N(Tasks[[#This Row],[Baseline Start]])&gt;0,Tasks[[#This Row],[Baseline Start]],Tasks[[#This Row],[_CalcStart]]))</f>
        <v>46342</v>
      </c>
      <c r="Q32" s="25" t="n">
        <f aca="false">IF(Tasks[[#This Row],[Task Name]]="","",IF(N(Tasks[[#This Row],[Baseline Finish]])&gt;0,Tasks[[#This Row],[Baseline Finish]],Tasks[[#This Row],[_CalcFinish]]))</f>
        <v>46393</v>
      </c>
      <c r="R32" s="72"/>
      <c r="S32" s="72"/>
      <c r="T32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46342</v>
      </c>
      <c r="U32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46393</v>
      </c>
      <c r="V32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0</v>
      </c>
      <c r="W32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0</v>
      </c>
      <c r="X32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46392</v>
      </c>
      <c r="Y32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46393</v>
      </c>
      <c r="Z32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0</v>
      </c>
      <c r="AA3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3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3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3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32" s="74"/>
      <c r="AF32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3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32" s="30"/>
      <c r="AI32" s="74"/>
      <c r="AJ32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24</v>
      </c>
      <c r="AK32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2280</v>
      </c>
      <c r="AL32" s="83"/>
      <c r="AM32" s="29"/>
      <c r="AN3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32" s="84"/>
      <c r="AP3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32" s="30"/>
      <c r="AR32" s="25" t="n">
        <f aca="false">IF(Tasks[[#This Row],[Task Name]]="","",Tasks[[#This Row],[Forecast Start]])</f>
        <v>46342</v>
      </c>
      <c r="AS32" s="25" t="n">
        <f aca="false">IF(Tasks[[#This Row],[Task Name]]="","",Tasks[[#This Row],[Forecast Finish]])</f>
        <v>46393</v>
      </c>
      <c r="AT32" s="28" t="n">
        <f aca="false">IF(Tasks[[#This Row],[Task Name]]="","",IF(Tasks[[#This Row],[_IsSummary]],NETWORKDAYS.INTL(Tasks[[#This Row],[Forecast Start]],Tasks[[#This Row],[Forecast Finish]],WorkWeek,Holidays),N(Tasks[[#This Row],[Duration]])))</f>
        <v>34</v>
      </c>
      <c r="AU32" s="81" t="n">
        <f aca="false">IF(Tasks[[#This Row],[Task Name]]="","",Tasks[[#This Row],[Work]])</f>
        <v>24</v>
      </c>
      <c r="AV32" s="82" t="n">
        <f aca="false">IF(Tasks[[#This Row],[Task Name]]="","",Tasks[[#This Row],[Cost]])</f>
        <v>2280</v>
      </c>
      <c r="AW32" s="72"/>
      <c r="AX32" s="72"/>
      <c r="AY32" s="29"/>
      <c r="AZ32" s="85"/>
      <c r="BA32" s="83"/>
      <c r="BB32" s="28" t="str">
        <f aca="false">IF(OR(Tasks[[#This Row],[Task Name]]="",Tasks[[#This Row],[Baseline Duration]]=""),"",Tasks[[#This Row],[BL Source Duration]]-N(Tasks[[#This Row],[Baseline Duration]]))</f>
        <v/>
      </c>
      <c r="BC32" s="81" t="str">
        <f aca="false">IF(OR(Tasks[[#This Row],[Task Name]]="",Tasks[[#This Row],[Baseline Work]]=""),"",Tasks[[#This Row],[Work]]-N(Tasks[[#This Row],[Baseline Work]]))</f>
        <v/>
      </c>
      <c r="BD32" s="82" t="str">
        <f aca="false">IF(OR(Tasks[[#This Row],[Task Name]]="",Tasks[[#This Row],[Baseline Cost]]=""),"",Tasks[[#This Row],[Cost]]-N(Tasks[[#This Row],[Baseline Cost]]))</f>
        <v/>
      </c>
      <c r="BE32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2280</v>
      </c>
      <c r="BF32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32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32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32" s="43" t="n">
        <f aca="false">IF(Tasks[[#This Row],[Task Name]]="","",MAX(1,N(Tasks[[#This Row],[Level]])))</f>
        <v>1</v>
      </c>
      <c r="BJ32" s="43" t="n">
        <f aca="false">ROW()-ROW(Tasks[[#Headers],[ID]])</f>
        <v>27</v>
      </c>
      <c r="BK3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32" s="43" t="n">
        <f aca="false">IFERROR(N(INDEX(Tasks[_Level],Tasks[[#This Row],[_Row]]+1)),0)</f>
        <v>2</v>
      </c>
      <c r="BM32" s="86" t="b">
        <f aca="false">AND(Tasks[[#This Row],[Task Name]]&lt;&gt;"",Tasks[[#This Row],[_NextLevel]]&gt;Tasks[[#This Row],[_Level]])</f>
        <v>1</v>
      </c>
      <c r="BN32" s="43" t="n">
        <f aca="false">IF(Tasks[[#This Row],[_IsSummary]],COUNTIF(Tasks[WBS],Tasks[[#This Row],[WBS]]&amp;".*"),0)</f>
        <v>3</v>
      </c>
      <c r="BO32" s="43" t="n">
        <f aca="false">IF(AND(Tasks[[#This Row],[Task Name]]&lt;&gt;"",NOT(Tasks[[#This Row],[_IsSummary]])),1,0)</f>
        <v>0</v>
      </c>
      <c r="BP32" s="43" t="n">
        <f aca="false">IF(N(Tasks[[#This Row],[Pred1 UID]])=0,0,IFERROR(MATCH(Tasks[[#This Row],[Pred1 UID]],Tasks[UID],0),-1))</f>
        <v>0</v>
      </c>
      <c r="BQ32" s="43" t="n">
        <f aca="false">IF(N(Tasks[[#This Row],[Pred2 UID]])=0,0,IFERROR(MATCH(Tasks[[#This Row],[Pred2 UID]],Tasks[UID],0),-1))</f>
        <v>0</v>
      </c>
      <c r="BR3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3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3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3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32" s="43" t="n">
        <f aca="false">IF(NOT(Tasks[[#This Row],[_IsLeaf]]=1),0,IF(N(Tasks[[#This Row],[Actual Finish]])&gt;0,1,MIN(1,N(Tasks[[#This Row],[% Complete]]))))</f>
        <v>0</v>
      </c>
      <c r="BW3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32" s="43" t="n">
        <f aca="false">IF(Tasks[[#This Row],[_LeafWork]]=0,0,Tasks[[#This Row],[_LeafWork]]*IFERROR(INDEX(res_Rate,MATCH(Tasks[[#This Row],[Resource]],res_Name,0)),0))</f>
        <v>0</v>
      </c>
      <c r="BY3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3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3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3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32" s="43" t="n">
        <f aca="false">IF(NOT(Tasks[[#This Row],[_IsLeaf]]=1),0,MAX(_xlfn.MAXIFS(Tasks[_Row],Tasks[Pred1 UID],Tasks[[#This Row],[UID]]),_xlfn.MAXIFS(Tasks[_Row],Tasks[Pred2 UID],Tasks[[#This Row],[UID]])))</f>
        <v>0</v>
      </c>
      <c r="CD3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32" s="87" t="str">
        <f aca="false">IF(NOT(Tasks[[#This Row],[_IsLeaf]]=1),"",MIN(ProjectFinish,IF(N(Tasks[[#This Row],[Deadline]])&gt;0,Tasks[[#This Row],[Deadline]],2958465),Tasks[[#This Row],[_SuccessorFinishLimit]]))</f>
        <v/>
      </c>
      <c r="CF3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3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32" s="86" t="b">
        <f aca="false">AND(Tasks[[#This Row],[_IsLeaf]]=1,Tasks[[#This Row],[_LeafProgress]]&lt;1,N(Tasks[[#This Row],[_LeafTotalSlack]])&lt;=CriticalSlackDays)</f>
        <v>0</v>
      </c>
      <c r="CI32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46342</v>
      </c>
      <c r="CJ32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46393</v>
      </c>
      <c r="CK3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3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3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3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3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3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32" s="43" t="n">
        <f aca="false">IF(AND(Tasks[[#This Row],[_IsLeaf]]=1,Tasks[[#This Row],[_LeafWork]]&gt;0),NETWORKDAYS.INTL(ProjectStart,Tasks[[#This Row],[_LeafFcstStart]],WorkWeek,Holidays),0)</f>
        <v>0</v>
      </c>
      <c r="CR3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32" s="43" t="n">
        <f aca="false">IF(AND(Tasks[[#This Row],[_IsLeaf]]=1,Tasks[[#This Row],[_LeafWork]]&gt;0),Tasks[[#This Row],[_LeafWork]]/(Tasks[[#This Row],[_FinishWorkday]]-Tasks[[#This Row],[_StartWorkday]]+1),0)</f>
        <v>0</v>
      </c>
      <c r="CT32" s="43" t="n">
        <f aca="false">Tasks[[#This Row],[_WorkPerWorkday]]*(Tasks[[#This Row],[_StartWorkday]]-1)</f>
        <v>-0</v>
      </c>
      <c r="CU32" s="43" t="n">
        <f aca="false">IF(Tasks[[#This Row],[_IsLeaf]]=1,MAX(N(Tasks[[#This Row],[Duration]]),0.1),0)</f>
        <v>0</v>
      </c>
      <c r="CV32" s="43" t="n">
        <f aca="false">Tasks[[#This Row],[_WeightDur]]*Tasks[[#This Row],[_LeafProgress]]</f>
        <v>0</v>
      </c>
      <c r="CW3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3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3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3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3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32" s="43" t="str">
        <f aca="false">IF(AND(Tasks[[#This Row],[_IsLeaf]]=1,N(Tasks[[#This Row],[Duration]])=0,Tasks[[#This Row],[_LeafProgress]]&lt;1),Tasks[[#This Row],[_LeafFcstFinish]]+Tasks[[#This Row],[_Row]]/100000,"")</f>
        <v/>
      </c>
      <c r="DC3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32" s="43" t="n">
        <f aca="false">IF(NOT(Tasks[[#This Row],[_IsLeaf]]=1),0,IF(Tasks[[#This Row],[Baseline Cost]]="",Tasks[[#This Row],[_LeafCost]],N(Tasks[[#This Row],[Baseline Cost]])))</f>
        <v>0</v>
      </c>
      <c r="DE32" s="43" t="n">
        <f aca="false">Tasks[[#This Row],[_LeafBudget]]*Tasks[[#This Row],[_PlannedPct]]</f>
        <v>0</v>
      </c>
      <c r="DF32" s="43" t="n">
        <f aca="false">Tasks[[#This Row],[_LeafBudget]]*Tasks[[#This Row],[_LeafProgress]]</f>
        <v>0</v>
      </c>
      <c r="DG32" s="43" t="n">
        <f aca="false">IF(NOT(Tasks[[#This Row],[_IsLeaf]]=1),0,IF(Tasks[[#This Row],[Actual Cost]]="",Tasks[[#This Row],[_LeafCost]]*Tasks[[#This Row],[_LeafProgress]],N(Tasks[[#This Row],[Actual Cost]])))</f>
        <v>0</v>
      </c>
      <c r="DH32" s="43" t="str">
        <f aca="false">IF(Tasks[[#This Row],[Task Name]]="","",LEFT(Tasks[[#This Row],[WBS]],FIND(".",Tasks[[#This Row],[WBS]]&amp;".")-1))</f>
        <v>5</v>
      </c>
      <c r="DI32" s="43" t="n">
        <f aca="false">IF(AND(Tasks[[#This Row],[Task Name]]&lt;&gt;"",Tasks[[#This Row],[_Level]]=1),Tasks[[#This Row],[_Row]],"")</f>
        <v>27</v>
      </c>
      <c r="DJ32" s="43" t="str">
        <f aca="false">IF(AND(Tasks[[#This Row],[_IsLeaf]]=1,N(Tasks[[#This Row],[Duration]])=0),Tasks[[#This Row],[Planned Finish]]+Tasks[[#This Row],[_Row]]/100000,"")</f>
        <v/>
      </c>
      <c r="DK3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3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3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32" s="43" t="str">
        <f aca="false">IF(Tasks[[#This Row],[_LeafCritical]],Tasks[[#This Row],[_LeafFcstStart]]+Tasks[[#This Row],[_Row]]/100000,"")</f>
        <v/>
      </c>
      <c r="DO32" s="43" t="n">
        <f aca="false">Tasks[[#This Row],[_LeafWork]]*Tasks[[#This Row],[_LeafProgress]]</f>
        <v>0</v>
      </c>
      <c r="DP3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32" s="43" t="n">
        <f aca="false">IF(Tasks[[#This Row],[_IsLeaf]]=1,N(Tasks[[#This Row],[Story Points]]),0)</f>
        <v>0</v>
      </c>
      <c r="DR32" s="43" t="str">
        <f aca="false">IF(AND(Tasks[[#This Row],[_IsLeaf]]=1,CurrentSprint&lt;&gt;"",Tasks[[#This Row],[Sprint]]=CurrentSprint),Tasks[[#This Row],[_Row]],"")</f>
        <v/>
      </c>
    </row>
    <row r="33" customFormat="false" ht="15" hidden="false" customHeight="false" outlineLevel="0" collapsed="false">
      <c r="A33" s="28" t="n">
        <f aca="false">IF(Tasks[[#This Row],[Task Name]]="","",COUNTA(Tasks[[#Headers],[Task Name]]:Tasks[[#This Row],[Task Name]])-1)</f>
        <v>28</v>
      </c>
      <c r="B33" s="29" t="n">
        <v>28</v>
      </c>
      <c r="C3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5.1</v>
      </c>
      <c r="D33" s="29" t="n">
        <v>2</v>
      </c>
      <c r="E33" s="30" t="s">
        <v>506</v>
      </c>
      <c r="F33" s="29" t="s">
        <v>507</v>
      </c>
      <c r="G33" s="29" t="n">
        <v>1</v>
      </c>
      <c r="H33" s="29"/>
      <c r="I33" s="29"/>
      <c r="J33" s="29"/>
      <c r="K33" s="29"/>
      <c r="L33" s="29"/>
      <c r="M33" s="29"/>
      <c r="N33" s="72" t="n">
        <v>46342</v>
      </c>
      <c r="O33" s="72"/>
      <c r="P33" s="25" t="n">
        <f aca="false">IF(Tasks[[#This Row],[Task Name]]="","",IF(N(Tasks[[#This Row],[Baseline Start]])&gt;0,Tasks[[#This Row],[Baseline Start]],Tasks[[#This Row],[_CalcStart]]))</f>
        <v>46342</v>
      </c>
      <c r="Q33" s="25" t="n">
        <f aca="false">IF(Tasks[[#This Row],[Task Name]]="","",IF(N(Tasks[[#This Row],[Baseline Finish]])&gt;0,Tasks[[#This Row],[Baseline Finish]],Tasks[[#This Row],[_CalcFinish]]))</f>
        <v>46342</v>
      </c>
      <c r="R33" s="72"/>
      <c r="S33" s="72"/>
      <c r="T33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46342</v>
      </c>
      <c r="U33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46342</v>
      </c>
      <c r="V33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0</v>
      </c>
      <c r="W33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0</v>
      </c>
      <c r="X33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46393</v>
      </c>
      <c r="Y33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46393</v>
      </c>
      <c r="Z33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33</v>
      </c>
      <c r="AA33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33</v>
      </c>
      <c r="AB3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3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3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33" s="74"/>
      <c r="AF33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3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33" s="30" t="s">
        <v>239</v>
      </c>
      <c r="AI33" s="74"/>
      <c r="AJ33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8</v>
      </c>
      <c r="AK33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760</v>
      </c>
      <c r="AL33" s="83"/>
      <c r="AM33" s="29"/>
      <c r="AN3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6</v>
      </c>
      <c r="AO33" s="84" t="n">
        <v>1</v>
      </c>
      <c r="AP3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33" s="30" t="s">
        <v>508</v>
      </c>
      <c r="AR33" s="25" t="n">
        <f aca="false">IF(Tasks[[#This Row],[Task Name]]="","",Tasks[[#This Row],[Forecast Start]])</f>
        <v>46342</v>
      </c>
      <c r="AS33" s="25" t="n">
        <f aca="false">IF(Tasks[[#This Row],[Task Name]]="","",Tasks[[#This Row],[Forecast Finish]])</f>
        <v>46342</v>
      </c>
      <c r="AT33" s="28" t="n">
        <f aca="false">IF(Tasks[[#This Row],[Task Name]]="","",IF(Tasks[[#This Row],[_IsSummary]],NETWORKDAYS.INTL(Tasks[[#This Row],[Forecast Start]],Tasks[[#This Row],[Forecast Finish]],WorkWeek,Holidays),N(Tasks[[#This Row],[Duration]])))</f>
        <v>1</v>
      </c>
      <c r="AU33" s="81" t="n">
        <f aca="false">IF(Tasks[[#This Row],[Task Name]]="","",Tasks[[#This Row],[Work]])</f>
        <v>8</v>
      </c>
      <c r="AV33" s="82" t="n">
        <f aca="false">IF(Tasks[[#This Row],[Task Name]]="","",Tasks[[#This Row],[Cost]])</f>
        <v>760</v>
      </c>
      <c r="AW33" s="72"/>
      <c r="AX33" s="72"/>
      <c r="AY33" s="29"/>
      <c r="AZ33" s="85"/>
      <c r="BA33" s="83"/>
      <c r="BB33" s="28" t="str">
        <f aca="false">IF(OR(Tasks[[#This Row],[Task Name]]="",Tasks[[#This Row],[Baseline Duration]]=""),"",Tasks[[#This Row],[BL Source Duration]]-N(Tasks[[#This Row],[Baseline Duration]]))</f>
        <v/>
      </c>
      <c r="BC33" s="81" t="str">
        <f aca="false">IF(OR(Tasks[[#This Row],[Task Name]]="",Tasks[[#This Row],[Baseline Work]]=""),"",Tasks[[#This Row],[Work]]-N(Tasks[[#This Row],[Baseline Work]]))</f>
        <v/>
      </c>
      <c r="BD33" s="82" t="str">
        <f aca="false">IF(OR(Tasks[[#This Row],[Task Name]]="",Tasks[[#This Row],[Baseline Cost]]=""),"",Tasks[[#This Row],[Cost]]-N(Tasks[[#This Row],[Baseline Cost]]))</f>
        <v/>
      </c>
      <c r="BE33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760</v>
      </c>
      <c r="BF33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33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33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33" s="43" t="n">
        <f aca="false">IF(Tasks[[#This Row],[Task Name]]="","",MAX(1,N(Tasks[[#This Row],[Level]])))</f>
        <v>2</v>
      </c>
      <c r="BJ33" s="43" t="n">
        <f aca="false">ROW()-ROW(Tasks[[#Headers],[ID]])</f>
        <v>28</v>
      </c>
      <c r="BK3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32</v>
      </c>
      <c r="BL33" s="43" t="n">
        <f aca="false">IFERROR(N(INDEX(Tasks[_Level],Tasks[[#This Row],[_Row]]+1)),0)</f>
        <v>2</v>
      </c>
      <c r="BM33" s="86" t="b">
        <f aca="false">AND(Tasks[[#This Row],[Task Name]]&lt;&gt;"",Tasks[[#This Row],[_NextLevel]]&gt;Tasks[[#This Row],[_Level]])</f>
        <v>0</v>
      </c>
      <c r="BN33" s="43" t="n">
        <f aca="false">IF(Tasks[[#This Row],[_IsSummary]],COUNTIF(Tasks[WBS],Tasks[[#This Row],[WBS]]&amp;".*"),0)</f>
        <v>0</v>
      </c>
      <c r="BO33" s="43" t="n">
        <f aca="false">IF(AND(Tasks[[#This Row],[Task Name]]&lt;&gt;"",NOT(Tasks[[#This Row],[_IsSummary]])),1,0)</f>
        <v>1</v>
      </c>
      <c r="BP33" s="43" t="n">
        <f aca="false">IF(N(Tasks[[#This Row],[Pred1 UID]])=0,0,IFERROR(MATCH(Tasks[[#This Row],[Pred1 UID]],Tasks[UID],0),-1))</f>
        <v>0</v>
      </c>
      <c r="BQ33" s="43" t="n">
        <f aca="false">IF(N(Tasks[[#This Row],[Pred2 UID]])=0,0,IFERROR(MATCH(Tasks[[#This Row],[Pred2 UID]],Tasks[UID],0),-1))</f>
        <v>0</v>
      </c>
      <c r="BR33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46342</v>
      </c>
      <c r="BS33" s="87" t="n">
        <f aca="false">IF(NOT(Tasks[[#This Row],[_IsLeaf]]=1),"",IF(N(Tasks[[#This Row],[Duration]])&lt;=0,Tasks[[#This Row],[_LeafCalcStart]],WORKDAY.INTL(Tasks[[#This Row],[_LeafCalcStart]],Tasks[[#This Row],[Duration]]-1,WorkWeek,Holidays)))</f>
        <v>46342</v>
      </c>
      <c r="BT33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46342</v>
      </c>
      <c r="BU33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46342</v>
      </c>
      <c r="BV33" s="43" t="n">
        <f aca="false">IF(NOT(Tasks[[#This Row],[_IsLeaf]]=1),0,IF(N(Tasks[[#This Row],[Actual Finish]])&gt;0,1,MIN(1,N(Tasks[[#This Row],[% Complete]]))))</f>
        <v>0</v>
      </c>
      <c r="BW33" s="43" t="n">
        <f aca="false">IF(OR(NOT(Tasks[[#This Row],[_IsLeaf]]=1),Tasks[[#This Row],[Resource]]=""),0,N(Tasks[[#This Row],[Duration]])*HoursPerDay*IF(Tasks[[#This Row],[Units]]="",DefaultUnits,Tasks[[#This Row],[Units]]))</f>
        <v>8</v>
      </c>
      <c r="BX33" s="43" t="n">
        <f aca="false">IF(Tasks[[#This Row],[_LeafWork]]=0,0,Tasks[[#This Row],[_LeafWork]]*IFERROR(INDEX(res_Rate,MATCH(Tasks[[#This Row],[Resource]],res_Name,0)),0))</f>
        <v>760</v>
      </c>
      <c r="BY3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3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3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3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33" s="43" t="n">
        <f aca="false">IF(NOT(Tasks[[#This Row],[_IsLeaf]]=1),0,MAX(_xlfn.MAXIFS(Tasks[_Row],Tasks[Pred1 UID],Tasks[[#This Row],[UID]]),_xlfn.MAXIFS(Tasks[_Row],Tasks[Pred2 UID],Tasks[[#This Row],[UID]])))</f>
        <v>0</v>
      </c>
      <c r="CD33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2958465</v>
      </c>
      <c r="CE33" s="87" t="n">
        <f aca="false">IF(NOT(Tasks[[#This Row],[_IsLeaf]]=1),"",MIN(ProjectFinish,IF(N(Tasks[[#This Row],[Deadline]])&gt;0,Tasks[[#This Row],[Deadline]],2958465),Tasks[[#This Row],[_SuccessorFinishLimit]]))</f>
        <v>46393</v>
      </c>
      <c r="CF33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46393</v>
      </c>
      <c r="CG33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33</v>
      </c>
      <c r="CH33" s="86" t="b">
        <f aca="false">AND(Tasks[[#This Row],[_IsLeaf]]=1,Tasks[[#This Row],[_LeafProgress]]&lt;1,N(Tasks[[#This Row],[_LeafTotalSlack]])&lt;=CriticalSlackDays)</f>
        <v>0</v>
      </c>
      <c r="CI33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46342</v>
      </c>
      <c r="CJ33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46342</v>
      </c>
      <c r="CK3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3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3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3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3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3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33" s="43" t="n">
        <f aca="false">IF(AND(Tasks[[#This Row],[_IsLeaf]]=1,Tasks[[#This Row],[_LeafWork]]&gt;0),NETWORKDAYS.INTL(ProjectStart,Tasks[[#This Row],[_LeafFcstStart]],WorkWeek,Holidays),0)</f>
        <v>51</v>
      </c>
      <c r="CR33" s="43" t="n">
        <f aca="false">IF(AND(Tasks[[#This Row],[_IsLeaf]]=1,Tasks[[#This Row],[_LeafWork]]&gt;0),MAX(Tasks[[#This Row],[_StartWorkday]],NETWORKDAYS.INTL(ProjectStart,Tasks[[#This Row],[_LeafFcstFinish]],WorkWeek,Holidays)),0)</f>
        <v>51</v>
      </c>
      <c r="CS33" s="43" t="n">
        <f aca="false">IF(AND(Tasks[[#This Row],[_IsLeaf]]=1,Tasks[[#This Row],[_LeafWork]]&gt;0),Tasks[[#This Row],[_LeafWork]]/(Tasks[[#This Row],[_FinishWorkday]]-Tasks[[#This Row],[_StartWorkday]]+1),0)</f>
        <v>8</v>
      </c>
      <c r="CT33" s="43" t="n">
        <f aca="false">Tasks[[#This Row],[_WorkPerWorkday]]*(Tasks[[#This Row],[_StartWorkday]]-1)</f>
        <v>400</v>
      </c>
      <c r="CU33" s="43" t="n">
        <f aca="false">IF(Tasks[[#This Row],[_IsLeaf]]=1,MAX(N(Tasks[[#This Row],[Duration]]),0.1),0)</f>
        <v>1</v>
      </c>
      <c r="CV33" s="43" t="n">
        <f aca="false">Tasks[[#This Row],[_WeightDur]]*Tasks[[#This Row],[_LeafProgress]]</f>
        <v>0</v>
      </c>
      <c r="CW3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3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3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3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3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33" s="43" t="str">
        <f aca="false">IF(AND(Tasks[[#This Row],[_IsLeaf]]=1,N(Tasks[[#This Row],[Duration]])=0,Tasks[[#This Row],[_LeafProgress]]&lt;1),Tasks[[#This Row],[_LeafFcstFinish]]+Tasks[[#This Row],[_Row]]/100000,"")</f>
        <v/>
      </c>
      <c r="DC3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33" s="43" t="n">
        <f aca="false">IF(NOT(Tasks[[#This Row],[_IsLeaf]]=1),0,IF(Tasks[[#This Row],[Baseline Cost]]="",Tasks[[#This Row],[_LeafCost]],N(Tasks[[#This Row],[Baseline Cost]])))</f>
        <v>760</v>
      </c>
      <c r="DE33" s="43" t="n">
        <f aca="false">Tasks[[#This Row],[_LeafBudget]]*Tasks[[#This Row],[_PlannedPct]]</f>
        <v>0</v>
      </c>
      <c r="DF33" s="43" t="n">
        <f aca="false">Tasks[[#This Row],[_LeafBudget]]*Tasks[[#This Row],[_LeafProgress]]</f>
        <v>0</v>
      </c>
      <c r="DG33" s="43" t="n">
        <f aca="false">IF(NOT(Tasks[[#This Row],[_IsLeaf]]=1),0,IF(Tasks[[#This Row],[Actual Cost]]="",Tasks[[#This Row],[_LeafCost]]*Tasks[[#This Row],[_LeafProgress]],N(Tasks[[#This Row],[Actual Cost]])))</f>
        <v>0</v>
      </c>
      <c r="DH33" s="43" t="str">
        <f aca="false">IF(Tasks[[#This Row],[Task Name]]="","",LEFT(Tasks[[#This Row],[WBS]],FIND(".",Tasks[[#This Row],[WBS]]&amp;".")-1))</f>
        <v>5</v>
      </c>
      <c r="DI33" s="43" t="str">
        <f aca="false">IF(AND(Tasks[[#This Row],[Task Name]]&lt;&gt;"",Tasks[[#This Row],[_Level]]=1),Tasks[[#This Row],[_Row]],"")</f>
        <v/>
      </c>
      <c r="DJ33" s="43" t="str">
        <f aca="false">IF(AND(Tasks[[#This Row],[_IsLeaf]]=1,N(Tasks[[#This Row],[Duration]])=0),Tasks[[#This Row],[Planned Finish]]+Tasks[[#This Row],[_Row]]/100000,"")</f>
        <v/>
      </c>
      <c r="DK3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3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3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33" s="43" t="str">
        <f aca="false">IF(Tasks[[#This Row],[_LeafCritical]],Tasks[[#This Row],[_LeafFcstStart]]+Tasks[[#This Row],[_Row]]/100000,"")</f>
        <v/>
      </c>
      <c r="DO33" s="43" t="n">
        <f aca="false">Tasks[[#This Row],[_LeafWork]]*Tasks[[#This Row],[_LeafProgress]]</f>
        <v>0</v>
      </c>
      <c r="DP3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33" s="43" t="n">
        <f aca="false">IF(Tasks[[#This Row],[_IsLeaf]]=1,N(Tasks[[#This Row],[Story Points]]),0)</f>
        <v>1</v>
      </c>
      <c r="DR33" s="43" t="str">
        <f aca="false">IF(AND(Tasks[[#This Row],[_IsLeaf]]=1,CurrentSprint&lt;&gt;"",Tasks[[#This Row],[Sprint]]=CurrentSprint),Tasks[[#This Row],[_Row]],"")</f>
        <v/>
      </c>
    </row>
    <row r="34" customFormat="false" ht="15" hidden="false" customHeight="false" outlineLevel="0" collapsed="false">
      <c r="A34" s="28" t="n">
        <f aca="false">IF(Tasks[[#This Row],[Task Name]]="","",COUNTA(Tasks[[#Headers],[Task Name]]:Tasks[[#This Row],[Task Name]])-1)</f>
        <v>29</v>
      </c>
      <c r="B34" s="29" t="n">
        <v>29</v>
      </c>
      <c r="C3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5.2</v>
      </c>
      <c r="D34" s="29" t="n">
        <v>2</v>
      </c>
      <c r="E34" s="30" t="s">
        <v>509</v>
      </c>
      <c r="F34" s="29" t="s">
        <v>459</v>
      </c>
      <c r="G34" s="29" t="n">
        <v>2</v>
      </c>
      <c r="H34" s="29" t="n">
        <v>26</v>
      </c>
      <c r="I34" s="29" t="s">
        <v>464</v>
      </c>
      <c r="J34" s="29"/>
      <c r="K34" s="29"/>
      <c r="L34" s="29"/>
      <c r="M34" s="29"/>
      <c r="N34" s="72"/>
      <c r="O34" s="72"/>
      <c r="P34" s="25" t="n">
        <f aca="false">IF(Tasks[[#This Row],[Task Name]]="","",IF(N(Tasks[[#This Row],[Baseline Start]])&gt;0,Tasks[[#This Row],[Baseline Start]],Tasks[[#This Row],[_CalcStart]]))</f>
        <v>46392</v>
      </c>
      <c r="Q34" s="25" t="n">
        <f aca="false">IF(Tasks[[#This Row],[Task Name]]="","",IF(N(Tasks[[#This Row],[Baseline Finish]])&gt;0,Tasks[[#This Row],[Baseline Finish]],Tasks[[#This Row],[_CalcFinish]]))</f>
        <v>46393</v>
      </c>
      <c r="R34" s="72"/>
      <c r="S34" s="72"/>
      <c r="T34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46392</v>
      </c>
      <c r="U34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46393</v>
      </c>
      <c r="V34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0</v>
      </c>
      <c r="W34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0</v>
      </c>
      <c r="X34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46392</v>
      </c>
      <c r="Y34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46393</v>
      </c>
      <c r="Z34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0</v>
      </c>
      <c r="AA34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3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3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3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34" s="74"/>
      <c r="AF34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3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34" s="30" t="s">
        <v>239</v>
      </c>
      <c r="AI34" s="74"/>
      <c r="AJ34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16</v>
      </c>
      <c r="AK34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1520</v>
      </c>
      <c r="AL34" s="83"/>
      <c r="AM34" s="29"/>
      <c r="AN3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9</v>
      </c>
      <c r="AO34" s="84" t="n">
        <v>2</v>
      </c>
      <c r="AP34" s="24" t="str">
        <f aca="false">IF(Tasks[[#This Row],[Task Name]]="","",Tasks[[#This Row],[_Pred1IDText]]&amp;IF(AND(Tasks[[#This Row],[_Pred1IDText]]&lt;&gt;"",Tasks[[#This Row],[_Pred2IDText]]&lt;&gt;""),",","")&amp;Tasks[[#This Row],[_Pred2IDText]])</f>
        <v>26</v>
      </c>
      <c r="AQ34" s="30"/>
      <c r="AR34" s="25" t="n">
        <f aca="false">IF(Tasks[[#This Row],[Task Name]]="","",Tasks[[#This Row],[Forecast Start]])</f>
        <v>46392</v>
      </c>
      <c r="AS34" s="25" t="n">
        <f aca="false">IF(Tasks[[#This Row],[Task Name]]="","",Tasks[[#This Row],[Forecast Finish]])</f>
        <v>46393</v>
      </c>
      <c r="AT34" s="28" t="n">
        <f aca="false">IF(Tasks[[#This Row],[Task Name]]="","",IF(Tasks[[#This Row],[_IsSummary]],NETWORKDAYS.INTL(Tasks[[#This Row],[Forecast Start]],Tasks[[#This Row],[Forecast Finish]],WorkWeek,Holidays),N(Tasks[[#This Row],[Duration]])))</f>
        <v>2</v>
      </c>
      <c r="AU34" s="81" t="n">
        <f aca="false">IF(Tasks[[#This Row],[Task Name]]="","",Tasks[[#This Row],[Work]])</f>
        <v>16</v>
      </c>
      <c r="AV34" s="82" t="n">
        <f aca="false">IF(Tasks[[#This Row],[Task Name]]="","",Tasks[[#This Row],[Cost]])</f>
        <v>1520</v>
      </c>
      <c r="AW34" s="72"/>
      <c r="AX34" s="72"/>
      <c r="AY34" s="29"/>
      <c r="AZ34" s="85"/>
      <c r="BA34" s="83"/>
      <c r="BB34" s="28" t="str">
        <f aca="false">IF(OR(Tasks[[#This Row],[Task Name]]="",Tasks[[#This Row],[Baseline Duration]]=""),"",Tasks[[#This Row],[BL Source Duration]]-N(Tasks[[#This Row],[Baseline Duration]]))</f>
        <v/>
      </c>
      <c r="BC34" s="81" t="str">
        <f aca="false">IF(OR(Tasks[[#This Row],[Task Name]]="",Tasks[[#This Row],[Baseline Work]]=""),"",Tasks[[#This Row],[Work]]-N(Tasks[[#This Row],[Baseline Work]]))</f>
        <v/>
      </c>
      <c r="BD34" s="82" t="str">
        <f aca="false">IF(OR(Tasks[[#This Row],[Task Name]]="",Tasks[[#This Row],[Baseline Cost]]=""),"",Tasks[[#This Row],[Cost]]-N(Tasks[[#This Row],[Baseline Cost]]))</f>
        <v/>
      </c>
      <c r="BE34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1520</v>
      </c>
      <c r="BF34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34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34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34" s="43" t="n">
        <f aca="false">IF(Tasks[[#This Row],[Task Name]]="","",MAX(1,N(Tasks[[#This Row],[Level]])))</f>
        <v>2</v>
      </c>
      <c r="BJ34" s="43" t="n">
        <f aca="false">ROW()-ROW(Tasks[[#Headers],[ID]])</f>
        <v>29</v>
      </c>
      <c r="BK3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32</v>
      </c>
      <c r="BL34" s="43" t="n">
        <f aca="false">IFERROR(N(INDEX(Tasks[_Level],Tasks[[#This Row],[_Row]]+1)),0)</f>
        <v>2</v>
      </c>
      <c r="BM34" s="86" t="b">
        <f aca="false">AND(Tasks[[#This Row],[Task Name]]&lt;&gt;"",Tasks[[#This Row],[_NextLevel]]&gt;Tasks[[#This Row],[_Level]])</f>
        <v>0</v>
      </c>
      <c r="BN34" s="43" t="n">
        <f aca="false">IF(Tasks[[#This Row],[_IsSummary]],COUNTIF(Tasks[WBS],Tasks[[#This Row],[WBS]]&amp;".*"),0)</f>
        <v>0</v>
      </c>
      <c r="BO34" s="43" t="n">
        <f aca="false">IF(AND(Tasks[[#This Row],[Task Name]]&lt;&gt;"",NOT(Tasks[[#This Row],[_IsSummary]])),1,0)</f>
        <v>1</v>
      </c>
      <c r="BP34" s="43" t="n">
        <f aca="false">IF(N(Tasks[[#This Row],[Pred1 UID]])=0,0,IFERROR(MATCH(Tasks[[#This Row],[Pred1 UID]],Tasks[UID],0),-1))</f>
        <v>26</v>
      </c>
      <c r="BQ34" s="43" t="n">
        <f aca="false">IF(N(Tasks[[#This Row],[Pred2 UID]])=0,0,IFERROR(MATCH(Tasks[[#This Row],[Pred2 UID]],Tasks[UID],0),-1))</f>
        <v>0</v>
      </c>
      <c r="BR34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46392</v>
      </c>
      <c r="BS34" s="87" t="n">
        <f aca="false">IF(NOT(Tasks[[#This Row],[_IsLeaf]]=1),"",IF(N(Tasks[[#This Row],[Duration]])&lt;=0,Tasks[[#This Row],[_LeafCalcStart]],WORKDAY.INTL(Tasks[[#This Row],[_LeafCalcStart]],Tasks[[#This Row],[Duration]]-1,WorkWeek,Holidays)))</f>
        <v>46393</v>
      </c>
      <c r="BT34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46392</v>
      </c>
      <c r="BU34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46393</v>
      </c>
      <c r="BV34" s="43" t="n">
        <f aca="false">IF(NOT(Tasks[[#This Row],[_IsLeaf]]=1),0,IF(N(Tasks[[#This Row],[Actual Finish]])&gt;0,1,MIN(1,N(Tasks[[#This Row],[% Complete]]))))</f>
        <v>0</v>
      </c>
      <c r="BW34" s="43" t="n">
        <f aca="false">IF(OR(NOT(Tasks[[#This Row],[_IsLeaf]]=1),Tasks[[#This Row],[Resource]]=""),0,N(Tasks[[#This Row],[Duration]])*HoursPerDay*IF(Tasks[[#This Row],[Units]]="",DefaultUnits,Tasks[[#This Row],[Units]]))</f>
        <v>16</v>
      </c>
      <c r="BX34" s="43" t="n">
        <f aca="false">IF(Tasks[[#This Row],[_LeafWork]]=0,0,Tasks[[#This Row],[_LeafWork]]*IFERROR(INDEX(res_Rate,MATCH(Tasks[[#This Row],[Resource]],res_Name,0)),0))</f>
        <v>1520</v>
      </c>
      <c r="BY34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2912074</v>
      </c>
      <c r="BZ3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34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3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34" s="43" t="n">
        <f aca="false">IF(NOT(Tasks[[#This Row],[_IsLeaf]]=1),0,MAX(_xlfn.MAXIFS(Tasks[_Row],Tasks[Pred1 UID],Tasks[[#This Row],[UID]]),_xlfn.MAXIFS(Tasks[_Row],Tasks[Pred2 UID],Tasks[[#This Row],[UID]])))</f>
        <v>30</v>
      </c>
      <c r="CD34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46393</v>
      </c>
      <c r="CE34" s="87" t="n">
        <f aca="false">IF(NOT(Tasks[[#This Row],[_IsLeaf]]=1),"",MIN(ProjectFinish,IF(N(Tasks[[#This Row],[Deadline]])&gt;0,Tasks[[#This Row],[Deadline]],2958465),Tasks[[#This Row],[_SuccessorFinishLimit]]))</f>
        <v>46393</v>
      </c>
      <c r="CF34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46392</v>
      </c>
      <c r="CG34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0</v>
      </c>
      <c r="CH34" s="86" t="b">
        <f aca="false">AND(Tasks[[#This Row],[_IsLeaf]]=1,Tasks[[#This Row],[_LeafProgress]]&lt;1,N(Tasks[[#This Row],[_LeafTotalSlack]])&lt;=CriticalSlackDays)</f>
        <v>1</v>
      </c>
      <c r="CI34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46392</v>
      </c>
      <c r="CJ34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46393</v>
      </c>
      <c r="CK3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3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3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46392</v>
      </c>
      <c r="CN3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3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46392</v>
      </c>
      <c r="CP3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34" s="43" t="n">
        <f aca="false">IF(AND(Tasks[[#This Row],[_IsLeaf]]=1,Tasks[[#This Row],[_LeafWork]]&gt;0),NETWORKDAYS.INTL(ProjectStart,Tasks[[#This Row],[_LeafFcstStart]],WorkWeek,Holidays),0)</f>
        <v>83</v>
      </c>
      <c r="CR34" s="43" t="n">
        <f aca="false">IF(AND(Tasks[[#This Row],[_IsLeaf]]=1,Tasks[[#This Row],[_LeafWork]]&gt;0),MAX(Tasks[[#This Row],[_StartWorkday]],NETWORKDAYS.INTL(ProjectStart,Tasks[[#This Row],[_LeafFcstFinish]],WorkWeek,Holidays)),0)</f>
        <v>84</v>
      </c>
      <c r="CS34" s="43" t="n">
        <f aca="false">IF(AND(Tasks[[#This Row],[_IsLeaf]]=1,Tasks[[#This Row],[_LeafWork]]&gt;0),Tasks[[#This Row],[_LeafWork]]/(Tasks[[#This Row],[_FinishWorkday]]-Tasks[[#This Row],[_StartWorkday]]+1),0)</f>
        <v>8</v>
      </c>
      <c r="CT34" s="43" t="n">
        <f aca="false">Tasks[[#This Row],[_WorkPerWorkday]]*(Tasks[[#This Row],[_StartWorkday]]-1)</f>
        <v>656</v>
      </c>
      <c r="CU34" s="43" t="n">
        <f aca="false">IF(Tasks[[#This Row],[_IsLeaf]]=1,MAX(N(Tasks[[#This Row],[Duration]]),0.1),0)</f>
        <v>2</v>
      </c>
      <c r="CV34" s="43" t="n">
        <f aca="false">Tasks[[#This Row],[_WeightDur]]*Tasks[[#This Row],[_LeafProgress]]</f>
        <v>0</v>
      </c>
      <c r="CW3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26</v>
      </c>
      <c r="CX3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3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26</v>
      </c>
      <c r="CZ3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3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26</v>
      </c>
      <c r="DB34" s="43" t="str">
        <f aca="false">IF(AND(Tasks[[#This Row],[_IsLeaf]]=1,N(Tasks[[#This Row],[Duration]])=0,Tasks[[#This Row],[_LeafProgress]]&lt;1),Tasks[[#This Row],[_LeafFcstFinish]]+Tasks[[#This Row],[_Row]]/100000,"")</f>
        <v/>
      </c>
      <c r="DC3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34" s="43" t="n">
        <f aca="false">IF(NOT(Tasks[[#This Row],[_IsLeaf]]=1),0,IF(Tasks[[#This Row],[Baseline Cost]]="",Tasks[[#This Row],[_LeafCost]],N(Tasks[[#This Row],[Baseline Cost]])))</f>
        <v>1520</v>
      </c>
      <c r="DE34" s="43" t="n">
        <f aca="false">Tasks[[#This Row],[_LeafBudget]]*Tasks[[#This Row],[_PlannedPct]]</f>
        <v>0</v>
      </c>
      <c r="DF34" s="43" t="n">
        <f aca="false">Tasks[[#This Row],[_LeafBudget]]*Tasks[[#This Row],[_LeafProgress]]</f>
        <v>0</v>
      </c>
      <c r="DG34" s="43" t="n">
        <f aca="false">IF(NOT(Tasks[[#This Row],[_IsLeaf]]=1),0,IF(Tasks[[#This Row],[Actual Cost]]="",Tasks[[#This Row],[_LeafCost]]*Tasks[[#This Row],[_LeafProgress]],N(Tasks[[#This Row],[Actual Cost]])))</f>
        <v>0</v>
      </c>
      <c r="DH34" s="43" t="str">
        <f aca="false">IF(Tasks[[#This Row],[Task Name]]="","",LEFT(Tasks[[#This Row],[WBS]],FIND(".",Tasks[[#This Row],[WBS]]&amp;".")-1))</f>
        <v>5</v>
      </c>
      <c r="DI34" s="43" t="str">
        <f aca="false">IF(AND(Tasks[[#This Row],[Task Name]]&lt;&gt;"",Tasks[[#This Row],[_Level]]=1),Tasks[[#This Row],[_Row]],"")</f>
        <v/>
      </c>
      <c r="DJ34" s="43" t="str">
        <f aca="false">IF(AND(Tasks[[#This Row],[_IsLeaf]]=1,N(Tasks[[#This Row],[Duration]])=0),Tasks[[#This Row],[Planned Finish]]+Tasks[[#This Row],[_Row]]/100000,"")</f>
        <v/>
      </c>
      <c r="DK3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3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3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34" s="88" t="n">
        <f aca="false">IF(Tasks[[#This Row],[_LeafCritical]],Tasks[[#This Row],[_LeafFcstStart]]+Tasks[[#This Row],[_Row]]/100000,"")</f>
        <v>46392.00029</v>
      </c>
      <c r="DO34" s="43" t="n">
        <f aca="false">Tasks[[#This Row],[_LeafWork]]*Tasks[[#This Row],[_LeafProgress]]</f>
        <v>0</v>
      </c>
      <c r="DP3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34" s="43" t="n">
        <f aca="false">IF(Tasks[[#This Row],[_IsLeaf]]=1,N(Tasks[[#This Row],[Story Points]]),0)</f>
        <v>2</v>
      </c>
      <c r="DR34" s="43" t="str">
        <f aca="false">IF(AND(Tasks[[#This Row],[_IsLeaf]]=1,CurrentSprint&lt;&gt;"",Tasks[[#This Row],[Sprint]]=CurrentSprint),Tasks[[#This Row],[_Row]],"")</f>
        <v/>
      </c>
    </row>
    <row r="35" customFormat="false" ht="15" hidden="false" customHeight="false" outlineLevel="0" collapsed="false">
      <c r="A35" s="28" t="n">
        <f aca="false">IF(Tasks[[#This Row],[Task Name]]="","",COUNTA(Tasks[[#Headers],[Task Name]]:Tasks[[#This Row],[Task Name]])-1)</f>
        <v>30</v>
      </c>
      <c r="B35" s="29" t="n">
        <v>30</v>
      </c>
      <c r="C3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>5.3</v>
      </c>
      <c r="D35" s="29" t="n">
        <v>2</v>
      </c>
      <c r="E35" s="30" t="s">
        <v>510</v>
      </c>
      <c r="F35" s="29" t="s">
        <v>459</v>
      </c>
      <c r="G35" s="29" t="n">
        <v>0</v>
      </c>
      <c r="H35" s="29" t="n">
        <v>29</v>
      </c>
      <c r="I35" s="29" t="s">
        <v>464</v>
      </c>
      <c r="J35" s="29"/>
      <c r="K35" s="29"/>
      <c r="L35" s="29"/>
      <c r="M35" s="29"/>
      <c r="N35" s="72"/>
      <c r="O35" s="72"/>
      <c r="P35" s="25" t="n">
        <f aca="false">IF(Tasks[[#This Row],[Task Name]]="","",IF(N(Tasks[[#This Row],[Baseline Start]])&gt;0,Tasks[[#This Row],[Baseline Start]],Tasks[[#This Row],[_CalcStart]]))</f>
        <v>46393</v>
      </c>
      <c r="Q35" s="25" t="n">
        <f aca="false">IF(Tasks[[#This Row],[Task Name]]="","",IF(N(Tasks[[#This Row],[Baseline Finish]])&gt;0,Tasks[[#This Row],[Baseline Finish]],Tasks[[#This Row],[_CalcFinish]]))</f>
        <v>46393</v>
      </c>
      <c r="R35" s="72"/>
      <c r="S35" s="72"/>
      <c r="T35" s="25" t="n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>46393</v>
      </c>
      <c r="U35" s="25" t="n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>46393</v>
      </c>
      <c r="V35" s="50" t="n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>0</v>
      </c>
      <c r="W35" s="50" t="n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>0</v>
      </c>
      <c r="X35" s="25" t="n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>46393</v>
      </c>
      <c r="Y35" s="25" t="n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>46393</v>
      </c>
      <c r="Z35" s="50" t="n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>0</v>
      </c>
      <c r="AA35" s="28" t="n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>0</v>
      </c>
      <c r="AB3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>Yes</v>
      </c>
      <c r="AC3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3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35" s="74"/>
      <c r="AF35" s="80" t="n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>0</v>
      </c>
      <c r="AG3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>Not Started</v>
      </c>
      <c r="AH35" s="30"/>
      <c r="AI35" s="74"/>
      <c r="AJ35" s="81" t="n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>0</v>
      </c>
      <c r="AK35" s="82" t="n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>0</v>
      </c>
      <c r="AL35" s="83"/>
      <c r="AM35" s="29"/>
      <c r="AN3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>Sprint 9</v>
      </c>
      <c r="AO35" s="84"/>
      <c r="AP35" s="24" t="str">
        <f aca="false">IF(Tasks[[#This Row],[Task Name]]="","",Tasks[[#This Row],[_Pred1IDText]]&amp;IF(AND(Tasks[[#This Row],[_Pred1IDText]]&lt;&gt;"",Tasks[[#This Row],[_Pred2IDText]]&lt;&gt;""),",","")&amp;Tasks[[#This Row],[_Pred2IDText]])</f>
        <v>29</v>
      </c>
      <c r="AQ35" s="30" t="s">
        <v>182</v>
      </c>
      <c r="AR35" s="25" t="n">
        <f aca="false">IF(Tasks[[#This Row],[Task Name]]="","",Tasks[[#This Row],[Forecast Start]])</f>
        <v>46393</v>
      </c>
      <c r="AS35" s="25" t="n">
        <f aca="false">IF(Tasks[[#This Row],[Task Name]]="","",Tasks[[#This Row],[Forecast Finish]])</f>
        <v>46393</v>
      </c>
      <c r="AT35" s="28" t="n">
        <f aca="false">IF(Tasks[[#This Row],[Task Name]]="","",IF(Tasks[[#This Row],[_IsSummary]],NETWORKDAYS.INTL(Tasks[[#This Row],[Forecast Start]],Tasks[[#This Row],[Forecast Finish]],WorkWeek,Holidays),N(Tasks[[#This Row],[Duration]])))</f>
        <v>0</v>
      </c>
      <c r="AU35" s="81" t="n">
        <f aca="false">IF(Tasks[[#This Row],[Task Name]]="","",Tasks[[#This Row],[Work]])</f>
        <v>0</v>
      </c>
      <c r="AV35" s="82" t="n">
        <f aca="false">IF(Tasks[[#This Row],[Task Name]]="","",Tasks[[#This Row],[Cost]])</f>
        <v>0</v>
      </c>
      <c r="AW35" s="72"/>
      <c r="AX35" s="72"/>
      <c r="AY35" s="29"/>
      <c r="AZ35" s="85"/>
      <c r="BA35" s="83"/>
      <c r="BB35" s="28" t="str">
        <f aca="false">IF(OR(Tasks[[#This Row],[Task Name]]="",Tasks[[#This Row],[Baseline Duration]]=""),"",Tasks[[#This Row],[BL Source Duration]]-N(Tasks[[#This Row],[Baseline Duration]]))</f>
        <v/>
      </c>
      <c r="BC35" s="81" t="str">
        <f aca="false">IF(OR(Tasks[[#This Row],[Task Name]]="",Tasks[[#This Row],[Baseline Work]]=""),"",Tasks[[#This Row],[Work]]-N(Tasks[[#This Row],[Baseline Work]]))</f>
        <v/>
      </c>
      <c r="BD35" s="82" t="str">
        <f aca="false">IF(OR(Tasks[[#This Row],[Task Name]]="",Tasks[[#This Row],[Baseline Cost]]=""),"",Tasks[[#This Row],[Cost]]-N(Tasks[[#This Row],[Baseline Cost]]))</f>
        <v/>
      </c>
      <c r="BE35" s="82" t="n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>0</v>
      </c>
      <c r="BF35" s="82" t="n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>0</v>
      </c>
      <c r="BG35" s="82" t="n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>0</v>
      </c>
      <c r="BH35" s="82" t="n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>0</v>
      </c>
      <c r="BI35" s="43" t="n">
        <f aca="false">IF(Tasks[[#This Row],[Task Name]]="","",MAX(1,N(Tasks[[#This Row],[Level]])))</f>
        <v>2</v>
      </c>
      <c r="BJ35" s="43" t="n">
        <f aca="false">ROW()-ROW(Tasks[[#Headers],[ID]])</f>
        <v>30</v>
      </c>
      <c r="BK3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32</v>
      </c>
      <c r="BL35" s="43" t="n">
        <f aca="false">IFERROR(N(INDEX(Tasks[_Level],Tasks[[#This Row],[_Row]]+1)),0)</f>
        <v>0</v>
      </c>
      <c r="BM35" s="86" t="b">
        <f aca="false">AND(Tasks[[#This Row],[Task Name]]&lt;&gt;"",Tasks[[#This Row],[_NextLevel]]&gt;Tasks[[#This Row],[_Level]])</f>
        <v>0</v>
      </c>
      <c r="BN35" s="43" t="n">
        <f aca="false">IF(Tasks[[#This Row],[_IsSummary]],COUNTIF(Tasks[WBS],Tasks[[#This Row],[WBS]]&amp;".*"),0)</f>
        <v>0</v>
      </c>
      <c r="BO35" s="43" t="n">
        <f aca="false">IF(AND(Tasks[[#This Row],[Task Name]]&lt;&gt;"",NOT(Tasks[[#This Row],[_IsSummary]])),1,0)</f>
        <v>1</v>
      </c>
      <c r="BP35" s="43" t="n">
        <f aca="false">IF(N(Tasks[[#This Row],[Pred1 UID]])=0,0,IFERROR(MATCH(Tasks[[#This Row],[Pred1 UID]],Tasks[UID],0),-1))</f>
        <v>29</v>
      </c>
      <c r="BQ35" s="43" t="n">
        <f aca="false">IF(N(Tasks[[#This Row],[Pred2 UID]])=0,0,IFERROR(MATCH(Tasks[[#This Row],[Pred2 UID]],Tasks[UID],0),-1))</f>
        <v>0</v>
      </c>
      <c r="BR35" s="87" t="n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>46393</v>
      </c>
      <c r="BS35" s="87" t="n">
        <f aca="false">IF(NOT(Tasks[[#This Row],[_IsLeaf]]=1),"",IF(N(Tasks[[#This Row],[Duration]])&lt;=0,Tasks[[#This Row],[_LeafCalcStart]],WORKDAY.INTL(Tasks[[#This Row],[_LeafCalcStart]],Tasks[[#This Row],[Duration]]-1,WorkWeek,Holidays)))</f>
        <v>46393</v>
      </c>
      <c r="BT35" s="87" t="n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>46393</v>
      </c>
      <c r="BU35" s="87" t="n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>46393</v>
      </c>
      <c r="BV35" s="43" t="n">
        <f aca="false">IF(NOT(Tasks[[#This Row],[_IsLeaf]]=1),0,IF(N(Tasks[[#This Row],[Actual Finish]])&gt;0,1,MIN(1,N(Tasks[[#This Row],[% Complete]]))))</f>
        <v>0</v>
      </c>
      <c r="BW3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35" s="43" t="n">
        <f aca="false">IF(Tasks[[#This Row],[_LeafWork]]=0,0,Tasks[[#This Row],[_LeafWork]]*IFERROR(INDEX(res_Rate,MATCH(Tasks[[#This Row],[Resource]],res_Name,0)),0))</f>
        <v>0</v>
      </c>
      <c r="BY35" s="88" t="n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>2912072</v>
      </c>
      <c r="BZ3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35" s="43" t="n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>100000</v>
      </c>
      <c r="CB3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35" s="43" t="n">
        <f aca="false">IF(NOT(Tasks[[#This Row],[_IsLeaf]]=1),0,MAX(_xlfn.MAXIFS(Tasks[_Row],Tasks[Pred1 UID],Tasks[[#This Row],[UID]]),_xlfn.MAXIFS(Tasks[_Row],Tasks[Pred2 UID],Tasks[[#This Row],[UID]])))</f>
        <v>0</v>
      </c>
      <c r="CD35" s="87" t="n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>2958465</v>
      </c>
      <c r="CE35" s="87" t="n">
        <f aca="false">IF(NOT(Tasks[[#This Row],[_IsLeaf]]=1),"",MIN(ProjectFinish,IF(N(Tasks[[#This Row],[Deadline]])&gt;0,Tasks[[#This Row],[Deadline]],2958465),Tasks[[#This Row],[_SuccessorFinishLimit]]))</f>
        <v>46393</v>
      </c>
      <c r="CF35" s="87" t="n">
        <f aca="false">IF(NOT(Tasks[[#This Row],[_IsLeaf]]=1),"",IF(N(Tasks[[#This Row],[Duration]])&lt;=0,Tasks[[#This Row],[_LeafLateFinish]],WORKDAY.INTL(Tasks[[#This Row],[_LeafLateFinish]],-(Tasks[[#This Row],[Duration]]-1),WorkWeek,Holidays)))</f>
        <v>46393</v>
      </c>
      <c r="CG35" s="43" t="n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>0</v>
      </c>
      <c r="CH35" s="86" t="b">
        <f aca="false">AND(Tasks[[#This Row],[_IsLeaf]]=1,Tasks[[#This Row],[_LeafProgress]]&lt;1,N(Tasks[[#This Row],[_LeafTotalSlack]])&lt;=CriticalSlackDays)</f>
        <v>1</v>
      </c>
      <c r="CI35" s="87" t="n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>46393</v>
      </c>
      <c r="CJ35" s="87" t="n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>46393</v>
      </c>
      <c r="CK3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3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3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46393</v>
      </c>
      <c r="CN3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3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46393</v>
      </c>
      <c r="CP3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35" s="43" t="n">
        <f aca="false">IF(AND(Tasks[[#This Row],[_IsLeaf]]=1,Tasks[[#This Row],[_LeafWork]]&gt;0),NETWORKDAYS.INTL(ProjectStart,Tasks[[#This Row],[_LeafFcstStart]],WorkWeek,Holidays),0)</f>
        <v>0</v>
      </c>
      <c r="CR3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35" s="43" t="n">
        <f aca="false">IF(AND(Tasks[[#This Row],[_IsLeaf]]=1,Tasks[[#This Row],[_LeafWork]]&gt;0),Tasks[[#This Row],[_LeafWork]]/(Tasks[[#This Row],[_FinishWorkday]]-Tasks[[#This Row],[_StartWorkday]]+1),0)</f>
        <v>0</v>
      </c>
      <c r="CT35" s="43" t="n">
        <f aca="false">Tasks[[#This Row],[_WorkPerWorkday]]*(Tasks[[#This Row],[_StartWorkday]]-1)</f>
        <v>-0</v>
      </c>
      <c r="CU35" s="43" t="n">
        <f aca="false">IF(Tasks[[#This Row],[_IsLeaf]]=1,MAX(N(Tasks[[#This Row],[Duration]]),0.1),0)</f>
        <v>0.1</v>
      </c>
      <c r="CV35" s="43" t="n">
        <f aca="false">Tasks[[#This Row],[_WeightDur]]*Tasks[[#This Row],[_LeafProgress]]</f>
        <v>0</v>
      </c>
      <c r="CW3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29</v>
      </c>
      <c r="CX3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3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>29</v>
      </c>
      <c r="CZ3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3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>29</v>
      </c>
      <c r="DB35" s="88" t="n">
        <f aca="false">IF(AND(Tasks[[#This Row],[_IsLeaf]]=1,N(Tasks[[#This Row],[Duration]])=0,Tasks[[#This Row],[_LeafProgress]]&lt;1),Tasks[[#This Row],[_LeafFcstFinish]]+Tasks[[#This Row],[_Row]]/100000,"")</f>
        <v>46393.0003</v>
      </c>
      <c r="DC3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35" s="43" t="n">
        <f aca="false">IF(NOT(Tasks[[#This Row],[_IsLeaf]]=1),0,IF(Tasks[[#This Row],[Baseline Cost]]="",Tasks[[#This Row],[_LeafCost]],N(Tasks[[#This Row],[Baseline Cost]])))</f>
        <v>0</v>
      </c>
      <c r="DE35" s="43" t="n">
        <f aca="false">Tasks[[#This Row],[_LeafBudget]]*Tasks[[#This Row],[_PlannedPct]]</f>
        <v>0</v>
      </c>
      <c r="DF35" s="43" t="n">
        <f aca="false">Tasks[[#This Row],[_LeafBudget]]*Tasks[[#This Row],[_LeafProgress]]</f>
        <v>0</v>
      </c>
      <c r="DG35" s="43" t="n">
        <f aca="false">IF(NOT(Tasks[[#This Row],[_IsLeaf]]=1),0,IF(Tasks[[#This Row],[Actual Cost]]="",Tasks[[#This Row],[_LeafCost]]*Tasks[[#This Row],[_LeafProgress]],N(Tasks[[#This Row],[Actual Cost]])))</f>
        <v>0</v>
      </c>
      <c r="DH35" s="43" t="str">
        <f aca="false">IF(Tasks[[#This Row],[Task Name]]="","",LEFT(Tasks[[#This Row],[WBS]],FIND(".",Tasks[[#This Row],[WBS]]&amp;".")-1))</f>
        <v>5</v>
      </c>
      <c r="DI35" s="43" t="str">
        <f aca="false">IF(AND(Tasks[[#This Row],[Task Name]]&lt;&gt;"",Tasks[[#This Row],[_Level]]=1),Tasks[[#This Row],[_Row]],"")</f>
        <v/>
      </c>
      <c r="DJ35" s="88" t="n">
        <f aca="false">IF(AND(Tasks[[#This Row],[_IsLeaf]]=1,N(Tasks[[#This Row],[Duration]])=0),Tasks[[#This Row],[Planned Finish]]+Tasks[[#This Row],[_Row]]/100000,"")</f>
        <v>46393.0003</v>
      </c>
      <c r="DK3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3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3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35" s="88" t="n">
        <f aca="false">IF(Tasks[[#This Row],[_LeafCritical]],Tasks[[#This Row],[_LeafFcstStart]]+Tasks[[#This Row],[_Row]]/100000,"")</f>
        <v>46393.0003</v>
      </c>
      <c r="DO35" s="43" t="n">
        <f aca="false">Tasks[[#This Row],[_LeafWork]]*Tasks[[#This Row],[_LeafProgress]]</f>
        <v>0</v>
      </c>
      <c r="DP3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35" s="43" t="n">
        <f aca="false">IF(Tasks[[#This Row],[_IsLeaf]]=1,N(Tasks[[#This Row],[Story Points]]),0)</f>
        <v>0</v>
      </c>
      <c r="DR35" s="43" t="str">
        <f aca="false">IF(AND(Tasks[[#This Row],[_IsLeaf]]=1,CurrentSprint&lt;&gt;"",Tasks[[#This Row],[Sprint]]=CurrentSprint),Tasks[[#This Row],[_Row]],"")</f>
        <v/>
      </c>
    </row>
    <row r="36" customFormat="false" ht="15" hidden="false" customHeight="false" outlineLevel="0" collapsed="false">
      <c r="A36" s="28" t="str">
        <f aca="false">IF(Tasks[[#This Row],[Task Name]]="","",COUNTA(Tasks[[#Headers],[Task Name]]:Tasks[[#This Row],[Task Name]])-1)</f>
        <v/>
      </c>
      <c r="B36" s="29" t="n">
        <v>31</v>
      </c>
      <c r="C3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36" s="29"/>
      <c r="E36" s="30"/>
      <c r="F36" s="29"/>
      <c r="G36" s="29"/>
      <c r="H36" s="29"/>
      <c r="I36" s="29"/>
      <c r="J36" s="29"/>
      <c r="K36" s="29"/>
      <c r="L36" s="29"/>
      <c r="M36" s="29"/>
      <c r="N36" s="72"/>
      <c r="O36" s="72"/>
      <c r="P36" s="25" t="str">
        <f aca="false">IF(Tasks[[#This Row],[Task Name]]="","",IF(N(Tasks[[#This Row],[Baseline Start]])&gt;0,Tasks[[#This Row],[Baseline Start]],Tasks[[#This Row],[_CalcStart]]))</f>
        <v/>
      </c>
      <c r="Q36" s="25" t="str">
        <f aca="false">IF(Tasks[[#This Row],[Task Name]]="","",IF(N(Tasks[[#This Row],[Baseline Finish]])&gt;0,Tasks[[#This Row],[Baseline Finish]],Tasks[[#This Row],[_CalcFinish]]))</f>
        <v/>
      </c>
      <c r="R36" s="72"/>
      <c r="S36" s="72"/>
      <c r="T3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3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3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3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3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3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3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3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3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3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3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36" s="74"/>
      <c r="AF3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3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36" s="30"/>
      <c r="AI36" s="74"/>
      <c r="AJ3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3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36" s="83"/>
      <c r="AM36" s="29"/>
      <c r="AN3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36" s="84"/>
      <c r="AP3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36" s="30"/>
      <c r="AR36" s="25" t="str">
        <f aca="false">IF(Tasks[[#This Row],[Task Name]]="","",Tasks[[#This Row],[Forecast Start]])</f>
        <v/>
      </c>
      <c r="AS36" s="25" t="str">
        <f aca="false">IF(Tasks[[#This Row],[Task Name]]="","",Tasks[[#This Row],[Forecast Finish]])</f>
        <v/>
      </c>
      <c r="AT3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36" s="81" t="str">
        <f aca="false">IF(Tasks[[#This Row],[Task Name]]="","",Tasks[[#This Row],[Work]])</f>
        <v/>
      </c>
      <c r="AV36" s="82" t="str">
        <f aca="false">IF(Tasks[[#This Row],[Task Name]]="","",Tasks[[#This Row],[Cost]])</f>
        <v/>
      </c>
      <c r="AW36" s="72"/>
      <c r="AX36" s="72"/>
      <c r="AY36" s="29"/>
      <c r="AZ36" s="85"/>
      <c r="BA36" s="83"/>
      <c r="BB36" s="28" t="str">
        <f aca="false">IF(OR(Tasks[[#This Row],[Task Name]]="",Tasks[[#This Row],[Baseline Duration]]=""),"",Tasks[[#This Row],[BL Source Duration]]-N(Tasks[[#This Row],[Baseline Duration]]))</f>
        <v/>
      </c>
      <c r="BC36" s="81" t="str">
        <f aca="false">IF(OR(Tasks[[#This Row],[Task Name]]="",Tasks[[#This Row],[Baseline Work]]=""),"",Tasks[[#This Row],[Work]]-N(Tasks[[#This Row],[Baseline Work]]))</f>
        <v/>
      </c>
      <c r="BD36" s="82" t="str">
        <f aca="false">IF(OR(Tasks[[#This Row],[Task Name]]="",Tasks[[#This Row],[Baseline Cost]]=""),"",Tasks[[#This Row],[Cost]]-N(Tasks[[#This Row],[Baseline Cost]]))</f>
        <v/>
      </c>
      <c r="BE3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3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3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3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36" s="43" t="str">
        <f aca="false">IF(Tasks[[#This Row],[Task Name]]="","",MAX(1,N(Tasks[[#This Row],[Level]])))</f>
        <v/>
      </c>
      <c r="BJ36" s="43" t="n">
        <f aca="false">ROW()-ROW(Tasks[[#Headers],[ID]])</f>
        <v>31</v>
      </c>
      <c r="BK3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36" s="43" t="n">
        <f aca="false">IFERROR(N(INDEX(Tasks[_Level],Tasks[[#This Row],[_Row]]+1)),0)</f>
        <v>0</v>
      </c>
      <c r="BM36" s="86" t="b">
        <f aca="false">AND(Tasks[[#This Row],[Task Name]]&lt;&gt;"",Tasks[[#This Row],[_NextLevel]]&gt;Tasks[[#This Row],[_Level]])</f>
        <v>0</v>
      </c>
      <c r="BN36" s="43" t="n">
        <f aca="false">IF(Tasks[[#This Row],[_IsSummary]],COUNTIF(Tasks[WBS],Tasks[[#This Row],[WBS]]&amp;".*"),0)</f>
        <v>0</v>
      </c>
      <c r="BO36" s="43" t="n">
        <f aca="false">IF(AND(Tasks[[#This Row],[Task Name]]&lt;&gt;"",NOT(Tasks[[#This Row],[_IsSummary]])),1,0)</f>
        <v>0</v>
      </c>
      <c r="BP36" s="43" t="n">
        <f aca="false">IF(N(Tasks[[#This Row],[Pred1 UID]])=0,0,IFERROR(MATCH(Tasks[[#This Row],[Pred1 UID]],Tasks[UID],0),-1))</f>
        <v>0</v>
      </c>
      <c r="BQ36" s="43" t="n">
        <f aca="false">IF(N(Tasks[[#This Row],[Pred2 UID]])=0,0,IFERROR(MATCH(Tasks[[#This Row],[Pred2 UID]],Tasks[UID],0),-1))</f>
        <v>0</v>
      </c>
      <c r="BR3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3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3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3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36" s="43" t="n">
        <f aca="false">IF(NOT(Tasks[[#This Row],[_IsLeaf]]=1),0,IF(N(Tasks[[#This Row],[Actual Finish]])&gt;0,1,MIN(1,N(Tasks[[#This Row],[% Complete]]))))</f>
        <v>0</v>
      </c>
      <c r="BW3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36" s="43" t="n">
        <f aca="false">IF(Tasks[[#This Row],[_LeafWork]]=0,0,Tasks[[#This Row],[_LeafWork]]*IFERROR(INDEX(res_Rate,MATCH(Tasks[[#This Row],[Resource]],res_Name,0)),0))</f>
        <v>0</v>
      </c>
      <c r="BY3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3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3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3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36" s="43" t="n">
        <f aca="false">IF(NOT(Tasks[[#This Row],[_IsLeaf]]=1),0,MAX(_xlfn.MAXIFS(Tasks[_Row],Tasks[Pred1 UID],Tasks[[#This Row],[UID]]),_xlfn.MAXIFS(Tasks[_Row],Tasks[Pred2 UID],Tasks[[#This Row],[UID]])))</f>
        <v>0</v>
      </c>
      <c r="CD3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36" s="87" t="str">
        <f aca="false">IF(NOT(Tasks[[#This Row],[_IsLeaf]]=1),"",MIN(ProjectFinish,IF(N(Tasks[[#This Row],[Deadline]])&gt;0,Tasks[[#This Row],[Deadline]],2958465),Tasks[[#This Row],[_SuccessorFinishLimit]]))</f>
        <v/>
      </c>
      <c r="CF3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3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36" s="86" t="b">
        <f aca="false">AND(Tasks[[#This Row],[_IsLeaf]]=1,Tasks[[#This Row],[_LeafProgress]]&lt;1,N(Tasks[[#This Row],[_LeafTotalSlack]])&lt;=CriticalSlackDays)</f>
        <v>0</v>
      </c>
      <c r="CI3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3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3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3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3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3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3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3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36" s="43" t="n">
        <f aca="false">IF(AND(Tasks[[#This Row],[_IsLeaf]]=1,Tasks[[#This Row],[_LeafWork]]&gt;0),NETWORKDAYS.INTL(ProjectStart,Tasks[[#This Row],[_LeafFcstStart]],WorkWeek,Holidays),0)</f>
        <v>0</v>
      </c>
      <c r="CR3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36" s="43" t="n">
        <f aca="false">IF(AND(Tasks[[#This Row],[_IsLeaf]]=1,Tasks[[#This Row],[_LeafWork]]&gt;0),Tasks[[#This Row],[_LeafWork]]/(Tasks[[#This Row],[_FinishWorkday]]-Tasks[[#This Row],[_StartWorkday]]+1),0)</f>
        <v>0</v>
      </c>
      <c r="CT36" s="43" t="n">
        <f aca="false">Tasks[[#This Row],[_WorkPerWorkday]]*(Tasks[[#This Row],[_StartWorkday]]-1)</f>
        <v>-0</v>
      </c>
      <c r="CU36" s="43" t="n">
        <f aca="false">IF(Tasks[[#This Row],[_IsLeaf]]=1,MAX(N(Tasks[[#This Row],[Duration]]),0.1),0)</f>
        <v>0</v>
      </c>
      <c r="CV36" s="43" t="n">
        <f aca="false">Tasks[[#This Row],[_WeightDur]]*Tasks[[#This Row],[_LeafProgress]]</f>
        <v>0</v>
      </c>
      <c r="CW3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3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3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3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3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36" s="43" t="str">
        <f aca="false">IF(AND(Tasks[[#This Row],[_IsLeaf]]=1,N(Tasks[[#This Row],[Duration]])=0,Tasks[[#This Row],[_LeafProgress]]&lt;1),Tasks[[#This Row],[_LeafFcstFinish]]+Tasks[[#This Row],[_Row]]/100000,"")</f>
        <v/>
      </c>
      <c r="DC3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36" s="43" t="n">
        <f aca="false">IF(NOT(Tasks[[#This Row],[_IsLeaf]]=1),0,IF(Tasks[[#This Row],[Baseline Cost]]="",Tasks[[#This Row],[_LeafCost]],N(Tasks[[#This Row],[Baseline Cost]])))</f>
        <v>0</v>
      </c>
      <c r="DE36" s="43" t="n">
        <f aca="false">Tasks[[#This Row],[_LeafBudget]]*Tasks[[#This Row],[_PlannedPct]]</f>
        <v>0</v>
      </c>
      <c r="DF36" s="43" t="n">
        <f aca="false">Tasks[[#This Row],[_LeafBudget]]*Tasks[[#This Row],[_LeafProgress]]</f>
        <v>0</v>
      </c>
      <c r="DG36" s="43" t="n">
        <f aca="false">IF(NOT(Tasks[[#This Row],[_IsLeaf]]=1),0,IF(Tasks[[#This Row],[Actual Cost]]="",Tasks[[#This Row],[_LeafCost]]*Tasks[[#This Row],[_LeafProgress]],N(Tasks[[#This Row],[Actual Cost]])))</f>
        <v>0</v>
      </c>
      <c r="DH36" s="43" t="str">
        <f aca="false">IF(Tasks[[#This Row],[Task Name]]="","",LEFT(Tasks[[#This Row],[WBS]],FIND(".",Tasks[[#This Row],[WBS]]&amp;".")-1))</f>
        <v/>
      </c>
      <c r="DI36" s="43" t="str">
        <f aca="false">IF(AND(Tasks[[#This Row],[Task Name]]&lt;&gt;"",Tasks[[#This Row],[_Level]]=1),Tasks[[#This Row],[_Row]],"")</f>
        <v/>
      </c>
      <c r="DJ36" s="43" t="str">
        <f aca="false">IF(AND(Tasks[[#This Row],[_IsLeaf]]=1,N(Tasks[[#This Row],[Duration]])=0),Tasks[[#This Row],[Planned Finish]]+Tasks[[#This Row],[_Row]]/100000,"")</f>
        <v/>
      </c>
      <c r="DK3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3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3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36" s="43" t="str">
        <f aca="false">IF(Tasks[[#This Row],[_LeafCritical]],Tasks[[#This Row],[_LeafFcstStart]]+Tasks[[#This Row],[_Row]]/100000,"")</f>
        <v/>
      </c>
      <c r="DO36" s="43" t="n">
        <f aca="false">Tasks[[#This Row],[_LeafWork]]*Tasks[[#This Row],[_LeafProgress]]</f>
        <v>0</v>
      </c>
      <c r="DP3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36" s="43" t="n">
        <f aca="false">IF(Tasks[[#This Row],[_IsLeaf]]=1,N(Tasks[[#This Row],[Story Points]]),0)</f>
        <v>0</v>
      </c>
      <c r="DR36" s="43" t="str">
        <f aca="false">IF(AND(Tasks[[#This Row],[_IsLeaf]]=1,CurrentSprint&lt;&gt;"",Tasks[[#This Row],[Sprint]]=CurrentSprint),Tasks[[#This Row],[_Row]],"")</f>
        <v/>
      </c>
    </row>
    <row r="37" customFormat="false" ht="15" hidden="false" customHeight="false" outlineLevel="0" collapsed="false">
      <c r="A37" s="28" t="str">
        <f aca="false">IF(Tasks[[#This Row],[Task Name]]="","",COUNTA(Tasks[[#Headers],[Task Name]]:Tasks[[#This Row],[Task Name]])-1)</f>
        <v/>
      </c>
      <c r="B37" s="29" t="n">
        <v>32</v>
      </c>
      <c r="C3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37" s="29"/>
      <c r="E37" s="30"/>
      <c r="F37" s="29"/>
      <c r="G37" s="29"/>
      <c r="H37" s="29"/>
      <c r="I37" s="29"/>
      <c r="J37" s="29"/>
      <c r="K37" s="29"/>
      <c r="L37" s="29"/>
      <c r="M37" s="29"/>
      <c r="N37" s="72"/>
      <c r="O37" s="72"/>
      <c r="P37" s="25" t="str">
        <f aca="false">IF(Tasks[[#This Row],[Task Name]]="","",IF(N(Tasks[[#This Row],[Baseline Start]])&gt;0,Tasks[[#This Row],[Baseline Start]],Tasks[[#This Row],[_CalcStart]]))</f>
        <v/>
      </c>
      <c r="Q37" s="25" t="str">
        <f aca="false">IF(Tasks[[#This Row],[Task Name]]="","",IF(N(Tasks[[#This Row],[Baseline Finish]])&gt;0,Tasks[[#This Row],[Baseline Finish]],Tasks[[#This Row],[_CalcFinish]]))</f>
        <v/>
      </c>
      <c r="R37" s="72"/>
      <c r="S37" s="72"/>
      <c r="T3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3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3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3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3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3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3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3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3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3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3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37" s="74"/>
      <c r="AF3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3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37" s="30"/>
      <c r="AI37" s="74"/>
      <c r="AJ3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3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37" s="83"/>
      <c r="AM37" s="29"/>
      <c r="AN3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37" s="84"/>
      <c r="AP3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37" s="30"/>
      <c r="AR37" s="25" t="str">
        <f aca="false">IF(Tasks[[#This Row],[Task Name]]="","",Tasks[[#This Row],[Forecast Start]])</f>
        <v/>
      </c>
      <c r="AS37" s="25" t="str">
        <f aca="false">IF(Tasks[[#This Row],[Task Name]]="","",Tasks[[#This Row],[Forecast Finish]])</f>
        <v/>
      </c>
      <c r="AT3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37" s="81" t="str">
        <f aca="false">IF(Tasks[[#This Row],[Task Name]]="","",Tasks[[#This Row],[Work]])</f>
        <v/>
      </c>
      <c r="AV37" s="82" t="str">
        <f aca="false">IF(Tasks[[#This Row],[Task Name]]="","",Tasks[[#This Row],[Cost]])</f>
        <v/>
      </c>
      <c r="AW37" s="72"/>
      <c r="AX37" s="72"/>
      <c r="AY37" s="29"/>
      <c r="AZ37" s="85"/>
      <c r="BA37" s="83"/>
      <c r="BB37" s="28" t="str">
        <f aca="false">IF(OR(Tasks[[#This Row],[Task Name]]="",Tasks[[#This Row],[Baseline Duration]]=""),"",Tasks[[#This Row],[BL Source Duration]]-N(Tasks[[#This Row],[Baseline Duration]]))</f>
        <v/>
      </c>
      <c r="BC37" s="81" t="str">
        <f aca="false">IF(OR(Tasks[[#This Row],[Task Name]]="",Tasks[[#This Row],[Baseline Work]]=""),"",Tasks[[#This Row],[Work]]-N(Tasks[[#This Row],[Baseline Work]]))</f>
        <v/>
      </c>
      <c r="BD37" s="82" t="str">
        <f aca="false">IF(OR(Tasks[[#This Row],[Task Name]]="",Tasks[[#This Row],[Baseline Cost]]=""),"",Tasks[[#This Row],[Cost]]-N(Tasks[[#This Row],[Baseline Cost]]))</f>
        <v/>
      </c>
      <c r="BE3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3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3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3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37" s="43" t="str">
        <f aca="false">IF(Tasks[[#This Row],[Task Name]]="","",MAX(1,N(Tasks[[#This Row],[Level]])))</f>
        <v/>
      </c>
      <c r="BJ37" s="43" t="n">
        <f aca="false">ROW()-ROW(Tasks[[#Headers],[ID]])</f>
        <v>32</v>
      </c>
      <c r="BK3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37" s="43" t="n">
        <f aca="false">IFERROR(N(INDEX(Tasks[_Level],Tasks[[#This Row],[_Row]]+1)),0)</f>
        <v>0</v>
      </c>
      <c r="BM37" s="86" t="b">
        <f aca="false">AND(Tasks[[#This Row],[Task Name]]&lt;&gt;"",Tasks[[#This Row],[_NextLevel]]&gt;Tasks[[#This Row],[_Level]])</f>
        <v>0</v>
      </c>
      <c r="BN37" s="43" t="n">
        <f aca="false">IF(Tasks[[#This Row],[_IsSummary]],COUNTIF(Tasks[WBS],Tasks[[#This Row],[WBS]]&amp;".*"),0)</f>
        <v>0</v>
      </c>
      <c r="BO37" s="43" t="n">
        <f aca="false">IF(AND(Tasks[[#This Row],[Task Name]]&lt;&gt;"",NOT(Tasks[[#This Row],[_IsSummary]])),1,0)</f>
        <v>0</v>
      </c>
      <c r="BP37" s="43" t="n">
        <f aca="false">IF(N(Tasks[[#This Row],[Pred1 UID]])=0,0,IFERROR(MATCH(Tasks[[#This Row],[Pred1 UID]],Tasks[UID],0),-1))</f>
        <v>0</v>
      </c>
      <c r="BQ37" s="43" t="n">
        <f aca="false">IF(N(Tasks[[#This Row],[Pred2 UID]])=0,0,IFERROR(MATCH(Tasks[[#This Row],[Pred2 UID]],Tasks[UID],0),-1))</f>
        <v>0</v>
      </c>
      <c r="BR3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3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3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3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37" s="43" t="n">
        <f aca="false">IF(NOT(Tasks[[#This Row],[_IsLeaf]]=1),0,IF(N(Tasks[[#This Row],[Actual Finish]])&gt;0,1,MIN(1,N(Tasks[[#This Row],[% Complete]]))))</f>
        <v>0</v>
      </c>
      <c r="BW3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37" s="43" t="n">
        <f aca="false">IF(Tasks[[#This Row],[_LeafWork]]=0,0,Tasks[[#This Row],[_LeafWork]]*IFERROR(INDEX(res_Rate,MATCH(Tasks[[#This Row],[Resource]],res_Name,0)),0))</f>
        <v>0</v>
      </c>
      <c r="BY3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3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3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3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37" s="43" t="n">
        <f aca="false">IF(NOT(Tasks[[#This Row],[_IsLeaf]]=1),0,MAX(_xlfn.MAXIFS(Tasks[_Row],Tasks[Pred1 UID],Tasks[[#This Row],[UID]]),_xlfn.MAXIFS(Tasks[_Row],Tasks[Pred2 UID],Tasks[[#This Row],[UID]])))</f>
        <v>0</v>
      </c>
      <c r="CD3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37" s="87" t="str">
        <f aca="false">IF(NOT(Tasks[[#This Row],[_IsLeaf]]=1),"",MIN(ProjectFinish,IF(N(Tasks[[#This Row],[Deadline]])&gt;0,Tasks[[#This Row],[Deadline]],2958465),Tasks[[#This Row],[_SuccessorFinishLimit]]))</f>
        <v/>
      </c>
      <c r="CF3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3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37" s="86" t="b">
        <f aca="false">AND(Tasks[[#This Row],[_IsLeaf]]=1,Tasks[[#This Row],[_LeafProgress]]&lt;1,N(Tasks[[#This Row],[_LeafTotalSlack]])&lt;=CriticalSlackDays)</f>
        <v>0</v>
      </c>
      <c r="CI3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3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3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3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3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3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3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3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37" s="43" t="n">
        <f aca="false">IF(AND(Tasks[[#This Row],[_IsLeaf]]=1,Tasks[[#This Row],[_LeafWork]]&gt;0),NETWORKDAYS.INTL(ProjectStart,Tasks[[#This Row],[_LeafFcstStart]],WorkWeek,Holidays),0)</f>
        <v>0</v>
      </c>
      <c r="CR3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37" s="43" t="n">
        <f aca="false">IF(AND(Tasks[[#This Row],[_IsLeaf]]=1,Tasks[[#This Row],[_LeafWork]]&gt;0),Tasks[[#This Row],[_LeafWork]]/(Tasks[[#This Row],[_FinishWorkday]]-Tasks[[#This Row],[_StartWorkday]]+1),0)</f>
        <v>0</v>
      </c>
      <c r="CT37" s="43" t="n">
        <f aca="false">Tasks[[#This Row],[_WorkPerWorkday]]*(Tasks[[#This Row],[_StartWorkday]]-1)</f>
        <v>-0</v>
      </c>
      <c r="CU37" s="43" t="n">
        <f aca="false">IF(Tasks[[#This Row],[_IsLeaf]]=1,MAX(N(Tasks[[#This Row],[Duration]]),0.1),0)</f>
        <v>0</v>
      </c>
      <c r="CV37" s="43" t="n">
        <f aca="false">Tasks[[#This Row],[_WeightDur]]*Tasks[[#This Row],[_LeafProgress]]</f>
        <v>0</v>
      </c>
      <c r="CW3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3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3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3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3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37" s="43" t="str">
        <f aca="false">IF(AND(Tasks[[#This Row],[_IsLeaf]]=1,N(Tasks[[#This Row],[Duration]])=0,Tasks[[#This Row],[_LeafProgress]]&lt;1),Tasks[[#This Row],[_LeafFcstFinish]]+Tasks[[#This Row],[_Row]]/100000,"")</f>
        <v/>
      </c>
      <c r="DC3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37" s="43" t="n">
        <f aca="false">IF(NOT(Tasks[[#This Row],[_IsLeaf]]=1),0,IF(Tasks[[#This Row],[Baseline Cost]]="",Tasks[[#This Row],[_LeafCost]],N(Tasks[[#This Row],[Baseline Cost]])))</f>
        <v>0</v>
      </c>
      <c r="DE37" s="43" t="n">
        <f aca="false">Tasks[[#This Row],[_LeafBudget]]*Tasks[[#This Row],[_PlannedPct]]</f>
        <v>0</v>
      </c>
      <c r="DF37" s="43" t="n">
        <f aca="false">Tasks[[#This Row],[_LeafBudget]]*Tasks[[#This Row],[_LeafProgress]]</f>
        <v>0</v>
      </c>
      <c r="DG37" s="43" t="n">
        <f aca="false">IF(NOT(Tasks[[#This Row],[_IsLeaf]]=1),0,IF(Tasks[[#This Row],[Actual Cost]]="",Tasks[[#This Row],[_LeafCost]]*Tasks[[#This Row],[_LeafProgress]],N(Tasks[[#This Row],[Actual Cost]])))</f>
        <v>0</v>
      </c>
      <c r="DH37" s="43" t="str">
        <f aca="false">IF(Tasks[[#This Row],[Task Name]]="","",LEFT(Tasks[[#This Row],[WBS]],FIND(".",Tasks[[#This Row],[WBS]]&amp;".")-1))</f>
        <v/>
      </c>
      <c r="DI37" s="43" t="str">
        <f aca="false">IF(AND(Tasks[[#This Row],[Task Name]]&lt;&gt;"",Tasks[[#This Row],[_Level]]=1),Tasks[[#This Row],[_Row]],"")</f>
        <v/>
      </c>
      <c r="DJ37" s="43" t="str">
        <f aca="false">IF(AND(Tasks[[#This Row],[_IsLeaf]]=1,N(Tasks[[#This Row],[Duration]])=0),Tasks[[#This Row],[Planned Finish]]+Tasks[[#This Row],[_Row]]/100000,"")</f>
        <v/>
      </c>
      <c r="DK3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3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3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37" s="43" t="str">
        <f aca="false">IF(Tasks[[#This Row],[_LeafCritical]],Tasks[[#This Row],[_LeafFcstStart]]+Tasks[[#This Row],[_Row]]/100000,"")</f>
        <v/>
      </c>
      <c r="DO37" s="43" t="n">
        <f aca="false">Tasks[[#This Row],[_LeafWork]]*Tasks[[#This Row],[_LeafProgress]]</f>
        <v>0</v>
      </c>
      <c r="DP3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37" s="43" t="n">
        <f aca="false">IF(Tasks[[#This Row],[_IsLeaf]]=1,N(Tasks[[#This Row],[Story Points]]),0)</f>
        <v>0</v>
      </c>
      <c r="DR37" s="43" t="str">
        <f aca="false">IF(AND(Tasks[[#This Row],[_IsLeaf]]=1,CurrentSprint&lt;&gt;"",Tasks[[#This Row],[Sprint]]=CurrentSprint),Tasks[[#This Row],[_Row]],"")</f>
        <v/>
      </c>
    </row>
    <row r="38" customFormat="false" ht="15" hidden="false" customHeight="false" outlineLevel="0" collapsed="false">
      <c r="A38" s="28" t="str">
        <f aca="false">IF(Tasks[[#This Row],[Task Name]]="","",COUNTA(Tasks[[#Headers],[Task Name]]:Tasks[[#This Row],[Task Name]])-1)</f>
        <v/>
      </c>
      <c r="B38" s="29" t="n">
        <v>33</v>
      </c>
      <c r="C3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38" s="29"/>
      <c r="E38" s="30"/>
      <c r="F38" s="29"/>
      <c r="G38" s="29"/>
      <c r="H38" s="29"/>
      <c r="I38" s="29"/>
      <c r="J38" s="29"/>
      <c r="K38" s="29"/>
      <c r="L38" s="29"/>
      <c r="M38" s="29"/>
      <c r="N38" s="72"/>
      <c r="O38" s="72"/>
      <c r="P38" s="25" t="str">
        <f aca="false">IF(Tasks[[#This Row],[Task Name]]="","",IF(N(Tasks[[#This Row],[Baseline Start]])&gt;0,Tasks[[#This Row],[Baseline Start]],Tasks[[#This Row],[_CalcStart]]))</f>
        <v/>
      </c>
      <c r="Q38" s="25" t="str">
        <f aca="false">IF(Tasks[[#This Row],[Task Name]]="","",IF(N(Tasks[[#This Row],[Baseline Finish]])&gt;0,Tasks[[#This Row],[Baseline Finish]],Tasks[[#This Row],[_CalcFinish]]))</f>
        <v/>
      </c>
      <c r="R38" s="72"/>
      <c r="S38" s="72"/>
      <c r="T3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3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3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3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3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3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3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3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3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3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3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38" s="74"/>
      <c r="AF3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3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38" s="30"/>
      <c r="AI38" s="74"/>
      <c r="AJ3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3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38" s="83"/>
      <c r="AM38" s="29"/>
      <c r="AN3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38" s="84"/>
      <c r="AP3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38" s="30"/>
      <c r="AR38" s="25" t="str">
        <f aca="false">IF(Tasks[[#This Row],[Task Name]]="","",Tasks[[#This Row],[Forecast Start]])</f>
        <v/>
      </c>
      <c r="AS38" s="25" t="str">
        <f aca="false">IF(Tasks[[#This Row],[Task Name]]="","",Tasks[[#This Row],[Forecast Finish]])</f>
        <v/>
      </c>
      <c r="AT3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38" s="81" t="str">
        <f aca="false">IF(Tasks[[#This Row],[Task Name]]="","",Tasks[[#This Row],[Work]])</f>
        <v/>
      </c>
      <c r="AV38" s="82" t="str">
        <f aca="false">IF(Tasks[[#This Row],[Task Name]]="","",Tasks[[#This Row],[Cost]])</f>
        <v/>
      </c>
      <c r="AW38" s="72"/>
      <c r="AX38" s="72"/>
      <c r="AY38" s="29"/>
      <c r="AZ38" s="85"/>
      <c r="BA38" s="83"/>
      <c r="BB38" s="28" t="str">
        <f aca="false">IF(OR(Tasks[[#This Row],[Task Name]]="",Tasks[[#This Row],[Baseline Duration]]=""),"",Tasks[[#This Row],[BL Source Duration]]-N(Tasks[[#This Row],[Baseline Duration]]))</f>
        <v/>
      </c>
      <c r="BC38" s="81" t="str">
        <f aca="false">IF(OR(Tasks[[#This Row],[Task Name]]="",Tasks[[#This Row],[Baseline Work]]=""),"",Tasks[[#This Row],[Work]]-N(Tasks[[#This Row],[Baseline Work]]))</f>
        <v/>
      </c>
      <c r="BD38" s="82" t="str">
        <f aca="false">IF(OR(Tasks[[#This Row],[Task Name]]="",Tasks[[#This Row],[Baseline Cost]]=""),"",Tasks[[#This Row],[Cost]]-N(Tasks[[#This Row],[Baseline Cost]]))</f>
        <v/>
      </c>
      <c r="BE3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3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3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3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38" s="43" t="str">
        <f aca="false">IF(Tasks[[#This Row],[Task Name]]="","",MAX(1,N(Tasks[[#This Row],[Level]])))</f>
        <v/>
      </c>
      <c r="BJ38" s="43" t="n">
        <f aca="false">ROW()-ROW(Tasks[[#Headers],[ID]])</f>
        <v>33</v>
      </c>
      <c r="BK3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38" s="43" t="n">
        <f aca="false">IFERROR(N(INDEX(Tasks[_Level],Tasks[[#This Row],[_Row]]+1)),0)</f>
        <v>0</v>
      </c>
      <c r="BM38" s="86" t="b">
        <f aca="false">AND(Tasks[[#This Row],[Task Name]]&lt;&gt;"",Tasks[[#This Row],[_NextLevel]]&gt;Tasks[[#This Row],[_Level]])</f>
        <v>0</v>
      </c>
      <c r="BN38" s="43" t="n">
        <f aca="false">IF(Tasks[[#This Row],[_IsSummary]],COUNTIF(Tasks[WBS],Tasks[[#This Row],[WBS]]&amp;".*"),0)</f>
        <v>0</v>
      </c>
      <c r="BO38" s="43" t="n">
        <f aca="false">IF(AND(Tasks[[#This Row],[Task Name]]&lt;&gt;"",NOT(Tasks[[#This Row],[_IsSummary]])),1,0)</f>
        <v>0</v>
      </c>
      <c r="BP38" s="43" t="n">
        <f aca="false">IF(N(Tasks[[#This Row],[Pred1 UID]])=0,0,IFERROR(MATCH(Tasks[[#This Row],[Pred1 UID]],Tasks[UID],0),-1))</f>
        <v>0</v>
      </c>
      <c r="BQ38" s="43" t="n">
        <f aca="false">IF(N(Tasks[[#This Row],[Pred2 UID]])=0,0,IFERROR(MATCH(Tasks[[#This Row],[Pred2 UID]],Tasks[UID],0),-1))</f>
        <v>0</v>
      </c>
      <c r="BR3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3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3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3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38" s="43" t="n">
        <f aca="false">IF(NOT(Tasks[[#This Row],[_IsLeaf]]=1),0,IF(N(Tasks[[#This Row],[Actual Finish]])&gt;0,1,MIN(1,N(Tasks[[#This Row],[% Complete]]))))</f>
        <v>0</v>
      </c>
      <c r="BW3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38" s="43" t="n">
        <f aca="false">IF(Tasks[[#This Row],[_LeafWork]]=0,0,Tasks[[#This Row],[_LeafWork]]*IFERROR(INDEX(res_Rate,MATCH(Tasks[[#This Row],[Resource]],res_Name,0)),0))</f>
        <v>0</v>
      </c>
      <c r="BY3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3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3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3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38" s="43" t="n">
        <f aca="false">IF(NOT(Tasks[[#This Row],[_IsLeaf]]=1),0,MAX(_xlfn.MAXIFS(Tasks[_Row],Tasks[Pred1 UID],Tasks[[#This Row],[UID]]),_xlfn.MAXIFS(Tasks[_Row],Tasks[Pred2 UID],Tasks[[#This Row],[UID]])))</f>
        <v>0</v>
      </c>
      <c r="CD3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38" s="87" t="str">
        <f aca="false">IF(NOT(Tasks[[#This Row],[_IsLeaf]]=1),"",MIN(ProjectFinish,IF(N(Tasks[[#This Row],[Deadline]])&gt;0,Tasks[[#This Row],[Deadline]],2958465),Tasks[[#This Row],[_SuccessorFinishLimit]]))</f>
        <v/>
      </c>
      <c r="CF3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3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38" s="86" t="b">
        <f aca="false">AND(Tasks[[#This Row],[_IsLeaf]]=1,Tasks[[#This Row],[_LeafProgress]]&lt;1,N(Tasks[[#This Row],[_LeafTotalSlack]])&lt;=CriticalSlackDays)</f>
        <v>0</v>
      </c>
      <c r="CI3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3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3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3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3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3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3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3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38" s="43" t="n">
        <f aca="false">IF(AND(Tasks[[#This Row],[_IsLeaf]]=1,Tasks[[#This Row],[_LeafWork]]&gt;0),NETWORKDAYS.INTL(ProjectStart,Tasks[[#This Row],[_LeafFcstStart]],WorkWeek,Holidays),0)</f>
        <v>0</v>
      </c>
      <c r="CR3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38" s="43" t="n">
        <f aca="false">IF(AND(Tasks[[#This Row],[_IsLeaf]]=1,Tasks[[#This Row],[_LeafWork]]&gt;0),Tasks[[#This Row],[_LeafWork]]/(Tasks[[#This Row],[_FinishWorkday]]-Tasks[[#This Row],[_StartWorkday]]+1),0)</f>
        <v>0</v>
      </c>
      <c r="CT38" s="43" t="n">
        <f aca="false">Tasks[[#This Row],[_WorkPerWorkday]]*(Tasks[[#This Row],[_StartWorkday]]-1)</f>
        <v>-0</v>
      </c>
      <c r="CU38" s="43" t="n">
        <f aca="false">IF(Tasks[[#This Row],[_IsLeaf]]=1,MAX(N(Tasks[[#This Row],[Duration]]),0.1),0)</f>
        <v>0</v>
      </c>
      <c r="CV38" s="43" t="n">
        <f aca="false">Tasks[[#This Row],[_WeightDur]]*Tasks[[#This Row],[_LeafProgress]]</f>
        <v>0</v>
      </c>
      <c r="CW3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3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3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3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3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38" s="43" t="str">
        <f aca="false">IF(AND(Tasks[[#This Row],[_IsLeaf]]=1,N(Tasks[[#This Row],[Duration]])=0,Tasks[[#This Row],[_LeafProgress]]&lt;1),Tasks[[#This Row],[_LeafFcstFinish]]+Tasks[[#This Row],[_Row]]/100000,"")</f>
        <v/>
      </c>
      <c r="DC3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38" s="43" t="n">
        <f aca="false">IF(NOT(Tasks[[#This Row],[_IsLeaf]]=1),0,IF(Tasks[[#This Row],[Baseline Cost]]="",Tasks[[#This Row],[_LeafCost]],N(Tasks[[#This Row],[Baseline Cost]])))</f>
        <v>0</v>
      </c>
      <c r="DE38" s="43" t="n">
        <f aca="false">Tasks[[#This Row],[_LeafBudget]]*Tasks[[#This Row],[_PlannedPct]]</f>
        <v>0</v>
      </c>
      <c r="DF38" s="43" t="n">
        <f aca="false">Tasks[[#This Row],[_LeafBudget]]*Tasks[[#This Row],[_LeafProgress]]</f>
        <v>0</v>
      </c>
      <c r="DG38" s="43" t="n">
        <f aca="false">IF(NOT(Tasks[[#This Row],[_IsLeaf]]=1),0,IF(Tasks[[#This Row],[Actual Cost]]="",Tasks[[#This Row],[_LeafCost]]*Tasks[[#This Row],[_LeafProgress]],N(Tasks[[#This Row],[Actual Cost]])))</f>
        <v>0</v>
      </c>
      <c r="DH38" s="43" t="str">
        <f aca="false">IF(Tasks[[#This Row],[Task Name]]="","",LEFT(Tasks[[#This Row],[WBS]],FIND(".",Tasks[[#This Row],[WBS]]&amp;".")-1))</f>
        <v/>
      </c>
      <c r="DI38" s="43" t="str">
        <f aca="false">IF(AND(Tasks[[#This Row],[Task Name]]&lt;&gt;"",Tasks[[#This Row],[_Level]]=1),Tasks[[#This Row],[_Row]],"")</f>
        <v/>
      </c>
      <c r="DJ38" s="43" t="str">
        <f aca="false">IF(AND(Tasks[[#This Row],[_IsLeaf]]=1,N(Tasks[[#This Row],[Duration]])=0),Tasks[[#This Row],[Planned Finish]]+Tasks[[#This Row],[_Row]]/100000,"")</f>
        <v/>
      </c>
      <c r="DK3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3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3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38" s="43" t="str">
        <f aca="false">IF(Tasks[[#This Row],[_LeafCritical]],Tasks[[#This Row],[_LeafFcstStart]]+Tasks[[#This Row],[_Row]]/100000,"")</f>
        <v/>
      </c>
      <c r="DO38" s="43" t="n">
        <f aca="false">Tasks[[#This Row],[_LeafWork]]*Tasks[[#This Row],[_LeafProgress]]</f>
        <v>0</v>
      </c>
      <c r="DP3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38" s="43" t="n">
        <f aca="false">IF(Tasks[[#This Row],[_IsLeaf]]=1,N(Tasks[[#This Row],[Story Points]]),0)</f>
        <v>0</v>
      </c>
      <c r="DR38" s="43" t="str">
        <f aca="false">IF(AND(Tasks[[#This Row],[_IsLeaf]]=1,CurrentSprint&lt;&gt;"",Tasks[[#This Row],[Sprint]]=CurrentSprint),Tasks[[#This Row],[_Row]],"")</f>
        <v/>
      </c>
    </row>
    <row r="39" customFormat="false" ht="15" hidden="false" customHeight="false" outlineLevel="0" collapsed="false">
      <c r="A39" s="28" t="str">
        <f aca="false">IF(Tasks[[#This Row],[Task Name]]="","",COUNTA(Tasks[[#Headers],[Task Name]]:Tasks[[#This Row],[Task Name]])-1)</f>
        <v/>
      </c>
      <c r="B39" s="29" t="n">
        <v>34</v>
      </c>
      <c r="C3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39" s="29"/>
      <c r="E39" s="30"/>
      <c r="F39" s="29"/>
      <c r="G39" s="29"/>
      <c r="H39" s="29"/>
      <c r="I39" s="29"/>
      <c r="J39" s="29"/>
      <c r="K39" s="29"/>
      <c r="L39" s="29"/>
      <c r="M39" s="29"/>
      <c r="N39" s="72"/>
      <c r="O39" s="72"/>
      <c r="P39" s="25" t="str">
        <f aca="false">IF(Tasks[[#This Row],[Task Name]]="","",IF(N(Tasks[[#This Row],[Baseline Start]])&gt;0,Tasks[[#This Row],[Baseline Start]],Tasks[[#This Row],[_CalcStart]]))</f>
        <v/>
      </c>
      <c r="Q39" s="25" t="str">
        <f aca="false">IF(Tasks[[#This Row],[Task Name]]="","",IF(N(Tasks[[#This Row],[Baseline Finish]])&gt;0,Tasks[[#This Row],[Baseline Finish]],Tasks[[#This Row],[_CalcFinish]]))</f>
        <v/>
      </c>
      <c r="R39" s="72"/>
      <c r="S39" s="72"/>
      <c r="T3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3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3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3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3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3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3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3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3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3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3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39" s="74"/>
      <c r="AF3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3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39" s="30"/>
      <c r="AI39" s="74"/>
      <c r="AJ3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3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39" s="83"/>
      <c r="AM39" s="29"/>
      <c r="AN3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39" s="84"/>
      <c r="AP3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39" s="30"/>
      <c r="AR39" s="25" t="str">
        <f aca="false">IF(Tasks[[#This Row],[Task Name]]="","",Tasks[[#This Row],[Forecast Start]])</f>
        <v/>
      </c>
      <c r="AS39" s="25" t="str">
        <f aca="false">IF(Tasks[[#This Row],[Task Name]]="","",Tasks[[#This Row],[Forecast Finish]])</f>
        <v/>
      </c>
      <c r="AT3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39" s="81" t="str">
        <f aca="false">IF(Tasks[[#This Row],[Task Name]]="","",Tasks[[#This Row],[Work]])</f>
        <v/>
      </c>
      <c r="AV39" s="82" t="str">
        <f aca="false">IF(Tasks[[#This Row],[Task Name]]="","",Tasks[[#This Row],[Cost]])</f>
        <v/>
      </c>
      <c r="AW39" s="72"/>
      <c r="AX39" s="72"/>
      <c r="AY39" s="29"/>
      <c r="AZ39" s="85"/>
      <c r="BA39" s="83"/>
      <c r="BB39" s="28" t="str">
        <f aca="false">IF(OR(Tasks[[#This Row],[Task Name]]="",Tasks[[#This Row],[Baseline Duration]]=""),"",Tasks[[#This Row],[BL Source Duration]]-N(Tasks[[#This Row],[Baseline Duration]]))</f>
        <v/>
      </c>
      <c r="BC39" s="81" t="str">
        <f aca="false">IF(OR(Tasks[[#This Row],[Task Name]]="",Tasks[[#This Row],[Baseline Work]]=""),"",Tasks[[#This Row],[Work]]-N(Tasks[[#This Row],[Baseline Work]]))</f>
        <v/>
      </c>
      <c r="BD39" s="82" t="str">
        <f aca="false">IF(OR(Tasks[[#This Row],[Task Name]]="",Tasks[[#This Row],[Baseline Cost]]=""),"",Tasks[[#This Row],[Cost]]-N(Tasks[[#This Row],[Baseline Cost]]))</f>
        <v/>
      </c>
      <c r="BE3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3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3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3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39" s="43" t="str">
        <f aca="false">IF(Tasks[[#This Row],[Task Name]]="","",MAX(1,N(Tasks[[#This Row],[Level]])))</f>
        <v/>
      </c>
      <c r="BJ39" s="43" t="n">
        <f aca="false">ROW()-ROW(Tasks[[#Headers],[ID]])</f>
        <v>34</v>
      </c>
      <c r="BK3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39" s="43" t="n">
        <f aca="false">IFERROR(N(INDEX(Tasks[_Level],Tasks[[#This Row],[_Row]]+1)),0)</f>
        <v>0</v>
      </c>
      <c r="BM39" s="86" t="b">
        <f aca="false">AND(Tasks[[#This Row],[Task Name]]&lt;&gt;"",Tasks[[#This Row],[_NextLevel]]&gt;Tasks[[#This Row],[_Level]])</f>
        <v>0</v>
      </c>
      <c r="BN39" s="43" t="n">
        <f aca="false">IF(Tasks[[#This Row],[_IsSummary]],COUNTIF(Tasks[WBS],Tasks[[#This Row],[WBS]]&amp;".*"),0)</f>
        <v>0</v>
      </c>
      <c r="BO39" s="43" t="n">
        <f aca="false">IF(AND(Tasks[[#This Row],[Task Name]]&lt;&gt;"",NOT(Tasks[[#This Row],[_IsSummary]])),1,0)</f>
        <v>0</v>
      </c>
      <c r="BP39" s="43" t="n">
        <f aca="false">IF(N(Tasks[[#This Row],[Pred1 UID]])=0,0,IFERROR(MATCH(Tasks[[#This Row],[Pred1 UID]],Tasks[UID],0),-1))</f>
        <v>0</v>
      </c>
      <c r="BQ39" s="43" t="n">
        <f aca="false">IF(N(Tasks[[#This Row],[Pred2 UID]])=0,0,IFERROR(MATCH(Tasks[[#This Row],[Pred2 UID]],Tasks[UID],0),-1))</f>
        <v>0</v>
      </c>
      <c r="BR3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3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3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3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39" s="43" t="n">
        <f aca="false">IF(NOT(Tasks[[#This Row],[_IsLeaf]]=1),0,IF(N(Tasks[[#This Row],[Actual Finish]])&gt;0,1,MIN(1,N(Tasks[[#This Row],[% Complete]]))))</f>
        <v>0</v>
      </c>
      <c r="BW3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39" s="43" t="n">
        <f aca="false">IF(Tasks[[#This Row],[_LeafWork]]=0,0,Tasks[[#This Row],[_LeafWork]]*IFERROR(INDEX(res_Rate,MATCH(Tasks[[#This Row],[Resource]],res_Name,0)),0))</f>
        <v>0</v>
      </c>
      <c r="BY3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3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3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3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39" s="43" t="n">
        <f aca="false">IF(NOT(Tasks[[#This Row],[_IsLeaf]]=1),0,MAX(_xlfn.MAXIFS(Tasks[_Row],Tasks[Pred1 UID],Tasks[[#This Row],[UID]]),_xlfn.MAXIFS(Tasks[_Row],Tasks[Pred2 UID],Tasks[[#This Row],[UID]])))</f>
        <v>0</v>
      </c>
      <c r="CD3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39" s="87" t="str">
        <f aca="false">IF(NOT(Tasks[[#This Row],[_IsLeaf]]=1),"",MIN(ProjectFinish,IF(N(Tasks[[#This Row],[Deadline]])&gt;0,Tasks[[#This Row],[Deadline]],2958465),Tasks[[#This Row],[_SuccessorFinishLimit]]))</f>
        <v/>
      </c>
      <c r="CF3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3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39" s="86" t="b">
        <f aca="false">AND(Tasks[[#This Row],[_IsLeaf]]=1,Tasks[[#This Row],[_LeafProgress]]&lt;1,N(Tasks[[#This Row],[_LeafTotalSlack]])&lt;=CriticalSlackDays)</f>
        <v>0</v>
      </c>
      <c r="CI3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3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3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3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3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3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3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3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39" s="43" t="n">
        <f aca="false">IF(AND(Tasks[[#This Row],[_IsLeaf]]=1,Tasks[[#This Row],[_LeafWork]]&gt;0),NETWORKDAYS.INTL(ProjectStart,Tasks[[#This Row],[_LeafFcstStart]],WorkWeek,Holidays),0)</f>
        <v>0</v>
      </c>
      <c r="CR3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39" s="43" t="n">
        <f aca="false">IF(AND(Tasks[[#This Row],[_IsLeaf]]=1,Tasks[[#This Row],[_LeafWork]]&gt;0),Tasks[[#This Row],[_LeafWork]]/(Tasks[[#This Row],[_FinishWorkday]]-Tasks[[#This Row],[_StartWorkday]]+1),0)</f>
        <v>0</v>
      </c>
      <c r="CT39" s="43" t="n">
        <f aca="false">Tasks[[#This Row],[_WorkPerWorkday]]*(Tasks[[#This Row],[_StartWorkday]]-1)</f>
        <v>-0</v>
      </c>
      <c r="CU39" s="43" t="n">
        <f aca="false">IF(Tasks[[#This Row],[_IsLeaf]]=1,MAX(N(Tasks[[#This Row],[Duration]]),0.1),0)</f>
        <v>0</v>
      </c>
      <c r="CV39" s="43" t="n">
        <f aca="false">Tasks[[#This Row],[_WeightDur]]*Tasks[[#This Row],[_LeafProgress]]</f>
        <v>0</v>
      </c>
      <c r="CW3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3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3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3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3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39" s="43" t="str">
        <f aca="false">IF(AND(Tasks[[#This Row],[_IsLeaf]]=1,N(Tasks[[#This Row],[Duration]])=0,Tasks[[#This Row],[_LeafProgress]]&lt;1),Tasks[[#This Row],[_LeafFcstFinish]]+Tasks[[#This Row],[_Row]]/100000,"")</f>
        <v/>
      </c>
      <c r="DC3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39" s="43" t="n">
        <f aca="false">IF(NOT(Tasks[[#This Row],[_IsLeaf]]=1),0,IF(Tasks[[#This Row],[Baseline Cost]]="",Tasks[[#This Row],[_LeafCost]],N(Tasks[[#This Row],[Baseline Cost]])))</f>
        <v>0</v>
      </c>
      <c r="DE39" s="43" t="n">
        <f aca="false">Tasks[[#This Row],[_LeafBudget]]*Tasks[[#This Row],[_PlannedPct]]</f>
        <v>0</v>
      </c>
      <c r="DF39" s="43" t="n">
        <f aca="false">Tasks[[#This Row],[_LeafBudget]]*Tasks[[#This Row],[_LeafProgress]]</f>
        <v>0</v>
      </c>
      <c r="DG39" s="43" t="n">
        <f aca="false">IF(NOT(Tasks[[#This Row],[_IsLeaf]]=1),0,IF(Tasks[[#This Row],[Actual Cost]]="",Tasks[[#This Row],[_LeafCost]]*Tasks[[#This Row],[_LeafProgress]],N(Tasks[[#This Row],[Actual Cost]])))</f>
        <v>0</v>
      </c>
      <c r="DH39" s="43" t="str">
        <f aca="false">IF(Tasks[[#This Row],[Task Name]]="","",LEFT(Tasks[[#This Row],[WBS]],FIND(".",Tasks[[#This Row],[WBS]]&amp;".")-1))</f>
        <v/>
      </c>
      <c r="DI39" s="43" t="str">
        <f aca="false">IF(AND(Tasks[[#This Row],[Task Name]]&lt;&gt;"",Tasks[[#This Row],[_Level]]=1),Tasks[[#This Row],[_Row]],"")</f>
        <v/>
      </c>
      <c r="DJ39" s="43" t="str">
        <f aca="false">IF(AND(Tasks[[#This Row],[_IsLeaf]]=1,N(Tasks[[#This Row],[Duration]])=0),Tasks[[#This Row],[Planned Finish]]+Tasks[[#This Row],[_Row]]/100000,"")</f>
        <v/>
      </c>
      <c r="DK3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3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3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39" s="43" t="str">
        <f aca="false">IF(Tasks[[#This Row],[_LeafCritical]],Tasks[[#This Row],[_LeafFcstStart]]+Tasks[[#This Row],[_Row]]/100000,"")</f>
        <v/>
      </c>
      <c r="DO39" s="43" t="n">
        <f aca="false">Tasks[[#This Row],[_LeafWork]]*Tasks[[#This Row],[_LeafProgress]]</f>
        <v>0</v>
      </c>
      <c r="DP3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39" s="43" t="n">
        <f aca="false">IF(Tasks[[#This Row],[_IsLeaf]]=1,N(Tasks[[#This Row],[Story Points]]),0)</f>
        <v>0</v>
      </c>
      <c r="DR39" s="43" t="str">
        <f aca="false">IF(AND(Tasks[[#This Row],[_IsLeaf]]=1,CurrentSprint&lt;&gt;"",Tasks[[#This Row],[Sprint]]=CurrentSprint),Tasks[[#This Row],[_Row]],"")</f>
        <v/>
      </c>
    </row>
    <row r="40" customFormat="false" ht="15" hidden="false" customHeight="false" outlineLevel="0" collapsed="false">
      <c r="A40" s="28" t="str">
        <f aca="false">IF(Tasks[[#This Row],[Task Name]]="","",COUNTA(Tasks[[#Headers],[Task Name]]:Tasks[[#This Row],[Task Name]])-1)</f>
        <v/>
      </c>
      <c r="B40" s="29" t="n">
        <v>35</v>
      </c>
      <c r="C4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40" s="29"/>
      <c r="E40" s="30"/>
      <c r="F40" s="29"/>
      <c r="G40" s="29"/>
      <c r="H40" s="29"/>
      <c r="I40" s="29"/>
      <c r="J40" s="29"/>
      <c r="K40" s="29"/>
      <c r="L40" s="29"/>
      <c r="M40" s="29"/>
      <c r="N40" s="72"/>
      <c r="O40" s="72"/>
      <c r="P40" s="25" t="str">
        <f aca="false">IF(Tasks[[#This Row],[Task Name]]="","",IF(N(Tasks[[#This Row],[Baseline Start]])&gt;0,Tasks[[#This Row],[Baseline Start]],Tasks[[#This Row],[_CalcStart]]))</f>
        <v/>
      </c>
      <c r="Q40" s="25" t="str">
        <f aca="false">IF(Tasks[[#This Row],[Task Name]]="","",IF(N(Tasks[[#This Row],[Baseline Finish]])&gt;0,Tasks[[#This Row],[Baseline Finish]],Tasks[[#This Row],[_CalcFinish]]))</f>
        <v/>
      </c>
      <c r="R40" s="72"/>
      <c r="S40" s="72"/>
      <c r="T4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4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4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4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4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4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4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4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4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4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4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40" s="74"/>
      <c r="AF4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4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40" s="30"/>
      <c r="AI40" s="74"/>
      <c r="AJ4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4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40" s="83"/>
      <c r="AM40" s="29"/>
      <c r="AN4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40" s="84"/>
      <c r="AP4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40" s="30"/>
      <c r="AR40" s="25" t="str">
        <f aca="false">IF(Tasks[[#This Row],[Task Name]]="","",Tasks[[#This Row],[Forecast Start]])</f>
        <v/>
      </c>
      <c r="AS40" s="25" t="str">
        <f aca="false">IF(Tasks[[#This Row],[Task Name]]="","",Tasks[[#This Row],[Forecast Finish]])</f>
        <v/>
      </c>
      <c r="AT4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40" s="81" t="str">
        <f aca="false">IF(Tasks[[#This Row],[Task Name]]="","",Tasks[[#This Row],[Work]])</f>
        <v/>
      </c>
      <c r="AV40" s="82" t="str">
        <f aca="false">IF(Tasks[[#This Row],[Task Name]]="","",Tasks[[#This Row],[Cost]])</f>
        <v/>
      </c>
      <c r="AW40" s="72"/>
      <c r="AX40" s="72"/>
      <c r="AY40" s="29"/>
      <c r="AZ40" s="85"/>
      <c r="BA40" s="83"/>
      <c r="BB40" s="28" t="str">
        <f aca="false">IF(OR(Tasks[[#This Row],[Task Name]]="",Tasks[[#This Row],[Baseline Duration]]=""),"",Tasks[[#This Row],[BL Source Duration]]-N(Tasks[[#This Row],[Baseline Duration]]))</f>
        <v/>
      </c>
      <c r="BC40" s="81" t="str">
        <f aca="false">IF(OR(Tasks[[#This Row],[Task Name]]="",Tasks[[#This Row],[Baseline Work]]=""),"",Tasks[[#This Row],[Work]]-N(Tasks[[#This Row],[Baseline Work]]))</f>
        <v/>
      </c>
      <c r="BD40" s="82" t="str">
        <f aca="false">IF(OR(Tasks[[#This Row],[Task Name]]="",Tasks[[#This Row],[Baseline Cost]]=""),"",Tasks[[#This Row],[Cost]]-N(Tasks[[#This Row],[Baseline Cost]]))</f>
        <v/>
      </c>
      <c r="BE4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4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4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4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40" s="43" t="str">
        <f aca="false">IF(Tasks[[#This Row],[Task Name]]="","",MAX(1,N(Tasks[[#This Row],[Level]])))</f>
        <v/>
      </c>
      <c r="BJ40" s="43" t="n">
        <f aca="false">ROW()-ROW(Tasks[[#Headers],[ID]])</f>
        <v>35</v>
      </c>
      <c r="BK4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40" s="43" t="n">
        <f aca="false">IFERROR(N(INDEX(Tasks[_Level],Tasks[[#This Row],[_Row]]+1)),0)</f>
        <v>0</v>
      </c>
      <c r="BM40" s="86" t="b">
        <f aca="false">AND(Tasks[[#This Row],[Task Name]]&lt;&gt;"",Tasks[[#This Row],[_NextLevel]]&gt;Tasks[[#This Row],[_Level]])</f>
        <v>0</v>
      </c>
      <c r="BN40" s="43" t="n">
        <f aca="false">IF(Tasks[[#This Row],[_IsSummary]],COUNTIF(Tasks[WBS],Tasks[[#This Row],[WBS]]&amp;".*"),0)</f>
        <v>0</v>
      </c>
      <c r="BO40" s="43" t="n">
        <f aca="false">IF(AND(Tasks[[#This Row],[Task Name]]&lt;&gt;"",NOT(Tasks[[#This Row],[_IsSummary]])),1,0)</f>
        <v>0</v>
      </c>
      <c r="BP40" s="43" t="n">
        <f aca="false">IF(N(Tasks[[#This Row],[Pred1 UID]])=0,0,IFERROR(MATCH(Tasks[[#This Row],[Pred1 UID]],Tasks[UID],0),-1))</f>
        <v>0</v>
      </c>
      <c r="BQ40" s="43" t="n">
        <f aca="false">IF(N(Tasks[[#This Row],[Pred2 UID]])=0,0,IFERROR(MATCH(Tasks[[#This Row],[Pred2 UID]],Tasks[UID],0),-1))</f>
        <v>0</v>
      </c>
      <c r="BR4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4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4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4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40" s="43" t="n">
        <f aca="false">IF(NOT(Tasks[[#This Row],[_IsLeaf]]=1),0,IF(N(Tasks[[#This Row],[Actual Finish]])&gt;0,1,MIN(1,N(Tasks[[#This Row],[% Complete]]))))</f>
        <v>0</v>
      </c>
      <c r="BW4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40" s="43" t="n">
        <f aca="false">IF(Tasks[[#This Row],[_LeafWork]]=0,0,Tasks[[#This Row],[_LeafWork]]*IFERROR(INDEX(res_Rate,MATCH(Tasks[[#This Row],[Resource]],res_Name,0)),0))</f>
        <v>0</v>
      </c>
      <c r="BY4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4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4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4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40" s="43" t="n">
        <f aca="false">IF(NOT(Tasks[[#This Row],[_IsLeaf]]=1),0,MAX(_xlfn.MAXIFS(Tasks[_Row],Tasks[Pred1 UID],Tasks[[#This Row],[UID]]),_xlfn.MAXIFS(Tasks[_Row],Tasks[Pred2 UID],Tasks[[#This Row],[UID]])))</f>
        <v>0</v>
      </c>
      <c r="CD4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40" s="87" t="str">
        <f aca="false">IF(NOT(Tasks[[#This Row],[_IsLeaf]]=1),"",MIN(ProjectFinish,IF(N(Tasks[[#This Row],[Deadline]])&gt;0,Tasks[[#This Row],[Deadline]],2958465),Tasks[[#This Row],[_SuccessorFinishLimit]]))</f>
        <v/>
      </c>
      <c r="CF4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4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40" s="86" t="b">
        <f aca="false">AND(Tasks[[#This Row],[_IsLeaf]]=1,Tasks[[#This Row],[_LeafProgress]]&lt;1,N(Tasks[[#This Row],[_LeafTotalSlack]])&lt;=CriticalSlackDays)</f>
        <v>0</v>
      </c>
      <c r="CI4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4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4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4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4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4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4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4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40" s="43" t="n">
        <f aca="false">IF(AND(Tasks[[#This Row],[_IsLeaf]]=1,Tasks[[#This Row],[_LeafWork]]&gt;0),NETWORKDAYS.INTL(ProjectStart,Tasks[[#This Row],[_LeafFcstStart]],WorkWeek,Holidays),0)</f>
        <v>0</v>
      </c>
      <c r="CR4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40" s="43" t="n">
        <f aca="false">IF(AND(Tasks[[#This Row],[_IsLeaf]]=1,Tasks[[#This Row],[_LeafWork]]&gt;0),Tasks[[#This Row],[_LeafWork]]/(Tasks[[#This Row],[_FinishWorkday]]-Tasks[[#This Row],[_StartWorkday]]+1),0)</f>
        <v>0</v>
      </c>
      <c r="CT40" s="43" t="n">
        <f aca="false">Tasks[[#This Row],[_WorkPerWorkday]]*(Tasks[[#This Row],[_StartWorkday]]-1)</f>
        <v>-0</v>
      </c>
      <c r="CU40" s="43" t="n">
        <f aca="false">IF(Tasks[[#This Row],[_IsLeaf]]=1,MAX(N(Tasks[[#This Row],[Duration]]),0.1),0)</f>
        <v>0</v>
      </c>
      <c r="CV40" s="43" t="n">
        <f aca="false">Tasks[[#This Row],[_WeightDur]]*Tasks[[#This Row],[_LeafProgress]]</f>
        <v>0</v>
      </c>
      <c r="CW4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4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4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4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4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40" s="43" t="str">
        <f aca="false">IF(AND(Tasks[[#This Row],[_IsLeaf]]=1,N(Tasks[[#This Row],[Duration]])=0,Tasks[[#This Row],[_LeafProgress]]&lt;1),Tasks[[#This Row],[_LeafFcstFinish]]+Tasks[[#This Row],[_Row]]/100000,"")</f>
        <v/>
      </c>
      <c r="DC4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40" s="43" t="n">
        <f aca="false">IF(NOT(Tasks[[#This Row],[_IsLeaf]]=1),0,IF(Tasks[[#This Row],[Baseline Cost]]="",Tasks[[#This Row],[_LeafCost]],N(Tasks[[#This Row],[Baseline Cost]])))</f>
        <v>0</v>
      </c>
      <c r="DE40" s="43" t="n">
        <f aca="false">Tasks[[#This Row],[_LeafBudget]]*Tasks[[#This Row],[_PlannedPct]]</f>
        <v>0</v>
      </c>
      <c r="DF40" s="43" t="n">
        <f aca="false">Tasks[[#This Row],[_LeafBudget]]*Tasks[[#This Row],[_LeafProgress]]</f>
        <v>0</v>
      </c>
      <c r="DG40" s="43" t="n">
        <f aca="false">IF(NOT(Tasks[[#This Row],[_IsLeaf]]=1),0,IF(Tasks[[#This Row],[Actual Cost]]="",Tasks[[#This Row],[_LeafCost]]*Tasks[[#This Row],[_LeafProgress]],N(Tasks[[#This Row],[Actual Cost]])))</f>
        <v>0</v>
      </c>
      <c r="DH40" s="43" t="str">
        <f aca="false">IF(Tasks[[#This Row],[Task Name]]="","",LEFT(Tasks[[#This Row],[WBS]],FIND(".",Tasks[[#This Row],[WBS]]&amp;".")-1))</f>
        <v/>
      </c>
      <c r="DI40" s="43" t="str">
        <f aca="false">IF(AND(Tasks[[#This Row],[Task Name]]&lt;&gt;"",Tasks[[#This Row],[_Level]]=1),Tasks[[#This Row],[_Row]],"")</f>
        <v/>
      </c>
      <c r="DJ40" s="43" t="str">
        <f aca="false">IF(AND(Tasks[[#This Row],[_IsLeaf]]=1,N(Tasks[[#This Row],[Duration]])=0),Tasks[[#This Row],[Planned Finish]]+Tasks[[#This Row],[_Row]]/100000,"")</f>
        <v/>
      </c>
      <c r="DK4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4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4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40" s="43" t="str">
        <f aca="false">IF(Tasks[[#This Row],[_LeafCritical]],Tasks[[#This Row],[_LeafFcstStart]]+Tasks[[#This Row],[_Row]]/100000,"")</f>
        <v/>
      </c>
      <c r="DO40" s="43" t="n">
        <f aca="false">Tasks[[#This Row],[_LeafWork]]*Tasks[[#This Row],[_LeafProgress]]</f>
        <v>0</v>
      </c>
      <c r="DP4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40" s="43" t="n">
        <f aca="false">IF(Tasks[[#This Row],[_IsLeaf]]=1,N(Tasks[[#This Row],[Story Points]]),0)</f>
        <v>0</v>
      </c>
      <c r="DR40" s="43" t="str">
        <f aca="false">IF(AND(Tasks[[#This Row],[_IsLeaf]]=1,CurrentSprint&lt;&gt;"",Tasks[[#This Row],[Sprint]]=CurrentSprint),Tasks[[#This Row],[_Row]],"")</f>
        <v/>
      </c>
    </row>
    <row r="41" customFormat="false" ht="15" hidden="false" customHeight="false" outlineLevel="0" collapsed="false">
      <c r="A41" s="28" t="str">
        <f aca="false">IF(Tasks[[#This Row],[Task Name]]="","",COUNTA(Tasks[[#Headers],[Task Name]]:Tasks[[#This Row],[Task Name]])-1)</f>
        <v/>
      </c>
      <c r="B41" s="29" t="n">
        <v>36</v>
      </c>
      <c r="C4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41" s="29"/>
      <c r="E41" s="30"/>
      <c r="F41" s="29"/>
      <c r="G41" s="29"/>
      <c r="H41" s="29"/>
      <c r="I41" s="29"/>
      <c r="J41" s="29"/>
      <c r="K41" s="29"/>
      <c r="L41" s="29"/>
      <c r="M41" s="29"/>
      <c r="N41" s="72"/>
      <c r="O41" s="72"/>
      <c r="P41" s="25" t="str">
        <f aca="false">IF(Tasks[[#This Row],[Task Name]]="","",IF(N(Tasks[[#This Row],[Baseline Start]])&gt;0,Tasks[[#This Row],[Baseline Start]],Tasks[[#This Row],[_CalcStart]]))</f>
        <v/>
      </c>
      <c r="Q41" s="25" t="str">
        <f aca="false">IF(Tasks[[#This Row],[Task Name]]="","",IF(N(Tasks[[#This Row],[Baseline Finish]])&gt;0,Tasks[[#This Row],[Baseline Finish]],Tasks[[#This Row],[_CalcFinish]]))</f>
        <v/>
      </c>
      <c r="R41" s="72"/>
      <c r="S41" s="72"/>
      <c r="T4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4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4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4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4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4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4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4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4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4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4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41" s="74"/>
      <c r="AF4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4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41" s="30"/>
      <c r="AI41" s="74"/>
      <c r="AJ4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4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41" s="83"/>
      <c r="AM41" s="29"/>
      <c r="AN4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41" s="84"/>
      <c r="AP4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41" s="30"/>
      <c r="AR41" s="25" t="str">
        <f aca="false">IF(Tasks[[#This Row],[Task Name]]="","",Tasks[[#This Row],[Forecast Start]])</f>
        <v/>
      </c>
      <c r="AS41" s="25" t="str">
        <f aca="false">IF(Tasks[[#This Row],[Task Name]]="","",Tasks[[#This Row],[Forecast Finish]])</f>
        <v/>
      </c>
      <c r="AT4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41" s="81" t="str">
        <f aca="false">IF(Tasks[[#This Row],[Task Name]]="","",Tasks[[#This Row],[Work]])</f>
        <v/>
      </c>
      <c r="AV41" s="82" t="str">
        <f aca="false">IF(Tasks[[#This Row],[Task Name]]="","",Tasks[[#This Row],[Cost]])</f>
        <v/>
      </c>
      <c r="AW41" s="72"/>
      <c r="AX41" s="72"/>
      <c r="AY41" s="29"/>
      <c r="AZ41" s="85"/>
      <c r="BA41" s="83"/>
      <c r="BB41" s="28" t="str">
        <f aca="false">IF(OR(Tasks[[#This Row],[Task Name]]="",Tasks[[#This Row],[Baseline Duration]]=""),"",Tasks[[#This Row],[BL Source Duration]]-N(Tasks[[#This Row],[Baseline Duration]]))</f>
        <v/>
      </c>
      <c r="BC41" s="81" t="str">
        <f aca="false">IF(OR(Tasks[[#This Row],[Task Name]]="",Tasks[[#This Row],[Baseline Work]]=""),"",Tasks[[#This Row],[Work]]-N(Tasks[[#This Row],[Baseline Work]]))</f>
        <v/>
      </c>
      <c r="BD41" s="82" t="str">
        <f aca="false">IF(OR(Tasks[[#This Row],[Task Name]]="",Tasks[[#This Row],[Baseline Cost]]=""),"",Tasks[[#This Row],[Cost]]-N(Tasks[[#This Row],[Baseline Cost]]))</f>
        <v/>
      </c>
      <c r="BE4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4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4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4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41" s="43" t="str">
        <f aca="false">IF(Tasks[[#This Row],[Task Name]]="","",MAX(1,N(Tasks[[#This Row],[Level]])))</f>
        <v/>
      </c>
      <c r="BJ41" s="43" t="n">
        <f aca="false">ROW()-ROW(Tasks[[#Headers],[ID]])</f>
        <v>36</v>
      </c>
      <c r="BK4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41" s="43" t="n">
        <f aca="false">IFERROR(N(INDEX(Tasks[_Level],Tasks[[#This Row],[_Row]]+1)),0)</f>
        <v>0</v>
      </c>
      <c r="BM41" s="86" t="b">
        <f aca="false">AND(Tasks[[#This Row],[Task Name]]&lt;&gt;"",Tasks[[#This Row],[_NextLevel]]&gt;Tasks[[#This Row],[_Level]])</f>
        <v>0</v>
      </c>
      <c r="BN41" s="43" t="n">
        <f aca="false">IF(Tasks[[#This Row],[_IsSummary]],COUNTIF(Tasks[WBS],Tasks[[#This Row],[WBS]]&amp;".*"),0)</f>
        <v>0</v>
      </c>
      <c r="BO41" s="43" t="n">
        <f aca="false">IF(AND(Tasks[[#This Row],[Task Name]]&lt;&gt;"",NOT(Tasks[[#This Row],[_IsSummary]])),1,0)</f>
        <v>0</v>
      </c>
      <c r="BP41" s="43" t="n">
        <f aca="false">IF(N(Tasks[[#This Row],[Pred1 UID]])=0,0,IFERROR(MATCH(Tasks[[#This Row],[Pred1 UID]],Tasks[UID],0),-1))</f>
        <v>0</v>
      </c>
      <c r="BQ41" s="43" t="n">
        <f aca="false">IF(N(Tasks[[#This Row],[Pred2 UID]])=0,0,IFERROR(MATCH(Tasks[[#This Row],[Pred2 UID]],Tasks[UID],0),-1))</f>
        <v>0</v>
      </c>
      <c r="BR4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4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4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4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41" s="43" t="n">
        <f aca="false">IF(NOT(Tasks[[#This Row],[_IsLeaf]]=1),0,IF(N(Tasks[[#This Row],[Actual Finish]])&gt;0,1,MIN(1,N(Tasks[[#This Row],[% Complete]]))))</f>
        <v>0</v>
      </c>
      <c r="BW4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41" s="43" t="n">
        <f aca="false">IF(Tasks[[#This Row],[_LeafWork]]=0,0,Tasks[[#This Row],[_LeafWork]]*IFERROR(INDEX(res_Rate,MATCH(Tasks[[#This Row],[Resource]],res_Name,0)),0))</f>
        <v>0</v>
      </c>
      <c r="BY4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4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4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4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41" s="43" t="n">
        <f aca="false">IF(NOT(Tasks[[#This Row],[_IsLeaf]]=1),0,MAX(_xlfn.MAXIFS(Tasks[_Row],Tasks[Pred1 UID],Tasks[[#This Row],[UID]]),_xlfn.MAXIFS(Tasks[_Row],Tasks[Pred2 UID],Tasks[[#This Row],[UID]])))</f>
        <v>0</v>
      </c>
      <c r="CD4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41" s="87" t="str">
        <f aca="false">IF(NOT(Tasks[[#This Row],[_IsLeaf]]=1),"",MIN(ProjectFinish,IF(N(Tasks[[#This Row],[Deadline]])&gt;0,Tasks[[#This Row],[Deadline]],2958465),Tasks[[#This Row],[_SuccessorFinishLimit]]))</f>
        <v/>
      </c>
      <c r="CF4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4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41" s="86" t="b">
        <f aca="false">AND(Tasks[[#This Row],[_IsLeaf]]=1,Tasks[[#This Row],[_LeafProgress]]&lt;1,N(Tasks[[#This Row],[_LeafTotalSlack]])&lt;=CriticalSlackDays)</f>
        <v>0</v>
      </c>
      <c r="CI4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4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4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4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4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4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4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4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41" s="43" t="n">
        <f aca="false">IF(AND(Tasks[[#This Row],[_IsLeaf]]=1,Tasks[[#This Row],[_LeafWork]]&gt;0),NETWORKDAYS.INTL(ProjectStart,Tasks[[#This Row],[_LeafFcstStart]],WorkWeek,Holidays),0)</f>
        <v>0</v>
      </c>
      <c r="CR4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41" s="43" t="n">
        <f aca="false">IF(AND(Tasks[[#This Row],[_IsLeaf]]=1,Tasks[[#This Row],[_LeafWork]]&gt;0),Tasks[[#This Row],[_LeafWork]]/(Tasks[[#This Row],[_FinishWorkday]]-Tasks[[#This Row],[_StartWorkday]]+1),0)</f>
        <v>0</v>
      </c>
      <c r="CT41" s="43" t="n">
        <f aca="false">Tasks[[#This Row],[_WorkPerWorkday]]*(Tasks[[#This Row],[_StartWorkday]]-1)</f>
        <v>-0</v>
      </c>
      <c r="CU41" s="43" t="n">
        <f aca="false">IF(Tasks[[#This Row],[_IsLeaf]]=1,MAX(N(Tasks[[#This Row],[Duration]]),0.1),0)</f>
        <v>0</v>
      </c>
      <c r="CV41" s="43" t="n">
        <f aca="false">Tasks[[#This Row],[_WeightDur]]*Tasks[[#This Row],[_LeafProgress]]</f>
        <v>0</v>
      </c>
      <c r="CW4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4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4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4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4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41" s="43" t="str">
        <f aca="false">IF(AND(Tasks[[#This Row],[_IsLeaf]]=1,N(Tasks[[#This Row],[Duration]])=0,Tasks[[#This Row],[_LeafProgress]]&lt;1),Tasks[[#This Row],[_LeafFcstFinish]]+Tasks[[#This Row],[_Row]]/100000,"")</f>
        <v/>
      </c>
      <c r="DC4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41" s="43" t="n">
        <f aca="false">IF(NOT(Tasks[[#This Row],[_IsLeaf]]=1),0,IF(Tasks[[#This Row],[Baseline Cost]]="",Tasks[[#This Row],[_LeafCost]],N(Tasks[[#This Row],[Baseline Cost]])))</f>
        <v>0</v>
      </c>
      <c r="DE41" s="43" t="n">
        <f aca="false">Tasks[[#This Row],[_LeafBudget]]*Tasks[[#This Row],[_PlannedPct]]</f>
        <v>0</v>
      </c>
      <c r="DF41" s="43" t="n">
        <f aca="false">Tasks[[#This Row],[_LeafBudget]]*Tasks[[#This Row],[_LeafProgress]]</f>
        <v>0</v>
      </c>
      <c r="DG41" s="43" t="n">
        <f aca="false">IF(NOT(Tasks[[#This Row],[_IsLeaf]]=1),0,IF(Tasks[[#This Row],[Actual Cost]]="",Tasks[[#This Row],[_LeafCost]]*Tasks[[#This Row],[_LeafProgress]],N(Tasks[[#This Row],[Actual Cost]])))</f>
        <v>0</v>
      </c>
      <c r="DH41" s="43" t="str">
        <f aca="false">IF(Tasks[[#This Row],[Task Name]]="","",LEFT(Tasks[[#This Row],[WBS]],FIND(".",Tasks[[#This Row],[WBS]]&amp;".")-1))</f>
        <v/>
      </c>
      <c r="DI41" s="43" t="str">
        <f aca="false">IF(AND(Tasks[[#This Row],[Task Name]]&lt;&gt;"",Tasks[[#This Row],[_Level]]=1),Tasks[[#This Row],[_Row]],"")</f>
        <v/>
      </c>
      <c r="DJ41" s="43" t="str">
        <f aca="false">IF(AND(Tasks[[#This Row],[_IsLeaf]]=1,N(Tasks[[#This Row],[Duration]])=0),Tasks[[#This Row],[Planned Finish]]+Tasks[[#This Row],[_Row]]/100000,"")</f>
        <v/>
      </c>
      <c r="DK4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4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4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41" s="43" t="str">
        <f aca="false">IF(Tasks[[#This Row],[_LeafCritical]],Tasks[[#This Row],[_LeafFcstStart]]+Tasks[[#This Row],[_Row]]/100000,"")</f>
        <v/>
      </c>
      <c r="DO41" s="43" t="n">
        <f aca="false">Tasks[[#This Row],[_LeafWork]]*Tasks[[#This Row],[_LeafProgress]]</f>
        <v>0</v>
      </c>
      <c r="DP4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41" s="43" t="n">
        <f aca="false">IF(Tasks[[#This Row],[_IsLeaf]]=1,N(Tasks[[#This Row],[Story Points]]),0)</f>
        <v>0</v>
      </c>
      <c r="DR41" s="43" t="str">
        <f aca="false">IF(AND(Tasks[[#This Row],[_IsLeaf]]=1,CurrentSprint&lt;&gt;"",Tasks[[#This Row],[Sprint]]=CurrentSprint),Tasks[[#This Row],[_Row]],"")</f>
        <v/>
      </c>
    </row>
    <row r="42" customFormat="false" ht="15" hidden="false" customHeight="false" outlineLevel="0" collapsed="false">
      <c r="A42" s="28" t="str">
        <f aca="false">IF(Tasks[[#This Row],[Task Name]]="","",COUNTA(Tasks[[#Headers],[Task Name]]:Tasks[[#This Row],[Task Name]])-1)</f>
        <v/>
      </c>
      <c r="B42" s="29" t="n">
        <v>37</v>
      </c>
      <c r="C4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42" s="29"/>
      <c r="E42" s="30"/>
      <c r="F42" s="29"/>
      <c r="G42" s="29"/>
      <c r="H42" s="29"/>
      <c r="I42" s="29"/>
      <c r="J42" s="29"/>
      <c r="K42" s="29"/>
      <c r="L42" s="29"/>
      <c r="M42" s="29"/>
      <c r="N42" s="72"/>
      <c r="O42" s="72"/>
      <c r="P42" s="25" t="str">
        <f aca="false">IF(Tasks[[#This Row],[Task Name]]="","",IF(N(Tasks[[#This Row],[Baseline Start]])&gt;0,Tasks[[#This Row],[Baseline Start]],Tasks[[#This Row],[_CalcStart]]))</f>
        <v/>
      </c>
      <c r="Q42" s="25" t="str">
        <f aca="false">IF(Tasks[[#This Row],[Task Name]]="","",IF(N(Tasks[[#This Row],[Baseline Finish]])&gt;0,Tasks[[#This Row],[Baseline Finish]],Tasks[[#This Row],[_CalcFinish]]))</f>
        <v/>
      </c>
      <c r="R42" s="72"/>
      <c r="S42" s="72"/>
      <c r="T4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4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4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4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4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4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4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4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4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4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4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42" s="74"/>
      <c r="AF4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4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42" s="30"/>
      <c r="AI42" s="74"/>
      <c r="AJ4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4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42" s="83"/>
      <c r="AM42" s="29"/>
      <c r="AN4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42" s="84"/>
      <c r="AP4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42" s="30"/>
      <c r="AR42" s="25" t="str">
        <f aca="false">IF(Tasks[[#This Row],[Task Name]]="","",Tasks[[#This Row],[Forecast Start]])</f>
        <v/>
      </c>
      <c r="AS42" s="25" t="str">
        <f aca="false">IF(Tasks[[#This Row],[Task Name]]="","",Tasks[[#This Row],[Forecast Finish]])</f>
        <v/>
      </c>
      <c r="AT4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42" s="81" t="str">
        <f aca="false">IF(Tasks[[#This Row],[Task Name]]="","",Tasks[[#This Row],[Work]])</f>
        <v/>
      </c>
      <c r="AV42" s="82" t="str">
        <f aca="false">IF(Tasks[[#This Row],[Task Name]]="","",Tasks[[#This Row],[Cost]])</f>
        <v/>
      </c>
      <c r="AW42" s="72"/>
      <c r="AX42" s="72"/>
      <c r="AY42" s="29"/>
      <c r="AZ42" s="85"/>
      <c r="BA42" s="83"/>
      <c r="BB42" s="28" t="str">
        <f aca="false">IF(OR(Tasks[[#This Row],[Task Name]]="",Tasks[[#This Row],[Baseline Duration]]=""),"",Tasks[[#This Row],[BL Source Duration]]-N(Tasks[[#This Row],[Baseline Duration]]))</f>
        <v/>
      </c>
      <c r="BC42" s="81" t="str">
        <f aca="false">IF(OR(Tasks[[#This Row],[Task Name]]="",Tasks[[#This Row],[Baseline Work]]=""),"",Tasks[[#This Row],[Work]]-N(Tasks[[#This Row],[Baseline Work]]))</f>
        <v/>
      </c>
      <c r="BD42" s="82" t="str">
        <f aca="false">IF(OR(Tasks[[#This Row],[Task Name]]="",Tasks[[#This Row],[Baseline Cost]]=""),"",Tasks[[#This Row],[Cost]]-N(Tasks[[#This Row],[Baseline Cost]]))</f>
        <v/>
      </c>
      <c r="BE4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4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4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4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42" s="43" t="str">
        <f aca="false">IF(Tasks[[#This Row],[Task Name]]="","",MAX(1,N(Tasks[[#This Row],[Level]])))</f>
        <v/>
      </c>
      <c r="BJ42" s="43" t="n">
        <f aca="false">ROW()-ROW(Tasks[[#Headers],[ID]])</f>
        <v>37</v>
      </c>
      <c r="BK4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42" s="43" t="n">
        <f aca="false">IFERROR(N(INDEX(Tasks[_Level],Tasks[[#This Row],[_Row]]+1)),0)</f>
        <v>0</v>
      </c>
      <c r="BM42" s="86" t="b">
        <f aca="false">AND(Tasks[[#This Row],[Task Name]]&lt;&gt;"",Tasks[[#This Row],[_NextLevel]]&gt;Tasks[[#This Row],[_Level]])</f>
        <v>0</v>
      </c>
      <c r="BN42" s="43" t="n">
        <f aca="false">IF(Tasks[[#This Row],[_IsSummary]],COUNTIF(Tasks[WBS],Tasks[[#This Row],[WBS]]&amp;".*"),0)</f>
        <v>0</v>
      </c>
      <c r="BO42" s="43" t="n">
        <f aca="false">IF(AND(Tasks[[#This Row],[Task Name]]&lt;&gt;"",NOT(Tasks[[#This Row],[_IsSummary]])),1,0)</f>
        <v>0</v>
      </c>
      <c r="BP42" s="43" t="n">
        <f aca="false">IF(N(Tasks[[#This Row],[Pred1 UID]])=0,0,IFERROR(MATCH(Tasks[[#This Row],[Pred1 UID]],Tasks[UID],0),-1))</f>
        <v>0</v>
      </c>
      <c r="BQ42" s="43" t="n">
        <f aca="false">IF(N(Tasks[[#This Row],[Pred2 UID]])=0,0,IFERROR(MATCH(Tasks[[#This Row],[Pred2 UID]],Tasks[UID],0),-1))</f>
        <v>0</v>
      </c>
      <c r="BR4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4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4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4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42" s="43" t="n">
        <f aca="false">IF(NOT(Tasks[[#This Row],[_IsLeaf]]=1),0,IF(N(Tasks[[#This Row],[Actual Finish]])&gt;0,1,MIN(1,N(Tasks[[#This Row],[% Complete]]))))</f>
        <v>0</v>
      </c>
      <c r="BW4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42" s="43" t="n">
        <f aca="false">IF(Tasks[[#This Row],[_LeafWork]]=0,0,Tasks[[#This Row],[_LeafWork]]*IFERROR(INDEX(res_Rate,MATCH(Tasks[[#This Row],[Resource]],res_Name,0)),0))</f>
        <v>0</v>
      </c>
      <c r="BY4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4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4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4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42" s="43" t="n">
        <f aca="false">IF(NOT(Tasks[[#This Row],[_IsLeaf]]=1),0,MAX(_xlfn.MAXIFS(Tasks[_Row],Tasks[Pred1 UID],Tasks[[#This Row],[UID]]),_xlfn.MAXIFS(Tasks[_Row],Tasks[Pred2 UID],Tasks[[#This Row],[UID]])))</f>
        <v>0</v>
      </c>
      <c r="CD4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42" s="87" t="str">
        <f aca="false">IF(NOT(Tasks[[#This Row],[_IsLeaf]]=1),"",MIN(ProjectFinish,IF(N(Tasks[[#This Row],[Deadline]])&gt;0,Tasks[[#This Row],[Deadline]],2958465),Tasks[[#This Row],[_SuccessorFinishLimit]]))</f>
        <v/>
      </c>
      <c r="CF4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4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42" s="86" t="b">
        <f aca="false">AND(Tasks[[#This Row],[_IsLeaf]]=1,Tasks[[#This Row],[_LeafProgress]]&lt;1,N(Tasks[[#This Row],[_LeafTotalSlack]])&lt;=CriticalSlackDays)</f>
        <v>0</v>
      </c>
      <c r="CI4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4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4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4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4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4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4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4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42" s="43" t="n">
        <f aca="false">IF(AND(Tasks[[#This Row],[_IsLeaf]]=1,Tasks[[#This Row],[_LeafWork]]&gt;0),NETWORKDAYS.INTL(ProjectStart,Tasks[[#This Row],[_LeafFcstStart]],WorkWeek,Holidays),0)</f>
        <v>0</v>
      </c>
      <c r="CR4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42" s="43" t="n">
        <f aca="false">IF(AND(Tasks[[#This Row],[_IsLeaf]]=1,Tasks[[#This Row],[_LeafWork]]&gt;0),Tasks[[#This Row],[_LeafWork]]/(Tasks[[#This Row],[_FinishWorkday]]-Tasks[[#This Row],[_StartWorkday]]+1),0)</f>
        <v>0</v>
      </c>
      <c r="CT42" s="43" t="n">
        <f aca="false">Tasks[[#This Row],[_WorkPerWorkday]]*(Tasks[[#This Row],[_StartWorkday]]-1)</f>
        <v>-0</v>
      </c>
      <c r="CU42" s="43" t="n">
        <f aca="false">IF(Tasks[[#This Row],[_IsLeaf]]=1,MAX(N(Tasks[[#This Row],[Duration]]),0.1),0)</f>
        <v>0</v>
      </c>
      <c r="CV42" s="43" t="n">
        <f aca="false">Tasks[[#This Row],[_WeightDur]]*Tasks[[#This Row],[_LeafProgress]]</f>
        <v>0</v>
      </c>
      <c r="CW4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4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4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4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4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42" s="43" t="str">
        <f aca="false">IF(AND(Tasks[[#This Row],[_IsLeaf]]=1,N(Tasks[[#This Row],[Duration]])=0,Tasks[[#This Row],[_LeafProgress]]&lt;1),Tasks[[#This Row],[_LeafFcstFinish]]+Tasks[[#This Row],[_Row]]/100000,"")</f>
        <v/>
      </c>
      <c r="DC4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42" s="43" t="n">
        <f aca="false">IF(NOT(Tasks[[#This Row],[_IsLeaf]]=1),0,IF(Tasks[[#This Row],[Baseline Cost]]="",Tasks[[#This Row],[_LeafCost]],N(Tasks[[#This Row],[Baseline Cost]])))</f>
        <v>0</v>
      </c>
      <c r="DE42" s="43" t="n">
        <f aca="false">Tasks[[#This Row],[_LeafBudget]]*Tasks[[#This Row],[_PlannedPct]]</f>
        <v>0</v>
      </c>
      <c r="DF42" s="43" t="n">
        <f aca="false">Tasks[[#This Row],[_LeafBudget]]*Tasks[[#This Row],[_LeafProgress]]</f>
        <v>0</v>
      </c>
      <c r="DG42" s="43" t="n">
        <f aca="false">IF(NOT(Tasks[[#This Row],[_IsLeaf]]=1),0,IF(Tasks[[#This Row],[Actual Cost]]="",Tasks[[#This Row],[_LeafCost]]*Tasks[[#This Row],[_LeafProgress]],N(Tasks[[#This Row],[Actual Cost]])))</f>
        <v>0</v>
      </c>
      <c r="DH42" s="43" t="str">
        <f aca="false">IF(Tasks[[#This Row],[Task Name]]="","",LEFT(Tasks[[#This Row],[WBS]],FIND(".",Tasks[[#This Row],[WBS]]&amp;".")-1))</f>
        <v/>
      </c>
      <c r="DI42" s="43" t="str">
        <f aca="false">IF(AND(Tasks[[#This Row],[Task Name]]&lt;&gt;"",Tasks[[#This Row],[_Level]]=1),Tasks[[#This Row],[_Row]],"")</f>
        <v/>
      </c>
      <c r="DJ42" s="43" t="str">
        <f aca="false">IF(AND(Tasks[[#This Row],[_IsLeaf]]=1,N(Tasks[[#This Row],[Duration]])=0),Tasks[[#This Row],[Planned Finish]]+Tasks[[#This Row],[_Row]]/100000,"")</f>
        <v/>
      </c>
      <c r="DK4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4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4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42" s="43" t="str">
        <f aca="false">IF(Tasks[[#This Row],[_LeafCritical]],Tasks[[#This Row],[_LeafFcstStart]]+Tasks[[#This Row],[_Row]]/100000,"")</f>
        <v/>
      </c>
      <c r="DO42" s="43" t="n">
        <f aca="false">Tasks[[#This Row],[_LeafWork]]*Tasks[[#This Row],[_LeafProgress]]</f>
        <v>0</v>
      </c>
      <c r="DP4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42" s="43" t="n">
        <f aca="false">IF(Tasks[[#This Row],[_IsLeaf]]=1,N(Tasks[[#This Row],[Story Points]]),0)</f>
        <v>0</v>
      </c>
      <c r="DR42" s="43" t="str">
        <f aca="false">IF(AND(Tasks[[#This Row],[_IsLeaf]]=1,CurrentSprint&lt;&gt;"",Tasks[[#This Row],[Sprint]]=CurrentSprint),Tasks[[#This Row],[_Row]],"")</f>
        <v/>
      </c>
    </row>
    <row r="43" customFormat="false" ht="15" hidden="false" customHeight="false" outlineLevel="0" collapsed="false">
      <c r="A43" s="28" t="str">
        <f aca="false">IF(Tasks[[#This Row],[Task Name]]="","",COUNTA(Tasks[[#Headers],[Task Name]]:Tasks[[#This Row],[Task Name]])-1)</f>
        <v/>
      </c>
      <c r="B43" s="29" t="n">
        <v>38</v>
      </c>
      <c r="C4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43" s="29"/>
      <c r="E43" s="30"/>
      <c r="F43" s="29"/>
      <c r="G43" s="29"/>
      <c r="H43" s="29"/>
      <c r="I43" s="29"/>
      <c r="J43" s="29"/>
      <c r="K43" s="29"/>
      <c r="L43" s="29"/>
      <c r="M43" s="29"/>
      <c r="N43" s="72"/>
      <c r="O43" s="72"/>
      <c r="P43" s="25" t="str">
        <f aca="false">IF(Tasks[[#This Row],[Task Name]]="","",IF(N(Tasks[[#This Row],[Baseline Start]])&gt;0,Tasks[[#This Row],[Baseline Start]],Tasks[[#This Row],[_CalcStart]]))</f>
        <v/>
      </c>
      <c r="Q43" s="25" t="str">
        <f aca="false">IF(Tasks[[#This Row],[Task Name]]="","",IF(N(Tasks[[#This Row],[Baseline Finish]])&gt;0,Tasks[[#This Row],[Baseline Finish]],Tasks[[#This Row],[_CalcFinish]]))</f>
        <v/>
      </c>
      <c r="R43" s="72"/>
      <c r="S43" s="72"/>
      <c r="T4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4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4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4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4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4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4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4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4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4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4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43" s="74"/>
      <c r="AF4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4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43" s="30"/>
      <c r="AI43" s="74"/>
      <c r="AJ4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4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43" s="83"/>
      <c r="AM43" s="29"/>
      <c r="AN4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43" s="84"/>
      <c r="AP4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43" s="30"/>
      <c r="AR43" s="25" t="str">
        <f aca="false">IF(Tasks[[#This Row],[Task Name]]="","",Tasks[[#This Row],[Forecast Start]])</f>
        <v/>
      </c>
      <c r="AS43" s="25" t="str">
        <f aca="false">IF(Tasks[[#This Row],[Task Name]]="","",Tasks[[#This Row],[Forecast Finish]])</f>
        <v/>
      </c>
      <c r="AT4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43" s="81" t="str">
        <f aca="false">IF(Tasks[[#This Row],[Task Name]]="","",Tasks[[#This Row],[Work]])</f>
        <v/>
      </c>
      <c r="AV43" s="82" t="str">
        <f aca="false">IF(Tasks[[#This Row],[Task Name]]="","",Tasks[[#This Row],[Cost]])</f>
        <v/>
      </c>
      <c r="AW43" s="72"/>
      <c r="AX43" s="72"/>
      <c r="AY43" s="29"/>
      <c r="AZ43" s="85"/>
      <c r="BA43" s="83"/>
      <c r="BB43" s="28" t="str">
        <f aca="false">IF(OR(Tasks[[#This Row],[Task Name]]="",Tasks[[#This Row],[Baseline Duration]]=""),"",Tasks[[#This Row],[BL Source Duration]]-N(Tasks[[#This Row],[Baseline Duration]]))</f>
        <v/>
      </c>
      <c r="BC43" s="81" t="str">
        <f aca="false">IF(OR(Tasks[[#This Row],[Task Name]]="",Tasks[[#This Row],[Baseline Work]]=""),"",Tasks[[#This Row],[Work]]-N(Tasks[[#This Row],[Baseline Work]]))</f>
        <v/>
      </c>
      <c r="BD43" s="82" t="str">
        <f aca="false">IF(OR(Tasks[[#This Row],[Task Name]]="",Tasks[[#This Row],[Baseline Cost]]=""),"",Tasks[[#This Row],[Cost]]-N(Tasks[[#This Row],[Baseline Cost]]))</f>
        <v/>
      </c>
      <c r="BE4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4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4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4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43" s="43" t="str">
        <f aca="false">IF(Tasks[[#This Row],[Task Name]]="","",MAX(1,N(Tasks[[#This Row],[Level]])))</f>
        <v/>
      </c>
      <c r="BJ43" s="43" t="n">
        <f aca="false">ROW()-ROW(Tasks[[#Headers],[ID]])</f>
        <v>38</v>
      </c>
      <c r="BK4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43" s="43" t="n">
        <f aca="false">IFERROR(N(INDEX(Tasks[_Level],Tasks[[#This Row],[_Row]]+1)),0)</f>
        <v>0</v>
      </c>
      <c r="BM43" s="86" t="b">
        <f aca="false">AND(Tasks[[#This Row],[Task Name]]&lt;&gt;"",Tasks[[#This Row],[_NextLevel]]&gt;Tasks[[#This Row],[_Level]])</f>
        <v>0</v>
      </c>
      <c r="BN43" s="43" t="n">
        <f aca="false">IF(Tasks[[#This Row],[_IsSummary]],COUNTIF(Tasks[WBS],Tasks[[#This Row],[WBS]]&amp;".*"),0)</f>
        <v>0</v>
      </c>
      <c r="BO43" s="43" t="n">
        <f aca="false">IF(AND(Tasks[[#This Row],[Task Name]]&lt;&gt;"",NOT(Tasks[[#This Row],[_IsSummary]])),1,0)</f>
        <v>0</v>
      </c>
      <c r="BP43" s="43" t="n">
        <f aca="false">IF(N(Tasks[[#This Row],[Pred1 UID]])=0,0,IFERROR(MATCH(Tasks[[#This Row],[Pred1 UID]],Tasks[UID],0),-1))</f>
        <v>0</v>
      </c>
      <c r="BQ43" s="43" t="n">
        <f aca="false">IF(N(Tasks[[#This Row],[Pred2 UID]])=0,0,IFERROR(MATCH(Tasks[[#This Row],[Pred2 UID]],Tasks[UID],0),-1))</f>
        <v>0</v>
      </c>
      <c r="BR4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4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4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4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43" s="43" t="n">
        <f aca="false">IF(NOT(Tasks[[#This Row],[_IsLeaf]]=1),0,IF(N(Tasks[[#This Row],[Actual Finish]])&gt;0,1,MIN(1,N(Tasks[[#This Row],[% Complete]]))))</f>
        <v>0</v>
      </c>
      <c r="BW4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43" s="43" t="n">
        <f aca="false">IF(Tasks[[#This Row],[_LeafWork]]=0,0,Tasks[[#This Row],[_LeafWork]]*IFERROR(INDEX(res_Rate,MATCH(Tasks[[#This Row],[Resource]],res_Name,0)),0))</f>
        <v>0</v>
      </c>
      <c r="BY4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4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4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4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43" s="43" t="n">
        <f aca="false">IF(NOT(Tasks[[#This Row],[_IsLeaf]]=1),0,MAX(_xlfn.MAXIFS(Tasks[_Row],Tasks[Pred1 UID],Tasks[[#This Row],[UID]]),_xlfn.MAXIFS(Tasks[_Row],Tasks[Pred2 UID],Tasks[[#This Row],[UID]])))</f>
        <v>0</v>
      </c>
      <c r="CD4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43" s="87" t="str">
        <f aca="false">IF(NOT(Tasks[[#This Row],[_IsLeaf]]=1),"",MIN(ProjectFinish,IF(N(Tasks[[#This Row],[Deadline]])&gt;0,Tasks[[#This Row],[Deadline]],2958465),Tasks[[#This Row],[_SuccessorFinishLimit]]))</f>
        <v/>
      </c>
      <c r="CF4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4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43" s="86" t="b">
        <f aca="false">AND(Tasks[[#This Row],[_IsLeaf]]=1,Tasks[[#This Row],[_LeafProgress]]&lt;1,N(Tasks[[#This Row],[_LeafTotalSlack]])&lt;=CriticalSlackDays)</f>
        <v>0</v>
      </c>
      <c r="CI4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4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4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4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4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4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4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4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43" s="43" t="n">
        <f aca="false">IF(AND(Tasks[[#This Row],[_IsLeaf]]=1,Tasks[[#This Row],[_LeafWork]]&gt;0),NETWORKDAYS.INTL(ProjectStart,Tasks[[#This Row],[_LeafFcstStart]],WorkWeek,Holidays),0)</f>
        <v>0</v>
      </c>
      <c r="CR4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43" s="43" t="n">
        <f aca="false">IF(AND(Tasks[[#This Row],[_IsLeaf]]=1,Tasks[[#This Row],[_LeafWork]]&gt;0),Tasks[[#This Row],[_LeafWork]]/(Tasks[[#This Row],[_FinishWorkday]]-Tasks[[#This Row],[_StartWorkday]]+1),0)</f>
        <v>0</v>
      </c>
      <c r="CT43" s="43" t="n">
        <f aca="false">Tasks[[#This Row],[_WorkPerWorkday]]*(Tasks[[#This Row],[_StartWorkday]]-1)</f>
        <v>-0</v>
      </c>
      <c r="CU43" s="43" t="n">
        <f aca="false">IF(Tasks[[#This Row],[_IsLeaf]]=1,MAX(N(Tasks[[#This Row],[Duration]]),0.1),0)</f>
        <v>0</v>
      </c>
      <c r="CV43" s="43" t="n">
        <f aca="false">Tasks[[#This Row],[_WeightDur]]*Tasks[[#This Row],[_LeafProgress]]</f>
        <v>0</v>
      </c>
      <c r="CW4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4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4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4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4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43" s="43" t="str">
        <f aca="false">IF(AND(Tasks[[#This Row],[_IsLeaf]]=1,N(Tasks[[#This Row],[Duration]])=0,Tasks[[#This Row],[_LeafProgress]]&lt;1),Tasks[[#This Row],[_LeafFcstFinish]]+Tasks[[#This Row],[_Row]]/100000,"")</f>
        <v/>
      </c>
      <c r="DC4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43" s="43" t="n">
        <f aca="false">IF(NOT(Tasks[[#This Row],[_IsLeaf]]=1),0,IF(Tasks[[#This Row],[Baseline Cost]]="",Tasks[[#This Row],[_LeafCost]],N(Tasks[[#This Row],[Baseline Cost]])))</f>
        <v>0</v>
      </c>
      <c r="DE43" s="43" t="n">
        <f aca="false">Tasks[[#This Row],[_LeafBudget]]*Tasks[[#This Row],[_PlannedPct]]</f>
        <v>0</v>
      </c>
      <c r="DF43" s="43" t="n">
        <f aca="false">Tasks[[#This Row],[_LeafBudget]]*Tasks[[#This Row],[_LeafProgress]]</f>
        <v>0</v>
      </c>
      <c r="DG43" s="43" t="n">
        <f aca="false">IF(NOT(Tasks[[#This Row],[_IsLeaf]]=1),0,IF(Tasks[[#This Row],[Actual Cost]]="",Tasks[[#This Row],[_LeafCost]]*Tasks[[#This Row],[_LeafProgress]],N(Tasks[[#This Row],[Actual Cost]])))</f>
        <v>0</v>
      </c>
      <c r="DH43" s="43" t="str">
        <f aca="false">IF(Tasks[[#This Row],[Task Name]]="","",LEFT(Tasks[[#This Row],[WBS]],FIND(".",Tasks[[#This Row],[WBS]]&amp;".")-1))</f>
        <v/>
      </c>
      <c r="DI43" s="43" t="str">
        <f aca="false">IF(AND(Tasks[[#This Row],[Task Name]]&lt;&gt;"",Tasks[[#This Row],[_Level]]=1),Tasks[[#This Row],[_Row]],"")</f>
        <v/>
      </c>
      <c r="DJ43" s="43" t="str">
        <f aca="false">IF(AND(Tasks[[#This Row],[_IsLeaf]]=1,N(Tasks[[#This Row],[Duration]])=0),Tasks[[#This Row],[Planned Finish]]+Tasks[[#This Row],[_Row]]/100000,"")</f>
        <v/>
      </c>
      <c r="DK4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4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4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43" s="43" t="str">
        <f aca="false">IF(Tasks[[#This Row],[_LeafCritical]],Tasks[[#This Row],[_LeafFcstStart]]+Tasks[[#This Row],[_Row]]/100000,"")</f>
        <v/>
      </c>
      <c r="DO43" s="43" t="n">
        <f aca="false">Tasks[[#This Row],[_LeafWork]]*Tasks[[#This Row],[_LeafProgress]]</f>
        <v>0</v>
      </c>
      <c r="DP4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43" s="43" t="n">
        <f aca="false">IF(Tasks[[#This Row],[_IsLeaf]]=1,N(Tasks[[#This Row],[Story Points]]),0)</f>
        <v>0</v>
      </c>
      <c r="DR43" s="43" t="str">
        <f aca="false">IF(AND(Tasks[[#This Row],[_IsLeaf]]=1,CurrentSprint&lt;&gt;"",Tasks[[#This Row],[Sprint]]=CurrentSprint),Tasks[[#This Row],[_Row]],"")</f>
        <v/>
      </c>
    </row>
    <row r="44" customFormat="false" ht="15" hidden="false" customHeight="false" outlineLevel="0" collapsed="false">
      <c r="A44" s="28" t="str">
        <f aca="false">IF(Tasks[[#This Row],[Task Name]]="","",COUNTA(Tasks[[#Headers],[Task Name]]:Tasks[[#This Row],[Task Name]])-1)</f>
        <v/>
      </c>
      <c r="B44" s="29" t="n">
        <v>39</v>
      </c>
      <c r="C4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44" s="29"/>
      <c r="E44" s="30"/>
      <c r="F44" s="29"/>
      <c r="G44" s="29"/>
      <c r="H44" s="29"/>
      <c r="I44" s="29"/>
      <c r="J44" s="29"/>
      <c r="K44" s="29"/>
      <c r="L44" s="29"/>
      <c r="M44" s="29"/>
      <c r="N44" s="72"/>
      <c r="O44" s="72"/>
      <c r="P44" s="25" t="str">
        <f aca="false">IF(Tasks[[#This Row],[Task Name]]="","",IF(N(Tasks[[#This Row],[Baseline Start]])&gt;0,Tasks[[#This Row],[Baseline Start]],Tasks[[#This Row],[_CalcStart]]))</f>
        <v/>
      </c>
      <c r="Q44" s="25" t="str">
        <f aca="false">IF(Tasks[[#This Row],[Task Name]]="","",IF(N(Tasks[[#This Row],[Baseline Finish]])&gt;0,Tasks[[#This Row],[Baseline Finish]],Tasks[[#This Row],[_CalcFinish]]))</f>
        <v/>
      </c>
      <c r="R44" s="72"/>
      <c r="S44" s="72"/>
      <c r="T4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4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4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4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4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4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4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4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4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4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4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44" s="74"/>
      <c r="AF4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4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44" s="30"/>
      <c r="AI44" s="74"/>
      <c r="AJ4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4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44" s="83"/>
      <c r="AM44" s="29"/>
      <c r="AN4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44" s="84"/>
      <c r="AP4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44" s="30"/>
      <c r="AR44" s="25" t="str">
        <f aca="false">IF(Tasks[[#This Row],[Task Name]]="","",Tasks[[#This Row],[Forecast Start]])</f>
        <v/>
      </c>
      <c r="AS44" s="25" t="str">
        <f aca="false">IF(Tasks[[#This Row],[Task Name]]="","",Tasks[[#This Row],[Forecast Finish]])</f>
        <v/>
      </c>
      <c r="AT4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44" s="81" t="str">
        <f aca="false">IF(Tasks[[#This Row],[Task Name]]="","",Tasks[[#This Row],[Work]])</f>
        <v/>
      </c>
      <c r="AV44" s="82" t="str">
        <f aca="false">IF(Tasks[[#This Row],[Task Name]]="","",Tasks[[#This Row],[Cost]])</f>
        <v/>
      </c>
      <c r="AW44" s="72"/>
      <c r="AX44" s="72"/>
      <c r="AY44" s="29"/>
      <c r="AZ44" s="85"/>
      <c r="BA44" s="83"/>
      <c r="BB44" s="28" t="str">
        <f aca="false">IF(OR(Tasks[[#This Row],[Task Name]]="",Tasks[[#This Row],[Baseline Duration]]=""),"",Tasks[[#This Row],[BL Source Duration]]-N(Tasks[[#This Row],[Baseline Duration]]))</f>
        <v/>
      </c>
      <c r="BC44" s="81" t="str">
        <f aca="false">IF(OR(Tasks[[#This Row],[Task Name]]="",Tasks[[#This Row],[Baseline Work]]=""),"",Tasks[[#This Row],[Work]]-N(Tasks[[#This Row],[Baseline Work]]))</f>
        <v/>
      </c>
      <c r="BD44" s="82" t="str">
        <f aca="false">IF(OR(Tasks[[#This Row],[Task Name]]="",Tasks[[#This Row],[Baseline Cost]]=""),"",Tasks[[#This Row],[Cost]]-N(Tasks[[#This Row],[Baseline Cost]]))</f>
        <v/>
      </c>
      <c r="BE4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4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4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4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44" s="43" t="str">
        <f aca="false">IF(Tasks[[#This Row],[Task Name]]="","",MAX(1,N(Tasks[[#This Row],[Level]])))</f>
        <v/>
      </c>
      <c r="BJ44" s="43" t="n">
        <f aca="false">ROW()-ROW(Tasks[[#Headers],[ID]])</f>
        <v>39</v>
      </c>
      <c r="BK4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44" s="43" t="n">
        <f aca="false">IFERROR(N(INDEX(Tasks[_Level],Tasks[[#This Row],[_Row]]+1)),0)</f>
        <v>0</v>
      </c>
      <c r="BM44" s="86" t="b">
        <f aca="false">AND(Tasks[[#This Row],[Task Name]]&lt;&gt;"",Tasks[[#This Row],[_NextLevel]]&gt;Tasks[[#This Row],[_Level]])</f>
        <v>0</v>
      </c>
      <c r="BN44" s="43" t="n">
        <f aca="false">IF(Tasks[[#This Row],[_IsSummary]],COUNTIF(Tasks[WBS],Tasks[[#This Row],[WBS]]&amp;".*"),0)</f>
        <v>0</v>
      </c>
      <c r="BO44" s="43" t="n">
        <f aca="false">IF(AND(Tasks[[#This Row],[Task Name]]&lt;&gt;"",NOT(Tasks[[#This Row],[_IsSummary]])),1,0)</f>
        <v>0</v>
      </c>
      <c r="BP44" s="43" t="n">
        <f aca="false">IF(N(Tasks[[#This Row],[Pred1 UID]])=0,0,IFERROR(MATCH(Tasks[[#This Row],[Pred1 UID]],Tasks[UID],0),-1))</f>
        <v>0</v>
      </c>
      <c r="BQ44" s="43" t="n">
        <f aca="false">IF(N(Tasks[[#This Row],[Pred2 UID]])=0,0,IFERROR(MATCH(Tasks[[#This Row],[Pred2 UID]],Tasks[UID],0),-1))</f>
        <v>0</v>
      </c>
      <c r="BR4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4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4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4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44" s="43" t="n">
        <f aca="false">IF(NOT(Tasks[[#This Row],[_IsLeaf]]=1),0,IF(N(Tasks[[#This Row],[Actual Finish]])&gt;0,1,MIN(1,N(Tasks[[#This Row],[% Complete]]))))</f>
        <v>0</v>
      </c>
      <c r="BW4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44" s="43" t="n">
        <f aca="false">IF(Tasks[[#This Row],[_LeafWork]]=0,0,Tasks[[#This Row],[_LeafWork]]*IFERROR(INDEX(res_Rate,MATCH(Tasks[[#This Row],[Resource]],res_Name,0)),0))</f>
        <v>0</v>
      </c>
      <c r="BY4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4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4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4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44" s="43" t="n">
        <f aca="false">IF(NOT(Tasks[[#This Row],[_IsLeaf]]=1),0,MAX(_xlfn.MAXIFS(Tasks[_Row],Tasks[Pred1 UID],Tasks[[#This Row],[UID]]),_xlfn.MAXIFS(Tasks[_Row],Tasks[Pred2 UID],Tasks[[#This Row],[UID]])))</f>
        <v>0</v>
      </c>
      <c r="CD4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44" s="87" t="str">
        <f aca="false">IF(NOT(Tasks[[#This Row],[_IsLeaf]]=1),"",MIN(ProjectFinish,IF(N(Tasks[[#This Row],[Deadline]])&gt;0,Tasks[[#This Row],[Deadline]],2958465),Tasks[[#This Row],[_SuccessorFinishLimit]]))</f>
        <v/>
      </c>
      <c r="CF4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4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44" s="86" t="b">
        <f aca="false">AND(Tasks[[#This Row],[_IsLeaf]]=1,Tasks[[#This Row],[_LeafProgress]]&lt;1,N(Tasks[[#This Row],[_LeafTotalSlack]])&lt;=CriticalSlackDays)</f>
        <v>0</v>
      </c>
      <c r="CI4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4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4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4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4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4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4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4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44" s="43" t="n">
        <f aca="false">IF(AND(Tasks[[#This Row],[_IsLeaf]]=1,Tasks[[#This Row],[_LeafWork]]&gt;0),NETWORKDAYS.INTL(ProjectStart,Tasks[[#This Row],[_LeafFcstStart]],WorkWeek,Holidays),0)</f>
        <v>0</v>
      </c>
      <c r="CR4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44" s="43" t="n">
        <f aca="false">IF(AND(Tasks[[#This Row],[_IsLeaf]]=1,Tasks[[#This Row],[_LeafWork]]&gt;0),Tasks[[#This Row],[_LeafWork]]/(Tasks[[#This Row],[_FinishWorkday]]-Tasks[[#This Row],[_StartWorkday]]+1),0)</f>
        <v>0</v>
      </c>
      <c r="CT44" s="43" t="n">
        <f aca="false">Tasks[[#This Row],[_WorkPerWorkday]]*(Tasks[[#This Row],[_StartWorkday]]-1)</f>
        <v>-0</v>
      </c>
      <c r="CU44" s="43" t="n">
        <f aca="false">IF(Tasks[[#This Row],[_IsLeaf]]=1,MAX(N(Tasks[[#This Row],[Duration]]),0.1),0)</f>
        <v>0</v>
      </c>
      <c r="CV44" s="43" t="n">
        <f aca="false">Tasks[[#This Row],[_WeightDur]]*Tasks[[#This Row],[_LeafProgress]]</f>
        <v>0</v>
      </c>
      <c r="CW4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4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4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4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4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44" s="43" t="str">
        <f aca="false">IF(AND(Tasks[[#This Row],[_IsLeaf]]=1,N(Tasks[[#This Row],[Duration]])=0,Tasks[[#This Row],[_LeafProgress]]&lt;1),Tasks[[#This Row],[_LeafFcstFinish]]+Tasks[[#This Row],[_Row]]/100000,"")</f>
        <v/>
      </c>
      <c r="DC4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44" s="43" t="n">
        <f aca="false">IF(NOT(Tasks[[#This Row],[_IsLeaf]]=1),0,IF(Tasks[[#This Row],[Baseline Cost]]="",Tasks[[#This Row],[_LeafCost]],N(Tasks[[#This Row],[Baseline Cost]])))</f>
        <v>0</v>
      </c>
      <c r="DE44" s="43" t="n">
        <f aca="false">Tasks[[#This Row],[_LeafBudget]]*Tasks[[#This Row],[_PlannedPct]]</f>
        <v>0</v>
      </c>
      <c r="DF44" s="43" t="n">
        <f aca="false">Tasks[[#This Row],[_LeafBudget]]*Tasks[[#This Row],[_LeafProgress]]</f>
        <v>0</v>
      </c>
      <c r="DG44" s="43" t="n">
        <f aca="false">IF(NOT(Tasks[[#This Row],[_IsLeaf]]=1),0,IF(Tasks[[#This Row],[Actual Cost]]="",Tasks[[#This Row],[_LeafCost]]*Tasks[[#This Row],[_LeafProgress]],N(Tasks[[#This Row],[Actual Cost]])))</f>
        <v>0</v>
      </c>
      <c r="DH44" s="43" t="str">
        <f aca="false">IF(Tasks[[#This Row],[Task Name]]="","",LEFT(Tasks[[#This Row],[WBS]],FIND(".",Tasks[[#This Row],[WBS]]&amp;".")-1))</f>
        <v/>
      </c>
      <c r="DI44" s="43" t="str">
        <f aca="false">IF(AND(Tasks[[#This Row],[Task Name]]&lt;&gt;"",Tasks[[#This Row],[_Level]]=1),Tasks[[#This Row],[_Row]],"")</f>
        <v/>
      </c>
      <c r="DJ44" s="43" t="str">
        <f aca="false">IF(AND(Tasks[[#This Row],[_IsLeaf]]=1,N(Tasks[[#This Row],[Duration]])=0),Tasks[[#This Row],[Planned Finish]]+Tasks[[#This Row],[_Row]]/100000,"")</f>
        <v/>
      </c>
      <c r="DK4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4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4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44" s="43" t="str">
        <f aca="false">IF(Tasks[[#This Row],[_LeafCritical]],Tasks[[#This Row],[_LeafFcstStart]]+Tasks[[#This Row],[_Row]]/100000,"")</f>
        <v/>
      </c>
      <c r="DO44" s="43" t="n">
        <f aca="false">Tasks[[#This Row],[_LeafWork]]*Tasks[[#This Row],[_LeafProgress]]</f>
        <v>0</v>
      </c>
      <c r="DP4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44" s="43" t="n">
        <f aca="false">IF(Tasks[[#This Row],[_IsLeaf]]=1,N(Tasks[[#This Row],[Story Points]]),0)</f>
        <v>0</v>
      </c>
      <c r="DR44" s="43" t="str">
        <f aca="false">IF(AND(Tasks[[#This Row],[_IsLeaf]]=1,CurrentSprint&lt;&gt;"",Tasks[[#This Row],[Sprint]]=CurrentSprint),Tasks[[#This Row],[_Row]],"")</f>
        <v/>
      </c>
    </row>
    <row r="45" customFormat="false" ht="15" hidden="false" customHeight="false" outlineLevel="0" collapsed="false">
      <c r="A45" s="28" t="str">
        <f aca="false">IF(Tasks[[#This Row],[Task Name]]="","",COUNTA(Tasks[[#Headers],[Task Name]]:Tasks[[#This Row],[Task Name]])-1)</f>
        <v/>
      </c>
      <c r="B45" s="29" t="n">
        <v>40</v>
      </c>
      <c r="C4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45" s="29"/>
      <c r="E45" s="30"/>
      <c r="F45" s="29"/>
      <c r="G45" s="29"/>
      <c r="H45" s="29"/>
      <c r="I45" s="29"/>
      <c r="J45" s="29"/>
      <c r="K45" s="29"/>
      <c r="L45" s="29"/>
      <c r="M45" s="29"/>
      <c r="N45" s="72"/>
      <c r="O45" s="72"/>
      <c r="P45" s="25" t="str">
        <f aca="false">IF(Tasks[[#This Row],[Task Name]]="","",IF(N(Tasks[[#This Row],[Baseline Start]])&gt;0,Tasks[[#This Row],[Baseline Start]],Tasks[[#This Row],[_CalcStart]]))</f>
        <v/>
      </c>
      <c r="Q45" s="25" t="str">
        <f aca="false">IF(Tasks[[#This Row],[Task Name]]="","",IF(N(Tasks[[#This Row],[Baseline Finish]])&gt;0,Tasks[[#This Row],[Baseline Finish]],Tasks[[#This Row],[_CalcFinish]]))</f>
        <v/>
      </c>
      <c r="R45" s="72"/>
      <c r="S45" s="72"/>
      <c r="T4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4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4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4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4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4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4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4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4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4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4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45" s="74"/>
      <c r="AF4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4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45" s="30"/>
      <c r="AI45" s="74"/>
      <c r="AJ4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4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45" s="83"/>
      <c r="AM45" s="29"/>
      <c r="AN4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45" s="84"/>
      <c r="AP4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45" s="30"/>
      <c r="AR45" s="25" t="str">
        <f aca="false">IF(Tasks[[#This Row],[Task Name]]="","",Tasks[[#This Row],[Forecast Start]])</f>
        <v/>
      </c>
      <c r="AS45" s="25" t="str">
        <f aca="false">IF(Tasks[[#This Row],[Task Name]]="","",Tasks[[#This Row],[Forecast Finish]])</f>
        <v/>
      </c>
      <c r="AT4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45" s="81" t="str">
        <f aca="false">IF(Tasks[[#This Row],[Task Name]]="","",Tasks[[#This Row],[Work]])</f>
        <v/>
      </c>
      <c r="AV45" s="82" t="str">
        <f aca="false">IF(Tasks[[#This Row],[Task Name]]="","",Tasks[[#This Row],[Cost]])</f>
        <v/>
      </c>
      <c r="AW45" s="72"/>
      <c r="AX45" s="72"/>
      <c r="AY45" s="29"/>
      <c r="AZ45" s="85"/>
      <c r="BA45" s="83"/>
      <c r="BB45" s="28" t="str">
        <f aca="false">IF(OR(Tasks[[#This Row],[Task Name]]="",Tasks[[#This Row],[Baseline Duration]]=""),"",Tasks[[#This Row],[BL Source Duration]]-N(Tasks[[#This Row],[Baseline Duration]]))</f>
        <v/>
      </c>
      <c r="BC45" s="81" t="str">
        <f aca="false">IF(OR(Tasks[[#This Row],[Task Name]]="",Tasks[[#This Row],[Baseline Work]]=""),"",Tasks[[#This Row],[Work]]-N(Tasks[[#This Row],[Baseline Work]]))</f>
        <v/>
      </c>
      <c r="BD45" s="82" t="str">
        <f aca="false">IF(OR(Tasks[[#This Row],[Task Name]]="",Tasks[[#This Row],[Baseline Cost]]=""),"",Tasks[[#This Row],[Cost]]-N(Tasks[[#This Row],[Baseline Cost]]))</f>
        <v/>
      </c>
      <c r="BE4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4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4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4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45" s="43" t="str">
        <f aca="false">IF(Tasks[[#This Row],[Task Name]]="","",MAX(1,N(Tasks[[#This Row],[Level]])))</f>
        <v/>
      </c>
      <c r="BJ45" s="43" t="n">
        <f aca="false">ROW()-ROW(Tasks[[#Headers],[ID]])</f>
        <v>40</v>
      </c>
      <c r="BK4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45" s="43" t="n">
        <f aca="false">IFERROR(N(INDEX(Tasks[_Level],Tasks[[#This Row],[_Row]]+1)),0)</f>
        <v>0</v>
      </c>
      <c r="BM45" s="86" t="b">
        <f aca="false">AND(Tasks[[#This Row],[Task Name]]&lt;&gt;"",Tasks[[#This Row],[_NextLevel]]&gt;Tasks[[#This Row],[_Level]])</f>
        <v>0</v>
      </c>
      <c r="BN45" s="43" t="n">
        <f aca="false">IF(Tasks[[#This Row],[_IsSummary]],COUNTIF(Tasks[WBS],Tasks[[#This Row],[WBS]]&amp;".*"),0)</f>
        <v>0</v>
      </c>
      <c r="BO45" s="43" t="n">
        <f aca="false">IF(AND(Tasks[[#This Row],[Task Name]]&lt;&gt;"",NOT(Tasks[[#This Row],[_IsSummary]])),1,0)</f>
        <v>0</v>
      </c>
      <c r="BP45" s="43" t="n">
        <f aca="false">IF(N(Tasks[[#This Row],[Pred1 UID]])=0,0,IFERROR(MATCH(Tasks[[#This Row],[Pred1 UID]],Tasks[UID],0),-1))</f>
        <v>0</v>
      </c>
      <c r="BQ45" s="43" t="n">
        <f aca="false">IF(N(Tasks[[#This Row],[Pred2 UID]])=0,0,IFERROR(MATCH(Tasks[[#This Row],[Pred2 UID]],Tasks[UID],0),-1))</f>
        <v>0</v>
      </c>
      <c r="BR4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4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4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4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45" s="43" t="n">
        <f aca="false">IF(NOT(Tasks[[#This Row],[_IsLeaf]]=1),0,IF(N(Tasks[[#This Row],[Actual Finish]])&gt;0,1,MIN(1,N(Tasks[[#This Row],[% Complete]]))))</f>
        <v>0</v>
      </c>
      <c r="BW4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45" s="43" t="n">
        <f aca="false">IF(Tasks[[#This Row],[_LeafWork]]=0,0,Tasks[[#This Row],[_LeafWork]]*IFERROR(INDEX(res_Rate,MATCH(Tasks[[#This Row],[Resource]],res_Name,0)),0))</f>
        <v>0</v>
      </c>
      <c r="BY4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4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4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4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45" s="43" t="n">
        <f aca="false">IF(NOT(Tasks[[#This Row],[_IsLeaf]]=1),0,MAX(_xlfn.MAXIFS(Tasks[_Row],Tasks[Pred1 UID],Tasks[[#This Row],[UID]]),_xlfn.MAXIFS(Tasks[_Row],Tasks[Pred2 UID],Tasks[[#This Row],[UID]])))</f>
        <v>0</v>
      </c>
      <c r="CD4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45" s="87" t="str">
        <f aca="false">IF(NOT(Tasks[[#This Row],[_IsLeaf]]=1),"",MIN(ProjectFinish,IF(N(Tasks[[#This Row],[Deadline]])&gt;0,Tasks[[#This Row],[Deadline]],2958465),Tasks[[#This Row],[_SuccessorFinishLimit]]))</f>
        <v/>
      </c>
      <c r="CF4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4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45" s="86" t="b">
        <f aca="false">AND(Tasks[[#This Row],[_IsLeaf]]=1,Tasks[[#This Row],[_LeafProgress]]&lt;1,N(Tasks[[#This Row],[_LeafTotalSlack]])&lt;=CriticalSlackDays)</f>
        <v>0</v>
      </c>
      <c r="CI4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4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4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4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4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4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4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4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45" s="43" t="n">
        <f aca="false">IF(AND(Tasks[[#This Row],[_IsLeaf]]=1,Tasks[[#This Row],[_LeafWork]]&gt;0),NETWORKDAYS.INTL(ProjectStart,Tasks[[#This Row],[_LeafFcstStart]],WorkWeek,Holidays),0)</f>
        <v>0</v>
      </c>
      <c r="CR4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45" s="43" t="n">
        <f aca="false">IF(AND(Tasks[[#This Row],[_IsLeaf]]=1,Tasks[[#This Row],[_LeafWork]]&gt;0),Tasks[[#This Row],[_LeafWork]]/(Tasks[[#This Row],[_FinishWorkday]]-Tasks[[#This Row],[_StartWorkday]]+1),0)</f>
        <v>0</v>
      </c>
      <c r="CT45" s="43" t="n">
        <f aca="false">Tasks[[#This Row],[_WorkPerWorkday]]*(Tasks[[#This Row],[_StartWorkday]]-1)</f>
        <v>-0</v>
      </c>
      <c r="CU45" s="43" t="n">
        <f aca="false">IF(Tasks[[#This Row],[_IsLeaf]]=1,MAX(N(Tasks[[#This Row],[Duration]]),0.1),0)</f>
        <v>0</v>
      </c>
      <c r="CV45" s="43" t="n">
        <f aca="false">Tasks[[#This Row],[_WeightDur]]*Tasks[[#This Row],[_LeafProgress]]</f>
        <v>0</v>
      </c>
      <c r="CW4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4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4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4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4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45" s="43" t="str">
        <f aca="false">IF(AND(Tasks[[#This Row],[_IsLeaf]]=1,N(Tasks[[#This Row],[Duration]])=0,Tasks[[#This Row],[_LeafProgress]]&lt;1),Tasks[[#This Row],[_LeafFcstFinish]]+Tasks[[#This Row],[_Row]]/100000,"")</f>
        <v/>
      </c>
      <c r="DC4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45" s="43" t="n">
        <f aca="false">IF(NOT(Tasks[[#This Row],[_IsLeaf]]=1),0,IF(Tasks[[#This Row],[Baseline Cost]]="",Tasks[[#This Row],[_LeafCost]],N(Tasks[[#This Row],[Baseline Cost]])))</f>
        <v>0</v>
      </c>
      <c r="DE45" s="43" t="n">
        <f aca="false">Tasks[[#This Row],[_LeafBudget]]*Tasks[[#This Row],[_PlannedPct]]</f>
        <v>0</v>
      </c>
      <c r="DF45" s="43" t="n">
        <f aca="false">Tasks[[#This Row],[_LeafBudget]]*Tasks[[#This Row],[_LeafProgress]]</f>
        <v>0</v>
      </c>
      <c r="DG45" s="43" t="n">
        <f aca="false">IF(NOT(Tasks[[#This Row],[_IsLeaf]]=1),0,IF(Tasks[[#This Row],[Actual Cost]]="",Tasks[[#This Row],[_LeafCost]]*Tasks[[#This Row],[_LeafProgress]],N(Tasks[[#This Row],[Actual Cost]])))</f>
        <v>0</v>
      </c>
      <c r="DH45" s="43" t="str">
        <f aca="false">IF(Tasks[[#This Row],[Task Name]]="","",LEFT(Tasks[[#This Row],[WBS]],FIND(".",Tasks[[#This Row],[WBS]]&amp;".")-1))</f>
        <v/>
      </c>
      <c r="DI45" s="43" t="str">
        <f aca="false">IF(AND(Tasks[[#This Row],[Task Name]]&lt;&gt;"",Tasks[[#This Row],[_Level]]=1),Tasks[[#This Row],[_Row]],"")</f>
        <v/>
      </c>
      <c r="DJ45" s="43" t="str">
        <f aca="false">IF(AND(Tasks[[#This Row],[_IsLeaf]]=1,N(Tasks[[#This Row],[Duration]])=0),Tasks[[#This Row],[Planned Finish]]+Tasks[[#This Row],[_Row]]/100000,"")</f>
        <v/>
      </c>
      <c r="DK4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4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4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45" s="43" t="str">
        <f aca="false">IF(Tasks[[#This Row],[_LeafCritical]],Tasks[[#This Row],[_LeafFcstStart]]+Tasks[[#This Row],[_Row]]/100000,"")</f>
        <v/>
      </c>
      <c r="DO45" s="43" t="n">
        <f aca="false">Tasks[[#This Row],[_LeafWork]]*Tasks[[#This Row],[_LeafProgress]]</f>
        <v>0</v>
      </c>
      <c r="DP4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45" s="43" t="n">
        <f aca="false">IF(Tasks[[#This Row],[_IsLeaf]]=1,N(Tasks[[#This Row],[Story Points]]),0)</f>
        <v>0</v>
      </c>
      <c r="DR45" s="43" t="str">
        <f aca="false">IF(AND(Tasks[[#This Row],[_IsLeaf]]=1,CurrentSprint&lt;&gt;"",Tasks[[#This Row],[Sprint]]=CurrentSprint),Tasks[[#This Row],[_Row]],"")</f>
        <v/>
      </c>
    </row>
    <row r="46" customFormat="false" ht="15" hidden="false" customHeight="false" outlineLevel="0" collapsed="false">
      <c r="A46" s="28" t="str">
        <f aca="false">IF(Tasks[[#This Row],[Task Name]]="","",COUNTA(Tasks[[#Headers],[Task Name]]:Tasks[[#This Row],[Task Name]])-1)</f>
        <v/>
      </c>
      <c r="B46" s="29" t="n">
        <v>41</v>
      </c>
      <c r="C4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46" s="29"/>
      <c r="E46" s="30"/>
      <c r="F46" s="29"/>
      <c r="G46" s="29"/>
      <c r="H46" s="29"/>
      <c r="I46" s="29"/>
      <c r="J46" s="29"/>
      <c r="K46" s="29"/>
      <c r="L46" s="29"/>
      <c r="M46" s="29"/>
      <c r="N46" s="72"/>
      <c r="O46" s="72"/>
      <c r="P46" s="25" t="str">
        <f aca="false">IF(Tasks[[#This Row],[Task Name]]="","",IF(N(Tasks[[#This Row],[Baseline Start]])&gt;0,Tasks[[#This Row],[Baseline Start]],Tasks[[#This Row],[_CalcStart]]))</f>
        <v/>
      </c>
      <c r="Q46" s="25" t="str">
        <f aca="false">IF(Tasks[[#This Row],[Task Name]]="","",IF(N(Tasks[[#This Row],[Baseline Finish]])&gt;0,Tasks[[#This Row],[Baseline Finish]],Tasks[[#This Row],[_CalcFinish]]))</f>
        <v/>
      </c>
      <c r="R46" s="72"/>
      <c r="S46" s="72"/>
      <c r="T4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4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4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4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4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4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4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4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4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4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4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46" s="74"/>
      <c r="AF4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4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46" s="30"/>
      <c r="AI46" s="74"/>
      <c r="AJ4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4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46" s="83"/>
      <c r="AM46" s="29"/>
      <c r="AN4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46" s="84"/>
      <c r="AP4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46" s="30"/>
      <c r="AR46" s="25" t="str">
        <f aca="false">IF(Tasks[[#This Row],[Task Name]]="","",Tasks[[#This Row],[Forecast Start]])</f>
        <v/>
      </c>
      <c r="AS46" s="25" t="str">
        <f aca="false">IF(Tasks[[#This Row],[Task Name]]="","",Tasks[[#This Row],[Forecast Finish]])</f>
        <v/>
      </c>
      <c r="AT4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46" s="81" t="str">
        <f aca="false">IF(Tasks[[#This Row],[Task Name]]="","",Tasks[[#This Row],[Work]])</f>
        <v/>
      </c>
      <c r="AV46" s="82" t="str">
        <f aca="false">IF(Tasks[[#This Row],[Task Name]]="","",Tasks[[#This Row],[Cost]])</f>
        <v/>
      </c>
      <c r="AW46" s="72"/>
      <c r="AX46" s="72"/>
      <c r="AY46" s="29"/>
      <c r="AZ46" s="85"/>
      <c r="BA46" s="83"/>
      <c r="BB46" s="28" t="str">
        <f aca="false">IF(OR(Tasks[[#This Row],[Task Name]]="",Tasks[[#This Row],[Baseline Duration]]=""),"",Tasks[[#This Row],[BL Source Duration]]-N(Tasks[[#This Row],[Baseline Duration]]))</f>
        <v/>
      </c>
      <c r="BC46" s="81" t="str">
        <f aca="false">IF(OR(Tasks[[#This Row],[Task Name]]="",Tasks[[#This Row],[Baseline Work]]=""),"",Tasks[[#This Row],[Work]]-N(Tasks[[#This Row],[Baseline Work]]))</f>
        <v/>
      </c>
      <c r="BD46" s="82" t="str">
        <f aca="false">IF(OR(Tasks[[#This Row],[Task Name]]="",Tasks[[#This Row],[Baseline Cost]]=""),"",Tasks[[#This Row],[Cost]]-N(Tasks[[#This Row],[Baseline Cost]]))</f>
        <v/>
      </c>
      <c r="BE4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4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4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4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46" s="43" t="str">
        <f aca="false">IF(Tasks[[#This Row],[Task Name]]="","",MAX(1,N(Tasks[[#This Row],[Level]])))</f>
        <v/>
      </c>
      <c r="BJ46" s="43" t="n">
        <f aca="false">ROW()-ROW(Tasks[[#Headers],[ID]])</f>
        <v>41</v>
      </c>
      <c r="BK4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46" s="43" t="n">
        <f aca="false">IFERROR(N(INDEX(Tasks[_Level],Tasks[[#This Row],[_Row]]+1)),0)</f>
        <v>0</v>
      </c>
      <c r="BM46" s="86" t="b">
        <f aca="false">AND(Tasks[[#This Row],[Task Name]]&lt;&gt;"",Tasks[[#This Row],[_NextLevel]]&gt;Tasks[[#This Row],[_Level]])</f>
        <v>0</v>
      </c>
      <c r="BN46" s="43" t="n">
        <f aca="false">IF(Tasks[[#This Row],[_IsSummary]],COUNTIF(Tasks[WBS],Tasks[[#This Row],[WBS]]&amp;".*"),0)</f>
        <v>0</v>
      </c>
      <c r="BO46" s="43" t="n">
        <f aca="false">IF(AND(Tasks[[#This Row],[Task Name]]&lt;&gt;"",NOT(Tasks[[#This Row],[_IsSummary]])),1,0)</f>
        <v>0</v>
      </c>
      <c r="BP46" s="43" t="n">
        <f aca="false">IF(N(Tasks[[#This Row],[Pred1 UID]])=0,0,IFERROR(MATCH(Tasks[[#This Row],[Pred1 UID]],Tasks[UID],0),-1))</f>
        <v>0</v>
      </c>
      <c r="BQ46" s="43" t="n">
        <f aca="false">IF(N(Tasks[[#This Row],[Pred2 UID]])=0,0,IFERROR(MATCH(Tasks[[#This Row],[Pred2 UID]],Tasks[UID],0),-1))</f>
        <v>0</v>
      </c>
      <c r="BR4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4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4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4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46" s="43" t="n">
        <f aca="false">IF(NOT(Tasks[[#This Row],[_IsLeaf]]=1),0,IF(N(Tasks[[#This Row],[Actual Finish]])&gt;0,1,MIN(1,N(Tasks[[#This Row],[% Complete]]))))</f>
        <v>0</v>
      </c>
      <c r="BW4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46" s="43" t="n">
        <f aca="false">IF(Tasks[[#This Row],[_LeafWork]]=0,0,Tasks[[#This Row],[_LeafWork]]*IFERROR(INDEX(res_Rate,MATCH(Tasks[[#This Row],[Resource]],res_Name,0)),0))</f>
        <v>0</v>
      </c>
      <c r="BY4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4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4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4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46" s="43" t="n">
        <f aca="false">IF(NOT(Tasks[[#This Row],[_IsLeaf]]=1),0,MAX(_xlfn.MAXIFS(Tasks[_Row],Tasks[Pred1 UID],Tasks[[#This Row],[UID]]),_xlfn.MAXIFS(Tasks[_Row],Tasks[Pred2 UID],Tasks[[#This Row],[UID]])))</f>
        <v>0</v>
      </c>
      <c r="CD4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46" s="87" t="str">
        <f aca="false">IF(NOT(Tasks[[#This Row],[_IsLeaf]]=1),"",MIN(ProjectFinish,IF(N(Tasks[[#This Row],[Deadline]])&gt;0,Tasks[[#This Row],[Deadline]],2958465),Tasks[[#This Row],[_SuccessorFinishLimit]]))</f>
        <v/>
      </c>
      <c r="CF4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4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46" s="86" t="b">
        <f aca="false">AND(Tasks[[#This Row],[_IsLeaf]]=1,Tasks[[#This Row],[_LeafProgress]]&lt;1,N(Tasks[[#This Row],[_LeafTotalSlack]])&lt;=CriticalSlackDays)</f>
        <v>0</v>
      </c>
      <c r="CI4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4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4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4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4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4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4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4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46" s="43" t="n">
        <f aca="false">IF(AND(Tasks[[#This Row],[_IsLeaf]]=1,Tasks[[#This Row],[_LeafWork]]&gt;0),NETWORKDAYS.INTL(ProjectStart,Tasks[[#This Row],[_LeafFcstStart]],WorkWeek,Holidays),0)</f>
        <v>0</v>
      </c>
      <c r="CR4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46" s="43" t="n">
        <f aca="false">IF(AND(Tasks[[#This Row],[_IsLeaf]]=1,Tasks[[#This Row],[_LeafWork]]&gt;0),Tasks[[#This Row],[_LeafWork]]/(Tasks[[#This Row],[_FinishWorkday]]-Tasks[[#This Row],[_StartWorkday]]+1),0)</f>
        <v>0</v>
      </c>
      <c r="CT46" s="43" t="n">
        <f aca="false">Tasks[[#This Row],[_WorkPerWorkday]]*(Tasks[[#This Row],[_StartWorkday]]-1)</f>
        <v>-0</v>
      </c>
      <c r="CU46" s="43" t="n">
        <f aca="false">IF(Tasks[[#This Row],[_IsLeaf]]=1,MAX(N(Tasks[[#This Row],[Duration]]),0.1),0)</f>
        <v>0</v>
      </c>
      <c r="CV46" s="43" t="n">
        <f aca="false">Tasks[[#This Row],[_WeightDur]]*Tasks[[#This Row],[_LeafProgress]]</f>
        <v>0</v>
      </c>
      <c r="CW4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4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4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4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4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46" s="43" t="str">
        <f aca="false">IF(AND(Tasks[[#This Row],[_IsLeaf]]=1,N(Tasks[[#This Row],[Duration]])=0,Tasks[[#This Row],[_LeafProgress]]&lt;1),Tasks[[#This Row],[_LeafFcstFinish]]+Tasks[[#This Row],[_Row]]/100000,"")</f>
        <v/>
      </c>
      <c r="DC4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46" s="43" t="n">
        <f aca="false">IF(NOT(Tasks[[#This Row],[_IsLeaf]]=1),0,IF(Tasks[[#This Row],[Baseline Cost]]="",Tasks[[#This Row],[_LeafCost]],N(Tasks[[#This Row],[Baseline Cost]])))</f>
        <v>0</v>
      </c>
      <c r="DE46" s="43" t="n">
        <f aca="false">Tasks[[#This Row],[_LeafBudget]]*Tasks[[#This Row],[_PlannedPct]]</f>
        <v>0</v>
      </c>
      <c r="DF46" s="43" t="n">
        <f aca="false">Tasks[[#This Row],[_LeafBudget]]*Tasks[[#This Row],[_LeafProgress]]</f>
        <v>0</v>
      </c>
      <c r="DG46" s="43" t="n">
        <f aca="false">IF(NOT(Tasks[[#This Row],[_IsLeaf]]=1),0,IF(Tasks[[#This Row],[Actual Cost]]="",Tasks[[#This Row],[_LeafCost]]*Tasks[[#This Row],[_LeafProgress]],N(Tasks[[#This Row],[Actual Cost]])))</f>
        <v>0</v>
      </c>
      <c r="DH46" s="43" t="str">
        <f aca="false">IF(Tasks[[#This Row],[Task Name]]="","",LEFT(Tasks[[#This Row],[WBS]],FIND(".",Tasks[[#This Row],[WBS]]&amp;".")-1))</f>
        <v/>
      </c>
      <c r="DI46" s="43" t="str">
        <f aca="false">IF(AND(Tasks[[#This Row],[Task Name]]&lt;&gt;"",Tasks[[#This Row],[_Level]]=1),Tasks[[#This Row],[_Row]],"")</f>
        <v/>
      </c>
      <c r="DJ46" s="43" t="str">
        <f aca="false">IF(AND(Tasks[[#This Row],[_IsLeaf]]=1,N(Tasks[[#This Row],[Duration]])=0),Tasks[[#This Row],[Planned Finish]]+Tasks[[#This Row],[_Row]]/100000,"")</f>
        <v/>
      </c>
      <c r="DK4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4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4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46" s="43" t="str">
        <f aca="false">IF(Tasks[[#This Row],[_LeafCritical]],Tasks[[#This Row],[_LeafFcstStart]]+Tasks[[#This Row],[_Row]]/100000,"")</f>
        <v/>
      </c>
      <c r="DO46" s="43" t="n">
        <f aca="false">Tasks[[#This Row],[_LeafWork]]*Tasks[[#This Row],[_LeafProgress]]</f>
        <v>0</v>
      </c>
      <c r="DP4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46" s="43" t="n">
        <f aca="false">IF(Tasks[[#This Row],[_IsLeaf]]=1,N(Tasks[[#This Row],[Story Points]]),0)</f>
        <v>0</v>
      </c>
      <c r="DR46" s="43" t="str">
        <f aca="false">IF(AND(Tasks[[#This Row],[_IsLeaf]]=1,CurrentSprint&lt;&gt;"",Tasks[[#This Row],[Sprint]]=CurrentSprint),Tasks[[#This Row],[_Row]],"")</f>
        <v/>
      </c>
    </row>
    <row r="47" customFormat="false" ht="15" hidden="false" customHeight="false" outlineLevel="0" collapsed="false">
      <c r="A47" s="28" t="str">
        <f aca="false">IF(Tasks[[#This Row],[Task Name]]="","",COUNTA(Tasks[[#Headers],[Task Name]]:Tasks[[#This Row],[Task Name]])-1)</f>
        <v/>
      </c>
      <c r="B47" s="29" t="n">
        <v>42</v>
      </c>
      <c r="C4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47" s="29"/>
      <c r="E47" s="30"/>
      <c r="F47" s="29"/>
      <c r="G47" s="29"/>
      <c r="H47" s="29"/>
      <c r="I47" s="29"/>
      <c r="J47" s="29"/>
      <c r="K47" s="29"/>
      <c r="L47" s="29"/>
      <c r="M47" s="29"/>
      <c r="N47" s="72"/>
      <c r="O47" s="72"/>
      <c r="P47" s="25" t="str">
        <f aca="false">IF(Tasks[[#This Row],[Task Name]]="","",IF(N(Tasks[[#This Row],[Baseline Start]])&gt;0,Tasks[[#This Row],[Baseline Start]],Tasks[[#This Row],[_CalcStart]]))</f>
        <v/>
      </c>
      <c r="Q47" s="25" t="str">
        <f aca="false">IF(Tasks[[#This Row],[Task Name]]="","",IF(N(Tasks[[#This Row],[Baseline Finish]])&gt;0,Tasks[[#This Row],[Baseline Finish]],Tasks[[#This Row],[_CalcFinish]]))</f>
        <v/>
      </c>
      <c r="R47" s="72"/>
      <c r="S47" s="72"/>
      <c r="T4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4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4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4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4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4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4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4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4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4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4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47" s="74"/>
      <c r="AF4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4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47" s="30"/>
      <c r="AI47" s="74"/>
      <c r="AJ4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4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47" s="83"/>
      <c r="AM47" s="29"/>
      <c r="AN4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47" s="84"/>
      <c r="AP4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47" s="30"/>
      <c r="AR47" s="25" t="str">
        <f aca="false">IF(Tasks[[#This Row],[Task Name]]="","",Tasks[[#This Row],[Forecast Start]])</f>
        <v/>
      </c>
      <c r="AS47" s="25" t="str">
        <f aca="false">IF(Tasks[[#This Row],[Task Name]]="","",Tasks[[#This Row],[Forecast Finish]])</f>
        <v/>
      </c>
      <c r="AT4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47" s="81" t="str">
        <f aca="false">IF(Tasks[[#This Row],[Task Name]]="","",Tasks[[#This Row],[Work]])</f>
        <v/>
      </c>
      <c r="AV47" s="82" t="str">
        <f aca="false">IF(Tasks[[#This Row],[Task Name]]="","",Tasks[[#This Row],[Cost]])</f>
        <v/>
      </c>
      <c r="AW47" s="72"/>
      <c r="AX47" s="72"/>
      <c r="AY47" s="29"/>
      <c r="AZ47" s="85"/>
      <c r="BA47" s="83"/>
      <c r="BB47" s="28" t="str">
        <f aca="false">IF(OR(Tasks[[#This Row],[Task Name]]="",Tasks[[#This Row],[Baseline Duration]]=""),"",Tasks[[#This Row],[BL Source Duration]]-N(Tasks[[#This Row],[Baseline Duration]]))</f>
        <v/>
      </c>
      <c r="BC47" s="81" t="str">
        <f aca="false">IF(OR(Tasks[[#This Row],[Task Name]]="",Tasks[[#This Row],[Baseline Work]]=""),"",Tasks[[#This Row],[Work]]-N(Tasks[[#This Row],[Baseline Work]]))</f>
        <v/>
      </c>
      <c r="BD47" s="82" t="str">
        <f aca="false">IF(OR(Tasks[[#This Row],[Task Name]]="",Tasks[[#This Row],[Baseline Cost]]=""),"",Tasks[[#This Row],[Cost]]-N(Tasks[[#This Row],[Baseline Cost]]))</f>
        <v/>
      </c>
      <c r="BE4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4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4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4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47" s="43" t="str">
        <f aca="false">IF(Tasks[[#This Row],[Task Name]]="","",MAX(1,N(Tasks[[#This Row],[Level]])))</f>
        <v/>
      </c>
      <c r="BJ47" s="43" t="n">
        <f aca="false">ROW()-ROW(Tasks[[#Headers],[ID]])</f>
        <v>42</v>
      </c>
      <c r="BK4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47" s="43" t="n">
        <f aca="false">IFERROR(N(INDEX(Tasks[_Level],Tasks[[#This Row],[_Row]]+1)),0)</f>
        <v>0</v>
      </c>
      <c r="BM47" s="86" t="b">
        <f aca="false">AND(Tasks[[#This Row],[Task Name]]&lt;&gt;"",Tasks[[#This Row],[_NextLevel]]&gt;Tasks[[#This Row],[_Level]])</f>
        <v>0</v>
      </c>
      <c r="BN47" s="43" t="n">
        <f aca="false">IF(Tasks[[#This Row],[_IsSummary]],COUNTIF(Tasks[WBS],Tasks[[#This Row],[WBS]]&amp;".*"),0)</f>
        <v>0</v>
      </c>
      <c r="BO47" s="43" t="n">
        <f aca="false">IF(AND(Tasks[[#This Row],[Task Name]]&lt;&gt;"",NOT(Tasks[[#This Row],[_IsSummary]])),1,0)</f>
        <v>0</v>
      </c>
      <c r="BP47" s="43" t="n">
        <f aca="false">IF(N(Tasks[[#This Row],[Pred1 UID]])=0,0,IFERROR(MATCH(Tasks[[#This Row],[Pred1 UID]],Tasks[UID],0),-1))</f>
        <v>0</v>
      </c>
      <c r="BQ47" s="43" t="n">
        <f aca="false">IF(N(Tasks[[#This Row],[Pred2 UID]])=0,0,IFERROR(MATCH(Tasks[[#This Row],[Pred2 UID]],Tasks[UID],0),-1))</f>
        <v>0</v>
      </c>
      <c r="BR4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4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4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4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47" s="43" t="n">
        <f aca="false">IF(NOT(Tasks[[#This Row],[_IsLeaf]]=1),0,IF(N(Tasks[[#This Row],[Actual Finish]])&gt;0,1,MIN(1,N(Tasks[[#This Row],[% Complete]]))))</f>
        <v>0</v>
      </c>
      <c r="BW4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47" s="43" t="n">
        <f aca="false">IF(Tasks[[#This Row],[_LeafWork]]=0,0,Tasks[[#This Row],[_LeafWork]]*IFERROR(INDEX(res_Rate,MATCH(Tasks[[#This Row],[Resource]],res_Name,0)),0))</f>
        <v>0</v>
      </c>
      <c r="BY4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4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4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4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47" s="43" t="n">
        <f aca="false">IF(NOT(Tasks[[#This Row],[_IsLeaf]]=1),0,MAX(_xlfn.MAXIFS(Tasks[_Row],Tasks[Pred1 UID],Tasks[[#This Row],[UID]]),_xlfn.MAXIFS(Tasks[_Row],Tasks[Pred2 UID],Tasks[[#This Row],[UID]])))</f>
        <v>0</v>
      </c>
      <c r="CD4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47" s="87" t="str">
        <f aca="false">IF(NOT(Tasks[[#This Row],[_IsLeaf]]=1),"",MIN(ProjectFinish,IF(N(Tasks[[#This Row],[Deadline]])&gt;0,Tasks[[#This Row],[Deadline]],2958465),Tasks[[#This Row],[_SuccessorFinishLimit]]))</f>
        <v/>
      </c>
      <c r="CF4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4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47" s="86" t="b">
        <f aca="false">AND(Tasks[[#This Row],[_IsLeaf]]=1,Tasks[[#This Row],[_LeafProgress]]&lt;1,N(Tasks[[#This Row],[_LeafTotalSlack]])&lt;=CriticalSlackDays)</f>
        <v>0</v>
      </c>
      <c r="CI4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4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4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4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4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4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4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4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47" s="43" t="n">
        <f aca="false">IF(AND(Tasks[[#This Row],[_IsLeaf]]=1,Tasks[[#This Row],[_LeafWork]]&gt;0),NETWORKDAYS.INTL(ProjectStart,Tasks[[#This Row],[_LeafFcstStart]],WorkWeek,Holidays),0)</f>
        <v>0</v>
      </c>
      <c r="CR4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47" s="43" t="n">
        <f aca="false">IF(AND(Tasks[[#This Row],[_IsLeaf]]=1,Tasks[[#This Row],[_LeafWork]]&gt;0),Tasks[[#This Row],[_LeafWork]]/(Tasks[[#This Row],[_FinishWorkday]]-Tasks[[#This Row],[_StartWorkday]]+1),0)</f>
        <v>0</v>
      </c>
      <c r="CT47" s="43" t="n">
        <f aca="false">Tasks[[#This Row],[_WorkPerWorkday]]*(Tasks[[#This Row],[_StartWorkday]]-1)</f>
        <v>-0</v>
      </c>
      <c r="CU47" s="43" t="n">
        <f aca="false">IF(Tasks[[#This Row],[_IsLeaf]]=1,MAX(N(Tasks[[#This Row],[Duration]]),0.1),0)</f>
        <v>0</v>
      </c>
      <c r="CV47" s="43" t="n">
        <f aca="false">Tasks[[#This Row],[_WeightDur]]*Tasks[[#This Row],[_LeafProgress]]</f>
        <v>0</v>
      </c>
      <c r="CW4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4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4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4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4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47" s="43" t="str">
        <f aca="false">IF(AND(Tasks[[#This Row],[_IsLeaf]]=1,N(Tasks[[#This Row],[Duration]])=0,Tasks[[#This Row],[_LeafProgress]]&lt;1),Tasks[[#This Row],[_LeafFcstFinish]]+Tasks[[#This Row],[_Row]]/100000,"")</f>
        <v/>
      </c>
      <c r="DC4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47" s="43" t="n">
        <f aca="false">IF(NOT(Tasks[[#This Row],[_IsLeaf]]=1),0,IF(Tasks[[#This Row],[Baseline Cost]]="",Tasks[[#This Row],[_LeafCost]],N(Tasks[[#This Row],[Baseline Cost]])))</f>
        <v>0</v>
      </c>
      <c r="DE47" s="43" t="n">
        <f aca="false">Tasks[[#This Row],[_LeafBudget]]*Tasks[[#This Row],[_PlannedPct]]</f>
        <v>0</v>
      </c>
      <c r="DF47" s="43" t="n">
        <f aca="false">Tasks[[#This Row],[_LeafBudget]]*Tasks[[#This Row],[_LeafProgress]]</f>
        <v>0</v>
      </c>
      <c r="DG47" s="43" t="n">
        <f aca="false">IF(NOT(Tasks[[#This Row],[_IsLeaf]]=1),0,IF(Tasks[[#This Row],[Actual Cost]]="",Tasks[[#This Row],[_LeafCost]]*Tasks[[#This Row],[_LeafProgress]],N(Tasks[[#This Row],[Actual Cost]])))</f>
        <v>0</v>
      </c>
      <c r="DH47" s="43" t="str">
        <f aca="false">IF(Tasks[[#This Row],[Task Name]]="","",LEFT(Tasks[[#This Row],[WBS]],FIND(".",Tasks[[#This Row],[WBS]]&amp;".")-1))</f>
        <v/>
      </c>
      <c r="DI47" s="43" t="str">
        <f aca="false">IF(AND(Tasks[[#This Row],[Task Name]]&lt;&gt;"",Tasks[[#This Row],[_Level]]=1),Tasks[[#This Row],[_Row]],"")</f>
        <v/>
      </c>
      <c r="DJ47" s="43" t="str">
        <f aca="false">IF(AND(Tasks[[#This Row],[_IsLeaf]]=1,N(Tasks[[#This Row],[Duration]])=0),Tasks[[#This Row],[Planned Finish]]+Tasks[[#This Row],[_Row]]/100000,"")</f>
        <v/>
      </c>
      <c r="DK4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4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4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47" s="43" t="str">
        <f aca="false">IF(Tasks[[#This Row],[_LeafCritical]],Tasks[[#This Row],[_LeafFcstStart]]+Tasks[[#This Row],[_Row]]/100000,"")</f>
        <v/>
      </c>
      <c r="DO47" s="43" t="n">
        <f aca="false">Tasks[[#This Row],[_LeafWork]]*Tasks[[#This Row],[_LeafProgress]]</f>
        <v>0</v>
      </c>
      <c r="DP4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47" s="43" t="n">
        <f aca="false">IF(Tasks[[#This Row],[_IsLeaf]]=1,N(Tasks[[#This Row],[Story Points]]),0)</f>
        <v>0</v>
      </c>
      <c r="DR47" s="43" t="str">
        <f aca="false">IF(AND(Tasks[[#This Row],[_IsLeaf]]=1,CurrentSprint&lt;&gt;"",Tasks[[#This Row],[Sprint]]=CurrentSprint),Tasks[[#This Row],[_Row]],"")</f>
        <v/>
      </c>
    </row>
    <row r="48" customFormat="false" ht="15" hidden="false" customHeight="false" outlineLevel="0" collapsed="false">
      <c r="A48" s="28" t="str">
        <f aca="false">IF(Tasks[[#This Row],[Task Name]]="","",COUNTA(Tasks[[#Headers],[Task Name]]:Tasks[[#This Row],[Task Name]])-1)</f>
        <v/>
      </c>
      <c r="B48" s="29" t="n">
        <v>43</v>
      </c>
      <c r="C4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48" s="29"/>
      <c r="E48" s="30"/>
      <c r="F48" s="29"/>
      <c r="G48" s="29"/>
      <c r="H48" s="29"/>
      <c r="I48" s="29"/>
      <c r="J48" s="29"/>
      <c r="K48" s="29"/>
      <c r="L48" s="29"/>
      <c r="M48" s="29"/>
      <c r="N48" s="72"/>
      <c r="O48" s="72"/>
      <c r="P48" s="25" t="str">
        <f aca="false">IF(Tasks[[#This Row],[Task Name]]="","",IF(N(Tasks[[#This Row],[Baseline Start]])&gt;0,Tasks[[#This Row],[Baseline Start]],Tasks[[#This Row],[_CalcStart]]))</f>
        <v/>
      </c>
      <c r="Q48" s="25" t="str">
        <f aca="false">IF(Tasks[[#This Row],[Task Name]]="","",IF(N(Tasks[[#This Row],[Baseline Finish]])&gt;0,Tasks[[#This Row],[Baseline Finish]],Tasks[[#This Row],[_CalcFinish]]))</f>
        <v/>
      </c>
      <c r="R48" s="72"/>
      <c r="S48" s="72"/>
      <c r="T4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4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4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4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4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4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4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4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4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4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4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48" s="74"/>
      <c r="AF4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4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48" s="30"/>
      <c r="AI48" s="74"/>
      <c r="AJ4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4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48" s="83"/>
      <c r="AM48" s="29"/>
      <c r="AN4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48" s="84"/>
      <c r="AP4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48" s="30"/>
      <c r="AR48" s="25" t="str">
        <f aca="false">IF(Tasks[[#This Row],[Task Name]]="","",Tasks[[#This Row],[Forecast Start]])</f>
        <v/>
      </c>
      <c r="AS48" s="25" t="str">
        <f aca="false">IF(Tasks[[#This Row],[Task Name]]="","",Tasks[[#This Row],[Forecast Finish]])</f>
        <v/>
      </c>
      <c r="AT4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48" s="81" t="str">
        <f aca="false">IF(Tasks[[#This Row],[Task Name]]="","",Tasks[[#This Row],[Work]])</f>
        <v/>
      </c>
      <c r="AV48" s="82" t="str">
        <f aca="false">IF(Tasks[[#This Row],[Task Name]]="","",Tasks[[#This Row],[Cost]])</f>
        <v/>
      </c>
      <c r="AW48" s="72"/>
      <c r="AX48" s="72"/>
      <c r="AY48" s="29"/>
      <c r="AZ48" s="85"/>
      <c r="BA48" s="83"/>
      <c r="BB48" s="28" t="str">
        <f aca="false">IF(OR(Tasks[[#This Row],[Task Name]]="",Tasks[[#This Row],[Baseline Duration]]=""),"",Tasks[[#This Row],[BL Source Duration]]-N(Tasks[[#This Row],[Baseline Duration]]))</f>
        <v/>
      </c>
      <c r="BC48" s="81" t="str">
        <f aca="false">IF(OR(Tasks[[#This Row],[Task Name]]="",Tasks[[#This Row],[Baseline Work]]=""),"",Tasks[[#This Row],[Work]]-N(Tasks[[#This Row],[Baseline Work]]))</f>
        <v/>
      </c>
      <c r="BD48" s="82" t="str">
        <f aca="false">IF(OR(Tasks[[#This Row],[Task Name]]="",Tasks[[#This Row],[Baseline Cost]]=""),"",Tasks[[#This Row],[Cost]]-N(Tasks[[#This Row],[Baseline Cost]]))</f>
        <v/>
      </c>
      <c r="BE4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4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4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4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48" s="43" t="str">
        <f aca="false">IF(Tasks[[#This Row],[Task Name]]="","",MAX(1,N(Tasks[[#This Row],[Level]])))</f>
        <v/>
      </c>
      <c r="BJ48" s="43" t="n">
        <f aca="false">ROW()-ROW(Tasks[[#Headers],[ID]])</f>
        <v>43</v>
      </c>
      <c r="BK4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48" s="43" t="n">
        <f aca="false">IFERROR(N(INDEX(Tasks[_Level],Tasks[[#This Row],[_Row]]+1)),0)</f>
        <v>0</v>
      </c>
      <c r="BM48" s="86" t="b">
        <f aca="false">AND(Tasks[[#This Row],[Task Name]]&lt;&gt;"",Tasks[[#This Row],[_NextLevel]]&gt;Tasks[[#This Row],[_Level]])</f>
        <v>0</v>
      </c>
      <c r="BN48" s="43" t="n">
        <f aca="false">IF(Tasks[[#This Row],[_IsSummary]],COUNTIF(Tasks[WBS],Tasks[[#This Row],[WBS]]&amp;".*"),0)</f>
        <v>0</v>
      </c>
      <c r="BO48" s="43" t="n">
        <f aca="false">IF(AND(Tasks[[#This Row],[Task Name]]&lt;&gt;"",NOT(Tasks[[#This Row],[_IsSummary]])),1,0)</f>
        <v>0</v>
      </c>
      <c r="BP48" s="43" t="n">
        <f aca="false">IF(N(Tasks[[#This Row],[Pred1 UID]])=0,0,IFERROR(MATCH(Tasks[[#This Row],[Pred1 UID]],Tasks[UID],0),-1))</f>
        <v>0</v>
      </c>
      <c r="BQ48" s="43" t="n">
        <f aca="false">IF(N(Tasks[[#This Row],[Pred2 UID]])=0,0,IFERROR(MATCH(Tasks[[#This Row],[Pred2 UID]],Tasks[UID],0),-1))</f>
        <v>0</v>
      </c>
      <c r="BR4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4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4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4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48" s="43" t="n">
        <f aca="false">IF(NOT(Tasks[[#This Row],[_IsLeaf]]=1),0,IF(N(Tasks[[#This Row],[Actual Finish]])&gt;0,1,MIN(1,N(Tasks[[#This Row],[% Complete]]))))</f>
        <v>0</v>
      </c>
      <c r="BW4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48" s="43" t="n">
        <f aca="false">IF(Tasks[[#This Row],[_LeafWork]]=0,0,Tasks[[#This Row],[_LeafWork]]*IFERROR(INDEX(res_Rate,MATCH(Tasks[[#This Row],[Resource]],res_Name,0)),0))</f>
        <v>0</v>
      </c>
      <c r="BY4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4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4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4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48" s="43" t="n">
        <f aca="false">IF(NOT(Tasks[[#This Row],[_IsLeaf]]=1),0,MAX(_xlfn.MAXIFS(Tasks[_Row],Tasks[Pred1 UID],Tasks[[#This Row],[UID]]),_xlfn.MAXIFS(Tasks[_Row],Tasks[Pred2 UID],Tasks[[#This Row],[UID]])))</f>
        <v>0</v>
      </c>
      <c r="CD4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48" s="87" t="str">
        <f aca="false">IF(NOT(Tasks[[#This Row],[_IsLeaf]]=1),"",MIN(ProjectFinish,IF(N(Tasks[[#This Row],[Deadline]])&gt;0,Tasks[[#This Row],[Deadline]],2958465),Tasks[[#This Row],[_SuccessorFinishLimit]]))</f>
        <v/>
      </c>
      <c r="CF4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4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48" s="86" t="b">
        <f aca="false">AND(Tasks[[#This Row],[_IsLeaf]]=1,Tasks[[#This Row],[_LeafProgress]]&lt;1,N(Tasks[[#This Row],[_LeafTotalSlack]])&lt;=CriticalSlackDays)</f>
        <v>0</v>
      </c>
      <c r="CI4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4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4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4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4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4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4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4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48" s="43" t="n">
        <f aca="false">IF(AND(Tasks[[#This Row],[_IsLeaf]]=1,Tasks[[#This Row],[_LeafWork]]&gt;0),NETWORKDAYS.INTL(ProjectStart,Tasks[[#This Row],[_LeafFcstStart]],WorkWeek,Holidays),0)</f>
        <v>0</v>
      </c>
      <c r="CR4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48" s="43" t="n">
        <f aca="false">IF(AND(Tasks[[#This Row],[_IsLeaf]]=1,Tasks[[#This Row],[_LeafWork]]&gt;0),Tasks[[#This Row],[_LeafWork]]/(Tasks[[#This Row],[_FinishWorkday]]-Tasks[[#This Row],[_StartWorkday]]+1),0)</f>
        <v>0</v>
      </c>
      <c r="CT48" s="43" t="n">
        <f aca="false">Tasks[[#This Row],[_WorkPerWorkday]]*(Tasks[[#This Row],[_StartWorkday]]-1)</f>
        <v>-0</v>
      </c>
      <c r="CU48" s="43" t="n">
        <f aca="false">IF(Tasks[[#This Row],[_IsLeaf]]=1,MAX(N(Tasks[[#This Row],[Duration]]),0.1),0)</f>
        <v>0</v>
      </c>
      <c r="CV48" s="43" t="n">
        <f aca="false">Tasks[[#This Row],[_WeightDur]]*Tasks[[#This Row],[_LeafProgress]]</f>
        <v>0</v>
      </c>
      <c r="CW4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4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4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4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4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48" s="43" t="str">
        <f aca="false">IF(AND(Tasks[[#This Row],[_IsLeaf]]=1,N(Tasks[[#This Row],[Duration]])=0,Tasks[[#This Row],[_LeafProgress]]&lt;1),Tasks[[#This Row],[_LeafFcstFinish]]+Tasks[[#This Row],[_Row]]/100000,"")</f>
        <v/>
      </c>
      <c r="DC4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48" s="43" t="n">
        <f aca="false">IF(NOT(Tasks[[#This Row],[_IsLeaf]]=1),0,IF(Tasks[[#This Row],[Baseline Cost]]="",Tasks[[#This Row],[_LeafCost]],N(Tasks[[#This Row],[Baseline Cost]])))</f>
        <v>0</v>
      </c>
      <c r="DE48" s="43" t="n">
        <f aca="false">Tasks[[#This Row],[_LeafBudget]]*Tasks[[#This Row],[_PlannedPct]]</f>
        <v>0</v>
      </c>
      <c r="DF48" s="43" t="n">
        <f aca="false">Tasks[[#This Row],[_LeafBudget]]*Tasks[[#This Row],[_LeafProgress]]</f>
        <v>0</v>
      </c>
      <c r="DG48" s="43" t="n">
        <f aca="false">IF(NOT(Tasks[[#This Row],[_IsLeaf]]=1),0,IF(Tasks[[#This Row],[Actual Cost]]="",Tasks[[#This Row],[_LeafCost]]*Tasks[[#This Row],[_LeafProgress]],N(Tasks[[#This Row],[Actual Cost]])))</f>
        <v>0</v>
      </c>
      <c r="DH48" s="43" t="str">
        <f aca="false">IF(Tasks[[#This Row],[Task Name]]="","",LEFT(Tasks[[#This Row],[WBS]],FIND(".",Tasks[[#This Row],[WBS]]&amp;".")-1))</f>
        <v/>
      </c>
      <c r="DI48" s="43" t="str">
        <f aca="false">IF(AND(Tasks[[#This Row],[Task Name]]&lt;&gt;"",Tasks[[#This Row],[_Level]]=1),Tasks[[#This Row],[_Row]],"")</f>
        <v/>
      </c>
      <c r="DJ48" s="43" t="str">
        <f aca="false">IF(AND(Tasks[[#This Row],[_IsLeaf]]=1,N(Tasks[[#This Row],[Duration]])=0),Tasks[[#This Row],[Planned Finish]]+Tasks[[#This Row],[_Row]]/100000,"")</f>
        <v/>
      </c>
      <c r="DK4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4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4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48" s="43" t="str">
        <f aca="false">IF(Tasks[[#This Row],[_LeafCritical]],Tasks[[#This Row],[_LeafFcstStart]]+Tasks[[#This Row],[_Row]]/100000,"")</f>
        <v/>
      </c>
      <c r="DO48" s="43" t="n">
        <f aca="false">Tasks[[#This Row],[_LeafWork]]*Tasks[[#This Row],[_LeafProgress]]</f>
        <v>0</v>
      </c>
      <c r="DP4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48" s="43" t="n">
        <f aca="false">IF(Tasks[[#This Row],[_IsLeaf]]=1,N(Tasks[[#This Row],[Story Points]]),0)</f>
        <v>0</v>
      </c>
      <c r="DR48" s="43" t="str">
        <f aca="false">IF(AND(Tasks[[#This Row],[_IsLeaf]]=1,CurrentSprint&lt;&gt;"",Tasks[[#This Row],[Sprint]]=CurrentSprint),Tasks[[#This Row],[_Row]],"")</f>
        <v/>
      </c>
    </row>
    <row r="49" customFormat="false" ht="15" hidden="false" customHeight="false" outlineLevel="0" collapsed="false">
      <c r="A49" s="28" t="str">
        <f aca="false">IF(Tasks[[#This Row],[Task Name]]="","",COUNTA(Tasks[[#Headers],[Task Name]]:Tasks[[#This Row],[Task Name]])-1)</f>
        <v/>
      </c>
      <c r="B49" s="29" t="n">
        <v>44</v>
      </c>
      <c r="C4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49" s="29"/>
      <c r="E49" s="30"/>
      <c r="F49" s="29"/>
      <c r="G49" s="29"/>
      <c r="H49" s="29"/>
      <c r="I49" s="29"/>
      <c r="J49" s="29"/>
      <c r="K49" s="29"/>
      <c r="L49" s="29"/>
      <c r="M49" s="29"/>
      <c r="N49" s="72"/>
      <c r="O49" s="72"/>
      <c r="P49" s="25" t="str">
        <f aca="false">IF(Tasks[[#This Row],[Task Name]]="","",IF(N(Tasks[[#This Row],[Baseline Start]])&gt;0,Tasks[[#This Row],[Baseline Start]],Tasks[[#This Row],[_CalcStart]]))</f>
        <v/>
      </c>
      <c r="Q49" s="25" t="str">
        <f aca="false">IF(Tasks[[#This Row],[Task Name]]="","",IF(N(Tasks[[#This Row],[Baseline Finish]])&gt;0,Tasks[[#This Row],[Baseline Finish]],Tasks[[#This Row],[_CalcFinish]]))</f>
        <v/>
      </c>
      <c r="R49" s="72"/>
      <c r="S49" s="72"/>
      <c r="T4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4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4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4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4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4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4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4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4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4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4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49" s="74"/>
      <c r="AF4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4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49" s="30"/>
      <c r="AI49" s="74"/>
      <c r="AJ4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4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49" s="83"/>
      <c r="AM49" s="29"/>
      <c r="AN4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49" s="84"/>
      <c r="AP4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49" s="30"/>
      <c r="AR49" s="25" t="str">
        <f aca="false">IF(Tasks[[#This Row],[Task Name]]="","",Tasks[[#This Row],[Forecast Start]])</f>
        <v/>
      </c>
      <c r="AS49" s="25" t="str">
        <f aca="false">IF(Tasks[[#This Row],[Task Name]]="","",Tasks[[#This Row],[Forecast Finish]])</f>
        <v/>
      </c>
      <c r="AT4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49" s="81" t="str">
        <f aca="false">IF(Tasks[[#This Row],[Task Name]]="","",Tasks[[#This Row],[Work]])</f>
        <v/>
      </c>
      <c r="AV49" s="82" t="str">
        <f aca="false">IF(Tasks[[#This Row],[Task Name]]="","",Tasks[[#This Row],[Cost]])</f>
        <v/>
      </c>
      <c r="AW49" s="72"/>
      <c r="AX49" s="72"/>
      <c r="AY49" s="29"/>
      <c r="AZ49" s="85"/>
      <c r="BA49" s="83"/>
      <c r="BB49" s="28" t="str">
        <f aca="false">IF(OR(Tasks[[#This Row],[Task Name]]="",Tasks[[#This Row],[Baseline Duration]]=""),"",Tasks[[#This Row],[BL Source Duration]]-N(Tasks[[#This Row],[Baseline Duration]]))</f>
        <v/>
      </c>
      <c r="BC49" s="81" t="str">
        <f aca="false">IF(OR(Tasks[[#This Row],[Task Name]]="",Tasks[[#This Row],[Baseline Work]]=""),"",Tasks[[#This Row],[Work]]-N(Tasks[[#This Row],[Baseline Work]]))</f>
        <v/>
      </c>
      <c r="BD49" s="82" t="str">
        <f aca="false">IF(OR(Tasks[[#This Row],[Task Name]]="",Tasks[[#This Row],[Baseline Cost]]=""),"",Tasks[[#This Row],[Cost]]-N(Tasks[[#This Row],[Baseline Cost]]))</f>
        <v/>
      </c>
      <c r="BE4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4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4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4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49" s="43" t="str">
        <f aca="false">IF(Tasks[[#This Row],[Task Name]]="","",MAX(1,N(Tasks[[#This Row],[Level]])))</f>
        <v/>
      </c>
      <c r="BJ49" s="43" t="n">
        <f aca="false">ROW()-ROW(Tasks[[#Headers],[ID]])</f>
        <v>44</v>
      </c>
      <c r="BK4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49" s="43" t="n">
        <f aca="false">IFERROR(N(INDEX(Tasks[_Level],Tasks[[#This Row],[_Row]]+1)),0)</f>
        <v>0</v>
      </c>
      <c r="BM49" s="86" t="b">
        <f aca="false">AND(Tasks[[#This Row],[Task Name]]&lt;&gt;"",Tasks[[#This Row],[_NextLevel]]&gt;Tasks[[#This Row],[_Level]])</f>
        <v>0</v>
      </c>
      <c r="BN49" s="43" t="n">
        <f aca="false">IF(Tasks[[#This Row],[_IsSummary]],COUNTIF(Tasks[WBS],Tasks[[#This Row],[WBS]]&amp;".*"),0)</f>
        <v>0</v>
      </c>
      <c r="BO49" s="43" t="n">
        <f aca="false">IF(AND(Tasks[[#This Row],[Task Name]]&lt;&gt;"",NOT(Tasks[[#This Row],[_IsSummary]])),1,0)</f>
        <v>0</v>
      </c>
      <c r="BP49" s="43" t="n">
        <f aca="false">IF(N(Tasks[[#This Row],[Pred1 UID]])=0,0,IFERROR(MATCH(Tasks[[#This Row],[Pred1 UID]],Tasks[UID],0),-1))</f>
        <v>0</v>
      </c>
      <c r="BQ49" s="43" t="n">
        <f aca="false">IF(N(Tasks[[#This Row],[Pred2 UID]])=0,0,IFERROR(MATCH(Tasks[[#This Row],[Pred2 UID]],Tasks[UID],0),-1))</f>
        <v>0</v>
      </c>
      <c r="BR4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4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4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4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49" s="43" t="n">
        <f aca="false">IF(NOT(Tasks[[#This Row],[_IsLeaf]]=1),0,IF(N(Tasks[[#This Row],[Actual Finish]])&gt;0,1,MIN(1,N(Tasks[[#This Row],[% Complete]]))))</f>
        <v>0</v>
      </c>
      <c r="BW4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49" s="43" t="n">
        <f aca="false">IF(Tasks[[#This Row],[_LeafWork]]=0,0,Tasks[[#This Row],[_LeafWork]]*IFERROR(INDEX(res_Rate,MATCH(Tasks[[#This Row],[Resource]],res_Name,0)),0))</f>
        <v>0</v>
      </c>
      <c r="BY4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4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4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4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49" s="43" t="n">
        <f aca="false">IF(NOT(Tasks[[#This Row],[_IsLeaf]]=1),0,MAX(_xlfn.MAXIFS(Tasks[_Row],Tasks[Pred1 UID],Tasks[[#This Row],[UID]]),_xlfn.MAXIFS(Tasks[_Row],Tasks[Pred2 UID],Tasks[[#This Row],[UID]])))</f>
        <v>0</v>
      </c>
      <c r="CD4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49" s="87" t="str">
        <f aca="false">IF(NOT(Tasks[[#This Row],[_IsLeaf]]=1),"",MIN(ProjectFinish,IF(N(Tasks[[#This Row],[Deadline]])&gt;0,Tasks[[#This Row],[Deadline]],2958465),Tasks[[#This Row],[_SuccessorFinishLimit]]))</f>
        <v/>
      </c>
      <c r="CF4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4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49" s="86" t="b">
        <f aca="false">AND(Tasks[[#This Row],[_IsLeaf]]=1,Tasks[[#This Row],[_LeafProgress]]&lt;1,N(Tasks[[#This Row],[_LeafTotalSlack]])&lt;=CriticalSlackDays)</f>
        <v>0</v>
      </c>
      <c r="CI4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4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4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4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4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4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4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4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49" s="43" t="n">
        <f aca="false">IF(AND(Tasks[[#This Row],[_IsLeaf]]=1,Tasks[[#This Row],[_LeafWork]]&gt;0),NETWORKDAYS.INTL(ProjectStart,Tasks[[#This Row],[_LeafFcstStart]],WorkWeek,Holidays),0)</f>
        <v>0</v>
      </c>
      <c r="CR4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49" s="43" t="n">
        <f aca="false">IF(AND(Tasks[[#This Row],[_IsLeaf]]=1,Tasks[[#This Row],[_LeafWork]]&gt;0),Tasks[[#This Row],[_LeafWork]]/(Tasks[[#This Row],[_FinishWorkday]]-Tasks[[#This Row],[_StartWorkday]]+1),0)</f>
        <v>0</v>
      </c>
      <c r="CT49" s="43" t="n">
        <f aca="false">Tasks[[#This Row],[_WorkPerWorkday]]*(Tasks[[#This Row],[_StartWorkday]]-1)</f>
        <v>-0</v>
      </c>
      <c r="CU49" s="43" t="n">
        <f aca="false">IF(Tasks[[#This Row],[_IsLeaf]]=1,MAX(N(Tasks[[#This Row],[Duration]]),0.1),0)</f>
        <v>0</v>
      </c>
      <c r="CV49" s="43" t="n">
        <f aca="false">Tasks[[#This Row],[_WeightDur]]*Tasks[[#This Row],[_LeafProgress]]</f>
        <v>0</v>
      </c>
      <c r="CW4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4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4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4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4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49" s="43" t="str">
        <f aca="false">IF(AND(Tasks[[#This Row],[_IsLeaf]]=1,N(Tasks[[#This Row],[Duration]])=0,Tasks[[#This Row],[_LeafProgress]]&lt;1),Tasks[[#This Row],[_LeafFcstFinish]]+Tasks[[#This Row],[_Row]]/100000,"")</f>
        <v/>
      </c>
      <c r="DC4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49" s="43" t="n">
        <f aca="false">IF(NOT(Tasks[[#This Row],[_IsLeaf]]=1),0,IF(Tasks[[#This Row],[Baseline Cost]]="",Tasks[[#This Row],[_LeafCost]],N(Tasks[[#This Row],[Baseline Cost]])))</f>
        <v>0</v>
      </c>
      <c r="DE49" s="43" t="n">
        <f aca="false">Tasks[[#This Row],[_LeafBudget]]*Tasks[[#This Row],[_PlannedPct]]</f>
        <v>0</v>
      </c>
      <c r="DF49" s="43" t="n">
        <f aca="false">Tasks[[#This Row],[_LeafBudget]]*Tasks[[#This Row],[_LeafProgress]]</f>
        <v>0</v>
      </c>
      <c r="DG49" s="43" t="n">
        <f aca="false">IF(NOT(Tasks[[#This Row],[_IsLeaf]]=1),0,IF(Tasks[[#This Row],[Actual Cost]]="",Tasks[[#This Row],[_LeafCost]]*Tasks[[#This Row],[_LeafProgress]],N(Tasks[[#This Row],[Actual Cost]])))</f>
        <v>0</v>
      </c>
      <c r="DH49" s="43" t="str">
        <f aca="false">IF(Tasks[[#This Row],[Task Name]]="","",LEFT(Tasks[[#This Row],[WBS]],FIND(".",Tasks[[#This Row],[WBS]]&amp;".")-1))</f>
        <v/>
      </c>
      <c r="DI49" s="43" t="str">
        <f aca="false">IF(AND(Tasks[[#This Row],[Task Name]]&lt;&gt;"",Tasks[[#This Row],[_Level]]=1),Tasks[[#This Row],[_Row]],"")</f>
        <v/>
      </c>
      <c r="DJ49" s="43" t="str">
        <f aca="false">IF(AND(Tasks[[#This Row],[_IsLeaf]]=1,N(Tasks[[#This Row],[Duration]])=0),Tasks[[#This Row],[Planned Finish]]+Tasks[[#This Row],[_Row]]/100000,"")</f>
        <v/>
      </c>
      <c r="DK4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4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4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49" s="43" t="str">
        <f aca="false">IF(Tasks[[#This Row],[_LeafCritical]],Tasks[[#This Row],[_LeafFcstStart]]+Tasks[[#This Row],[_Row]]/100000,"")</f>
        <v/>
      </c>
      <c r="DO49" s="43" t="n">
        <f aca="false">Tasks[[#This Row],[_LeafWork]]*Tasks[[#This Row],[_LeafProgress]]</f>
        <v>0</v>
      </c>
      <c r="DP4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49" s="43" t="n">
        <f aca="false">IF(Tasks[[#This Row],[_IsLeaf]]=1,N(Tasks[[#This Row],[Story Points]]),0)</f>
        <v>0</v>
      </c>
      <c r="DR49" s="43" t="str">
        <f aca="false">IF(AND(Tasks[[#This Row],[_IsLeaf]]=1,CurrentSprint&lt;&gt;"",Tasks[[#This Row],[Sprint]]=CurrentSprint),Tasks[[#This Row],[_Row]],"")</f>
        <v/>
      </c>
    </row>
    <row r="50" customFormat="false" ht="15" hidden="false" customHeight="false" outlineLevel="0" collapsed="false">
      <c r="A50" s="28" t="str">
        <f aca="false">IF(Tasks[[#This Row],[Task Name]]="","",COUNTA(Tasks[[#Headers],[Task Name]]:Tasks[[#This Row],[Task Name]])-1)</f>
        <v/>
      </c>
      <c r="B50" s="29" t="n">
        <v>45</v>
      </c>
      <c r="C5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50" s="29"/>
      <c r="E50" s="30"/>
      <c r="F50" s="29"/>
      <c r="G50" s="29"/>
      <c r="H50" s="29"/>
      <c r="I50" s="29"/>
      <c r="J50" s="29"/>
      <c r="K50" s="29"/>
      <c r="L50" s="29"/>
      <c r="M50" s="29"/>
      <c r="N50" s="72"/>
      <c r="O50" s="72"/>
      <c r="P50" s="25" t="str">
        <f aca="false">IF(Tasks[[#This Row],[Task Name]]="","",IF(N(Tasks[[#This Row],[Baseline Start]])&gt;0,Tasks[[#This Row],[Baseline Start]],Tasks[[#This Row],[_CalcStart]]))</f>
        <v/>
      </c>
      <c r="Q50" s="25" t="str">
        <f aca="false">IF(Tasks[[#This Row],[Task Name]]="","",IF(N(Tasks[[#This Row],[Baseline Finish]])&gt;0,Tasks[[#This Row],[Baseline Finish]],Tasks[[#This Row],[_CalcFinish]]))</f>
        <v/>
      </c>
      <c r="R50" s="72"/>
      <c r="S50" s="72"/>
      <c r="T5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5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5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5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5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5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5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5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5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5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5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50" s="74"/>
      <c r="AF5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5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50" s="30"/>
      <c r="AI50" s="74"/>
      <c r="AJ5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5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50" s="83"/>
      <c r="AM50" s="29"/>
      <c r="AN5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50" s="84"/>
      <c r="AP5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50" s="30"/>
      <c r="AR50" s="25" t="str">
        <f aca="false">IF(Tasks[[#This Row],[Task Name]]="","",Tasks[[#This Row],[Forecast Start]])</f>
        <v/>
      </c>
      <c r="AS50" s="25" t="str">
        <f aca="false">IF(Tasks[[#This Row],[Task Name]]="","",Tasks[[#This Row],[Forecast Finish]])</f>
        <v/>
      </c>
      <c r="AT5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50" s="81" t="str">
        <f aca="false">IF(Tasks[[#This Row],[Task Name]]="","",Tasks[[#This Row],[Work]])</f>
        <v/>
      </c>
      <c r="AV50" s="82" t="str">
        <f aca="false">IF(Tasks[[#This Row],[Task Name]]="","",Tasks[[#This Row],[Cost]])</f>
        <v/>
      </c>
      <c r="AW50" s="72"/>
      <c r="AX50" s="72"/>
      <c r="AY50" s="29"/>
      <c r="AZ50" s="85"/>
      <c r="BA50" s="83"/>
      <c r="BB50" s="28" t="str">
        <f aca="false">IF(OR(Tasks[[#This Row],[Task Name]]="",Tasks[[#This Row],[Baseline Duration]]=""),"",Tasks[[#This Row],[BL Source Duration]]-N(Tasks[[#This Row],[Baseline Duration]]))</f>
        <v/>
      </c>
      <c r="BC50" s="81" t="str">
        <f aca="false">IF(OR(Tasks[[#This Row],[Task Name]]="",Tasks[[#This Row],[Baseline Work]]=""),"",Tasks[[#This Row],[Work]]-N(Tasks[[#This Row],[Baseline Work]]))</f>
        <v/>
      </c>
      <c r="BD50" s="82" t="str">
        <f aca="false">IF(OR(Tasks[[#This Row],[Task Name]]="",Tasks[[#This Row],[Baseline Cost]]=""),"",Tasks[[#This Row],[Cost]]-N(Tasks[[#This Row],[Baseline Cost]]))</f>
        <v/>
      </c>
      <c r="BE5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5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5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5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50" s="43" t="str">
        <f aca="false">IF(Tasks[[#This Row],[Task Name]]="","",MAX(1,N(Tasks[[#This Row],[Level]])))</f>
        <v/>
      </c>
      <c r="BJ50" s="43" t="n">
        <f aca="false">ROW()-ROW(Tasks[[#Headers],[ID]])</f>
        <v>45</v>
      </c>
      <c r="BK5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50" s="43" t="n">
        <f aca="false">IFERROR(N(INDEX(Tasks[_Level],Tasks[[#This Row],[_Row]]+1)),0)</f>
        <v>0</v>
      </c>
      <c r="BM50" s="86" t="b">
        <f aca="false">AND(Tasks[[#This Row],[Task Name]]&lt;&gt;"",Tasks[[#This Row],[_NextLevel]]&gt;Tasks[[#This Row],[_Level]])</f>
        <v>0</v>
      </c>
      <c r="BN50" s="43" t="n">
        <f aca="false">IF(Tasks[[#This Row],[_IsSummary]],COUNTIF(Tasks[WBS],Tasks[[#This Row],[WBS]]&amp;".*"),0)</f>
        <v>0</v>
      </c>
      <c r="BO50" s="43" t="n">
        <f aca="false">IF(AND(Tasks[[#This Row],[Task Name]]&lt;&gt;"",NOT(Tasks[[#This Row],[_IsSummary]])),1,0)</f>
        <v>0</v>
      </c>
      <c r="BP50" s="43" t="n">
        <f aca="false">IF(N(Tasks[[#This Row],[Pred1 UID]])=0,0,IFERROR(MATCH(Tasks[[#This Row],[Pred1 UID]],Tasks[UID],0),-1))</f>
        <v>0</v>
      </c>
      <c r="BQ50" s="43" t="n">
        <f aca="false">IF(N(Tasks[[#This Row],[Pred2 UID]])=0,0,IFERROR(MATCH(Tasks[[#This Row],[Pred2 UID]],Tasks[UID],0),-1))</f>
        <v>0</v>
      </c>
      <c r="BR5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5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5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5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50" s="43" t="n">
        <f aca="false">IF(NOT(Tasks[[#This Row],[_IsLeaf]]=1),0,IF(N(Tasks[[#This Row],[Actual Finish]])&gt;0,1,MIN(1,N(Tasks[[#This Row],[% Complete]]))))</f>
        <v>0</v>
      </c>
      <c r="BW5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50" s="43" t="n">
        <f aca="false">IF(Tasks[[#This Row],[_LeafWork]]=0,0,Tasks[[#This Row],[_LeafWork]]*IFERROR(INDEX(res_Rate,MATCH(Tasks[[#This Row],[Resource]],res_Name,0)),0))</f>
        <v>0</v>
      </c>
      <c r="BY5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5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5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5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50" s="43" t="n">
        <f aca="false">IF(NOT(Tasks[[#This Row],[_IsLeaf]]=1),0,MAX(_xlfn.MAXIFS(Tasks[_Row],Tasks[Pred1 UID],Tasks[[#This Row],[UID]]),_xlfn.MAXIFS(Tasks[_Row],Tasks[Pred2 UID],Tasks[[#This Row],[UID]])))</f>
        <v>0</v>
      </c>
      <c r="CD5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50" s="87" t="str">
        <f aca="false">IF(NOT(Tasks[[#This Row],[_IsLeaf]]=1),"",MIN(ProjectFinish,IF(N(Tasks[[#This Row],[Deadline]])&gt;0,Tasks[[#This Row],[Deadline]],2958465),Tasks[[#This Row],[_SuccessorFinishLimit]]))</f>
        <v/>
      </c>
      <c r="CF5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5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50" s="86" t="b">
        <f aca="false">AND(Tasks[[#This Row],[_IsLeaf]]=1,Tasks[[#This Row],[_LeafProgress]]&lt;1,N(Tasks[[#This Row],[_LeafTotalSlack]])&lt;=CriticalSlackDays)</f>
        <v>0</v>
      </c>
      <c r="CI5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5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5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5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5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5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5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5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50" s="43" t="n">
        <f aca="false">IF(AND(Tasks[[#This Row],[_IsLeaf]]=1,Tasks[[#This Row],[_LeafWork]]&gt;0),NETWORKDAYS.INTL(ProjectStart,Tasks[[#This Row],[_LeafFcstStart]],WorkWeek,Holidays),0)</f>
        <v>0</v>
      </c>
      <c r="CR5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50" s="43" t="n">
        <f aca="false">IF(AND(Tasks[[#This Row],[_IsLeaf]]=1,Tasks[[#This Row],[_LeafWork]]&gt;0),Tasks[[#This Row],[_LeafWork]]/(Tasks[[#This Row],[_FinishWorkday]]-Tasks[[#This Row],[_StartWorkday]]+1),0)</f>
        <v>0</v>
      </c>
      <c r="CT50" s="43" t="n">
        <f aca="false">Tasks[[#This Row],[_WorkPerWorkday]]*(Tasks[[#This Row],[_StartWorkday]]-1)</f>
        <v>-0</v>
      </c>
      <c r="CU50" s="43" t="n">
        <f aca="false">IF(Tasks[[#This Row],[_IsLeaf]]=1,MAX(N(Tasks[[#This Row],[Duration]]),0.1),0)</f>
        <v>0</v>
      </c>
      <c r="CV50" s="43" t="n">
        <f aca="false">Tasks[[#This Row],[_WeightDur]]*Tasks[[#This Row],[_LeafProgress]]</f>
        <v>0</v>
      </c>
      <c r="CW5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5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5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5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5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50" s="43" t="str">
        <f aca="false">IF(AND(Tasks[[#This Row],[_IsLeaf]]=1,N(Tasks[[#This Row],[Duration]])=0,Tasks[[#This Row],[_LeafProgress]]&lt;1),Tasks[[#This Row],[_LeafFcstFinish]]+Tasks[[#This Row],[_Row]]/100000,"")</f>
        <v/>
      </c>
      <c r="DC5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50" s="43" t="n">
        <f aca="false">IF(NOT(Tasks[[#This Row],[_IsLeaf]]=1),0,IF(Tasks[[#This Row],[Baseline Cost]]="",Tasks[[#This Row],[_LeafCost]],N(Tasks[[#This Row],[Baseline Cost]])))</f>
        <v>0</v>
      </c>
      <c r="DE50" s="43" t="n">
        <f aca="false">Tasks[[#This Row],[_LeafBudget]]*Tasks[[#This Row],[_PlannedPct]]</f>
        <v>0</v>
      </c>
      <c r="DF50" s="43" t="n">
        <f aca="false">Tasks[[#This Row],[_LeafBudget]]*Tasks[[#This Row],[_LeafProgress]]</f>
        <v>0</v>
      </c>
      <c r="DG50" s="43" t="n">
        <f aca="false">IF(NOT(Tasks[[#This Row],[_IsLeaf]]=1),0,IF(Tasks[[#This Row],[Actual Cost]]="",Tasks[[#This Row],[_LeafCost]]*Tasks[[#This Row],[_LeafProgress]],N(Tasks[[#This Row],[Actual Cost]])))</f>
        <v>0</v>
      </c>
      <c r="DH50" s="43" t="str">
        <f aca="false">IF(Tasks[[#This Row],[Task Name]]="","",LEFT(Tasks[[#This Row],[WBS]],FIND(".",Tasks[[#This Row],[WBS]]&amp;".")-1))</f>
        <v/>
      </c>
      <c r="DI50" s="43" t="str">
        <f aca="false">IF(AND(Tasks[[#This Row],[Task Name]]&lt;&gt;"",Tasks[[#This Row],[_Level]]=1),Tasks[[#This Row],[_Row]],"")</f>
        <v/>
      </c>
      <c r="DJ50" s="43" t="str">
        <f aca="false">IF(AND(Tasks[[#This Row],[_IsLeaf]]=1,N(Tasks[[#This Row],[Duration]])=0),Tasks[[#This Row],[Planned Finish]]+Tasks[[#This Row],[_Row]]/100000,"")</f>
        <v/>
      </c>
      <c r="DK5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5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5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50" s="43" t="str">
        <f aca="false">IF(Tasks[[#This Row],[_LeafCritical]],Tasks[[#This Row],[_LeafFcstStart]]+Tasks[[#This Row],[_Row]]/100000,"")</f>
        <v/>
      </c>
      <c r="DO50" s="43" t="n">
        <f aca="false">Tasks[[#This Row],[_LeafWork]]*Tasks[[#This Row],[_LeafProgress]]</f>
        <v>0</v>
      </c>
      <c r="DP5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50" s="43" t="n">
        <f aca="false">IF(Tasks[[#This Row],[_IsLeaf]]=1,N(Tasks[[#This Row],[Story Points]]),0)</f>
        <v>0</v>
      </c>
      <c r="DR50" s="43" t="str">
        <f aca="false">IF(AND(Tasks[[#This Row],[_IsLeaf]]=1,CurrentSprint&lt;&gt;"",Tasks[[#This Row],[Sprint]]=CurrentSprint),Tasks[[#This Row],[_Row]],"")</f>
        <v/>
      </c>
    </row>
    <row r="51" customFormat="false" ht="15" hidden="false" customHeight="false" outlineLevel="0" collapsed="false">
      <c r="A51" s="28" t="str">
        <f aca="false">IF(Tasks[[#This Row],[Task Name]]="","",COUNTA(Tasks[[#Headers],[Task Name]]:Tasks[[#This Row],[Task Name]])-1)</f>
        <v/>
      </c>
      <c r="B51" s="29" t="n">
        <v>46</v>
      </c>
      <c r="C5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51" s="29"/>
      <c r="E51" s="30"/>
      <c r="F51" s="29"/>
      <c r="G51" s="29"/>
      <c r="H51" s="29"/>
      <c r="I51" s="29"/>
      <c r="J51" s="29"/>
      <c r="K51" s="29"/>
      <c r="L51" s="29"/>
      <c r="M51" s="29"/>
      <c r="N51" s="72"/>
      <c r="O51" s="72"/>
      <c r="P51" s="25" t="str">
        <f aca="false">IF(Tasks[[#This Row],[Task Name]]="","",IF(N(Tasks[[#This Row],[Baseline Start]])&gt;0,Tasks[[#This Row],[Baseline Start]],Tasks[[#This Row],[_CalcStart]]))</f>
        <v/>
      </c>
      <c r="Q51" s="25" t="str">
        <f aca="false">IF(Tasks[[#This Row],[Task Name]]="","",IF(N(Tasks[[#This Row],[Baseline Finish]])&gt;0,Tasks[[#This Row],[Baseline Finish]],Tasks[[#This Row],[_CalcFinish]]))</f>
        <v/>
      </c>
      <c r="R51" s="72"/>
      <c r="S51" s="72"/>
      <c r="T5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5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5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5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5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5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5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5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5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5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5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51" s="74"/>
      <c r="AF5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5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51" s="30"/>
      <c r="AI51" s="74"/>
      <c r="AJ5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5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51" s="83"/>
      <c r="AM51" s="29"/>
      <c r="AN5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51" s="84"/>
      <c r="AP5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51" s="30"/>
      <c r="AR51" s="25" t="str">
        <f aca="false">IF(Tasks[[#This Row],[Task Name]]="","",Tasks[[#This Row],[Forecast Start]])</f>
        <v/>
      </c>
      <c r="AS51" s="25" t="str">
        <f aca="false">IF(Tasks[[#This Row],[Task Name]]="","",Tasks[[#This Row],[Forecast Finish]])</f>
        <v/>
      </c>
      <c r="AT5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51" s="81" t="str">
        <f aca="false">IF(Tasks[[#This Row],[Task Name]]="","",Tasks[[#This Row],[Work]])</f>
        <v/>
      </c>
      <c r="AV51" s="82" t="str">
        <f aca="false">IF(Tasks[[#This Row],[Task Name]]="","",Tasks[[#This Row],[Cost]])</f>
        <v/>
      </c>
      <c r="AW51" s="72"/>
      <c r="AX51" s="72"/>
      <c r="AY51" s="29"/>
      <c r="AZ51" s="85"/>
      <c r="BA51" s="83"/>
      <c r="BB51" s="28" t="str">
        <f aca="false">IF(OR(Tasks[[#This Row],[Task Name]]="",Tasks[[#This Row],[Baseline Duration]]=""),"",Tasks[[#This Row],[BL Source Duration]]-N(Tasks[[#This Row],[Baseline Duration]]))</f>
        <v/>
      </c>
      <c r="BC51" s="81" t="str">
        <f aca="false">IF(OR(Tasks[[#This Row],[Task Name]]="",Tasks[[#This Row],[Baseline Work]]=""),"",Tasks[[#This Row],[Work]]-N(Tasks[[#This Row],[Baseline Work]]))</f>
        <v/>
      </c>
      <c r="BD51" s="82" t="str">
        <f aca="false">IF(OR(Tasks[[#This Row],[Task Name]]="",Tasks[[#This Row],[Baseline Cost]]=""),"",Tasks[[#This Row],[Cost]]-N(Tasks[[#This Row],[Baseline Cost]]))</f>
        <v/>
      </c>
      <c r="BE5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5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5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5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51" s="43" t="str">
        <f aca="false">IF(Tasks[[#This Row],[Task Name]]="","",MAX(1,N(Tasks[[#This Row],[Level]])))</f>
        <v/>
      </c>
      <c r="BJ51" s="43" t="n">
        <f aca="false">ROW()-ROW(Tasks[[#Headers],[ID]])</f>
        <v>46</v>
      </c>
      <c r="BK5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51" s="43" t="n">
        <f aca="false">IFERROR(N(INDEX(Tasks[_Level],Tasks[[#This Row],[_Row]]+1)),0)</f>
        <v>0</v>
      </c>
      <c r="BM51" s="86" t="b">
        <f aca="false">AND(Tasks[[#This Row],[Task Name]]&lt;&gt;"",Tasks[[#This Row],[_NextLevel]]&gt;Tasks[[#This Row],[_Level]])</f>
        <v>0</v>
      </c>
      <c r="BN51" s="43" t="n">
        <f aca="false">IF(Tasks[[#This Row],[_IsSummary]],COUNTIF(Tasks[WBS],Tasks[[#This Row],[WBS]]&amp;".*"),0)</f>
        <v>0</v>
      </c>
      <c r="BO51" s="43" t="n">
        <f aca="false">IF(AND(Tasks[[#This Row],[Task Name]]&lt;&gt;"",NOT(Tasks[[#This Row],[_IsSummary]])),1,0)</f>
        <v>0</v>
      </c>
      <c r="BP51" s="43" t="n">
        <f aca="false">IF(N(Tasks[[#This Row],[Pred1 UID]])=0,0,IFERROR(MATCH(Tasks[[#This Row],[Pred1 UID]],Tasks[UID],0),-1))</f>
        <v>0</v>
      </c>
      <c r="BQ51" s="43" t="n">
        <f aca="false">IF(N(Tasks[[#This Row],[Pred2 UID]])=0,0,IFERROR(MATCH(Tasks[[#This Row],[Pred2 UID]],Tasks[UID],0),-1))</f>
        <v>0</v>
      </c>
      <c r="BR5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5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5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5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51" s="43" t="n">
        <f aca="false">IF(NOT(Tasks[[#This Row],[_IsLeaf]]=1),0,IF(N(Tasks[[#This Row],[Actual Finish]])&gt;0,1,MIN(1,N(Tasks[[#This Row],[% Complete]]))))</f>
        <v>0</v>
      </c>
      <c r="BW5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51" s="43" t="n">
        <f aca="false">IF(Tasks[[#This Row],[_LeafWork]]=0,0,Tasks[[#This Row],[_LeafWork]]*IFERROR(INDEX(res_Rate,MATCH(Tasks[[#This Row],[Resource]],res_Name,0)),0))</f>
        <v>0</v>
      </c>
      <c r="BY5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5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5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5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51" s="43" t="n">
        <f aca="false">IF(NOT(Tasks[[#This Row],[_IsLeaf]]=1),0,MAX(_xlfn.MAXIFS(Tasks[_Row],Tasks[Pred1 UID],Tasks[[#This Row],[UID]]),_xlfn.MAXIFS(Tasks[_Row],Tasks[Pred2 UID],Tasks[[#This Row],[UID]])))</f>
        <v>0</v>
      </c>
      <c r="CD5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51" s="87" t="str">
        <f aca="false">IF(NOT(Tasks[[#This Row],[_IsLeaf]]=1),"",MIN(ProjectFinish,IF(N(Tasks[[#This Row],[Deadline]])&gt;0,Tasks[[#This Row],[Deadline]],2958465),Tasks[[#This Row],[_SuccessorFinishLimit]]))</f>
        <v/>
      </c>
      <c r="CF5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5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51" s="86" t="b">
        <f aca="false">AND(Tasks[[#This Row],[_IsLeaf]]=1,Tasks[[#This Row],[_LeafProgress]]&lt;1,N(Tasks[[#This Row],[_LeafTotalSlack]])&lt;=CriticalSlackDays)</f>
        <v>0</v>
      </c>
      <c r="CI5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5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5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5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5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5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5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5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51" s="43" t="n">
        <f aca="false">IF(AND(Tasks[[#This Row],[_IsLeaf]]=1,Tasks[[#This Row],[_LeafWork]]&gt;0),NETWORKDAYS.INTL(ProjectStart,Tasks[[#This Row],[_LeafFcstStart]],WorkWeek,Holidays),0)</f>
        <v>0</v>
      </c>
      <c r="CR5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51" s="43" t="n">
        <f aca="false">IF(AND(Tasks[[#This Row],[_IsLeaf]]=1,Tasks[[#This Row],[_LeafWork]]&gt;0),Tasks[[#This Row],[_LeafWork]]/(Tasks[[#This Row],[_FinishWorkday]]-Tasks[[#This Row],[_StartWorkday]]+1),0)</f>
        <v>0</v>
      </c>
      <c r="CT51" s="43" t="n">
        <f aca="false">Tasks[[#This Row],[_WorkPerWorkday]]*(Tasks[[#This Row],[_StartWorkday]]-1)</f>
        <v>-0</v>
      </c>
      <c r="CU51" s="43" t="n">
        <f aca="false">IF(Tasks[[#This Row],[_IsLeaf]]=1,MAX(N(Tasks[[#This Row],[Duration]]),0.1),0)</f>
        <v>0</v>
      </c>
      <c r="CV51" s="43" t="n">
        <f aca="false">Tasks[[#This Row],[_WeightDur]]*Tasks[[#This Row],[_LeafProgress]]</f>
        <v>0</v>
      </c>
      <c r="CW5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5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5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5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5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51" s="43" t="str">
        <f aca="false">IF(AND(Tasks[[#This Row],[_IsLeaf]]=1,N(Tasks[[#This Row],[Duration]])=0,Tasks[[#This Row],[_LeafProgress]]&lt;1),Tasks[[#This Row],[_LeafFcstFinish]]+Tasks[[#This Row],[_Row]]/100000,"")</f>
        <v/>
      </c>
      <c r="DC5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51" s="43" t="n">
        <f aca="false">IF(NOT(Tasks[[#This Row],[_IsLeaf]]=1),0,IF(Tasks[[#This Row],[Baseline Cost]]="",Tasks[[#This Row],[_LeafCost]],N(Tasks[[#This Row],[Baseline Cost]])))</f>
        <v>0</v>
      </c>
      <c r="DE51" s="43" t="n">
        <f aca="false">Tasks[[#This Row],[_LeafBudget]]*Tasks[[#This Row],[_PlannedPct]]</f>
        <v>0</v>
      </c>
      <c r="DF51" s="43" t="n">
        <f aca="false">Tasks[[#This Row],[_LeafBudget]]*Tasks[[#This Row],[_LeafProgress]]</f>
        <v>0</v>
      </c>
      <c r="DG51" s="43" t="n">
        <f aca="false">IF(NOT(Tasks[[#This Row],[_IsLeaf]]=1),0,IF(Tasks[[#This Row],[Actual Cost]]="",Tasks[[#This Row],[_LeafCost]]*Tasks[[#This Row],[_LeafProgress]],N(Tasks[[#This Row],[Actual Cost]])))</f>
        <v>0</v>
      </c>
      <c r="DH51" s="43" t="str">
        <f aca="false">IF(Tasks[[#This Row],[Task Name]]="","",LEFT(Tasks[[#This Row],[WBS]],FIND(".",Tasks[[#This Row],[WBS]]&amp;".")-1))</f>
        <v/>
      </c>
      <c r="DI51" s="43" t="str">
        <f aca="false">IF(AND(Tasks[[#This Row],[Task Name]]&lt;&gt;"",Tasks[[#This Row],[_Level]]=1),Tasks[[#This Row],[_Row]],"")</f>
        <v/>
      </c>
      <c r="DJ51" s="43" t="str">
        <f aca="false">IF(AND(Tasks[[#This Row],[_IsLeaf]]=1,N(Tasks[[#This Row],[Duration]])=0),Tasks[[#This Row],[Planned Finish]]+Tasks[[#This Row],[_Row]]/100000,"")</f>
        <v/>
      </c>
      <c r="DK5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5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5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51" s="43" t="str">
        <f aca="false">IF(Tasks[[#This Row],[_LeafCritical]],Tasks[[#This Row],[_LeafFcstStart]]+Tasks[[#This Row],[_Row]]/100000,"")</f>
        <v/>
      </c>
      <c r="DO51" s="43" t="n">
        <f aca="false">Tasks[[#This Row],[_LeafWork]]*Tasks[[#This Row],[_LeafProgress]]</f>
        <v>0</v>
      </c>
      <c r="DP5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51" s="43" t="n">
        <f aca="false">IF(Tasks[[#This Row],[_IsLeaf]]=1,N(Tasks[[#This Row],[Story Points]]),0)</f>
        <v>0</v>
      </c>
      <c r="DR51" s="43" t="str">
        <f aca="false">IF(AND(Tasks[[#This Row],[_IsLeaf]]=1,CurrentSprint&lt;&gt;"",Tasks[[#This Row],[Sprint]]=CurrentSprint),Tasks[[#This Row],[_Row]],"")</f>
        <v/>
      </c>
    </row>
    <row r="52" customFormat="false" ht="15" hidden="false" customHeight="false" outlineLevel="0" collapsed="false">
      <c r="A52" s="28" t="str">
        <f aca="false">IF(Tasks[[#This Row],[Task Name]]="","",COUNTA(Tasks[[#Headers],[Task Name]]:Tasks[[#This Row],[Task Name]])-1)</f>
        <v/>
      </c>
      <c r="B52" s="29" t="n">
        <v>47</v>
      </c>
      <c r="C5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52" s="29"/>
      <c r="E52" s="30"/>
      <c r="F52" s="29"/>
      <c r="G52" s="29"/>
      <c r="H52" s="29"/>
      <c r="I52" s="29"/>
      <c r="J52" s="29"/>
      <c r="K52" s="29"/>
      <c r="L52" s="29"/>
      <c r="M52" s="29"/>
      <c r="N52" s="72"/>
      <c r="O52" s="72"/>
      <c r="P52" s="25" t="str">
        <f aca="false">IF(Tasks[[#This Row],[Task Name]]="","",IF(N(Tasks[[#This Row],[Baseline Start]])&gt;0,Tasks[[#This Row],[Baseline Start]],Tasks[[#This Row],[_CalcStart]]))</f>
        <v/>
      </c>
      <c r="Q52" s="25" t="str">
        <f aca="false">IF(Tasks[[#This Row],[Task Name]]="","",IF(N(Tasks[[#This Row],[Baseline Finish]])&gt;0,Tasks[[#This Row],[Baseline Finish]],Tasks[[#This Row],[_CalcFinish]]))</f>
        <v/>
      </c>
      <c r="R52" s="72"/>
      <c r="S52" s="72"/>
      <c r="T5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5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5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5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5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5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5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5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5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5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5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52" s="74"/>
      <c r="AF5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5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52" s="30"/>
      <c r="AI52" s="74"/>
      <c r="AJ5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5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52" s="83"/>
      <c r="AM52" s="29"/>
      <c r="AN5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52" s="84"/>
      <c r="AP5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52" s="30"/>
      <c r="AR52" s="25" t="str">
        <f aca="false">IF(Tasks[[#This Row],[Task Name]]="","",Tasks[[#This Row],[Forecast Start]])</f>
        <v/>
      </c>
      <c r="AS52" s="25" t="str">
        <f aca="false">IF(Tasks[[#This Row],[Task Name]]="","",Tasks[[#This Row],[Forecast Finish]])</f>
        <v/>
      </c>
      <c r="AT5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52" s="81" t="str">
        <f aca="false">IF(Tasks[[#This Row],[Task Name]]="","",Tasks[[#This Row],[Work]])</f>
        <v/>
      </c>
      <c r="AV52" s="82" t="str">
        <f aca="false">IF(Tasks[[#This Row],[Task Name]]="","",Tasks[[#This Row],[Cost]])</f>
        <v/>
      </c>
      <c r="AW52" s="72"/>
      <c r="AX52" s="72"/>
      <c r="AY52" s="29"/>
      <c r="AZ52" s="85"/>
      <c r="BA52" s="83"/>
      <c r="BB52" s="28" t="str">
        <f aca="false">IF(OR(Tasks[[#This Row],[Task Name]]="",Tasks[[#This Row],[Baseline Duration]]=""),"",Tasks[[#This Row],[BL Source Duration]]-N(Tasks[[#This Row],[Baseline Duration]]))</f>
        <v/>
      </c>
      <c r="BC52" s="81" t="str">
        <f aca="false">IF(OR(Tasks[[#This Row],[Task Name]]="",Tasks[[#This Row],[Baseline Work]]=""),"",Tasks[[#This Row],[Work]]-N(Tasks[[#This Row],[Baseline Work]]))</f>
        <v/>
      </c>
      <c r="BD52" s="82" t="str">
        <f aca="false">IF(OR(Tasks[[#This Row],[Task Name]]="",Tasks[[#This Row],[Baseline Cost]]=""),"",Tasks[[#This Row],[Cost]]-N(Tasks[[#This Row],[Baseline Cost]]))</f>
        <v/>
      </c>
      <c r="BE5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5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5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5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52" s="43" t="str">
        <f aca="false">IF(Tasks[[#This Row],[Task Name]]="","",MAX(1,N(Tasks[[#This Row],[Level]])))</f>
        <v/>
      </c>
      <c r="BJ52" s="43" t="n">
        <f aca="false">ROW()-ROW(Tasks[[#Headers],[ID]])</f>
        <v>47</v>
      </c>
      <c r="BK5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52" s="43" t="n">
        <f aca="false">IFERROR(N(INDEX(Tasks[_Level],Tasks[[#This Row],[_Row]]+1)),0)</f>
        <v>0</v>
      </c>
      <c r="BM52" s="86" t="b">
        <f aca="false">AND(Tasks[[#This Row],[Task Name]]&lt;&gt;"",Tasks[[#This Row],[_NextLevel]]&gt;Tasks[[#This Row],[_Level]])</f>
        <v>0</v>
      </c>
      <c r="BN52" s="43" t="n">
        <f aca="false">IF(Tasks[[#This Row],[_IsSummary]],COUNTIF(Tasks[WBS],Tasks[[#This Row],[WBS]]&amp;".*"),0)</f>
        <v>0</v>
      </c>
      <c r="BO52" s="43" t="n">
        <f aca="false">IF(AND(Tasks[[#This Row],[Task Name]]&lt;&gt;"",NOT(Tasks[[#This Row],[_IsSummary]])),1,0)</f>
        <v>0</v>
      </c>
      <c r="BP52" s="43" t="n">
        <f aca="false">IF(N(Tasks[[#This Row],[Pred1 UID]])=0,0,IFERROR(MATCH(Tasks[[#This Row],[Pred1 UID]],Tasks[UID],0),-1))</f>
        <v>0</v>
      </c>
      <c r="BQ52" s="43" t="n">
        <f aca="false">IF(N(Tasks[[#This Row],[Pred2 UID]])=0,0,IFERROR(MATCH(Tasks[[#This Row],[Pred2 UID]],Tasks[UID],0),-1))</f>
        <v>0</v>
      </c>
      <c r="BR5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5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5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5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52" s="43" t="n">
        <f aca="false">IF(NOT(Tasks[[#This Row],[_IsLeaf]]=1),0,IF(N(Tasks[[#This Row],[Actual Finish]])&gt;0,1,MIN(1,N(Tasks[[#This Row],[% Complete]]))))</f>
        <v>0</v>
      </c>
      <c r="BW5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52" s="43" t="n">
        <f aca="false">IF(Tasks[[#This Row],[_LeafWork]]=0,0,Tasks[[#This Row],[_LeafWork]]*IFERROR(INDEX(res_Rate,MATCH(Tasks[[#This Row],[Resource]],res_Name,0)),0))</f>
        <v>0</v>
      </c>
      <c r="BY5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5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5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5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52" s="43" t="n">
        <f aca="false">IF(NOT(Tasks[[#This Row],[_IsLeaf]]=1),0,MAX(_xlfn.MAXIFS(Tasks[_Row],Tasks[Pred1 UID],Tasks[[#This Row],[UID]]),_xlfn.MAXIFS(Tasks[_Row],Tasks[Pred2 UID],Tasks[[#This Row],[UID]])))</f>
        <v>0</v>
      </c>
      <c r="CD5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52" s="87" t="str">
        <f aca="false">IF(NOT(Tasks[[#This Row],[_IsLeaf]]=1),"",MIN(ProjectFinish,IF(N(Tasks[[#This Row],[Deadline]])&gt;0,Tasks[[#This Row],[Deadline]],2958465),Tasks[[#This Row],[_SuccessorFinishLimit]]))</f>
        <v/>
      </c>
      <c r="CF5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5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52" s="86" t="b">
        <f aca="false">AND(Tasks[[#This Row],[_IsLeaf]]=1,Tasks[[#This Row],[_LeafProgress]]&lt;1,N(Tasks[[#This Row],[_LeafTotalSlack]])&lt;=CriticalSlackDays)</f>
        <v>0</v>
      </c>
      <c r="CI5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5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5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5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5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5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5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5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52" s="43" t="n">
        <f aca="false">IF(AND(Tasks[[#This Row],[_IsLeaf]]=1,Tasks[[#This Row],[_LeafWork]]&gt;0),NETWORKDAYS.INTL(ProjectStart,Tasks[[#This Row],[_LeafFcstStart]],WorkWeek,Holidays),0)</f>
        <v>0</v>
      </c>
      <c r="CR5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52" s="43" t="n">
        <f aca="false">IF(AND(Tasks[[#This Row],[_IsLeaf]]=1,Tasks[[#This Row],[_LeafWork]]&gt;0),Tasks[[#This Row],[_LeafWork]]/(Tasks[[#This Row],[_FinishWorkday]]-Tasks[[#This Row],[_StartWorkday]]+1),0)</f>
        <v>0</v>
      </c>
      <c r="CT52" s="43" t="n">
        <f aca="false">Tasks[[#This Row],[_WorkPerWorkday]]*(Tasks[[#This Row],[_StartWorkday]]-1)</f>
        <v>-0</v>
      </c>
      <c r="CU52" s="43" t="n">
        <f aca="false">IF(Tasks[[#This Row],[_IsLeaf]]=1,MAX(N(Tasks[[#This Row],[Duration]]),0.1),0)</f>
        <v>0</v>
      </c>
      <c r="CV52" s="43" t="n">
        <f aca="false">Tasks[[#This Row],[_WeightDur]]*Tasks[[#This Row],[_LeafProgress]]</f>
        <v>0</v>
      </c>
      <c r="CW5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5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5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5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5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52" s="43" t="str">
        <f aca="false">IF(AND(Tasks[[#This Row],[_IsLeaf]]=1,N(Tasks[[#This Row],[Duration]])=0,Tasks[[#This Row],[_LeafProgress]]&lt;1),Tasks[[#This Row],[_LeafFcstFinish]]+Tasks[[#This Row],[_Row]]/100000,"")</f>
        <v/>
      </c>
      <c r="DC5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52" s="43" t="n">
        <f aca="false">IF(NOT(Tasks[[#This Row],[_IsLeaf]]=1),0,IF(Tasks[[#This Row],[Baseline Cost]]="",Tasks[[#This Row],[_LeafCost]],N(Tasks[[#This Row],[Baseline Cost]])))</f>
        <v>0</v>
      </c>
      <c r="DE52" s="43" t="n">
        <f aca="false">Tasks[[#This Row],[_LeafBudget]]*Tasks[[#This Row],[_PlannedPct]]</f>
        <v>0</v>
      </c>
      <c r="DF52" s="43" t="n">
        <f aca="false">Tasks[[#This Row],[_LeafBudget]]*Tasks[[#This Row],[_LeafProgress]]</f>
        <v>0</v>
      </c>
      <c r="DG52" s="43" t="n">
        <f aca="false">IF(NOT(Tasks[[#This Row],[_IsLeaf]]=1),0,IF(Tasks[[#This Row],[Actual Cost]]="",Tasks[[#This Row],[_LeafCost]]*Tasks[[#This Row],[_LeafProgress]],N(Tasks[[#This Row],[Actual Cost]])))</f>
        <v>0</v>
      </c>
      <c r="DH52" s="43" t="str">
        <f aca="false">IF(Tasks[[#This Row],[Task Name]]="","",LEFT(Tasks[[#This Row],[WBS]],FIND(".",Tasks[[#This Row],[WBS]]&amp;".")-1))</f>
        <v/>
      </c>
      <c r="DI52" s="43" t="str">
        <f aca="false">IF(AND(Tasks[[#This Row],[Task Name]]&lt;&gt;"",Tasks[[#This Row],[_Level]]=1),Tasks[[#This Row],[_Row]],"")</f>
        <v/>
      </c>
      <c r="DJ52" s="43" t="str">
        <f aca="false">IF(AND(Tasks[[#This Row],[_IsLeaf]]=1,N(Tasks[[#This Row],[Duration]])=0),Tasks[[#This Row],[Planned Finish]]+Tasks[[#This Row],[_Row]]/100000,"")</f>
        <v/>
      </c>
      <c r="DK5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5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5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52" s="43" t="str">
        <f aca="false">IF(Tasks[[#This Row],[_LeafCritical]],Tasks[[#This Row],[_LeafFcstStart]]+Tasks[[#This Row],[_Row]]/100000,"")</f>
        <v/>
      </c>
      <c r="DO52" s="43" t="n">
        <f aca="false">Tasks[[#This Row],[_LeafWork]]*Tasks[[#This Row],[_LeafProgress]]</f>
        <v>0</v>
      </c>
      <c r="DP5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52" s="43" t="n">
        <f aca="false">IF(Tasks[[#This Row],[_IsLeaf]]=1,N(Tasks[[#This Row],[Story Points]]),0)</f>
        <v>0</v>
      </c>
      <c r="DR52" s="43" t="str">
        <f aca="false">IF(AND(Tasks[[#This Row],[_IsLeaf]]=1,CurrentSprint&lt;&gt;"",Tasks[[#This Row],[Sprint]]=CurrentSprint),Tasks[[#This Row],[_Row]],"")</f>
        <v/>
      </c>
    </row>
    <row r="53" customFormat="false" ht="15" hidden="false" customHeight="false" outlineLevel="0" collapsed="false">
      <c r="A53" s="28" t="str">
        <f aca="false">IF(Tasks[[#This Row],[Task Name]]="","",COUNTA(Tasks[[#Headers],[Task Name]]:Tasks[[#This Row],[Task Name]])-1)</f>
        <v/>
      </c>
      <c r="B53" s="29" t="n">
        <v>48</v>
      </c>
      <c r="C5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53" s="29"/>
      <c r="E53" s="30"/>
      <c r="F53" s="29"/>
      <c r="G53" s="29"/>
      <c r="H53" s="29"/>
      <c r="I53" s="29"/>
      <c r="J53" s="29"/>
      <c r="K53" s="29"/>
      <c r="L53" s="29"/>
      <c r="M53" s="29"/>
      <c r="N53" s="72"/>
      <c r="O53" s="72"/>
      <c r="P53" s="25" t="str">
        <f aca="false">IF(Tasks[[#This Row],[Task Name]]="","",IF(N(Tasks[[#This Row],[Baseline Start]])&gt;0,Tasks[[#This Row],[Baseline Start]],Tasks[[#This Row],[_CalcStart]]))</f>
        <v/>
      </c>
      <c r="Q53" s="25" t="str">
        <f aca="false">IF(Tasks[[#This Row],[Task Name]]="","",IF(N(Tasks[[#This Row],[Baseline Finish]])&gt;0,Tasks[[#This Row],[Baseline Finish]],Tasks[[#This Row],[_CalcFinish]]))</f>
        <v/>
      </c>
      <c r="R53" s="72"/>
      <c r="S53" s="72"/>
      <c r="T5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5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5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5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5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5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5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5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5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5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5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53" s="74"/>
      <c r="AF5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5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53" s="30"/>
      <c r="AI53" s="74"/>
      <c r="AJ5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5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53" s="83"/>
      <c r="AM53" s="29"/>
      <c r="AN5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53" s="84"/>
      <c r="AP5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53" s="30"/>
      <c r="AR53" s="25" t="str">
        <f aca="false">IF(Tasks[[#This Row],[Task Name]]="","",Tasks[[#This Row],[Forecast Start]])</f>
        <v/>
      </c>
      <c r="AS53" s="25" t="str">
        <f aca="false">IF(Tasks[[#This Row],[Task Name]]="","",Tasks[[#This Row],[Forecast Finish]])</f>
        <v/>
      </c>
      <c r="AT5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53" s="81" t="str">
        <f aca="false">IF(Tasks[[#This Row],[Task Name]]="","",Tasks[[#This Row],[Work]])</f>
        <v/>
      </c>
      <c r="AV53" s="82" t="str">
        <f aca="false">IF(Tasks[[#This Row],[Task Name]]="","",Tasks[[#This Row],[Cost]])</f>
        <v/>
      </c>
      <c r="AW53" s="72"/>
      <c r="AX53" s="72"/>
      <c r="AY53" s="29"/>
      <c r="AZ53" s="85"/>
      <c r="BA53" s="83"/>
      <c r="BB53" s="28" t="str">
        <f aca="false">IF(OR(Tasks[[#This Row],[Task Name]]="",Tasks[[#This Row],[Baseline Duration]]=""),"",Tasks[[#This Row],[BL Source Duration]]-N(Tasks[[#This Row],[Baseline Duration]]))</f>
        <v/>
      </c>
      <c r="BC53" s="81" t="str">
        <f aca="false">IF(OR(Tasks[[#This Row],[Task Name]]="",Tasks[[#This Row],[Baseline Work]]=""),"",Tasks[[#This Row],[Work]]-N(Tasks[[#This Row],[Baseline Work]]))</f>
        <v/>
      </c>
      <c r="BD53" s="82" t="str">
        <f aca="false">IF(OR(Tasks[[#This Row],[Task Name]]="",Tasks[[#This Row],[Baseline Cost]]=""),"",Tasks[[#This Row],[Cost]]-N(Tasks[[#This Row],[Baseline Cost]]))</f>
        <v/>
      </c>
      <c r="BE5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5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5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5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53" s="43" t="str">
        <f aca="false">IF(Tasks[[#This Row],[Task Name]]="","",MAX(1,N(Tasks[[#This Row],[Level]])))</f>
        <v/>
      </c>
      <c r="BJ53" s="43" t="n">
        <f aca="false">ROW()-ROW(Tasks[[#Headers],[ID]])</f>
        <v>48</v>
      </c>
      <c r="BK5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53" s="43" t="n">
        <f aca="false">IFERROR(N(INDEX(Tasks[_Level],Tasks[[#This Row],[_Row]]+1)),0)</f>
        <v>0</v>
      </c>
      <c r="BM53" s="86" t="b">
        <f aca="false">AND(Tasks[[#This Row],[Task Name]]&lt;&gt;"",Tasks[[#This Row],[_NextLevel]]&gt;Tasks[[#This Row],[_Level]])</f>
        <v>0</v>
      </c>
      <c r="BN53" s="43" t="n">
        <f aca="false">IF(Tasks[[#This Row],[_IsSummary]],COUNTIF(Tasks[WBS],Tasks[[#This Row],[WBS]]&amp;".*"),0)</f>
        <v>0</v>
      </c>
      <c r="BO53" s="43" t="n">
        <f aca="false">IF(AND(Tasks[[#This Row],[Task Name]]&lt;&gt;"",NOT(Tasks[[#This Row],[_IsSummary]])),1,0)</f>
        <v>0</v>
      </c>
      <c r="BP53" s="43" t="n">
        <f aca="false">IF(N(Tasks[[#This Row],[Pred1 UID]])=0,0,IFERROR(MATCH(Tasks[[#This Row],[Pred1 UID]],Tasks[UID],0),-1))</f>
        <v>0</v>
      </c>
      <c r="BQ53" s="43" t="n">
        <f aca="false">IF(N(Tasks[[#This Row],[Pred2 UID]])=0,0,IFERROR(MATCH(Tasks[[#This Row],[Pred2 UID]],Tasks[UID],0),-1))</f>
        <v>0</v>
      </c>
      <c r="BR5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5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5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5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53" s="43" t="n">
        <f aca="false">IF(NOT(Tasks[[#This Row],[_IsLeaf]]=1),0,IF(N(Tasks[[#This Row],[Actual Finish]])&gt;0,1,MIN(1,N(Tasks[[#This Row],[% Complete]]))))</f>
        <v>0</v>
      </c>
      <c r="BW5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53" s="43" t="n">
        <f aca="false">IF(Tasks[[#This Row],[_LeafWork]]=0,0,Tasks[[#This Row],[_LeafWork]]*IFERROR(INDEX(res_Rate,MATCH(Tasks[[#This Row],[Resource]],res_Name,0)),0))</f>
        <v>0</v>
      </c>
      <c r="BY5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5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5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5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53" s="43" t="n">
        <f aca="false">IF(NOT(Tasks[[#This Row],[_IsLeaf]]=1),0,MAX(_xlfn.MAXIFS(Tasks[_Row],Tasks[Pred1 UID],Tasks[[#This Row],[UID]]),_xlfn.MAXIFS(Tasks[_Row],Tasks[Pred2 UID],Tasks[[#This Row],[UID]])))</f>
        <v>0</v>
      </c>
      <c r="CD5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53" s="87" t="str">
        <f aca="false">IF(NOT(Tasks[[#This Row],[_IsLeaf]]=1),"",MIN(ProjectFinish,IF(N(Tasks[[#This Row],[Deadline]])&gt;0,Tasks[[#This Row],[Deadline]],2958465),Tasks[[#This Row],[_SuccessorFinishLimit]]))</f>
        <v/>
      </c>
      <c r="CF5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5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53" s="86" t="b">
        <f aca="false">AND(Tasks[[#This Row],[_IsLeaf]]=1,Tasks[[#This Row],[_LeafProgress]]&lt;1,N(Tasks[[#This Row],[_LeafTotalSlack]])&lt;=CriticalSlackDays)</f>
        <v>0</v>
      </c>
      <c r="CI5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5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5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5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5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5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5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5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53" s="43" t="n">
        <f aca="false">IF(AND(Tasks[[#This Row],[_IsLeaf]]=1,Tasks[[#This Row],[_LeafWork]]&gt;0),NETWORKDAYS.INTL(ProjectStart,Tasks[[#This Row],[_LeafFcstStart]],WorkWeek,Holidays),0)</f>
        <v>0</v>
      </c>
      <c r="CR5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53" s="43" t="n">
        <f aca="false">IF(AND(Tasks[[#This Row],[_IsLeaf]]=1,Tasks[[#This Row],[_LeafWork]]&gt;0),Tasks[[#This Row],[_LeafWork]]/(Tasks[[#This Row],[_FinishWorkday]]-Tasks[[#This Row],[_StartWorkday]]+1),0)</f>
        <v>0</v>
      </c>
      <c r="CT53" s="43" t="n">
        <f aca="false">Tasks[[#This Row],[_WorkPerWorkday]]*(Tasks[[#This Row],[_StartWorkday]]-1)</f>
        <v>-0</v>
      </c>
      <c r="CU53" s="43" t="n">
        <f aca="false">IF(Tasks[[#This Row],[_IsLeaf]]=1,MAX(N(Tasks[[#This Row],[Duration]]),0.1),0)</f>
        <v>0</v>
      </c>
      <c r="CV53" s="43" t="n">
        <f aca="false">Tasks[[#This Row],[_WeightDur]]*Tasks[[#This Row],[_LeafProgress]]</f>
        <v>0</v>
      </c>
      <c r="CW5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5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5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5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5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53" s="43" t="str">
        <f aca="false">IF(AND(Tasks[[#This Row],[_IsLeaf]]=1,N(Tasks[[#This Row],[Duration]])=0,Tasks[[#This Row],[_LeafProgress]]&lt;1),Tasks[[#This Row],[_LeafFcstFinish]]+Tasks[[#This Row],[_Row]]/100000,"")</f>
        <v/>
      </c>
      <c r="DC5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53" s="43" t="n">
        <f aca="false">IF(NOT(Tasks[[#This Row],[_IsLeaf]]=1),0,IF(Tasks[[#This Row],[Baseline Cost]]="",Tasks[[#This Row],[_LeafCost]],N(Tasks[[#This Row],[Baseline Cost]])))</f>
        <v>0</v>
      </c>
      <c r="DE53" s="43" t="n">
        <f aca="false">Tasks[[#This Row],[_LeafBudget]]*Tasks[[#This Row],[_PlannedPct]]</f>
        <v>0</v>
      </c>
      <c r="DF53" s="43" t="n">
        <f aca="false">Tasks[[#This Row],[_LeafBudget]]*Tasks[[#This Row],[_LeafProgress]]</f>
        <v>0</v>
      </c>
      <c r="DG53" s="43" t="n">
        <f aca="false">IF(NOT(Tasks[[#This Row],[_IsLeaf]]=1),0,IF(Tasks[[#This Row],[Actual Cost]]="",Tasks[[#This Row],[_LeafCost]]*Tasks[[#This Row],[_LeafProgress]],N(Tasks[[#This Row],[Actual Cost]])))</f>
        <v>0</v>
      </c>
      <c r="DH53" s="43" t="str">
        <f aca="false">IF(Tasks[[#This Row],[Task Name]]="","",LEFT(Tasks[[#This Row],[WBS]],FIND(".",Tasks[[#This Row],[WBS]]&amp;".")-1))</f>
        <v/>
      </c>
      <c r="DI53" s="43" t="str">
        <f aca="false">IF(AND(Tasks[[#This Row],[Task Name]]&lt;&gt;"",Tasks[[#This Row],[_Level]]=1),Tasks[[#This Row],[_Row]],"")</f>
        <v/>
      </c>
      <c r="DJ53" s="43" t="str">
        <f aca="false">IF(AND(Tasks[[#This Row],[_IsLeaf]]=1,N(Tasks[[#This Row],[Duration]])=0),Tasks[[#This Row],[Planned Finish]]+Tasks[[#This Row],[_Row]]/100000,"")</f>
        <v/>
      </c>
      <c r="DK5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5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5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53" s="43" t="str">
        <f aca="false">IF(Tasks[[#This Row],[_LeafCritical]],Tasks[[#This Row],[_LeafFcstStart]]+Tasks[[#This Row],[_Row]]/100000,"")</f>
        <v/>
      </c>
      <c r="DO53" s="43" t="n">
        <f aca="false">Tasks[[#This Row],[_LeafWork]]*Tasks[[#This Row],[_LeafProgress]]</f>
        <v>0</v>
      </c>
      <c r="DP5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53" s="43" t="n">
        <f aca="false">IF(Tasks[[#This Row],[_IsLeaf]]=1,N(Tasks[[#This Row],[Story Points]]),0)</f>
        <v>0</v>
      </c>
      <c r="DR53" s="43" t="str">
        <f aca="false">IF(AND(Tasks[[#This Row],[_IsLeaf]]=1,CurrentSprint&lt;&gt;"",Tasks[[#This Row],[Sprint]]=CurrentSprint),Tasks[[#This Row],[_Row]],"")</f>
        <v/>
      </c>
    </row>
    <row r="54" customFormat="false" ht="15" hidden="false" customHeight="false" outlineLevel="0" collapsed="false">
      <c r="A54" s="28" t="str">
        <f aca="false">IF(Tasks[[#This Row],[Task Name]]="","",COUNTA(Tasks[[#Headers],[Task Name]]:Tasks[[#This Row],[Task Name]])-1)</f>
        <v/>
      </c>
      <c r="B54" s="29" t="n">
        <v>49</v>
      </c>
      <c r="C5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54" s="29"/>
      <c r="E54" s="30"/>
      <c r="F54" s="29"/>
      <c r="G54" s="29"/>
      <c r="H54" s="29"/>
      <c r="I54" s="29"/>
      <c r="J54" s="29"/>
      <c r="K54" s="29"/>
      <c r="L54" s="29"/>
      <c r="M54" s="29"/>
      <c r="N54" s="72"/>
      <c r="O54" s="72"/>
      <c r="P54" s="25" t="str">
        <f aca="false">IF(Tasks[[#This Row],[Task Name]]="","",IF(N(Tasks[[#This Row],[Baseline Start]])&gt;0,Tasks[[#This Row],[Baseline Start]],Tasks[[#This Row],[_CalcStart]]))</f>
        <v/>
      </c>
      <c r="Q54" s="25" t="str">
        <f aca="false">IF(Tasks[[#This Row],[Task Name]]="","",IF(N(Tasks[[#This Row],[Baseline Finish]])&gt;0,Tasks[[#This Row],[Baseline Finish]],Tasks[[#This Row],[_CalcFinish]]))</f>
        <v/>
      </c>
      <c r="R54" s="72"/>
      <c r="S54" s="72"/>
      <c r="T5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5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5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5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5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5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5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5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5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5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5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54" s="74"/>
      <c r="AF5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5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54" s="30"/>
      <c r="AI54" s="74"/>
      <c r="AJ5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5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54" s="83"/>
      <c r="AM54" s="29"/>
      <c r="AN5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54" s="84"/>
      <c r="AP5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54" s="30"/>
      <c r="AR54" s="25" t="str">
        <f aca="false">IF(Tasks[[#This Row],[Task Name]]="","",Tasks[[#This Row],[Forecast Start]])</f>
        <v/>
      </c>
      <c r="AS54" s="25" t="str">
        <f aca="false">IF(Tasks[[#This Row],[Task Name]]="","",Tasks[[#This Row],[Forecast Finish]])</f>
        <v/>
      </c>
      <c r="AT5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54" s="81" t="str">
        <f aca="false">IF(Tasks[[#This Row],[Task Name]]="","",Tasks[[#This Row],[Work]])</f>
        <v/>
      </c>
      <c r="AV54" s="82" t="str">
        <f aca="false">IF(Tasks[[#This Row],[Task Name]]="","",Tasks[[#This Row],[Cost]])</f>
        <v/>
      </c>
      <c r="AW54" s="72"/>
      <c r="AX54" s="72"/>
      <c r="AY54" s="29"/>
      <c r="AZ54" s="85"/>
      <c r="BA54" s="83"/>
      <c r="BB54" s="28" t="str">
        <f aca="false">IF(OR(Tasks[[#This Row],[Task Name]]="",Tasks[[#This Row],[Baseline Duration]]=""),"",Tasks[[#This Row],[BL Source Duration]]-N(Tasks[[#This Row],[Baseline Duration]]))</f>
        <v/>
      </c>
      <c r="BC54" s="81" t="str">
        <f aca="false">IF(OR(Tasks[[#This Row],[Task Name]]="",Tasks[[#This Row],[Baseline Work]]=""),"",Tasks[[#This Row],[Work]]-N(Tasks[[#This Row],[Baseline Work]]))</f>
        <v/>
      </c>
      <c r="BD54" s="82" t="str">
        <f aca="false">IF(OR(Tasks[[#This Row],[Task Name]]="",Tasks[[#This Row],[Baseline Cost]]=""),"",Tasks[[#This Row],[Cost]]-N(Tasks[[#This Row],[Baseline Cost]]))</f>
        <v/>
      </c>
      <c r="BE5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5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5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5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54" s="43" t="str">
        <f aca="false">IF(Tasks[[#This Row],[Task Name]]="","",MAX(1,N(Tasks[[#This Row],[Level]])))</f>
        <v/>
      </c>
      <c r="BJ54" s="43" t="n">
        <f aca="false">ROW()-ROW(Tasks[[#Headers],[ID]])</f>
        <v>49</v>
      </c>
      <c r="BK5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54" s="43" t="n">
        <f aca="false">IFERROR(N(INDEX(Tasks[_Level],Tasks[[#This Row],[_Row]]+1)),0)</f>
        <v>0</v>
      </c>
      <c r="BM54" s="86" t="b">
        <f aca="false">AND(Tasks[[#This Row],[Task Name]]&lt;&gt;"",Tasks[[#This Row],[_NextLevel]]&gt;Tasks[[#This Row],[_Level]])</f>
        <v>0</v>
      </c>
      <c r="BN54" s="43" t="n">
        <f aca="false">IF(Tasks[[#This Row],[_IsSummary]],COUNTIF(Tasks[WBS],Tasks[[#This Row],[WBS]]&amp;".*"),0)</f>
        <v>0</v>
      </c>
      <c r="BO54" s="43" t="n">
        <f aca="false">IF(AND(Tasks[[#This Row],[Task Name]]&lt;&gt;"",NOT(Tasks[[#This Row],[_IsSummary]])),1,0)</f>
        <v>0</v>
      </c>
      <c r="BP54" s="43" t="n">
        <f aca="false">IF(N(Tasks[[#This Row],[Pred1 UID]])=0,0,IFERROR(MATCH(Tasks[[#This Row],[Pred1 UID]],Tasks[UID],0),-1))</f>
        <v>0</v>
      </c>
      <c r="BQ54" s="43" t="n">
        <f aca="false">IF(N(Tasks[[#This Row],[Pred2 UID]])=0,0,IFERROR(MATCH(Tasks[[#This Row],[Pred2 UID]],Tasks[UID],0),-1))</f>
        <v>0</v>
      </c>
      <c r="BR5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5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5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5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54" s="43" t="n">
        <f aca="false">IF(NOT(Tasks[[#This Row],[_IsLeaf]]=1),0,IF(N(Tasks[[#This Row],[Actual Finish]])&gt;0,1,MIN(1,N(Tasks[[#This Row],[% Complete]]))))</f>
        <v>0</v>
      </c>
      <c r="BW5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54" s="43" t="n">
        <f aca="false">IF(Tasks[[#This Row],[_LeafWork]]=0,0,Tasks[[#This Row],[_LeafWork]]*IFERROR(INDEX(res_Rate,MATCH(Tasks[[#This Row],[Resource]],res_Name,0)),0))</f>
        <v>0</v>
      </c>
      <c r="BY5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5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5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5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54" s="43" t="n">
        <f aca="false">IF(NOT(Tasks[[#This Row],[_IsLeaf]]=1),0,MAX(_xlfn.MAXIFS(Tasks[_Row],Tasks[Pred1 UID],Tasks[[#This Row],[UID]]),_xlfn.MAXIFS(Tasks[_Row],Tasks[Pred2 UID],Tasks[[#This Row],[UID]])))</f>
        <v>0</v>
      </c>
      <c r="CD5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54" s="87" t="str">
        <f aca="false">IF(NOT(Tasks[[#This Row],[_IsLeaf]]=1),"",MIN(ProjectFinish,IF(N(Tasks[[#This Row],[Deadline]])&gt;0,Tasks[[#This Row],[Deadline]],2958465),Tasks[[#This Row],[_SuccessorFinishLimit]]))</f>
        <v/>
      </c>
      <c r="CF5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5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54" s="86" t="b">
        <f aca="false">AND(Tasks[[#This Row],[_IsLeaf]]=1,Tasks[[#This Row],[_LeafProgress]]&lt;1,N(Tasks[[#This Row],[_LeafTotalSlack]])&lt;=CriticalSlackDays)</f>
        <v>0</v>
      </c>
      <c r="CI5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5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5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5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5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5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5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5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54" s="43" t="n">
        <f aca="false">IF(AND(Tasks[[#This Row],[_IsLeaf]]=1,Tasks[[#This Row],[_LeafWork]]&gt;0),NETWORKDAYS.INTL(ProjectStart,Tasks[[#This Row],[_LeafFcstStart]],WorkWeek,Holidays),0)</f>
        <v>0</v>
      </c>
      <c r="CR5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54" s="43" t="n">
        <f aca="false">IF(AND(Tasks[[#This Row],[_IsLeaf]]=1,Tasks[[#This Row],[_LeafWork]]&gt;0),Tasks[[#This Row],[_LeafWork]]/(Tasks[[#This Row],[_FinishWorkday]]-Tasks[[#This Row],[_StartWorkday]]+1),0)</f>
        <v>0</v>
      </c>
      <c r="CT54" s="43" t="n">
        <f aca="false">Tasks[[#This Row],[_WorkPerWorkday]]*(Tasks[[#This Row],[_StartWorkday]]-1)</f>
        <v>-0</v>
      </c>
      <c r="CU54" s="43" t="n">
        <f aca="false">IF(Tasks[[#This Row],[_IsLeaf]]=1,MAX(N(Tasks[[#This Row],[Duration]]),0.1),0)</f>
        <v>0</v>
      </c>
      <c r="CV54" s="43" t="n">
        <f aca="false">Tasks[[#This Row],[_WeightDur]]*Tasks[[#This Row],[_LeafProgress]]</f>
        <v>0</v>
      </c>
      <c r="CW5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5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5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5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5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54" s="43" t="str">
        <f aca="false">IF(AND(Tasks[[#This Row],[_IsLeaf]]=1,N(Tasks[[#This Row],[Duration]])=0,Tasks[[#This Row],[_LeafProgress]]&lt;1),Tasks[[#This Row],[_LeafFcstFinish]]+Tasks[[#This Row],[_Row]]/100000,"")</f>
        <v/>
      </c>
      <c r="DC5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54" s="43" t="n">
        <f aca="false">IF(NOT(Tasks[[#This Row],[_IsLeaf]]=1),0,IF(Tasks[[#This Row],[Baseline Cost]]="",Tasks[[#This Row],[_LeafCost]],N(Tasks[[#This Row],[Baseline Cost]])))</f>
        <v>0</v>
      </c>
      <c r="DE54" s="43" t="n">
        <f aca="false">Tasks[[#This Row],[_LeafBudget]]*Tasks[[#This Row],[_PlannedPct]]</f>
        <v>0</v>
      </c>
      <c r="DF54" s="43" t="n">
        <f aca="false">Tasks[[#This Row],[_LeafBudget]]*Tasks[[#This Row],[_LeafProgress]]</f>
        <v>0</v>
      </c>
      <c r="DG54" s="43" t="n">
        <f aca="false">IF(NOT(Tasks[[#This Row],[_IsLeaf]]=1),0,IF(Tasks[[#This Row],[Actual Cost]]="",Tasks[[#This Row],[_LeafCost]]*Tasks[[#This Row],[_LeafProgress]],N(Tasks[[#This Row],[Actual Cost]])))</f>
        <v>0</v>
      </c>
      <c r="DH54" s="43" t="str">
        <f aca="false">IF(Tasks[[#This Row],[Task Name]]="","",LEFT(Tasks[[#This Row],[WBS]],FIND(".",Tasks[[#This Row],[WBS]]&amp;".")-1))</f>
        <v/>
      </c>
      <c r="DI54" s="43" t="str">
        <f aca="false">IF(AND(Tasks[[#This Row],[Task Name]]&lt;&gt;"",Tasks[[#This Row],[_Level]]=1),Tasks[[#This Row],[_Row]],"")</f>
        <v/>
      </c>
      <c r="DJ54" s="43" t="str">
        <f aca="false">IF(AND(Tasks[[#This Row],[_IsLeaf]]=1,N(Tasks[[#This Row],[Duration]])=0),Tasks[[#This Row],[Planned Finish]]+Tasks[[#This Row],[_Row]]/100000,"")</f>
        <v/>
      </c>
      <c r="DK5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5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5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54" s="43" t="str">
        <f aca="false">IF(Tasks[[#This Row],[_LeafCritical]],Tasks[[#This Row],[_LeafFcstStart]]+Tasks[[#This Row],[_Row]]/100000,"")</f>
        <v/>
      </c>
      <c r="DO54" s="43" t="n">
        <f aca="false">Tasks[[#This Row],[_LeafWork]]*Tasks[[#This Row],[_LeafProgress]]</f>
        <v>0</v>
      </c>
      <c r="DP5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54" s="43" t="n">
        <f aca="false">IF(Tasks[[#This Row],[_IsLeaf]]=1,N(Tasks[[#This Row],[Story Points]]),0)</f>
        <v>0</v>
      </c>
      <c r="DR54" s="43" t="str">
        <f aca="false">IF(AND(Tasks[[#This Row],[_IsLeaf]]=1,CurrentSprint&lt;&gt;"",Tasks[[#This Row],[Sprint]]=CurrentSprint),Tasks[[#This Row],[_Row]],"")</f>
        <v/>
      </c>
    </row>
    <row r="55" customFormat="false" ht="15" hidden="false" customHeight="false" outlineLevel="0" collapsed="false">
      <c r="A55" s="28" t="str">
        <f aca="false">IF(Tasks[[#This Row],[Task Name]]="","",COUNTA(Tasks[[#Headers],[Task Name]]:Tasks[[#This Row],[Task Name]])-1)</f>
        <v/>
      </c>
      <c r="B55" s="29" t="n">
        <v>50</v>
      </c>
      <c r="C5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55" s="29"/>
      <c r="E55" s="30"/>
      <c r="F55" s="29"/>
      <c r="G55" s="29"/>
      <c r="H55" s="29"/>
      <c r="I55" s="29"/>
      <c r="J55" s="29"/>
      <c r="K55" s="29"/>
      <c r="L55" s="29"/>
      <c r="M55" s="29"/>
      <c r="N55" s="72"/>
      <c r="O55" s="72"/>
      <c r="P55" s="25" t="str">
        <f aca="false">IF(Tasks[[#This Row],[Task Name]]="","",IF(N(Tasks[[#This Row],[Baseline Start]])&gt;0,Tasks[[#This Row],[Baseline Start]],Tasks[[#This Row],[_CalcStart]]))</f>
        <v/>
      </c>
      <c r="Q55" s="25" t="str">
        <f aca="false">IF(Tasks[[#This Row],[Task Name]]="","",IF(N(Tasks[[#This Row],[Baseline Finish]])&gt;0,Tasks[[#This Row],[Baseline Finish]],Tasks[[#This Row],[_CalcFinish]]))</f>
        <v/>
      </c>
      <c r="R55" s="72"/>
      <c r="S55" s="72"/>
      <c r="T5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5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5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5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5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5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5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5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5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5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5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55" s="74"/>
      <c r="AF5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5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55" s="30"/>
      <c r="AI55" s="74"/>
      <c r="AJ5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5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55" s="83"/>
      <c r="AM55" s="29"/>
      <c r="AN5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55" s="84"/>
      <c r="AP5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55" s="30"/>
      <c r="AR55" s="25" t="str">
        <f aca="false">IF(Tasks[[#This Row],[Task Name]]="","",Tasks[[#This Row],[Forecast Start]])</f>
        <v/>
      </c>
      <c r="AS55" s="25" t="str">
        <f aca="false">IF(Tasks[[#This Row],[Task Name]]="","",Tasks[[#This Row],[Forecast Finish]])</f>
        <v/>
      </c>
      <c r="AT5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55" s="81" t="str">
        <f aca="false">IF(Tasks[[#This Row],[Task Name]]="","",Tasks[[#This Row],[Work]])</f>
        <v/>
      </c>
      <c r="AV55" s="82" t="str">
        <f aca="false">IF(Tasks[[#This Row],[Task Name]]="","",Tasks[[#This Row],[Cost]])</f>
        <v/>
      </c>
      <c r="AW55" s="72"/>
      <c r="AX55" s="72"/>
      <c r="AY55" s="29"/>
      <c r="AZ55" s="85"/>
      <c r="BA55" s="83"/>
      <c r="BB55" s="28" t="str">
        <f aca="false">IF(OR(Tasks[[#This Row],[Task Name]]="",Tasks[[#This Row],[Baseline Duration]]=""),"",Tasks[[#This Row],[BL Source Duration]]-N(Tasks[[#This Row],[Baseline Duration]]))</f>
        <v/>
      </c>
      <c r="BC55" s="81" t="str">
        <f aca="false">IF(OR(Tasks[[#This Row],[Task Name]]="",Tasks[[#This Row],[Baseline Work]]=""),"",Tasks[[#This Row],[Work]]-N(Tasks[[#This Row],[Baseline Work]]))</f>
        <v/>
      </c>
      <c r="BD55" s="82" t="str">
        <f aca="false">IF(OR(Tasks[[#This Row],[Task Name]]="",Tasks[[#This Row],[Baseline Cost]]=""),"",Tasks[[#This Row],[Cost]]-N(Tasks[[#This Row],[Baseline Cost]]))</f>
        <v/>
      </c>
      <c r="BE5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5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5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5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55" s="43" t="str">
        <f aca="false">IF(Tasks[[#This Row],[Task Name]]="","",MAX(1,N(Tasks[[#This Row],[Level]])))</f>
        <v/>
      </c>
      <c r="BJ55" s="43" t="n">
        <f aca="false">ROW()-ROW(Tasks[[#Headers],[ID]])</f>
        <v>50</v>
      </c>
      <c r="BK5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55" s="43" t="n">
        <f aca="false">IFERROR(N(INDEX(Tasks[_Level],Tasks[[#This Row],[_Row]]+1)),0)</f>
        <v>0</v>
      </c>
      <c r="BM55" s="86" t="b">
        <f aca="false">AND(Tasks[[#This Row],[Task Name]]&lt;&gt;"",Tasks[[#This Row],[_NextLevel]]&gt;Tasks[[#This Row],[_Level]])</f>
        <v>0</v>
      </c>
      <c r="BN55" s="43" t="n">
        <f aca="false">IF(Tasks[[#This Row],[_IsSummary]],COUNTIF(Tasks[WBS],Tasks[[#This Row],[WBS]]&amp;".*"),0)</f>
        <v>0</v>
      </c>
      <c r="BO55" s="43" t="n">
        <f aca="false">IF(AND(Tasks[[#This Row],[Task Name]]&lt;&gt;"",NOT(Tasks[[#This Row],[_IsSummary]])),1,0)</f>
        <v>0</v>
      </c>
      <c r="BP55" s="43" t="n">
        <f aca="false">IF(N(Tasks[[#This Row],[Pred1 UID]])=0,0,IFERROR(MATCH(Tasks[[#This Row],[Pred1 UID]],Tasks[UID],0),-1))</f>
        <v>0</v>
      </c>
      <c r="BQ55" s="43" t="n">
        <f aca="false">IF(N(Tasks[[#This Row],[Pred2 UID]])=0,0,IFERROR(MATCH(Tasks[[#This Row],[Pred2 UID]],Tasks[UID],0),-1))</f>
        <v>0</v>
      </c>
      <c r="BR5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5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5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5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55" s="43" t="n">
        <f aca="false">IF(NOT(Tasks[[#This Row],[_IsLeaf]]=1),0,IF(N(Tasks[[#This Row],[Actual Finish]])&gt;0,1,MIN(1,N(Tasks[[#This Row],[% Complete]]))))</f>
        <v>0</v>
      </c>
      <c r="BW5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55" s="43" t="n">
        <f aca="false">IF(Tasks[[#This Row],[_LeafWork]]=0,0,Tasks[[#This Row],[_LeafWork]]*IFERROR(INDEX(res_Rate,MATCH(Tasks[[#This Row],[Resource]],res_Name,0)),0))</f>
        <v>0</v>
      </c>
      <c r="BY5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5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5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5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55" s="43" t="n">
        <f aca="false">IF(NOT(Tasks[[#This Row],[_IsLeaf]]=1),0,MAX(_xlfn.MAXIFS(Tasks[_Row],Tasks[Pred1 UID],Tasks[[#This Row],[UID]]),_xlfn.MAXIFS(Tasks[_Row],Tasks[Pred2 UID],Tasks[[#This Row],[UID]])))</f>
        <v>0</v>
      </c>
      <c r="CD5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55" s="87" t="str">
        <f aca="false">IF(NOT(Tasks[[#This Row],[_IsLeaf]]=1),"",MIN(ProjectFinish,IF(N(Tasks[[#This Row],[Deadline]])&gt;0,Tasks[[#This Row],[Deadline]],2958465),Tasks[[#This Row],[_SuccessorFinishLimit]]))</f>
        <v/>
      </c>
      <c r="CF5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5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55" s="86" t="b">
        <f aca="false">AND(Tasks[[#This Row],[_IsLeaf]]=1,Tasks[[#This Row],[_LeafProgress]]&lt;1,N(Tasks[[#This Row],[_LeafTotalSlack]])&lt;=CriticalSlackDays)</f>
        <v>0</v>
      </c>
      <c r="CI5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5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5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5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5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5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5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5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55" s="43" t="n">
        <f aca="false">IF(AND(Tasks[[#This Row],[_IsLeaf]]=1,Tasks[[#This Row],[_LeafWork]]&gt;0),NETWORKDAYS.INTL(ProjectStart,Tasks[[#This Row],[_LeafFcstStart]],WorkWeek,Holidays),0)</f>
        <v>0</v>
      </c>
      <c r="CR5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55" s="43" t="n">
        <f aca="false">IF(AND(Tasks[[#This Row],[_IsLeaf]]=1,Tasks[[#This Row],[_LeafWork]]&gt;0),Tasks[[#This Row],[_LeafWork]]/(Tasks[[#This Row],[_FinishWorkday]]-Tasks[[#This Row],[_StartWorkday]]+1),0)</f>
        <v>0</v>
      </c>
      <c r="CT55" s="43" t="n">
        <f aca="false">Tasks[[#This Row],[_WorkPerWorkday]]*(Tasks[[#This Row],[_StartWorkday]]-1)</f>
        <v>-0</v>
      </c>
      <c r="CU55" s="43" t="n">
        <f aca="false">IF(Tasks[[#This Row],[_IsLeaf]]=1,MAX(N(Tasks[[#This Row],[Duration]]),0.1),0)</f>
        <v>0</v>
      </c>
      <c r="CV55" s="43" t="n">
        <f aca="false">Tasks[[#This Row],[_WeightDur]]*Tasks[[#This Row],[_LeafProgress]]</f>
        <v>0</v>
      </c>
      <c r="CW5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5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5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5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5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55" s="43" t="str">
        <f aca="false">IF(AND(Tasks[[#This Row],[_IsLeaf]]=1,N(Tasks[[#This Row],[Duration]])=0,Tasks[[#This Row],[_LeafProgress]]&lt;1),Tasks[[#This Row],[_LeafFcstFinish]]+Tasks[[#This Row],[_Row]]/100000,"")</f>
        <v/>
      </c>
      <c r="DC5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55" s="43" t="n">
        <f aca="false">IF(NOT(Tasks[[#This Row],[_IsLeaf]]=1),0,IF(Tasks[[#This Row],[Baseline Cost]]="",Tasks[[#This Row],[_LeafCost]],N(Tasks[[#This Row],[Baseline Cost]])))</f>
        <v>0</v>
      </c>
      <c r="DE55" s="43" t="n">
        <f aca="false">Tasks[[#This Row],[_LeafBudget]]*Tasks[[#This Row],[_PlannedPct]]</f>
        <v>0</v>
      </c>
      <c r="DF55" s="43" t="n">
        <f aca="false">Tasks[[#This Row],[_LeafBudget]]*Tasks[[#This Row],[_LeafProgress]]</f>
        <v>0</v>
      </c>
      <c r="DG55" s="43" t="n">
        <f aca="false">IF(NOT(Tasks[[#This Row],[_IsLeaf]]=1),0,IF(Tasks[[#This Row],[Actual Cost]]="",Tasks[[#This Row],[_LeafCost]]*Tasks[[#This Row],[_LeafProgress]],N(Tasks[[#This Row],[Actual Cost]])))</f>
        <v>0</v>
      </c>
      <c r="DH55" s="43" t="str">
        <f aca="false">IF(Tasks[[#This Row],[Task Name]]="","",LEFT(Tasks[[#This Row],[WBS]],FIND(".",Tasks[[#This Row],[WBS]]&amp;".")-1))</f>
        <v/>
      </c>
      <c r="DI55" s="43" t="str">
        <f aca="false">IF(AND(Tasks[[#This Row],[Task Name]]&lt;&gt;"",Tasks[[#This Row],[_Level]]=1),Tasks[[#This Row],[_Row]],"")</f>
        <v/>
      </c>
      <c r="DJ55" s="43" t="str">
        <f aca="false">IF(AND(Tasks[[#This Row],[_IsLeaf]]=1,N(Tasks[[#This Row],[Duration]])=0),Tasks[[#This Row],[Planned Finish]]+Tasks[[#This Row],[_Row]]/100000,"")</f>
        <v/>
      </c>
      <c r="DK5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5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5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55" s="43" t="str">
        <f aca="false">IF(Tasks[[#This Row],[_LeafCritical]],Tasks[[#This Row],[_LeafFcstStart]]+Tasks[[#This Row],[_Row]]/100000,"")</f>
        <v/>
      </c>
      <c r="DO55" s="43" t="n">
        <f aca="false">Tasks[[#This Row],[_LeafWork]]*Tasks[[#This Row],[_LeafProgress]]</f>
        <v>0</v>
      </c>
      <c r="DP5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55" s="43" t="n">
        <f aca="false">IF(Tasks[[#This Row],[_IsLeaf]]=1,N(Tasks[[#This Row],[Story Points]]),0)</f>
        <v>0</v>
      </c>
      <c r="DR55" s="43" t="str">
        <f aca="false">IF(AND(Tasks[[#This Row],[_IsLeaf]]=1,CurrentSprint&lt;&gt;"",Tasks[[#This Row],[Sprint]]=CurrentSprint),Tasks[[#This Row],[_Row]],"")</f>
        <v/>
      </c>
    </row>
    <row r="56" customFormat="false" ht="15" hidden="false" customHeight="false" outlineLevel="0" collapsed="false">
      <c r="A56" s="28" t="str">
        <f aca="false">IF(Tasks[[#This Row],[Task Name]]="","",COUNTA(Tasks[[#Headers],[Task Name]]:Tasks[[#This Row],[Task Name]])-1)</f>
        <v/>
      </c>
      <c r="B56" s="29" t="n">
        <v>51</v>
      </c>
      <c r="C5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56" s="29"/>
      <c r="E56" s="30"/>
      <c r="F56" s="29"/>
      <c r="G56" s="29"/>
      <c r="H56" s="29"/>
      <c r="I56" s="29"/>
      <c r="J56" s="29"/>
      <c r="K56" s="29"/>
      <c r="L56" s="29"/>
      <c r="M56" s="29"/>
      <c r="N56" s="72"/>
      <c r="O56" s="72"/>
      <c r="P56" s="25" t="str">
        <f aca="false">IF(Tasks[[#This Row],[Task Name]]="","",IF(N(Tasks[[#This Row],[Baseline Start]])&gt;0,Tasks[[#This Row],[Baseline Start]],Tasks[[#This Row],[_CalcStart]]))</f>
        <v/>
      </c>
      <c r="Q56" s="25" t="str">
        <f aca="false">IF(Tasks[[#This Row],[Task Name]]="","",IF(N(Tasks[[#This Row],[Baseline Finish]])&gt;0,Tasks[[#This Row],[Baseline Finish]],Tasks[[#This Row],[_CalcFinish]]))</f>
        <v/>
      </c>
      <c r="R56" s="72"/>
      <c r="S56" s="72"/>
      <c r="T5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5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5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5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5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5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5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5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5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5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5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56" s="74"/>
      <c r="AF5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5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56" s="30"/>
      <c r="AI56" s="74"/>
      <c r="AJ5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5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56" s="83"/>
      <c r="AM56" s="29"/>
      <c r="AN5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56" s="84"/>
      <c r="AP5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56" s="30"/>
      <c r="AR56" s="25" t="str">
        <f aca="false">IF(Tasks[[#This Row],[Task Name]]="","",Tasks[[#This Row],[Forecast Start]])</f>
        <v/>
      </c>
      <c r="AS56" s="25" t="str">
        <f aca="false">IF(Tasks[[#This Row],[Task Name]]="","",Tasks[[#This Row],[Forecast Finish]])</f>
        <v/>
      </c>
      <c r="AT5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56" s="81" t="str">
        <f aca="false">IF(Tasks[[#This Row],[Task Name]]="","",Tasks[[#This Row],[Work]])</f>
        <v/>
      </c>
      <c r="AV56" s="82" t="str">
        <f aca="false">IF(Tasks[[#This Row],[Task Name]]="","",Tasks[[#This Row],[Cost]])</f>
        <v/>
      </c>
      <c r="AW56" s="72"/>
      <c r="AX56" s="72"/>
      <c r="AY56" s="29"/>
      <c r="AZ56" s="85"/>
      <c r="BA56" s="83"/>
      <c r="BB56" s="28" t="str">
        <f aca="false">IF(OR(Tasks[[#This Row],[Task Name]]="",Tasks[[#This Row],[Baseline Duration]]=""),"",Tasks[[#This Row],[BL Source Duration]]-N(Tasks[[#This Row],[Baseline Duration]]))</f>
        <v/>
      </c>
      <c r="BC56" s="81" t="str">
        <f aca="false">IF(OR(Tasks[[#This Row],[Task Name]]="",Tasks[[#This Row],[Baseline Work]]=""),"",Tasks[[#This Row],[Work]]-N(Tasks[[#This Row],[Baseline Work]]))</f>
        <v/>
      </c>
      <c r="BD56" s="82" t="str">
        <f aca="false">IF(OR(Tasks[[#This Row],[Task Name]]="",Tasks[[#This Row],[Baseline Cost]]=""),"",Tasks[[#This Row],[Cost]]-N(Tasks[[#This Row],[Baseline Cost]]))</f>
        <v/>
      </c>
      <c r="BE5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5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5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5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56" s="43" t="str">
        <f aca="false">IF(Tasks[[#This Row],[Task Name]]="","",MAX(1,N(Tasks[[#This Row],[Level]])))</f>
        <v/>
      </c>
      <c r="BJ56" s="43" t="n">
        <f aca="false">ROW()-ROW(Tasks[[#Headers],[ID]])</f>
        <v>51</v>
      </c>
      <c r="BK5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56" s="43" t="n">
        <f aca="false">IFERROR(N(INDEX(Tasks[_Level],Tasks[[#This Row],[_Row]]+1)),0)</f>
        <v>0</v>
      </c>
      <c r="BM56" s="86" t="b">
        <f aca="false">AND(Tasks[[#This Row],[Task Name]]&lt;&gt;"",Tasks[[#This Row],[_NextLevel]]&gt;Tasks[[#This Row],[_Level]])</f>
        <v>0</v>
      </c>
      <c r="BN56" s="43" t="n">
        <f aca="false">IF(Tasks[[#This Row],[_IsSummary]],COUNTIF(Tasks[WBS],Tasks[[#This Row],[WBS]]&amp;".*"),0)</f>
        <v>0</v>
      </c>
      <c r="BO56" s="43" t="n">
        <f aca="false">IF(AND(Tasks[[#This Row],[Task Name]]&lt;&gt;"",NOT(Tasks[[#This Row],[_IsSummary]])),1,0)</f>
        <v>0</v>
      </c>
      <c r="BP56" s="43" t="n">
        <f aca="false">IF(N(Tasks[[#This Row],[Pred1 UID]])=0,0,IFERROR(MATCH(Tasks[[#This Row],[Pred1 UID]],Tasks[UID],0),-1))</f>
        <v>0</v>
      </c>
      <c r="BQ56" s="43" t="n">
        <f aca="false">IF(N(Tasks[[#This Row],[Pred2 UID]])=0,0,IFERROR(MATCH(Tasks[[#This Row],[Pred2 UID]],Tasks[UID],0),-1))</f>
        <v>0</v>
      </c>
      <c r="BR5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5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5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5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56" s="43" t="n">
        <f aca="false">IF(NOT(Tasks[[#This Row],[_IsLeaf]]=1),0,IF(N(Tasks[[#This Row],[Actual Finish]])&gt;0,1,MIN(1,N(Tasks[[#This Row],[% Complete]]))))</f>
        <v>0</v>
      </c>
      <c r="BW5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56" s="43" t="n">
        <f aca="false">IF(Tasks[[#This Row],[_LeafWork]]=0,0,Tasks[[#This Row],[_LeafWork]]*IFERROR(INDEX(res_Rate,MATCH(Tasks[[#This Row],[Resource]],res_Name,0)),0))</f>
        <v>0</v>
      </c>
      <c r="BY5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5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5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5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56" s="43" t="n">
        <f aca="false">IF(NOT(Tasks[[#This Row],[_IsLeaf]]=1),0,MAX(_xlfn.MAXIFS(Tasks[_Row],Tasks[Pred1 UID],Tasks[[#This Row],[UID]]),_xlfn.MAXIFS(Tasks[_Row],Tasks[Pred2 UID],Tasks[[#This Row],[UID]])))</f>
        <v>0</v>
      </c>
      <c r="CD5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56" s="87" t="str">
        <f aca="false">IF(NOT(Tasks[[#This Row],[_IsLeaf]]=1),"",MIN(ProjectFinish,IF(N(Tasks[[#This Row],[Deadline]])&gt;0,Tasks[[#This Row],[Deadline]],2958465),Tasks[[#This Row],[_SuccessorFinishLimit]]))</f>
        <v/>
      </c>
      <c r="CF5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5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56" s="86" t="b">
        <f aca="false">AND(Tasks[[#This Row],[_IsLeaf]]=1,Tasks[[#This Row],[_LeafProgress]]&lt;1,N(Tasks[[#This Row],[_LeafTotalSlack]])&lt;=CriticalSlackDays)</f>
        <v>0</v>
      </c>
      <c r="CI5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5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5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5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5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5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5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5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56" s="43" t="n">
        <f aca="false">IF(AND(Tasks[[#This Row],[_IsLeaf]]=1,Tasks[[#This Row],[_LeafWork]]&gt;0),NETWORKDAYS.INTL(ProjectStart,Tasks[[#This Row],[_LeafFcstStart]],WorkWeek,Holidays),0)</f>
        <v>0</v>
      </c>
      <c r="CR5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56" s="43" t="n">
        <f aca="false">IF(AND(Tasks[[#This Row],[_IsLeaf]]=1,Tasks[[#This Row],[_LeafWork]]&gt;0),Tasks[[#This Row],[_LeafWork]]/(Tasks[[#This Row],[_FinishWorkday]]-Tasks[[#This Row],[_StartWorkday]]+1),0)</f>
        <v>0</v>
      </c>
      <c r="CT56" s="43" t="n">
        <f aca="false">Tasks[[#This Row],[_WorkPerWorkday]]*(Tasks[[#This Row],[_StartWorkday]]-1)</f>
        <v>-0</v>
      </c>
      <c r="CU56" s="43" t="n">
        <f aca="false">IF(Tasks[[#This Row],[_IsLeaf]]=1,MAX(N(Tasks[[#This Row],[Duration]]),0.1),0)</f>
        <v>0</v>
      </c>
      <c r="CV56" s="43" t="n">
        <f aca="false">Tasks[[#This Row],[_WeightDur]]*Tasks[[#This Row],[_LeafProgress]]</f>
        <v>0</v>
      </c>
      <c r="CW5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5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5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5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5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56" s="43" t="str">
        <f aca="false">IF(AND(Tasks[[#This Row],[_IsLeaf]]=1,N(Tasks[[#This Row],[Duration]])=0,Tasks[[#This Row],[_LeafProgress]]&lt;1),Tasks[[#This Row],[_LeafFcstFinish]]+Tasks[[#This Row],[_Row]]/100000,"")</f>
        <v/>
      </c>
      <c r="DC5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56" s="43" t="n">
        <f aca="false">IF(NOT(Tasks[[#This Row],[_IsLeaf]]=1),0,IF(Tasks[[#This Row],[Baseline Cost]]="",Tasks[[#This Row],[_LeafCost]],N(Tasks[[#This Row],[Baseline Cost]])))</f>
        <v>0</v>
      </c>
      <c r="DE56" s="43" t="n">
        <f aca="false">Tasks[[#This Row],[_LeafBudget]]*Tasks[[#This Row],[_PlannedPct]]</f>
        <v>0</v>
      </c>
      <c r="DF56" s="43" t="n">
        <f aca="false">Tasks[[#This Row],[_LeafBudget]]*Tasks[[#This Row],[_LeafProgress]]</f>
        <v>0</v>
      </c>
      <c r="DG56" s="43" t="n">
        <f aca="false">IF(NOT(Tasks[[#This Row],[_IsLeaf]]=1),0,IF(Tasks[[#This Row],[Actual Cost]]="",Tasks[[#This Row],[_LeafCost]]*Tasks[[#This Row],[_LeafProgress]],N(Tasks[[#This Row],[Actual Cost]])))</f>
        <v>0</v>
      </c>
      <c r="DH56" s="43" t="str">
        <f aca="false">IF(Tasks[[#This Row],[Task Name]]="","",LEFT(Tasks[[#This Row],[WBS]],FIND(".",Tasks[[#This Row],[WBS]]&amp;".")-1))</f>
        <v/>
      </c>
      <c r="DI56" s="43" t="str">
        <f aca="false">IF(AND(Tasks[[#This Row],[Task Name]]&lt;&gt;"",Tasks[[#This Row],[_Level]]=1),Tasks[[#This Row],[_Row]],"")</f>
        <v/>
      </c>
      <c r="DJ56" s="43" t="str">
        <f aca="false">IF(AND(Tasks[[#This Row],[_IsLeaf]]=1,N(Tasks[[#This Row],[Duration]])=0),Tasks[[#This Row],[Planned Finish]]+Tasks[[#This Row],[_Row]]/100000,"")</f>
        <v/>
      </c>
      <c r="DK5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5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5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56" s="43" t="str">
        <f aca="false">IF(Tasks[[#This Row],[_LeafCritical]],Tasks[[#This Row],[_LeafFcstStart]]+Tasks[[#This Row],[_Row]]/100000,"")</f>
        <v/>
      </c>
      <c r="DO56" s="43" t="n">
        <f aca="false">Tasks[[#This Row],[_LeafWork]]*Tasks[[#This Row],[_LeafProgress]]</f>
        <v>0</v>
      </c>
      <c r="DP5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56" s="43" t="n">
        <f aca="false">IF(Tasks[[#This Row],[_IsLeaf]]=1,N(Tasks[[#This Row],[Story Points]]),0)</f>
        <v>0</v>
      </c>
      <c r="DR56" s="43" t="str">
        <f aca="false">IF(AND(Tasks[[#This Row],[_IsLeaf]]=1,CurrentSprint&lt;&gt;"",Tasks[[#This Row],[Sprint]]=CurrentSprint),Tasks[[#This Row],[_Row]],"")</f>
        <v/>
      </c>
    </row>
    <row r="57" customFormat="false" ht="15" hidden="false" customHeight="false" outlineLevel="0" collapsed="false">
      <c r="A57" s="28" t="str">
        <f aca="false">IF(Tasks[[#This Row],[Task Name]]="","",COUNTA(Tasks[[#Headers],[Task Name]]:Tasks[[#This Row],[Task Name]])-1)</f>
        <v/>
      </c>
      <c r="B57" s="29" t="n">
        <v>52</v>
      </c>
      <c r="C5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57" s="29"/>
      <c r="E57" s="30"/>
      <c r="F57" s="29"/>
      <c r="G57" s="29"/>
      <c r="H57" s="29"/>
      <c r="I57" s="29"/>
      <c r="J57" s="29"/>
      <c r="K57" s="29"/>
      <c r="L57" s="29"/>
      <c r="M57" s="29"/>
      <c r="N57" s="72"/>
      <c r="O57" s="72"/>
      <c r="P57" s="25" t="str">
        <f aca="false">IF(Tasks[[#This Row],[Task Name]]="","",IF(N(Tasks[[#This Row],[Baseline Start]])&gt;0,Tasks[[#This Row],[Baseline Start]],Tasks[[#This Row],[_CalcStart]]))</f>
        <v/>
      </c>
      <c r="Q57" s="25" t="str">
        <f aca="false">IF(Tasks[[#This Row],[Task Name]]="","",IF(N(Tasks[[#This Row],[Baseline Finish]])&gt;0,Tasks[[#This Row],[Baseline Finish]],Tasks[[#This Row],[_CalcFinish]]))</f>
        <v/>
      </c>
      <c r="R57" s="72"/>
      <c r="S57" s="72"/>
      <c r="T5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5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5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5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5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5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5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5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5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5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5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57" s="74"/>
      <c r="AF5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5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57" s="30"/>
      <c r="AI57" s="74"/>
      <c r="AJ5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5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57" s="83"/>
      <c r="AM57" s="29"/>
      <c r="AN5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57" s="84"/>
      <c r="AP5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57" s="30"/>
      <c r="AR57" s="25" t="str">
        <f aca="false">IF(Tasks[[#This Row],[Task Name]]="","",Tasks[[#This Row],[Forecast Start]])</f>
        <v/>
      </c>
      <c r="AS57" s="25" t="str">
        <f aca="false">IF(Tasks[[#This Row],[Task Name]]="","",Tasks[[#This Row],[Forecast Finish]])</f>
        <v/>
      </c>
      <c r="AT5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57" s="81" t="str">
        <f aca="false">IF(Tasks[[#This Row],[Task Name]]="","",Tasks[[#This Row],[Work]])</f>
        <v/>
      </c>
      <c r="AV57" s="82" t="str">
        <f aca="false">IF(Tasks[[#This Row],[Task Name]]="","",Tasks[[#This Row],[Cost]])</f>
        <v/>
      </c>
      <c r="AW57" s="72"/>
      <c r="AX57" s="72"/>
      <c r="AY57" s="29"/>
      <c r="AZ57" s="85"/>
      <c r="BA57" s="83"/>
      <c r="BB57" s="28" t="str">
        <f aca="false">IF(OR(Tasks[[#This Row],[Task Name]]="",Tasks[[#This Row],[Baseline Duration]]=""),"",Tasks[[#This Row],[BL Source Duration]]-N(Tasks[[#This Row],[Baseline Duration]]))</f>
        <v/>
      </c>
      <c r="BC57" s="81" t="str">
        <f aca="false">IF(OR(Tasks[[#This Row],[Task Name]]="",Tasks[[#This Row],[Baseline Work]]=""),"",Tasks[[#This Row],[Work]]-N(Tasks[[#This Row],[Baseline Work]]))</f>
        <v/>
      </c>
      <c r="BD57" s="82" t="str">
        <f aca="false">IF(OR(Tasks[[#This Row],[Task Name]]="",Tasks[[#This Row],[Baseline Cost]]=""),"",Tasks[[#This Row],[Cost]]-N(Tasks[[#This Row],[Baseline Cost]]))</f>
        <v/>
      </c>
      <c r="BE5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5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5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5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57" s="43" t="str">
        <f aca="false">IF(Tasks[[#This Row],[Task Name]]="","",MAX(1,N(Tasks[[#This Row],[Level]])))</f>
        <v/>
      </c>
      <c r="BJ57" s="43" t="n">
        <f aca="false">ROW()-ROW(Tasks[[#Headers],[ID]])</f>
        <v>52</v>
      </c>
      <c r="BK5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57" s="43" t="n">
        <f aca="false">IFERROR(N(INDEX(Tasks[_Level],Tasks[[#This Row],[_Row]]+1)),0)</f>
        <v>0</v>
      </c>
      <c r="BM57" s="86" t="b">
        <f aca="false">AND(Tasks[[#This Row],[Task Name]]&lt;&gt;"",Tasks[[#This Row],[_NextLevel]]&gt;Tasks[[#This Row],[_Level]])</f>
        <v>0</v>
      </c>
      <c r="BN57" s="43" t="n">
        <f aca="false">IF(Tasks[[#This Row],[_IsSummary]],COUNTIF(Tasks[WBS],Tasks[[#This Row],[WBS]]&amp;".*"),0)</f>
        <v>0</v>
      </c>
      <c r="BO57" s="43" t="n">
        <f aca="false">IF(AND(Tasks[[#This Row],[Task Name]]&lt;&gt;"",NOT(Tasks[[#This Row],[_IsSummary]])),1,0)</f>
        <v>0</v>
      </c>
      <c r="BP57" s="43" t="n">
        <f aca="false">IF(N(Tasks[[#This Row],[Pred1 UID]])=0,0,IFERROR(MATCH(Tasks[[#This Row],[Pred1 UID]],Tasks[UID],0),-1))</f>
        <v>0</v>
      </c>
      <c r="BQ57" s="43" t="n">
        <f aca="false">IF(N(Tasks[[#This Row],[Pred2 UID]])=0,0,IFERROR(MATCH(Tasks[[#This Row],[Pred2 UID]],Tasks[UID],0),-1))</f>
        <v>0</v>
      </c>
      <c r="BR5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5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5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5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57" s="43" t="n">
        <f aca="false">IF(NOT(Tasks[[#This Row],[_IsLeaf]]=1),0,IF(N(Tasks[[#This Row],[Actual Finish]])&gt;0,1,MIN(1,N(Tasks[[#This Row],[% Complete]]))))</f>
        <v>0</v>
      </c>
      <c r="BW5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57" s="43" t="n">
        <f aca="false">IF(Tasks[[#This Row],[_LeafWork]]=0,0,Tasks[[#This Row],[_LeafWork]]*IFERROR(INDEX(res_Rate,MATCH(Tasks[[#This Row],[Resource]],res_Name,0)),0))</f>
        <v>0</v>
      </c>
      <c r="BY5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5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5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5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57" s="43" t="n">
        <f aca="false">IF(NOT(Tasks[[#This Row],[_IsLeaf]]=1),0,MAX(_xlfn.MAXIFS(Tasks[_Row],Tasks[Pred1 UID],Tasks[[#This Row],[UID]]),_xlfn.MAXIFS(Tasks[_Row],Tasks[Pred2 UID],Tasks[[#This Row],[UID]])))</f>
        <v>0</v>
      </c>
      <c r="CD5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57" s="87" t="str">
        <f aca="false">IF(NOT(Tasks[[#This Row],[_IsLeaf]]=1),"",MIN(ProjectFinish,IF(N(Tasks[[#This Row],[Deadline]])&gt;0,Tasks[[#This Row],[Deadline]],2958465),Tasks[[#This Row],[_SuccessorFinishLimit]]))</f>
        <v/>
      </c>
      <c r="CF5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5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57" s="86" t="b">
        <f aca="false">AND(Tasks[[#This Row],[_IsLeaf]]=1,Tasks[[#This Row],[_LeafProgress]]&lt;1,N(Tasks[[#This Row],[_LeafTotalSlack]])&lt;=CriticalSlackDays)</f>
        <v>0</v>
      </c>
      <c r="CI5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5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5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5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5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5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5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5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57" s="43" t="n">
        <f aca="false">IF(AND(Tasks[[#This Row],[_IsLeaf]]=1,Tasks[[#This Row],[_LeafWork]]&gt;0),NETWORKDAYS.INTL(ProjectStart,Tasks[[#This Row],[_LeafFcstStart]],WorkWeek,Holidays),0)</f>
        <v>0</v>
      </c>
      <c r="CR5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57" s="43" t="n">
        <f aca="false">IF(AND(Tasks[[#This Row],[_IsLeaf]]=1,Tasks[[#This Row],[_LeafWork]]&gt;0),Tasks[[#This Row],[_LeafWork]]/(Tasks[[#This Row],[_FinishWorkday]]-Tasks[[#This Row],[_StartWorkday]]+1),0)</f>
        <v>0</v>
      </c>
      <c r="CT57" s="43" t="n">
        <f aca="false">Tasks[[#This Row],[_WorkPerWorkday]]*(Tasks[[#This Row],[_StartWorkday]]-1)</f>
        <v>-0</v>
      </c>
      <c r="CU57" s="43" t="n">
        <f aca="false">IF(Tasks[[#This Row],[_IsLeaf]]=1,MAX(N(Tasks[[#This Row],[Duration]]),0.1),0)</f>
        <v>0</v>
      </c>
      <c r="CV57" s="43" t="n">
        <f aca="false">Tasks[[#This Row],[_WeightDur]]*Tasks[[#This Row],[_LeafProgress]]</f>
        <v>0</v>
      </c>
      <c r="CW5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5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5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5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5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57" s="43" t="str">
        <f aca="false">IF(AND(Tasks[[#This Row],[_IsLeaf]]=1,N(Tasks[[#This Row],[Duration]])=0,Tasks[[#This Row],[_LeafProgress]]&lt;1),Tasks[[#This Row],[_LeafFcstFinish]]+Tasks[[#This Row],[_Row]]/100000,"")</f>
        <v/>
      </c>
      <c r="DC5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57" s="43" t="n">
        <f aca="false">IF(NOT(Tasks[[#This Row],[_IsLeaf]]=1),0,IF(Tasks[[#This Row],[Baseline Cost]]="",Tasks[[#This Row],[_LeafCost]],N(Tasks[[#This Row],[Baseline Cost]])))</f>
        <v>0</v>
      </c>
      <c r="DE57" s="43" t="n">
        <f aca="false">Tasks[[#This Row],[_LeafBudget]]*Tasks[[#This Row],[_PlannedPct]]</f>
        <v>0</v>
      </c>
      <c r="DF57" s="43" t="n">
        <f aca="false">Tasks[[#This Row],[_LeafBudget]]*Tasks[[#This Row],[_LeafProgress]]</f>
        <v>0</v>
      </c>
      <c r="DG57" s="43" t="n">
        <f aca="false">IF(NOT(Tasks[[#This Row],[_IsLeaf]]=1),0,IF(Tasks[[#This Row],[Actual Cost]]="",Tasks[[#This Row],[_LeafCost]]*Tasks[[#This Row],[_LeafProgress]],N(Tasks[[#This Row],[Actual Cost]])))</f>
        <v>0</v>
      </c>
      <c r="DH57" s="43" t="str">
        <f aca="false">IF(Tasks[[#This Row],[Task Name]]="","",LEFT(Tasks[[#This Row],[WBS]],FIND(".",Tasks[[#This Row],[WBS]]&amp;".")-1))</f>
        <v/>
      </c>
      <c r="DI57" s="43" t="str">
        <f aca="false">IF(AND(Tasks[[#This Row],[Task Name]]&lt;&gt;"",Tasks[[#This Row],[_Level]]=1),Tasks[[#This Row],[_Row]],"")</f>
        <v/>
      </c>
      <c r="DJ57" s="43" t="str">
        <f aca="false">IF(AND(Tasks[[#This Row],[_IsLeaf]]=1,N(Tasks[[#This Row],[Duration]])=0),Tasks[[#This Row],[Planned Finish]]+Tasks[[#This Row],[_Row]]/100000,"")</f>
        <v/>
      </c>
      <c r="DK5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5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5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57" s="43" t="str">
        <f aca="false">IF(Tasks[[#This Row],[_LeafCritical]],Tasks[[#This Row],[_LeafFcstStart]]+Tasks[[#This Row],[_Row]]/100000,"")</f>
        <v/>
      </c>
      <c r="DO57" s="43" t="n">
        <f aca="false">Tasks[[#This Row],[_LeafWork]]*Tasks[[#This Row],[_LeafProgress]]</f>
        <v>0</v>
      </c>
      <c r="DP5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57" s="43" t="n">
        <f aca="false">IF(Tasks[[#This Row],[_IsLeaf]]=1,N(Tasks[[#This Row],[Story Points]]),0)</f>
        <v>0</v>
      </c>
      <c r="DR57" s="43" t="str">
        <f aca="false">IF(AND(Tasks[[#This Row],[_IsLeaf]]=1,CurrentSprint&lt;&gt;"",Tasks[[#This Row],[Sprint]]=CurrentSprint),Tasks[[#This Row],[_Row]],"")</f>
        <v/>
      </c>
    </row>
    <row r="58" customFormat="false" ht="15" hidden="false" customHeight="false" outlineLevel="0" collapsed="false">
      <c r="A58" s="28" t="str">
        <f aca="false">IF(Tasks[[#This Row],[Task Name]]="","",COUNTA(Tasks[[#Headers],[Task Name]]:Tasks[[#This Row],[Task Name]])-1)</f>
        <v/>
      </c>
      <c r="B58" s="29" t="n">
        <v>53</v>
      </c>
      <c r="C5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58" s="29"/>
      <c r="E58" s="30"/>
      <c r="F58" s="29"/>
      <c r="G58" s="29"/>
      <c r="H58" s="29"/>
      <c r="I58" s="29"/>
      <c r="J58" s="29"/>
      <c r="K58" s="29"/>
      <c r="L58" s="29"/>
      <c r="M58" s="29"/>
      <c r="N58" s="72"/>
      <c r="O58" s="72"/>
      <c r="P58" s="25" t="str">
        <f aca="false">IF(Tasks[[#This Row],[Task Name]]="","",IF(N(Tasks[[#This Row],[Baseline Start]])&gt;0,Tasks[[#This Row],[Baseline Start]],Tasks[[#This Row],[_CalcStart]]))</f>
        <v/>
      </c>
      <c r="Q58" s="25" t="str">
        <f aca="false">IF(Tasks[[#This Row],[Task Name]]="","",IF(N(Tasks[[#This Row],[Baseline Finish]])&gt;0,Tasks[[#This Row],[Baseline Finish]],Tasks[[#This Row],[_CalcFinish]]))</f>
        <v/>
      </c>
      <c r="R58" s="72"/>
      <c r="S58" s="72"/>
      <c r="T5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5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5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5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5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5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5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5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5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5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5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58" s="74"/>
      <c r="AF5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5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58" s="30"/>
      <c r="AI58" s="74"/>
      <c r="AJ5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5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58" s="83"/>
      <c r="AM58" s="29"/>
      <c r="AN5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58" s="84"/>
      <c r="AP5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58" s="30"/>
      <c r="AR58" s="25" t="str">
        <f aca="false">IF(Tasks[[#This Row],[Task Name]]="","",Tasks[[#This Row],[Forecast Start]])</f>
        <v/>
      </c>
      <c r="AS58" s="25" t="str">
        <f aca="false">IF(Tasks[[#This Row],[Task Name]]="","",Tasks[[#This Row],[Forecast Finish]])</f>
        <v/>
      </c>
      <c r="AT5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58" s="81" t="str">
        <f aca="false">IF(Tasks[[#This Row],[Task Name]]="","",Tasks[[#This Row],[Work]])</f>
        <v/>
      </c>
      <c r="AV58" s="82" t="str">
        <f aca="false">IF(Tasks[[#This Row],[Task Name]]="","",Tasks[[#This Row],[Cost]])</f>
        <v/>
      </c>
      <c r="AW58" s="72"/>
      <c r="AX58" s="72"/>
      <c r="AY58" s="29"/>
      <c r="AZ58" s="85"/>
      <c r="BA58" s="83"/>
      <c r="BB58" s="28" t="str">
        <f aca="false">IF(OR(Tasks[[#This Row],[Task Name]]="",Tasks[[#This Row],[Baseline Duration]]=""),"",Tasks[[#This Row],[BL Source Duration]]-N(Tasks[[#This Row],[Baseline Duration]]))</f>
        <v/>
      </c>
      <c r="BC58" s="81" t="str">
        <f aca="false">IF(OR(Tasks[[#This Row],[Task Name]]="",Tasks[[#This Row],[Baseline Work]]=""),"",Tasks[[#This Row],[Work]]-N(Tasks[[#This Row],[Baseline Work]]))</f>
        <v/>
      </c>
      <c r="BD58" s="82" t="str">
        <f aca="false">IF(OR(Tasks[[#This Row],[Task Name]]="",Tasks[[#This Row],[Baseline Cost]]=""),"",Tasks[[#This Row],[Cost]]-N(Tasks[[#This Row],[Baseline Cost]]))</f>
        <v/>
      </c>
      <c r="BE5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5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5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5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58" s="43" t="str">
        <f aca="false">IF(Tasks[[#This Row],[Task Name]]="","",MAX(1,N(Tasks[[#This Row],[Level]])))</f>
        <v/>
      </c>
      <c r="BJ58" s="43" t="n">
        <f aca="false">ROW()-ROW(Tasks[[#Headers],[ID]])</f>
        <v>53</v>
      </c>
      <c r="BK5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58" s="43" t="n">
        <f aca="false">IFERROR(N(INDEX(Tasks[_Level],Tasks[[#This Row],[_Row]]+1)),0)</f>
        <v>0</v>
      </c>
      <c r="BM58" s="86" t="b">
        <f aca="false">AND(Tasks[[#This Row],[Task Name]]&lt;&gt;"",Tasks[[#This Row],[_NextLevel]]&gt;Tasks[[#This Row],[_Level]])</f>
        <v>0</v>
      </c>
      <c r="BN58" s="43" t="n">
        <f aca="false">IF(Tasks[[#This Row],[_IsSummary]],COUNTIF(Tasks[WBS],Tasks[[#This Row],[WBS]]&amp;".*"),0)</f>
        <v>0</v>
      </c>
      <c r="BO58" s="43" t="n">
        <f aca="false">IF(AND(Tasks[[#This Row],[Task Name]]&lt;&gt;"",NOT(Tasks[[#This Row],[_IsSummary]])),1,0)</f>
        <v>0</v>
      </c>
      <c r="BP58" s="43" t="n">
        <f aca="false">IF(N(Tasks[[#This Row],[Pred1 UID]])=0,0,IFERROR(MATCH(Tasks[[#This Row],[Pred1 UID]],Tasks[UID],0),-1))</f>
        <v>0</v>
      </c>
      <c r="BQ58" s="43" t="n">
        <f aca="false">IF(N(Tasks[[#This Row],[Pred2 UID]])=0,0,IFERROR(MATCH(Tasks[[#This Row],[Pred2 UID]],Tasks[UID],0),-1))</f>
        <v>0</v>
      </c>
      <c r="BR5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5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5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5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58" s="43" t="n">
        <f aca="false">IF(NOT(Tasks[[#This Row],[_IsLeaf]]=1),0,IF(N(Tasks[[#This Row],[Actual Finish]])&gt;0,1,MIN(1,N(Tasks[[#This Row],[% Complete]]))))</f>
        <v>0</v>
      </c>
      <c r="BW5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58" s="43" t="n">
        <f aca="false">IF(Tasks[[#This Row],[_LeafWork]]=0,0,Tasks[[#This Row],[_LeafWork]]*IFERROR(INDEX(res_Rate,MATCH(Tasks[[#This Row],[Resource]],res_Name,0)),0))</f>
        <v>0</v>
      </c>
      <c r="BY5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5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5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5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58" s="43" t="n">
        <f aca="false">IF(NOT(Tasks[[#This Row],[_IsLeaf]]=1),0,MAX(_xlfn.MAXIFS(Tasks[_Row],Tasks[Pred1 UID],Tasks[[#This Row],[UID]]),_xlfn.MAXIFS(Tasks[_Row],Tasks[Pred2 UID],Tasks[[#This Row],[UID]])))</f>
        <v>0</v>
      </c>
      <c r="CD5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58" s="87" t="str">
        <f aca="false">IF(NOT(Tasks[[#This Row],[_IsLeaf]]=1),"",MIN(ProjectFinish,IF(N(Tasks[[#This Row],[Deadline]])&gt;0,Tasks[[#This Row],[Deadline]],2958465),Tasks[[#This Row],[_SuccessorFinishLimit]]))</f>
        <v/>
      </c>
      <c r="CF5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5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58" s="86" t="b">
        <f aca="false">AND(Tasks[[#This Row],[_IsLeaf]]=1,Tasks[[#This Row],[_LeafProgress]]&lt;1,N(Tasks[[#This Row],[_LeafTotalSlack]])&lt;=CriticalSlackDays)</f>
        <v>0</v>
      </c>
      <c r="CI5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5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5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5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5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5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5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5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58" s="43" t="n">
        <f aca="false">IF(AND(Tasks[[#This Row],[_IsLeaf]]=1,Tasks[[#This Row],[_LeafWork]]&gt;0),NETWORKDAYS.INTL(ProjectStart,Tasks[[#This Row],[_LeafFcstStart]],WorkWeek,Holidays),0)</f>
        <v>0</v>
      </c>
      <c r="CR5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58" s="43" t="n">
        <f aca="false">IF(AND(Tasks[[#This Row],[_IsLeaf]]=1,Tasks[[#This Row],[_LeafWork]]&gt;0),Tasks[[#This Row],[_LeafWork]]/(Tasks[[#This Row],[_FinishWorkday]]-Tasks[[#This Row],[_StartWorkday]]+1),0)</f>
        <v>0</v>
      </c>
      <c r="CT58" s="43" t="n">
        <f aca="false">Tasks[[#This Row],[_WorkPerWorkday]]*(Tasks[[#This Row],[_StartWorkday]]-1)</f>
        <v>-0</v>
      </c>
      <c r="CU58" s="43" t="n">
        <f aca="false">IF(Tasks[[#This Row],[_IsLeaf]]=1,MAX(N(Tasks[[#This Row],[Duration]]),0.1),0)</f>
        <v>0</v>
      </c>
      <c r="CV58" s="43" t="n">
        <f aca="false">Tasks[[#This Row],[_WeightDur]]*Tasks[[#This Row],[_LeafProgress]]</f>
        <v>0</v>
      </c>
      <c r="CW5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5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5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5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5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58" s="43" t="str">
        <f aca="false">IF(AND(Tasks[[#This Row],[_IsLeaf]]=1,N(Tasks[[#This Row],[Duration]])=0,Tasks[[#This Row],[_LeafProgress]]&lt;1),Tasks[[#This Row],[_LeafFcstFinish]]+Tasks[[#This Row],[_Row]]/100000,"")</f>
        <v/>
      </c>
      <c r="DC5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58" s="43" t="n">
        <f aca="false">IF(NOT(Tasks[[#This Row],[_IsLeaf]]=1),0,IF(Tasks[[#This Row],[Baseline Cost]]="",Tasks[[#This Row],[_LeafCost]],N(Tasks[[#This Row],[Baseline Cost]])))</f>
        <v>0</v>
      </c>
      <c r="DE58" s="43" t="n">
        <f aca="false">Tasks[[#This Row],[_LeafBudget]]*Tasks[[#This Row],[_PlannedPct]]</f>
        <v>0</v>
      </c>
      <c r="DF58" s="43" t="n">
        <f aca="false">Tasks[[#This Row],[_LeafBudget]]*Tasks[[#This Row],[_LeafProgress]]</f>
        <v>0</v>
      </c>
      <c r="DG58" s="43" t="n">
        <f aca="false">IF(NOT(Tasks[[#This Row],[_IsLeaf]]=1),0,IF(Tasks[[#This Row],[Actual Cost]]="",Tasks[[#This Row],[_LeafCost]]*Tasks[[#This Row],[_LeafProgress]],N(Tasks[[#This Row],[Actual Cost]])))</f>
        <v>0</v>
      </c>
      <c r="DH58" s="43" t="str">
        <f aca="false">IF(Tasks[[#This Row],[Task Name]]="","",LEFT(Tasks[[#This Row],[WBS]],FIND(".",Tasks[[#This Row],[WBS]]&amp;".")-1))</f>
        <v/>
      </c>
      <c r="DI58" s="43" t="str">
        <f aca="false">IF(AND(Tasks[[#This Row],[Task Name]]&lt;&gt;"",Tasks[[#This Row],[_Level]]=1),Tasks[[#This Row],[_Row]],"")</f>
        <v/>
      </c>
      <c r="DJ58" s="43" t="str">
        <f aca="false">IF(AND(Tasks[[#This Row],[_IsLeaf]]=1,N(Tasks[[#This Row],[Duration]])=0),Tasks[[#This Row],[Planned Finish]]+Tasks[[#This Row],[_Row]]/100000,"")</f>
        <v/>
      </c>
      <c r="DK5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5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5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58" s="43" t="str">
        <f aca="false">IF(Tasks[[#This Row],[_LeafCritical]],Tasks[[#This Row],[_LeafFcstStart]]+Tasks[[#This Row],[_Row]]/100000,"")</f>
        <v/>
      </c>
      <c r="DO58" s="43" t="n">
        <f aca="false">Tasks[[#This Row],[_LeafWork]]*Tasks[[#This Row],[_LeafProgress]]</f>
        <v>0</v>
      </c>
      <c r="DP5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58" s="43" t="n">
        <f aca="false">IF(Tasks[[#This Row],[_IsLeaf]]=1,N(Tasks[[#This Row],[Story Points]]),0)</f>
        <v>0</v>
      </c>
      <c r="DR58" s="43" t="str">
        <f aca="false">IF(AND(Tasks[[#This Row],[_IsLeaf]]=1,CurrentSprint&lt;&gt;"",Tasks[[#This Row],[Sprint]]=CurrentSprint),Tasks[[#This Row],[_Row]],"")</f>
        <v/>
      </c>
    </row>
    <row r="59" customFormat="false" ht="15" hidden="false" customHeight="false" outlineLevel="0" collapsed="false">
      <c r="A59" s="28" t="str">
        <f aca="false">IF(Tasks[[#This Row],[Task Name]]="","",COUNTA(Tasks[[#Headers],[Task Name]]:Tasks[[#This Row],[Task Name]])-1)</f>
        <v/>
      </c>
      <c r="B59" s="29" t="n">
        <v>54</v>
      </c>
      <c r="C5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59" s="29"/>
      <c r="E59" s="30"/>
      <c r="F59" s="29"/>
      <c r="G59" s="29"/>
      <c r="H59" s="29"/>
      <c r="I59" s="29"/>
      <c r="J59" s="29"/>
      <c r="K59" s="29"/>
      <c r="L59" s="29"/>
      <c r="M59" s="29"/>
      <c r="N59" s="72"/>
      <c r="O59" s="72"/>
      <c r="P59" s="25" t="str">
        <f aca="false">IF(Tasks[[#This Row],[Task Name]]="","",IF(N(Tasks[[#This Row],[Baseline Start]])&gt;0,Tasks[[#This Row],[Baseline Start]],Tasks[[#This Row],[_CalcStart]]))</f>
        <v/>
      </c>
      <c r="Q59" s="25" t="str">
        <f aca="false">IF(Tasks[[#This Row],[Task Name]]="","",IF(N(Tasks[[#This Row],[Baseline Finish]])&gt;0,Tasks[[#This Row],[Baseline Finish]],Tasks[[#This Row],[_CalcFinish]]))</f>
        <v/>
      </c>
      <c r="R59" s="72"/>
      <c r="S59" s="72"/>
      <c r="T5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5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5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5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5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5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5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5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5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5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5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59" s="74"/>
      <c r="AF5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5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59" s="30"/>
      <c r="AI59" s="74"/>
      <c r="AJ5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5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59" s="83"/>
      <c r="AM59" s="29"/>
      <c r="AN5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59" s="84"/>
      <c r="AP5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59" s="30"/>
      <c r="AR59" s="25" t="str">
        <f aca="false">IF(Tasks[[#This Row],[Task Name]]="","",Tasks[[#This Row],[Forecast Start]])</f>
        <v/>
      </c>
      <c r="AS59" s="25" t="str">
        <f aca="false">IF(Tasks[[#This Row],[Task Name]]="","",Tasks[[#This Row],[Forecast Finish]])</f>
        <v/>
      </c>
      <c r="AT5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59" s="81" t="str">
        <f aca="false">IF(Tasks[[#This Row],[Task Name]]="","",Tasks[[#This Row],[Work]])</f>
        <v/>
      </c>
      <c r="AV59" s="82" t="str">
        <f aca="false">IF(Tasks[[#This Row],[Task Name]]="","",Tasks[[#This Row],[Cost]])</f>
        <v/>
      </c>
      <c r="AW59" s="72"/>
      <c r="AX59" s="72"/>
      <c r="AY59" s="29"/>
      <c r="AZ59" s="85"/>
      <c r="BA59" s="83"/>
      <c r="BB59" s="28" t="str">
        <f aca="false">IF(OR(Tasks[[#This Row],[Task Name]]="",Tasks[[#This Row],[Baseline Duration]]=""),"",Tasks[[#This Row],[BL Source Duration]]-N(Tasks[[#This Row],[Baseline Duration]]))</f>
        <v/>
      </c>
      <c r="BC59" s="81" t="str">
        <f aca="false">IF(OR(Tasks[[#This Row],[Task Name]]="",Tasks[[#This Row],[Baseline Work]]=""),"",Tasks[[#This Row],[Work]]-N(Tasks[[#This Row],[Baseline Work]]))</f>
        <v/>
      </c>
      <c r="BD59" s="82" t="str">
        <f aca="false">IF(OR(Tasks[[#This Row],[Task Name]]="",Tasks[[#This Row],[Baseline Cost]]=""),"",Tasks[[#This Row],[Cost]]-N(Tasks[[#This Row],[Baseline Cost]]))</f>
        <v/>
      </c>
      <c r="BE5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5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5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5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59" s="43" t="str">
        <f aca="false">IF(Tasks[[#This Row],[Task Name]]="","",MAX(1,N(Tasks[[#This Row],[Level]])))</f>
        <v/>
      </c>
      <c r="BJ59" s="43" t="n">
        <f aca="false">ROW()-ROW(Tasks[[#Headers],[ID]])</f>
        <v>54</v>
      </c>
      <c r="BK5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59" s="43" t="n">
        <f aca="false">IFERROR(N(INDEX(Tasks[_Level],Tasks[[#This Row],[_Row]]+1)),0)</f>
        <v>0</v>
      </c>
      <c r="BM59" s="86" t="b">
        <f aca="false">AND(Tasks[[#This Row],[Task Name]]&lt;&gt;"",Tasks[[#This Row],[_NextLevel]]&gt;Tasks[[#This Row],[_Level]])</f>
        <v>0</v>
      </c>
      <c r="BN59" s="43" t="n">
        <f aca="false">IF(Tasks[[#This Row],[_IsSummary]],COUNTIF(Tasks[WBS],Tasks[[#This Row],[WBS]]&amp;".*"),0)</f>
        <v>0</v>
      </c>
      <c r="BO59" s="43" t="n">
        <f aca="false">IF(AND(Tasks[[#This Row],[Task Name]]&lt;&gt;"",NOT(Tasks[[#This Row],[_IsSummary]])),1,0)</f>
        <v>0</v>
      </c>
      <c r="BP59" s="43" t="n">
        <f aca="false">IF(N(Tasks[[#This Row],[Pred1 UID]])=0,0,IFERROR(MATCH(Tasks[[#This Row],[Pred1 UID]],Tasks[UID],0),-1))</f>
        <v>0</v>
      </c>
      <c r="BQ59" s="43" t="n">
        <f aca="false">IF(N(Tasks[[#This Row],[Pred2 UID]])=0,0,IFERROR(MATCH(Tasks[[#This Row],[Pred2 UID]],Tasks[UID],0),-1))</f>
        <v>0</v>
      </c>
      <c r="BR5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5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5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5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59" s="43" t="n">
        <f aca="false">IF(NOT(Tasks[[#This Row],[_IsLeaf]]=1),0,IF(N(Tasks[[#This Row],[Actual Finish]])&gt;0,1,MIN(1,N(Tasks[[#This Row],[% Complete]]))))</f>
        <v>0</v>
      </c>
      <c r="BW5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59" s="43" t="n">
        <f aca="false">IF(Tasks[[#This Row],[_LeafWork]]=0,0,Tasks[[#This Row],[_LeafWork]]*IFERROR(INDEX(res_Rate,MATCH(Tasks[[#This Row],[Resource]],res_Name,0)),0))</f>
        <v>0</v>
      </c>
      <c r="BY5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5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5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5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59" s="43" t="n">
        <f aca="false">IF(NOT(Tasks[[#This Row],[_IsLeaf]]=1),0,MAX(_xlfn.MAXIFS(Tasks[_Row],Tasks[Pred1 UID],Tasks[[#This Row],[UID]]),_xlfn.MAXIFS(Tasks[_Row],Tasks[Pred2 UID],Tasks[[#This Row],[UID]])))</f>
        <v>0</v>
      </c>
      <c r="CD5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59" s="87" t="str">
        <f aca="false">IF(NOT(Tasks[[#This Row],[_IsLeaf]]=1),"",MIN(ProjectFinish,IF(N(Tasks[[#This Row],[Deadline]])&gt;0,Tasks[[#This Row],[Deadline]],2958465),Tasks[[#This Row],[_SuccessorFinishLimit]]))</f>
        <v/>
      </c>
      <c r="CF5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5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59" s="86" t="b">
        <f aca="false">AND(Tasks[[#This Row],[_IsLeaf]]=1,Tasks[[#This Row],[_LeafProgress]]&lt;1,N(Tasks[[#This Row],[_LeafTotalSlack]])&lt;=CriticalSlackDays)</f>
        <v>0</v>
      </c>
      <c r="CI5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5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5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5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5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5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5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5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59" s="43" t="n">
        <f aca="false">IF(AND(Tasks[[#This Row],[_IsLeaf]]=1,Tasks[[#This Row],[_LeafWork]]&gt;0),NETWORKDAYS.INTL(ProjectStart,Tasks[[#This Row],[_LeafFcstStart]],WorkWeek,Holidays),0)</f>
        <v>0</v>
      </c>
      <c r="CR5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59" s="43" t="n">
        <f aca="false">IF(AND(Tasks[[#This Row],[_IsLeaf]]=1,Tasks[[#This Row],[_LeafWork]]&gt;0),Tasks[[#This Row],[_LeafWork]]/(Tasks[[#This Row],[_FinishWorkday]]-Tasks[[#This Row],[_StartWorkday]]+1),0)</f>
        <v>0</v>
      </c>
      <c r="CT59" s="43" t="n">
        <f aca="false">Tasks[[#This Row],[_WorkPerWorkday]]*(Tasks[[#This Row],[_StartWorkday]]-1)</f>
        <v>-0</v>
      </c>
      <c r="CU59" s="43" t="n">
        <f aca="false">IF(Tasks[[#This Row],[_IsLeaf]]=1,MAX(N(Tasks[[#This Row],[Duration]]),0.1),0)</f>
        <v>0</v>
      </c>
      <c r="CV59" s="43" t="n">
        <f aca="false">Tasks[[#This Row],[_WeightDur]]*Tasks[[#This Row],[_LeafProgress]]</f>
        <v>0</v>
      </c>
      <c r="CW5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5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5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5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5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59" s="43" t="str">
        <f aca="false">IF(AND(Tasks[[#This Row],[_IsLeaf]]=1,N(Tasks[[#This Row],[Duration]])=0,Tasks[[#This Row],[_LeafProgress]]&lt;1),Tasks[[#This Row],[_LeafFcstFinish]]+Tasks[[#This Row],[_Row]]/100000,"")</f>
        <v/>
      </c>
      <c r="DC5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59" s="43" t="n">
        <f aca="false">IF(NOT(Tasks[[#This Row],[_IsLeaf]]=1),0,IF(Tasks[[#This Row],[Baseline Cost]]="",Tasks[[#This Row],[_LeafCost]],N(Tasks[[#This Row],[Baseline Cost]])))</f>
        <v>0</v>
      </c>
      <c r="DE59" s="43" t="n">
        <f aca="false">Tasks[[#This Row],[_LeafBudget]]*Tasks[[#This Row],[_PlannedPct]]</f>
        <v>0</v>
      </c>
      <c r="DF59" s="43" t="n">
        <f aca="false">Tasks[[#This Row],[_LeafBudget]]*Tasks[[#This Row],[_LeafProgress]]</f>
        <v>0</v>
      </c>
      <c r="DG59" s="43" t="n">
        <f aca="false">IF(NOT(Tasks[[#This Row],[_IsLeaf]]=1),0,IF(Tasks[[#This Row],[Actual Cost]]="",Tasks[[#This Row],[_LeafCost]]*Tasks[[#This Row],[_LeafProgress]],N(Tasks[[#This Row],[Actual Cost]])))</f>
        <v>0</v>
      </c>
      <c r="DH59" s="43" t="str">
        <f aca="false">IF(Tasks[[#This Row],[Task Name]]="","",LEFT(Tasks[[#This Row],[WBS]],FIND(".",Tasks[[#This Row],[WBS]]&amp;".")-1))</f>
        <v/>
      </c>
      <c r="DI59" s="43" t="str">
        <f aca="false">IF(AND(Tasks[[#This Row],[Task Name]]&lt;&gt;"",Tasks[[#This Row],[_Level]]=1),Tasks[[#This Row],[_Row]],"")</f>
        <v/>
      </c>
      <c r="DJ59" s="43" t="str">
        <f aca="false">IF(AND(Tasks[[#This Row],[_IsLeaf]]=1,N(Tasks[[#This Row],[Duration]])=0),Tasks[[#This Row],[Planned Finish]]+Tasks[[#This Row],[_Row]]/100000,"")</f>
        <v/>
      </c>
      <c r="DK5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5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5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59" s="43" t="str">
        <f aca="false">IF(Tasks[[#This Row],[_LeafCritical]],Tasks[[#This Row],[_LeafFcstStart]]+Tasks[[#This Row],[_Row]]/100000,"")</f>
        <v/>
      </c>
      <c r="DO59" s="43" t="n">
        <f aca="false">Tasks[[#This Row],[_LeafWork]]*Tasks[[#This Row],[_LeafProgress]]</f>
        <v>0</v>
      </c>
      <c r="DP5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59" s="43" t="n">
        <f aca="false">IF(Tasks[[#This Row],[_IsLeaf]]=1,N(Tasks[[#This Row],[Story Points]]),0)</f>
        <v>0</v>
      </c>
      <c r="DR59" s="43" t="str">
        <f aca="false">IF(AND(Tasks[[#This Row],[_IsLeaf]]=1,CurrentSprint&lt;&gt;"",Tasks[[#This Row],[Sprint]]=CurrentSprint),Tasks[[#This Row],[_Row]],"")</f>
        <v/>
      </c>
    </row>
    <row r="60" customFormat="false" ht="15" hidden="false" customHeight="false" outlineLevel="0" collapsed="false">
      <c r="A60" s="28" t="str">
        <f aca="false">IF(Tasks[[#This Row],[Task Name]]="","",COUNTA(Tasks[[#Headers],[Task Name]]:Tasks[[#This Row],[Task Name]])-1)</f>
        <v/>
      </c>
      <c r="B60" s="29" t="n">
        <v>55</v>
      </c>
      <c r="C6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60" s="29"/>
      <c r="E60" s="30"/>
      <c r="F60" s="29"/>
      <c r="G60" s="29"/>
      <c r="H60" s="29"/>
      <c r="I60" s="29"/>
      <c r="J60" s="29"/>
      <c r="K60" s="29"/>
      <c r="L60" s="29"/>
      <c r="M60" s="29"/>
      <c r="N60" s="72"/>
      <c r="O60" s="72"/>
      <c r="P60" s="25" t="str">
        <f aca="false">IF(Tasks[[#This Row],[Task Name]]="","",IF(N(Tasks[[#This Row],[Baseline Start]])&gt;0,Tasks[[#This Row],[Baseline Start]],Tasks[[#This Row],[_CalcStart]]))</f>
        <v/>
      </c>
      <c r="Q60" s="25" t="str">
        <f aca="false">IF(Tasks[[#This Row],[Task Name]]="","",IF(N(Tasks[[#This Row],[Baseline Finish]])&gt;0,Tasks[[#This Row],[Baseline Finish]],Tasks[[#This Row],[_CalcFinish]]))</f>
        <v/>
      </c>
      <c r="R60" s="72"/>
      <c r="S60" s="72"/>
      <c r="T6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6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6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6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6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6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6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6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6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6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6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60" s="74"/>
      <c r="AF6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6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60" s="30"/>
      <c r="AI60" s="74"/>
      <c r="AJ6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6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60" s="83"/>
      <c r="AM60" s="29"/>
      <c r="AN6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60" s="84"/>
      <c r="AP6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60" s="30"/>
      <c r="AR60" s="25" t="str">
        <f aca="false">IF(Tasks[[#This Row],[Task Name]]="","",Tasks[[#This Row],[Forecast Start]])</f>
        <v/>
      </c>
      <c r="AS60" s="25" t="str">
        <f aca="false">IF(Tasks[[#This Row],[Task Name]]="","",Tasks[[#This Row],[Forecast Finish]])</f>
        <v/>
      </c>
      <c r="AT6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60" s="81" t="str">
        <f aca="false">IF(Tasks[[#This Row],[Task Name]]="","",Tasks[[#This Row],[Work]])</f>
        <v/>
      </c>
      <c r="AV60" s="82" t="str">
        <f aca="false">IF(Tasks[[#This Row],[Task Name]]="","",Tasks[[#This Row],[Cost]])</f>
        <v/>
      </c>
      <c r="AW60" s="72"/>
      <c r="AX60" s="72"/>
      <c r="AY60" s="29"/>
      <c r="AZ60" s="85"/>
      <c r="BA60" s="83"/>
      <c r="BB60" s="28" t="str">
        <f aca="false">IF(OR(Tasks[[#This Row],[Task Name]]="",Tasks[[#This Row],[Baseline Duration]]=""),"",Tasks[[#This Row],[BL Source Duration]]-N(Tasks[[#This Row],[Baseline Duration]]))</f>
        <v/>
      </c>
      <c r="BC60" s="81" t="str">
        <f aca="false">IF(OR(Tasks[[#This Row],[Task Name]]="",Tasks[[#This Row],[Baseline Work]]=""),"",Tasks[[#This Row],[Work]]-N(Tasks[[#This Row],[Baseline Work]]))</f>
        <v/>
      </c>
      <c r="BD60" s="82" t="str">
        <f aca="false">IF(OR(Tasks[[#This Row],[Task Name]]="",Tasks[[#This Row],[Baseline Cost]]=""),"",Tasks[[#This Row],[Cost]]-N(Tasks[[#This Row],[Baseline Cost]]))</f>
        <v/>
      </c>
      <c r="BE6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6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6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6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60" s="43" t="str">
        <f aca="false">IF(Tasks[[#This Row],[Task Name]]="","",MAX(1,N(Tasks[[#This Row],[Level]])))</f>
        <v/>
      </c>
      <c r="BJ60" s="43" t="n">
        <f aca="false">ROW()-ROW(Tasks[[#Headers],[ID]])</f>
        <v>55</v>
      </c>
      <c r="BK6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60" s="43" t="n">
        <f aca="false">IFERROR(N(INDEX(Tasks[_Level],Tasks[[#This Row],[_Row]]+1)),0)</f>
        <v>0</v>
      </c>
      <c r="BM60" s="86" t="b">
        <f aca="false">AND(Tasks[[#This Row],[Task Name]]&lt;&gt;"",Tasks[[#This Row],[_NextLevel]]&gt;Tasks[[#This Row],[_Level]])</f>
        <v>0</v>
      </c>
      <c r="BN60" s="43" t="n">
        <f aca="false">IF(Tasks[[#This Row],[_IsSummary]],COUNTIF(Tasks[WBS],Tasks[[#This Row],[WBS]]&amp;".*"),0)</f>
        <v>0</v>
      </c>
      <c r="BO60" s="43" t="n">
        <f aca="false">IF(AND(Tasks[[#This Row],[Task Name]]&lt;&gt;"",NOT(Tasks[[#This Row],[_IsSummary]])),1,0)</f>
        <v>0</v>
      </c>
      <c r="BP60" s="43" t="n">
        <f aca="false">IF(N(Tasks[[#This Row],[Pred1 UID]])=0,0,IFERROR(MATCH(Tasks[[#This Row],[Pred1 UID]],Tasks[UID],0),-1))</f>
        <v>0</v>
      </c>
      <c r="BQ60" s="43" t="n">
        <f aca="false">IF(N(Tasks[[#This Row],[Pred2 UID]])=0,0,IFERROR(MATCH(Tasks[[#This Row],[Pred2 UID]],Tasks[UID],0),-1))</f>
        <v>0</v>
      </c>
      <c r="BR6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6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6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6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60" s="43" t="n">
        <f aca="false">IF(NOT(Tasks[[#This Row],[_IsLeaf]]=1),0,IF(N(Tasks[[#This Row],[Actual Finish]])&gt;0,1,MIN(1,N(Tasks[[#This Row],[% Complete]]))))</f>
        <v>0</v>
      </c>
      <c r="BW6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60" s="43" t="n">
        <f aca="false">IF(Tasks[[#This Row],[_LeafWork]]=0,0,Tasks[[#This Row],[_LeafWork]]*IFERROR(INDEX(res_Rate,MATCH(Tasks[[#This Row],[Resource]],res_Name,0)),0))</f>
        <v>0</v>
      </c>
      <c r="BY6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6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6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6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60" s="43" t="n">
        <f aca="false">IF(NOT(Tasks[[#This Row],[_IsLeaf]]=1),0,MAX(_xlfn.MAXIFS(Tasks[_Row],Tasks[Pred1 UID],Tasks[[#This Row],[UID]]),_xlfn.MAXIFS(Tasks[_Row],Tasks[Pred2 UID],Tasks[[#This Row],[UID]])))</f>
        <v>0</v>
      </c>
      <c r="CD6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60" s="87" t="str">
        <f aca="false">IF(NOT(Tasks[[#This Row],[_IsLeaf]]=1),"",MIN(ProjectFinish,IF(N(Tasks[[#This Row],[Deadline]])&gt;0,Tasks[[#This Row],[Deadline]],2958465),Tasks[[#This Row],[_SuccessorFinishLimit]]))</f>
        <v/>
      </c>
      <c r="CF6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6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60" s="86" t="b">
        <f aca="false">AND(Tasks[[#This Row],[_IsLeaf]]=1,Tasks[[#This Row],[_LeafProgress]]&lt;1,N(Tasks[[#This Row],[_LeafTotalSlack]])&lt;=CriticalSlackDays)</f>
        <v>0</v>
      </c>
      <c r="CI6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6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6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6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6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6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6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6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60" s="43" t="n">
        <f aca="false">IF(AND(Tasks[[#This Row],[_IsLeaf]]=1,Tasks[[#This Row],[_LeafWork]]&gt;0),NETWORKDAYS.INTL(ProjectStart,Tasks[[#This Row],[_LeafFcstStart]],WorkWeek,Holidays),0)</f>
        <v>0</v>
      </c>
      <c r="CR6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60" s="43" t="n">
        <f aca="false">IF(AND(Tasks[[#This Row],[_IsLeaf]]=1,Tasks[[#This Row],[_LeafWork]]&gt;0),Tasks[[#This Row],[_LeafWork]]/(Tasks[[#This Row],[_FinishWorkday]]-Tasks[[#This Row],[_StartWorkday]]+1),0)</f>
        <v>0</v>
      </c>
      <c r="CT60" s="43" t="n">
        <f aca="false">Tasks[[#This Row],[_WorkPerWorkday]]*(Tasks[[#This Row],[_StartWorkday]]-1)</f>
        <v>-0</v>
      </c>
      <c r="CU60" s="43" t="n">
        <f aca="false">IF(Tasks[[#This Row],[_IsLeaf]]=1,MAX(N(Tasks[[#This Row],[Duration]]),0.1),0)</f>
        <v>0</v>
      </c>
      <c r="CV60" s="43" t="n">
        <f aca="false">Tasks[[#This Row],[_WeightDur]]*Tasks[[#This Row],[_LeafProgress]]</f>
        <v>0</v>
      </c>
      <c r="CW6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6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6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6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6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60" s="43" t="str">
        <f aca="false">IF(AND(Tasks[[#This Row],[_IsLeaf]]=1,N(Tasks[[#This Row],[Duration]])=0,Tasks[[#This Row],[_LeafProgress]]&lt;1),Tasks[[#This Row],[_LeafFcstFinish]]+Tasks[[#This Row],[_Row]]/100000,"")</f>
        <v/>
      </c>
      <c r="DC6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60" s="43" t="n">
        <f aca="false">IF(NOT(Tasks[[#This Row],[_IsLeaf]]=1),0,IF(Tasks[[#This Row],[Baseline Cost]]="",Tasks[[#This Row],[_LeafCost]],N(Tasks[[#This Row],[Baseline Cost]])))</f>
        <v>0</v>
      </c>
      <c r="DE60" s="43" t="n">
        <f aca="false">Tasks[[#This Row],[_LeafBudget]]*Tasks[[#This Row],[_PlannedPct]]</f>
        <v>0</v>
      </c>
      <c r="DF60" s="43" t="n">
        <f aca="false">Tasks[[#This Row],[_LeafBudget]]*Tasks[[#This Row],[_LeafProgress]]</f>
        <v>0</v>
      </c>
      <c r="DG60" s="43" t="n">
        <f aca="false">IF(NOT(Tasks[[#This Row],[_IsLeaf]]=1),0,IF(Tasks[[#This Row],[Actual Cost]]="",Tasks[[#This Row],[_LeafCost]]*Tasks[[#This Row],[_LeafProgress]],N(Tasks[[#This Row],[Actual Cost]])))</f>
        <v>0</v>
      </c>
      <c r="DH60" s="43" t="str">
        <f aca="false">IF(Tasks[[#This Row],[Task Name]]="","",LEFT(Tasks[[#This Row],[WBS]],FIND(".",Tasks[[#This Row],[WBS]]&amp;".")-1))</f>
        <v/>
      </c>
      <c r="DI60" s="43" t="str">
        <f aca="false">IF(AND(Tasks[[#This Row],[Task Name]]&lt;&gt;"",Tasks[[#This Row],[_Level]]=1),Tasks[[#This Row],[_Row]],"")</f>
        <v/>
      </c>
      <c r="DJ60" s="43" t="str">
        <f aca="false">IF(AND(Tasks[[#This Row],[_IsLeaf]]=1,N(Tasks[[#This Row],[Duration]])=0),Tasks[[#This Row],[Planned Finish]]+Tasks[[#This Row],[_Row]]/100000,"")</f>
        <v/>
      </c>
      <c r="DK6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6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6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60" s="43" t="str">
        <f aca="false">IF(Tasks[[#This Row],[_LeafCritical]],Tasks[[#This Row],[_LeafFcstStart]]+Tasks[[#This Row],[_Row]]/100000,"")</f>
        <v/>
      </c>
      <c r="DO60" s="43" t="n">
        <f aca="false">Tasks[[#This Row],[_LeafWork]]*Tasks[[#This Row],[_LeafProgress]]</f>
        <v>0</v>
      </c>
      <c r="DP6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60" s="43" t="n">
        <f aca="false">IF(Tasks[[#This Row],[_IsLeaf]]=1,N(Tasks[[#This Row],[Story Points]]),0)</f>
        <v>0</v>
      </c>
      <c r="DR60" s="43" t="str">
        <f aca="false">IF(AND(Tasks[[#This Row],[_IsLeaf]]=1,CurrentSprint&lt;&gt;"",Tasks[[#This Row],[Sprint]]=CurrentSprint),Tasks[[#This Row],[_Row]],"")</f>
        <v/>
      </c>
    </row>
    <row r="61" customFormat="false" ht="15" hidden="false" customHeight="false" outlineLevel="0" collapsed="false">
      <c r="A61" s="28" t="str">
        <f aca="false">IF(Tasks[[#This Row],[Task Name]]="","",COUNTA(Tasks[[#Headers],[Task Name]]:Tasks[[#This Row],[Task Name]])-1)</f>
        <v/>
      </c>
      <c r="B61" s="29" t="n">
        <v>56</v>
      </c>
      <c r="C6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61" s="29"/>
      <c r="E61" s="30"/>
      <c r="F61" s="29"/>
      <c r="G61" s="29"/>
      <c r="H61" s="29"/>
      <c r="I61" s="29"/>
      <c r="J61" s="29"/>
      <c r="K61" s="29"/>
      <c r="L61" s="29"/>
      <c r="M61" s="29"/>
      <c r="N61" s="72"/>
      <c r="O61" s="72"/>
      <c r="P61" s="25" t="str">
        <f aca="false">IF(Tasks[[#This Row],[Task Name]]="","",IF(N(Tasks[[#This Row],[Baseline Start]])&gt;0,Tasks[[#This Row],[Baseline Start]],Tasks[[#This Row],[_CalcStart]]))</f>
        <v/>
      </c>
      <c r="Q61" s="25" t="str">
        <f aca="false">IF(Tasks[[#This Row],[Task Name]]="","",IF(N(Tasks[[#This Row],[Baseline Finish]])&gt;0,Tasks[[#This Row],[Baseline Finish]],Tasks[[#This Row],[_CalcFinish]]))</f>
        <v/>
      </c>
      <c r="R61" s="72"/>
      <c r="S61" s="72"/>
      <c r="T6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6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6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6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6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6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6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6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6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6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6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61" s="74"/>
      <c r="AF6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6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61" s="30"/>
      <c r="AI61" s="74"/>
      <c r="AJ6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6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61" s="83"/>
      <c r="AM61" s="29"/>
      <c r="AN6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61" s="84"/>
      <c r="AP6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61" s="30"/>
      <c r="AR61" s="25" t="str">
        <f aca="false">IF(Tasks[[#This Row],[Task Name]]="","",Tasks[[#This Row],[Forecast Start]])</f>
        <v/>
      </c>
      <c r="AS61" s="25" t="str">
        <f aca="false">IF(Tasks[[#This Row],[Task Name]]="","",Tasks[[#This Row],[Forecast Finish]])</f>
        <v/>
      </c>
      <c r="AT6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61" s="81" t="str">
        <f aca="false">IF(Tasks[[#This Row],[Task Name]]="","",Tasks[[#This Row],[Work]])</f>
        <v/>
      </c>
      <c r="AV61" s="82" t="str">
        <f aca="false">IF(Tasks[[#This Row],[Task Name]]="","",Tasks[[#This Row],[Cost]])</f>
        <v/>
      </c>
      <c r="AW61" s="72"/>
      <c r="AX61" s="72"/>
      <c r="AY61" s="29"/>
      <c r="AZ61" s="85"/>
      <c r="BA61" s="83"/>
      <c r="BB61" s="28" t="str">
        <f aca="false">IF(OR(Tasks[[#This Row],[Task Name]]="",Tasks[[#This Row],[Baseline Duration]]=""),"",Tasks[[#This Row],[BL Source Duration]]-N(Tasks[[#This Row],[Baseline Duration]]))</f>
        <v/>
      </c>
      <c r="BC61" s="81" t="str">
        <f aca="false">IF(OR(Tasks[[#This Row],[Task Name]]="",Tasks[[#This Row],[Baseline Work]]=""),"",Tasks[[#This Row],[Work]]-N(Tasks[[#This Row],[Baseline Work]]))</f>
        <v/>
      </c>
      <c r="BD61" s="82" t="str">
        <f aca="false">IF(OR(Tasks[[#This Row],[Task Name]]="",Tasks[[#This Row],[Baseline Cost]]=""),"",Tasks[[#This Row],[Cost]]-N(Tasks[[#This Row],[Baseline Cost]]))</f>
        <v/>
      </c>
      <c r="BE6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6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6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6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61" s="43" t="str">
        <f aca="false">IF(Tasks[[#This Row],[Task Name]]="","",MAX(1,N(Tasks[[#This Row],[Level]])))</f>
        <v/>
      </c>
      <c r="BJ61" s="43" t="n">
        <f aca="false">ROW()-ROW(Tasks[[#Headers],[ID]])</f>
        <v>56</v>
      </c>
      <c r="BK6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61" s="43" t="n">
        <f aca="false">IFERROR(N(INDEX(Tasks[_Level],Tasks[[#This Row],[_Row]]+1)),0)</f>
        <v>0</v>
      </c>
      <c r="BM61" s="86" t="b">
        <f aca="false">AND(Tasks[[#This Row],[Task Name]]&lt;&gt;"",Tasks[[#This Row],[_NextLevel]]&gt;Tasks[[#This Row],[_Level]])</f>
        <v>0</v>
      </c>
      <c r="BN61" s="43" t="n">
        <f aca="false">IF(Tasks[[#This Row],[_IsSummary]],COUNTIF(Tasks[WBS],Tasks[[#This Row],[WBS]]&amp;".*"),0)</f>
        <v>0</v>
      </c>
      <c r="BO61" s="43" t="n">
        <f aca="false">IF(AND(Tasks[[#This Row],[Task Name]]&lt;&gt;"",NOT(Tasks[[#This Row],[_IsSummary]])),1,0)</f>
        <v>0</v>
      </c>
      <c r="BP61" s="43" t="n">
        <f aca="false">IF(N(Tasks[[#This Row],[Pred1 UID]])=0,0,IFERROR(MATCH(Tasks[[#This Row],[Pred1 UID]],Tasks[UID],0),-1))</f>
        <v>0</v>
      </c>
      <c r="BQ61" s="43" t="n">
        <f aca="false">IF(N(Tasks[[#This Row],[Pred2 UID]])=0,0,IFERROR(MATCH(Tasks[[#This Row],[Pred2 UID]],Tasks[UID],0),-1))</f>
        <v>0</v>
      </c>
      <c r="BR6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6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6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6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61" s="43" t="n">
        <f aca="false">IF(NOT(Tasks[[#This Row],[_IsLeaf]]=1),0,IF(N(Tasks[[#This Row],[Actual Finish]])&gt;0,1,MIN(1,N(Tasks[[#This Row],[% Complete]]))))</f>
        <v>0</v>
      </c>
      <c r="BW6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61" s="43" t="n">
        <f aca="false">IF(Tasks[[#This Row],[_LeafWork]]=0,0,Tasks[[#This Row],[_LeafWork]]*IFERROR(INDEX(res_Rate,MATCH(Tasks[[#This Row],[Resource]],res_Name,0)),0))</f>
        <v>0</v>
      </c>
      <c r="BY6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6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6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6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61" s="43" t="n">
        <f aca="false">IF(NOT(Tasks[[#This Row],[_IsLeaf]]=1),0,MAX(_xlfn.MAXIFS(Tasks[_Row],Tasks[Pred1 UID],Tasks[[#This Row],[UID]]),_xlfn.MAXIFS(Tasks[_Row],Tasks[Pred2 UID],Tasks[[#This Row],[UID]])))</f>
        <v>0</v>
      </c>
      <c r="CD6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61" s="87" t="str">
        <f aca="false">IF(NOT(Tasks[[#This Row],[_IsLeaf]]=1),"",MIN(ProjectFinish,IF(N(Tasks[[#This Row],[Deadline]])&gt;0,Tasks[[#This Row],[Deadline]],2958465),Tasks[[#This Row],[_SuccessorFinishLimit]]))</f>
        <v/>
      </c>
      <c r="CF6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6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61" s="86" t="b">
        <f aca="false">AND(Tasks[[#This Row],[_IsLeaf]]=1,Tasks[[#This Row],[_LeafProgress]]&lt;1,N(Tasks[[#This Row],[_LeafTotalSlack]])&lt;=CriticalSlackDays)</f>
        <v>0</v>
      </c>
      <c r="CI6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6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6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6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6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6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6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6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61" s="43" t="n">
        <f aca="false">IF(AND(Tasks[[#This Row],[_IsLeaf]]=1,Tasks[[#This Row],[_LeafWork]]&gt;0),NETWORKDAYS.INTL(ProjectStart,Tasks[[#This Row],[_LeafFcstStart]],WorkWeek,Holidays),0)</f>
        <v>0</v>
      </c>
      <c r="CR6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61" s="43" t="n">
        <f aca="false">IF(AND(Tasks[[#This Row],[_IsLeaf]]=1,Tasks[[#This Row],[_LeafWork]]&gt;0),Tasks[[#This Row],[_LeafWork]]/(Tasks[[#This Row],[_FinishWorkday]]-Tasks[[#This Row],[_StartWorkday]]+1),0)</f>
        <v>0</v>
      </c>
      <c r="CT61" s="43" t="n">
        <f aca="false">Tasks[[#This Row],[_WorkPerWorkday]]*(Tasks[[#This Row],[_StartWorkday]]-1)</f>
        <v>-0</v>
      </c>
      <c r="CU61" s="43" t="n">
        <f aca="false">IF(Tasks[[#This Row],[_IsLeaf]]=1,MAX(N(Tasks[[#This Row],[Duration]]),0.1),0)</f>
        <v>0</v>
      </c>
      <c r="CV61" s="43" t="n">
        <f aca="false">Tasks[[#This Row],[_WeightDur]]*Tasks[[#This Row],[_LeafProgress]]</f>
        <v>0</v>
      </c>
      <c r="CW6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6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6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6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6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61" s="43" t="str">
        <f aca="false">IF(AND(Tasks[[#This Row],[_IsLeaf]]=1,N(Tasks[[#This Row],[Duration]])=0,Tasks[[#This Row],[_LeafProgress]]&lt;1),Tasks[[#This Row],[_LeafFcstFinish]]+Tasks[[#This Row],[_Row]]/100000,"")</f>
        <v/>
      </c>
      <c r="DC6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61" s="43" t="n">
        <f aca="false">IF(NOT(Tasks[[#This Row],[_IsLeaf]]=1),0,IF(Tasks[[#This Row],[Baseline Cost]]="",Tasks[[#This Row],[_LeafCost]],N(Tasks[[#This Row],[Baseline Cost]])))</f>
        <v>0</v>
      </c>
      <c r="DE61" s="43" t="n">
        <f aca="false">Tasks[[#This Row],[_LeafBudget]]*Tasks[[#This Row],[_PlannedPct]]</f>
        <v>0</v>
      </c>
      <c r="DF61" s="43" t="n">
        <f aca="false">Tasks[[#This Row],[_LeafBudget]]*Tasks[[#This Row],[_LeafProgress]]</f>
        <v>0</v>
      </c>
      <c r="DG61" s="43" t="n">
        <f aca="false">IF(NOT(Tasks[[#This Row],[_IsLeaf]]=1),0,IF(Tasks[[#This Row],[Actual Cost]]="",Tasks[[#This Row],[_LeafCost]]*Tasks[[#This Row],[_LeafProgress]],N(Tasks[[#This Row],[Actual Cost]])))</f>
        <v>0</v>
      </c>
      <c r="DH61" s="43" t="str">
        <f aca="false">IF(Tasks[[#This Row],[Task Name]]="","",LEFT(Tasks[[#This Row],[WBS]],FIND(".",Tasks[[#This Row],[WBS]]&amp;".")-1))</f>
        <v/>
      </c>
      <c r="DI61" s="43" t="str">
        <f aca="false">IF(AND(Tasks[[#This Row],[Task Name]]&lt;&gt;"",Tasks[[#This Row],[_Level]]=1),Tasks[[#This Row],[_Row]],"")</f>
        <v/>
      </c>
      <c r="DJ61" s="43" t="str">
        <f aca="false">IF(AND(Tasks[[#This Row],[_IsLeaf]]=1,N(Tasks[[#This Row],[Duration]])=0),Tasks[[#This Row],[Planned Finish]]+Tasks[[#This Row],[_Row]]/100000,"")</f>
        <v/>
      </c>
      <c r="DK6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6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6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61" s="43" t="str">
        <f aca="false">IF(Tasks[[#This Row],[_LeafCritical]],Tasks[[#This Row],[_LeafFcstStart]]+Tasks[[#This Row],[_Row]]/100000,"")</f>
        <v/>
      </c>
      <c r="DO61" s="43" t="n">
        <f aca="false">Tasks[[#This Row],[_LeafWork]]*Tasks[[#This Row],[_LeafProgress]]</f>
        <v>0</v>
      </c>
      <c r="DP6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61" s="43" t="n">
        <f aca="false">IF(Tasks[[#This Row],[_IsLeaf]]=1,N(Tasks[[#This Row],[Story Points]]),0)</f>
        <v>0</v>
      </c>
      <c r="DR61" s="43" t="str">
        <f aca="false">IF(AND(Tasks[[#This Row],[_IsLeaf]]=1,CurrentSprint&lt;&gt;"",Tasks[[#This Row],[Sprint]]=CurrentSprint),Tasks[[#This Row],[_Row]],"")</f>
        <v/>
      </c>
    </row>
    <row r="62" customFormat="false" ht="15" hidden="false" customHeight="false" outlineLevel="0" collapsed="false">
      <c r="A62" s="28" t="str">
        <f aca="false">IF(Tasks[[#This Row],[Task Name]]="","",COUNTA(Tasks[[#Headers],[Task Name]]:Tasks[[#This Row],[Task Name]])-1)</f>
        <v/>
      </c>
      <c r="B62" s="29" t="n">
        <v>57</v>
      </c>
      <c r="C6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62" s="29"/>
      <c r="E62" s="30"/>
      <c r="F62" s="29"/>
      <c r="G62" s="29"/>
      <c r="H62" s="29"/>
      <c r="I62" s="29"/>
      <c r="J62" s="29"/>
      <c r="K62" s="29"/>
      <c r="L62" s="29"/>
      <c r="M62" s="29"/>
      <c r="N62" s="72"/>
      <c r="O62" s="72"/>
      <c r="P62" s="25" t="str">
        <f aca="false">IF(Tasks[[#This Row],[Task Name]]="","",IF(N(Tasks[[#This Row],[Baseline Start]])&gt;0,Tasks[[#This Row],[Baseline Start]],Tasks[[#This Row],[_CalcStart]]))</f>
        <v/>
      </c>
      <c r="Q62" s="25" t="str">
        <f aca="false">IF(Tasks[[#This Row],[Task Name]]="","",IF(N(Tasks[[#This Row],[Baseline Finish]])&gt;0,Tasks[[#This Row],[Baseline Finish]],Tasks[[#This Row],[_CalcFinish]]))</f>
        <v/>
      </c>
      <c r="R62" s="72"/>
      <c r="S62" s="72"/>
      <c r="T6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6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6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6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6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6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6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6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6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6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6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62" s="74"/>
      <c r="AF6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6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62" s="30"/>
      <c r="AI62" s="74"/>
      <c r="AJ6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6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62" s="83"/>
      <c r="AM62" s="29"/>
      <c r="AN6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62" s="84"/>
      <c r="AP6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62" s="30"/>
      <c r="AR62" s="25" t="str">
        <f aca="false">IF(Tasks[[#This Row],[Task Name]]="","",Tasks[[#This Row],[Forecast Start]])</f>
        <v/>
      </c>
      <c r="AS62" s="25" t="str">
        <f aca="false">IF(Tasks[[#This Row],[Task Name]]="","",Tasks[[#This Row],[Forecast Finish]])</f>
        <v/>
      </c>
      <c r="AT6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62" s="81" t="str">
        <f aca="false">IF(Tasks[[#This Row],[Task Name]]="","",Tasks[[#This Row],[Work]])</f>
        <v/>
      </c>
      <c r="AV62" s="82" t="str">
        <f aca="false">IF(Tasks[[#This Row],[Task Name]]="","",Tasks[[#This Row],[Cost]])</f>
        <v/>
      </c>
      <c r="AW62" s="72"/>
      <c r="AX62" s="72"/>
      <c r="AY62" s="29"/>
      <c r="AZ62" s="85"/>
      <c r="BA62" s="83"/>
      <c r="BB62" s="28" t="str">
        <f aca="false">IF(OR(Tasks[[#This Row],[Task Name]]="",Tasks[[#This Row],[Baseline Duration]]=""),"",Tasks[[#This Row],[BL Source Duration]]-N(Tasks[[#This Row],[Baseline Duration]]))</f>
        <v/>
      </c>
      <c r="BC62" s="81" t="str">
        <f aca="false">IF(OR(Tasks[[#This Row],[Task Name]]="",Tasks[[#This Row],[Baseline Work]]=""),"",Tasks[[#This Row],[Work]]-N(Tasks[[#This Row],[Baseline Work]]))</f>
        <v/>
      </c>
      <c r="BD62" s="82" t="str">
        <f aca="false">IF(OR(Tasks[[#This Row],[Task Name]]="",Tasks[[#This Row],[Baseline Cost]]=""),"",Tasks[[#This Row],[Cost]]-N(Tasks[[#This Row],[Baseline Cost]]))</f>
        <v/>
      </c>
      <c r="BE6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6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6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6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62" s="43" t="str">
        <f aca="false">IF(Tasks[[#This Row],[Task Name]]="","",MAX(1,N(Tasks[[#This Row],[Level]])))</f>
        <v/>
      </c>
      <c r="BJ62" s="43" t="n">
        <f aca="false">ROW()-ROW(Tasks[[#Headers],[ID]])</f>
        <v>57</v>
      </c>
      <c r="BK6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62" s="43" t="n">
        <f aca="false">IFERROR(N(INDEX(Tasks[_Level],Tasks[[#This Row],[_Row]]+1)),0)</f>
        <v>0</v>
      </c>
      <c r="BM62" s="86" t="b">
        <f aca="false">AND(Tasks[[#This Row],[Task Name]]&lt;&gt;"",Tasks[[#This Row],[_NextLevel]]&gt;Tasks[[#This Row],[_Level]])</f>
        <v>0</v>
      </c>
      <c r="BN62" s="43" t="n">
        <f aca="false">IF(Tasks[[#This Row],[_IsSummary]],COUNTIF(Tasks[WBS],Tasks[[#This Row],[WBS]]&amp;".*"),0)</f>
        <v>0</v>
      </c>
      <c r="BO62" s="43" t="n">
        <f aca="false">IF(AND(Tasks[[#This Row],[Task Name]]&lt;&gt;"",NOT(Tasks[[#This Row],[_IsSummary]])),1,0)</f>
        <v>0</v>
      </c>
      <c r="BP62" s="43" t="n">
        <f aca="false">IF(N(Tasks[[#This Row],[Pred1 UID]])=0,0,IFERROR(MATCH(Tasks[[#This Row],[Pred1 UID]],Tasks[UID],0),-1))</f>
        <v>0</v>
      </c>
      <c r="BQ62" s="43" t="n">
        <f aca="false">IF(N(Tasks[[#This Row],[Pred2 UID]])=0,0,IFERROR(MATCH(Tasks[[#This Row],[Pred2 UID]],Tasks[UID],0),-1))</f>
        <v>0</v>
      </c>
      <c r="BR6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6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6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6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62" s="43" t="n">
        <f aca="false">IF(NOT(Tasks[[#This Row],[_IsLeaf]]=1),0,IF(N(Tasks[[#This Row],[Actual Finish]])&gt;0,1,MIN(1,N(Tasks[[#This Row],[% Complete]]))))</f>
        <v>0</v>
      </c>
      <c r="BW6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62" s="43" t="n">
        <f aca="false">IF(Tasks[[#This Row],[_LeafWork]]=0,0,Tasks[[#This Row],[_LeafWork]]*IFERROR(INDEX(res_Rate,MATCH(Tasks[[#This Row],[Resource]],res_Name,0)),0))</f>
        <v>0</v>
      </c>
      <c r="BY6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6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6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6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62" s="43" t="n">
        <f aca="false">IF(NOT(Tasks[[#This Row],[_IsLeaf]]=1),0,MAX(_xlfn.MAXIFS(Tasks[_Row],Tasks[Pred1 UID],Tasks[[#This Row],[UID]]),_xlfn.MAXIFS(Tasks[_Row],Tasks[Pred2 UID],Tasks[[#This Row],[UID]])))</f>
        <v>0</v>
      </c>
      <c r="CD6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62" s="87" t="str">
        <f aca="false">IF(NOT(Tasks[[#This Row],[_IsLeaf]]=1),"",MIN(ProjectFinish,IF(N(Tasks[[#This Row],[Deadline]])&gt;0,Tasks[[#This Row],[Deadline]],2958465),Tasks[[#This Row],[_SuccessorFinishLimit]]))</f>
        <v/>
      </c>
      <c r="CF6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6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62" s="86" t="b">
        <f aca="false">AND(Tasks[[#This Row],[_IsLeaf]]=1,Tasks[[#This Row],[_LeafProgress]]&lt;1,N(Tasks[[#This Row],[_LeafTotalSlack]])&lt;=CriticalSlackDays)</f>
        <v>0</v>
      </c>
      <c r="CI6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6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6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6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6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6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6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6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62" s="43" t="n">
        <f aca="false">IF(AND(Tasks[[#This Row],[_IsLeaf]]=1,Tasks[[#This Row],[_LeafWork]]&gt;0),NETWORKDAYS.INTL(ProjectStart,Tasks[[#This Row],[_LeafFcstStart]],WorkWeek,Holidays),0)</f>
        <v>0</v>
      </c>
      <c r="CR6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62" s="43" t="n">
        <f aca="false">IF(AND(Tasks[[#This Row],[_IsLeaf]]=1,Tasks[[#This Row],[_LeafWork]]&gt;0),Tasks[[#This Row],[_LeafWork]]/(Tasks[[#This Row],[_FinishWorkday]]-Tasks[[#This Row],[_StartWorkday]]+1),0)</f>
        <v>0</v>
      </c>
      <c r="CT62" s="43" t="n">
        <f aca="false">Tasks[[#This Row],[_WorkPerWorkday]]*(Tasks[[#This Row],[_StartWorkday]]-1)</f>
        <v>-0</v>
      </c>
      <c r="CU62" s="43" t="n">
        <f aca="false">IF(Tasks[[#This Row],[_IsLeaf]]=1,MAX(N(Tasks[[#This Row],[Duration]]),0.1),0)</f>
        <v>0</v>
      </c>
      <c r="CV62" s="43" t="n">
        <f aca="false">Tasks[[#This Row],[_WeightDur]]*Tasks[[#This Row],[_LeafProgress]]</f>
        <v>0</v>
      </c>
      <c r="CW6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6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6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6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6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62" s="43" t="str">
        <f aca="false">IF(AND(Tasks[[#This Row],[_IsLeaf]]=1,N(Tasks[[#This Row],[Duration]])=0,Tasks[[#This Row],[_LeafProgress]]&lt;1),Tasks[[#This Row],[_LeafFcstFinish]]+Tasks[[#This Row],[_Row]]/100000,"")</f>
        <v/>
      </c>
      <c r="DC6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62" s="43" t="n">
        <f aca="false">IF(NOT(Tasks[[#This Row],[_IsLeaf]]=1),0,IF(Tasks[[#This Row],[Baseline Cost]]="",Tasks[[#This Row],[_LeafCost]],N(Tasks[[#This Row],[Baseline Cost]])))</f>
        <v>0</v>
      </c>
      <c r="DE62" s="43" t="n">
        <f aca="false">Tasks[[#This Row],[_LeafBudget]]*Tasks[[#This Row],[_PlannedPct]]</f>
        <v>0</v>
      </c>
      <c r="DF62" s="43" t="n">
        <f aca="false">Tasks[[#This Row],[_LeafBudget]]*Tasks[[#This Row],[_LeafProgress]]</f>
        <v>0</v>
      </c>
      <c r="DG62" s="43" t="n">
        <f aca="false">IF(NOT(Tasks[[#This Row],[_IsLeaf]]=1),0,IF(Tasks[[#This Row],[Actual Cost]]="",Tasks[[#This Row],[_LeafCost]]*Tasks[[#This Row],[_LeafProgress]],N(Tasks[[#This Row],[Actual Cost]])))</f>
        <v>0</v>
      </c>
      <c r="DH62" s="43" t="str">
        <f aca="false">IF(Tasks[[#This Row],[Task Name]]="","",LEFT(Tasks[[#This Row],[WBS]],FIND(".",Tasks[[#This Row],[WBS]]&amp;".")-1))</f>
        <v/>
      </c>
      <c r="DI62" s="43" t="str">
        <f aca="false">IF(AND(Tasks[[#This Row],[Task Name]]&lt;&gt;"",Tasks[[#This Row],[_Level]]=1),Tasks[[#This Row],[_Row]],"")</f>
        <v/>
      </c>
      <c r="DJ62" s="43" t="str">
        <f aca="false">IF(AND(Tasks[[#This Row],[_IsLeaf]]=1,N(Tasks[[#This Row],[Duration]])=0),Tasks[[#This Row],[Planned Finish]]+Tasks[[#This Row],[_Row]]/100000,"")</f>
        <v/>
      </c>
      <c r="DK6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6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6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62" s="43" t="str">
        <f aca="false">IF(Tasks[[#This Row],[_LeafCritical]],Tasks[[#This Row],[_LeafFcstStart]]+Tasks[[#This Row],[_Row]]/100000,"")</f>
        <v/>
      </c>
      <c r="DO62" s="43" t="n">
        <f aca="false">Tasks[[#This Row],[_LeafWork]]*Tasks[[#This Row],[_LeafProgress]]</f>
        <v>0</v>
      </c>
      <c r="DP6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62" s="43" t="n">
        <f aca="false">IF(Tasks[[#This Row],[_IsLeaf]]=1,N(Tasks[[#This Row],[Story Points]]),0)</f>
        <v>0</v>
      </c>
      <c r="DR62" s="43" t="str">
        <f aca="false">IF(AND(Tasks[[#This Row],[_IsLeaf]]=1,CurrentSprint&lt;&gt;"",Tasks[[#This Row],[Sprint]]=CurrentSprint),Tasks[[#This Row],[_Row]],"")</f>
        <v/>
      </c>
    </row>
    <row r="63" customFormat="false" ht="15" hidden="false" customHeight="false" outlineLevel="0" collapsed="false">
      <c r="A63" s="28" t="str">
        <f aca="false">IF(Tasks[[#This Row],[Task Name]]="","",COUNTA(Tasks[[#Headers],[Task Name]]:Tasks[[#This Row],[Task Name]])-1)</f>
        <v/>
      </c>
      <c r="B63" s="29" t="n">
        <v>58</v>
      </c>
      <c r="C6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63" s="29"/>
      <c r="E63" s="30"/>
      <c r="F63" s="29"/>
      <c r="G63" s="29"/>
      <c r="H63" s="29"/>
      <c r="I63" s="29"/>
      <c r="J63" s="29"/>
      <c r="K63" s="29"/>
      <c r="L63" s="29"/>
      <c r="M63" s="29"/>
      <c r="N63" s="72"/>
      <c r="O63" s="72"/>
      <c r="P63" s="25" t="str">
        <f aca="false">IF(Tasks[[#This Row],[Task Name]]="","",IF(N(Tasks[[#This Row],[Baseline Start]])&gt;0,Tasks[[#This Row],[Baseline Start]],Tasks[[#This Row],[_CalcStart]]))</f>
        <v/>
      </c>
      <c r="Q63" s="25" t="str">
        <f aca="false">IF(Tasks[[#This Row],[Task Name]]="","",IF(N(Tasks[[#This Row],[Baseline Finish]])&gt;0,Tasks[[#This Row],[Baseline Finish]],Tasks[[#This Row],[_CalcFinish]]))</f>
        <v/>
      </c>
      <c r="R63" s="72"/>
      <c r="S63" s="72"/>
      <c r="T6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6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6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6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6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6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6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6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6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6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6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63" s="74"/>
      <c r="AF6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6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63" s="30"/>
      <c r="AI63" s="74"/>
      <c r="AJ6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6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63" s="83"/>
      <c r="AM63" s="29"/>
      <c r="AN6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63" s="84"/>
      <c r="AP6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63" s="30"/>
      <c r="AR63" s="25" t="str">
        <f aca="false">IF(Tasks[[#This Row],[Task Name]]="","",Tasks[[#This Row],[Forecast Start]])</f>
        <v/>
      </c>
      <c r="AS63" s="25" t="str">
        <f aca="false">IF(Tasks[[#This Row],[Task Name]]="","",Tasks[[#This Row],[Forecast Finish]])</f>
        <v/>
      </c>
      <c r="AT6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63" s="81" t="str">
        <f aca="false">IF(Tasks[[#This Row],[Task Name]]="","",Tasks[[#This Row],[Work]])</f>
        <v/>
      </c>
      <c r="AV63" s="82" t="str">
        <f aca="false">IF(Tasks[[#This Row],[Task Name]]="","",Tasks[[#This Row],[Cost]])</f>
        <v/>
      </c>
      <c r="AW63" s="72"/>
      <c r="AX63" s="72"/>
      <c r="AY63" s="29"/>
      <c r="AZ63" s="85"/>
      <c r="BA63" s="83"/>
      <c r="BB63" s="28" t="str">
        <f aca="false">IF(OR(Tasks[[#This Row],[Task Name]]="",Tasks[[#This Row],[Baseline Duration]]=""),"",Tasks[[#This Row],[BL Source Duration]]-N(Tasks[[#This Row],[Baseline Duration]]))</f>
        <v/>
      </c>
      <c r="BC63" s="81" t="str">
        <f aca="false">IF(OR(Tasks[[#This Row],[Task Name]]="",Tasks[[#This Row],[Baseline Work]]=""),"",Tasks[[#This Row],[Work]]-N(Tasks[[#This Row],[Baseline Work]]))</f>
        <v/>
      </c>
      <c r="BD63" s="82" t="str">
        <f aca="false">IF(OR(Tasks[[#This Row],[Task Name]]="",Tasks[[#This Row],[Baseline Cost]]=""),"",Tasks[[#This Row],[Cost]]-N(Tasks[[#This Row],[Baseline Cost]]))</f>
        <v/>
      </c>
      <c r="BE6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6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6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6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63" s="43" t="str">
        <f aca="false">IF(Tasks[[#This Row],[Task Name]]="","",MAX(1,N(Tasks[[#This Row],[Level]])))</f>
        <v/>
      </c>
      <c r="BJ63" s="43" t="n">
        <f aca="false">ROW()-ROW(Tasks[[#Headers],[ID]])</f>
        <v>58</v>
      </c>
      <c r="BK6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63" s="43" t="n">
        <f aca="false">IFERROR(N(INDEX(Tasks[_Level],Tasks[[#This Row],[_Row]]+1)),0)</f>
        <v>0</v>
      </c>
      <c r="BM63" s="86" t="b">
        <f aca="false">AND(Tasks[[#This Row],[Task Name]]&lt;&gt;"",Tasks[[#This Row],[_NextLevel]]&gt;Tasks[[#This Row],[_Level]])</f>
        <v>0</v>
      </c>
      <c r="BN63" s="43" t="n">
        <f aca="false">IF(Tasks[[#This Row],[_IsSummary]],COUNTIF(Tasks[WBS],Tasks[[#This Row],[WBS]]&amp;".*"),0)</f>
        <v>0</v>
      </c>
      <c r="BO63" s="43" t="n">
        <f aca="false">IF(AND(Tasks[[#This Row],[Task Name]]&lt;&gt;"",NOT(Tasks[[#This Row],[_IsSummary]])),1,0)</f>
        <v>0</v>
      </c>
      <c r="BP63" s="43" t="n">
        <f aca="false">IF(N(Tasks[[#This Row],[Pred1 UID]])=0,0,IFERROR(MATCH(Tasks[[#This Row],[Pred1 UID]],Tasks[UID],0),-1))</f>
        <v>0</v>
      </c>
      <c r="BQ63" s="43" t="n">
        <f aca="false">IF(N(Tasks[[#This Row],[Pred2 UID]])=0,0,IFERROR(MATCH(Tasks[[#This Row],[Pred2 UID]],Tasks[UID],0),-1))</f>
        <v>0</v>
      </c>
      <c r="BR6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6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6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6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63" s="43" t="n">
        <f aca="false">IF(NOT(Tasks[[#This Row],[_IsLeaf]]=1),0,IF(N(Tasks[[#This Row],[Actual Finish]])&gt;0,1,MIN(1,N(Tasks[[#This Row],[% Complete]]))))</f>
        <v>0</v>
      </c>
      <c r="BW6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63" s="43" t="n">
        <f aca="false">IF(Tasks[[#This Row],[_LeafWork]]=0,0,Tasks[[#This Row],[_LeafWork]]*IFERROR(INDEX(res_Rate,MATCH(Tasks[[#This Row],[Resource]],res_Name,0)),0))</f>
        <v>0</v>
      </c>
      <c r="BY6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6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6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6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63" s="43" t="n">
        <f aca="false">IF(NOT(Tasks[[#This Row],[_IsLeaf]]=1),0,MAX(_xlfn.MAXIFS(Tasks[_Row],Tasks[Pred1 UID],Tasks[[#This Row],[UID]]),_xlfn.MAXIFS(Tasks[_Row],Tasks[Pred2 UID],Tasks[[#This Row],[UID]])))</f>
        <v>0</v>
      </c>
      <c r="CD6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63" s="87" t="str">
        <f aca="false">IF(NOT(Tasks[[#This Row],[_IsLeaf]]=1),"",MIN(ProjectFinish,IF(N(Tasks[[#This Row],[Deadline]])&gt;0,Tasks[[#This Row],[Deadline]],2958465),Tasks[[#This Row],[_SuccessorFinishLimit]]))</f>
        <v/>
      </c>
      <c r="CF6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6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63" s="86" t="b">
        <f aca="false">AND(Tasks[[#This Row],[_IsLeaf]]=1,Tasks[[#This Row],[_LeafProgress]]&lt;1,N(Tasks[[#This Row],[_LeafTotalSlack]])&lt;=CriticalSlackDays)</f>
        <v>0</v>
      </c>
      <c r="CI6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6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6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6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6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6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6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6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63" s="43" t="n">
        <f aca="false">IF(AND(Tasks[[#This Row],[_IsLeaf]]=1,Tasks[[#This Row],[_LeafWork]]&gt;0),NETWORKDAYS.INTL(ProjectStart,Tasks[[#This Row],[_LeafFcstStart]],WorkWeek,Holidays),0)</f>
        <v>0</v>
      </c>
      <c r="CR6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63" s="43" t="n">
        <f aca="false">IF(AND(Tasks[[#This Row],[_IsLeaf]]=1,Tasks[[#This Row],[_LeafWork]]&gt;0),Tasks[[#This Row],[_LeafWork]]/(Tasks[[#This Row],[_FinishWorkday]]-Tasks[[#This Row],[_StartWorkday]]+1),0)</f>
        <v>0</v>
      </c>
      <c r="CT63" s="43" t="n">
        <f aca="false">Tasks[[#This Row],[_WorkPerWorkday]]*(Tasks[[#This Row],[_StartWorkday]]-1)</f>
        <v>-0</v>
      </c>
      <c r="CU63" s="43" t="n">
        <f aca="false">IF(Tasks[[#This Row],[_IsLeaf]]=1,MAX(N(Tasks[[#This Row],[Duration]]),0.1),0)</f>
        <v>0</v>
      </c>
      <c r="CV63" s="43" t="n">
        <f aca="false">Tasks[[#This Row],[_WeightDur]]*Tasks[[#This Row],[_LeafProgress]]</f>
        <v>0</v>
      </c>
      <c r="CW6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6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6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6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6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63" s="43" t="str">
        <f aca="false">IF(AND(Tasks[[#This Row],[_IsLeaf]]=1,N(Tasks[[#This Row],[Duration]])=0,Tasks[[#This Row],[_LeafProgress]]&lt;1),Tasks[[#This Row],[_LeafFcstFinish]]+Tasks[[#This Row],[_Row]]/100000,"")</f>
        <v/>
      </c>
      <c r="DC6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63" s="43" t="n">
        <f aca="false">IF(NOT(Tasks[[#This Row],[_IsLeaf]]=1),0,IF(Tasks[[#This Row],[Baseline Cost]]="",Tasks[[#This Row],[_LeafCost]],N(Tasks[[#This Row],[Baseline Cost]])))</f>
        <v>0</v>
      </c>
      <c r="DE63" s="43" t="n">
        <f aca="false">Tasks[[#This Row],[_LeafBudget]]*Tasks[[#This Row],[_PlannedPct]]</f>
        <v>0</v>
      </c>
      <c r="DF63" s="43" t="n">
        <f aca="false">Tasks[[#This Row],[_LeafBudget]]*Tasks[[#This Row],[_LeafProgress]]</f>
        <v>0</v>
      </c>
      <c r="DG63" s="43" t="n">
        <f aca="false">IF(NOT(Tasks[[#This Row],[_IsLeaf]]=1),0,IF(Tasks[[#This Row],[Actual Cost]]="",Tasks[[#This Row],[_LeafCost]]*Tasks[[#This Row],[_LeafProgress]],N(Tasks[[#This Row],[Actual Cost]])))</f>
        <v>0</v>
      </c>
      <c r="DH63" s="43" t="str">
        <f aca="false">IF(Tasks[[#This Row],[Task Name]]="","",LEFT(Tasks[[#This Row],[WBS]],FIND(".",Tasks[[#This Row],[WBS]]&amp;".")-1))</f>
        <v/>
      </c>
      <c r="DI63" s="43" t="str">
        <f aca="false">IF(AND(Tasks[[#This Row],[Task Name]]&lt;&gt;"",Tasks[[#This Row],[_Level]]=1),Tasks[[#This Row],[_Row]],"")</f>
        <v/>
      </c>
      <c r="DJ63" s="43" t="str">
        <f aca="false">IF(AND(Tasks[[#This Row],[_IsLeaf]]=1,N(Tasks[[#This Row],[Duration]])=0),Tasks[[#This Row],[Planned Finish]]+Tasks[[#This Row],[_Row]]/100000,"")</f>
        <v/>
      </c>
      <c r="DK6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6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6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63" s="43" t="str">
        <f aca="false">IF(Tasks[[#This Row],[_LeafCritical]],Tasks[[#This Row],[_LeafFcstStart]]+Tasks[[#This Row],[_Row]]/100000,"")</f>
        <v/>
      </c>
      <c r="DO63" s="43" t="n">
        <f aca="false">Tasks[[#This Row],[_LeafWork]]*Tasks[[#This Row],[_LeafProgress]]</f>
        <v>0</v>
      </c>
      <c r="DP6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63" s="43" t="n">
        <f aca="false">IF(Tasks[[#This Row],[_IsLeaf]]=1,N(Tasks[[#This Row],[Story Points]]),0)</f>
        <v>0</v>
      </c>
      <c r="DR63" s="43" t="str">
        <f aca="false">IF(AND(Tasks[[#This Row],[_IsLeaf]]=1,CurrentSprint&lt;&gt;"",Tasks[[#This Row],[Sprint]]=CurrentSprint),Tasks[[#This Row],[_Row]],"")</f>
        <v/>
      </c>
    </row>
    <row r="64" customFormat="false" ht="15" hidden="false" customHeight="false" outlineLevel="0" collapsed="false">
      <c r="A64" s="28" t="str">
        <f aca="false">IF(Tasks[[#This Row],[Task Name]]="","",COUNTA(Tasks[[#Headers],[Task Name]]:Tasks[[#This Row],[Task Name]])-1)</f>
        <v/>
      </c>
      <c r="B64" s="29" t="n">
        <v>59</v>
      </c>
      <c r="C6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64" s="29"/>
      <c r="E64" s="30"/>
      <c r="F64" s="29"/>
      <c r="G64" s="29"/>
      <c r="H64" s="29"/>
      <c r="I64" s="29"/>
      <c r="J64" s="29"/>
      <c r="K64" s="29"/>
      <c r="L64" s="29"/>
      <c r="M64" s="29"/>
      <c r="N64" s="72"/>
      <c r="O64" s="72"/>
      <c r="P64" s="25" t="str">
        <f aca="false">IF(Tasks[[#This Row],[Task Name]]="","",IF(N(Tasks[[#This Row],[Baseline Start]])&gt;0,Tasks[[#This Row],[Baseline Start]],Tasks[[#This Row],[_CalcStart]]))</f>
        <v/>
      </c>
      <c r="Q64" s="25" t="str">
        <f aca="false">IF(Tasks[[#This Row],[Task Name]]="","",IF(N(Tasks[[#This Row],[Baseline Finish]])&gt;0,Tasks[[#This Row],[Baseline Finish]],Tasks[[#This Row],[_CalcFinish]]))</f>
        <v/>
      </c>
      <c r="R64" s="72"/>
      <c r="S64" s="72"/>
      <c r="T6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6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6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6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6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6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6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6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6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6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6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64" s="74"/>
      <c r="AF6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6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64" s="30"/>
      <c r="AI64" s="74"/>
      <c r="AJ6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6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64" s="83"/>
      <c r="AM64" s="29"/>
      <c r="AN6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64" s="84"/>
      <c r="AP6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64" s="30"/>
      <c r="AR64" s="25" t="str">
        <f aca="false">IF(Tasks[[#This Row],[Task Name]]="","",Tasks[[#This Row],[Forecast Start]])</f>
        <v/>
      </c>
      <c r="AS64" s="25" t="str">
        <f aca="false">IF(Tasks[[#This Row],[Task Name]]="","",Tasks[[#This Row],[Forecast Finish]])</f>
        <v/>
      </c>
      <c r="AT6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64" s="81" t="str">
        <f aca="false">IF(Tasks[[#This Row],[Task Name]]="","",Tasks[[#This Row],[Work]])</f>
        <v/>
      </c>
      <c r="AV64" s="82" t="str">
        <f aca="false">IF(Tasks[[#This Row],[Task Name]]="","",Tasks[[#This Row],[Cost]])</f>
        <v/>
      </c>
      <c r="AW64" s="72"/>
      <c r="AX64" s="72"/>
      <c r="AY64" s="29"/>
      <c r="AZ64" s="85"/>
      <c r="BA64" s="83"/>
      <c r="BB64" s="28" t="str">
        <f aca="false">IF(OR(Tasks[[#This Row],[Task Name]]="",Tasks[[#This Row],[Baseline Duration]]=""),"",Tasks[[#This Row],[BL Source Duration]]-N(Tasks[[#This Row],[Baseline Duration]]))</f>
        <v/>
      </c>
      <c r="BC64" s="81" t="str">
        <f aca="false">IF(OR(Tasks[[#This Row],[Task Name]]="",Tasks[[#This Row],[Baseline Work]]=""),"",Tasks[[#This Row],[Work]]-N(Tasks[[#This Row],[Baseline Work]]))</f>
        <v/>
      </c>
      <c r="BD64" s="82" t="str">
        <f aca="false">IF(OR(Tasks[[#This Row],[Task Name]]="",Tasks[[#This Row],[Baseline Cost]]=""),"",Tasks[[#This Row],[Cost]]-N(Tasks[[#This Row],[Baseline Cost]]))</f>
        <v/>
      </c>
      <c r="BE6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6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6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6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64" s="43" t="str">
        <f aca="false">IF(Tasks[[#This Row],[Task Name]]="","",MAX(1,N(Tasks[[#This Row],[Level]])))</f>
        <v/>
      </c>
      <c r="BJ64" s="43" t="n">
        <f aca="false">ROW()-ROW(Tasks[[#Headers],[ID]])</f>
        <v>59</v>
      </c>
      <c r="BK6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64" s="43" t="n">
        <f aca="false">IFERROR(N(INDEX(Tasks[_Level],Tasks[[#This Row],[_Row]]+1)),0)</f>
        <v>0</v>
      </c>
      <c r="BM64" s="86" t="b">
        <f aca="false">AND(Tasks[[#This Row],[Task Name]]&lt;&gt;"",Tasks[[#This Row],[_NextLevel]]&gt;Tasks[[#This Row],[_Level]])</f>
        <v>0</v>
      </c>
      <c r="BN64" s="43" t="n">
        <f aca="false">IF(Tasks[[#This Row],[_IsSummary]],COUNTIF(Tasks[WBS],Tasks[[#This Row],[WBS]]&amp;".*"),0)</f>
        <v>0</v>
      </c>
      <c r="BO64" s="43" t="n">
        <f aca="false">IF(AND(Tasks[[#This Row],[Task Name]]&lt;&gt;"",NOT(Tasks[[#This Row],[_IsSummary]])),1,0)</f>
        <v>0</v>
      </c>
      <c r="BP64" s="43" t="n">
        <f aca="false">IF(N(Tasks[[#This Row],[Pred1 UID]])=0,0,IFERROR(MATCH(Tasks[[#This Row],[Pred1 UID]],Tasks[UID],0),-1))</f>
        <v>0</v>
      </c>
      <c r="BQ64" s="43" t="n">
        <f aca="false">IF(N(Tasks[[#This Row],[Pred2 UID]])=0,0,IFERROR(MATCH(Tasks[[#This Row],[Pred2 UID]],Tasks[UID],0),-1))</f>
        <v>0</v>
      </c>
      <c r="BR6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6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6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6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64" s="43" t="n">
        <f aca="false">IF(NOT(Tasks[[#This Row],[_IsLeaf]]=1),0,IF(N(Tasks[[#This Row],[Actual Finish]])&gt;0,1,MIN(1,N(Tasks[[#This Row],[% Complete]]))))</f>
        <v>0</v>
      </c>
      <c r="BW6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64" s="43" t="n">
        <f aca="false">IF(Tasks[[#This Row],[_LeafWork]]=0,0,Tasks[[#This Row],[_LeafWork]]*IFERROR(INDEX(res_Rate,MATCH(Tasks[[#This Row],[Resource]],res_Name,0)),0))</f>
        <v>0</v>
      </c>
      <c r="BY6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6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6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6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64" s="43" t="n">
        <f aca="false">IF(NOT(Tasks[[#This Row],[_IsLeaf]]=1),0,MAX(_xlfn.MAXIFS(Tasks[_Row],Tasks[Pred1 UID],Tasks[[#This Row],[UID]]),_xlfn.MAXIFS(Tasks[_Row],Tasks[Pred2 UID],Tasks[[#This Row],[UID]])))</f>
        <v>0</v>
      </c>
      <c r="CD6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64" s="87" t="str">
        <f aca="false">IF(NOT(Tasks[[#This Row],[_IsLeaf]]=1),"",MIN(ProjectFinish,IF(N(Tasks[[#This Row],[Deadline]])&gt;0,Tasks[[#This Row],[Deadline]],2958465),Tasks[[#This Row],[_SuccessorFinishLimit]]))</f>
        <v/>
      </c>
      <c r="CF6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6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64" s="86" t="b">
        <f aca="false">AND(Tasks[[#This Row],[_IsLeaf]]=1,Tasks[[#This Row],[_LeafProgress]]&lt;1,N(Tasks[[#This Row],[_LeafTotalSlack]])&lt;=CriticalSlackDays)</f>
        <v>0</v>
      </c>
      <c r="CI6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6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6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6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6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6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6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6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64" s="43" t="n">
        <f aca="false">IF(AND(Tasks[[#This Row],[_IsLeaf]]=1,Tasks[[#This Row],[_LeafWork]]&gt;0),NETWORKDAYS.INTL(ProjectStart,Tasks[[#This Row],[_LeafFcstStart]],WorkWeek,Holidays),0)</f>
        <v>0</v>
      </c>
      <c r="CR6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64" s="43" t="n">
        <f aca="false">IF(AND(Tasks[[#This Row],[_IsLeaf]]=1,Tasks[[#This Row],[_LeafWork]]&gt;0),Tasks[[#This Row],[_LeafWork]]/(Tasks[[#This Row],[_FinishWorkday]]-Tasks[[#This Row],[_StartWorkday]]+1),0)</f>
        <v>0</v>
      </c>
      <c r="CT64" s="43" t="n">
        <f aca="false">Tasks[[#This Row],[_WorkPerWorkday]]*(Tasks[[#This Row],[_StartWorkday]]-1)</f>
        <v>-0</v>
      </c>
      <c r="CU64" s="43" t="n">
        <f aca="false">IF(Tasks[[#This Row],[_IsLeaf]]=1,MAX(N(Tasks[[#This Row],[Duration]]),0.1),0)</f>
        <v>0</v>
      </c>
      <c r="CV64" s="43" t="n">
        <f aca="false">Tasks[[#This Row],[_WeightDur]]*Tasks[[#This Row],[_LeafProgress]]</f>
        <v>0</v>
      </c>
      <c r="CW6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6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6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6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6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64" s="43" t="str">
        <f aca="false">IF(AND(Tasks[[#This Row],[_IsLeaf]]=1,N(Tasks[[#This Row],[Duration]])=0,Tasks[[#This Row],[_LeafProgress]]&lt;1),Tasks[[#This Row],[_LeafFcstFinish]]+Tasks[[#This Row],[_Row]]/100000,"")</f>
        <v/>
      </c>
      <c r="DC6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64" s="43" t="n">
        <f aca="false">IF(NOT(Tasks[[#This Row],[_IsLeaf]]=1),0,IF(Tasks[[#This Row],[Baseline Cost]]="",Tasks[[#This Row],[_LeafCost]],N(Tasks[[#This Row],[Baseline Cost]])))</f>
        <v>0</v>
      </c>
      <c r="DE64" s="43" t="n">
        <f aca="false">Tasks[[#This Row],[_LeafBudget]]*Tasks[[#This Row],[_PlannedPct]]</f>
        <v>0</v>
      </c>
      <c r="DF64" s="43" t="n">
        <f aca="false">Tasks[[#This Row],[_LeafBudget]]*Tasks[[#This Row],[_LeafProgress]]</f>
        <v>0</v>
      </c>
      <c r="DG64" s="43" t="n">
        <f aca="false">IF(NOT(Tasks[[#This Row],[_IsLeaf]]=1),0,IF(Tasks[[#This Row],[Actual Cost]]="",Tasks[[#This Row],[_LeafCost]]*Tasks[[#This Row],[_LeafProgress]],N(Tasks[[#This Row],[Actual Cost]])))</f>
        <v>0</v>
      </c>
      <c r="DH64" s="43" t="str">
        <f aca="false">IF(Tasks[[#This Row],[Task Name]]="","",LEFT(Tasks[[#This Row],[WBS]],FIND(".",Tasks[[#This Row],[WBS]]&amp;".")-1))</f>
        <v/>
      </c>
      <c r="DI64" s="43" t="str">
        <f aca="false">IF(AND(Tasks[[#This Row],[Task Name]]&lt;&gt;"",Tasks[[#This Row],[_Level]]=1),Tasks[[#This Row],[_Row]],"")</f>
        <v/>
      </c>
      <c r="DJ64" s="43" t="str">
        <f aca="false">IF(AND(Tasks[[#This Row],[_IsLeaf]]=1,N(Tasks[[#This Row],[Duration]])=0),Tasks[[#This Row],[Planned Finish]]+Tasks[[#This Row],[_Row]]/100000,"")</f>
        <v/>
      </c>
      <c r="DK6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6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6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64" s="43" t="str">
        <f aca="false">IF(Tasks[[#This Row],[_LeafCritical]],Tasks[[#This Row],[_LeafFcstStart]]+Tasks[[#This Row],[_Row]]/100000,"")</f>
        <v/>
      </c>
      <c r="DO64" s="43" t="n">
        <f aca="false">Tasks[[#This Row],[_LeafWork]]*Tasks[[#This Row],[_LeafProgress]]</f>
        <v>0</v>
      </c>
      <c r="DP6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64" s="43" t="n">
        <f aca="false">IF(Tasks[[#This Row],[_IsLeaf]]=1,N(Tasks[[#This Row],[Story Points]]),0)</f>
        <v>0</v>
      </c>
      <c r="DR64" s="43" t="str">
        <f aca="false">IF(AND(Tasks[[#This Row],[_IsLeaf]]=1,CurrentSprint&lt;&gt;"",Tasks[[#This Row],[Sprint]]=CurrentSprint),Tasks[[#This Row],[_Row]],"")</f>
        <v/>
      </c>
    </row>
    <row r="65" customFormat="false" ht="15" hidden="false" customHeight="false" outlineLevel="0" collapsed="false">
      <c r="A65" s="28" t="str">
        <f aca="false">IF(Tasks[[#This Row],[Task Name]]="","",COUNTA(Tasks[[#Headers],[Task Name]]:Tasks[[#This Row],[Task Name]])-1)</f>
        <v/>
      </c>
      <c r="B65" s="29" t="n">
        <v>60</v>
      </c>
      <c r="C6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65" s="29"/>
      <c r="E65" s="30"/>
      <c r="F65" s="29"/>
      <c r="G65" s="29"/>
      <c r="H65" s="29"/>
      <c r="I65" s="29"/>
      <c r="J65" s="29"/>
      <c r="K65" s="29"/>
      <c r="L65" s="29"/>
      <c r="M65" s="29"/>
      <c r="N65" s="72"/>
      <c r="O65" s="72"/>
      <c r="P65" s="25" t="str">
        <f aca="false">IF(Tasks[[#This Row],[Task Name]]="","",IF(N(Tasks[[#This Row],[Baseline Start]])&gt;0,Tasks[[#This Row],[Baseline Start]],Tasks[[#This Row],[_CalcStart]]))</f>
        <v/>
      </c>
      <c r="Q65" s="25" t="str">
        <f aca="false">IF(Tasks[[#This Row],[Task Name]]="","",IF(N(Tasks[[#This Row],[Baseline Finish]])&gt;0,Tasks[[#This Row],[Baseline Finish]],Tasks[[#This Row],[_CalcFinish]]))</f>
        <v/>
      </c>
      <c r="R65" s="72"/>
      <c r="S65" s="72"/>
      <c r="T6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6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6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6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6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6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6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6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6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6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6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65" s="74"/>
      <c r="AF6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6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65" s="30"/>
      <c r="AI65" s="74"/>
      <c r="AJ6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6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65" s="83"/>
      <c r="AM65" s="29"/>
      <c r="AN6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65" s="84"/>
      <c r="AP6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65" s="30"/>
      <c r="AR65" s="25" t="str">
        <f aca="false">IF(Tasks[[#This Row],[Task Name]]="","",Tasks[[#This Row],[Forecast Start]])</f>
        <v/>
      </c>
      <c r="AS65" s="25" t="str">
        <f aca="false">IF(Tasks[[#This Row],[Task Name]]="","",Tasks[[#This Row],[Forecast Finish]])</f>
        <v/>
      </c>
      <c r="AT6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65" s="81" t="str">
        <f aca="false">IF(Tasks[[#This Row],[Task Name]]="","",Tasks[[#This Row],[Work]])</f>
        <v/>
      </c>
      <c r="AV65" s="82" t="str">
        <f aca="false">IF(Tasks[[#This Row],[Task Name]]="","",Tasks[[#This Row],[Cost]])</f>
        <v/>
      </c>
      <c r="AW65" s="72"/>
      <c r="AX65" s="72"/>
      <c r="AY65" s="29"/>
      <c r="AZ65" s="85"/>
      <c r="BA65" s="83"/>
      <c r="BB65" s="28" t="str">
        <f aca="false">IF(OR(Tasks[[#This Row],[Task Name]]="",Tasks[[#This Row],[Baseline Duration]]=""),"",Tasks[[#This Row],[BL Source Duration]]-N(Tasks[[#This Row],[Baseline Duration]]))</f>
        <v/>
      </c>
      <c r="BC65" s="81" t="str">
        <f aca="false">IF(OR(Tasks[[#This Row],[Task Name]]="",Tasks[[#This Row],[Baseline Work]]=""),"",Tasks[[#This Row],[Work]]-N(Tasks[[#This Row],[Baseline Work]]))</f>
        <v/>
      </c>
      <c r="BD65" s="82" t="str">
        <f aca="false">IF(OR(Tasks[[#This Row],[Task Name]]="",Tasks[[#This Row],[Baseline Cost]]=""),"",Tasks[[#This Row],[Cost]]-N(Tasks[[#This Row],[Baseline Cost]]))</f>
        <v/>
      </c>
      <c r="BE6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6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6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6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65" s="43" t="str">
        <f aca="false">IF(Tasks[[#This Row],[Task Name]]="","",MAX(1,N(Tasks[[#This Row],[Level]])))</f>
        <v/>
      </c>
      <c r="BJ65" s="43" t="n">
        <f aca="false">ROW()-ROW(Tasks[[#Headers],[ID]])</f>
        <v>60</v>
      </c>
      <c r="BK6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65" s="43" t="n">
        <f aca="false">IFERROR(N(INDEX(Tasks[_Level],Tasks[[#This Row],[_Row]]+1)),0)</f>
        <v>0</v>
      </c>
      <c r="BM65" s="86" t="b">
        <f aca="false">AND(Tasks[[#This Row],[Task Name]]&lt;&gt;"",Tasks[[#This Row],[_NextLevel]]&gt;Tasks[[#This Row],[_Level]])</f>
        <v>0</v>
      </c>
      <c r="BN65" s="43" t="n">
        <f aca="false">IF(Tasks[[#This Row],[_IsSummary]],COUNTIF(Tasks[WBS],Tasks[[#This Row],[WBS]]&amp;".*"),0)</f>
        <v>0</v>
      </c>
      <c r="BO65" s="43" t="n">
        <f aca="false">IF(AND(Tasks[[#This Row],[Task Name]]&lt;&gt;"",NOT(Tasks[[#This Row],[_IsSummary]])),1,0)</f>
        <v>0</v>
      </c>
      <c r="BP65" s="43" t="n">
        <f aca="false">IF(N(Tasks[[#This Row],[Pred1 UID]])=0,0,IFERROR(MATCH(Tasks[[#This Row],[Pred1 UID]],Tasks[UID],0),-1))</f>
        <v>0</v>
      </c>
      <c r="BQ65" s="43" t="n">
        <f aca="false">IF(N(Tasks[[#This Row],[Pred2 UID]])=0,0,IFERROR(MATCH(Tasks[[#This Row],[Pred2 UID]],Tasks[UID],0),-1))</f>
        <v>0</v>
      </c>
      <c r="BR6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6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6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6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65" s="43" t="n">
        <f aca="false">IF(NOT(Tasks[[#This Row],[_IsLeaf]]=1),0,IF(N(Tasks[[#This Row],[Actual Finish]])&gt;0,1,MIN(1,N(Tasks[[#This Row],[% Complete]]))))</f>
        <v>0</v>
      </c>
      <c r="BW6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65" s="43" t="n">
        <f aca="false">IF(Tasks[[#This Row],[_LeafWork]]=0,0,Tasks[[#This Row],[_LeafWork]]*IFERROR(INDEX(res_Rate,MATCH(Tasks[[#This Row],[Resource]],res_Name,0)),0))</f>
        <v>0</v>
      </c>
      <c r="BY6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6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6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6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65" s="43" t="n">
        <f aca="false">IF(NOT(Tasks[[#This Row],[_IsLeaf]]=1),0,MAX(_xlfn.MAXIFS(Tasks[_Row],Tasks[Pred1 UID],Tasks[[#This Row],[UID]]),_xlfn.MAXIFS(Tasks[_Row],Tasks[Pred2 UID],Tasks[[#This Row],[UID]])))</f>
        <v>0</v>
      </c>
      <c r="CD6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65" s="87" t="str">
        <f aca="false">IF(NOT(Tasks[[#This Row],[_IsLeaf]]=1),"",MIN(ProjectFinish,IF(N(Tasks[[#This Row],[Deadline]])&gt;0,Tasks[[#This Row],[Deadline]],2958465),Tasks[[#This Row],[_SuccessorFinishLimit]]))</f>
        <v/>
      </c>
      <c r="CF6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6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65" s="86" t="b">
        <f aca="false">AND(Tasks[[#This Row],[_IsLeaf]]=1,Tasks[[#This Row],[_LeafProgress]]&lt;1,N(Tasks[[#This Row],[_LeafTotalSlack]])&lt;=CriticalSlackDays)</f>
        <v>0</v>
      </c>
      <c r="CI6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6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6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6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6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6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6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6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65" s="43" t="n">
        <f aca="false">IF(AND(Tasks[[#This Row],[_IsLeaf]]=1,Tasks[[#This Row],[_LeafWork]]&gt;0),NETWORKDAYS.INTL(ProjectStart,Tasks[[#This Row],[_LeafFcstStart]],WorkWeek,Holidays),0)</f>
        <v>0</v>
      </c>
      <c r="CR6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65" s="43" t="n">
        <f aca="false">IF(AND(Tasks[[#This Row],[_IsLeaf]]=1,Tasks[[#This Row],[_LeafWork]]&gt;0),Tasks[[#This Row],[_LeafWork]]/(Tasks[[#This Row],[_FinishWorkday]]-Tasks[[#This Row],[_StartWorkday]]+1),0)</f>
        <v>0</v>
      </c>
      <c r="CT65" s="43" t="n">
        <f aca="false">Tasks[[#This Row],[_WorkPerWorkday]]*(Tasks[[#This Row],[_StartWorkday]]-1)</f>
        <v>-0</v>
      </c>
      <c r="CU65" s="43" t="n">
        <f aca="false">IF(Tasks[[#This Row],[_IsLeaf]]=1,MAX(N(Tasks[[#This Row],[Duration]]),0.1),0)</f>
        <v>0</v>
      </c>
      <c r="CV65" s="43" t="n">
        <f aca="false">Tasks[[#This Row],[_WeightDur]]*Tasks[[#This Row],[_LeafProgress]]</f>
        <v>0</v>
      </c>
      <c r="CW6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6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6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6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6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65" s="43" t="str">
        <f aca="false">IF(AND(Tasks[[#This Row],[_IsLeaf]]=1,N(Tasks[[#This Row],[Duration]])=0,Tasks[[#This Row],[_LeafProgress]]&lt;1),Tasks[[#This Row],[_LeafFcstFinish]]+Tasks[[#This Row],[_Row]]/100000,"")</f>
        <v/>
      </c>
      <c r="DC6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65" s="43" t="n">
        <f aca="false">IF(NOT(Tasks[[#This Row],[_IsLeaf]]=1),0,IF(Tasks[[#This Row],[Baseline Cost]]="",Tasks[[#This Row],[_LeafCost]],N(Tasks[[#This Row],[Baseline Cost]])))</f>
        <v>0</v>
      </c>
      <c r="DE65" s="43" t="n">
        <f aca="false">Tasks[[#This Row],[_LeafBudget]]*Tasks[[#This Row],[_PlannedPct]]</f>
        <v>0</v>
      </c>
      <c r="DF65" s="43" t="n">
        <f aca="false">Tasks[[#This Row],[_LeafBudget]]*Tasks[[#This Row],[_LeafProgress]]</f>
        <v>0</v>
      </c>
      <c r="DG65" s="43" t="n">
        <f aca="false">IF(NOT(Tasks[[#This Row],[_IsLeaf]]=1),0,IF(Tasks[[#This Row],[Actual Cost]]="",Tasks[[#This Row],[_LeafCost]]*Tasks[[#This Row],[_LeafProgress]],N(Tasks[[#This Row],[Actual Cost]])))</f>
        <v>0</v>
      </c>
      <c r="DH65" s="43" t="str">
        <f aca="false">IF(Tasks[[#This Row],[Task Name]]="","",LEFT(Tasks[[#This Row],[WBS]],FIND(".",Tasks[[#This Row],[WBS]]&amp;".")-1))</f>
        <v/>
      </c>
      <c r="DI65" s="43" t="str">
        <f aca="false">IF(AND(Tasks[[#This Row],[Task Name]]&lt;&gt;"",Tasks[[#This Row],[_Level]]=1),Tasks[[#This Row],[_Row]],"")</f>
        <v/>
      </c>
      <c r="DJ65" s="43" t="str">
        <f aca="false">IF(AND(Tasks[[#This Row],[_IsLeaf]]=1,N(Tasks[[#This Row],[Duration]])=0),Tasks[[#This Row],[Planned Finish]]+Tasks[[#This Row],[_Row]]/100000,"")</f>
        <v/>
      </c>
      <c r="DK6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6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6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65" s="43" t="str">
        <f aca="false">IF(Tasks[[#This Row],[_LeafCritical]],Tasks[[#This Row],[_LeafFcstStart]]+Tasks[[#This Row],[_Row]]/100000,"")</f>
        <v/>
      </c>
      <c r="DO65" s="43" t="n">
        <f aca="false">Tasks[[#This Row],[_LeafWork]]*Tasks[[#This Row],[_LeafProgress]]</f>
        <v>0</v>
      </c>
      <c r="DP6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65" s="43" t="n">
        <f aca="false">IF(Tasks[[#This Row],[_IsLeaf]]=1,N(Tasks[[#This Row],[Story Points]]),0)</f>
        <v>0</v>
      </c>
      <c r="DR65" s="43" t="str">
        <f aca="false">IF(AND(Tasks[[#This Row],[_IsLeaf]]=1,CurrentSprint&lt;&gt;"",Tasks[[#This Row],[Sprint]]=CurrentSprint),Tasks[[#This Row],[_Row]],"")</f>
        <v/>
      </c>
    </row>
    <row r="66" customFormat="false" ht="15" hidden="false" customHeight="false" outlineLevel="0" collapsed="false">
      <c r="A66" s="28" t="str">
        <f aca="false">IF(Tasks[[#This Row],[Task Name]]="","",COUNTA(Tasks[[#Headers],[Task Name]]:Tasks[[#This Row],[Task Name]])-1)</f>
        <v/>
      </c>
      <c r="B66" s="29" t="n">
        <v>61</v>
      </c>
      <c r="C6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66" s="29"/>
      <c r="E66" s="30"/>
      <c r="F66" s="29"/>
      <c r="G66" s="29"/>
      <c r="H66" s="29"/>
      <c r="I66" s="29"/>
      <c r="J66" s="29"/>
      <c r="K66" s="29"/>
      <c r="L66" s="29"/>
      <c r="M66" s="29"/>
      <c r="N66" s="72"/>
      <c r="O66" s="72"/>
      <c r="P66" s="25" t="str">
        <f aca="false">IF(Tasks[[#This Row],[Task Name]]="","",IF(N(Tasks[[#This Row],[Baseline Start]])&gt;0,Tasks[[#This Row],[Baseline Start]],Tasks[[#This Row],[_CalcStart]]))</f>
        <v/>
      </c>
      <c r="Q66" s="25" t="str">
        <f aca="false">IF(Tasks[[#This Row],[Task Name]]="","",IF(N(Tasks[[#This Row],[Baseline Finish]])&gt;0,Tasks[[#This Row],[Baseline Finish]],Tasks[[#This Row],[_CalcFinish]]))</f>
        <v/>
      </c>
      <c r="R66" s="72"/>
      <c r="S66" s="72"/>
      <c r="T6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6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6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6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6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6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6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6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6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6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6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66" s="74"/>
      <c r="AF6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6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66" s="30"/>
      <c r="AI66" s="74"/>
      <c r="AJ6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6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66" s="83"/>
      <c r="AM66" s="29"/>
      <c r="AN6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66" s="84"/>
      <c r="AP6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66" s="30"/>
      <c r="AR66" s="25" t="str">
        <f aca="false">IF(Tasks[[#This Row],[Task Name]]="","",Tasks[[#This Row],[Forecast Start]])</f>
        <v/>
      </c>
      <c r="AS66" s="25" t="str">
        <f aca="false">IF(Tasks[[#This Row],[Task Name]]="","",Tasks[[#This Row],[Forecast Finish]])</f>
        <v/>
      </c>
      <c r="AT6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66" s="81" t="str">
        <f aca="false">IF(Tasks[[#This Row],[Task Name]]="","",Tasks[[#This Row],[Work]])</f>
        <v/>
      </c>
      <c r="AV66" s="82" t="str">
        <f aca="false">IF(Tasks[[#This Row],[Task Name]]="","",Tasks[[#This Row],[Cost]])</f>
        <v/>
      </c>
      <c r="AW66" s="72"/>
      <c r="AX66" s="72"/>
      <c r="AY66" s="29"/>
      <c r="AZ66" s="85"/>
      <c r="BA66" s="83"/>
      <c r="BB66" s="28" t="str">
        <f aca="false">IF(OR(Tasks[[#This Row],[Task Name]]="",Tasks[[#This Row],[Baseline Duration]]=""),"",Tasks[[#This Row],[BL Source Duration]]-N(Tasks[[#This Row],[Baseline Duration]]))</f>
        <v/>
      </c>
      <c r="BC66" s="81" t="str">
        <f aca="false">IF(OR(Tasks[[#This Row],[Task Name]]="",Tasks[[#This Row],[Baseline Work]]=""),"",Tasks[[#This Row],[Work]]-N(Tasks[[#This Row],[Baseline Work]]))</f>
        <v/>
      </c>
      <c r="BD66" s="82" t="str">
        <f aca="false">IF(OR(Tasks[[#This Row],[Task Name]]="",Tasks[[#This Row],[Baseline Cost]]=""),"",Tasks[[#This Row],[Cost]]-N(Tasks[[#This Row],[Baseline Cost]]))</f>
        <v/>
      </c>
      <c r="BE6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6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6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6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66" s="43" t="str">
        <f aca="false">IF(Tasks[[#This Row],[Task Name]]="","",MAX(1,N(Tasks[[#This Row],[Level]])))</f>
        <v/>
      </c>
      <c r="BJ66" s="43" t="n">
        <f aca="false">ROW()-ROW(Tasks[[#Headers],[ID]])</f>
        <v>61</v>
      </c>
      <c r="BK6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66" s="43" t="n">
        <f aca="false">IFERROR(N(INDEX(Tasks[_Level],Tasks[[#This Row],[_Row]]+1)),0)</f>
        <v>0</v>
      </c>
      <c r="BM66" s="86" t="b">
        <f aca="false">AND(Tasks[[#This Row],[Task Name]]&lt;&gt;"",Tasks[[#This Row],[_NextLevel]]&gt;Tasks[[#This Row],[_Level]])</f>
        <v>0</v>
      </c>
      <c r="BN66" s="43" t="n">
        <f aca="false">IF(Tasks[[#This Row],[_IsSummary]],COUNTIF(Tasks[WBS],Tasks[[#This Row],[WBS]]&amp;".*"),0)</f>
        <v>0</v>
      </c>
      <c r="BO66" s="43" t="n">
        <f aca="false">IF(AND(Tasks[[#This Row],[Task Name]]&lt;&gt;"",NOT(Tasks[[#This Row],[_IsSummary]])),1,0)</f>
        <v>0</v>
      </c>
      <c r="BP66" s="43" t="n">
        <f aca="false">IF(N(Tasks[[#This Row],[Pred1 UID]])=0,0,IFERROR(MATCH(Tasks[[#This Row],[Pred1 UID]],Tasks[UID],0),-1))</f>
        <v>0</v>
      </c>
      <c r="BQ66" s="43" t="n">
        <f aca="false">IF(N(Tasks[[#This Row],[Pred2 UID]])=0,0,IFERROR(MATCH(Tasks[[#This Row],[Pred2 UID]],Tasks[UID],0),-1))</f>
        <v>0</v>
      </c>
      <c r="BR6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6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6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6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66" s="43" t="n">
        <f aca="false">IF(NOT(Tasks[[#This Row],[_IsLeaf]]=1),0,IF(N(Tasks[[#This Row],[Actual Finish]])&gt;0,1,MIN(1,N(Tasks[[#This Row],[% Complete]]))))</f>
        <v>0</v>
      </c>
      <c r="BW6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66" s="43" t="n">
        <f aca="false">IF(Tasks[[#This Row],[_LeafWork]]=0,0,Tasks[[#This Row],[_LeafWork]]*IFERROR(INDEX(res_Rate,MATCH(Tasks[[#This Row],[Resource]],res_Name,0)),0))</f>
        <v>0</v>
      </c>
      <c r="BY6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6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6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6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66" s="43" t="n">
        <f aca="false">IF(NOT(Tasks[[#This Row],[_IsLeaf]]=1),0,MAX(_xlfn.MAXIFS(Tasks[_Row],Tasks[Pred1 UID],Tasks[[#This Row],[UID]]),_xlfn.MAXIFS(Tasks[_Row],Tasks[Pred2 UID],Tasks[[#This Row],[UID]])))</f>
        <v>0</v>
      </c>
      <c r="CD6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66" s="87" t="str">
        <f aca="false">IF(NOT(Tasks[[#This Row],[_IsLeaf]]=1),"",MIN(ProjectFinish,IF(N(Tasks[[#This Row],[Deadline]])&gt;0,Tasks[[#This Row],[Deadline]],2958465),Tasks[[#This Row],[_SuccessorFinishLimit]]))</f>
        <v/>
      </c>
      <c r="CF6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6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66" s="86" t="b">
        <f aca="false">AND(Tasks[[#This Row],[_IsLeaf]]=1,Tasks[[#This Row],[_LeafProgress]]&lt;1,N(Tasks[[#This Row],[_LeafTotalSlack]])&lt;=CriticalSlackDays)</f>
        <v>0</v>
      </c>
      <c r="CI6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6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6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6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6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6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6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6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66" s="43" t="n">
        <f aca="false">IF(AND(Tasks[[#This Row],[_IsLeaf]]=1,Tasks[[#This Row],[_LeafWork]]&gt;0),NETWORKDAYS.INTL(ProjectStart,Tasks[[#This Row],[_LeafFcstStart]],WorkWeek,Holidays),0)</f>
        <v>0</v>
      </c>
      <c r="CR6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66" s="43" t="n">
        <f aca="false">IF(AND(Tasks[[#This Row],[_IsLeaf]]=1,Tasks[[#This Row],[_LeafWork]]&gt;0),Tasks[[#This Row],[_LeafWork]]/(Tasks[[#This Row],[_FinishWorkday]]-Tasks[[#This Row],[_StartWorkday]]+1),0)</f>
        <v>0</v>
      </c>
      <c r="CT66" s="43" t="n">
        <f aca="false">Tasks[[#This Row],[_WorkPerWorkday]]*(Tasks[[#This Row],[_StartWorkday]]-1)</f>
        <v>-0</v>
      </c>
      <c r="CU66" s="43" t="n">
        <f aca="false">IF(Tasks[[#This Row],[_IsLeaf]]=1,MAX(N(Tasks[[#This Row],[Duration]]),0.1),0)</f>
        <v>0</v>
      </c>
      <c r="CV66" s="43" t="n">
        <f aca="false">Tasks[[#This Row],[_WeightDur]]*Tasks[[#This Row],[_LeafProgress]]</f>
        <v>0</v>
      </c>
      <c r="CW6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6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6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6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6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66" s="43" t="str">
        <f aca="false">IF(AND(Tasks[[#This Row],[_IsLeaf]]=1,N(Tasks[[#This Row],[Duration]])=0,Tasks[[#This Row],[_LeafProgress]]&lt;1),Tasks[[#This Row],[_LeafFcstFinish]]+Tasks[[#This Row],[_Row]]/100000,"")</f>
        <v/>
      </c>
      <c r="DC6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66" s="43" t="n">
        <f aca="false">IF(NOT(Tasks[[#This Row],[_IsLeaf]]=1),0,IF(Tasks[[#This Row],[Baseline Cost]]="",Tasks[[#This Row],[_LeafCost]],N(Tasks[[#This Row],[Baseline Cost]])))</f>
        <v>0</v>
      </c>
      <c r="DE66" s="43" t="n">
        <f aca="false">Tasks[[#This Row],[_LeafBudget]]*Tasks[[#This Row],[_PlannedPct]]</f>
        <v>0</v>
      </c>
      <c r="DF66" s="43" t="n">
        <f aca="false">Tasks[[#This Row],[_LeafBudget]]*Tasks[[#This Row],[_LeafProgress]]</f>
        <v>0</v>
      </c>
      <c r="DG66" s="43" t="n">
        <f aca="false">IF(NOT(Tasks[[#This Row],[_IsLeaf]]=1),0,IF(Tasks[[#This Row],[Actual Cost]]="",Tasks[[#This Row],[_LeafCost]]*Tasks[[#This Row],[_LeafProgress]],N(Tasks[[#This Row],[Actual Cost]])))</f>
        <v>0</v>
      </c>
      <c r="DH66" s="43" t="str">
        <f aca="false">IF(Tasks[[#This Row],[Task Name]]="","",LEFT(Tasks[[#This Row],[WBS]],FIND(".",Tasks[[#This Row],[WBS]]&amp;".")-1))</f>
        <v/>
      </c>
      <c r="DI66" s="43" t="str">
        <f aca="false">IF(AND(Tasks[[#This Row],[Task Name]]&lt;&gt;"",Tasks[[#This Row],[_Level]]=1),Tasks[[#This Row],[_Row]],"")</f>
        <v/>
      </c>
      <c r="DJ66" s="43" t="str">
        <f aca="false">IF(AND(Tasks[[#This Row],[_IsLeaf]]=1,N(Tasks[[#This Row],[Duration]])=0),Tasks[[#This Row],[Planned Finish]]+Tasks[[#This Row],[_Row]]/100000,"")</f>
        <v/>
      </c>
      <c r="DK6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6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6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66" s="43" t="str">
        <f aca="false">IF(Tasks[[#This Row],[_LeafCritical]],Tasks[[#This Row],[_LeafFcstStart]]+Tasks[[#This Row],[_Row]]/100000,"")</f>
        <v/>
      </c>
      <c r="DO66" s="43" t="n">
        <f aca="false">Tasks[[#This Row],[_LeafWork]]*Tasks[[#This Row],[_LeafProgress]]</f>
        <v>0</v>
      </c>
      <c r="DP6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66" s="43" t="n">
        <f aca="false">IF(Tasks[[#This Row],[_IsLeaf]]=1,N(Tasks[[#This Row],[Story Points]]),0)</f>
        <v>0</v>
      </c>
      <c r="DR66" s="43" t="str">
        <f aca="false">IF(AND(Tasks[[#This Row],[_IsLeaf]]=1,CurrentSprint&lt;&gt;"",Tasks[[#This Row],[Sprint]]=CurrentSprint),Tasks[[#This Row],[_Row]],"")</f>
        <v/>
      </c>
    </row>
    <row r="67" customFormat="false" ht="15" hidden="false" customHeight="false" outlineLevel="0" collapsed="false">
      <c r="A67" s="28" t="str">
        <f aca="false">IF(Tasks[[#This Row],[Task Name]]="","",COUNTA(Tasks[[#Headers],[Task Name]]:Tasks[[#This Row],[Task Name]])-1)</f>
        <v/>
      </c>
      <c r="B67" s="29" t="n">
        <v>62</v>
      </c>
      <c r="C6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67" s="29"/>
      <c r="E67" s="30"/>
      <c r="F67" s="29"/>
      <c r="G67" s="29"/>
      <c r="H67" s="29"/>
      <c r="I67" s="29"/>
      <c r="J67" s="29"/>
      <c r="K67" s="29"/>
      <c r="L67" s="29"/>
      <c r="M67" s="29"/>
      <c r="N67" s="72"/>
      <c r="O67" s="72"/>
      <c r="P67" s="25" t="str">
        <f aca="false">IF(Tasks[[#This Row],[Task Name]]="","",IF(N(Tasks[[#This Row],[Baseline Start]])&gt;0,Tasks[[#This Row],[Baseline Start]],Tasks[[#This Row],[_CalcStart]]))</f>
        <v/>
      </c>
      <c r="Q67" s="25" t="str">
        <f aca="false">IF(Tasks[[#This Row],[Task Name]]="","",IF(N(Tasks[[#This Row],[Baseline Finish]])&gt;0,Tasks[[#This Row],[Baseline Finish]],Tasks[[#This Row],[_CalcFinish]]))</f>
        <v/>
      </c>
      <c r="R67" s="72"/>
      <c r="S67" s="72"/>
      <c r="T6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6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6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6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6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6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6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6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6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6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6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67" s="74"/>
      <c r="AF6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6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67" s="30"/>
      <c r="AI67" s="74"/>
      <c r="AJ6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6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67" s="83"/>
      <c r="AM67" s="29"/>
      <c r="AN6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67" s="84"/>
      <c r="AP6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67" s="30"/>
      <c r="AR67" s="25" t="str">
        <f aca="false">IF(Tasks[[#This Row],[Task Name]]="","",Tasks[[#This Row],[Forecast Start]])</f>
        <v/>
      </c>
      <c r="AS67" s="25" t="str">
        <f aca="false">IF(Tasks[[#This Row],[Task Name]]="","",Tasks[[#This Row],[Forecast Finish]])</f>
        <v/>
      </c>
      <c r="AT6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67" s="81" t="str">
        <f aca="false">IF(Tasks[[#This Row],[Task Name]]="","",Tasks[[#This Row],[Work]])</f>
        <v/>
      </c>
      <c r="AV67" s="82" t="str">
        <f aca="false">IF(Tasks[[#This Row],[Task Name]]="","",Tasks[[#This Row],[Cost]])</f>
        <v/>
      </c>
      <c r="AW67" s="72"/>
      <c r="AX67" s="72"/>
      <c r="AY67" s="29"/>
      <c r="AZ67" s="85"/>
      <c r="BA67" s="83"/>
      <c r="BB67" s="28" t="str">
        <f aca="false">IF(OR(Tasks[[#This Row],[Task Name]]="",Tasks[[#This Row],[Baseline Duration]]=""),"",Tasks[[#This Row],[BL Source Duration]]-N(Tasks[[#This Row],[Baseline Duration]]))</f>
        <v/>
      </c>
      <c r="BC67" s="81" t="str">
        <f aca="false">IF(OR(Tasks[[#This Row],[Task Name]]="",Tasks[[#This Row],[Baseline Work]]=""),"",Tasks[[#This Row],[Work]]-N(Tasks[[#This Row],[Baseline Work]]))</f>
        <v/>
      </c>
      <c r="BD67" s="82" t="str">
        <f aca="false">IF(OR(Tasks[[#This Row],[Task Name]]="",Tasks[[#This Row],[Baseline Cost]]=""),"",Tasks[[#This Row],[Cost]]-N(Tasks[[#This Row],[Baseline Cost]]))</f>
        <v/>
      </c>
      <c r="BE6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6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6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6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67" s="43" t="str">
        <f aca="false">IF(Tasks[[#This Row],[Task Name]]="","",MAX(1,N(Tasks[[#This Row],[Level]])))</f>
        <v/>
      </c>
      <c r="BJ67" s="43" t="n">
        <f aca="false">ROW()-ROW(Tasks[[#Headers],[ID]])</f>
        <v>62</v>
      </c>
      <c r="BK6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67" s="43" t="n">
        <f aca="false">IFERROR(N(INDEX(Tasks[_Level],Tasks[[#This Row],[_Row]]+1)),0)</f>
        <v>0</v>
      </c>
      <c r="BM67" s="86" t="b">
        <f aca="false">AND(Tasks[[#This Row],[Task Name]]&lt;&gt;"",Tasks[[#This Row],[_NextLevel]]&gt;Tasks[[#This Row],[_Level]])</f>
        <v>0</v>
      </c>
      <c r="BN67" s="43" t="n">
        <f aca="false">IF(Tasks[[#This Row],[_IsSummary]],COUNTIF(Tasks[WBS],Tasks[[#This Row],[WBS]]&amp;".*"),0)</f>
        <v>0</v>
      </c>
      <c r="BO67" s="43" t="n">
        <f aca="false">IF(AND(Tasks[[#This Row],[Task Name]]&lt;&gt;"",NOT(Tasks[[#This Row],[_IsSummary]])),1,0)</f>
        <v>0</v>
      </c>
      <c r="BP67" s="43" t="n">
        <f aca="false">IF(N(Tasks[[#This Row],[Pred1 UID]])=0,0,IFERROR(MATCH(Tasks[[#This Row],[Pred1 UID]],Tasks[UID],0),-1))</f>
        <v>0</v>
      </c>
      <c r="BQ67" s="43" t="n">
        <f aca="false">IF(N(Tasks[[#This Row],[Pred2 UID]])=0,0,IFERROR(MATCH(Tasks[[#This Row],[Pred2 UID]],Tasks[UID],0),-1))</f>
        <v>0</v>
      </c>
      <c r="BR6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6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6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6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67" s="43" t="n">
        <f aca="false">IF(NOT(Tasks[[#This Row],[_IsLeaf]]=1),0,IF(N(Tasks[[#This Row],[Actual Finish]])&gt;0,1,MIN(1,N(Tasks[[#This Row],[% Complete]]))))</f>
        <v>0</v>
      </c>
      <c r="BW6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67" s="43" t="n">
        <f aca="false">IF(Tasks[[#This Row],[_LeafWork]]=0,0,Tasks[[#This Row],[_LeafWork]]*IFERROR(INDEX(res_Rate,MATCH(Tasks[[#This Row],[Resource]],res_Name,0)),0))</f>
        <v>0</v>
      </c>
      <c r="BY6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6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6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6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67" s="43" t="n">
        <f aca="false">IF(NOT(Tasks[[#This Row],[_IsLeaf]]=1),0,MAX(_xlfn.MAXIFS(Tasks[_Row],Tasks[Pred1 UID],Tasks[[#This Row],[UID]]),_xlfn.MAXIFS(Tasks[_Row],Tasks[Pred2 UID],Tasks[[#This Row],[UID]])))</f>
        <v>0</v>
      </c>
      <c r="CD6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67" s="87" t="str">
        <f aca="false">IF(NOT(Tasks[[#This Row],[_IsLeaf]]=1),"",MIN(ProjectFinish,IF(N(Tasks[[#This Row],[Deadline]])&gt;0,Tasks[[#This Row],[Deadline]],2958465),Tasks[[#This Row],[_SuccessorFinishLimit]]))</f>
        <v/>
      </c>
      <c r="CF6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6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67" s="86" t="b">
        <f aca="false">AND(Tasks[[#This Row],[_IsLeaf]]=1,Tasks[[#This Row],[_LeafProgress]]&lt;1,N(Tasks[[#This Row],[_LeafTotalSlack]])&lt;=CriticalSlackDays)</f>
        <v>0</v>
      </c>
      <c r="CI6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6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6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6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6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6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6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6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67" s="43" t="n">
        <f aca="false">IF(AND(Tasks[[#This Row],[_IsLeaf]]=1,Tasks[[#This Row],[_LeafWork]]&gt;0),NETWORKDAYS.INTL(ProjectStart,Tasks[[#This Row],[_LeafFcstStart]],WorkWeek,Holidays),0)</f>
        <v>0</v>
      </c>
      <c r="CR6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67" s="43" t="n">
        <f aca="false">IF(AND(Tasks[[#This Row],[_IsLeaf]]=1,Tasks[[#This Row],[_LeafWork]]&gt;0),Tasks[[#This Row],[_LeafWork]]/(Tasks[[#This Row],[_FinishWorkday]]-Tasks[[#This Row],[_StartWorkday]]+1),0)</f>
        <v>0</v>
      </c>
      <c r="CT67" s="43" t="n">
        <f aca="false">Tasks[[#This Row],[_WorkPerWorkday]]*(Tasks[[#This Row],[_StartWorkday]]-1)</f>
        <v>-0</v>
      </c>
      <c r="CU67" s="43" t="n">
        <f aca="false">IF(Tasks[[#This Row],[_IsLeaf]]=1,MAX(N(Tasks[[#This Row],[Duration]]),0.1),0)</f>
        <v>0</v>
      </c>
      <c r="CV67" s="43" t="n">
        <f aca="false">Tasks[[#This Row],[_WeightDur]]*Tasks[[#This Row],[_LeafProgress]]</f>
        <v>0</v>
      </c>
      <c r="CW6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6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6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6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6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67" s="43" t="str">
        <f aca="false">IF(AND(Tasks[[#This Row],[_IsLeaf]]=1,N(Tasks[[#This Row],[Duration]])=0,Tasks[[#This Row],[_LeafProgress]]&lt;1),Tasks[[#This Row],[_LeafFcstFinish]]+Tasks[[#This Row],[_Row]]/100000,"")</f>
        <v/>
      </c>
      <c r="DC6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67" s="43" t="n">
        <f aca="false">IF(NOT(Tasks[[#This Row],[_IsLeaf]]=1),0,IF(Tasks[[#This Row],[Baseline Cost]]="",Tasks[[#This Row],[_LeafCost]],N(Tasks[[#This Row],[Baseline Cost]])))</f>
        <v>0</v>
      </c>
      <c r="DE67" s="43" t="n">
        <f aca="false">Tasks[[#This Row],[_LeafBudget]]*Tasks[[#This Row],[_PlannedPct]]</f>
        <v>0</v>
      </c>
      <c r="DF67" s="43" t="n">
        <f aca="false">Tasks[[#This Row],[_LeafBudget]]*Tasks[[#This Row],[_LeafProgress]]</f>
        <v>0</v>
      </c>
      <c r="DG67" s="43" t="n">
        <f aca="false">IF(NOT(Tasks[[#This Row],[_IsLeaf]]=1),0,IF(Tasks[[#This Row],[Actual Cost]]="",Tasks[[#This Row],[_LeafCost]]*Tasks[[#This Row],[_LeafProgress]],N(Tasks[[#This Row],[Actual Cost]])))</f>
        <v>0</v>
      </c>
      <c r="DH67" s="43" t="str">
        <f aca="false">IF(Tasks[[#This Row],[Task Name]]="","",LEFT(Tasks[[#This Row],[WBS]],FIND(".",Tasks[[#This Row],[WBS]]&amp;".")-1))</f>
        <v/>
      </c>
      <c r="DI67" s="43" t="str">
        <f aca="false">IF(AND(Tasks[[#This Row],[Task Name]]&lt;&gt;"",Tasks[[#This Row],[_Level]]=1),Tasks[[#This Row],[_Row]],"")</f>
        <v/>
      </c>
      <c r="DJ67" s="43" t="str">
        <f aca="false">IF(AND(Tasks[[#This Row],[_IsLeaf]]=1,N(Tasks[[#This Row],[Duration]])=0),Tasks[[#This Row],[Planned Finish]]+Tasks[[#This Row],[_Row]]/100000,"")</f>
        <v/>
      </c>
      <c r="DK6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6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6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67" s="43" t="str">
        <f aca="false">IF(Tasks[[#This Row],[_LeafCritical]],Tasks[[#This Row],[_LeafFcstStart]]+Tasks[[#This Row],[_Row]]/100000,"")</f>
        <v/>
      </c>
      <c r="DO67" s="43" t="n">
        <f aca="false">Tasks[[#This Row],[_LeafWork]]*Tasks[[#This Row],[_LeafProgress]]</f>
        <v>0</v>
      </c>
      <c r="DP6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67" s="43" t="n">
        <f aca="false">IF(Tasks[[#This Row],[_IsLeaf]]=1,N(Tasks[[#This Row],[Story Points]]),0)</f>
        <v>0</v>
      </c>
      <c r="DR67" s="43" t="str">
        <f aca="false">IF(AND(Tasks[[#This Row],[_IsLeaf]]=1,CurrentSprint&lt;&gt;"",Tasks[[#This Row],[Sprint]]=CurrentSprint),Tasks[[#This Row],[_Row]],"")</f>
        <v/>
      </c>
    </row>
    <row r="68" customFormat="false" ht="15" hidden="false" customHeight="false" outlineLevel="0" collapsed="false">
      <c r="A68" s="28" t="str">
        <f aca="false">IF(Tasks[[#This Row],[Task Name]]="","",COUNTA(Tasks[[#Headers],[Task Name]]:Tasks[[#This Row],[Task Name]])-1)</f>
        <v/>
      </c>
      <c r="B68" s="29" t="n">
        <v>63</v>
      </c>
      <c r="C6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68" s="29"/>
      <c r="E68" s="30"/>
      <c r="F68" s="29"/>
      <c r="G68" s="29"/>
      <c r="H68" s="29"/>
      <c r="I68" s="29"/>
      <c r="J68" s="29"/>
      <c r="K68" s="29"/>
      <c r="L68" s="29"/>
      <c r="M68" s="29"/>
      <c r="N68" s="72"/>
      <c r="O68" s="72"/>
      <c r="P68" s="25" t="str">
        <f aca="false">IF(Tasks[[#This Row],[Task Name]]="","",IF(N(Tasks[[#This Row],[Baseline Start]])&gt;0,Tasks[[#This Row],[Baseline Start]],Tasks[[#This Row],[_CalcStart]]))</f>
        <v/>
      </c>
      <c r="Q68" s="25" t="str">
        <f aca="false">IF(Tasks[[#This Row],[Task Name]]="","",IF(N(Tasks[[#This Row],[Baseline Finish]])&gt;0,Tasks[[#This Row],[Baseline Finish]],Tasks[[#This Row],[_CalcFinish]]))</f>
        <v/>
      </c>
      <c r="R68" s="72"/>
      <c r="S68" s="72"/>
      <c r="T6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6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6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6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6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6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6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6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6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6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6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68" s="74"/>
      <c r="AF6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6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68" s="30"/>
      <c r="AI68" s="74"/>
      <c r="AJ6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6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68" s="83"/>
      <c r="AM68" s="29"/>
      <c r="AN6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68" s="84"/>
      <c r="AP6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68" s="30"/>
      <c r="AR68" s="25" t="str">
        <f aca="false">IF(Tasks[[#This Row],[Task Name]]="","",Tasks[[#This Row],[Forecast Start]])</f>
        <v/>
      </c>
      <c r="AS68" s="25" t="str">
        <f aca="false">IF(Tasks[[#This Row],[Task Name]]="","",Tasks[[#This Row],[Forecast Finish]])</f>
        <v/>
      </c>
      <c r="AT6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68" s="81" t="str">
        <f aca="false">IF(Tasks[[#This Row],[Task Name]]="","",Tasks[[#This Row],[Work]])</f>
        <v/>
      </c>
      <c r="AV68" s="82" t="str">
        <f aca="false">IF(Tasks[[#This Row],[Task Name]]="","",Tasks[[#This Row],[Cost]])</f>
        <v/>
      </c>
      <c r="AW68" s="72"/>
      <c r="AX68" s="72"/>
      <c r="AY68" s="29"/>
      <c r="AZ68" s="85"/>
      <c r="BA68" s="83"/>
      <c r="BB68" s="28" t="str">
        <f aca="false">IF(OR(Tasks[[#This Row],[Task Name]]="",Tasks[[#This Row],[Baseline Duration]]=""),"",Tasks[[#This Row],[BL Source Duration]]-N(Tasks[[#This Row],[Baseline Duration]]))</f>
        <v/>
      </c>
      <c r="BC68" s="81" t="str">
        <f aca="false">IF(OR(Tasks[[#This Row],[Task Name]]="",Tasks[[#This Row],[Baseline Work]]=""),"",Tasks[[#This Row],[Work]]-N(Tasks[[#This Row],[Baseline Work]]))</f>
        <v/>
      </c>
      <c r="BD68" s="82" t="str">
        <f aca="false">IF(OR(Tasks[[#This Row],[Task Name]]="",Tasks[[#This Row],[Baseline Cost]]=""),"",Tasks[[#This Row],[Cost]]-N(Tasks[[#This Row],[Baseline Cost]]))</f>
        <v/>
      </c>
      <c r="BE6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6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6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6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68" s="43" t="str">
        <f aca="false">IF(Tasks[[#This Row],[Task Name]]="","",MAX(1,N(Tasks[[#This Row],[Level]])))</f>
        <v/>
      </c>
      <c r="BJ68" s="43" t="n">
        <f aca="false">ROW()-ROW(Tasks[[#Headers],[ID]])</f>
        <v>63</v>
      </c>
      <c r="BK6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68" s="43" t="n">
        <f aca="false">IFERROR(N(INDEX(Tasks[_Level],Tasks[[#This Row],[_Row]]+1)),0)</f>
        <v>0</v>
      </c>
      <c r="BM68" s="86" t="b">
        <f aca="false">AND(Tasks[[#This Row],[Task Name]]&lt;&gt;"",Tasks[[#This Row],[_NextLevel]]&gt;Tasks[[#This Row],[_Level]])</f>
        <v>0</v>
      </c>
      <c r="BN68" s="43" t="n">
        <f aca="false">IF(Tasks[[#This Row],[_IsSummary]],COUNTIF(Tasks[WBS],Tasks[[#This Row],[WBS]]&amp;".*"),0)</f>
        <v>0</v>
      </c>
      <c r="BO68" s="43" t="n">
        <f aca="false">IF(AND(Tasks[[#This Row],[Task Name]]&lt;&gt;"",NOT(Tasks[[#This Row],[_IsSummary]])),1,0)</f>
        <v>0</v>
      </c>
      <c r="BP68" s="43" t="n">
        <f aca="false">IF(N(Tasks[[#This Row],[Pred1 UID]])=0,0,IFERROR(MATCH(Tasks[[#This Row],[Pred1 UID]],Tasks[UID],0),-1))</f>
        <v>0</v>
      </c>
      <c r="BQ68" s="43" t="n">
        <f aca="false">IF(N(Tasks[[#This Row],[Pred2 UID]])=0,0,IFERROR(MATCH(Tasks[[#This Row],[Pred2 UID]],Tasks[UID],0),-1))</f>
        <v>0</v>
      </c>
      <c r="BR6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6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6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6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68" s="43" t="n">
        <f aca="false">IF(NOT(Tasks[[#This Row],[_IsLeaf]]=1),0,IF(N(Tasks[[#This Row],[Actual Finish]])&gt;0,1,MIN(1,N(Tasks[[#This Row],[% Complete]]))))</f>
        <v>0</v>
      </c>
      <c r="BW6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68" s="43" t="n">
        <f aca="false">IF(Tasks[[#This Row],[_LeafWork]]=0,0,Tasks[[#This Row],[_LeafWork]]*IFERROR(INDEX(res_Rate,MATCH(Tasks[[#This Row],[Resource]],res_Name,0)),0))</f>
        <v>0</v>
      </c>
      <c r="BY6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6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6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6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68" s="43" t="n">
        <f aca="false">IF(NOT(Tasks[[#This Row],[_IsLeaf]]=1),0,MAX(_xlfn.MAXIFS(Tasks[_Row],Tasks[Pred1 UID],Tasks[[#This Row],[UID]]),_xlfn.MAXIFS(Tasks[_Row],Tasks[Pred2 UID],Tasks[[#This Row],[UID]])))</f>
        <v>0</v>
      </c>
      <c r="CD6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68" s="87" t="str">
        <f aca="false">IF(NOT(Tasks[[#This Row],[_IsLeaf]]=1),"",MIN(ProjectFinish,IF(N(Tasks[[#This Row],[Deadline]])&gt;0,Tasks[[#This Row],[Deadline]],2958465),Tasks[[#This Row],[_SuccessorFinishLimit]]))</f>
        <v/>
      </c>
      <c r="CF6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6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68" s="86" t="b">
        <f aca="false">AND(Tasks[[#This Row],[_IsLeaf]]=1,Tasks[[#This Row],[_LeafProgress]]&lt;1,N(Tasks[[#This Row],[_LeafTotalSlack]])&lt;=CriticalSlackDays)</f>
        <v>0</v>
      </c>
      <c r="CI6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6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6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6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6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6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6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6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68" s="43" t="n">
        <f aca="false">IF(AND(Tasks[[#This Row],[_IsLeaf]]=1,Tasks[[#This Row],[_LeafWork]]&gt;0),NETWORKDAYS.INTL(ProjectStart,Tasks[[#This Row],[_LeafFcstStart]],WorkWeek,Holidays),0)</f>
        <v>0</v>
      </c>
      <c r="CR6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68" s="43" t="n">
        <f aca="false">IF(AND(Tasks[[#This Row],[_IsLeaf]]=1,Tasks[[#This Row],[_LeafWork]]&gt;0),Tasks[[#This Row],[_LeafWork]]/(Tasks[[#This Row],[_FinishWorkday]]-Tasks[[#This Row],[_StartWorkday]]+1),0)</f>
        <v>0</v>
      </c>
      <c r="CT68" s="43" t="n">
        <f aca="false">Tasks[[#This Row],[_WorkPerWorkday]]*(Tasks[[#This Row],[_StartWorkday]]-1)</f>
        <v>-0</v>
      </c>
      <c r="CU68" s="43" t="n">
        <f aca="false">IF(Tasks[[#This Row],[_IsLeaf]]=1,MAX(N(Tasks[[#This Row],[Duration]]),0.1),0)</f>
        <v>0</v>
      </c>
      <c r="CV68" s="43" t="n">
        <f aca="false">Tasks[[#This Row],[_WeightDur]]*Tasks[[#This Row],[_LeafProgress]]</f>
        <v>0</v>
      </c>
      <c r="CW6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6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6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6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6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68" s="43" t="str">
        <f aca="false">IF(AND(Tasks[[#This Row],[_IsLeaf]]=1,N(Tasks[[#This Row],[Duration]])=0,Tasks[[#This Row],[_LeafProgress]]&lt;1),Tasks[[#This Row],[_LeafFcstFinish]]+Tasks[[#This Row],[_Row]]/100000,"")</f>
        <v/>
      </c>
      <c r="DC6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68" s="43" t="n">
        <f aca="false">IF(NOT(Tasks[[#This Row],[_IsLeaf]]=1),0,IF(Tasks[[#This Row],[Baseline Cost]]="",Tasks[[#This Row],[_LeafCost]],N(Tasks[[#This Row],[Baseline Cost]])))</f>
        <v>0</v>
      </c>
      <c r="DE68" s="43" t="n">
        <f aca="false">Tasks[[#This Row],[_LeafBudget]]*Tasks[[#This Row],[_PlannedPct]]</f>
        <v>0</v>
      </c>
      <c r="DF68" s="43" t="n">
        <f aca="false">Tasks[[#This Row],[_LeafBudget]]*Tasks[[#This Row],[_LeafProgress]]</f>
        <v>0</v>
      </c>
      <c r="DG68" s="43" t="n">
        <f aca="false">IF(NOT(Tasks[[#This Row],[_IsLeaf]]=1),0,IF(Tasks[[#This Row],[Actual Cost]]="",Tasks[[#This Row],[_LeafCost]]*Tasks[[#This Row],[_LeafProgress]],N(Tasks[[#This Row],[Actual Cost]])))</f>
        <v>0</v>
      </c>
      <c r="DH68" s="43" t="str">
        <f aca="false">IF(Tasks[[#This Row],[Task Name]]="","",LEFT(Tasks[[#This Row],[WBS]],FIND(".",Tasks[[#This Row],[WBS]]&amp;".")-1))</f>
        <v/>
      </c>
      <c r="DI68" s="43" t="str">
        <f aca="false">IF(AND(Tasks[[#This Row],[Task Name]]&lt;&gt;"",Tasks[[#This Row],[_Level]]=1),Tasks[[#This Row],[_Row]],"")</f>
        <v/>
      </c>
      <c r="DJ68" s="43" t="str">
        <f aca="false">IF(AND(Tasks[[#This Row],[_IsLeaf]]=1,N(Tasks[[#This Row],[Duration]])=0),Tasks[[#This Row],[Planned Finish]]+Tasks[[#This Row],[_Row]]/100000,"")</f>
        <v/>
      </c>
      <c r="DK6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6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6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68" s="43" t="str">
        <f aca="false">IF(Tasks[[#This Row],[_LeafCritical]],Tasks[[#This Row],[_LeafFcstStart]]+Tasks[[#This Row],[_Row]]/100000,"")</f>
        <v/>
      </c>
      <c r="DO68" s="43" t="n">
        <f aca="false">Tasks[[#This Row],[_LeafWork]]*Tasks[[#This Row],[_LeafProgress]]</f>
        <v>0</v>
      </c>
      <c r="DP6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68" s="43" t="n">
        <f aca="false">IF(Tasks[[#This Row],[_IsLeaf]]=1,N(Tasks[[#This Row],[Story Points]]),0)</f>
        <v>0</v>
      </c>
      <c r="DR68" s="43" t="str">
        <f aca="false">IF(AND(Tasks[[#This Row],[_IsLeaf]]=1,CurrentSprint&lt;&gt;"",Tasks[[#This Row],[Sprint]]=CurrentSprint),Tasks[[#This Row],[_Row]],"")</f>
        <v/>
      </c>
    </row>
    <row r="69" customFormat="false" ht="15" hidden="false" customHeight="false" outlineLevel="0" collapsed="false">
      <c r="A69" s="28" t="str">
        <f aca="false">IF(Tasks[[#This Row],[Task Name]]="","",COUNTA(Tasks[[#Headers],[Task Name]]:Tasks[[#This Row],[Task Name]])-1)</f>
        <v/>
      </c>
      <c r="B69" s="29" t="n">
        <v>64</v>
      </c>
      <c r="C6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69" s="29"/>
      <c r="E69" s="30"/>
      <c r="F69" s="29"/>
      <c r="G69" s="29"/>
      <c r="H69" s="29"/>
      <c r="I69" s="29"/>
      <c r="J69" s="29"/>
      <c r="K69" s="29"/>
      <c r="L69" s="29"/>
      <c r="M69" s="29"/>
      <c r="N69" s="72"/>
      <c r="O69" s="72"/>
      <c r="P69" s="25" t="str">
        <f aca="false">IF(Tasks[[#This Row],[Task Name]]="","",IF(N(Tasks[[#This Row],[Baseline Start]])&gt;0,Tasks[[#This Row],[Baseline Start]],Tasks[[#This Row],[_CalcStart]]))</f>
        <v/>
      </c>
      <c r="Q69" s="25" t="str">
        <f aca="false">IF(Tasks[[#This Row],[Task Name]]="","",IF(N(Tasks[[#This Row],[Baseline Finish]])&gt;0,Tasks[[#This Row],[Baseline Finish]],Tasks[[#This Row],[_CalcFinish]]))</f>
        <v/>
      </c>
      <c r="R69" s="72"/>
      <c r="S69" s="72"/>
      <c r="T6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6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6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6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6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6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6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6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6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6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6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69" s="74"/>
      <c r="AF6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6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69" s="30"/>
      <c r="AI69" s="74"/>
      <c r="AJ6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6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69" s="83"/>
      <c r="AM69" s="29"/>
      <c r="AN6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69" s="84"/>
      <c r="AP6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69" s="30"/>
      <c r="AR69" s="25" t="str">
        <f aca="false">IF(Tasks[[#This Row],[Task Name]]="","",Tasks[[#This Row],[Forecast Start]])</f>
        <v/>
      </c>
      <c r="AS69" s="25" t="str">
        <f aca="false">IF(Tasks[[#This Row],[Task Name]]="","",Tasks[[#This Row],[Forecast Finish]])</f>
        <v/>
      </c>
      <c r="AT6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69" s="81" t="str">
        <f aca="false">IF(Tasks[[#This Row],[Task Name]]="","",Tasks[[#This Row],[Work]])</f>
        <v/>
      </c>
      <c r="AV69" s="82" t="str">
        <f aca="false">IF(Tasks[[#This Row],[Task Name]]="","",Tasks[[#This Row],[Cost]])</f>
        <v/>
      </c>
      <c r="AW69" s="72"/>
      <c r="AX69" s="72"/>
      <c r="AY69" s="29"/>
      <c r="AZ69" s="85"/>
      <c r="BA69" s="83"/>
      <c r="BB69" s="28" t="str">
        <f aca="false">IF(OR(Tasks[[#This Row],[Task Name]]="",Tasks[[#This Row],[Baseline Duration]]=""),"",Tasks[[#This Row],[BL Source Duration]]-N(Tasks[[#This Row],[Baseline Duration]]))</f>
        <v/>
      </c>
      <c r="BC69" s="81" t="str">
        <f aca="false">IF(OR(Tasks[[#This Row],[Task Name]]="",Tasks[[#This Row],[Baseline Work]]=""),"",Tasks[[#This Row],[Work]]-N(Tasks[[#This Row],[Baseline Work]]))</f>
        <v/>
      </c>
      <c r="BD69" s="82" t="str">
        <f aca="false">IF(OR(Tasks[[#This Row],[Task Name]]="",Tasks[[#This Row],[Baseline Cost]]=""),"",Tasks[[#This Row],[Cost]]-N(Tasks[[#This Row],[Baseline Cost]]))</f>
        <v/>
      </c>
      <c r="BE6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6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6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6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69" s="43" t="str">
        <f aca="false">IF(Tasks[[#This Row],[Task Name]]="","",MAX(1,N(Tasks[[#This Row],[Level]])))</f>
        <v/>
      </c>
      <c r="BJ69" s="43" t="n">
        <f aca="false">ROW()-ROW(Tasks[[#Headers],[ID]])</f>
        <v>64</v>
      </c>
      <c r="BK6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69" s="43" t="n">
        <f aca="false">IFERROR(N(INDEX(Tasks[_Level],Tasks[[#This Row],[_Row]]+1)),0)</f>
        <v>0</v>
      </c>
      <c r="BM69" s="86" t="b">
        <f aca="false">AND(Tasks[[#This Row],[Task Name]]&lt;&gt;"",Tasks[[#This Row],[_NextLevel]]&gt;Tasks[[#This Row],[_Level]])</f>
        <v>0</v>
      </c>
      <c r="BN69" s="43" t="n">
        <f aca="false">IF(Tasks[[#This Row],[_IsSummary]],COUNTIF(Tasks[WBS],Tasks[[#This Row],[WBS]]&amp;".*"),0)</f>
        <v>0</v>
      </c>
      <c r="BO69" s="43" t="n">
        <f aca="false">IF(AND(Tasks[[#This Row],[Task Name]]&lt;&gt;"",NOT(Tasks[[#This Row],[_IsSummary]])),1,0)</f>
        <v>0</v>
      </c>
      <c r="BP69" s="43" t="n">
        <f aca="false">IF(N(Tasks[[#This Row],[Pred1 UID]])=0,0,IFERROR(MATCH(Tasks[[#This Row],[Pred1 UID]],Tasks[UID],0),-1))</f>
        <v>0</v>
      </c>
      <c r="BQ69" s="43" t="n">
        <f aca="false">IF(N(Tasks[[#This Row],[Pred2 UID]])=0,0,IFERROR(MATCH(Tasks[[#This Row],[Pred2 UID]],Tasks[UID],0),-1))</f>
        <v>0</v>
      </c>
      <c r="BR6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6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6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6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69" s="43" t="n">
        <f aca="false">IF(NOT(Tasks[[#This Row],[_IsLeaf]]=1),0,IF(N(Tasks[[#This Row],[Actual Finish]])&gt;0,1,MIN(1,N(Tasks[[#This Row],[% Complete]]))))</f>
        <v>0</v>
      </c>
      <c r="BW6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69" s="43" t="n">
        <f aca="false">IF(Tasks[[#This Row],[_LeafWork]]=0,0,Tasks[[#This Row],[_LeafWork]]*IFERROR(INDEX(res_Rate,MATCH(Tasks[[#This Row],[Resource]],res_Name,0)),0))</f>
        <v>0</v>
      </c>
      <c r="BY6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6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6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6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69" s="43" t="n">
        <f aca="false">IF(NOT(Tasks[[#This Row],[_IsLeaf]]=1),0,MAX(_xlfn.MAXIFS(Tasks[_Row],Tasks[Pred1 UID],Tasks[[#This Row],[UID]]),_xlfn.MAXIFS(Tasks[_Row],Tasks[Pred2 UID],Tasks[[#This Row],[UID]])))</f>
        <v>0</v>
      </c>
      <c r="CD6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69" s="87" t="str">
        <f aca="false">IF(NOT(Tasks[[#This Row],[_IsLeaf]]=1),"",MIN(ProjectFinish,IF(N(Tasks[[#This Row],[Deadline]])&gt;0,Tasks[[#This Row],[Deadline]],2958465),Tasks[[#This Row],[_SuccessorFinishLimit]]))</f>
        <v/>
      </c>
      <c r="CF6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6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69" s="86" t="b">
        <f aca="false">AND(Tasks[[#This Row],[_IsLeaf]]=1,Tasks[[#This Row],[_LeafProgress]]&lt;1,N(Tasks[[#This Row],[_LeafTotalSlack]])&lt;=CriticalSlackDays)</f>
        <v>0</v>
      </c>
      <c r="CI6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6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6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6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6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6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6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6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69" s="43" t="n">
        <f aca="false">IF(AND(Tasks[[#This Row],[_IsLeaf]]=1,Tasks[[#This Row],[_LeafWork]]&gt;0),NETWORKDAYS.INTL(ProjectStart,Tasks[[#This Row],[_LeafFcstStart]],WorkWeek,Holidays),0)</f>
        <v>0</v>
      </c>
      <c r="CR6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69" s="43" t="n">
        <f aca="false">IF(AND(Tasks[[#This Row],[_IsLeaf]]=1,Tasks[[#This Row],[_LeafWork]]&gt;0),Tasks[[#This Row],[_LeafWork]]/(Tasks[[#This Row],[_FinishWorkday]]-Tasks[[#This Row],[_StartWorkday]]+1),0)</f>
        <v>0</v>
      </c>
      <c r="CT69" s="43" t="n">
        <f aca="false">Tasks[[#This Row],[_WorkPerWorkday]]*(Tasks[[#This Row],[_StartWorkday]]-1)</f>
        <v>-0</v>
      </c>
      <c r="CU69" s="43" t="n">
        <f aca="false">IF(Tasks[[#This Row],[_IsLeaf]]=1,MAX(N(Tasks[[#This Row],[Duration]]),0.1),0)</f>
        <v>0</v>
      </c>
      <c r="CV69" s="43" t="n">
        <f aca="false">Tasks[[#This Row],[_WeightDur]]*Tasks[[#This Row],[_LeafProgress]]</f>
        <v>0</v>
      </c>
      <c r="CW6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6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6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6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6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69" s="43" t="str">
        <f aca="false">IF(AND(Tasks[[#This Row],[_IsLeaf]]=1,N(Tasks[[#This Row],[Duration]])=0,Tasks[[#This Row],[_LeafProgress]]&lt;1),Tasks[[#This Row],[_LeafFcstFinish]]+Tasks[[#This Row],[_Row]]/100000,"")</f>
        <v/>
      </c>
      <c r="DC6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69" s="43" t="n">
        <f aca="false">IF(NOT(Tasks[[#This Row],[_IsLeaf]]=1),0,IF(Tasks[[#This Row],[Baseline Cost]]="",Tasks[[#This Row],[_LeafCost]],N(Tasks[[#This Row],[Baseline Cost]])))</f>
        <v>0</v>
      </c>
      <c r="DE69" s="43" t="n">
        <f aca="false">Tasks[[#This Row],[_LeafBudget]]*Tasks[[#This Row],[_PlannedPct]]</f>
        <v>0</v>
      </c>
      <c r="DF69" s="43" t="n">
        <f aca="false">Tasks[[#This Row],[_LeafBudget]]*Tasks[[#This Row],[_LeafProgress]]</f>
        <v>0</v>
      </c>
      <c r="DG69" s="43" t="n">
        <f aca="false">IF(NOT(Tasks[[#This Row],[_IsLeaf]]=1),0,IF(Tasks[[#This Row],[Actual Cost]]="",Tasks[[#This Row],[_LeafCost]]*Tasks[[#This Row],[_LeafProgress]],N(Tasks[[#This Row],[Actual Cost]])))</f>
        <v>0</v>
      </c>
      <c r="DH69" s="43" t="str">
        <f aca="false">IF(Tasks[[#This Row],[Task Name]]="","",LEFT(Tasks[[#This Row],[WBS]],FIND(".",Tasks[[#This Row],[WBS]]&amp;".")-1))</f>
        <v/>
      </c>
      <c r="DI69" s="43" t="str">
        <f aca="false">IF(AND(Tasks[[#This Row],[Task Name]]&lt;&gt;"",Tasks[[#This Row],[_Level]]=1),Tasks[[#This Row],[_Row]],"")</f>
        <v/>
      </c>
      <c r="DJ69" s="43" t="str">
        <f aca="false">IF(AND(Tasks[[#This Row],[_IsLeaf]]=1,N(Tasks[[#This Row],[Duration]])=0),Tasks[[#This Row],[Planned Finish]]+Tasks[[#This Row],[_Row]]/100000,"")</f>
        <v/>
      </c>
      <c r="DK6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6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6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69" s="43" t="str">
        <f aca="false">IF(Tasks[[#This Row],[_LeafCritical]],Tasks[[#This Row],[_LeafFcstStart]]+Tasks[[#This Row],[_Row]]/100000,"")</f>
        <v/>
      </c>
      <c r="DO69" s="43" t="n">
        <f aca="false">Tasks[[#This Row],[_LeafWork]]*Tasks[[#This Row],[_LeafProgress]]</f>
        <v>0</v>
      </c>
      <c r="DP6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69" s="43" t="n">
        <f aca="false">IF(Tasks[[#This Row],[_IsLeaf]]=1,N(Tasks[[#This Row],[Story Points]]),0)</f>
        <v>0</v>
      </c>
      <c r="DR69" s="43" t="str">
        <f aca="false">IF(AND(Tasks[[#This Row],[_IsLeaf]]=1,CurrentSprint&lt;&gt;"",Tasks[[#This Row],[Sprint]]=CurrentSprint),Tasks[[#This Row],[_Row]],"")</f>
        <v/>
      </c>
    </row>
    <row r="70" customFormat="false" ht="15" hidden="false" customHeight="false" outlineLevel="0" collapsed="false">
      <c r="A70" s="28" t="str">
        <f aca="false">IF(Tasks[[#This Row],[Task Name]]="","",COUNTA(Tasks[[#Headers],[Task Name]]:Tasks[[#This Row],[Task Name]])-1)</f>
        <v/>
      </c>
      <c r="B70" s="29" t="n">
        <v>65</v>
      </c>
      <c r="C7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70" s="29"/>
      <c r="E70" s="30"/>
      <c r="F70" s="29"/>
      <c r="G70" s="29"/>
      <c r="H70" s="29"/>
      <c r="I70" s="29"/>
      <c r="J70" s="29"/>
      <c r="K70" s="29"/>
      <c r="L70" s="29"/>
      <c r="M70" s="29"/>
      <c r="N70" s="72"/>
      <c r="O70" s="72"/>
      <c r="P70" s="25" t="str">
        <f aca="false">IF(Tasks[[#This Row],[Task Name]]="","",IF(N(Tasks[[#This Row],[Baseline Start]])&gt;0,Tasks[[#This Row],[Baseline Start]],Tasks[[#This Row],[_CalcStart]]))</f>
        <v/>
      </c>
      <c r="Q70" s="25" t="str">
        <f aca="false">IF(Tasks[[#This Row],[Task Name]]="","",IF(N(Tasks[[#This Row],[Baseline Finish]])&gt;0,Tasks[[#This Row],[Baseline Finish]],Tasks[[#This Row],[_CalcFinish]]))</f>
        <v/>
      </c>
      <c r="R70" s="72"/>
      <c r="S70" s="72"/>
      <c r="T7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7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7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7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7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7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7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7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7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7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7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70" s="74"/>
      <c r="AF7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7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70" s="30"/>
      <c r="AI70" s="74"/>
      <c r="AJ7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7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70" s="83"/>
      <c r="AM70" s="29"/>
      <c r="AN7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70" s="84"/>
      <c r="AP7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70" s="30"/>
      <c r="AR70" s="25" t="str">
        <f aca="false">IF(Tasks[[#This Row],[Task Name]]="","",Tasks[[#This Row],[Forecast Start]])</f>
        <v/>
      </c>
      <c r="AS70" s="25" t="str">
        <f aca="false">IF(Tasks[[#This Row],[Task Name]]="","",Tasks[[#This Row],[Forecast Finish]])</f>
        <v/>
      </c>
      <c r="AT7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70" s="81" t="str">
        <f aca="false">IF(Tasks[[#This Row],[Task Name]]="","",Tasks[[#This Row],[Work]])</f>
        <v/>
      </c>
      <c r="AV70" s="82" t="str">
        <f aca="false">IF(Tasks[[#This Row],[Task Name]]="","",Tasks[[#This Row],[Cost]])</f>
        <v/>
      </c>
      <c r="AW70" s="72"/>
      <c r="AX70" s="72"/>
      <c r="AY70" s="29"/>
      <c r="AZ70" s="85"/>
      <c r="BA70" s="83"/>
      <c r="BB70" s="28" t="str">
        <f aca="false">IF(OR(Tasks[[#This Row],[Task Name]]="",Tasks[[#This Row],[Baseline Duration]]=""),"",Tasks[[#This Row],[BL Source Duration]]-N(Tasks[[#This Row],[Baseline Duration]]))</f>
        <v/>
      </c>
      <c r="BC70" s="81" t="str">
        <f aca="false">IF(OR(Tasks[[#This Row],[Task Name]]="",Tasks[[#This Row],[Baseline Work]]=""),"",Tasks[[#This Row],[Work]]-N(Tasks[[#This Row],[Baseline Work]]))</f>
        <v/>
      </c>
      <c r="BD70" s="82" t="str">
        <f aca="false">IF(OR(Tasks[[#This Row],[Task Name]]="",Tasks[[#This Row],[Baseline Cost]]=""),"",Tasks[[#This Row],[Cost]]-N(Tasks[[#This Row],[Baseline Cost]]))</f>
        <v/>
      </c>
      <c r="BE7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7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7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7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70" s="43" t="str">
        <f aca="false">IF(Tasks[[#This Row],[Task Name]]="","",MAX(1,N(Tasks[[#This Row],[Level]])))</f>
        <v/>
      </c>
      <c r="BJ70" s="43" t="n">
        <f aca="false">ROW()-ROW(Tasks[[#Headers],[ID]])</f>
        <v>65</v>
      </c>
      <c r="BK7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70" s="43" t="n">
        <f aca="false">IFERROR(N(INDEX(Tasks[_Level],Tasks[[#This Row],[_Row]]+1)),0)</f>
        <v>0</v>
      </c>
      <c r="BM70" s="86" t="b">
        <f aca="false">AND(Tasks[[#This Row],[Task Name]]&lt;&gt;"",Tasks[[#This Row],[_NextLevel]]&gt;Tasks[[#This Row],[_Level]])</f>
        <v>0</v>
      </c>
      <c r="BN70" s="43" t="n">
        <f aca="false">IF(Tasks[[#This Row],[_IsSummary]],COUNTIF(Tasks[WBS],Tasks[[#This Row],[WBS]]&amp;".*"),0)</f>
        <v>0</v>
      </c>
      <c r="BO70" s="43" t="n">
        <f aca="false">IF(AND(Tasks[[#This Row],[Task Name]]&lt;&gt;"",NOT(Tasks[[#This Row],[_IsSummary]])),1,0)</f>
        <v>0</v>
      </c>
      <c r="BP70" s="43" t="n">
        <f aca="false">IF(N(Tasks[[#This Row],[Pred1 UID]])=0,0,IFERROR(MATCH(Tasks[[#This Row],[Pred1 UID]],Tasks[UID],0),-1))</f>
        <v>0</v>
      </c>
      <c r="BQ70" s="43" t="n">
        <f aca="false">IF(N(Tasks[[#This Row],[Pred2 UID]])=0,0,IFERROR(MATCH(Tasks[[#This Row],[Pred2 UID]],Tasks[UID],0),-1))</f>
        <v>0</v>
      </c>
      <c r="BR7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7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7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7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70" s="43" t="n">
        <f aca="false">IF(NOT(Tasks[[#This Row],[_IsLeaf]]=1),0,IF(N(Tasks[[#This Row],[Actual Finish]])&gt;0,1,MIN(1,N(Tasks[[#This Row],[% Complete]]))))</f>
        <v>0</v>
      </c>
      <c r="BW7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70" s="43" t="n">
        <f aca="false">IF(Tasks[[#This Row],[_LeafWork]]=0,0,Tasks[[#This Row],[_LeafWork]]*IFERROR(INDEX(res_Rate,MATCH(Tasks[[#This Row],[Resource]],res_Name,0)),0))</f>
        <v>0</v>
      </c>
      <c r="BY7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7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7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7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70" s="43" t="n">
        <f aca="false">IF(NOT(Tasks[[#This Row],[_IsLeaf]]=1),0,MAX(_xlfn.MAXIFS(Tasks[_Row],Tasks[Pred1 UID],Tasks[[#This Row],[UID]]),_xlfn.MAXIFS(Tasks[_Row],Tasks[Pred2 UID],Tasks[[#This Row],[UID]])))</f>
        <v>0</v>
      </c>
      <c r="CD7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70" s="87" t="str">
        <f aca="false">IF(NOT(Tasks[[#This Row],[_IsLeaf]]=1),"",MIN(ProjectFinish,IF(N(Tasks[[#This Row],[Deadline]])&gt;0,Tasks[[#This Row],[Deadline]],2958465),Tasks[[#This Row],[_SuccessorFinishLimit]]))</f>
        <v/>
      </c>
      <c r="CF7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7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70" s="86" t="b">
        <f aca="false">AND(Tasks[[#This Row],[_IsLeaf]]=1,Tasks[[#This Row],[_LeafProgress]]&lt;1,N(Tasks[[#This Row],[_LeafTotalSlack]])&lt;=CriticalSlackDays)</f>
        <v>0</v>
      </c>
      <c r="CI7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7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7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7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7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7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7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7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70" s="43" t="n">
        <f aca="false">IF(AND(Tasks[[#This Row],[_IsLeaf]]=1,Tasks[[#This Row],[_LeafWork]]&gt;0),NETWORKDAYS.INTL(ProjectStart,Tasks[[#This Row],[_LeafFcstStart]],WorkWeek,Holidays),0)</f>
        <v>0</v>
      </c>
      <c r="CR7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70" s="43" t="n">
        <f aca="false">IF(AND(Tasks[[#This Row],[_IsLeaf]]=1,Tasks[[#This Row],[_LeafWork]]&gt;0),Tasks[[#This Row],[_LeafWork]]/(Tasks[[#This Row],[_FinishWorkday]]-Tasks[[#This Row],[_StartWorkday]]+1),0)</f>
        <v>0</v>
      </c>
      <c r="CT70" s="43" t="n">
        <f aca="false">Tasks[[#This Row],[_WorkPerWorkday]]*(Tasks[[#This Row],[_StartWorkday]]-1)</f>
        <v>-0</v>
      </c>
      <c r="CU70" s="43" t="n">
        <f aca="false">IF(Tasks[[#This Row],[_IsLeaf]]=1,MAX(N(Tasks[[#This Row],[Duration]]),0.1),0)</f>
        <v>0</v>
      </c>
      <c r="CV70" s="43" t="n">
        <f aca="false">Tasks[[#This Row],[_WeightDur]]*Tasks[[#This Row],[_LeafProgress]]</f>
        <v>0</v>
      </c>
      <c r="CW7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7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7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7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7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70" s="43" t="str">
        <f aca="false">IF(AND(Tasks[[#This Row],[_IsLeaf]]=1,N(Tasks[[#This Row],[Duration]])=0,Tasks[[#This Row],[_LeafProgress]]&lt;1),Tasks[[#This Row],[_LeafFcstFinish]]+Tasks[[#This Row],[_Row]]/100000,"")</f>
        <v/>
      </c>
      <c r="DC7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70" s="43" t="n">
        <f aca="false">IF(NOT(Tasks[[#This Row],[_IsLeaf]]=1),0,IF(Tasks[[#This Row],[Baseline Cost]]="",Tasks[[#This Row],[_LeafCost]],N(Tasks[[#This Row],[Baseline Cost]])))</f>
        <v>0</v>
      </c>
      <c r="DE70" s="43" t="n">
        <f aca="false">Tasks[[#This Row],[_LeafBudget]]*Tasks[[#This Row],[_PlannedPct]]</f>
        <v>0</v>
      </c>
      <c r="DF70" s="43" t="n">
        <f aca="false">Tasks[[#This Row],[_LeafBudget]]*Tasks[[#This Row],[_LeafProgress]]</f>
        <v>0</v>
      </c>
      <c r="DG70" s="43" t="n">
        <f aca="false">IF(NOT(Tasks[[#This Row],[_IsLeaf]]=1),0,IF(Tasks[[#This Row],[Actual Cost]]="",Tasks[[#This Row],[_LeafCost]]*Tasks[[#This Row],[_LeafProgress]],N(Tasks[[#This Row],[Actual Cost]])))</f>
        <v>0</v>
      </c>
      <c r="DH70" s="43" t="str">
        <f aca="false">IF(Tasks[[#This Row],[Task Name]]="","",LEFT(Tasks[[#This Row],[WBS]],FIND(".",Tasks[[#This Row],[WBS]]&amp;".")-1))</f>
        <v/>
      </c>
      <c r="DI70" s="43" t="str">
        <f aca="false">IF(AND(Tasks[[#This Row],[Task Name]]&lt;&gt;"",Tasks[[#This Row],[_Level]]=1),Tasks[[#This Row],[_Row]],"")</f>
        <v/>
      </c>
      <c r="DJ70" s="43" t="str">
        <f aca="false">IF(AND(Tasks[[#This Row],[_IsLeaf]]=1,N(Tasks[[#This Row],[Duration]])=0),Tasks[[#This Row],[Planned Finish]]+Tasks[[#This Row],[_Row]]/100000,"")</f>
        <v/>
      </c>
      <c r="DK7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7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7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70" s="43" t="str">
        <f aca="false">IF(Tasks[[#This Row],[_LeafCritical]],Tasks[[#This Row],[_LeafFcstStart]]+Tasks[[#This Row],[_Row]]/100000,"")</f>
        <v/>
      </c>
      <c r="DO70" s="43" t="n">
        <f aca="false">Tasks[[#This Row],[_LeafWork]]*Tasks[[#This Row],[_LeafProgress]]</f>
        <v>0</v>
      </c>
      <c r="DP7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70" s="43" t="n">
        <f aca="false">IF(Tasks[[#This Row],[_IsLeaf]]=1,N(Tasks[[#This Row],[Story Points]]),0)</f>
        <v>0</v>
      </c>
      <c r="DR70" s="43" t="str">
        <f aca="false">IF(AND(Tasks[[#This Row],[_IsLeaf]]=1,CurrentSprint&lt;&gt;"",Tasks[[#This Row],[Sprint]]=CurrentSprint),Tasks[[#This Row],[_Row]],"")</f>
        <v/>
      </c>
    </row>
    <row r="71" customFormat="false" ht="15" hidden="false" customHeight="false" outlineLevel="0" collapsed="false">
      <c r="A71" s="28" t="str">
        <f aca="false">IF(Tasks[[#This Row],[Task Name]]="","",COUNTA(Tasks[[#Headers],[Task Name]]:Tasks[[#This Row],[Task Name]])-1)</f>
        <v/>
      </c>
      <c r="B71" s="29" t="n">
        <v>66</v>
      </c>
      <c r="C7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71" s="29"/>
      <c r="E71" s="30"/>
      <c r="F71" s="29"/>
      <c r="G71" s="29"/>
      <c r="H71" s="29"/>
      <c r="I71" s="29"/>
      <c r="J71" s="29"/>
      <c r="K71" s="29"/>
      <c r="L71" s="29"/>
      <c r="M71" s="29"/>
      <c r="N71" s="72"/>
      <c r="O71" s="72"/>
      <c r="P71" s="25" t="str">
        <f aca="false">IF(Tasks[[#This Row],[Task Name]]="","",IF(N(Tasks[[#This Row],[Baseline Start]])&gt;0,Tasks[[#This Row],[Baseline Start]],Tasks[[#This Row],[_CalcStart]]))</f>
        <v/>
      </c>
      <c r="Q71" s="25" t="str">
        <f aca="false">IF(Tasks[[#This Row],[Task Name]]="","",IF(N(Tasks[[#This Row],[Baseline Finish]])&gt;0,Tasks[[#This Row],[Baseline Finish]],Tasks[[#This Row],[_CalcFinish]]))</f>
        <v/>
      </c>
      <c r="R71" s="72"/>
      <c r="S71" s="72"/>
      <c r="T7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7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7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7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7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7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7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7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7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7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7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71" s="74"/>
      <c r="AF7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7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71" s="30"/>
      <c r="AI71" s="74"/>
      <c r="AJ7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7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71" s="83"/>
      <c r="AM71" s="29"/>
      <c r="AN7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71" s="84"/>
      <c r="AP7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71" s="30"/>
      <c r="AR71" s="25" t="str">
        <f aca="false">IF(Tasks[[#This Row],[Task Name]]="","",Tasks[[#This Row],[Forecast Start]])</f>
        <v/>
      </c>
      <c r="AS71" s="25" t="str">
        <f aca="false">IF(Tasks[[#This Row],[Task Name]]="","",Tasks[[#This Row],[Forecast Finish]])</f>
        <v/>
      </c>
      <c r="AT7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71" s="81" t="str">
        <f aca="false">IF(Tasks[[#This Row],[Task Name]]="","",Tasks[[#This Row],[Work]])</f>
        <v/>
      </c>
      <c r="AV71" s="82" t="str">
        <f aca="false">IF(Tasks[[#This Row],[Task Name]]="","",Tasks[[#This Row],[Cost]])</f>
        <v/>
      </c>
      <c r="AW71" s="72"/>
      <c r="AX71" s="72"/>
      <c r="AY71" s="29"/>
      <c r="AZ71" s="85"/>
      <c r="BA71" s="83"/>
      <c r="BB71" s="28" t="str">
        <f aca="false">IF(OR(Tasks[[#This Row],[Task Name]]="",Tasks[[#This Row],[Baseline Duration]]=""),"",Tasks[[#This Row],[BL Source Duration]]-N(Tasks[[#This Row],[Baseline Duration]]))</f>
        <v/>
      </c>
      <c r="BC71" s="81" t="str">
        <f aca="false">IF(OR(Tasks[[#This Row],[Task Name]]="",Tasks[[#This Row],[Baseline Work]]=""),"",Tasks[[#This Row],[Work]]-N(Tasks[[#This Row],[Baseline Work]]))</f>
        <v/>
      </c>
      <c r="BD71" s="82" t="str">
        <f aca="false">IF(OR(Tasks[[#This Row],[Task Name]]="",Tasks[[#This Row],[Baseline Cost]]=""),"",Tasks[[#This Row],[Cost]]-N(Tasks[[#This Row],[Baseline Cost]]))</f>
        <v/>
      </c>
      <c r="BE7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7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7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7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71" s="43" t="str">
        <f aca="false">IF(Tasks[[#This Row],[Task Name]]="","",MAX(1,N(Tasks[[#This Row],[Level]])))</f>
        <v/>
      </c>
      <c r="BJ71" s="43" t="n">
        <f aca="false">ROW()-ROW(Tasks[[#Headers],[ID]])</f>
        <v>66</v>
      </c>
      <c r="BK7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71" s="43" t="n">
        <f aca="false">IFERROR(N(INDEX(Tasks[_Level],Tasks[[#This Row],[_Row]]+1)),0)</f>
        <v>0</v>
      </c>
      <c r="BM71" s="86" t="b">
        <f aca="false">AND(Tasks[[#This Row],[Task Name]]&lt;&gt;"",Tasks[[#This Row],[_NextLevel]]&gt;Tasks[[#This Row],[_Level]])</f>
        <v>0</v>
      </c>
      <c r="BN71" s="43" t="n">
        <f aca="false">IF(Tasks[[#This Row],[_IsSummary]],COUNTIF(Tasks[WBS],Tasks[[#This Row],[WBS]]&amp;".*"),0)</f>
        <v>0</v>
      </c>
      <c r="BO71" s="43" t="n">
        <f aca="false">IF(AND(Tasks[[#This Row],[Task Name]]&lt;&gt;"",NOT(Tasks[[#This Row],[_IsSummary]])),1,0)</f>
        <v>0</v>
      </c>
      <c r="BP71" s="43" t="n">
        <f aca="false">IF(N(Tasks[[#This Row],[Pred1 UID]])=0,0,IFERROR(MATCH(Tasks[[#This Row],[Pred1 UID]],Tasks[UID],0),-1))</f>
        <v>0</v>
      </c>
      <c r="BQ71" s="43" t="n">
        <f aca="false">IF(N(Tasks[[#This Row],[Pred2 UID]])=0,0,IFERROR(MATCH(Tasks[[#This Row],[Pred2 UID]],Tasks[UID],0),-1))</f>
        <v>0</v>
      </c>
      <c r="BR7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7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7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7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71" s="43" t="n">
        <f aca="false">IF(NOT(Tasks[[#This Row],[_IsLeaf]]=1),0,IF(N(Tasks[[#This Row],[Actual Finish]])&gt;0,1,MIN(1,N(Tasks[[#This Row],[% Complete]]))))</f>
        <v>0</v>
      </c>
      <c r="BW7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71" s="43" t="n">
        <f aca="false">IF(Tasks[[#This Row],[_LeafWork]]=0,0,Tasks[[#This Row],[_LeafWork]]*IFERROR(INDEX(res_Rate,MATCH(Tasks[[#This Row],[Resource]],res_Name,0)),0))</f>
        <v>0</v>
      </c>
      <c r="BY7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7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7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7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71" s="43" t="n">
        <f aca="false">IF(NOT(Tasks[[#This Row],[_IsLeaf]]=1),0,MAX(_xlfn.MAXIFS(Tasks[_Row],Tasks[Pred1 UID],Tasks[[#This Row],[UID]]),_xlfn.MAXIFS(Tasks[_Row],Tasks[Pred2 UID],Tasks[[#This Row],[UID]])))</f>
        <v>0</v>
      </c>
      <c r="CD7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71" s="87" t="str">
        <f aca="false">IF(NOT(Tasks[[#This Row],[_IsLeaf]]=1),"",MIN(ProjectFinish,IF(N(Tasks[[#This Row],[Deadline]])&gt;0,Tasks[[#This Row],[Deadline]],2958465),Tasks[[#This Row],[_SuccessorFinishLimit]]))</f>
        <v/>
      </c>
      <c r="CF7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7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71" s="86" t="b">
        <f aca="false">AND(Tasks[[#This Row],[_IsLeaf]]=1,Tasks[[#This Row],[_LeafProgress]]&lt;1,N(Tasks[[#This Row],[_LeafTotalSlack]])&lt;=CriticalSlackDays)</f>
        <v>0</v>
      </c>
      <c r="CI7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7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7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7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7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7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7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7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71" s="43" t="n">
        <f aca="false">IF(AND(Tasks[[#This Row],[_IsLeaf]]=1,Tasks[[#This Row],[_LeafWork]]&gt;0),NETWORKDAYS.INTL(ProjectStart,Tasks[[#This Row],[_LeafFcstStart]],WorkWeek,Holidays),0)</f>
        <v>0</v>
      </c>
      <c r="CR7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71" s="43" t="n">
        <f aca="false">IF(AND(Tasks[[#This Row],[_IsLeaf]]=1,Tasks[[#This Row],[_LeafWork]]&gt;0),Tasks[[#This Row],[_LeafWork]]/(Tasks[[#This Row],[_FinishWorkday]]-Tasks[[#This Row],[_StartWorkday]]+1),0)</f>
        <v>0</v>
      </c>
      <c r="CT71" s="43" t="n">
        <f aca="false">Tasks[[#This Row],[_WorkPerWorkday]]*(Tasks[[#This Row],[_StartWorkday]]-1)</f>
        <v>-0</v>
      </c>
      <c r="CU71" s="43" t="n">
        <f aca="false">IF(Tasks[[#This Row],[_IsLeaf]]=1,MAX(N(Tasks[[#This Row],[Duration]]),0.1),0)</f>
        <v>0</v>
      </c>
      <c r="CV71" s="43" t="n">
        <f aca="false">Tasks[[#This Row],[_WeightDur]]*Tasks[[#This Row],[_LeafProgress]]</f>
        <v>0</v>
      </c>
      <c r="CW7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7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7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7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7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71" s="43" t="str">
        <f aca="false">IF(AND(Tasks[[#This Row],[_IsLeaf]]=1,N(Tasks[[#This Row],[Duration]])=0,Tasks[[#This Row],[_LeafProgress]]&lt;1),Tasks[[#This Row],[_LeafFcstFinish]]+Tasks[[#This Row],[_Row]]/100000,"")</f>
        <v/>
      </c>
      <c r="DC7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71" s="43" t="n">
        <f aca="false">IF(NOT(Tasks[[#This Row],[_IsLeaf]]=1),0,IF(Tasks[[#This Row],[Baseline Cost]]="",Tasks[[#This Row],[_LeafCost]],N(Tasks[[#This Row],[Baseline Cost]])))</f>
        <v>0</v>
      </c>
      <c r="DE71" s="43" t="n">
        <f aca="false">Tasks[[#This Row],[_LeafBudget]]*Tasks[[#This Row],[_PlannedPct]]</f>
        <v>0</v>
      </c>
      <c r="DF71" s="43" t="n">
        <f aca="false">Tasks[[#This Row],[_LeafBudget]]*Tasks[[#This Row],[_LeafProgress]]</f>
        <v>0</v>
      </c>
      <c r="DG71" s="43" t="n">
        <f aca="false">IF(NOT(Tasks[[#This Row],[_IsLeaf]]=1),0,IF(Tasks[[#This Row],[Actual Cost]]="",Tasks[[#This Row],[_LeafCost]]*Tasks[[#This Row],[_LeafProgress]],N(Tasks[[#This Row],[Actual Cost]])))</f>
        <v>0</v>
      </c>
      <c r="DH71" s="43" t="str">
        <f aca="false">IF(Tasks[[#This Row],[Task Name]]="","",LEFT(Tasks[[#This Row],[WBS]],FIND(".",Tasks[[#This Row],[WBS]]&amp;".")-1))</f>
        <v/>
      </c>
      <c r="DI71" s="43" t="str">
        <f aca="false">IF(AND(Tasks[[#This Row],[Task Name]]&lt;&gt;"",Tasks[[#This Row],[_Level]]=1),Tasks[[#This Row],[_Row]],"")</f>
        <v/>
      </c>
      <c r="DJ71" s="43" t="str">
        <f aca="false">IF(AND(Tasks[[#This Row],[_IsLeaf]]=1,N(Tasks[[#This Row],[Duration]])=0),Tasks[[#This Row],[Planned Finish]]+Tasks[[#This Row],[_Row]]/100000,"")</f>
        <v/>
      </c>
      <c r="DK7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7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7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71" s="43" t="str">
        <f aca="false">IF(Tasks[[#This Row],[_LeafCritical]],Tasks[[#This Row],[_LeafFcstStart]]+Tasks[[#This Row],[_Row]]/100000,"")</f>
        <v/>
      </c>
      <c r="DO71" s="43" t="n">
        <f aca="false">Tasks[[#This Row],[_LeafWork]]*Tasks[[#This Row],[_LeafProgress]]</f>
        <v>0</v>
      </c>
      <c r="DP7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71" s="43" t="n">
        <f aca="false">IF(Tasks[[#This Row],[_IsLeaf]]=1,N(Tasks[[#This Row],[Story Points]]),0)</f>
        <v>0</v>
      </c>
      <c r="DR71" s="43" t="str">
        <f aca="false">IF(AND(Tasks[[#This Row],[_IsLeaf]]=1,CurrentSprint&lt;&gt;"",Tasks[[#This Row],[Sprint]]=CurrentSprint),Tasks[[#This Row],[_Row]],"")</f>
        <v/>
      </c>
    </row>
    <row r="72" customFormat="false" ht="15" hidden="false" customHeight="false" outlineLevel="0" collapsed="false">
      <c r="A72" s="28" t="str">
        <f aca="false">IF(Tasks[[#This Row],[Task Name]]="","",COUNTA(Tasks[[#Headers],[Task Name]]:Tasks[[#This Row],[Task Name]])-1)</f>
        <v/>
      </c>
      <c r="B72" s="29" t="n">
        <v>67</v>
      </c>
      <c r="C7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72" s="29"/>
      <c r="E72" s="30"/>
      <c r="F72" s="29"/>
      <c r="G72" s="29"/>
      <c r="H72" s="29"/>
      <c r="I72" s="29"/>
      <c r="J72" s="29"/>
      <c r="K72" s="29"/>
      <c r="L72" s="29"/>
      <c r="M72" s="29"/>
      <c r="N72" s="72"/>
      <c r="O72" s="72"/>
      <c r="P72" s="25" t="str">
        <f aca="false">IF(Tasks[[#This Row],[Task Name]]="","",IF(N(Tasks[[#This Row],[Baseline Start]])&gt;0,Tasks[[#This Row],[Baseline Start]],Tasks[[#This Row],[_CalcStart]]))</f>
        <v/>
      </c>
      <c r="Q72" s="25" t="str">
        <f aca="false">IF(Tasks[[#This Row],[Task Name]]="","",IF(N(Tasks[[#This Row],[Baseline Finish]])&gt;0,Tasks[[#This Row],[Baseline Finish]],Tasks[[#This Row],[_CalcFinish]]))</f>
        <v/>
      </c>
      <c r="R72" s="72"/>
      <c r="S72" s="72"/>
      <c r="T7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7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7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7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7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7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7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7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7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7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7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72" s="74"/>
      <c r="AF7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7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72" s="30"/>
      <c r="AI72" s="74"/>
      <c r="AJ7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7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72" s="83"/>
      <c r="AM72" s="29"/>
      <c r="AN7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72" s="84"/>
      <c r="AP7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72" s="30"/>
      <c r="AR72" s="25" t="str">
        <f aca="false">IF(Tasks[[#This Row],[Task Name]]="","",Tasks[[#This Row],[Forecast Start]])</f>
        <v/>
      </c>
      <c r="AS72" s="25" t="str">
        <f aca="false">IF(Tasks[[#This Row],[Task Name]]="","",Tasks[[#This Row],[Forecast Finish]])</f>
        <v/>
      </c>
      <c r="AT7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72" s="81" t="str">
        <f aca="false">IF(Tasks[[#This Row],[Task Name]]="","",Tasks[[#This Row],[Work]])</f>
        <v/>
      </c>
      <c r="AV72" s="82" t="str">
        <f aca="false">IF(Tasks[[#This Row],[Task Name]]="","",Tasks[[#This Row],[Cost]])</f>
        <v/>
      </c>
      <c r="AW72" s="72"/>
      <c r="AX72" s="72"/>
      <c r="AY72" s="29"/>
      <c r="AZ72" s="85"/>
      <c r="BA72" s="83"/>
      <c r="BB72" s="28" t="str">
        <f aca="false">IF(OR(Tasks[[#This Row],[Task Name]]="",Tasks[[#This Row],[Baseline Duration]]=""),"",Tasks[[#This Row],[BL Source Duration]]-N(Tasks[[#This Row],[Baseline Duration]]))</f>
        <v/>
      </c>
      <c r="BC72" s="81" t="str">
        <f aca="false">IF(OR(Tasks[[#This Row],[Task Name]]="",Tasks[[#This Row],[Baseline Work]]=""),"",Tasks[[#This Row],[Work]]-N(Tasks[[#This Row],[Baseline Work]]))</f>
        <v/>
      </c>
      <c r="BD72" s="82" t="str">
        <f aca="false">IF(OR(Tasks[[#This Row],[Task Name]]="",Tasks[[#This Row],[Baseline Cost]]=""),"",Tasks[[#This Row],[Cost]]-N(Tasks[[#This Row],[Baseline Cost]]))</f>
        <v/>
      </c>
      <c r="BE7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7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7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7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72" s="43" t="str">
        <f aca="false">IF(Tasks[[#This Row],[Task Name]]="","",MAX(1,N(Tasks[[#This Row],[Level]])))</f>
        <v/>
      </c>
      <c r="BJ72" s="43" t="n">
        <f aca="false">ROW()-ROW(Tasks[[#Headers],[ID]])</f>
        <v>67</v>
      </c>
      <c r="BK7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72" s="43" t="n">
        <f aca="false">IFERROR(N(INDEX(Tasks[_Level],Tasks[[#This Row],[_Row]]+1)),0)</f>
        <v>0</v>
      </c>
      <c r="BM72" s="86" t="b">
        <f aca="false">AND(Tasks[[#This Row],[Task Name]]&lt;&gt;"",Tasks[[#This Row],[_NextLevel]]&gt;Tasks[[#This Row],[_Level]])</f>
        <v>0</v>
      </c>
      <c r="BN72" s="43" t="n">
        <f aca="false">IF(Tasks[[#This Row],[_IsSummary]],COUNTIF(Tasks[WBS],Tasks[[#This Row],[WBS]]&amp;".*"),0)</f>
        <v>0</v>
      </c>
      <c r="BO72" s="43" t="n">
        <f aca="false">IF(AND(Tasks[[#This Row],[Task Name]]&lt;&gt;"",NOT(Tasks[[#This Row],[_IsSummary]])),1,0)</f>
        <v>0</v>
      </c>
      <c r="BP72" s="43" t="n">
        <f aca="false">IF(N(Tasks[[#This Row],[Pred1 UID]])=0,0,IFERROR(MATCH(Tasks[[#This Row],[Pred1 UID]],Tasks[UID],0),-1))</f>
        <v>0</v>
      </c>
      <c r="BQ72" s="43" t="n">
        <f aca="false">IF(N(Tasks[[#This Row],[Pred2 UID]])=0,0,IFERROR(MATCH(Tasks[[#This Row],[Pred2 UID]],Tasks[UID],0),-1))</f>
        <v>0</v>
      </c>
      <c r="BR7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7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7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7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72" s="43" t="n">
        <f aca="false">IF(NOT(Tasks[[#This Row],[_IsLeaf]]=1),0,IF(N(Tasks[[#This Row],[Actual Finish]])&gt;0,1,MIN(1,N(Tasks[[#This Row],[% Complete]]))))</f>
        <v>0</v>
      </c>
      <c r="BW7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72" s="43" t="n">
        <f aca="false">IF(Tasks[[#This Row],[_LeafWork]]=0,0,Tasks[[#This Row],[_LeafWork]]*IFERROR(INDEX(res_Rate,MATCH(Tasks[[#This Row],[Resource]],res_Name,0)),0))</f>
        <v>0</v>
      </c>
      <c r="BY7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7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7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7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72" s="43" t="n">
        <f aca="false">IF(NOT(Tasks[[#This Row],[_IsLeaf]]=1),0,MAX(_xlfn.MAXIFS(Tasks[_Row],Tasks[Pred1 UID],Tasks[[#This Row],[UID]]),_xlfn.MAXIFS(Tasks[_Row],Tasks[Pred2 UID],Tasks[[#This Row],[UID]])))</f>
        <v>0</v>
      </c>
      <c r="CD7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72" s="87" t="str">
        <f aca="false">IF(NOT(Tasks[[#This Row],[_IsLeaf]]=1),"",MIN(ProjectFinish,IF(N(Tasks[[#This Row],[Deadline]])&gt;0,Tasks[[#This Row],[Deadline]],2958465),Tasks[[#This Row],[_SuccessorFinishLimit]]))</f>
        <v/>
      </c>
      <c r="CF7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7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72" s="86" t="b">
        <f aca="false">AND(Tasks[[#This Row],[_IsLeaf]]=1,Tasks[[#This Row],[_LeafProgress]]&lt;1,N(Tasks[[#This Row],[_LeafTotalSlack]])&lt;=CriticalSlackDays)</f>
        <v>0</v>
      </c>
      <c r="CI7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7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7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7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7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7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7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7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72" s="43" t="n">
        <f aca="false">IF(AND(Tasks[[#This Row],[_IsLeaf]]=1,Tasks[[#This Row],[_LeafWork]]&gt;0),NETWORKDAYS.INTL(ProjectStart,Tasks[[#This Row],[_LeafFcstStart]],WorkWeek,Holidays),0)</f>
        <v>0</v>
      </c>
      <c r="CR7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72" s="43" t="n">
        <f aca="false">IF(AND(Tasks[[#This Row],[_IsLeaf]]=1,Tasks[[#This Row],[_LeafWork]]&gt;0),Tasks[[#This Row],[_LeafWork]]/(Tasks[[#This Row],[_FinishWorkday]]-Tasks[[#This Row],[_StartWorkday]]+1),0)</f>
        <v>0</v>
      </c>
      <c r="CT72" s="43" t="n">
        <f aca="false">Tasks[[#This Row],[_WorkPerWorkday]]*(Tasks[[#This Row],[_StartWorkday]]-1)</f>
        <v>-0</v>
      </c>
      <c r="CU72" s="43" t="n">
        <f aca="false">IF(Tasks[[#This Row],[_IsLeaf]]=1,MAX(N(Tasks[[#This Row],[Duration]]),0.1),0)</f>
        <v>0</v>
      </c>
      <c r="CV72" s="43" t="n">
        <f aca="false">Tasks[[#This Row],[_WeightDur]]*Tasks[[#This Row],[_LeafProgress]]</f>
        <v>0</v>
      </c>
      <c r="CW7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7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7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7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7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72" s="43" t="str">
        <f aca="false">IF(AND(Tasks[[#This Row],[_IsLeaf]]=1,N(Tasks[[#This Row],[Duration]])=0,Tasks[[#This Row],[_LeafProgress]]&lt;1),Tasks[[#This Row],[_LeafFcstFinish]]+Tasks[[#This Row],[_Row]]/100000,"")</f>
        <v/>
      </c>
      <c r="DC7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72" s="43" t="n">
        <f aca="false">IF(NOT(Tasks[[#This Row],[_IsLeaf]]=1),0,IF(Tasks[[#This Row],[Baseline Cost]]="",Tasks[[#This Row],[_LeafCost]],N(Tasks[[#This Row],[Baseline Cost]])))</f>
        <v>0</v>
      </c>
      <c r="DE72" s="43" t="n">
        <f aca="false">Tasks[[#This Row],[_LeafBudget]]*Tasks[[#This Row],[_PlannedPct]]</f>
        <v>0</v>
      </c>
      <c r="DF72" s="43" t="n">
        <f aca="false">Tasks[[#This Row],[_LeafBudget]]*Tasks[[#This Row],[_LeafProgress]]</f>
        <v>0</v>
      </c>
      <c r="DG72" s="43" t="n">
        <f aca="false">IF(NOT(Tasks[[#This Row],[_IsLeaf]]=1),0,IF(Tasks[[#This Row],[Actual Cost]]="",Tasks[[#This Row],[_LeafCost]]*Tasks[[#This Row],[_LeafProgress]],N(Tasks[[#This Row],[Actual Cost]])))</f>
        <v>0</v>
      </c>
      <c r="DH72" s="43" t="str">
        <f aca="false">IF(Tasks[[#This Row],[Task Name]]="","",LEFT(Tasks[[#This Row],[WBS]],FIND(".",Tasks[[#This Row],[WBS]]&amp;".")-1))</f>
        <v/>
      </c>
      <c r="DI72" s="43" t="str">
        <f aca="false">IF(AND(Tasks[[#This Row],[Task Name]]&lt;&gt;"",Tasks[[#This Row],[_Level]]=1),Tasks[[#This Row],[_Row]],"")</f>
        <v/>
      </c>
      <c r="DJ72" s="43" t="str">
        <f aca="false">IF(AND(Tasks[[#This Row],[_IsLeaf]]=1,N(Tasks[[#This Row],[Duration]])=0),Tasks[[#This Row],[Planned Finish]]+Tasks[[#This Row],[_Row]]/100000,"")</f>
        <v/>
      </c>
      <c r="DK7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7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7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72" s="43" t="str">
        <f aca="false">IF(Tasks[[#This Row],[_LeafCritical]],Tasks[[#This Row],[_LeafFcstStart]]+Tasks[[#This Row],[_Row]]/100000,"")</f>
        <v/>
      </c>
      <c r="DO72" s="43" t="n">
        <f aca="false">Tasks[[#This Row],[_LeafWork]]*Tasks[[#This Row],[_LeafProgress]]</f>
        <v>0</v>
      </c>
      <c r="DP7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72" s="43" t="n">
        <f aca="false">IF(Tasks[[#This Row],[_IsLeaf]]=1,N(Tasks[[#This Row],[Story Points]]),0)</f>
        <v>0</v>
      </c>
      <c r="DR72" s="43" t="str">
        <f aca="false">IF(AND(Tasks[[#This Row],[_IsLeaf]]=1,CurrentSprint&lt;&gt;"",Tasks[[#This Row],[Sprint]]=CurrentSprint),Tasks[[#This Row],[_Row]],"")</f>
        <v/>
      </c>
    </row>
    <row r="73" customFormat="false" ht="15" hidden="false" customHeight="false" outlineLevel="0" collapsed="false">
      <c r="A73" s="28" t="str">
        <f aca="false">IF(Tasks[[#This Row],[Task Name]]="","",COUNTA(Tasks[[#Headers],[Task Name]]:Tasks[[#This Row],[Task Name]])-1)</f>
        <v/>
      </c>
      <c r="B73" s="29" t="n">
        <v>68</v>
      </c>
      <c r="C7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73" s="29"/>
      <c r="E73" s="30"/>
      <c r="F73" s="29"/>
      <c r="G73" s="29"/>
      <c r="H73" s="29"/>
      <c r="I73" s="29"/>
      <c r="J73" s="29"/>
      <c r="K73" s="29"/>
      <c r="L73" s="29"/>
      <c r="M73" s="29"/>
      <c r="N73" s="72"/>
      <c r="O73" s="72"/>
      <c r="P73" s="25" t="str">
        <f aca="false">IF(Tasks[[#This Row],[Task Name]]="","",IF(N(Tasks[[#This Row],[Baseline Start]])&gt;0,Tasks[[#This Row],[Baseline Start]],Tasks[[#This Row],[_CalcStart]]))</f>
        <v/>
      </c>
      <c r="Q73" s="25" t="str">
        <f aca="false">IF(Tasks[[#This Row],[Task Name]]="","",IF(N(Tasks[[#This Row],[Baseline Finish]])&gt;0,Tasks[[#This Row],[Baseline Finish]],Tasks[[#This Row],[_CalcFinish]]))</f>
        <v/>
      </c>
      <c r="R73" s="72"/>
      <c r="S73" s="72"/>
      <c r="T7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7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7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7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7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7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7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7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7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7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7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73" s="74"/>
      <c r="AF7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7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73" s="30"/>
      <c r="AI73" s="74"/>
      <c r="AJ7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7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73" s="83"/>
      <c r="AM73" s="29"/>
      <c r="AN7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73" s="84"/>
      <c r="AP7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73" s="30"/>
      <c r="AR73" s="25" t="str">
        <f aca="false">IF(Tasks[[#This Row],[Task Name]]="","",Tasks[[#This Row],[Forecast Start]])</f>
        <v/>
      </c>
      <c r="AS73" s="25" t="str">
        <f aca="false">IF(Tasks[[#This Row],[Task Name]]="","",Tasks[[#This Row],[Forecast Finish]])</f>
        <v/>
      </c>
      <c r="AT7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73" s="81" t="str">
        <f aca="false">IF(Tasks[[#This Row],[Task Name]]="","",Tasks[[#This Row],[Work]])</f>
        <v/>
      </c>
      <c r="AV73" s="82" t="str">
        <f aca="false">IF(Tasks[[#This Row],[Task Name]]="","",Tasks[[#This Row],[Cost]])</f>
        <v/>
      </c>
      <c r="AW73" s="72"/>
      <c r="AX73" s="72"/>
      <c r="AY73" s="29"/>
      <c r="AZ73" s="85"/>
      <c r="BA73" s="83"/>
      <c r="BB73" s="28" t="str">
        <f aca="false">IF(OR(Tasks[[#This Row],[Task Name]]="",Tasks[[#This Row],[Baseline Duration]]=""),"",Tasks[[#This Row],[BL Source Duration]]-N(Tasks[[#This Row],[Baseline Duration]]))</f>
        <v/>
      </c>
      <c r="BC73" s="81" t="str">
        <f aca="false">IF(OR(Tasks[[#This Row],[Task Name]]="",Tasks[[#This Row],[Baseline Work]]=""),"",Tasks[[#This Row],[Work]]-N(Tasks[[#This Row],[Baseline Work]]))</f>
        <v/>
      </c>
      <c r="BD73" s="82" t="str">
        <f aca="false">IF(OR(Tasks[[#This Row],[Task Name]]="",Tasks[[#This Row],[Baseline Cost]]=""),"",Tasks[[#This Row],[Cost]]-N(Tasks[[#This Row],[Baseline Cost]]))</f>
        <v/>
      </c>
      <c r="BE7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7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7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7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73" s="43" t="str">
        <f aca="false">IF(Tasks[[#This Row],[Task Name]]="","",MAX(1,N(Tasks[[#This Row],[Level]])))</f>
        <v/>
      </c>
      <c r="BJ73" s="43" t="n">
        <f aca="false">ROW()-ROW(Tasks[[#Headers],[ID]])</f>
        <v>68</v>
      </c>
      <c r="BK7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73" s="43" t="n">
        <f aca="false">IFERROR(N(INDEX(Tasks[_Level],Tasks[[#This Row],[_Row]]+1)),0)</f>
        <v>0</v>
      </c>
      <c r="BM73" s="86" t="b">
        <f aca="false">AND(Tasks[[#This Row],[Task Name]]&lt;&gt;"",Tasks[[#This Row],[_NextLevel]]&gt;Tasks[[#This Row],[_Level]])</f>
        <v>0</v>
      </c>
      <c r="BN73" s="43" t="n">
        <f aca="false">IF(Tasks[[#This Row],[_IsSummary]],COUNTIF(Tasks[WBS],Tasks[[#This Row],[WBS]]&amp;".*"),0)</f>
        <v>0</v>
      </c>
      <c r="BO73" s="43" t="n">
        <f aca="false">IF(AND(Tasks[[#This Row],[Task Name]]&lt;&gt;"",NOT(Tasks[[#This Row],[_IsSummary]])),1,0)</f>
        <v>0</v>
      </c>
      <c r="BP73" s="43" t="n">
        <f aca="false">IF(N(Tasks[[#This Row],[Pred1 UID]])=0,0,IFERROR(MATCH(Tasks[[#This Row],[Pred1 UID]],Tasks[UID],0),-1))</f>
        <v>0</v>
      </c>
      <c r="BQ73" s="43" t="n">
        <f aca="false">IF(N(Tasks[[#This Row],[Pred2 UID]])=0,0,IFERROR(MATCH(Tasks[[#This Row],[Pred2 UID]],Tasks[UID],0),-1))</f>
        <v>0</v>
      </c>
      <c r="BR7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7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7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7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73" s="43" t="n">
        <f aca="false">IF(NOT(Tasks[[#This Row],[_IsLeaf]]=1),0,IF(N(Tasks[[#This Row],[Actual Finish]])&gt;0,1,MIN(1,N(Tasks[[#This Row],[% Complete]]))))</f>
        <v>0</v>
      </c>
      <c r="BW7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73" s="43" t="n">
        <f aca="false">IF(Tasks[[#This Row],[_LeafWork]]=0,0,Tasks[[#This Row],[_LeafWork]]*IFERROR(INDEX(res_Rate,MATCH(Tasks[[#This Row],[Resource]],res_Name,0)),0))</f>
        <v>0</v>
      </c>
      <c r="BY7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7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7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7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73" s="43" t="n">
        <f aca="false">IF(NOT(Tasks[[#This Row],[_IsLeaf]]=1),0,MAX(_xlfn.MAXIFS(Tasks[_Row],Tasks[Pred1 UID],Tasks[[#This Row],[UID]]),_xlfn.MAXIFS(Tasks[_Row],Tasks[Pred2 UID],Tasks[[#This Row],[UID]])))</f>
        <v>0</v>
      </c>
      <c r="CD7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73" s="87" t="str">
        <f aca="false">IF(NOT(Tasks[[#This Row],[_IsLeaf]]=1),"",MIN(ProjectFinish,IF(N(Tasks[[#This Row],[Deadline]])&gt;0,Tasks[[#This Row],[Deadline]],2958465),Tasks[[#This Row],[_SuccessorFinishLimit]]))</f>
        <v/>
      </c>
      <c r="CF7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7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73" s="86" t="b">
        <f aca="false">AND(Tasks[[#This Row],[_IsLeaf]]=1,Tasks[[#This Row],[_LeafProgress]]&lt;1,N(Tasks[[#This Row],[_LeafTotalSlack]])&lt;=CriticalSlackDays)</f>
        <v>0</v>
      </c>
      <c r="CI7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7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7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7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7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7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7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7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73" s="43" t="n">
        <f aca="false">IF(AND(Tasks[[#This Row],[_IsLeaf]]=1,Tasks[[#This Row],[_LeafWork]]&gt;0),NETWORKDAYS.INTL(ProjectStart,Tasks[[#This Row],[_LeafFcstStart]],WorkWeek,Holidays),0)</f>
        <v>0</v>
      </c>
      <c r="CR7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73" s="43" t="n">
        <f aca="false">IF(AND(Tasks[[#This Row],[_IsLeaf]]=1,Tasks[[#This Row],[_LeafWork]]&gt;0),Tasks[[#This Row],[_LeafWork]]/(Tasks[[#This Row],[_FinishWorkday]]-Tasks[[#This Row],[_StartWorkday]]+1),0)</f>
        <v>0</v>
      </c>
      <c r="CT73" s="43" t="n">
        <f aca="false">Tasks[[#This Row],[_WorkPerWorkday]]*(Tasks[[#This Row],[_StartWorkday]]-1)</f>
        <v>-0</v>
      </c>
      <c r="CU73" s="43" t="n">
        <f aca="false">IF(Tasks[[#This Row],[_IsLeaf]]=1,MAX(N(Tasks[[#This Row],[Duration]]),0.1),0)</f>
        <v>0</v>
      </c>
      <c r="CV73" s="43" t="n">
        <f aca="false">Tasks[[#This Row],[_WeightDur]]*Tasks[[#This Row],[_LeafProgress]]</f>
        <v>0</v>
      </c>
      <c r="CW7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7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7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7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7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73" s="43" t="str">
        <f aca="false">IF(AND(Tasks[[#This Row],[_IsLeaf]]=1,N(Tasks[[#This Row],[Duration]])=0,Tasks[[#This Row],[_LeafProgress]]&lt;1),Tasks[[#This Row],[_LeafFcstFinish]]+Tasks[[#This Row],[_Row]]/100000,"")</f>
        <v/>
      </c>
      <c r="DC7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73" s="43" t="n">
        <f aca="false">IF(NOT(Tasks[[#This Row],[_IsLeaf]]=1),0,IF(Tasks[[#This Row],[Baseline Cost]]="",Tasks[[#This Row],[_LeafCost]],N(Tasks[[#This Row],[Baseline Cost]])))</f>
        <v>0</v>
      </c>
      <c r="DE73" s="43" t="n">
        <f aca="false">Tasks[[#This Row],[_LeafBudget]]*Tasks[[#This Row],[_PlannedPct]]</f>
        <v>0</v>
      </c>
      <c r="DF73" s="43" t="n">
        <f aca="false">Tasks[[#This Row],[_LeafBudget]]*Tasks[[#This Row],[_LeafProgress]]</f>
        <v>0</v>
      </c>
      <c r="DG73" s="43" t="n">
        <f aca="false">IF(NOT(Tasks[[#This Row],[_IsLeaf]]=1),0,IF(Tasks[[#This Row],[Actual Cost]]="",Tasks[[#This Row],[_LeafCost]]*Tasks[[#This Row],[_LeafProgress]],N(Tasks[[#This Row],[Actual Cost]])))</f>
        <v>0</v>
      </c>
      <c r="DH73" s="43" t="str">
        <f aca="false">IF(Tasks[[#This Row],[Task Name]]="","",LEFT(Tasks[[#This Row],[WBS]],FIND(".",Tasks[[#This Row],[WBS]]&amp;".")-1))</f>
        <v/>
      </c>
      <c r="DI73" s="43" t="str">
        <f aca="false">IF(AND(Tasks[[#This Row],[Task Name]]&lt;&gt;"",Tasks[[#This Row],[_Level]]=1),Tasks[[#This Row],[_Row]],"")</f>
        <v/>
      </c>
      <c r="DJ73" s="43" t="str">
        <f aca="false">IF(AND(Tasks[[#This Row],[_IsLeaf]]=1,N(Tasks[[#This Row],[Duration]])=0),Tasks[[#This Row],[Planned Finish]]+Tasks[[#This Row],[_Row]]/100000,"")</f>
        <v/>
      </c>
      <c r="DK7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7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7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73" s="43" t="str">
        <f aca="false">IF(Tasks[[#This Row],[_LeafCritical]],Tasks[[#This Row],[_LeafFcstStart]]+Tasks[[#This Row],[_Row]]/100000,"")</f>
        <v/>
      </c>
      <c r="DO73" s="43" t="n">
        <f aca="false">Tasks[[#This Row],[_LeafWork]]*Tasks[[#This Row],[_LeafProgress]]</f>
        <v>0</v>
      </c>
      <c r="DP7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73" s="43" t="n">
        <f aca="false">IF(Tasks[[#This Row],[_IsLeaf]]=1,N(Tasks[[#This Row],[Story Points]]),0)</f>
        <v>0</v>
      </c>
      <c r="DR73" s="43" t="str">
        <f aca="false">IF(AND(Tasks[[#This Row],[_IsLeaf]]=1,CurrentSprint&lt;&gt;"",Tasks[[#This Row],[Sprint]]=CurrentSprint),Tasks[[#This Row],[_Row]],"")</f>
        <v/>
      </c>
    </row>
    <row r="74" customFormat="false" ht="15" hidden="false" customHeight="false" outlineLevel="0" collapsed="false">
      <c r="A74" s="28" t="str">
        <f aca="false">IF(Tasks[[#This Row],[Task Name]]="","",COUNTA(Tasks[[#Headers],[Task Name]]:Tasks[[#This Row],[Task Name]])-1)</f>
        <v/>
      </c>
      <c r="B74" s="29" t="n">
        <v>69</v>
      </c>
      <c r="C7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74" s="29"/>
      <c r="E74" s="30"/>
      <c r="F74" s="29"/>
      <c r="G74" s="29"/>
      <c r="H74" s="29"/>
      <c r="I74" s="29"/>
      <c r="J74" s="29"/>
      <c r="K74" s="29"/>
      <c r="L74" s="29"/>
      <c r="M74" s="29"/>
      <c r="N74" s="72"/>
      <c r="O74" s="72"/>
      <c r="P74" s="25" t="str">
        <f aca="false">IF(Tasks[[#This Row],[Task Name]]="","",IF(N(Tasks[[#This Row],[Baseline Start]])&gt;0,Tasks[[#This Row],[Baseline Start]],Tasks[[#This Row],[_CalcStart]]))</f>
        <v/>
      </c>
      <c r="Q74" s="25" t="str">
        <f aca="false">IF(Tasks[[#This Row],[Task Name]]="","",IF(N(Tasks[[#This Row],[Baseline Finish]])&gt;0,Tasks[[#This Row],[Baseline Finish]],Tasks[[#This Row],[_CalcFinish]]))</f>
        <v/>
      </c>
      <c r="R74" s="72"/>
      <c r="S74" s="72"/>
      <c r="T7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7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7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7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7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7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7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7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7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7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7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74" s="74"/>
      <c r="AF7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7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74" s="30"/>
      <c r="AI74" s="74"/>
      <c r="AJ7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7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74" s="83"/>
      <c r="AM74" s="29"/>
      <c r="AN7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74" s="84"/>
      <c r="AP7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74" s="30"/>
      <c r="AR74" s="25" t="str">
        <f aca="false">IF(Tasks[[#This Row],[Task Name]]="","",Tasks[[#This Row],[Forecast Start]])</f>
        <v/>
      </c>
      <c r="AS74" s="25" t="str">
        <f aca="false">IF(Tasks[[#This Row],[Task Name]]="","",Tasks[[#This Row],[Forecast Finish]])</f>
        <v/>
      </c>
      <c r="AT7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74" s="81" t="str">
        <f aca="false">IF(Tasks[[#This Row],[Task Name]]="","",Tasks[[#This Row],[Work]])</f>
        <v/>
      </c>
      <c r="AV74" s="82" t="str">
        <f aca="false">IF(Tasks[[#This Row],[Task Name]]="","",Tasks[[#This Row],[Cost]])</f>
        <v/>
      </c>
      <c r="AW74" s="72"/>
      <c r="AX74" s="72"/>
      <c r="AY74" s="29"/>
      <c r="AZ74" s="85"/>
      <c r="BA74" s="83"/>
      <c r="BB74" s="28" t="str">
        <f aca="false">IF(OR(Tasks[[#This Row],[Task Name]]="",Tasks[[#This Row],[Baseline Duration]]=""),"",Tasks[[#This Row],[BL Source Duration]]-N(Tasks[[#This Row],[Baseline Duration]]))</f>
        <v/>
      </c>
      <c r="BC74" s="81" t="str">
        <f aca="false">IF(OR(Tasks[[#This Row],[Task Name]]="",Tasks[[#This Row],[Baseline Work]]=""),"",Tasks[[#This Row],[Work]]-N(Tasks[[#This Row],[Baseline Work]]))</f>
        <v/>
      </c>
      <c r="BD74" s="82" t="str">
        <f aca="false">IF(OR(Tasks[[#This Row],[Task Name]]="",Tasks[[#This Row],[Baseline Cost]]=""),"",Tasks[[#This Row],[Cost]]-N(Tasks[[#This Row],[Baseline Cost]]))</f>
        <v/>
      </c>
      <c r="BE7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7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7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7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74" s="43" t="str">
        <f aca="false">IF(Tasks[[#This Row],[Task Name]]="","",MAX(1,N(Tasks[[#This Row],[Level]])))</f>
        <v/>
      </c>
      <c r="BJ74" s="43" t="n">
        <f aca="false">ROW()-ROW(Tasks[[#Headers],[ID]])</f>
        <v>69</v>
      </c>
      <c r="BK7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74" s="43" t="n">
        <f aca="false">IFERROR(N(INDEX(Tasks[_Level],Tasks[[#This Row],[_Row]]+1)),0)</f>
        <v>0</v>
      </c>
      <c r="BM74" s="86" t="b">
        <f aca="false">AND(Tasks[[#This Row],[Task Name]]&lt;&gt;"",Tasks[[#This Row],[_NextLevel]]&gt;Tasks[[#This Row],[_Level]])</f>
        <v>0</v>
      </c>
      <c r="BN74" s="43" t="n">
        <f aca="false">IF(Tasks[[#This Row],[_IsSummary]],COUNTIF(Tasks[WBS],Tasks[[#This Row],[WBS]]&amp;".*"),0)</f>
        <v>0</v>
      </c>
      <c r="BO74" s="43" t="n">
        <f aca="false">IF(AND(Tasks[[#This Row],[Task Name]]&lt;&gt;"",NOT(Tasks[[#This Row],[_IsSummary]])),1,0)</f>
        <v>0</v>
      </c>
      <c r="BP74" s="43" t="n">
        <f aca="false">IF(N(Tasks[[#This Row],[Pred1 UID]])=0,0,IFERROR(MATCH(Tasks[[#This Row],[Pred1 UID]],Tasks[UID],0),-1))</f>
        <v>0</v>
      </c>
      <c r="BQ74" s="43" t="n">
        <f aca="false">IF(N(Tasks[[#This Row],[Pred2 UID]])=0,0,IFERROR(MATCH(Tasks[[#This Row],[Pred2 UID]],Tasks[UID],0),-1))</f>
        <v>0</v>
      </c>
      <c r="BR7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7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7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7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74" s="43" t="n">
        <f aca="false">IF(NOT(Tasks[[#This Row],[_IsLeaf]]=1),0,IF(N(Tasks[[#This Row],[Actual Finish]])&gt;0,1,MIN(1,N(Tasks[[#This Row],[% Complete]]))))</f>
        <v>0</v>
      </c>
      <c r="BW7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74" s="43" t="n">
        <f aca="false">IF(Tasks[[#This Row],[_LeafWork]]=0,0,Tasks[[#This Row],[_LeafWork]]*IFERROR(INDEX(res_Rate,MATCH(Tasks[[#This Row],[Resource]],res_Name,0)),0))</f>
        <v>0</v>
      </c>
      <c r="BY7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7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7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7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74" s="43" t="n">
        <f aca="false">IF(NOT(Tasks[[#This Row],[_IsLeaf]]=1),0,MAX(_xlfn.MAXIFS(Tasks[_Row],Tasks[Pred1 UID],Tasks[[#This Row],[UID]]),_xlfn.MAXIFS(Tasks[_Row],Tasks[Pred2 UID],Tasks[[#This Row],[UID]])))</f>
        <v>0</v>
      </c>
      <c r="CD7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74" s="87" t="str">
        <f aca="false">IF(NOT(Tasks[[#This Row],[_IsLeaf]]=1),"",MIN(ProjectFinish,IF(N(Tasks[[#This Row],[Deadline]])&gt;0,Tasks[[#This Row],[Deadline]],2958465),Tasks[[#This Row],[_SuccessorFinishLimit]]))</f>
        <v/>
      </c>
      <c r="CF7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7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74" s="86" t="b">
        <f aca="false">AND(Tasks[[#This Row],[_IsLeaf]]=1,Tasks[[#This Row],[_LeafProgress]]&lt;1,N(Tasks[[#This Row],[_LeafTotalSlack]])&lt;=CriticalSlackDays)</f>
        <v>0</v>
      </c>
      <c r="CI7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7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7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7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7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7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7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7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74" s="43" t="n">
        <f aca="false">IF(AND(Tasks[[#This Row],[_IsLeaf]]=1,Tasks[[#This Row],[_LeafWork]]&gt;0),NETWORKDAYS.INTL(ProjectStart,Tasks[[#This Row],[_LeafFcstStart]],WorkWeek,Holidays),0)</f>
        <v>0</v>
      </c>
      <c r="CR7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74" s="43" t="n">
        <f aca="false">IF(AND(Tasks[[#This Row],[_IsLeaf]]=1,Tasks[[#This Row],[_LeafWork]]&gt;0),Tasks[[#This Row],[_LeafWork]]/(Tasks[[#This Row],[_FinishWorkday]]-Tasks[[#This Row],[_StartWorkday]]+1),0)</f>
        <v>0</v>
      </c>
      <c r="CT74" s="43" t="n">
        <f aca="false">Tasks[[#This Row],[_WorkPerWorkday]]*(Tasks[[#This Row],[_StartWorkday]]-1)</f>
        <v>-0</v>
      </c>
      <c r="CU74" s="43" t="n">
        <f aca="false">IF(Tasks[[#This Row],[_IsLeaf]]=1,MAX(N(Tasks[[#This Row],[Duration]]),0.1),0)</f>
        <v>0</v>
      </c>
      <c r="CV74" s="43" t="n">
        <f aca="false">Tasks[[#This Row],[_WeightDur]]*Tasks[[#This Row],[_LeafProgress]]</f>
        <v>0</v>
      </c>
      <c r="CW7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7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7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7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7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74" s="43" t="str">
        <f aca="false">IF(AND(Tasks[[#This Row],[_IsLeaf]]=1,N(Tasks[[#This Row],[Duration]])=0,Tasks[[#This Row],[_LeafProgress]]&lt;1),Tasks[[#This Row],[_LeafFcstFinish]]+Tasks[[#This Row],[_Row]]/100000,"")</f>
        <v/>
      </c>
      <c r="DC7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74" s="43" t="n">
        <f aca="false">IF(NOT(Tasks[[#This Row],[_IsLeaf]]=1),0,IF(Tasks[[#This Row],[Baseline Cost]]="",Tasks[[#This Row],[_LeafCost]],N(Tasks[[#This Row],[Baseline Cost]])))</f>
        <v>0</v>
      </c>
      <c r="DE74" s="43" t="n">
        <f aca="false">Tasks[[#This Row],[_LeafBudget]]*Tasks[[#This Row],[_PlannedPct]]</f>
        <v>0</v>
      </c>
      <c r="DF74" s="43" t="n">
        <f aca="false">Tasks[[#This Row],[_LeafBudget]]*Tasks[[#This Row],[_LeafProgress]]</f>
        <v>0</v>
      </c>
      <c r="DG74" s="43" t="n">
        <f aca="false">IF(NOT(Tasks[[#This Row],[_IsLeaf]]=1),0,IF(Tasks[[#This Row],[Actual Cost]]="",Tasks[[#This Row],[_LeafCost]]*Tasks[[#This Row],[_LeafProgress]],N(Tasks[[#This Row],[Actual Cost]])))</f>
        <v>0</v>
      </c>
      <c r="DH74" s="43" t="str">
        <f aca="false">IF(Tasks[[#This Row],[Task Name]]="","",LEFT(Tasks[[#This Row],[WBS]],FIND(".",Tasks[[#This Row],[WBS]]&amp;".")-1))</f>
        <v/>
      </c>
      <c r="DI74" s="43" t="str">
        <f aca="false">IF(AND(Tasks[[#This Row],[Task Name]]&lt;&gt;"",Tasks[[#This Row],[_Level]]=1),Tasks[[#This Row],[_Row]],"")</f>
        <v/>
      </c>
      <c r="DJ74" s="43" t="str">
        <f aca="false">IF(AND(Tasks[[#This Row],[_IsLeaf]]=1,N(Tasks[[#This Row],[Duration]])=0),Tasks[[#This Row],[Planned Finish]]+Tasks[[#This Row],[_Row]]/100000,"")</f>
        <v/>
      </c>
      <c r="DK7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7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7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74" s="43" t="str">
        <f aca="false">IF(Tasks[[#This Row],[_LeafCritical]],Tasks[[#This Row],[_LeafFcstStart]]+Tasks[[#This Row],[_Row]]/100000,"")</f>
        <v/>
      </c>
      <c r="DO74" s="43" t="n">
        <f aca="false">Tasks[[#This Row],[_LeafWork]]*Tasks[[#This Row],[_LeafProgress]]</f>
        <v>0</v>
      </c>
      <c r="DP7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74" s="43" t="n">
        <f aca="false">IF(Tasks[[#This Row],[_IsLeaf]]=1,N(Tasks[[#This Row],[Story Points]]),0)</f>
        <v>0</v>
      </c>
      <c r="DR74" s="43" t="str">
        <f aca="false">IF(AND(Tasks[[#This Row],[_IsLeaf]]=1,CurrentSprint&lt;&gt;"",Tasks[[#This Row],[Sprint]]=CurrentSprint),Tasks[[#This Row],[_Row]],"")</f>
        <v/>
      </c>
    </row>
    <row r="75" customFormat="false" ht="15" hidden="false" customHeight="false" outlineLevel="0" collapsed="false">
      <c r="A75" s="28" t="str">
        <f aca="false">IF(Tasks[[#This Row],[Task Name]]="","",COUNTA(Tasks[[#Headers],[Task Name]]:Tasks[[#This Row],[Task Name]])-1)</f>
        <v/>
      </c>
      <c r="B75" s="29" t="n">
        <v>70</v>
      </c>
      <c r="C7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75" s="29"/>
      <c r="E75" s="30"/>
      <c r="F75" s="29"/>
      <c r="G75" s="29"/>
      <c r="H75" s="29"/>
      <c r="I75" s="29"/>
      <c r="J75" s="29"/>
      <c r="K75" s="29"/>
      <c r="L75" s="29"/>
      <c r="M75" s="29"/>
      <c r="N75" s="72"/>
      <c r="O75" s="72"/>
      <c r="P75" s="25" t="str">
        <f aca="false">IF(Tasks[[#This Row],[Task Name]]="","",IF(N(Tasks[[#This Row],[Baseline Start]])&gt;0,Tasks[[#This Row],[Baseline Start]],Tasks[[#This Row],[_CalcStart]]))</f>
        <v/>
      </c>
      <c r="Q75" s="25" t="str">
        <f aca="false">IF(Tasks[[#This Row],[Task Name]]="","",IF(N(Tasks[[#This Row],[Baseline Finish]])&gt;0,Tasks[[#This Row],[Baseline Finish]],Tasks[[#This Row],[_CalcFinish]]))</f>
        <v/>
      </c>
      <c r="R75" s="72"/>
      <c r="S75" s="72"/>
      <c r="T7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7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7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7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7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7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7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7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7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7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7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75" s="74"/>
      <c r="AF7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7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75" s="30"/>
      <c r="AI75" s="74"/>
      <c r="AJ7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7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75" s="83"/>
      <c r="AM75" s="29"/>
      <c r="AN7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75" s="84"/>
      <c r="AP7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75" s="30"/>
      <c r="AR75" s="25" t="str">
        <f aca="false">IF(Tasks[[#This Row],[Task Name]]="","",Tasks[[#This Row],[Forecast Start]])</f>
        <v/>
      </c>
      <c r="AS75" s="25" t="str">
        <f aca="false">IF(Tasks[[#This Row],[Task Name]]="","",Tasks[[#This Row],[Forecast Finish]])</f>
        <v/>
      </c>
      <c r="AT7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75" s="81" t="str">
        <f aca="false">IF(Tasks[[#This Row],[Task Name]]="","",Tasks[[#This Row],[Work]])</f>
        <v/>
      </c>
      <c r="AV75" s="82" t="str">
        <f aca="false">IF(Tasks[[#This Row],[Task Name]]="","",Tasks[[#This Row],[Cost]])</f>
        <v/>
      </c>
      <c r="AW75" s="72"/>
      <c r="AX75" s="72"/>
      <c r="AY75" s="29"/>
      <c r="AZ75" s="85"/>
      <c r="BA75" s="83"/>
      <c r="BB75" s="28" t="str">
        <f aca="false">IF(OR(Tasks[[#This Row],[Task Name]]="",Tasks[[#This Row],[Baseline Duration]]=""),"",Tasks[[#This Row],[BL Source Duration]]-N(Tasks[[#This Row],[Baseline Duration]]))</f>
        <v/>
      </c>
      <c r="BC75" s="81" t="str">
        <f aca="false">IF(OR(Tasks[[#This Row],[Task Name]]="",Tasks[[#This Row],[Baseline Work]]=""),"",Tasks[[#This Row],[Work]]-N(Tasks[[#This Row],[Baseline Work]]))</f>
        <v/>
      </c>
      <c r="BD75" s="82" t="str">
        <f aca="false">IF(OR(Tasks[[#This Row],[Task Name]]="",Tasks[[#This Row],[Baseline Cost]]=""),"",Tasks[[#This Row],[Cost]]-N(Tasks[[#This Row],[Baseline Cost]]))</f>
        <v/>
      </c>
      <c r="BE7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7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7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7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75" s="43" t="str">
        <f aca="false">IF(Tasks[[#This Row],[Task Name]]="","",MAX(1,N(Tasks[[#This Row],[Level]])))</f>
        <v/>
      </c>
      <c r="BJ75" s="43" t="n">
        <f aca="false">ROW()-ROW(Tasks[[#Headers],[ID]])</f>
        <v>70</v>
      </c>
      <c r="BK7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75" s="43" t="n">
        <f aca="false">IFERROR(N(INDEX(Tasks[_Level],Tasks[[#This Row],[_Row]]+1)),0)</f>
        <v>0</v>
      </c>
      <c r="BM75" s="86" t="b">
        <f aca="false">AND(Tasks[[#This Row],[Task Name]]&lt;&gt;"",Tasks[[#This Row],[_NextLevel]]&gt;Tasks[[#This Row],[_Level]])</f>
        <v>0</v>
      </c>
      <c r="BN75" s="43" t="n">
        <f aca="false">IF(Tasks[[#This Row],[_IsSummary]],COUNTIF(Tasks[WBS],Tasks[[#This Row],[WBS]]&amp;".*"),0)</f>
        <v>0</v>
      </c>
      <c r="BO75" s="43" t="n">
        <f aca="false">IF(AND(Tasks[[#This Row],[Task Name]]&lt;&gt;"",NOT(Tasks[[#This Row],[_IsSummary]])),1,0)</f>
        <v>0</v>
      </c>
      <c r="BP75" s="43" t="n">
        <f aca="false">IF(N(Tasks[[#This Row],[Pred1 UID]])=0,0,IFERROR(MATCH(Tasks[[#This Row],[Pred1 UID]],Tasks[UID],0),-1))</f>
        <v>0</v>
      </c>
      <c r="BQ75" s="43" t="n">
        <f aca="false">IF(N(Tasks[[#This Row],[Pred2 UID]])=0,0,IFERROR(MATCH(Tasks[[#This Row],[Pred2 UID]],Tasks[UID],0),-1))</f>
        <v>0</v>
      </c>
      <c r="BR7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7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7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7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75" s="43" t="n">
        <f aca="false">IF(NOT(Tasks[[#This Row],[_IsLeaf]]=1),0,IF(N(Tasks[[#This Row],[Actual Finish]])&gt;0,1,MIN(1,N(Tasks[[#This Row],[% Complete]]))))</f>
        <v>0</v>
      </c>
      <c r="BW7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75" s="43" t="n">
        <f aca="false">IF(Tasks[[#This Row],[_LeafWork]]=0,0,Tasks[[#This Row],[_LeafWork]]*IFERROR(INDEX(res_Rate,MATCH(Tasks[[#This Row],[Resource]],res_Name,0)),0))</f>
        <v>0</v>
      </c>
      <c r="BY7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7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7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7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75" s="43" t="n">
        <f aca="false">IF(NOT(Tasks[[#This Row],[_IsLeaf]]=1),0,MAX(_xlfn.MAXIFS(Tasks[_Row],Tasks[Pred1 UID],Tasks[[#This Row],[UID]]),_xlfn.MAXIFS(Tasks[_Row],Tasks[Pred2 UID],Tasks[[#This Row],[UID]])))</f>
        <v>0</v>
      </c>
      <c r="CD7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75" s="87" t="str">
        <f aca="false">IF(NOT(Tasks[[#This Row],[_IsLeaf]]=1),"",MIN(ProjectFinish,IF(N(Tasks[[#This Row],[Deadline]])&gt;0,Tasks[[#This Row],[Deadline]],2958465),Tasks[[#This Row],[_SuccessorFinishLimit]]))</f>
        <v/>
      </c>
      <c r="CF7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7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75" s="86" t="b">
        <f aca="false">AND(Tasks[[#This Row],[_IsLeaf]]=1,Tasks[[#This Row],[_LeafProgress]]&lt;1,N(Tasks[[#This Row],[_LeafTotalSlack]])&lt;=CriticalSlackDays)</f>
        <v>0</v>
      </c>
      <c r="CI7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7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7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7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7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7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7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7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75" s="43" t="n">
        <f aca="false">IF(AND(Tasks[[#This Row],[_IsLeaf]]=1,Tasks[[#This Row],[_LeafWork]]&gt;0),NETWORKDAYS.INTL(ProjectStart,Tasks[[#This Row],[_LeafFcstStart]],WorkWeek,Holidays),0)</f>
        <v>0</v>
      </c>
      <c r="CR7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75" s="43" t="n">
        <f aca="false">IF(AND(Tasks[[#This Row],[_IsLeaf]]=1,Tasks[[#This Row],[_LeafWork]]&gt;0),Tasks[[#This Row],[_LeafWork]]/(Tasks[[#This Row],[_FinishWorkday]]-Tasks[[#This Row],[_StartWorkday]]+1),0)</f>
        <v>0</v>
      </c>
      <c r="CT75" s="43" t="n">
        <f aca="false">Tasks[[#This Row],[_WorkPerWorkday]]*(Tasks[[#This Row],[_StartWorkday]]-1)</f>
        <v>-0</v>
      </c>
      <c r="CU75" s="43" t="n">
        <f aca="false">IF(Tasks[[#This Row],[_IsLeaf]]=1,MAX(N(Tasks[[#This Row],[Duration]]),0.1),0)</f>
        <v>0</v>
      </c>
      <c r="CV75" s="43" t="n">
        <f aca="false">Tasks[[#This Row],[_WeightDur]]*Tasks[[#This Row],[_LeafProgress]]</f>
        <v>0</v>
      </c>
      <c r="CW7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7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7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7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7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75" s="43" t="str">
        <f aca="false">IF(AND(Tasks[[#This Row],[_IsLeaf]]=1,N(Tasks[[#This Row],[Duration]])=0,Tasks[[#This Row],[_LeafProgress]]&lt;1),Tasks[[#This Row],[_LeafFcstFinish]]+Tasks[[#This Row],[_Row]]/100000,"")</f>
        <v/>
      </c>
      <c r="DC7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75" s="43" t="n">
        <f aca="false">IF(NOT(Tasks[[#This Row],[_IsLeaf]]=1),0,IF(Tasks[[#This Row],[Baseline Cost]]="",Tasks[[#This Row],[_LeafCost]],N(Tasks[[#This Row],[Baseline Cost]])))</f>
        <v>0</v>
      </c>
      <c r="DE75" s="43" t="n">
        <f aca="false">Tasks[[#This Row],[_LeafBudget]]*Tasks[[#This Row],[_PlannedPct]]</f>
        <v>0</v>
      </c>
      <c r="DF75" s="43" t="n">
        <f aca="false">Tasks[[#This Row],[_LeafBudget]]*Tasks[[#This Row],[_LeafProgress]]</f>
        <v>0</v>
      </c>
      <c r="DG75" s="43" t="n">
        <f aca="false">IF(NOT(Tasks[[#This Row],[_IsLeaf]]=1),0,IF(Tasks[[#This Row],[Actual Cost]]="",Tasks[[#This Row],[_LeafCost]]*Tasks[[#This Row],[_LeafProgress]],N(Tasks[[#This Row],[Actual Cost]])))</f>
        <v>0</v>
      </c>
      <c r="DH75" s="43" t="str">
        <f aca="false">IF(Tasks[[#This Row],[Task Name]]="","",LEFT(Tasks[[#This Row],[WBS]],FIND(".",Tasks[[#This Row],[WBS]]&amp;".")-1))</f>
        <v/>
      </c>
      <c r="DI75" s="43" t="str">
        <f aca="false">IF(AND(Tasks[[#This Row],[Task Name]]&lt;&gt;"",Tasks[[#This Row],[_Level]]=1),Tasks[[#This Row],[_Row]],"")</f>
        <v/>
      </c>
      <c r="DJ75" s="43" t="str">
        <f aca="false">IF(AND(Tasks[[#This Row],[_IsLeaf]]=1,N(Tasks[[#This Row],[Duration]])=0),Tasks[[#This Row],[Planned Finish]]+Tasks[[#This Row],[_Row]]/100000,"")</f>
        <v/>
      </c>
      <c r="DK7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7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7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75" s="43" t="str">
        <f aca="false">IF(Tasks[[#This Row],[_LeafCritical]],Tasks[[#This Row],[_LeafFcstStart]]+Tasks[[#This Row],[_Row]]/100000,"")</f>
        <v/>
      </c>
      <c r="DO75" s="43" t="n">
        <f aca="false">Tasks[[#This Row],[_LeafWork]]*Tasks[[#This Row],[_LeafProgress]]</f>
        <v>0</v>
      </c>
      <c r="DP7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75" s="43" t="n">
        <f aca="false">IF(Tasks[[#This Row],[_IsLeaf]]=1,N(Tasks[[#This Row],[Story Points]]),0)</f>
        <v>0</v>
      </c>
      <c r="DR75" s="43" t="str">
        <f aca="false">IF(AND(Tasks[[#This Row],[_IsLeaf]]=1,CurrentSprint&lt;&gt;"",Tasks[[#This Row],[Sprint]]=CurrentSprint),Tasks[[#This Row],[_Row]],"")</f>
        <v/>
      </c>
    </row>
    <row r="76" customFormat="false" ht="15" hidden="false" customHeight="false" outlineLevel="0" collapsed="false">
      <c r="A76" s="28" t="str">
        <f aca="false">IF(Tasks[[#This Row],[Task Name]]="","",COUNTA(Tasks[[#Headers],[Task Name]]:Tasks[[#This Row],[Task Name]])-1)</f>
        <v/>
      </c>
      <c r="B76" s="29" t="n">
        <v>71</v>
      </c>
      <c r="C7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76" s="29"/>
      <c r="E76" s="30"/>
      <c r="F76" s="29"/>
      <c r="G76" s="29"/>
      <c r="H76" s="29"/>
      <c r="I76" s="29"/>
      <c r="J76" s="29"/>
      <c r="K76" s="29"/>
      <c r="L76" s="29"/>
      <c r="M76" s="29"/>
      <c r="N76" s="72"/>
      <c r="O76" s="72"/>
      <c r="P76" s="25" t="str">
        <f aca="false">IF(Tasks[[#This Row],[Task Name]]="","",IF(N(Tasks[[#This Row],[Baseline Start]])&gt;0,Tasks[[#This Row],[Baseline Start]],Tasks[[#This Row],[_CalcStart]]))</f>
        <v/>
      </c>
      <c r="Q76" s="25" t="str">
        <f aca="false">IF(Tasks[[#This Row],[Task Name]]="","",IF(N(Tasks[[#This Row],[Baseline Finish]])&gt;0,Tasks[[#This Row],[Baseline Finish]],Tasks[[#This Row],[_CalcFinish]]))</f>
        <v/>
      </c>
      <c r="R76" s="72"/>
      <c r="S76" s="72"/>
      <c r="T7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7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7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7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7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7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7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7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7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7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7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76" s="74"/>
      <c r="AF7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7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76" s="30"/>
      <c r="AI76" s="74"/>
      <c r="AJ7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7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76" s="83"/>
      <c r="AM76" s="29"/>
      <c r="AN7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76" s="84"/>
      <c r="AP7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76" s="30"/>
      <c r="AR76" s="25" t="str">
        <f aca="false">IF(Tasks[[#This Row],[Task Name]]="","",Tasks[[#This Row],[Forecast Start]])</f>
        <v/>
      </c>
      <c r="AS76" s="25" t="str">
        <f aca="false">IF(Tasks[[#This Row],[Task Name]]="","",Tasks[[#This Row],[Forecast Finish]])</f>
        <v/>
      </c>
      <c r="AT7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76" s="81" t="str">
        <f aca="false">IF(Tasks[[#This Row],[Task Name]]="","",Tasks[[#This Row],[Work]])</f>
        <v/>
      </c>
      <c r="AV76" s="82" t="str">
        <f aca="false">IF(Tasks[[#This Row],[Task Name]]="","",Tasks[[#This Row],[Cost]])</f>
        <v/>
      </c>
      <c r="AW76" s="72"/>
      <c r="AX76" s="72"/>
      <c r="AY76" s="29"/>
      <c r="AZ76" s="85"/>
      <c r="BA76" s="83"/>
      <c r="BB76" s="28" t="str">
        <f aca="false">IF(OR(Tasks[[#This Row],[Task Name]]="",Tasks[[#This Row],[Baseline Duration]]=""),"",Tasks[[#This Row],[BL Source Duration]]-N(Tasks[[#This Row],[Baseline Duration]]))</f>
        <v/>
      </c>
      <c r="BC76" s="81" t="str">
        <f aca="false">IF(OR(Tasks[[#This Row],[Task Name]]="",Tasks[[#This Row],[Baseline Work]]=""),"",Tasks[[#This Row],[Work]]-N(Tasks[[#This Row],[Baseline Work]]))</f>
        <v/>
      </c>
      <c r="BD76" s="82" t="str">
        <f aca="false">IF(OR(Tasks[[#This Row],[Task Name]]="",Tasks[[#This Row],[Baseline Cost]]=""),"",Tasks[[#This Row],[Cost]]-N(Tasks[[#This Row],[Baseline Cost]]))</f>
        <v/>
      </c>
      <c r="BE7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7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7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7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76" s="43" t="str">
        <f aca="false">IF(Tasks[[#This Row],[Task Name]]="","",MAX(1,N(Tasks[[#This Row],[Level]])))</f>
        <v/>
      </c>
      <c r="BJ76" s="43" t="n">
        <f aca="false">ROW()-ROW(Tasks[[#Headers],[ID]])</f>
        <v>71</v>
      </c>
      <c r="BK7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76" s="43" t="n">
        <f aca="false">IFERROR(N(INDEX(Tasks[_Level],Tasks[[#This Row],[_Row]]+1)),0)</f>
        <v>0</v>
      </c>
      <c r="BM76" s="86" t="b">
        <f aca="false">AND(Tasks[[#This Row],[Task Name]]&lt;&gt;"",Tasks[[#This Row],[_NextLevel]]&gt;Tasks[[#This Row],[_Level]])</f>
        <v>0</v>
      </c>
      <c r="BN76" s="43" t="n">
        <f aca="false">IF(Tasks[[#This Row],[_IsSummary]],COUNTIF(Tasks[WBS],Tasks[[#This Row],[WBS]]&amp;".*"),0)</f>
        <v>0</v>
      </c>
      <c r="BO76" s="43" t="n">
        <f aca="false">IF(AND(Tasks[[#This Row],[Task Name]]&lt;&gt;"",NOT(Tasks[[#This Row],[_IsSummary]])),1,0)</f>
        <v>0</v>
      </c>
      <c r="BP76" s="43" t="n">
        <f aca="false">IF(N(Tasks[[#This Row],[Pred1 UID]])=0,0,IFERROR(MATCH(Tasks[[#This Row],[Pred1 UID]],Tasks[UID],0),-1))</f>
        <v>0</v>
      </c>
      <c r="BQ76" s="43" t="n">
        <f aca="false">IF(N(Tasks[[#This Row],[Pred2 UID]])=0,0,IFERROR(MATCH(Tasks[[#This Row],[Pred2 UID]],Tasks[UID],0),-1))</f>
        <v>0</v>
      </c>
      <c r="BR7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7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7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7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76" s="43" t="n">
        <f aca="false">IF(NOT(Tasks[[#This Row],[_IsLeaf]]=1),0,IF(N(Tasks[[#This Row],[Actual Finish]])&gt;0,1,MIN(1,N(Tasks[[#This Row],[% Complete]]))))</f>
        <v>0</v>
      </c>
      <c r="BW7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76" s="43" t="n">
        <f aca="false">IF(Tasks[[#This Row],[_LeafWork]]=0,0,Tasks[[#This Row],[_LeafWork]]*IFERROR(INDEX(res_Rate,MATCH(Tasks[[#This Row],[Resource]],res_Name,0)),0))</f>
        <v>0</v>
      </c>
      <c r="BY7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7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7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7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76" s="43" t="n">
        <f aca="false">IF(NOT(Tasks[[#This Row],[_IsLeaf]]=1),0,MAX(_xlfn.MAXIFS(Tasks[_Row],Tasks[Pred1 UID],Tasks[[#This Row],[UID]]),_xlfn.MAXIFS(Tasks[_Row],Tasks[Pred2 UID],Tasks[[#This Row],[UID]])))</f>
        <v>0</v>
      </c>
      <c r="CD7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76" s="87" t="str">
        <f aca="false">IF(NOT(Tasks[[#This Row],[_IsLeaf]]=1),"",MIN(ProjectFinish,IF(N(Tasks[[#This Row],[Deadline]])&gt;0,Tasks[[#This Row],[Deadline]],2958465),Tasks[[#This Row],[_SuccessorFinishLimit]]))</f>
        <v/>
      </c>
      <c r="CF7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7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76" s="86" t="b">
        <f aca="false">AND(Tasks[[#This Row],[_IsLeaf]]=1,Tasks[[#This Row],[_LeafProgress]]&lt;1,N(Tasks[[#This Row],[_LeafTotalSlack]])&lt;=CriticalSlackDays)</f>
        <v>0</v>
      </c>
      <c r="CI7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7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7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7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7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7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7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7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76" s="43" t="n">
        <f aca="false">IF(AND(Tasks[[#This Row],[_IsLeaf]]=1,Tasks[[#This Row],[_LeafWork]]&gt;0),NETWORKDAYS.INTL(ProjectStart,Tasks[[#This Row],[_LeafFcstStart]],WorkWeek,Holidays),0)</f>
        <v>0</v>
      </c>
      <c r="CR7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76" s="43" t="n">
        <f aca="false">IF(AND(Tasks[[#This Row],[_IsLeaf]]=1,Tasks[[#This Row],[_LeafWork]]&gt;0),Tasks[[#This Row],[_LeafWork]]/(Tasks[[#This Row],[_FinishWorkday]]-Tasks[[#This Row],[_StartWorkday]]+1),0)</f>
        <v>0</v>
      </c>
      <c r="CT76" s="43" t="n">
        <f aca="false">Tasks[[#This Row],[_WorkPerWorkday]]*(Tasks[[#This Row],[_StartWorkday]]-1)</f>
        <v>-0</v>
      </c>
      <c r="CU76" s="43" t="n">
        <f aca="false">IF(Tasks[[#This Row],[_IsLeaf]]=1,MAX(N(Tasks[[#This Row],[Duration]]),0.1),0)</f>
        <v>0</v>
      </c>
      <c r="CV76" s="43" t="n">
        <f aca="false">Tasks[[#This Row],[_WeightDur]]*Tasks[[#This Row],[_LeafProgress]]</f>
        <v>0</v>
      </c>
      <c r="CW7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7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7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7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7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76" s="43" t="str">
        <f aca="false">IF(AND(Tasks[[#This Row],[_IsLeaf]]=1,N(Tasks[[#This Row],[Duration]])=0,Tasks[[#This Row],[_LeafProgress]]&lt;1),Tasks[[#This Row],[_LeafFcstFinish]]+Tasks[[#This Row],[_Row]]/100000,"")</f>
        <v/>
      </c>
      <c r="DC7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76" s="43" t="n">
        <f aca="false">IF(NOT(Tasks[[#This Row],[_IsLeaf]]=1),0,IF(Tasks[[#This Row],[Baseline Cost]]="",Tasks[[#This Row],[_LeafCost]],N(Tasks[[#This Row],[Baseline Cost]])))</f>
        <v>0</v>
      </c>
      <c r="DE76" s="43" t="n">
        <f aca="false">Tasks[[#This Row],[_LeafBudget]]*Tasks[[#This Row],[_PlannedPct]]</f>
        <v>0</v>
      </c>
      <c r="DF76" s="43" t="n">
        <f aca="false">Tasks[[#This Row],[_LeafBudget]]*Tasks[[#This Row],[_LeafProgress]]</f>
        <v>0</v>
      </c>
      <c r="DG76" s="43" t="n">
        <f aca="false">IF(NOT(Tasks[[#This Row],[_IsLeaf]]=1),0,IF(Tasks[[#This Row],[Actual Cost]]="",Tasks[[#This Row],[_LeafCost]]*Tasks[[#This Row],[_LeafProgress]],N(Tasks[[#This Row],[Actual Cost]])))</f>
        <v>0</v>
      </c>
      <c r="DH76" s="43" t="str">
        <f aca="false">IF(Tasks[[#This Row],[Task Name]]="","",LEFT(Tasks[[#This Row],[WBS]],FIND(".",Tasks[[#This Row],[WBS]]&amp;".")-1))</f>
        <v/>
      </c>
      <c r="DI76" s="43" t="str">
        <f aca="false">IF(AND(Tasks[[#This Row],[Task Name]]&lt;&gt;"",Tasks[[#This Row],[_Level]]=1),Tasks[[#This Row],[_Row]],"")</f>
        <v/>
      </c>
      <c r="DJ76" s="43" t="str">
        <f aca="false">IF(AND(Tasks[[#This Row],[_IsLeaf]]=1,N(Tasks[[#This Row],[Duration]])=0),Tasks[[#This Row],[Planned Finish]]+Tasks[[#This Row],[_Row]]/100000,"")</f>
        <v/>
      </c>
      <c r="DK7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7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7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76" s="43" t="str">
        <f aca="false">IF(Tasks[[#This Row],[_LeafCritical]],Tasks[[#This Row],[_LeafFcstStart]]+Tasks[[#This Row],[_Row]]/100000,"")</f>
        <v/>
      </c>
      <c r="DO76" s="43" t="n">
        <f aca="false">Tasks[[#This Row],[_LeafWork]]*Tasks[[#This Row],[_LeafProgress]]</f>
        <v>0</v>
      </c>
      <c r="DP7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76" s="43" t="n">
        <f aca="false">IF(Tasks[[#This Row],[_IsLeaf]]=1,N(Tasks[[#This Row],[Story Points]]),0)</f>
        <v>0</v>
      </c>
      <c r="DR76" s="43" t="str">
        <f aca="false">IF(AND(Tasks[[#This Row],[_IsLeaf]]=1,CurrentSprint&lt;&gt;"",Tasks[[#This Row],[Sprint]]=CurrentSprint),Tasks[[#This Row],[_Row]],"")</f>
        <v/>
      </c>
    </row>
    <row r="77" customFormat="false" ht="15" hidden="false" customHeight="false" outlineLevel="0" collapsed="false">
      <c r="A77" s="28" t="str">
        <f aca="false">IF(Tasks[[#This Row],[Task Name]]="","",COUNTA(Tasks[[#Headers],[Task Name]]:Tasks[[#This Row],[Task Name]])-1)</f>
        <v/>
      </c>
      <c r="B77" s="29" t="n">
        <v>72</v>
      </c>
      <c r="C7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77" s="29"/>
      <c r="E77" s="30"/>
      <c r="F77" s="29"/>
      <c r="G77" s="29"/>
      <c r="H77" s="29"/>
      <c r="I77" s="29"/>
      <c r="J77" s="29"/>
      <c r="K77" s="29"/>
      <c r="L77" s="29"/>
      <c r="M77" s="29"/>
      <c r="N77" s="72"/>
      <c r="O77" s="72"/>
      <c r="P77" s="25" t="str">
        <f aca="false">IF(Tasks[[#This Row],[Task Name]]="","",IF(N(Tasks[[#This Row],[Baseline Start]])&gt;0,Tasks[[#This Row],[Baseline Start]],Tasks[[#This Row],[_CalcStart]]))</f>
        <v/>
      </c>
      <c r="Q77" s="25" t="str">
        <f aca="false">IF(Tasks[[#This Row],[Task Name]]="","",IF(N(Tasks[[#This Row],[Baseline Finish]])&gt;0,Tasks[[#This Row],[Baseline Finish]],Tasks[[#This Row],[_CalcFinish]]))</f>
        <v/>
      </c>
      <c r="R77" s="72"/>
      <c r="S77" s="72"/>
      <c r="T7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7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7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7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7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7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7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7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7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7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7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77" s="74"/>
      <c r="AF7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7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77" s="30"/>
      <c r="AI77" s="74"/>
      <c r="AJ7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7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77" s="83"/>
      <c r="AM77" s="29"/>
      <c r="AN7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77" s="84"/>
      <c r="AP7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77" s="30"/>
      <c r="AR77" s="25" t="str">
        <f aca="false">IF(Tasks[[#This Row],[Task Name]]="","",Tasks[[#This Row],[Forecast Start]])</f>
        <v/>
      </c>
      <c r="AS77" s="25" t="str">
        <f aca="false">IF(Tasks[[#This Row],[Task Name]]="","",Tasks[[#This Row],[Forecast Finish]])</f>
        <v/>
      </c>
      <c r="AT7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77" s="81" t="str">
        <f aca="false">IF(Tasks[[#This Row],[Task Name]]="","",Tasks[[#This Row],[Work]])</f>
        <v/>
      </c>
      <c r="AV77" s="82" t="str">
        <f aca="false">IF(Tasks[[#This Row],[Task Name]]="","",Tasks[[#This Row],[Cost]])</f>
        <v/>
      </c>
      <c r="AW77" s="72"/>
      <c r="AX77" s="72"/>
      <c r="AY77" s="29"/>
      <c r="AZ77" s="85"/>
      <c r="BA77" s="83"/>
      <c r="BB77" s="28" t="str">
        <f aca="false">IF(OR(Tasks[[#This Row],[Task Name]]="",Tasks[[#This Row],[Baseline Duration]]=""),"",Tasks[[#This Row],[BL Source Duration]]-N(Tasks[[#This Row],[Baseline Duration]]))</f>
        <v/>
      </c>
      <c r="BC77" s="81" t="str">
        <f aca="false">IF(OR(Tasks[[#This Row],[Task Name]]="",Tasks[[#This Row],[Baseline Work]]=""),"",Tasks[[#This Row],[Work]]-N(Tasks[[#This Row],[Baseline Work]]))</f>
        <v/>
      </c>
      <c r="BD77" s="82" t="str">
        <f aca="false">IF(OR(Tasks[[#This Row],[Task Name]]="",Tasks[[#This Row],[Baseline Cost]]=""),"",Tasks[[#This Row],[Cost]]-N(Tasks[[#This Row],[Baseline Cost]]))</f>
        <v/>
      </c>
      <c r="BE7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7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7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7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77" s="43" t="str">
        <f aca="false">IF(Tasks[[#This Row],[Task Name]]="","",MAX(1,N(Tasks[[#This Row],[Level]])))</f>
        <v/>
      </c>
      <c r="BJ77" s="43" t="n">
        <f aca="false">ROW()-ROW(Tasks[[#Headers],[ID]])</f>
        <v>72</v>
      </c>
      <c r="BK7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77" s="43" t="n">
        <f aca="false">IFERROR(N(INDEX(Tasks[_Level],Tasks[[#This Row],[_Row]]+1)),0)</f>
        <v>0</v>
      </c>
      <c r="BM77" s="86" t="b">
        <f aca="false">AND(Tasks[[#This Row],[Task Name]]&lt;&gt;"",Tasks[[#This Row],[_NextLevel]]&gt;Tasks[[#This Row],[_Level]])</f>
        <v>0</v>
      </c>
      <c r="BN77" s="43" t="n">
        <f aca="false">IF(Tasks[[#This Row],[_IsSummary]],COUNTIF(Tasks[WBS],Tasks[[#This Row],[WBS]]&amp;".*"),0)</f>
        <v>0</v>
      </c>
      <c r="BO77" s="43" t="n">
        <f aca="false">IF(AND(Tasks[[#This Row],[Task Name]]&lt;&gt;"",NOT(Tasks[[#This Row],[_IsSummary]])),1,0)</f>
        <v>0</v>
      </c>
      <c r="BP77" s="43" t="n">
        <f aca="false">IF(N(Tasks[[#This Row],[Pred1 UID]])=0,0,IFERROR(MATCH(Tasks[[#This Row],[Pred1 UID]],Tasks[UID],0),-1))</f>
        <v>0</v>
      </c>
      <c r="BQ77" s="43" t="n">
        <f aca="false">IF(N(Tasks[[#This Row],[Pred2 UID]])=0,0,IFERROR(MATCH(Tasks[[#This Row],[Pred2 UID]],Tasks[UID],0),-1))</f>
        <v>0</v>
      </c>
      <c r="BR7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7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7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7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77" s="43" t="n">
        <f aca="false">IF(NOT(Tasks[[#This Row],[_IsLeaf]]=1),0,IF(N(Tasks[[#This Row],[Actual Finish]])&gt;0,1,MIN(1,N(Tasks[[#This Row],[% Complete]]))))</f>
        <v>0</v>
      </c>
      <c r="BW7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77" s="43" t="n">
        <f aca="false">IF(Tasks[[#This Row],[_LeafWork]]=0,0,Tasks[[#This Row],[_LeafWork]]*IFERROR(INDEX(res_Rate,MATCH(Tasks[[#This Row],[Resource]],res_Name,0)),0))</f>
        <v>0</v>
      </c>
      <c r="BY7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7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7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7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77" s="43" t="n">
        <f aca="false">IF(NOT(Tasks[[#This Row],[_IsLeaf]]=1),0,MAX(_xlfn.MAXIFS(Tasks[_Row],Tasks[Pred1 UID],Tasks[[#This Row],[UID]]),_xlfn.MAXIFS(Tasks[_Row],Tasks[Pred2 UID],Tasks[[#This Row],[UID]])))</f>
        <v>0</v>
      </c>
      <c r="CD7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77" s="87" t="str">
        <f aca="false">IF(NOT(Tasks[[#This Row],[_IsLeaf]]=1),"",MIN(ProjectFinish,IF(N(Tasks[[#This Row],[Deadline]])&gt;0,Tasks[[#This Row],[Deadline]],2958465),Tasks[[#This Row],[_SuccessorFinishLimit]]))</f>
        <v/>
      </c>
      <c r="CF7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7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77" s="86" t="b">
        <f aca="false">AND(Tasks[[#This Row],[_IsLeaf]]=1,Tasks[[#This Row],[_LeafProgress]]&lt;1,N(Tasks[[#This Row],[_LeafTotalSlack]])&lt;=CriticalSlackDays)</f>
        <v>0</v>
      </c>
      <c r="CI7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7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7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7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7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7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7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7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77" s="43" t="n">
        <f aca="false">IF(AND(Tasks[[#This Row],[_IsLeaf]]=1,Tasks[[#This Row],[_LeafWork]]&gt;0),NETWORKDAYS.INTL(ProjectStart,Tasks[[#This Row],[_LeafFcstStart]],WorkWeek,Holidays),0)</f>
        <v>0</v>
      </c>
      <c r="CR7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77" s="43" t="n">
        <f aca="false">IF(AND(Tasks[[#This Row],[_IsLeaf]]=1,Tasks[[#This Row],[_LeafWork]]&gt;0),Tasks[[#This Row],[_LeafWork]]/(Tasks[[#This Row],[_FinishWorkday]]-Tasks[[#This Row],[_StartWorkday]]+1),0)</f>
        <v>0</v>
      </c>
      <c r="CT77" s="43" t="n">
        <f aca="false">Tasks[[#This Row],[_WorkPerWorkday]]*(Tasks[[#This Row],[_StartWorkday]]-1)</f>
        <v>-0</v>
      </c>
      <c r="CU77" s="43" t="n">
        <f aca="false">IF(Tasks[[#This Row],[_IsLeaf]]=1,MAX(N(Tasks[[#This Row],[Duration]]),0.1),0)</f>
        <v>0</v>
      </c>
      <c r="CV77" s="43" t="n">
        <f aca="false">Tasks[[#This Row],[_WeightDur]]*Tasks[[#This Row],[_LeafProgress]]</f>
        <v>0</v>
      </c>
      <c r="CW7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7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7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7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7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77" s="43" t="str">
        <f aca="false">IF(AND(Tasks[[#This Row],[_IsLeaf]]=1,N(Tasks[[#This Row],[Duration]])=0,Tasks[[#This Row],[_LeafProgress]]&lt;1),Tasks[[#This Row],[_LeafFcstFinish]]+Tasks[[#This Row],[_Row]]/100000,"")</f>
        <v/>
      </c>
      <c r="DC7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77" s="43" t="n">
        <f aca="false">IF(NOT(Tasks[[#This Row],[_IsLeaf]]=1),0,IF(Tasks[[#This Row],[Baseline Cost]]="",Tasks[[#This Row],[_LeafCost]],N(Tasks[[#This Row],[Baseline Cost]])))</f>
        <v>0</v>
      </c>
      <c r="DE77" s="43" t="n">
        <f aca="false">Tasks[[#This Row],[_LeafBudget]]*Tasks[[#This Row],[_PlannedPct]]</f>
        <v>0</v>
      </c>
      <c r="DF77" s="43" t="n">
        <f aca="false">Tasks[[#This Row],[_LeafBudget]]*Tasks[[#This Row],[_LeafProgress]]</f>
        <v>0</v>
      </c>
      <c r="DG77" s="43" t="n">
        <f aca="false">IF(NOT(Tasks[[#This Row],[_IsLeaf]]=1),0,IF(Tasks[[#This Row],[Actual Cost]]="",Tasks[[#This Row],[_LeafCost]]*Tasks[[#This Row],[_LeafProgress]],N(Tasks[[#This Row],[Actual Cost]])))</f>
        <v>0</v>
      </c>
      <c r="DH77" s="43" t="str">
        <f aca="false">IF(Tasks[[#This Row],[Task Name]]="","",LEFT(Tasks[[#This Row],[WBS]],FIND(".",Tasks[[#This Row],[WBS]]&amp;".")-1))</f>
        <v/>
      </c>
      <c r="DI77" s="43" t="str">
        <f aca="false">IF(AND(Tasks[[#This Row],[Task Name]]&lt;&gt;"",Tasks[[#This Row],[_Level]]=1),Tasks[[#This Row],[_Row]],"")</f>
        <v/>
      </c>
      <c r="DJ77" s="43" t="str">
        <f aca="false">IF(AND(Tasks[[#This Row],[_IsLeaf]]=1,N(Tasks[[#This Row],[Duration]])=0),Tasks[[#This Row],[Planned Finish]]+Tasks[[#This Row],[_Row]]/100000,"")</f>
        <v/>
      </c>
      <c r="DK7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7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7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77" s="43" t="str">
        <f aca="false">IF(Tasks[[#This Row],[_LeafCritical]],Tasks[[#This Row],[_LeafFcstStart]]+Tasks[[#This Row],[_Row]]/100000,"")</f>
        <v/>
      </c>
      <c r="DO77" s="43" t="n">
        <f aca="false">Tasks[[#This Row],[_LeafWork]]*Tasks[[#This Row],[_LeafProgress]]</f>
        <v>0</v>
      </c>
      <c r="DP7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77" s="43" t="n">
        <f aca="false">IF(Tasks[[#This Row],[_IsLeaf]]=1,N(Tasks[[#This Row],[Story Points]]),0)</f>
        <v>0</v>
      </c>
      <c r="DR77" s="43" t="str">
        <f aca="false">IF(AND(Tasks[[#This Row],[_IsLeaf]]=1,CurrentSprint&lt;&gt;"",Tasks[[#This Row],[Sprint]]=CurrentSprint),Tasks[[#This Row],[_Row]],"")</f>
        <v/>
      </c>
    </row>
    <row r="78" customFormat="false" ht="15" hidden="false" customHeight="false" outlineLevel="0" collapsed="false">
      <c r="A78" s="28" t="str">
        <f aca="false">IF(Tasks[[#This Row],[Task Name]]="","",COUNTA(Tasks[[#Headers],[Task Name]]:Tasks[[#This Row],[Task Name]])-1)</f>
        <v/>
      </c>
      <c r="B78" s="29" t="n">
        <v>73</v>
      </c>
      <c r="C7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78" s="29"/>
      <c r="E78" s="30"/>
      <c r="F78" s="29"/>
      <c r="G78" s="29"/>
      <c r="H78" s="29"/>
      <c r="I78" s="29"/>
      <c r="J78" s="29"/>
      <c r="K78" s="29"/>
      <c r="L78" s="29"/>
      <c r="M78" s="29"/>
      <c r="N78" s="72"/>
      <c r="O78" s="72"/>
      <c r="P78" s="25" t="str">
        <f aca="false">IF(Tasks[[#This Row],[Task Name]]="","",IF(N(Tasks[[#This Row],[Baseline Start]])&gt;0,Tasks[[#This Row],[Baseline Start]],Tasks[[#This Row],[_CalcStart]]))</f>
        <v/>
      </c>
      <c r="Q78" s="25" t="str">
        <f aca="false">IF(Tasks[[#This Row],[Task Name]]="","",IF(N(Tasks[[#This Row],[Baseline Finish]])&gt;0,Tasks[[#This Row],[Baseline Finish]],Tasks[[#This Row],[_CalcFinish]]))</f>
        <v/>
      </c>
      <c r="R78" s="72"/>
      <c r="S78" s="72"/>
      <c r="T7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7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7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7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7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7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7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7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7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7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7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78" s="74"/>
      <c r="AF7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7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78" s="30"/>
      <c r="AI78" s="74"/>
      <c r="AJ7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7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78" s="83"/>
      <c r="AM78" s="29"/>
      <c r="AN7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78" s="84"/>
      <c r="AP7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78" s="30"/>
      <c r="AR78" s="25" t="str">
        <f aca="false">IF(Tasks[[#This Row],[Task Name]]="","",Tasks[[#This Row],[Forecast Start]])</f>
        <v/>
      </c>
      <c r="AS78" s="25" t="str">
        <f aca="false">IF(Tasks[[#This Row],[Task Name]]="","",Tasks[[#This Row],[Forecast Finish]])</f>
        <v/>
      </c>
      <c r="AT7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78" s="81" t="str">
        <f aca="false">IF(Tasks[[#This Row],[Task Name]]="","",Tasks[[#This Row],[Work]])</f>
        <v/>
      </c>
      <c r="AV78" s="82" t="str">
        <f aca="false">IF(Tasks[[#This Row],[Task Name]]="","",Tasks[[#This Row],[Cost]])</f>
        <v/>
      </c>
      <c r="AW78" s="72"/>
      <c r="AX78" s="72"/>
      <c r="AY78" s="29"/>
      <c r="AZ78" s="85"/>
      <c r="BA78" s="83"/>
      <c r="BB78" s="28" t="str">
        <f aca="false">IF(OR(Tasks[[#This Row],[Task Name]]="",Tasks[[#This Row],[Baseline Duration]]=""),"",Tasks[[#This Row],[BL Source Duration]]-N(Tasks[[#This Row],[Baseline Duration]]))</f>
        <v/>
      </c>
      <c r="BC78" s="81" t="str">
        <f aca="false">IF(OR(Tasks[[#This Row],[Task Name]]="",Tasks[[#This Row],[Baseline Work]]=""),"",Tasks[[#This Row],[Work]]-N(Tasks[[#This Row],[Baseline Work]]))</f>
        <v/>
      </c>
      <c r="BD78" s="82" t="str">
        <f aca="false">IF(OR(Tasks[[#This Row],[Task Name]]="",Tasks[[#This Row],[Baseline Cost]]=""),"",Tasks[[#This Row],[Cost]]-N(Tasks[[#This Row],[Baseline Cost]]))</f>
        <v/>
      </c>
      <c r="BE7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7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7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7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78" s="43" t="str">
        <f aca="false">IF(Tasks[[#This Row],[Task Name]]="","",MAX(1,N(Tasks[[#This Row],[Level]])))</f>
        <v/>
      </c>
      <c r="BJ78" s="43" t="n">
        <f aca="false">ROW()-ROW(Tasks[[#Headers],[ID]])</f>
        <v>73</v>
      </c>
      <c r="BK7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78" s="43" t="n">
        <f aca="false">IFERROR(N(INDEX(Tasks[_Level],Tasks[[#This Row],[_Row]]+1)),0)</f>
        <v>0</v>
      </c>
      <c r="BM78" s="86" t="b">
        <f aca="false">AND(Tasks[[#This Row],[Task Name]]&lt;&gt;"",Tasks[[#This Row],[_NextLevel]]&gt;Tasks[[#This Row],[_Level]])</f>
        <v>0</v>
      </c>
      <c r="BN78" s="43" t="n">
        <f aca="false">IF(Tasks[[#This Row],[_IsSummary]],COUNTIF(Tasks[WBS],Tasks[[#This Row],[WBS]]&amp;".*"),0)</f>
        <v>0</v>
      </c>
      <c r="BO78" s="43" t="n">
        <f aca="false">IF(AND(Tasks[[#This Row],[Task Name]]&lt;&gt;"",NOT(Tasks[[#This Row],[_IsSummary]])),1,0)</f>
        <v>0</v>
      </c>
      <c r="BP78" s="43" t="n">
        <f aca="false">IF(N(Tasks[[#This Row],[Pred1 UID]])=0,0,IFERROR(MATCH(Tasks[[#This Row],[Pred1 UID]],Tasks[UID],0),-1))</f>
        <v>0</v>
      </c>
      <c r="BQ78" s="43" t="n">
        <f aca="false">IF(N(Tasks[[#This Row],[Pred2 UID]])=0,0,IFERROR(MATCH(Tasks[[#This Row],[Pred2 UID]],Tasks[UID],0),-1))</f>
        <v>0</v>
      </c>
      <c r="BR7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7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7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7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78" s="43" t="n">
        <f aca="false">IF(NOT(Tasks[[#This Row],[_IsLeaf]]=1),0,IF(N(Tasks[[#This Row],[Actual Finish]])&gt;0,1,MIN(1,N(Tasks[[#This Row],[% Complete]]))))</f>
        <v>0</v>
      </c>
      <c r="BW7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78" s="43" t="n">
        <f aca="false">IF(Tasks[[#This Row],[_LeafWork]]=0,0,Tasks[[#This Row],[_LeafWork]]*IFERROR(INDEX(res_Rate,MATCH(Tasks[[#This Row],[Resource]],res_Name,0)),0))</f>
        <v>0</v>
      </c>
      <c r="BY7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7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7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7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78" s="43" t="n">
        <f aca="false">IF(NOT(Tasks[[#This Row],[_IsLeaf]]=1),0,MAX(_xlfn.MAXIFS(Tasks[_Row],Tasks[Pred1 UID],Tasks[[#This Row],[UID]]),_xlfn.MAXIFS(Tasks[_Row],Tasks[Pred2 UID],Tasks[[#This Row],[UID]])))</f>
        <v>0</v>
      </c>
      <c r="CD7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78" s="87" t="str">
        <f aca="false">IF(NOT(Tasks[[#This Row],[_IsLeaf]]=1),"",MIN(ProjectFinish,IF(N(Tasks[[#This Row],[Deadline]])&gt;0,Tasks[[#This Row],[Deadline]],2958465),Tasks[[#This Row],[_SuccessorFinishLimit]]))</f>
        <v/>
      </c>
      <c r="CF7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7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78" s="86" t="b">
        <f aca="false">AND(Tasks[[#This Row],[_IsLeaf]]=1,Tasks[[#This Row],[_LeafProgress]]&lt;1,N(Tasks[[#This Row],[_LeafTotalSlack]])&lt;=CriticalSlackDays)</f>
        <v>0</v>
      </c>
      <c r="CI7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7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7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7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7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7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7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7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78" s="43" t="n">
        <f aca="false">IF(AND(Tasks[[#This Row],[_IsLeaf]]=1,Tasks[[#This Row],[_LeafWork]]&gt;0),NETWORKDAYS.INTL(ProjectStart,Tasks[[#This Row],[_LeafFcstStart]],WorkWeek,Holidays),0)</f>
        <v>0</v>
      </c>
      <c r="CR7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78" s="43" t="n">
        <f aca="false">IF(AND(Tasks[[#This Row],[_IsLeaf]]=1,Tasks[[#This Row],[_LeafWork]]&gt;0),Tasks[[#This Row],[_LeafWork]]/(Tasks[[#This Row],[_FinishWorkday]]-Tasks[[#This Row],[_StartWorkday]]+1),0)</f>
        <v>0</v>
      </c>
      <c r="CT78" s="43" t="n">
        <f aca="false">Tasks[[#This Row],[_WorkPerWorkday]]*(Tasks[[#This Row],[_StartWorkday]]-1)</f>
        <v>-0</v>
      </c>
      <c r="CU78" s="43" t="n">
        <f aca="false">IF(Tasks[[#This Row],[_IsLeaf]]=1,MAX(N(Tasks[[#This Row],[Duration]]),0.1),0)</f>
        <v>0</v>
      </c>
      <c r="CV78" s="43" t="n">
        <f aca="false">Tasks[[#This Row],[_WeightDur]]*Tasks[[#This Row],[_LeafProgress]]</f>
        <v>0</v>
      </c>
      <c r="CW7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7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7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7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7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78" s="43" t="str">
        <f aca="false">IF(AND(Tasks[[#This Row],[_IsLeaf]]=1,N(Tasks[[#This Row],[Duration]])=0,Tasks[[#This Row],[_LeafProgress]]&lt;1),Tasks[[#This Row],[_LeafFcstFinish]]+Tasks[[#This Row],[_Row]]/100000,"")</f>
        <v/>
      </c>
      <c r="DC7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78" s="43" t="n">
        <f aca="false">IF(NOT(Tasks[[#This Row],[_IsLeaf]]=1),0,IF(Tasks[[#This Row],[Baseline Cost]]="",Tasks[[#This Row],[_LeafCost]],N(Tasks[[#This Row],[Baseline Cost]])))</f>
        <v>0</v>
      </c>
      <c r="DE78" s="43" t="n">
        <f aca="false">Tasks[[#This Row],[_LeafBudget]]*Tasks[[#This Row],[_PlannedPct]]</f>
        <v>0</v>
      </c>
      <c r="DF78" s="43" t="n">
        <f aca="false">Tasks[[#This Row],[_LeafBudget]]*Tasks[[#This Row],[_LeafProgress]]</f>
        <v>0</v>
      </c>
      <c r="DG78" s="43" t="n">
        <f aca="false">IF(NOT(Tasks[[#This Row],[_IsLeaf]]=1),0,IF(Tasks[[#This Row],[Actual Cost]]="",Tasks[[#This Row],[_LeafCost]]*Tasks[[#This Row],[_LeafProgress]],N(Tasks[[#This Row],[Actual Cost]])))</f>
        <v>0</v>
      </c>
      <c r="DH78" s="43" t="str">
        <f aca="false">IF(Tasks[[#This Row],[Task Name]]="","",LEFT(Tasks[[#This Row],[WBS]],FIND(".",Tasks[[#This Row],[WBS]]&amp;".")-1))</f>
        <v/>
      </c>
      <c r="DI78" s="43" t="str">
        <f aca="false">IF(AND(Tasks[[#This Row],[Task Name]]&lt;&gt;"",Tasks[[#This Row],[_Level]]=1),Tasks[[#This Row],[_Row]],"")</f>
        <v/>
      </c>
      <c r="DJ78" s="43" t="str">
        <f aca="false">IF(AND(Tasks[[#This Row],[_IsLeaf]]=1,N(Tasks[[#This Row],[Duration]])=0),Tasks[[#This Row],[Planned Finish]]+Tasks[[#This Row],[_Row]]/100000,"")</f>
        <v/>
      </c>
      <c r="DK7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7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7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78" s="43" t="str">
        <f aca="false">IF(Tasks[[#This Row],[_LeafCritical]],Tasks[[#This Row],[_LeafFcstStart]]+Tasks[[#This Row],[_Row]]/100000,"")</f>
        <v/>
      </c>
      <c r="DO78" s="43" t="n">
        <f aca="false">Tasks[[#This Row],[_LeafWork]]*Tasks[[#This Row],[_LeafProgress]]</f>
        <v>0</v>
      </c>
      <c r="DP7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78" s="43" t="n">
        <f aca="false">IF(Tasks[[#This Row],[_IsLeaf]]=1,N(Tasks[[#This Row],[Story Points]]),0)</f>
        <v>0</v>
      </c>
      <c r="DR78" s="43" t="str">
        <f aca="false">IF(AND(Tasks[[#This Row],[_IsLeaf]]=1,CurrentSprint&lt;&gt;"",Tasks[[#This Row],[Sprint]]=CurrentSprint),Tasks[[#This Row],[_Row]],"")</f>
        <v/>
      </c>
    </row>
    <row r="79" customFormat="false" ht="15" hidden="false" customHeight="false" outlineLevel="0" collapsed="false">
      <c r="A79" s="28" t="str">
        <f aca="false">IF(Tasks[[#This Row],[Task Name]]="","",COUNTA(Tasks[[#Headers],[Task Name]]:Tasks[[#This Row],[Task Name]])-1)</f>
        <v/>
      </c>
      <c r="B79" s="29" t="n">
        <v>74</v>
      </c>
      <c r="C7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79" s="29"/>
      <c r="E79" s="30"/>
      <c r="F79" s="29"/>
      <c r="G79" s="29"/>
      <c r="H79" s="29"/>
      <c r="I79" s="29"/>
      <c r="J79" s="29"/>
      <c r="K79" s="29"/>
      <c r="L79" s="29"/>
      <c r="M79" s="29"/>
      <c r="N79" s="72"/>
      <c r="O79" s="72"/>
      <c r="P79" s="25" t="str">
        <f aca="false">IF(Tasks[[#This Row],[Task Name]]="","",IF(N(Tasks[[#This Row],[Baseline Start]])&gt;0,Tasks[[#This Row],[Baseline Start]],Tasks[[#This Row],[_CalcStart]]))</f>
        <v/>
      </c>
      <c r="Q79" s="25" t="str">
        <f aca="false">IF(Tasks[[#This Row],[Task Name]]="","",IF(N(Tasks[[#This Row],[Baseline Finish]])&gt;0,Tasks[[#This Row],[Baseline Finish]],Tasks[[#This Row],[_CalcFinish]]))</f>
        <v/>
      </c>
      <c r="R79" s="72"/>
      <c r="S79" s="72"/>
      <c r="T7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7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7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7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7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7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7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7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7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7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7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79" s="74"/>
      <c r="AF7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7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79" s="30"/>
      <c r="AI79" s="74"/>
      <c r="AJ7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7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79" s="83"/>
      <c r="AM79" s="29"/>
      <c r="AN7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79" s="84"/>
      <c r="AP7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79" s="30"/>
      <c r="AR79" s="25" t="str">
        <f aca="false">IF(Tasks[[#This Row],[Task Name]]="","",Tasks[[#This Row],[Forecast Start]])</f>
        <v/>
      </c>
      <c r="AS79" s="25" t="str">
        <f aca="false">IF(Tasks[[#This Row],[Task Name]]="","",Tasks[[#This Row],[Forecast Finish]])</f>
        <v/>
      </c>
      <c r="AT7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79" s="81" t="str">
        <f aca="false">IF(Tasks[[#This Row],[Task Name]]="","",Tasks[[#This Row],[Work]])</f>
        <v/>
      </c>
      <c r="AV79" s="82" t="str">
        <f aca="false">IF(Tasks[[#This Row],[Task Name]]="","",Tasks[[#This Row],[Cost]])</f>
        <v/>
      </c>
      <c r="AW79" s="72"/>
      <c r="AX79" s="72"/>
      <c r="AY79" s="29"/>
      <c r="AZ79" s="85"/>
      <c r="BA79" s="83"/>
      <c r="BB79" s="28" t="str">
        <f aca="false">IF(OR(Tasks[[#This Row],[Task Name]]="",Tasks[[#This Row],[Baseline Duration]]=""),"",Tasks[[#This Row],[BL Source Duration]]-N(Tasks[[#This Row],[Baseline Duration]]))</f>
        <v/>
      </c>
      <c r="BC79" s="81" t="str">
        <f aca="false">IF(OR(Tasks[[#This Row],[Task Name]]="",Tasks[[#This Row],[Baseline Work]]=""),"",Tasks[[#This Row],[Work]]-N(Tasks[[#This Row],[Baseline Work]]))</f>
        <v/>
      </c>
      <c r="BD79" s="82" t="str">
        <f aca="false">IF(OR(Tasks[[#This Row],[Task Name]]="",Tasks[[#This Row],[Baseline Cost]]=""),"",Tasks[[#This Row],[Cost]]-N(Tasks[[#This Row],[Baseline Cost]]))</f>
        <v/>
      </c>
      <c r="BE7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7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7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7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79" s="43" t="str">
        <f aca="false">IF(Tasks[[#This Row],[Task Name]]="","",MAX(1,N(Tasks[[#This Row],[Level]])))</f>
        <v/>
      </c>
      <c r="BJ79" s="43" t="n">
        <f aca="false">ROW()-ROW(Tasks[[#Headers],[ID]])</f>
        <v>74</v>
      </c>
      <c r="BK7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79" s="43" t="n">
        <f aca="false">IFERROR(N(INDEX(Tasks[_Level],Tasks[[#This Row],[_Row]]+1)),0)</f>
        <v>0</v>
      </c>
      <c r="BM79" s="86" t="b">
        <f aca="false">AND(Tasks[[#This Row],[Task Name]]&lt;&gt;"",Tasks[[#This Row],[_NextLevel]]&gt;Tasks[[#This Row],[_Level]])</f>
        <v>0</v>
      </c>
      <c r="BN79" s="43" t="n">
        <f aca="false">IF(Tasks[[#This Row],[_IsSummary]],COUNTIF(Tasks[WBS],Tasks[[#This Row],[WBS]]&amp;".*"),0)</f>
        <v>0</v>
      </c>
      <c r="BO79" s="43" t="n">
        <f aca="false">IF(AND(Tasks[[#This Row],[Task Name]]&lt;&gt;"",NOT(Tasks[[#This Row],[_IsSummary]])),1,0)</f>
        <v>0</v>
      </c>
      <c r="BP79" s="43" t="n">
        <f aca="false">IF(N(Tasks[[#This Row],[Pred1 UID]])=0,0,IFERROR(MATCH(Tasks[[#This Row],[Pred1 UID]],Tasks[UID],0),-1))</f>
        <v>0</v>
      </c>
      <c r="BQ79" s="43" t="n">
        <f aca="false">IF(N(Tasks[[#This Row],[Pred2 UID]])=0,0,IFERROR(MATCH(Tasks[[#This Row],[Pred2 UID]],Tasks[UID],0),-1))</f>
        <v>0</v>
      </c>
      <c r="BR7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7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7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7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79" s="43" t="n">
        <f aca="false">IF(NOT(Tasks[[#This Row],[_IsLeaf]]=1),0,IF(N(Tasks[[#This Row],[Actual Finish]])&gt;0,1,MIN(1,N(Tasks[[#This Row],[% Complete]]))))</f>
        <v>0</v>
      </c>
      <c r="BW7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79" s="43" t="n">
        <f aca="false">IF(Tasks[[#This Row],[_LeafWork]]=0,0,Tasks[[#This Row],[_LeafWork]]*IFERROR(INDEX(res_Rate,MATCH(Tasks[[#This Row],[Resource]],res_Name,0)),0))</f>
        <v>0</v>
      </c>
      <c r="BY7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7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7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7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79" s="43" t="n">
        <f aca="false">IF(NOT(Tasks[[#This Row],[_IsLeaf]]=1),0,MAX(_xlfn.MAXIFS(Tasks[_Row],Tasks[Pred1 UID],Tasks[[#This Row],[UID]]),_xlfn.MAXIFS(Tasks[_Row],Tasks[Pred2 UID],Tasks[[#This Row],[UID]])))</f>
        <v>0</v>
      </c>
      <c r="CD7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79" s="87" t="str">
        <f aca="false">IF(NOT(Tasks[[#This Row],[_IsLeaf]]=1),"",MIN(ProjectFinish,IF(N(Tasks[[#This Row],[Deadline]])&gt;0,Tasks[[#This Row],[Deadline]],2958465),Tasks[[#This Row],[_SuccessorFinishLimit]]))</f>
        <v/>
      </c>
      <c r="CF7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7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79" s="86" t="b">
        <f aca="false">AND(Tasks[[#This Row],[_IsLeaf]]=1,Tasks[[#This Row],[_LeafProgress]]&lt;1,N(Tasks[[#This Row],[_LeafTotalSlack]])&lt;=CriticalSlackDays)</f>
        <v>0</v>
      </c>
      <c r="CI7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7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7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7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7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7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7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7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79" s="43" t="n">
        <f aca="false">IF(AND(Tasks[[#This Row],[_IsLeaf]]=1,Tasks[[#This Row],[_LeafWork]]&gt;0),NETWORKDAYS.INTL(ProjectStart,Tasks[[#This Row],[_LeafFcstStart]],WorkWeek,Holidays),0)</f>
        <v>0</v>
      </c>
      <c r="CR7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79" s="43" t="n">
        <f aca="false">IF(AND(Tasks[[#This Row],[_IsLeaf]]=1,Tasks[[#This Row],[_LeafWork]]&gt;0),Tasks[[#This Row],[_LeafWork]]/(Tasks[[#This Row],[_FinishWorkday]]-Tasks[[#This Row],[_StartWorkday]]+1),0)</f>
        <v>0</v>
      </c>
      <c r="CT79" s="43" t="n">
        <f aca="false">Tasks[[#This Row],[_WorkPerWorkday]]*(Tasks[[#This Row],[_StartWorkday]]-1)</f>
        <v>-0</v>
      </c>
      <c r="CU79" s="43" t="n">
        <f aca="false">IF(Tasks[[#This Row],[_IsLeaf]]=1,MAX(N(Tasks[[#This Row],[Duration]]),0.1),0)</f>
        <v>0</v>
      </c>
      <c r="CV79" s="43" t="n">
        <f aca="false">Tasks[[#This Row],[_WeightDur]]*Tasks[[#This Row],[_LeafProgress]]</f>
        <v>0</v>
      </c>
      <c r="CW7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7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7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7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7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79" s="43" t="str">
        <f aca="false">IF(AND(Tasks[[#This Row],[_IsLeaf]]=1,N(Tasks[[#This Row],[Duration]])=0,Tasks[[#This Row],[_LeafProgress]]&lt;1),Tasks[[#This Row],[_LeafFcstFinish]]+Tasks[[#This Row],[_Row]]/100000,"")</f>
        <v/>
      </c>
      <c r="DC7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79" s="43" t="n">
        <f aca="false">IF(NOT(Tasks[[#This Row],[_IsLeaf]]=1),0,IF(Tasks[[#This Row],[Baseline Cost]]="",Tasks[[#This Row],[_LeafCost]],N(Tasks[[#This Row],[Baseline Cost]])))</f>
        <v>0</v>
      </c>
      <c r="DE79" s="43" t="n">
        <f aca="false">Tasks[[#This Row],[_LeafBudget]]*Tasks[[#This Row],[_PlannedPct]]</f>
        <v>0</v>
      </c>
      <c r="DF79" s="43" t="n">
        <f aca="false">Tasks[[#This Row],[_LeafBudget]]*Tasks[[#This Row],[_LeafProgress]]</f>
        <v>0</v>
      </c>
      <c r="DG79" s="43" t="n">
        <f aca="false">IF(NOT(Tasks[[#This Row],[_IsLeaf]]=1),0,IF(Tasks[[#This Row],[Actual Cost]]="",Tasks[[#This Row],[_LeafCost]]*Tasks[[#This Row],[_LeafProgress]],N(Tasks[[#This Row],[Actual Cost]])))</f>
        <v>0</v>
      </c>
      <c r="DH79" s="43" t="str">
        <f aca="false">IF(Tasks[[#This Row],[Task Name]]="","",LEFT(Tasks[[#This Row],[WBS]],FIND(".",Tasks[[#This Row],[WBS]]&amp;".")-1))</f>
        <v/>
      </c>
      <c r="DI79" s="43" t="str">
        <f aca="false">IF(AND(Tasks[[#This Row],[Task Name]]&lt;&gt;"",Tasks[[#This Row],[_Level]]=1),Tasks[[#This Row],[_Row]],"")</f>
        <v/>
      </c>
      <c r="DJ79" s="43" t="str">
        <f aca="false">IF(AND(Tasks[[#This Row],[_IsLeaf]]=1,N(Tasks[[#This Row],[Duration]])=0),Tasks[[#This Row],[Planned Finish]]+Tasks[[#This Row],[_Row]]/100000,"")</f>
        <v/>
      </c>
      <c r="DK7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7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7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79" s="43" t="str">
        <f aca="false">IF(Tasks[[#This Row],[_LeafCritical]],Tasks[[#This Row],[_LeafFcstStart]]+Tasks[[#This Row],[_Row]]/100000,"")</f>
        <v/>
      </c>
      <c r="DO79" s="43" t="n">
        <f aca="false">Tasks[[#This Row],[_LeafWork]]*Tasks[[#This Row],[_LeafProgress]]</f>
        <v>0</v>
      </c>
      <c r="DP7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79" s="43" t="n">
        <f aca="false">IF(Tasks[[#This Row],[_IsLeaf]]=1,N(Tasks[[#This Row],[Story Points]]),0)</f>
        <v>0</v>
      </c>
      <c r="DR79" s="43" t="str">
        <f aca="false">IF(AND(Tasks[[#This Row],[_IsLeaf]]=1,CurrentSprint&lt;&gt;"",Tasks[[#This Row],[Sprint]]=CurrentSprint),Tasks[[#This Row],[_Row]],"")</f>
        <v/>
      </c>
    </row>
    <row r="80" customFormat="false" ht="15" hidden="false" customHeight="false" outlineLevel="0" collapsed="false">
      <c r="A80" s="28" t="str">
        <f aca="false">IF(Tasks[[#This Row],[Task Name]]="","",COUNTA(Tasks[[#Headers],[Task Name]]:Tasks[[#This Row],[Task Name]])-1)</f>
        <v/>
      </c>
      <c r="B80" s="29" t="n">
        <v>75</v>
      </c>
      <c r="C8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80" s="29"/>
      <c r="E80" s="30"/>
      <c r="F80" s="29"/>
      <c r="G80" s="29"/>
      <c r="H80" s="29"/>
      <c r="I80" s="29"/>
      <c r="J80" s="29"/>
      <c r="K80" s="29"/>
      <c r="L80" s="29"/>
      <c r="M80" s="29"/>
      <c r="N80" s="72"/>
      <c r="O80" s="72"/>
      <c r="P80" s="25" t="str">
        <f aca="false">IF(Tasks[[#This Row],[Task Name]]="","",IF(N(Tasks[[#This Row],[Baseline Start]])&gt;0,Tasks[[#This Row],[Baseline Start]],Tasks[[#This Row],[_CalcStart]]))</f>
        <v/>
      </c>
      <c r="Q80" s="25" t="str">
        <f aca="false">IF(Tasks[[#This Row],[Task Name]]="","",IF(N(Tasks[[#This Row],[Baseline Finish]])&gt;0,Tasks[[#This Row],[Baseline Finish]],Tasks[[#This Row],[_CalcFinish]]))</f>
        <v/>
      </c>
      <c r="R80" s="72"/>
      <c r="S80" s="72"/>
      <c r="T8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8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8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8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8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8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8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8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8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8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8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80" s="74"/>
      <c r="AF8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8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80" s="30"/>
      <c r="AI80" s="74"/>
      <c r="AJ8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8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80" s="83"/>
      <c r="AM80" s="29"/>
      <c r="AN8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80" s="84"/>
      <c r="AP8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80" s="30"/>
      <c r="AR80" s="25" t="str">
        <f aca="false">IF(Tasks[[#This Row],[Task Name]]="","",Tasks[[#This Row],[Forecast Start]])</f>
        <v/>
      </c>
      <c r="AS80" s="25" t="str">
        <f aca="false">IF(Tasks[[#This Row],[Task Name]]="","",Tasks[[#This Row],[Forecast Finish]])</f>
        <v/>
      </c>
      <c r="AT8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80" s="81" t="str">
        <f aca="false">IF(Tasks[[#This Row],[Task Name]]="","",Tasks[[#This Row],[Work]])</f>
        <v/>
      </c>
      <c r="AV80" s="82" t="str">
        <f aca="false">IF(Tasks[[#This Row],[Task Name]]="","",Tasks[[#This Row],[Cost]])</f>
        <v/>
      </c>
      <c r="AW80" s="72"/>
      <c r="AX80" s="72"/>
      <c r="AY80" s="29"/>
      <c r="AZ80" s="85"/>
      <c r="BA80" s="83"/>
      <c r="BB80" s="28" t="str">
        <f aca="false">IF(OR(Tasks[[#This Row],[Task Name]]="",Tasks[[#This Row],[Baseline Duration]]=""),"",Tasks[[#This Row],[BL Source Duration]]-N(Tasks[[#This Row],[Baseline Duration]]))</f>
        <v/>
      </c>
      <c r="BC80" s="81" t="str">
        <f aca="false">IF(OR(Tasks[[#This Row],[Task Name]]="",Tasks[[#This Row],[Baseline Work]]=""),"",Tasks[[#This Row],[Work]]-N(Tasks[[#This Row],[Baseline Work]]))</f>
        <v/>
      </c>
      <c r="BD80" s="82" t="str">
        <f aca="false">IF(OR(Tasks[[#This Row],[Task Name]]="",Tasks[[#This Row],[Baseline Cost]]=""),"",Tasks[[#This Row],[Cost]]-N(Tasks[[#This Row],[Baseline Cost]]))</f>
        <v/>
      </c>
      <c r="BE8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8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8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8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80" s="43" t="str">
        <f aca="false">IF(Tasks[[#This Row],[Task Name]]="","",MAX(1,N(Tasks[[#This Row],[Level]])))</f>
        <v/>
      </c>
      <c r="BJ80" s="43" t="n">
        <f aca="false">ROW()-ROW(Tasks[[#Headers],[ID]])</f>
        <v>75</v>
      </c>
      <c r="BK8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80" s="43" t="n">
        <f aca="false">IFERROR(N(INDEX(Tasks[_Level],Tasks[[#This Row],[_Row]]+1)),0)</f>
        <v>0</v>
      </c>
      <c r="BM80" s="86" t="b">
        <f aca="false">AND(Tasks[[#This Row],[Task Name]]&lt;&gt;"",Tasks[[#This Row],[_NextLevel]]&gt;Tasks[[#This Row],[_Level]])</f>
        <v>0</v>
      </c>
      <c r="BN80" s="43" t="n">
        <f aca="false">IF(Tasks[[#This Row],[_IsSummary]],COUNTIF(Tasks[WBS],Tasks[[#This Row],[WBS]]&amp;".*"),0)</f>
        <v>0</v>
      </c>
      <c r="BO80" s="43" t="n">
        <f aca="false">IF(AND(Tasks[[#This Row],[Task Name]]&lt;&gt;"",NOT(Tasks[[#This Row],[_IsSummary]])),1,0)</f>
        <v>0</v>
      </c>
      <c r="BP80" s="43" t="n">
        <f aca="false">IF(N(Tasks[[#This Row],[Pred1 UID]])=0,0,IFERROR(MATCH(Tasks[[#This Row],[Pred1 UID]],Tasks[UID],0),-1))</f>
        <v>0</v>
      </c>
      <c r="BQ80" s="43" t="n">
        <f aca="false">IF(N(Tasks[[#This Row],[Pred2 UID]])=0,0,IFERROR(MATCH(Tasks[[#This Row],[Pred2 UID]],Tasks[UID],0),-1))</f>
        <v>0</v>
      </c>
      <c r="BR8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8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8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8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80" s="43" t="n">
        <f aca="false">IF(NOT(Tasks[[#This Row],[_IsLeaf]]=1),0,IF(N(Tasks[[#This Row],[Actual Finish]])&gt;0,1,MIN(1,N(Tasks[[#This Row],[% Complete]]))))</f>
        <v>0</v>
      </c>
      <c r="BW8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80" s="43" t="n">
        <f aca="false">IF(Tasks[[#This Row],[_LeafWork]]=0,0,Tasks[[#This Row],[_LeafWork]]*IFERROR(INDEX(res_Rate,MATCH(Tasks[[#This Row],[Resource]],res_Name,0)),0))</f>
        <v>0</v>
      </c>
      <c r="BY8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8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8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8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80" s="43" t="n">
        <f aca="false">IF(NOT(Tasks[[#This Row],[_IsLeaf]]=1),0,MAX(_xlfn.MAXIFS(Tasks[_Row],Tasks[Pred1 UID],Tasks[[#This Row],[UID]]),_xlfn.MAXIFS(Tasks[_Row],Tasks[Pred2 UID],Tasks[[#This Row],[UID]])))</f>
        <v>0</v>
      </c>
      <c r="CD8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80" s="87" t="str">
        <f aca="false">IF(NOT(Tasks[[#This Row],[_IsLeaf]]=1),"",MIN(ProjectFinish,IF(N(Tasks[[#This Row],[Deadline]])&gt;0,Tasks[[#This Row],[Deadline]],2958465),Tasks[[#This Row],[_SuccessorFinishLimit]]))</f>
        <v/>
      </c>
      <c r="CF8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8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80" s="86" t="b">
        <f aca="false">AND(Tasks[[#This Row],[_IsLeaf]]=1,Tasks[[#This Row],[_LeafProgress]]&lt;1,N(Tasks[[#This Row],[_LeafTotalSlack]])&lt;=CriticalSlackDays)</f>
        <v>0</v>
      </c>
      <c r="CI8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8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8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8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8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8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8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8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80" s="43" t="n">
        <f aca="false">IF(AND(Tasks[[#This Row],[_IsLeaf]]=1,Tasks[[#This Row],[_LeafWork]]&gt;0),NETWORKDAYS.INTL(ProjectStart,Tasks[[#This Row],[_LeafFcstStart]],WorkWeek,Holidays),0)</f>
        <v>0</v>
      </c>
      <c r="CR8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80" s="43" t="n">
        <f aca="false">IF(AND(Tasks[[#This Row],[_IsLeaf]]=1,Tasks[[#This Row],[_LeafWork]]&gt;0),Tasks[[#This Row],[_LeafWork]]/(Tasks[[#This Row],[_FinishWorkday]]-Tasks[[#This Row],[_StartWorkday]]+1),0)</f>
        <v>0</v>
      </c>
      <c r="CT80" s="43" t="n">
        <f aca="false">Tasks[[#This Row],[_WorkPerWorkday]]*(Tasks[[#This Row],[_StartWorkday]]-1)</f>
        <v>-0</v>
      </c>
      <c r="CU80" s="43" t="n">
        <f aca="false">IF(Tasks[[#This Row],[_IsLeaf]]=1,MAX(N(Tasks[[#This Row],[Duration]]),0.1),0)</f>
        <v>0</v>
      </c>
      <c r="CV80" s="43" t="n">
        <f aca="false">Tasks[[#This Row],[_WeightDur]]*Tasks[[#This Row],[_LeafProgress]]</f>
        <v>0</v>
      </c>
      <c r="CW8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8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8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8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8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80" s="43" t="str">
        <f aca="false">IF(AND(Tasks[[#This Row],[_IsLeaf]]=1,N(Tasks[[#This Row],[Duration]])=0,Tasks[[#This Row],[_LeafProgress]]&lt;1),Tasks[[#This Row],[_LeafFcstFinish]]+Tasks[[#This Row],[_Row]]/100000,"")</f>
        <v/>
      </c>
      <c r="DC8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80" s="43" t="n">
        <f aca="false">IF(NOT(Tasks[[#This Row],[_IsLeaf]]=1),0,IF(Tasks[[#This Row],[Baseline Cost]]="",Tasks[[#This Row],[_LeafCost]],N(Tasks[[#This Row],[Baseline Cost]])))</f>
        <v>0</v>
      </c>
      <c r="DE80" s="43" t="n">
        <f aca="false">Tasks[[#This Row],[_LeafBudget]]*Tasks[[#This Row],[_PlannedPct]]</f>
        <v>0</v>
      </c>
      <c r="DF80" s="43" t="n">
        <f aca="false">Tasks[[#This Row],[_LeafBudget]]*Tasks[[#This Row],[_LeafProgress]]</f>
        <v>0</v>
      </c>
      <c r="DG80" s="43" t="n">
        <f aca="false">IF(NOT(Tasks[[#This Row],[_IsLeaf]]=1),0,IF(Tasks[[#This Row],[Actual Cost]]="",Tasks[[#This Row],[_LeafCost]]*Tasks[[#This Row],[_LeafProgress]],N(Tasks[[#This Row],[Actual Cost]])))</f>
        <v>0</v>
      </c>
      <c r="DH80" s="43" t="str">
        <f aca="false">IF(Tasks[[#This Row],[Task Name]]="","",LEFT(Tasks[[#This Row],[WBS]],FIND(".",Tasks[[#This Row],[WBS]]&amp;".")-1))</f>
        <v/>
      </c>
      <c r="DI80" s="43" t="str">
        <f aca="false">IF(AND(Tasks[[#This Row],[Task Name]]&lt;&gt;"",Tasks[[#This Row],[_Level]]=1),Tasks[[#This Row],[_Row]],"")</f>
        <v/>
      </c>
      <c r="DJ80" s="43" t="str">
        <f aca="false">IF(AND(Tasks[[#This Row],[_IsLeaf]]=1,N(Tasks[[#This Row],[Duration]])=0),Tasks[[#This Row],[Planned Finish]]+Tasks[[#This Row],[_Row]]/100000,"")</f>
        <v/>
      </c>
      <c r="DK8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8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8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80" s="43" t="str">
        <f aca="false">IF(Tasks[[#This Row],[_LeafCritical]],Tasks[[#This Row],[_LeafFcstStart]]+Tasks[[#This Row],[_Row]]/100000,"")</f>
        <v/>
      </c>
      <c r="DO80" s="43" t="n">
        <f aca="false">Tasks[[#This Row],[_LeafWork]]*Tasks[[#This Row],[_LeafProgress]]</f>
        <v>0</v>
      </c>
      <c r="DP8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80" s="43" t="n">
        <f aca="false">IF(Tasks[[#This Row],[_IsLeaf]]=1,N(Tasks[[#This Row],[Story Points]]),0)</f>
        <v>0</v>
      </c>
      <c r="DR80" s="43" t="str">
        <f aca="false">IF(AND(Tasks[[#This Row],[_IsLeaf]]=1,CurrentSprint&lt;&gt;"",Tasks[[#This Row],[Sprint]]=CurrentSprint),Tasks[[#This Row],[_Row]],"")</f>
        <v/>
      </c>
    </row>
    <row r="81" customFormat="false" ht="15" hidden="false" customHeight="false" outlineLevel="0" collapsed="false">
      <c r="A81" s="28" t="str">
        <f aca="false">IF(Tasks[[#This Row],[Task Name]]="","",COUNTA(Tasks[[#Headers],[Task Name]]:Tasks[[#This Row],[Task Name]])-1)</f>
        <v/>
      </c>
      <c r="B81" s="29" t="n">
        <v>76</v>
      </c>
      <c r="C8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81" s="29"/>
      <c r="E81" s="30"/>
      <c r="F81" s="29"/>
      <c r="G81" s="29"/>
      <c r="H81" s="29"/>
      <c r="I81" s="29"/>
      <c r="J81" s="29"/>
      <c r="K81" s="29"/>
      <c r="L81" s="29"/>
      <c r="M81" s="29"/>
      <c r="N81" s="72"/>
      <c r="O81" s="72"/>
      <c r="P81" s="25" t="str">
        <f aca="false">IF(Tasks[[#This Row],[Task Name]]="","",IF(N(Tasks[[#This Row],[Baseline Start]])&gt;0,Tasks[[#This Row],[Baseline Start]],Tasks[[#This Row],[_CalcStart]]))</f>
        <v/>
      </c>
      <c r="Q81" s="25" t="str">
        <f aca="false">IF(Tasks[[#This Row],[Task Name]]="","",IF(N(Tasks[[#This Row],[Baseline Finish]])&gt;0,Tasks[[#This Row],[Baseline Finish]],Tasks[[#This Row],[_CalcFinish]]))</f>
        <v/>
      </c>
      <c r="R81" s="72"/>
      <c r="S81" s="72"/>
      <c r="T8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8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8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8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8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8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8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8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8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8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8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81" s="74"/>
      <c r="AF8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8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81" s="30"/>
      <c r="AI81" s="74"/>
      <c r="AJ8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8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81" s="83"/>
      <c r="AM81" s="29"/>
      <c r="AN8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81" s="84"/>
      <c r="AP8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81" s="30"/>
      <c r="AR81" s="25" t="str">
        <f aca="false">IF(Tasks[[#This Row],[Task Name]]="","",Tasks[[#This Row],[Forecast Start]])</f>
        <v/>
      </c>
      <c r="AS81" s="25" t="str">
        <f aca="false">IF(Tasks[[#This Row],[Task Name]]="","",Tasks[[#This Row],[Forecast Finish]])</f>
        <v/>
      </c>
      <c r="AT8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81" s="81" t="str">
        <f aca="false">IF(Tasks[[#This Row],[Task Name]]="","",Tasks[[#This Row],[Work]])</f>
        <v/>
      </c>
      <c r="AV81" s="82" t="str">
        <f aca="false">IF(Tasks[[#This Row],[Task Name]]="","",Tasks[[#This Row],[Cost]])</f>
        <v/>
      </c>
      <c r="AW81" s="72"/>
      <c r="AX81" s="72"/>
      <c r="AY81" s="29"/>
      <c r="AZ81" s="85"/>
      <c r="BA81" s="83"/>
      <c r="BB81" s="28" t="str">
        <f aca="false">IF(OR(Tasks[[#This Row],[Task Name]]="",Tasks[[#This Row],[Baseline Duration]]=""),"",Tasks[[#This Row],[BL Source Duration]]-N(Tasks[[#This Row],[Baseline Duration]]))</f>
        <v/>
      </c>
      <c r="BC81" s="81" t="str">
        <f aca="false">IF(OR(Tasks[[#This Row],[Task Name]]="",Tasks[[#This Row],[Baseline Work]]=""),"",Tasks[[#This Row],[Work]]-N(Tasks[[#This Row],[Baseline Work]]))</f>
        <v/>
      </c>
      <c r="BD81" s="82" t="str">
        <f aca="false">IF(OR(Tasks[[#This Row],[Task Name]]="",Tasks[[#This Row],[Baseline Cost]]=""),"",Tasks[[#This Row],[Cost]]-N(Tasks[[#This Row],[Baseline Cost]]))</f>
        <v/>
      </c>
      <c r="BE8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8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8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8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81" s="43" t="str">
        <f aca="false">IF(Tasks[[#This Row],[Task Name]]="","",MAX(1,N(Tasks[[#This Row],[Level]])))</f>
        <v/>
      </c>
      <c r="BJ81" s="43" t="n">
        <f aca="false">ROW()-ROW(Tasks[[#Headers],[ID]])</f>
        <v>76</v>
      </c>
      <c r="BK8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81" s="43" t="n">
        <f aca="false">IFERROR(N(INDEX(Tasks[_Level],Tasks[[#This Row],[_Row]]+1)),0)</f>
        <v>0</v>
      </c>
      <c r="BM81" s="86" t="b">
        <f aca="false">AND(Tasks[[#This Row],[Task Name]]&lt;&gt;"",Tasks[[#This Row],[_NextLevel]]&gt;Tasks[[#This Row],[_Level]])</f>
        <v>0</v>
      </c>
      <c r="BN81" s="43" t="n">
        <f aca="false">IF(Tasks[[#This Row],[_IsSummary]],COUNTIF(Tasks[WBS],Tasks[[#This Row],[WBS]]&amp;".*"),0)</f>
        <v>0</v>
      </c>
      <c r="BO81" s="43" t="n">
        <f aca="false">IF(AND(Tasks[[#This Row],[Task Name]]&lt;&gt;"",NOT(Tasks[[#This Row],[_IsSummary]])),1,0)</f>
        <v>0</v>
      </c>
      <c r="BP81" s="43" t="n">
        <f aca="false">IF(N(Tasks[[#This Row],[Pred1 UID]])=0,0,IFERROR(MATCH(Tasks[[#This Row],[Pred1 UID]],Tasks[UID],0),-1))</f>
        <v>0</v>
      </c>
      <c r="BQ81" s="43" t="n">
        <f aca="false">IF(N(Tasks[[#This Row],[Pred2 UID]])=0,0,IFERROR(MATCH(Tasks[[#This Row],[Pred2 UID]],Tasks[UID],0),-1))</f>
        <v>0</v>
      </c>
      <c r="BR8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8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8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8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81" s="43" t="n">
        <f aca="false">IF(NOT(Tasks[[#This Row],[_IsLeaf]]=1),0,IF(N(Tasks[[#This Row],[Actual Finish]])&gt;0,1,MIN(1,N(Tasks[[#This Row],[% Complete]]))))</f>
        <v>0</v>
      </c>
      <c r="BW8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81" s="43" t="n">
        <f aca="false">IF(Tasks[[#This Row],[_LeafWork]]=0,0,Tasks[[#This Row],[_LeafWork]]*IFERROR(INDEX(res_Rate,MATCH(Tasks[[#This Row],[Resource]],res_Name,0)),0))</f>
        <v>0</v>
      </c>
      <c r="BY8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8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8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8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81" s="43" t="n">
        <f aca="false">IF(NOT(Tasks[[#This Row],[_IsLeaf]]=1),0,MAX(_xlfn.MAXIFS(Tasks[_Row],Tasks[Pred1 UID],Tasks[[#This Row],[UID]]),_xlfn.MAXIFS(Tasks[_Row],Tasks[Pred2 UID],Tasks[[#This Row],[UID]])))</f>
        <v>0</v>
      </c>
      <c r="CD8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81" s="87" t="str">
        <f aca="false">IF(NOT(Tasks[[#This Row],[_IsLeaf]]=1),"",MIN(ProjectFinish,IF(N(Tasks[[#This Row],[Deadline]])&gt;0,Tasks[[#This Row],[Deadline]],2958465),Tasks[[#This Row],[_SuccessorFinishLimit]]))</f>
        <v/>
      </c>
      <c r="CF8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8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81" s="86" t="b">
        <f aca="false">AND(Tasks[[#This Row],[_IsLeaf]]=1,Tasks[[#This Row],[_LeafProgress]]&lt;1,N(Tasks[[#This Row],[_LeafTotalSlack]])&lt;=CriticalSlackDays)</f>
        <v>0</v>
      </c>
      <c r="CI8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8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8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8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8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8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8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8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81" s="43" t="n">
        <f aca="false">IF(AND(Tasks[[#This Row],[_IsLeaf]]=1,Tasks[[#This Row],[_LeafWork]]&gt;0),NETWORKDAYS.INTL(ProjectStart,Tasks[[#This Row],[_LeafFcstStart]],WorkWeek,Holidays),0)</f>
        <v>0</v>
      </c>
      <c r="CR8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81" s="43" t="n">
        <f aca="false">IF(AND(Tasks[[#This Row],[_IsLeaf]]=1,Tasks[[#This Row],[_LeafWork]]&gt;0),Tasks[[#This Row],[_LeafWork]]/(Tasks[[#This Row],[_FinishWorkday]]-Tasks[[#This Row],[_StartWorkday]]+1),0)</f>
        <v>0</v>
      </c>
      <c r="CT81" s="43" t="n">
        <f aca="false">Tasks[[#This Row],[_WorkPerWorkday]]*(Tasks[[#This Row],[_StartWorkday]]-1)</f>
        <v>-0</v>
      </c>
      <c r="CU81" s="43" t="n">
        <f aca="false">IF(Tasks[[#This Row],[_IsLeaf]]=1,MAX(N(Tasks[[#This Row],[Duration]]),0.1),0)</f>
        <v>0</v>
      </c>
      <c r="CV81" s="43" t="n">
        <f aca="false">Tasks[[#This Row],[_WeightDur]]*Tasks[[#This Row],[_LeafProgress]]</f>
        <v>0</v>
      </c>
      <c r="CW8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8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8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8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8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81" s="43" t="str">
        <f aca="false">IF(AND(Tasks[[#This Row],[_IsLeaf]]=1,N(Tasks[[#This Row],[Duration]])=0,Tasks[[#This Row],[_LeafProgress]]&lt;1),Tasks[[#This Row],[_LeafFcstFinish]]+Tasks[[#This Row],[_Row]]/100000,"")</f>
        <v/>
      </c>
      <c r="DC8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81" s="43" t="n">
        <f aca="false">IF(NOT(Tasks[[#This Row],[_IsLeaf]]=1),0,IF(Tasks[[#This Row],[Baseline Cost]]="",Tasks[[#This Row],[_LeafCost]],N(Tasks[[#This Row],[Baseline Cost]])))</f>
        <v>0</v>
      </c>
      <c r="DE81" s="43" t="n">
        <f aca="false">Tasks[[#This Row],[_LeafBudget]]*Tasks[[#This Row],[_PlannedPct]]</f>
        <v>0</v>
      </c>
      <c r="DF81" s="43" t="n">
        <f aca="false">Tasks[[#This Row],[_LeafBudget]]*Tasks[[#This Row],[_LeafProgress]]</f>
        <v>0</v>
      </c>
      <c r="DG81" s="43" t="n">
        <f aca="false">IF(NOT(Tasks[[#This Row],[_IsLeaf]]=1),0,IF(Tasks[[#This Row],[Actual Cost]]="",Tasks[[#This Row],[_LeafCost]]*Tasks[[#This Row],[_LeafProgress]],N(Tasks[[#This Row],[Actual Cost]])))</f>
        <v>0</v>
      </c>
      <c r="DH81" s="43" t="str">
        <f aca="false">IF(Tasks[[#This Row],[Task Name]]="","",LEFT(Tasks[[#This Row],[WBS]],FIND(".",Tasks[[#This Row],[WBS]]&amp;".")-1))</f>
        <v/>
      </c>
      <c r="DI81" s="43" t="str">
        <f aca="false">IF(AND(Tasks[[#This Row],[Task Name]]&lt;&gt;"",Tasks[[#This Row],[_Level]]=1),Tasks[[#This Row],[_Row]],"")</f>
        <v/>
      </c>
      <c r="DJ81" s="43" t="str">
        <f aca="false">IF(AND(Tasks[[#This Row],[_IsLeaf]]=1,N(Tasks[[#This Row],[Duration]])=0),Tasks[[#This Row],[Planned Finish]]+Tasks[[#This Row],[_Row]]/100000,"")</f>
        <v/>
      </c>
      <c r="DK8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8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8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81" s="43" t="str">
        <f aca="false">IF(Tasks[[#This Row],[_LeafCritical]],Tasks[[#This Row],[_LeafFcstStart]]+Tasks[[#This Row],[_Row]]/100000,"")</f>
        <v/>
      </c>
      <c r="DO81" s="43" t="n">
        <f aca="false">Tasks[[#This Row],[_LeafWork]]*Tasks[[#This Row],[_LeafProgress]]</f>
        <v>0</v>
      </c>
      <c r="DP8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81" s="43" t="n">
        <f aca="false">IF(Tasks[[#This Row],[_IsLeaf]]=1,N(Tasks[[#This Row],[Story Points]]),0)</f>
        <v>0</v>
      </c>
      <c r="DR81" s="43" t="str">
        <f aca="false">IF(AND(Tasks[[#This Row],[_IsLeaf]]=1,CurrentSprint&lt;&gt;"",Tasks[[#This Row],[Sprint]]=CurrentSprint),Tasks[[#This Row],[_Row]],"")</f>
        <v/>
      </c>
    </row>
    <row r="82" customFormat="false" ht="15" hidden="false" customHeight="false" outlineLevel="0" collapsed="false">
      <c r="A82" s="28" t="str">
        <f aca="false">IF(Tasks[[#This Row],[Task Name]]="","",COUNTA(Tasks[[#Headers],[Task Name]]:Tasks[[#This Row],[Task Name]])-1)</f>
        <v/>
      </c>
      <c r="B82" s="29" t="n">
        <v>77</v>
      </c>
      <c r="C8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82" s="29"/>
      <c r="E82" s="30"/>
      <c r="F82" s="29"/>
      <c r="G82" s="29"/>
      <c r="H82" s="29"/>
      <c r="I82" s="29"/>
      <c r="J82" s="29"/>
      <c r="K82" s="29"/>
      <c r="L82" s="29"/>
      <c r="M82" s="29"/>
      <c r="N82" s="72"/>
      <c r="O82" s="72"/>
      <c r="P82" s="25" t="str">
        <f aca="false">IF(Tasks[[#This Row],[Task Name]]="","",IF(N(Tasks[[#This Row],[Baseline Start]])&gt;0,Tasks[[#This Row],[Baseline Start]],Tasks[[#This Row],[_CalcStart]]))</f>
        <v/>
      </c>
      <c r="Q82" s="25" t="str">
        <f aca="false">IF(Tasks[[#This Row],[Task Name]]="","",IF(N(Tasks[[#This Row],[Baseline Finish]])&gt;0,Tasks[[#This Row],[Baseline Finish]],Tasks[[#This Row],[_CalcFinish]]))</f>
        <v/>
      </c>
      <c r="R82" s="72"/>
      <c r="S82" s="72"/>
      <c r="T8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8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8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8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8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8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8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8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8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8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8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82" s="74"/>
      <c r="AF8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8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82" s="30"/>
      <c r="AI82" s="74"/>
      <c r="AJ8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8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82" s="83"/>
      <c r="AM82" s="29"/>
      <c r="AN8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82" s="84"/>
      <c r="AP8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82" s="30"/>
      <c r="AR82" s="25" t="str">
        <f aca="false">IF(Tasks[[#This Row],[Task Name]]="","",Tasks[[#This Row],[Forecast Start]])</f>
        <v/>
      </c>
      <c r="AS82" s="25" t="str">
        <f aca="false">IF(Tasks[[#This Row],[Task Name]]="","",Tasks[[#This Row],[Forecast Finish]])</f>
        <v/>
      </c>
      <c r="AT8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82" s="81" t="str">
        <f aca="false">IF(Tasks[[#This Row],[Task Name]]="","",Tasks[[#This Row],[Work]])</f>
        <v/>
      </c>
      <c r="AV82" s="82" t="str">
        <f aca="false">IF(Tasks[[#This Row],[Task Name]]="","",Tasks[[#This Row],[Cost]])</f>
        <v/>
      </c>
      <c r="AW82" s="72"/>
      <c r="AX82" s="72"/>
      <c r="AY82" s="29"/>
      <c r="AZ82" s="85"/>
      <c r="BA82" s="83"/>
      <c r="BB82" s="28" t="str">
        <f aca="false">IF(OR(Tasks[[#This Row],[Task Name]]="",Tasks[[#This Row],[Baseline Duration]]=""),"",Tasks[[#This Row],[BL Source Duration]]-N(Tasks[[#This Row],[Baseline Duration]]))</f>
        <v/>
      </c>
      <c r="BC82" s="81" t="str">
        <f aca="false">IF(OR(Tasks[[#This Row],[Task Name]]="",Tasks[[#This Row],[Baseline Work]]=""),"",Tasks[[#This Row],[Work]]-N(Tasks[[#This Row],[Baseline Work]]))</f>
        <v/>
      </c>
      <c r="BD82" s="82" t="str">
        <f aca="false">IF(OR(Tasks[[#This Row],[Task Name]]="",Tasks[[#This Row],[Baseline Cost]]=""),"",Tasks[[#This Row],[Cost]]-N(Tasks[[#This Row],[Baseline Cost]]))</f>
        <v/>
      </c>
      <c r="BE8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8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8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8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82" s="43" t="str">
        <f aca="false">IF(Tasks[[#This Row],[Task Name]]="","",MAX(1,N(Tasks[[#This Row],[Level]])))</f>
        <v/>
      </c>
      <c r="BJ82" s="43" t="n">
        <f aca="false">ROW()-ROW(Tasks[[#Headers],[ID]])</f>
        <v>77</v>
      </c>
      <c r="BK8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82" s="43" t="n">
        <f aca="false">IFERROR(N(INDEX(Tasks[_Level],Tasks[[#This Row],[_Row]]+1)),0)</f>
        <v>0</v>
      </c>
      <c r="BM82" s="86" t="b">
        <f aca="false">AND(Tasks[[#This Row],[Task Name]]&lt;&gt;"",Tasks[[#This Row],[_NextLevel]]&gt;Tasks[[#This Row],[_Level]])</f>
        <v>0</v>
      </c>
      <c r="BN82" s="43" t="n">
        <f aca="false">IF(Tasks[[#This Row],[_IsSummary]],COUNTIF(Tasks[WBS],Tasks[[#This Row],[WBS]]&amp;".*"),0)</f>
        <v>0</v>
      </c>
      <c r="BO82" s="43" t="n">
        <f aca="false">IF(AND(Tasks[[#This Row],[Task Name]]&lt;&gt;"",NOT(Tasks[[#This Row],[_IsSummary]])),1,0)</f>
        <v>0</v>
      </c>
      <c r="BP82" s="43" t="n">
        <f aca="false">IF(N(Tasks[[#This Row],[Pred1 UID]])=0,0,IFERROR(MATCH(Tasks[[#This Row],[Pred1 UID]],Tasks[UID],0),-1))</f>
        <v>0</v>
      </c>
      <c r="BQ82" s="43" t="n">
        <f aca="false">IF(N(Tasks[[#This Row],[Pred2 UID]])=0,0,IFERROR(MATCH(Tasks[[#This Row],[Pred2 UID]],Tasks[UID],0),-1))</f>
        <v>0</v>
      </c>
      <c r="BR8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8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8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8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82" s="43" t="n">
        <f aca="false">IF(NOT(Tasks[[#This Row],[_IsLeaf]]=1),0,IF(N(Tasks[[#This Row],[Actual Finish]])&gt;0,1,MIN(1,N(Tasks[[#This Row],[% Complete]]))))</f>
        <v>0</v>
      </c>
      <c r="BW8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82" s="43" t="n">
        <f aca="false">IF(Tasks[[#This Row],[_LeafWork]]=0,0,Tasks[[#This Row],[_LeafWork]]*IFERROR(INDEX(res_Rate,MATCH(Tasks[[#This Row],[Resource]],res_Name,0)),0))</f>
        <v>0</v>
      </c>
      <c r="BY8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8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8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8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82" s="43" t="n">
        <f aca="false">IF(NOT(Tasks[[#This Row],[_IsLeaf]]=1),0,MAX(_xlfn.MAXIFS(Tasks[_Row],Tasks[Pred1 UID],Tasks[[#This Row],[UID]]),_xlfn.MAXIFS(Tasks[_Row],Tasks[Pred2 UID],Tasks[[#This Row],[UID]])))</f>
        <v>0</v>
      </c>
      <c r="CD8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82" s="87" t="str">
        <f aca="false">IF(NOT(Tasks[[#This Row],[_IsLeaf]]=1),"",MIN(ProjectFinish,IF(N(Tasks[[#This Row],[Deadline]])&gt;0,Tasks[[#This Row],[Deadline]],2958465),Tasks[[#This Row],[_SuccessorFinishLimit]]))</f>
        <v/>
      </c>
      <c r="CF8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8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82" s="86" t="b">
        <f aca="false">AND(Tasks[[#This Row],[_IsLeaf]]=1,Tasks[[#This Row],[_LeafProgress]]&lt;1,N(Tasks[[#This Row],[_LeafTotalSlack]])&lt;=CriticalSlackDays)</f>
        <v>0</v>
      </c>
      <c r="CI8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8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8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8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8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8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8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8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82" s="43" t="n">
        <f aca="false">IF(AND(Tasks[[#This Row],[_IsLeaf]]=1,Tasks[[#This Row],[_LeafWork]]&gt;0),NETWORKDAYS.INTL(ProjectStart,Tasks[[#This Row],[_LeafFcstStart]],WorkWeek,Holidays),0)</f>
        <v>0</v>
      </c>
      <c r="CR8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82" s="43" t="n">
        <f aca="false">IF(AND(Tasks[[#This Row],[_IsLeaf]]=1,Tasks[[#This Row],[_LeafWork]]&gt;0),Tasks[[#This Row],[_LeafWork]]/(Tasks[[#This Row],[_FinishWorkday]]-Tasks[[#This Row],[_StartWorkday]]+1),0)</f>
        <v>0</v>
      </c>
      <c r="CT82" s="43" t="n">
        <f aca="false">Tasks[[#This Row],[_WorkPerWorkday]]*(Tasks[[#This Row],[_StartWorkday]]-1)</f>
        <v>-0</v>
      </c>
      <c r="CU82" s="43" t="n">
        <f aca="false">IF(Tasks[[#This Row],[_IsLeaf]]=1,MAX(N(Tasks[[#This Row],[Duration]]),0.1),0)</f>
        <v>0</v>
      </c>
      <c r="CV82" s="43" t="n">
        <f aca="false">Tasks[[#This Row],[_WeightDur]]*Tasks[[#This Row],[_LeafProgress]]</f>
        <v>0</v>
      </c>
      <c r="CW8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8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8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8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8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82" s="43" t="str">
        <f aca="false">IF(AND(Tasks[[#This Row],[_IsLeaf]]=1,N(Tasks[[#This Row],[Duration]])=0,Tasks[[#This Row],[_LeafProgress]]&lt;1),Tasks[[#This Row],[_LeafFcstFinish]]+Tasks[[#This Row],[_Row]]/100000,"")</f>
        <v/>
      </c>
      <c r="DC8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82" s="43" t="n">
        <f aca="false">IF(NOT(Tasks[[#This Row],[_IsLeaf]]=1),0,IF(Tasks[[#This Row],[Baseline Cost]]="",Tasks[[#This Row],[_LeafCost]],N(Tasks[[#This Row],[Baseline Cost]])))</f>
        <v>0</v>
      </c>
      <c r="DE82" s="43" t="n">
        <f aca="false">Tasks[[#This Row],[_LeafBudget]]*Tasks[[#This Row],[_PlannedPct]]</f>
        <v>0</v>
      </c>
      <c r="DF82" s="43" t="n">
        <f aca="false">Tasks[[#This Row],[_LeafBudget]]*Tasks[[#This Row],[_LeafProgress]]</f>
        <v>0</v>
      </c>
      <c r="DG82" s="43" t="n">
        <f aca="false">IF(NOT(Tasks[[#This Row],[_IsLeaf]]=1),0,IF(Tasks[[#This Row],[Actual Cost]]="",Tasks[[#This Row],[_LeafCost]]*Tasks[[#This Row],[_LeafProgress]],N(Tasks[[#This Row],[Actual Cost]])))</f>
        <v>0</v>
      </c>
      <c r="DH82" s="43" t="str">
        <f aca="false">IF(Tasks[[#This Row],[Task Name]]="","",LEFT(Tasks[[#This Row],[WBS]],FIND(".",Tasks[[#This Row],[WBS]]&amp;".")-1))</f>
        <v/>
      </c>
      <c r="DI82" s="43" t="str">
        <f aca="false">IF(AND(Tasks[[#This Row],[Task Name]]&lt;&gt;"",Tasks[[#This Row],[_Level]]=1),Tasks[[#This Row],[_Row]],"")</f>
        <v/>
      </c>
      <c r="DJ82" s="43" t="str">
        <f aca="false">IF(AND(Tasks[[#This Row],[_IsLeaf]]=1,N(Tasks[[#This Row],[Duration]])=0),Tasks[[#This Row],[Planned Finish]]+Tasks[[#This Row],[_Row]]/100000,"")</f>
        <v/>
      </c>
      <c r="DK8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8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8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82" s="43" t="str">
        <f aca="false">IF(Tasks[[#This Row],[_LeafCritical]],Tasks[[#This Row],[_LeafFcstStart]]+Tasks[[#This Row],[_Row]]/100000,"")</f>
        <v/>
      </c>
      <c r="DO82" s="43" t="n">
        <f aca="false">Tasks[[#This Row],[_LeafWork]]*Tasks[[#This Row],[_LeafProgress]]</f>
        <v>0</v>
      </c>
      <c r="DP8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82" s="43" t="n">
        <f aca="false">IF(Tasks[[#This Row],[_IsLeaf]]=1,N(Tasks[[#This Row],[Story Points]]),0)</f>
        <v>0</v>
      </c>
      <c r="DR82" s="43" t="str">
        <f aca="false">IF(AND(Tasks[[#This Row],[_IsLeaf]]=1,CurrentSprint&lt;&gt;"",Tasks[[#This Row],[Sprint]]=CurrentSprint),Tasks[[#This Row],[_Row]],"")</f>
        <v/>
      </c>
    </row>
    <row r="83" customFormat="false" ht="15" hidden="false" customHeight="false" outlineLevel="0" collapsed="false">
      <c r="A83" s="28" t="str">
        <f aca="false">IF(Tasks[[#This Row],[Task Name]]="","",COUNTA(Tasks[[#Headers],[Task Name]]:Tasks[[#This Row],[Task Name]])-1)</f>
        <v/>
      </c>
      <c r="B83" s="29" t="n">
        <v>78</v>
      </c>
      <c r="C8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83" s="29"/>
      <c r="E83" s="30"/>
      <c r="F83" s="29"/>
      <c r="G83" s="29"/>
      <c r="H83" s="29"/>
      <c r="I83" s="29"/>
      <c r="J83" s="29"/>
      <c r="K83" s="29"/>
      <c r="L83" s="29"/>
      <c r="M83" s="29"/>
      <c r="N83" s="72"/>
      <c r="O83" s="72"/>
      <c r="P83" s="25" t="str">
        <f aca="false">IF(Tasks[[#This Row],[Task Name]]="","",IF(N(Tasks[[#This Row],[Baseline Start]])&gt;0,Tasks[[#This Row],[Baseline Start]],Tasks[[#This Row],[_CalcStart]]))</f>
        <v/>
      </c>
      <c r="Q83" s="25" t="str">
        <f aca="false">IF(Tasks[[#This Row],[Task Name]]="","",IF(N(Tasks[[#This Row],[Baseline Finish]])&gt;0,Tasks[[#This Row],[Baseline Finish]],Tasks[[#This Row],[_CalcFinish]]))</f>
        <v/>
      </c>
      <c r="R83" s="72"/>
      <c r="S83" s="72"/>
      <c r="T8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8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8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8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8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8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8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8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8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8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8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83" s="74"/>
      <c r="AF8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8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83" s="30"/>
      <c r="AI83" s="74"/>
      <c r="AJ8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8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83" s="83"/>
      <c r="AM83" s="29"/>
      <c r="AN8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83" s="84"/>
      <c r="AP8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83" s="30"/>
      <c r="AR83" s="25" t="str">
        <f aca="false">IF(Tasks[[#This Row],[Task Name]]="","",Tasks[[#This Row],[Forecast Start]])</f>
        <v/>
      </c>
      <c r="AS83" s="25" t="str">
        <f aca="false">IF(Tasks[[#This Row],[Task Name]]="","",Tasks[[#This Row],[Forecast Finish]])</f>
        <v/>
      </c>
      <c r="AT8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83" s="81" t="str">
        <f aca="false">IF(Tasks[[#This Row],[Task Name]]="","",Tasks[[#This Row],[Work]])</f>
        <v/>
      </c>
      <c r="AV83" s="82" t="str">
        <f aca="false">IF(Tasks[[#This Row],[Task Name]]="","",Tasks[[#This Row],[Cost]])</f>
        <v/>
      </c>
      <c r="AW83" s="72"/>
      <c r="AX83" s="72"/>
      <c r="AY83" s="29"/>
      <c r="AZ83" s="85"/>
      <c r="BA83" s="83"/>
      <c r="BB83" s="28" t="str">
        <f aca="false">IF(OR(Tasks[[#This Row],[Task Name]]="",Tasks[[#This Row],[Baseline Duration]]=""),"",Tasks[[#This Row],[BL Source Duration]]-N(Tasks[[#This Row],[Baseline Duration]]))</f>
        <v/>
      </c>
      <c r="BC83" s="81" t="str">
        <f aca="false">IF(OR(Tasks[[#This Row],[Task Name]]="",Tasks[[#This Row],[Baseline Work]]=""),"",Tasks[[#This Row],[Work]]-N(Tasks[[#This Row],[Baseline Work]]))</f>
        <v/>
      </c>
      <c r="BD83" s="82" t="str">
        <f aca="false">IF(OR(Tasks[[#This Row],[Task Name]]="",Tasks[[#This Row],[Baseline Cost]]=""),"",Tasks[[#This Row],[Cost]]-N(Tasks[[#This Row],[Baseline Cost]]))</f>
        <v/>
      </c>
      <c r="BE8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8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8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8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83" s="43" t="str">
        <f aca="false">IF(Tasks[[#This Row],[Task Name]]="","",MAX(1,N(Tasks[[#This Row],[Level]])))</f>
        <v/>
      </c>
      <c r="BJ83" s="43" t="n">
        <f aca="false">ROW()-ROW(Tasks[[#Headers],[ID]])</f>
        <v>78</v>
      </c>
      <c r="BK8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83" s="43" t="n">
        <f aca="false">IFERROR(N(INDEX(Tasks[_Level],Tasks[[#This Row],[_Row]]+1)),0)</f>
        <v>0</v>
      </c>
      <c r="BM83" s="86" t="b">
        <f aca="false">AND(Tasks[[#This Row],[Task Name]]&lt;&gt;"",Tasks[[#This Row],[_NextLevel]]&gt;Tasks[[#This Row],[_Level]])</f>
        <v>0</v>
      </c>
      <c r="BN83" s="43" t="n">
        <f aca="false">IF(Tasks[[#This Row],[_IsSummary]],COUNTIF(Tasks[WBS],Tasks[[#This Row],[WBS]]&amp;".*"),0)</f>
        <v>0</v>
      </c>
      <c r="BO83" s="43" t="n">
        <f aca="false">IF(AND(Tasks[[#This Row],[Task Name]]&lt;&gt;"",NOT(Tasks[[#This Row],[_IsSummary]])),1,0)</f>
        <v>0</v>
      </c>
      <c r="BP83" s="43" t="n">
        <f aca="false">IF(N(Tasks[[#This Row],[Pred1 UID]])=0,0,IFERROR(MATCH(Tasks[[#This Row],[Pred1 UID]],Tasks[UID],0),-1))</f>
        <v>0</v>
      </c>
      <c r="BQ83" s="43" t="n">
        <f aca="false">IF(N(Tasks[[#This Row],[Pred2 UID]])=0,0,IFERROR(MATCH(Tasks[[#This Row],[Pred2 UID]],Tasks[UID],0),-1))</f>
        <v>0</v>
      </c>
      <c r="BR8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8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8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8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83" s="43" t="n">
        <f aca="false">IF(NOT(Tasks[[#This Row],[_IsLeaf]]=1),0,IF(N(Tasks[[#This Row],[Actual Finish]])&gt;0,1,MIN(1,N(Tasks[[#This Row],[% Complete]]))))</f>
        <v>0</v>
      </c>
      <c r="BW8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83" s="43" t="n">
        <f aca="false">IF(Tasks[[#This Row],[_LeafWork]]=0,0,Tasks[[#This Row],[_LeafWork]]*IFERROR(INDEX(res_Rate,MATCH(Tasks[[#This Row],[Resource]],res_Name,0)),0))</f>
        <v>0</v>
      </c>
      <c r="BY8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8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8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8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83" s="43" t="n">
        <f aca="false">IF(NOT(Tasks[[#This Row],[_IsLeaf]]=1),0,MAX(_xlfn.MAXIFS(Tasks[_Row],Tasks[Pred1 UID],Tasks[[#This Row],[UID]]),_xlfn.MAXIFS(Tasks[_Row],Tasks[Pred2 UID],Tasks[[#This Row],[UID]])))</f>
        <v>0</v>
      </c>
      <c r="CD8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83" s="87" t="str">
        <f aca="false">IF(NOT(Tasks[[#This Row],[_IsLeaf]]=1),"",MIN(ProjectFinish,IF(N(Tasks[[#This Row],[Deadline]])&gt;0,Tasks[[#This Row],[Deadline]],2958465),Tasks[[#This Row],[_SuccessorFinishLimit]]))</f>
        <v/>
      </c>
      <c r="CF8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8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83" s="86" t="b">
        <f aca="false">AND(Tasks[[#This Row],[_IsLeaf]]=1,Tasks[[#This Row],[_LeafProgress]]&lt;1,N(Tasks[[#This Row],[_LeafTotalSlack]])&lt;=CriticalSlackDays)</f>
        <v>0</v>
      </c>
      <c r="CI8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8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8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8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8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8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8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8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83" s="43" t="n">
        <f aca="false">IF(AND(Tasks[[#This Row],[_IsLeaf]]=1,Tasks[[#This Row],[_LeafWork]]&gt;0),NETWORKDAYS.INTL(ProjectStart,Tasks[[#This Row],[_LeafFcstStart]],WorkWeek,Holidays),0)</f>
        <v>0</v>
      </c>
      <c r="CR8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83" s="43" t="n">
        <f aca="false">IF(AND(Tasks[[#This Row],[_IsLeaf]]=1,Tasks[[#This Row],[_LeafWork]]&gt;0),Tasks[[#This Row],[_LeafWork]]/(Tasks[[#This Row],[_FinishWorkday]]-Tasks[[#This Row],[_StartWorkday]]+1),0)</f>
        <v>0</v>
      </c>
      <c r="CT83" s="43" t="n">
        <f aca="false">Tasks[[#This Row],[_WorkPerWorkday]]*(Tasks[[#This Row],[_StartWorkday]]-1)</f>
        <v>-0</v>
      </c>
      <c r="CU83" s="43" t="n">
        <f aca="false">IF(Tasks[[#This Row],[_IsLeaf]]=1,MAX(N(Tasks[[#This Row],[Duration]]),0.1),0)</f>
        <v>0</v>
      </c>
      <c r="CV83" s="43" t="n">
        <f aca="false">Tasks[[#This Row],[_WeightDur]]*Tasks[[#This Row],[_LeafProgress]]</f>
        <v>0</v>
      </c>
      <c r="CW8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8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8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8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8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83" s="43" t="str">
        <f aca="false">IF(AND(Tasks[[#This Row],[_IsLeaf]]=1,N(Tasks[[#This Row],[Duration]])=0,Tasks[[#This Row],[_LeafProgress]]&lt;1),Tasks[[#This Row],[_LeafFcstFinish]]+Tasks[[#This Row],[_Row]]/100000,"")</f>
        <v/>
      </c>
      <c r="DC8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83" s="43" t="n">
        <f aca="false">IF(NOT(Tasks[[#This Row],[_IsLeaf]]=1),0,IF(Tasks[[#This Row],[Baseline Cost]]="",Tasks[[#This Row],[_LeafCost]],N(Tasks[[#This Row],[Baseline Cost]])))</f>
        <v>0</v>
      </c>
      <c r="DE83" s="43" t="n">
        <f aca="false">Tasks[[#This Row],[_LeafBudget]]*Tasks[[#This Row],[_PlannedPct]]</f>
        <v>0</v>
      </c>
      <c r="DF83" s="43" t="n">
        <f aca="false">Tasks[[#This Row],[_LeafBudget]]*Tasks[[#This Row],[_LeafProgress]]</f>
        <v>0</v>
      </c>
      <c r="DG83" s="43" t="n">
        <f aca="false">IF(NOT(Tasks[[#This Row],[_IsLeaf]]=1),0,IF(Tasks[[#This Row],[Actual Cost]]="",Tasks[[#This Row],[_LeafCost]]*Tasks[[#This Row],[_LeafProgress]],N(Tasks[[#This Row],[Actual Cost]])))</f>
        <v>0</v>
      </c>
      <c r="DH83" s="43" t="str">
        <f aca="false">IF(Tasks[[#This Row],[Task Name]]="","",LEFT(Tasks[[#This Row],[WBS]],FIND(".",Tasks[[#This Row],[WBS]]&amp;".")-1))</f>
        <v/>
      </c>
      <c r="DI83" s="43" t="str">
        <f aca="false">IF(AND(Tasks[[#This Row],[Task Name]]&lt;&gt;"",Tasks[[#This Row],[_Level]]=1),Tasks[[#This Row],[_Row]],"")</f>
        <v/>
      </c>
      <c r="DJ83" s="43" t="str">
        <f aca="false">IF(AND(Tasks[[#This Row],[_IsLeaf]]=1,N(Tasks[[#This Row],[Duration]])=0),Tasks[[#This Row],[Planned Finish]]+Tasks[[#This Row],[_Row]]/100000,"")</f>
        <v/>
      </c>
      <c r="DK8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8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8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83" s="43" t="str">
        <f aca="false">IF(Tasks[[#This Row],[_LeafCritical]],Tasks[[#This Row],[_LeafFcstStart]]+Tasks[[#This Row],[_Row]]/100000,"")</f>
        <v/>
      </c>
      <c r="DO83" s="43" t="n">
        <f aca="false">Tasks[[#This Row],[_LeafWork]]*Tasks[[#This Row],[_LeafProgress]]</f>
        <v>0</v>
      </c>
      <c r="DP8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83" s="43" t="n">
        <f aca="false">IF(Tasks[[#This Row],[_IsLeaf]]=1,N(Tasks[[#This Row],[Story Points]]),0)</f>
        <v>0</v>
      </c>
      <c r="DR83" s="43" t="str">
        <f aca="false">IF(AND(Tasks[[#This Row],[_IsLeaf]]=1,CurrentSprint&lt;&gt;"",Tasks[[#This Row],[Sprint]]=CurrentSprint),Tasks[[#This Row],[_Row]],"")</f>
        <v/>
      </c>
    </row>
    <row r="84" customFormat="false" ht="15" hidden="false" customHeight="false" outlineLevel="0" collapsed="false">
      <c r="A84" s="28" t="str">
        <f aca="false">IF(Tasks[[#This Row],[Task Name]]="","",COUNTA(Tasks[[#Headers],[Task Name]]:Tasks[[#This Row],[Task Name]])-1)</f>
        <v/>
      </c>
      <c r="B84" s="29" t="n">
        <v>79</v>
      </c>
      <c r="C8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84" s="29"/>
      <c r="E84" s="30"/>
      <c r="F84" s="29"/>
      <c r="G84" s="29"/>
      <c r="H84" s="29"/>
      <c r="I84" s="29"/>
      <c r="J84" s="29"/>
      <c r="K84" s="29"/>
      <c r="L84" s="29"/>
      <c r="M84" s="29"/>
      <c r="N84" s="72"/>
      <c r="O84" s="72"/>
      <c r="P84" s="25" t="str">
        <f aca="false">IF(Tasks[[#This Row],[Task Name]]="","",IF(N(Tasks[[#This Row],[Baseline Start]])&gt;0,Tasks[[#This Row],[Baseline Start]],Tasks[[#This Row],[_CalcStart]]))</f>
        <v/>
      </c>
      <c r="Q84" s="25" t="str">
        <f aca="false">IF(Tasks[[#This Row],[Task Name]]="","",IF(N(Tasks[[#This Row],[Baseline Finish]])&gt;0,Tasks[[#This Row],[Baseline Finish]],Tasks[[#This Row],[_CalcFinish]]))</f>
        <v/>
      </c>
      <c r="R84" s="72"/>
      <c r="S84" s="72"/>
      <c r="T8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8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8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8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8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8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8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8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8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8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8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84" s="74"/>
      <c r="AF8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8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84" s="30"/>
      <c r="AI84" s="74"/>
      <c r="AJ8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8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84" s="83"/>
      <c r="AM84" s="29"/>
      <c r="AN8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84" s="84"/>
      <c r="AP8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84" s="30"/>
      <c r="AR84" s="25" t="str">
        <f aca="false">IF(Tasks[[#This Row],[Task Name]]="","",Tasks[[#This Row],[Forecast Start]])</f>
        <v/>
      </c>
      <c r="AS84" s="25" t="str">
        <f aca="false">IF(Tasks[[#This Row],[Task Name]]="","",Tasks[[#This Row],[Forecast Finish]])</f>
        <v/>
      </c>
      <c r="AT8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84" s="81" t="str">
        <f aca="false">IF(Tasks[[#This Row],[Task Name]]="","",Tasks[[#This Row],[Work]])</f>
        <v/>
      </c>
      <c r="AV84" s="82" t="str">
        <f aca="false">IF(Tasks[[#This Row],[Task Name]]="","",Tasks[[#This Row],[Cost]])</f>
        <v/>
      </c>
      <c r="AW84" s="72"/>
      <c r="AX84" s="72"/>
      <c r="AY84" s="29"/>
      <c r="AZ84" s="85"/>
      <c r="BA84" s="83"/>
      <c r="BB84" s="28" t="str">
        <f aca="false">IF(OR(Tasks[[#This Row],[Task Name]]="",Tasks[[#This Row],[Baseline Duration]]=""),"",Tasks[[#This Row],[BL Source Duration]]-N(Tasks[[#This Row],[Baseline Duration]]))</f>
        <v/>
      </c>
      <c r="BC84" s="81" t="str">
        <f aca="false">IF(OR(Tasks[[#This Row],[Task Name]]="",Tasks[[#This Row],[Baseline Work]]=""),"",Tasks[[#This Row],[Work]]-N(Tasks[[#This Row],[Baseline Work]]))</f>
        <v/>
      </c>
      <c r="BD84" s="82" t="str">
        <f aca="false">IF(OR(Tasks[[#This Row],[Task Name]]="",Tasks[[#This Row],[Baseline Cost]]=""),"",Tasks[[#This Row],[Cost]]-N(Tasks[[#This Row],[Baseline Cost]]))</f>
        <v/>
      </c>
      <c r="BE8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8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8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8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84" s="43" t="str">
        <f aca="false">IF(Tasks[[#This Row],[Task Name]]="","",MAX(1,N(Tasks[[#This Row],[Level]])))</f>
        <v/>
      </c>
      <c r="BJ84" s="43" t="n">
        <f aca="false">ROW()-ROW(Tasks[[#Headers],[ID]])</f>
        <v>79</v>
      </c>
      <c r="BK8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84" s="43" t="n">
        <f aca="false">IFERROR(N(INDEX(Tasks[_Level],Tasks[[#This Row],[_Row]]+1)),0)</f>
        <v>0</v>
      </c>
      <c r="BM84" s="86" t="b">
        <f aca="false">AND(Tasks[[#This Row],[Task Name]]&lt;&gt;"",Tasks[[#This Row],[_NextLevel]]&gt;Tasks[[#This Row],[_Level]])</f>
        <v>0</v>
      </c>
      <c r="BN84" s="43" t="n">
        <f aca="false">IF(Tasks[[#This Row],[_IsSummary]],COUNTIF(Tasks[WBS],Tasks[[#This Row],[WBS]]&amp;".*"),0)</f>
        <v>0</v>
      </c>
      <c r="BO84" s="43" t="n">
        <f aca="false">IF(AND(Tasks[[#This Row],[Task Name]]&lt;&gt;"",NOT(Tasks[[#This Row],[_IsSummary]])),1,0)</f>
        <v>0</v>
      </c>
      <c r="BP84" s="43" t="n">
        <f aca="false">IF(N(Tasks[[#This Row],[Pred1 UID]])=0,0,IFERROR(MATCH(Tasks[[#This Row],[Pred1 UID]],Tasks[UID],0),-1))</f>
        <v>0</v>
      </c>
      <c r="BQ84" s="43" t="n">
        <f aca="false">IF(N(Tasks[[#This Row],[Pred2 UID]])=0,0,IFERROR(MATCH(Tasks[[#This Row],[Pred2 UID]],Tasks[UID],0),-1))</f>
        <v>0</v>
      </c>
      <c r="BR8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8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8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8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84" s="43" t="n">
        <f aca="false">IF(NOT(Tasks[[#This Row],[_IsLeaf]]=1),0,IF(N(Tasks[[#This Row],[Actual Finish]])&gt;0,1,MIN(1,N(Tasks[[#This Row],[% Complete]]))))</f>
        <v>0</v>
      </c>
      <c r="BW8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84" s="43" t="n">
        <f aca="false">IF(Tasks[[#This Row],[_LeafWork]]=0,0,Tasks[[#This Row],[_LeafWork]]*IFERROR(INDEX(res_Rate,MATCH(Tasks[[#This Row],[Resource]],res_Name,0)),0))</f>
        <v>0</v>
      </c>
      <c r="BY8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8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8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8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84" s="43" t="n">
        <f aca="false">IF(NOT(Tasks[[#This Row],[_IsLeaf]]=1),0,MAX(_xlfn.MAXIFS(Tasks[_Row],Tasks[Pred1 UID],Tasks[[#This Row],[UID]]),_xlfn.MAXIFS(Tasks[_Row],Tasks[Pred2 UID],Tasks[[#This Row],[UID]])))</f>
        <v>0</v>
      </c>
      <c r="CD8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84" s="87" t="str">
        <f aca="false">IF(NOT(Tasks[[#This Row],[_IsLeaf]]=1),"",MIN(ProjectFinish,IF(N(Tasks[[#This Row],[Deadline]])&gt;0,Tasks[[#This Row],[Deadline]],2958465),Tasks[[#This Row],[_SuccessorFinishLimit]]))</f>
        <v/>
      </c>
      <c r="CF8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8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84" s="86" t="b">
        <f aca="false">AND(Tasks[[#This Row],[_IsLeaf]]=1,Tasks[[#This Row],[_LeafProgress]]&lt;1,N(Tasks[[#This Row],[_LeafTotalSlack]])&lt;=CriticalSlackDays)</f>
        <v>0</v>
      </c>
      <c r="CI8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8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8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8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8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8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8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8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84" s="43" t="n">
        <f aca="false">IF(AND(Tasks[[#This Row],[_IsLeaf]]=1,Tasks[[#This Row],[_LeafWork]]&gt;0),NETWORKDAYS.INTL(ProjectStart,Tasks[[#This Row],[_LeafFcstStart]],WorkWeek,Holidays),0)</f>
        <v>0</v>
      </c>
      <c r="CR8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84" s="43" t="n">
        <f aca="false">IF(AND(Tasks[[#This Row],[_IsLeaf]]=1,Tasks[[#This Row],[_LeafWork]]&gt;0),Tasks[[#This Row],[_LeafWork]]/(Tasks[[#This Row],[_FinishWorkday]]-Tasks[[#This Row],[_StartWorkday]]+1),0)</f>
        <v>0</v>
      </c>
      <c r="CT84" s="43" t="n">
        <f aca="false">Tasks[[#This Row],[_WorkPerWorkday]]*(Tasks[[#This Row],[_StartWorkday]]-1)</f>
        <v>-0</v>
      </c>
      <c r="CU84" s="43" t="n">
        <f aca="false">IF(Tasks[[#This Row],[_IsLeaf]]=1,MAX(N(Tasks[[#This Row],[Duration]]),0.1),0)</f>
        <v>0</v>
      </c>
      <c r="CV84" s="43" t="n">
        <f aca="false">Tasks[[#This Row],[_WeightDur]]*Tasks[[#This Row],[_LeafProgress]]</f>
        <v>0</v>
      </c>
      <c r="CW8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8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8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8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8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84" s="43" t="str">
        <f aca="false">IF(AND(Tasks[[#This Row],[_IsLeaf]]=1,N(Tasks[[#This Row],[Duration]])=0,Tasks[[#This Row],[_LeafProgress]]&lt;1),Tasks[[#This Row],[_LeafFcstFinish]]+Tasks[[#This Row],[_Row]]/100000,"")</f>
        <v/>
      </c>
      <c r="DC8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84" s="43" t="n">
        <f aca="false">IF(NOT(Tasks[[#This Row],[_IsLeaf]]=1),0,IF(Tasks[[#This Row],[Baseline Cost]]="",Tasks[[#This Row],[_LeafCost]],N(Tasks[[#This Row],[Baseline Cost]])))</f>
        <v>0</v>
      </c>
      <c r="DE84" s="43" t="n">
        <f aca="false">Tasks[[#This Row],[_LeafBudget]]*Tasks[[#This Row],[_PlannedPct]]</f>
        <v>0</v>
      </c>
      <c r="DF84" s="43" t="n">
        <f aca="false">Tasks[[#This Row],[_LeafBudget]]*Tasks[[#This Row],[_LeafProgress]]</f>
        <v>0</v>
      </c>
      <c r="DG84" s="43" t="n">
        <f aca="false">IF(NOT(Tasks[[#This Row],[_IsLeaf]]=1),0,IF(Tasks[[#This Row],[Actual Cost]]="",Tasks[[#This Row],[_LeafCost]]*Tasks[[#This Row],[_LeafProgress]],N(Tasks[[#This Row],[Actual Cost]])))</f>
        <v>0</v>
      </c>
      <c r="DH84" s="43" t="str">
        <f aca="false">IF(Tasks[[#This Row],[Task Name]]="","",LEFT(Tasks[[#This Row],[WBS]],FIND(".",Tasks[[#This Row],[WBS]]&amp;".")-1))</f>
        <v/>
      </c>
      <c r="DI84" s="43" t="str">
        <f aca="false">IF(AND(Tasks[[#This Row],[Task Name]]&lt;&gt;"",Tasks[[#This Row],[_Level]]=1),Tasks[[#This Row],[_Row]],"")</f>
        <v/>
      </c>
      <c r="DJ84" s="43" t="str">
        <f aca="false">IF(AND(Tasks[[#This Row],[_IsLeaf]]=1,N(Tasks[[#This Row],[Duration]])=0),Tasks[[#This Row],[Planned Finish]]+Tasks[[#This Row],[_Row]]/100000,"")</f>
        <v/>
      </c>
      <c r="DK8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8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8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84" s="43" t="str">
        <f aca="false">IF(Tasks[[#This Row],[_LeafCritical]],Tasks[[#This Row],[_LeafFcstStart]]+Tasks[[#This Row],[_Row]]/100000,"")</f>
        <v/>
      </c>
      <c r="DO84" s="43" t="n">
        <f aca="false">Tasks[[#This Row],[_LeafWork]]*Tasks[[#This Row],[_LeafProgress]]</f>
        <v>0</v>
      </c>
      <c r="DP8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84" s="43" t="n">
        <f aca="false">IF(Tasks[[#This Row],[_IsLeaf]]=1,N(Tasks[[#This Row],[Story Points]]),0)</f>
        <v>0</v>
      </c>
      <c r="DR84" s="43" t="str">
        <f aca="false">IF(AND(Tasks[[#This Row],[_IsLeaf]]=1,CurrentSprint&lt;&gt;"",Tasks[[#This Row],[Sprint]]=CurrentSprint),Tasks[[#This Row],[_Row]],"")</f>
        <v/>
      </c>
    </row>
    <row r="85" customFormat="false" ht="15" hidden="false" customHeight="false" outlineLevel="0" collapsed="false">
      <c r="A85" s="28" t="str">
        <f aca="false">IF(Tasks[[#This Row],[Task Name]]="","",COUNTA(Tasks[[#Headers],[Task Name]]:Tasks[[#This Row],[Task Name]])-1)</f>
        <v/>
      </c>
      <c r="B85" s="29" t="n">
        <v>80</v>
      </c>
      <c r="C8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85" s="29"/>
      <c r="E85" s="30"/>
      <c r="F85" s="29"/>
      <c r="G85" s="29"/>
      <c r="H85" s="29"/>
      <c r="I85" s="29"/>
      <c r="J85" s="29"/>
      <c r="K85" s="29"/>
      <c r="L85" s="29"/>
      <c r="M85" s="29"/>
      <c r="N85" s="72"/>
      <c r="O85" s="72"/>
      <c r="P85" s="25" t="str">
        <f aca="false">IF(Tasks[[#This Row],[Task Name]]="","",IF(N(Tasks[[#This Row],[Baseline Start]])&gt;0,Tasks[[#This Row],[Baseline Start]],Tasks[[#This Row],[_CalcStart]]))</f>
        <v/>
      </c>
      <c r="Q85" s="25" t="str">
        <f aca="false">IF(Tasks[[#This Row],[Task Name]]="","",IF(N(Tasks[[#This Row],[Baseline Finish]])&gt;0,Tasks[[#This Row],[Baseline Finish]],Tasks[[#This Row],[_CalcFinish]]))</f>
        <v/>
      </c>
      <c r="R85" s="72"/>
      <c r="S85" s="72"/>
      <c r="T8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8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8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8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8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8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8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8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8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8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8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85" s="74"/>
      <c r="AF8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8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85" s="30"/>
      <c r="AI85" s="74"/>
      <c r="AJ8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8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85" s="83"/>
      <c r="AM85" s="29"/>
      <c r="AN8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85" s="84"/>
      <c r="AP8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85" s="30"/>
      <c r="AR85" s="25" t="str">
        <f aca="false">IF(Tasks[[#This Row],[Task Name]]="","",Tasks[[#This Row],[Forecast Start]])</f>
        <v/>
      </c>
      <c r="AS85" s="25" t="str">
        <f aca="false">IF(Tasks[[#This Row],[Task Name]]="","",Tasks[[#This Row],[Forecast Finish]])</f>
        <v/>
      </c>
      <c r="AT8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85" s="81" t="str">
        <f aca="false">IF(Tasks[[#This Row],[Task Name]]="","",Tasks[[#This Row],[Work]])</f>
        <v/>
      </c>
      <c r="AV85" s="82" t="str">
        <f aca="false">IF(Tasks[[#This Row],[Task Name]]="","",Tasks[[#This Row],[Cost]])</f>
        <v/>
      </c>
      <c r="AW85" s="72"/>
      <c r="AX85" s="72"/>
      <c r="AY85" s="29"/>
      <c r="AZ85" s="85"/>
      <c r="BA85" s="83"/>
      <c r="BB85" s="28" t="str">
        <f aca="false">IF(OR(Tasks[[#This Row],[Task Name]]="",Tasks[[#This Row],[Baseline Duration]]=""),"",Tasks[[#This Row],[BL Source Duration]]-N(Tasks[[#This Row],[Baseline Duration]]))</f>
        <v/>
      </c>
      <c r="BC85" s="81" t="str">
        <f aca="false">IF(OR(Tasks[[#This Row],[Task Name]]="",Tasks[[#This Row],[Baseline Work]]=""),"",Tasks[[#This Row],[Work]]-N(Tasks[[#This Row],[Baseline Work]]))</f>
        <v/>
      </c>
      <c r="BD85" s="82" t="str">
        <f aca="false">IF(OR(Tasks[[#This Row],[Task Name]]="",Tasks[[#This Row],[Baseline Cost]]=""),"",Tasks[[#This Row],[Cost]]-N(Tasks[[#This Row],[Baseline Cost]]))</f>
        <v/>
      </c>
      <c r="BE8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8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8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8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85" s="43" t="str">
        <f aca="false">IF(Tasks[[#This Row],[Task Name]]="","",MAX(1,N(Tasks[[#This Row],[Level]])))</f>
        <v/>
      </c>
      <c r="BJ85" s="43" t="n">
        <f aca="false">ROW()-ROW(Tasks[[#Headers],[ID]])</f>
        <v>80</v>
      </c>
      <c r="BK8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85" s="43" t="n">
        <f aca="false">IFERROR(N(INDEX(Tasks[_Level],Tasks[[#This Row],[_Row]]+1)),0)</f>
        <v>0</v>
      </c>
      <c r="BM85" s="86" t="b">
        <f aca="false">AND(Tasks[[#This Row],[Task Name]]&lt;&gt;"",Tasks[[#This Row],[_NextLevel]]&gt;Tasks[[#This Row],[_Level]])</f>
        <v>0</v>
      </c>
      <c r="BN85" s="43" t="n">
        <f aca="false">IF(Tasks[[#This Row],[_IsSummary]],COUNTIF(Tasks[WBS],Tasks[[#This Row],[WBS]]&amp;".*"),0)</f>
        <v>0</v>
      </c>
      <c r="BO85" s="43" t="n">
        <f aca="false">IF(AND(Tasks[[#This Row],[Task Name]]&lt;&gt;"",NOT(Tasks[[#This Row],[_IsSummary]])),1,0)</f>
        <v>0</v>
      </c>
      <c r="BP85" s="43" t="n">
        <f aca="false">IF(N(Tasks[[#This Row],[Pred1 UID]])=0,0,IFERROR(MATCH(Tasks[[#This Row],[Pred1 UID]],Tasks[UID],0),-1))</f>
        <v>0</v>
      </c>
      <c r="BQ85" s="43" t="n">
        <f aca="false">IF(N(Tasks[[#This Row],[Pred2 UID]])=0,0,IFERROR(MATCH(Tasks[[#This Row],[Pred2 UID]],Tasks[UID],0),-1))</f>
        <v>0</v>
      </c>
      <c r="BR8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8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8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8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85" s="43" t="n">
        <f aca="false">IF(NOT(Tasks[[#This Row],[_IsLeaf]]=1),0,IF(N(Tasks[[#This Row],[Actual Finish]])&gt;0,1,MIN(1,N(Tasks[[#This Row],[% Complete]]))))</f>
        <v>0</v>
      </c>
      <c r="BW8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85" s="43" t="n">
        <f aca="false">IF(Tasks[[#This Row],[_LeafWork]]=0,0,Tasks[[#This Row],[_LeafWork]]*IFERROR(INDEX(res_Rate,MATCH(Tasks[[#This Row],[Resource]],res_Name,0)),0))</f>
        <v>0</v>
      </c>
      <c r="BY8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8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8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8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85" s="43" t="n">
        <f aca="false">IF(NOT(Tasks[[#This Row],[_IsLeaf]]=1),0,MAX(_xlfn.MAXIFS(Tasks[_Row],Tasks[Pred1 UID],Tasks[[#This Row],[UID]]),_xlfn.MAXIFS(Tasks[_Row],Tasks[Pred2 UID],Tasks[[#This Row],[UID]])))</f>
        <v>0</v>
      </c>
      <c r="CD8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85" s="87" t="str">
        <f aca="false">IF(NOT(Tasks[[#This Row],[_IsLeaf]]=1),"",MIN(ProjectFinish,IF(N(Tasks[[#This Row],[Deadline]])&gt;0,Tasks[[#This Row],[Deadline]],2958465),Tasks[[#This Row],[_SuccessorFinishLimit]]))</f>
        <v/>
      </c>
      <c r="CF8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8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85" s="86" t="b">
        <f aca="false">AND(Tasks[[#This Row],[_IsLeaf]]=1,Tasks[[#This Row],[_LeafProgress]]&lt;1,N(Tasks[[#This Row],[_LeafTotalSlack]])&lt;=CriticalSlackDays)</f>
        <v>0</v>
      </c>
      <c r="CI8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8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8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8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8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8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8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8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85" s="43" t="n">
        <f aca="false">IF(AND(Tasks[[#This Row],[_IsLeaf]]=1,Tasks[[#This Row],[_LeafWork]]&gt;0),NETWORKDAYS.INTL(ProjectStart,Tasks[[#This Row],[_LeafFcstStart]],WorkWeek,Holidays),0)</f>
        <v>0</v>
      </c>
      <c r="CR8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85" s="43" t="n">
        <f aca="false">IF(AND(Tasks[[#This Row],[_IsLeaf]]=1,Tasks[[#This Row],[_LeafWork]]&gt;0),Tasks[[#This Row],[_LeafWork]]/(Tasks[[#This Row],[_FinishWorkday]]-Tasks[[#This Row],[_StartWorkday]]+1),0)</f>
        <v>0</v>
      </c>
      <c r="CT85" s="43" t="n">
        <f aca="false">Tasks[[#This Row],[_WorkPerWorkday]]*(Tasks[[#This Row],[_StartWorkday]]-1)</f>
        <v>-0</v>
      </c>
      <c r="CU85" s="43" t="n">
        <f aca="false">IF(Tasks[[#This Row],[_IsLeaf]]=1,MAX(N(Tasks[[#This Row],[Duration]]),0.1),0)</f>
        <v>0</v>
      </c>
      <c r="CV85" s="43" t="n">
        <f aca="false">Tasks[[#This Row],[_WeightDur]]*Tasks[[#This Row],[_LeafProgress]]</f>
        <v>0</v>
      </c>
      <c r="CW8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8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8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8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8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85" s="43" t="str">
        <f aca="false">IF(AND(Tasks[[#This Row],[_IsLeaf]]=1,N(Tasks[[#This Row],[Duration]])=0,Tasks[[#This Row],[_LeafProgress]]&lt;1),Tasks[[#This Row],[_LeafFcstFinish]]+Tasks[[#This Row],[_Row]]/100000,"")</f>
        <v/>
      </c>
      <c r="DC8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85" s="43" t="n">
        <f aca="false">IF(NOT(Tasks[[#This Row],[_IsLeaf]]=1),0,IF(Tasks[[#This Row],[Baseline Cost]]="",Tasks[[#This Row],[_LeafCost]],N(Tasks[[#This Row],[Baseline Cost]])))</f>
        <v>0</v>
      </c>
      <c r="DE85" s="43" t="n">
        <f aca="false">Tasks[[#This Row],[_LeafBudget]]*Tasks[[#This Row],[_PlannedPct]]</f>
        <v>0</v>
      </c>
      <c r="DF85" s="43" t="n">
        <f aca="false">Tasks[[#This Row],[_LeafBudget]]*Tasks[[#This Row],[_LeafProgress]]</f>
        <v>0</v>
      </c>
      <c r="DG85" s="43" t="n">
        <f aca="false">IF(NOT(Tasks[[#This Row],[_IsLeaf]]=1),0,IF(Tasks[[#This Row],[Actual Cost]]="",Tasks[[#This Row],[_LeafCost]]*Tasks[[#This Row],[_LeafProgress]],N(Tasks[[#This Row],[Actual Cost]])))</f>
        <v>0</v>
      </c>
      <c r="DH85" s="43" t="str">
        <f aca="false">IF(Tasks[[#This Row],[Task Name]]="","",LEFT(Tasks[[#This Row],[WBS]],FIND(".",Tasks[[#This Row],[WBS]]&amp;".")-1))</f>
        <v/>
      </c>
      <c r="DI85" s="43" t="str">
        <f aca="false">IF(AND(Tasks[[#This Row],[Task Name]]&lt;&gt;"",Tasks[[#This Row],[_Level]]=1),Tasks[[#This Row],[_Row]],"")</f>
        <v/>
      </c>
      <c r="DJ85" s="43" t="str">
        <f aca="false">IF(AND(Tasks[[#This Row],[_IsLeaf]]=1,N(Tasks[[#This Row],[Duration]])=0),Tasks[[#This Row],[Planned Finish]]+Tasks[[#This Row],[_Row]]/100000,"")</f>
        <v/>
      </c>
      <c r="DK8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8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8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85" s="43" t="str">
        <f aca="false">IF(Tasks[[#This Row],[_LeafCritical]],Tasks[[#This Row],[_LeafFcstStart]]+Tasks[[#This Row],[_Row]]/100000,"")</f>
        <v/>
      </c>
      <c r="DO85" s="43" t="n">
        <f aca="false">Tasks[[#This Row],[_LeafWork]]*Tasks[[#This Row],[_LeafProgress]]</f>
        <v>0</v>
      </c>
      <c r="DP8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85" s="43" t="n">
        <f aca="false">IF(Tasks[[#This Row],[_IsLeaf]]=1,N(Tasks[[#This Row],[Story Points]]),0)</f>
        <v>0</v>
      </c>
      <c r="DR85" s="43" t="str">
        <f aca="false">IF(AND(Tasks[[#This Row],[_IsLeaf]]=1,CurrentSprint&lt;&gt;"",Tasks[[#This Row],[Sprint]]=CurrentSprint),Tasks[[#This Row],[_Row]],"")</f>
        <v/>
      </c>
    </row>
    <row r="86" customFormat="false" ht="15" hidden="false" customHeight="false" outlineLevel="0" collapsed="false">
      <c r="A86" s="28" t="str">
        <f aca="false">IF(Tasks[[#This Row],[Task Name]]="","",COUNTA(Tasks[[#Headers],[Task Name]]:Tasks[[#This Row],[Task Name]])-1)</f>
        <v/>
      </c>
      <c r="B86" s="29" t="n">
        <v>81</v>
      </c>
      <c r="C8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86" s="29"/>
      <c r="E86" s="30"/>
      <c r="F86" s="29"/>
      <c r="G86" s="29"/>
      <c r="H86" s="29"/>
      <c r="I86" s="29"/>
      <c r="J86" s="29"/>
      <c r="K86" s="29"/>
      <c r="L86" s="29"/>
      <c r="M86" s="29"/>
      <c r="N86" s="72"/>
      <c r="O86" s="72"/>
      <c r="P86" s="25" t="str">
        <f aca="false">IF(Tasks[[#This Row],[Task Name]]="","",IF(N(Tasks[[#This Row],[Baseline Start]])&gt;0,Tasks[[#This Row],[Baseline Start]],Tasks[[#This Row],[_CalcStart]]))</f>
        <v/>
      </c>
      <c r="Q86" s="25" t="str">
        <f aca="false">IF(Tasks[[#This Row],[Task Name]]="","",IF(N(Tasks[[#This Row],[Baseline Finish]])&gt;0,Tasks[[#This Row],[Baseline Finish]],Tasks[[#This Row],[_CalcFinish]]))</f>
        <v/>
      </c>
      <c r="R86" s="72"/>
      <c r="S86" s="72"/>
      <c r="T8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8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8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8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8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8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8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8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8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8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8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86" s="74"/>
      <c r="AF8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8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86" s="30"/>
      <c r="AI86" s="74"/>
      <c r="AJ8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8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86" s="83"/>
      <c r="AM86" s="29"/>
      <c r="AN8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86" s="84"/>
      <c r="AP8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86" s="30"/>
      <c r="AR86" s="25" t="str">
        <f aca="false">IF(Tasks[[#This Row],[Task Name]]="","",Tasks[[#This Row],[Forecast Start]])</f>
        <v/>
      </c>
      <c r="AS86" s="25" t="str">
        <f aca="false">IF(Tasks[[#This Row],[Task Name]]="","",Tasks[[#This Row],[Forecast Finish]])</f>
        <v/>
      </c>
      <c r="AT8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86" s="81" t="str">
        <f aca="false">IF(Tasks[[#This Row],[Task Name]]="","",Tasks[[#This Row],[Work]])</f>
        <v/>
      </c>
      <c r="AV86" s="82" t="str">
        <f aca="false">IF(Tasks[[#This Row],[Task Name]]="","",Tasks[[#This Row],[Cost]])</f>
        <v/>
      </c>
      <c r="AW86" s="72"/>
      <c r="AX86" s="72"/>
      <c r="AY86" s="29"/>
      <c r="AZ86" s="85"/>
      <c r="BA86" s="83"/>
      <c r="BB86" s="28" t="str">
        <f aca="false">IF(OR(Tasks[[#This Row],[Task Name]]="",Tasks[[#This Row],[Baseline Duration]]=""),"",Tasks[[#This Row],[BL Source Duration]]-N(Tasks[[#This Row],[Baseline Duration]]))</f>
        <v/>
      </c>
      <c r="BC86" s="81" t="str">
        <f aca="false">IF(OR(Tasks[[#This Row],[Task Name]]="",Tasks[[#This Row],[Baseline Work]]=""),"",Tasks[[#This Row],[Work]]-N(Tasks[[#This Row],[Baseline Work]]))</f>
        <v/>
      </c>
      <c r="BD86" s="82" t="str">
        <f aca="false">IF(OR(Tasks[[#This Row],[Task Name]]="",Tasks[[#This Row],[Baseline Cost]]=""),"",Tasks[[#This Row],[Cost]]-N(Tasks[[#This Row],[Baseline Cost]]))</f>
        <v/>
      </c>
      <c r="BE8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8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8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8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86" s="43" t="str">
        <f aca="false">IF(Tasks[[#This Row],[Task Name]]="","",MAX(1,N(Tasks[[#This Row],[Level]])))</f>
        <v/>
      </c>
      <c r="BJ86" s="43" t="n">
        <f aca="false">ROW()-ROW(Tasks[[#Headers],[ID]])</f>
        <v>81</v>
      </c>
      <c r="BK8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86" s="43" t="n">
        <f aca="false">IFERROR(N(INDEX(Tasks[_Level],Tasks[[#This Row],[_Row]]+1)),0)</f>
        <v>0</v>
      </c>
      <c r="BM86" s="86" t="b">
        <f aca="false">AND(Tasks[[#This Row],[Task Name]]&lt;&gt;"",Tasks[[#This Row],[_NextLevel]]&gt;Tasks[[#This Row],[_Level]])</f>
        <v>0</v>
      </c>
      <c r="BN86" s="43" t="n">
        <f aca="false">IF(Tasks[[#This Row],[_IsSummary]],COUNTIF(Tasks[WBS],Tasks[[#This Row],[WBS]]&amp;".*"),0)</f>
        <v>0</v>
      </c>
      <c r="BO86" s="43" t="n">
        <f aca="false">IF(AND(Tasks[[#This Row],[Task Name]]&lt;&gt;"",NOT(Tasks[[#This Row],[_IsSummary]])),1,0)</f>
        <v>0</v>
      </c>
      <c r="BP86" s="43" t="n">
        <f aca="false">IF(N(Tasks[[#This Row],[Pred1 UID]])=0,0,IFERROR(MATCH(Tasks[[#This Row],[Pred1 UID]],Tasks[UID],0),-1))</f>
        <v>0</v>
      </c>
      <c r="BQ86" s="43" t="n">
        <f aca="false">IF(N(Tasks[[#This Row],[Pred2 UID]])=0,0,IFERROR(MATCH(Tasks[[#This Row],[Pred2 UID]],Tasks[UID],0),-1))</f>
        <v>0</v>
      </c>
      <c r="BR8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8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8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8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86" s="43" t="n">
        <f aca="false">IF(NOT(Tasks[[#This Row],[_IsLeaf]]=1),0,IF(N(Tasks[[#This Row],[Actual Finish]])&gt;0,1,MIN(1,N(Tasks[[#This Row],[% Complete]]))))</f>
        <v>0</v>
      </c>
      <c r="BW8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86" s="43" t="n">
        <f aca="false">IF(Tasks[[#This Row],[_LeafWork]]=0,0,Tasks[[#This Row],[_LeafWork]]*IFERROR(INDEX(res_Rate,MATCH(Tasks[[#This Row],[Resource]],res_Name,0)),0))</f>
        <v>0</v>
      </c>
      <c r="BY8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8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8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8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86" s="43" t="n">
        <f aca="false">IF(NOT(Tasks[[#This Row],[_IsLeaf]]=1),0,MAX(_xlfn.MAXIFS(Tasks[_Row],Tasks[Pred1 UID],Tasks[[#This Row],[UID]]),_xlfn.MAXIFS(Tasks[_Row],Tasks[Pred2 UID],Tasks[[#This Row],[UID]])))</f>
        <v>0</v>
      </c>
      <c r="CD8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86" s="87" t="str">
        <f aca="false">IF(NOT(Tasks[[#This Row],[_IsLeaf]]=1),"",MIN(ProjectFinish,IF(N(Tasks[[#This Row],[Deadline]])&gt;0,Tasks[[#This Row],[Deadline]],2958465),Tasks[[#This Row],[_SuccessorFinishLimit]]))</f>
        <v/>
      </c>
      <c r="CF8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8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86" s="86" t="b">
        <f aca="false">AND(Tasks[[#This Row],[_IsLeaf]]=1,Tasks[[#This Row],[_LeafProgress]]&lt;1,N(Tasks[[#This Row],[_LeafTotalSlack]])&lt;=CriticalSlackDays)</f>
        <v>0</v>
      </c>
      <c r="CI8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8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8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8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8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8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8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8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86" s="43" t="n">
        <f aca="false">IF(AND(Tasks[[#This Row],[_IsLeaf]]=1,Tasks[[#This Row],[_LeafWork]]&gt;0),NETWORKDAYS.INTL(ProjectStart,Tasks[[#This Row],[_LeafFcstStart]],WorkWeek,Holidays),0)</f>
        <v>0</v>
      </c>
      <c r="CR8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86" s="43" t="n">
        <f aca="false">IF(AND(Tasks[[#This Row],[_IsLeaf]]=1,Tasks[[#This Row],[_LeafWork]]&gt;0),Tasks[[#This Row],[_LeafWork]]/(Tasks[[#This Row],[_FinishWorkday]]-Tasks[[#This Row],[_StartWorkday]]+1),0)</f>
        <v>0</v>
      </c>
      <c r="CT86" s="43" t="n">
        <f aca="false">Tasks[[#This Row],[_WorkPerWorkday]]*(Tasks[[#This Row],[_StartWorkday]]-1)</f>
        <v>-0</v>
      </c>
      <c r="CU86" s="43" t="n">
        <f aca="false">IF(Tasks[[#This Row],[_IsLeaf]]=1,MAX(N(Tasks[[#This Row],[Duration]]),0.1),0)</f>
        <v>0</v>
      </c>
      <c r="CV86" s="43" t="n">
        <f aca="false">Tasks[[#This Row],[_WeightDur]]*Tasks[[#This Row],[_LeafProgress]]</f>
        <v>0</v>
      </c>
      <c r="CW8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8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8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8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8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86" s="43" t="str">
        <f aca="false">IF(AND(Tasks[[#This Row],[_IsLeaf]]=1,N(Tasks[[#This Row],[Duration]])=0,Tasks[[#This Row],[_LeafProgress]]&lt;1),Tasks[[#This Row],[_LeafFcstFinish]]+Tasks[[#This Row],[_Row]]/100000,"")</f>
        <v/>
      </c>
      <c r="DC8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86" s="43" t="n">
        <f aca="false">IF(NOT(Tasks[[#This Row],[_IsLeaf]]=1),0,IF(Tasks[[#This Row],[Baseline Cost]]="",Tasks[[#This Row],[_LeafCost]],N(Tasks[[#This Row],[Baseline Cost]])))</f>
        <v>0</v>
      </c>
      <c r="DE86" s="43" t="n">
        <f aca="false">Tasks[[#This Row],[_LeafBudget]]*Tasks[[#This Row],[_PlannedPct]]</f>
        <v>0</v>
      </c>
      <c r="DF86" s="43" t="n">
        <f aca="false">Tasks[[#This Row],[_LeafBudget]]*Tasks[[#This Row],[_LeafProgress]]</f>
        <v>0</v>
      </c>
      <c r="DG86" s="43" t="n">
        <f aca="false">IF(NOT(Tasks[[#This Row],[_IsLeaf]]=1),0,IF(Tasks[[#This Row],[Actual Cost]]="",Tasks[[#This Row],[_LeafCost]]*Tasks[[#This Row],[_LeafProgress]],N(Tasks[[#This Row],[Actual Cost]])))</f>
        <v>0</v>
      </c>
      <c r="DH86" s="43" t="str">
        <f aca="false">IF(Tasks[[#This Row],[Task Name]]="","",LEFT(Tasks[[#This Row],[WBS]],FIND(".",Tasks[[#This Row],[WBS]]&amp;".")-1))</f>
        <v/>
      </c>
      <c r="DI86" s="43" t="str">
        <f aca="false">IF(AND(Tasks[[#This Row],[Task Name]]&lt;&gt;"",Tasks[[#This Row],[_Level]]=1),Tasks[[#This Row],[_Row]],"")</f>
        <v/>
      </c>
      <c r="DJ86" s="43" t="str">
        <f aca="false">IF(AND(Tasks[[#This Row],[_IsLeaf]]=1,N(Tasks[[#This Row],[Duration]])=0),Tasks[[#This Row],[Planned Finish]]+Tasks[[#This Row],[_Row]]/100000,"")</f>
        <v/>
      </c>
      <c r="DK8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8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8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86" s="43" t="str">
        <f aca="false">IF(Tasks[[#This Row],[_LeafCritical]],Tasks[[#This Row],[_LeafFcstStart]]+Tasks[[#This Row],[_Row]]/100000,"")</f>
        <v/>
      </c>
      <c r="DO86" s="43" t="n">
        <f aca="false">Tasks[[#This Row],[_LeafWork]]*Tasks[[#This Row],[_LeafProgress]]</f>
        <v>0</v>
      </c>
      <c r="DP8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86" s="43" t="n">
        <f aca="false">IF(Tasks[[#This Row],[_IsLeaf]]=1,N(Tasks[[#This Row],[Story Points]]),0)</f>
        <v>0</v>
      </c>
      <c r="DR86" s="43" t="str">
        <f aca="false">IF(AND(Tasks[[#This Row],[_IsLeaf]]=1,CurrentSprint&lt;&gt;"",Tasks[[#This Row],[Sprint]]=CurrentSprint),Tasks[[#This Row],[_Row]],"")</f>
        <v/>
      </c>
    </row>
    <row r="87" customFormat="false" ht="15" hidden="false" customHeight="false" outlineLevel="0" collapsed="false">
      <c r="A87" s="28" t="str">
        <f aca="false">IF(Tasks[[#This Row],[Task Name]]="","",COUNTA(Tasks[[#Headers],[Task Name]]:Tasks[[#This Row],[Task Name]])-1)</f>
        <v/>
      </c>
      <c r="B87" s="29" t="n">
        <v>82</v>
      </c>
      <c r="C8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87" s="29"/>
      <c r="E87" s="30"/>
      <c r="F87" s="29"/>
      <c r="G87" s="29"/>
      <c r="H87" s="29"/>
      <c r="I87" s="29"/>
      <c r="J87" s="29"/>
      <c r="K87" s="29"/>
      <c r="L87" s="29"/>
      <c r="M87" s="29"/>
      <c r="N87" s="72"/>
      <c r="O87" s="72"/>
      <c r="P87" s="25" t="str">
        <f aca="false">IF(Tasks[[#This Row],[Task Name]]="","",IF(N(Tasks[[#This Row],[Baseline Start]])&gt;0,Tasks[[#This Row],[Baseline Start]],Tasks[[#This Row],[_CalcStart]]))</f>
        <v/>
      </c>
      <c r="Q87" s="25" t="str">
        <f aca="false">IF(Tasks[[#This Row],[Task Name]]="","",IF(N(Tasks[[#This Row],[Baseline Finish]])&gt;0,Tasks[[#This Row],[Baseline Finish]],Tasks[[#This Row],[_CalcFinish]]))</f>
        <v/>
      </c>
      <c r="R87" s="72"/>
      <c r="S87" s="72"/>
      <c r="T8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8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8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8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8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8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8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8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8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8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8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87" s="74"/>
      <c r="AF8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8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87" s="30"/>
      <c r="AI87" s="74"/>
      <c r="AJ8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8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87" s="83"/>
      <c r="AM87" s="29"/>
      <c r="AN8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87" s="84"/>
      <c r="AP8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87" s="30"/>
      <c r="AR87" s="25" t="str">
        <f aca="false">IF(Tasks[[#This Row],[Task Name]]="","",Tasks[[#This Row],[Forecast Start]])</f>
        <v/>
      </c>
      <c r="AS87" s="25" t="str">
        <f aca="false">IF(Tasks[[#This Row],[Task Name]]="","",Tasks[[#This Row],[Forecast Finish]])</f>
        <v/>
      </c>
      <c r="AT8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87" s="81" t="str">
        <f aca="false">IF(Tasks[[#This Row],[Task Name]]="","",Tasks[[#This Row],[Work]])</f>
        <v/>
      </c>
      <c r="AV87" s="82" t="str">
        <f aca="false">IF(Tasks[[#This Row],[Task Name]]="","",Tasks[[#This Row],[Cost]])</f>
        <v/>
      </c>
      <c r="AW87" s="72"/>
      <c r="AX87" s="72"/>
      <c r="AY87" s="29"/>
      <c r="AZ87" s="85"/>
      <c r="BA87" s="83"/>
      <c r="BB87" s="28" t="str">
        <f aca="false">IF(OR(Tasks[[#This Row],[Task Name]]="",Tasks[[#This Row],[Baseline Duration]]=""),"",Tasks[[#This Row],[BL Source Duration]]-N(Tasks[[#This Row],[Baseline Duration]]))</f>
        <v/>
      </c>
      <c r="BC87" s="81" t="str">
        <f aca="false">IF(OR(Tasks[[#This Row],[Task Name]]="",Tasks[[#This Row],[Baseline Work]]=""),"",Tasks[[#This Row],[Work]]-N(Tasks[[#This Row],[Baseline Work]]))</f>
        <v/>
      </c>
      <c r="BD87" s="82" t="str">
        <f aca="false">IF(OR(Tasks[[#This Row],[Task Name]]="",Tasks[[#This Row],[Baseline Cost]]=""),"",Tasks[[#This Row],[Cost]]-N(Tasks[[#This Row],[Baseline Cost]]))</f>
        <v/>
      </c>
      <c r="BE8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8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8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8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87" s="43" t="str">
        <f aca="false">IF(Tasks[[#This Row],[Task Name]]="","",MAX(1,N(Tasks[[#This Row],[Level]])))</f>
        <v/>
      </c>
      <c r="BJ87" s="43" t="n">
        <f aca="false">ROW()-ROW(Tasks[[#Headers],[ID]])</f>
        <v>82</v>
      </c>
      <c r="BK8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87" s="43" t="n">
        <f aca="false">IFERROR(N(INDEX(Tasks[_Level],Tasks[[#This Row],[_Row]]+1)),0)</f>
        <v>0</v>
      </c>
      <c r="BM87" s="86" t="b">
        <f aca="false">AND(Tasks[[#This Row],[Task Name]]&lt;&gt;"",Tasks[[#This Row],[_NextLevel]]&gt;Tasks[[#This Row],[_Level]])</f>
        <v>0</v>
      </c>
      <c r="BN87" s="43" t="n">
        <f aca="false">IF(Tasks[[#This Row],[_IsSummary]],COUNTIF(Tasks[WBS],Tasks[[#This Row],[WBS]]&amp;".*"),0)</f>
        <v>0</v>
      </c>
      <c r="BO87" s="43" t="n">
        <f aca="false">IF(AND(Tasks[[#This Row],[Task Name]]&lt;&gt;"",NOT(Tasks[[#This Row],[_IsSummary]])),1,0)</f>
        <v>0</v>
      </c>
      <c r="BP87" s="43" t="n">
        <f aca="false">IF(N(Tasks[[#This Row],[Pred1 UID]])=0,0,IFERROR(MATCH(Tasks[[#This Row],[Pred1 UID]],Tasks[UID],0),-1))</f>
        <v>0</v>
      </c>
      <c r="BQ87" s="43" t="n">
        <f aca="false">IF(N(Tasks[[#This Row],[Pred2 UID]])=0,0,IFERROR(MATCH(Tasks[[#This Row],[Pred2 UID]],Tasks[UID],0),-1))</f>
        <v>0</v>
      </c>
      <c r="BR8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8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8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8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87" s="43" t="n">
        <f aca="false">IF(NOT(Tasks[[#This Row],[_IsLeaf]]=1),0,IF(N(Tasks[[#This Row],[Actual Finish]])&gt;0,1,MIN(1,N(Tasks[[#This Row],[% Complete]]))))</f>
        <v>0</v>
      </c>
      <c r="BW8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87" s="43" t="n">
        <f aca="false">IF(Tasks[[#This Row],[_LeafWork]]=0,0,Tasks[[#This Row],[_LeafWork]]*IFERROR(INDEX(res_Rate,MATCH(Tasks[[#This Row],[Resource]],res_Name,0)),0))</f>
        <v>0</v>
      </c>
      <c r="BY8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8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8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8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87" s="43" t="n">
        <f aca="false">IF(NOT(Tasks[[#This Row],[_IsLeaf]]=1),0,MAX(_xlfn.MAXIFS(Tasks[_Row],Tasks[Pred1 UID],Tasks[[#This Row],[UID]]),_xlfn.MAXIFS(Tasks[_Row],Tasks[Pred2 UID],Tasks[[#This Row],[UID]])))</f>
        <v>0</v>
      </c>
      <c r="CD8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87" s="87" t="str">
        <f aca="false">IF(NOT(Tasks[[#This Row],[_IsLeaf]]=1),"",MIN(ProjectFinish,IF(N(Tasks[[#This Row],[Deadline]])&gt;0,Tasks[[#This Row],[Deadline]],2958465),Tasks[[#This Row],[_SuccessorFinishLimit]]))</f>
        <v/>
      </c>
      <c r="CF8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8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87" s="86" t="b">
        <f aca="false">AND(Tasks[[#This Row],[_IsLeaf]]=1,Tasks[[#This Row],[_LeafProgress]]&lt;1,N(Tasks[[#This Row],[_LeafTotalSlack]])&lt;=CriticalSlackDays)</f>
        <v>0</v>
      </c>
      <c r="CI8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8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8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8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8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8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8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8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87" s="43" t="n">
        <f aca="false">IF(AND(Tasks[[#This Row],[_IsLeaf]]=1,Tasks[[#This Row],[_LeafWork]]&gt;0),NETWORKDAYS.INTL(ProjectStart,Tasks[[#This Row],[_LeafFcstStart]],WorkWeek,Holidays),0)</f>
        <v>0</v>
      </c>
      <c r="CR8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87" s="43" t="n">
        <f aca="false">IF(AND(Tasks[[#This Row],[_IsLeaf]]=1,Tasks[[#This Row],[_LeafWork]]&gt;0),Tasks[[#This Row],[_LeafWork]]/(Tasks[[#This Row],[_FinishWorkday]]-Tasks[[#This Row],[_StartWorkday]]+1),0)</f>
        <v>0</v>
      </c>
      <c r="CT87" s="43" t="n">
        <f aca="false">Tasks[[#This Row],[_WorkPerWorkday]]*(Tasks[[#This Row],[_StartWorkday]]-1)</f>
        <v>-0</v>
      </c>
      <c r="CU87" s="43" t="n">
        <f aca="false">IF(Tasks[[#This Row],[_IsLeaf]]=1,MAX(N(Tasks[[#This Row],[Duration]]),0.1),0)</f>
        <v>0</v>
      </c>
      <c r="CV87" s="43" t="n">
        <f aca="false">Tasks[[#This Row],[_WeightDur]]*Tasks[[#This Row],[_LeafProgress]]</f>
        <v>0</v>
      </c>
      <c r="CW8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8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8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8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8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87" s="43" t="str">
        <f aca="false">IF(AND(Tasks[[#This Row],[_IsLeaf]]=1,N(Tasks[[#This Row],[Duration]])=0,Tasks[[#This Row],[_LeafProgress]]&lt;1),Tasks[[#This Row],[_LeafFcstFinish]]+Tasks[[#This Row],[_Row]]/100000,"")</f>
        <v/>
      </c>
      <c r="DC8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87" s="43" t="n">
        <f aca="false">IF(NOT(Tasks[[#This Row],[_IsLeaf]]=1),0,IF(Tasks[[#This Row],[Baseline Cost]]="",Tasks[[#This Row],[_LeafCost]],N(Tasks[[#This Row],[Baseline Cost]])))</f>
        <v>0</v>
      </c>
      <c r="DE87" s="43" t="n">
        <f aca="false">Tasks[[#This Row],[_LeafBudget]]*Tasks[[#This Row],[_PlannedPct]]</f>
        <v>0</v>
      </c>
      <c r="DF87" s="43" t="n">
        <f aca="false">Tasks[[#This Row],[_LeafBudget]]*Tasks[[#This Row],[_LeafProgress]]</f>
        <v>0</v>
      </c>
      <c r="DG87" s="43" t="n">
        <f aca="false">IF(NOT(Tasks[[#This Row],[_IsLeaf]]=1),0,IF(Tasks[[#This Row],[Actual Cost]]="",Tasks[[#This Row],[_LeafCost]]*Tasks[[#This Row],[_LeafProgress]],N(Tasks[[#This Row],[Actual Cost]])))</f>
        <v>0</v>
      </c>
      <c r="DH87" s="43" t="str">
        <f aca="false">IF(Tasks[[#This Row],[Task Name]]="","",LEFT(Tasks[[#This Row],[WBS]],FIND(".",Tasks[[#This Row],[WBS]]&amp;".")-1))</f>
        <v/>
      </c>
      <c r="DI87" s="43" t="str">
        <f aca="false">IF(AND(Tasks[[#This Row],[Task Name]]&lt;&gt;"",Tasks[[#This Row],[_Level]]=1),Tasks[[#This Row],[_Row]],"")</f>
        <v/>
      </c>
      <c r="DJ87" s="43" t="str">
        <f aca="false">IF(AND(Tasks[[#This Row],[_IsLeaf]]=1,N(Tasks[[#This Row],[Duration]])=0),Tasks[[#This Row],[Planned Finish]]+Tasks[[#This Row],[_Row]]/100000,"")</f>
        <v/>
      </c>
      <c r="DK8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8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8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87" s="43" t="str">
        <f aca="false">IF(Tasks[[#This Row],[_LeafCritical]],Tasks[[#This Row],[_LeafFcstStart]]+Tasks[[#This Row],[_Row]]/100000,"")</f>
        <v/>
      </c>
      <c r="DO87" s="43" t="n">
        <f aca="false">Tasks[[#This Row],[_LeafWork]]*Tasks[[#This Row],[_LeafProgress]]</f>
        <v>0</v>
      </c>
      <c r="DP8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87" s="43" t="n">
        <f aca="false">IF(Tasks[[#This Row],[_IsLeaf]]=1,N(Tasks[[#This Row],[Story Points]]),0)</f>
        <v>0</v>
      </c>
      <c r="DR87" s="43" t="str">
        <f aca="false">IF(AND(Tasks[[#This Row],[_IsLeaf]]=1,CurrentSprint&lt;&gt;"",Tasks[[#This Row],[Sprint]]=CurrentSprint),Tasks[[#This Row],[_Row]],"")</f>
        <v/>
      </c>
    </row>
    <row r="88" customFormat="false" ht="15" hidden="false" customHeight="false" outlineLevel="0" collapsed="false">
      <c r="A88" s="28" t="str">
        <f aca="false">IF(Tasks[[#This Row],[Task Name]]="","",COUNTA(Tasks[[#Headers],[Task Name]]:Tasks[[#This Row],[Task Name]])-1)</f>
        <v/>
      </c>
      <c r="B88" s="29" t="n">
        <v>83</v>
      </c>
      <c r="C8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88" s="29"/>
      <c r="E88" s="30"/>
      <c r="F88" s="29"/>
      <c r="G88" s="29"/>
      <c r="H88" s="29"/>
      <c r="I88" s="29"/>
      <c r="J88" s="29"/>
      <c r="K88" s="29"/>
      <c r="L88" s="29"/>
      <c r="M88" s="29"/>
      <c r="N88" s="72"/>
      <c r="O88" s="72"/>
      <c r="P88" s="25" t="str">
        <f aca="false">IF(Tasks[[#This Row],[Task Name]]="","",IF(N(Tasks[[#This Row],[Baseline Start]])&gt;0,Tasks[[#This Row],[Baseline Start]],Tasks[[#This Row],[_CalcStart]]))</f>
        <v/>
      </c>
      <c r="Q88" s="25" t="str">
        <f aca="false">IF(Tasks[[#This Row],[Task Name]]="","",IF(N(Tasks[[#This Row],[Baseline Finish]])&gt;0,Tasks[[#This Row],[Baseline Finish]],Tasks[[#This Row],[_CalcFinish]]))</f>
        <v/>
      </c>
      <c r="R88" s="72"/>
      <c r="S88" s="72"/>
      <c r="T8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8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8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8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8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8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8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8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8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8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8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88" s="74"/>
      <c r="AF8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8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88" s="30"/>
      <c r="AI88" s="74"/>
      <c r="AJ8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8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88" s="83"/>
      <c r="AM88" s="29"/>
      <c r="AN8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88" s="84"/>
      <c r="AP8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88" s="30"/>
      <c r="AR88" s="25" t="str">
        <f aca="false">IF(Tasks[[#This Row],[Task Name]]="","",Tasks[[#This Row],[Forecast Start]])</f>
        <v/>
      </c>
      <c r="AS88" s="25" t="str">
        <f aca="false">IF(Tasks[[#This Row],[Task Name]]="","",Tasks[[#This Row],[Forecast Finish]])</f>
        <v/>
      </c>
      <c r="AT8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88" s="81" t="str">
        <f aca="false">IF(Tasks[[#This Row],[Task Name]]="","",Tasks[[#This Row],[Work]])</f>
        <v/>
      </c>
      <c r="AV88" s="82" t="str">
        <f aca="false">IF(Tasks[[#This Row],[Task Name]]="","",Tasks[[#This Row],[Cost]])</f>
        <v/>
      </c>
      <c r="AW88" s="72"/>
      <c r="AX88" s="72"/>
      <c r="AY88" s="29"/>
      <c r="AZ88" s="85"/>
      <c r="BA88" s="83"/>
      <c r="BB88" s="28" t="str">
        <f aca="false">IF(OR(Tasks[[#This Row],[Task Name]]="",Tasks[[#This Row],[Baseline Duration]]=""),"",Tasks[[#This Row],[BL Source Duration]]-N(Tasks[[#This Row],[Baseline Duration]]))</f>
        <v/>
      </c>
      <c r="BC88" s="81" t="str">
        <f aca="false">IF(OR(Tasks[[#This Row],[Task Name]]="",Tasks[[#This Row],[Baseline Work]]=""),"",Tasks[[#This Row],[Work]]-N(Tasks[[#This Row],[Baseline Work]]))</f>
        <v/>
      </c>
      <c r="BD88" s="82" t="str">
        <f aca="false">IF(OR(Tasks[[#This Row],[Task Name]]="",Tasks[[#This Row],[Baseline Cost]]=""),"",Tasks[[#This Row],[Cost]]-N(Tasks[[#This Row],[Baseline Cost]]))</f>
        <v/>
      </c>
      <c r="BE8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8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8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8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88" s="43" t="str">
        <f aca="false">IF(Tasks[[#This Row],[Task Name]]="","",MAX(1,N(Tasks[[#This Row],[Level]])))</f>
        <v/>
      </c>
      <c r="BJ88" s="43" t="n">
        <f aca="false">ROW()-ROW(Tasks[[#Headers],[ID]])</f>
        <v>83</v>
      </c>
      <c r="BK8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88" s="43" t="n">
        <f aca="false">IFERROR(N(INDEX(Tasks[_Level],Tasks[[#This Row],[_Row]]+1)),0)</f>
        <v>0</v>
      </c>
      <c r="BM88" s="86" t="b">
        <f aca="false">AND(Tasks[[#This Row],[Task Name]]&lt;&gt;"",Tasks[[#This Row],[_NextLevel]]&gt;Tasks[[#This Row],[_Level]])</f>
        <v>0</v>
      </c>
      <c r="BN88" s="43" t="n">
        <f aca="false">IF(Tasks[[#This Row],[_IsSummary]],COUNTIF(Tasks[WBS],Tasks[[#This Row],[WBS]]&amp;".*"),0)</f>
        <v>0</v>
      </c>
      <c r="BO88" s="43" t="n">
        <f aca="false">IF(AND(Tasks[[#This Row],[Task Name]]&lt;&gt;"",NOT(Tasks[[#This Row],[_IsSummary]])),1,0)</f>
        <v>0</v>
      </c>
      <c r="BP88" s="43" t="n">
        <f aca="false">IF(N(Tasks[[#This Row],[Pred1 UID]])=0,0,IFERROR(MATCH(Tasks[[#This Row],[Pred1 UID]],Tasks[UID],0),-1))</f>
        <v>0</v>
      </c>
      <c r="BQ88" s="43" t="n">
        <f aca="false">IF(N(Tasks[[#This Row],[Pred2 UID]])=0,0,IFERROR(MATCH(Tasks[[#This Row],[Pred2 UID]],Tasks[UID],0),-1))</f>
        <v>0</v>
      </c>
      <c r="BR8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8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8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8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88" s="43" t="n">
        <f aca="false">IF(NOT(Tasks[[#This Row],[_IsLeaf]]=1),0,IF(N(Tasks[[#This Row],[Actual Finish]])&gt;0,1,MIN(1,N(Tasks[[#This Row],[% Complete]]))))</f>
        <v>0</v>
      </c>
      <c r="BW8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88" s="43" t="n">
        <f aca="false">IF(Tasks[[#This Row],[_LeafWork]]=0,0,Tasks[[#This Row],[_LeafWork]]*IFERROR(INDEX(res_Rate,MATCH(Tasks[[#This Row],[Resource]],res_Name,0)),0))</f>
        <v>0</v>
      </c>
      <c r="BY8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8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8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8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88" s="43" t="n">
        <f aca="false">IF(NOT(Tasks[[#This Row],[_IsLeaf]]=1),0,MAX(_xlfn.MAXIFS(Tasks[_Row],Tasks[Pred1 UID],Tasks[[#This Row],[UID]]),_xlfn.MAXIFS(Tasks[_Row],Tasks[Pred2 UID],Tasks[[#This Row],[UID]])))</f>
        <v>0</v>
      </c>
      <c r="CD8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88" s="87" t="str">
        <f aca="false">IF(NOT(Tasks[[#This Row],[_IsLeaf]]=1),"",MIN(ProjectFinish,IF(N(Tasks[[#This Row],[Deadline]])&gt;0,Tasks[[#This Row],[Deadline]],2958465),Tasks[[#This Row],[_SuccessorFinishLimit]]))</f>
        <v/>
      </c>
      <c r="CF8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8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88" s="86" t="b">
        <f aca="false">AND(Tasks[[#This Row],[_IsLeaf]]=1,Tasks[[#This Row],[_LeafProgress]]&lt;1,N(Tasks[[#This Row],[_LeafTotalSlack]])&lt;=CriticalSlackDays)</f>
        <v>0</v>
      </c>
      <c r="CI8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8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8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8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8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8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8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8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88" s="43" t="n">
        <f aca="false">IF(AND(Tasks[[#This Row],[_IsLeaf]]=1,Tasks[[#This Row],[_LeafWork]]&gt;0),NETWORKDAYS.INTL(ProjectStart,Tasks[[#This Row],[_LeafFcstStart]],WorkWeek,Holidays),0)</f>
        <v>0</v>
      </c>
      <c r="CR8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88" s="43" t="n">
        <f aca="false">IF(AND(Tasks[[#This Row],[_IsLeaf]]=1,Tasks[[#This Row],[_LeafWork]]&gt;0),Tasks[[#This Row],[_LeafWork]]/(Tasks[[#This Row],[_FinishWorkday]]-Tasks[[#This Row],[_StartWorkday]]+1),0)</f>
        <v>0</v>
      </c>
      <c r="CT88" s="43" t="n">
        <f aca="false">Tasks[[#This Row],[_WorkPerWorkday]]*(Tasks[[#This Row],[_StartWorkday]]-1)</f>
        <v>-0</v>
      </c>
      <c r="CU88" s="43" t="n">
        <f aca="false">IF(Tasks[[#This Row],[_IsLeaf]]=1,MAX(N(Tasks[[#This Row],[Duration]]),0.1),0)</f>
        <v>0</v>
      </c>
      <c r="CV88" s="43" t="n">
        <f aca="false">Tasks[[#This Row],[_WeightDur]]*Tasks[[#This Row],[_LeafProgress]]</f>
        <v>0</v>
      </c>
      <c r="CW8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8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8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8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8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88" s="43" t="str">
        <f aca="false">IF(AND(Tasks[[#This Row],[_IsLeaf]]=1,N(Tasks[[#This Row],[Duration]])=0,Tasks[[#This Row],[_LeafProgress]]&lt;1),Tasks[[#This Row],[_LeafFcstFinish]]+Tasks[[#This Row],[_Row]]/100000,"")</f>
        <v/>
      </c>
      <c r="DC8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88" s="43" t="n">
        <f aca="false">IF(NOT(Tasks[[#This Row],[_IsLeaf]]=1),0,IF(Tasks[[#This Row],[Baseline Cost]]="",Tasks[[#This Row],[_LeafCost]],N(Tasks[[#This Row],[Baseline Cost]])))</f>
        <v>0</v>
      </c>
      <c r="DE88" s="43" t="n">
        <f aca="false">Tasks[[#This Row],[_LeafBudget]]*Tasks[[#This Row],[_PlannedPct]]</f>
        <v>0</v>
      </c>
      <c r="DF88" s="43" t="n">
        <f aca="false">Tasks[[#This Row],[_LeafBudget]]*Tasks[[#This Row],[_LeafProgress]]</f>
        <v>0</v>
      </c>
      <c r="DG88" s="43" t="n">
        <f aca="false">IF(NOT(Tasks[[#This Row],[_IsLeaf]]=1),0,IF(Tasks[[#This Row],[Actual Cost]]="",Tasks[[#This Row],[_LeafCost]]*Tasks[[#This Row],[_LeafProgress]],N(Tasks[[#This Row],[Actual Cost]])))</f>
        <v>0</v>
      </c>
      <c r="DH88" s="43" t="str">
        <f aca="false">IF(Tasks[[#This Row],[Task Name]]="","",LEFT(Tasks[[#This Row],[WBS]],FIND(".",Tasks[[#This Row],[WBS]]&amp;".")-1))</f>
        <v/>
      </c>
      <c r="DI88" s="43" t="str">
        <f aca="false">IF(AND(Tasks[[#This Row],[Task Name]]&lt;&gt;"",Tasks[[#This Row],[_Level]]=1),Tasks[[#This Row],[_Row]],"")</f>
        <v/>
      </c>
      <c r="DJ88" s="43" t="str">
        <f aca="false">IF(AND(Tasks[[#This Row],[_IsLeaf]]=1,N(Tasks[[#This Row],[Duration]])=0),Tasks[[#This Row],[Planned Finish]]+Tasks[[#This Row],[_Row]]/100000,"")</f>
        <v/>
      </c>
      <c r="DK8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8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8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88" s="43" t="str">
        <f aca="false">IF(Tasks[[#This Row],[_LeafCritical]],Tasks[[#This Row],[_LeafFcstStart]]+Tasks[[#This Row],[_Row]]/100000,"")</f>
        <v/>
      </c>
      <c r="DO88" s="43" t="n">
        <f aca="false">Tasks[[#This Row],[_LeafWork]]*Tasks[[#This Row],[_LeafProgress]]</f>
        <v>0</v>
      </c>
      <c r="DP8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88" s="43" t="n">
        <f aca="false">IF(Tasks[[#This Row],[_IsLeaf]]=1,N(Tasks[[#This Row],[Story Points]]),0)</f>
        <v>0</v>
      </c>
      <c r="DR88" s="43" t="str">
        <f aca="false">IF(AND(Tasks[[#This Row],[_IsLeaf]]=1,CurrentSprint&lt;&gt;"",Tasks[[#This Row],[Sprint]]=CurrentSprint),Tasks[[#This Row],[_Row]],"")</f>
        <v/>
      </c>
    </row>
    <row r="89" customFormat="false" ht="15" hidden="false" customHeight="false" outlineLevel="0" collapsed="false">
      <c r="A89" s="28" t="str">
        <f aca="false">IF(Tasks[[#This Row],[Task Name]]="","",COUNTA(Tasks[[#Headers],[Task Name]]:Tasks[[#This Row],[Task Name]])-1)</f>
        <v/>
      </c>
      <c r="B89" s="29" t="n">
        <v>84</v>
      </c>
      <c r="C8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89" s="29"/>
      <c r="E89" s="30"/>
      <c r="F89" s="29"/>
      <c r="G89" s="29"/>
      <c r="H89" s="29"/>
      <c r="I89" s="29"/>
      <c r="J89" s="29"/>
      <c r="K89" s="29"/>
      <c r="L89" s="29"/>
      <c r="M89" s="29"/>
      <c r="N89" s="72"/>
      <c r="O89" s="72"/>
      <c r="P89" s="25" t="str">
        <f aca="false">IF(Tasks[[#This Row],[Task Name]]="","",IF(N(Tasks[[#This Row],[Baseline Start]])&gt;0,Tasks[[#This Row],[Baseline Start]],Tasks[[#This Row],[_CalcStart]]))</f>
        <v/>
      </c>
      <c r="Q89" s="25" t="str">
        <f aca="false">IF(Tasks[[#This Row],[Task Name]]="","",IF(N(Tasks[[#This Row],[Baseline Finish]])&gt;0,Tasks[[#This Row],[Baseline Finish]],Tasks[[#This Row],[_CalcFinish]]))</f>
        <v/>
      </c>
      <c r="R89" s="72"/>
      <c r="S89" s="72"/>
      <c r="T8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8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8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8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8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8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8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8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8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8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8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89" s="74"/>
      <c r="AF8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8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89" s="30"/>
      <c r="AI89" s="74"/>
      <c r="AJ8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8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89" s="83"/>
      <c r="AM89" s="29"/>
      <c r="AN8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89" s="84"/>
      <c r="AP8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89" s="30"/>
      <c r="AR89" s="25" t="str">
        <f aca="false">IF(Tasks[[#This Row],[Task Name]]="","",Tasks[[#This Row],[Forecast Start]])</f>
        <v/>
      </c>
      <c r="AS89" s="25" t="str">
        <f aca="false">IF(Tasks[[#This Row],[Task Name]]="","",Tasks[[#This Row],[Forecast Finish]])</f>
        <v/>
      </c>
      <c r="AT8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89" s="81" t="str">
        <f aca="false">IF(Tasks[[#This Row],[Task Name]]="","",Tasks[[#This Row],[Work]])</f>
        <v/>
      </c>
      <c r="AV89" s="82" t="str">
        <f aca="false">IF(Tasks[[#This Row],[Task Name]]="","",Tasks[[#This Row],[Cost]])</f>
        <v/>
      </c>
      <c r="AW89" s="72"/>
      <c r="AX89" s="72"/>
      <c r="AY89" s="29"/>
      <c r="AZ89" s="85"/>
      <c r="BA89" s="83"/>
      <c r="BB89" s="28" t="str">
        <f aca="false">IF(OR(Tasks[[#This Row],[Task Name]]="",Tasks[[#This Row],[Baseline Duration]]=""),"",Tasks[[#This Row],[BL Source Duration]]-N(Tasks[[#This Row],[Baseline Duration]]))</f>
        <v/>
      </c>
      <c r="BC89" s="81" t="str">
        <f aca="false">IF(OR(Tasks[[#This Row],[Task Name]]="",Tasks[[#This Row],[Baseline Work]]=""),"",Tasks[[#This Row],[Work]]-N(Tasks[[#This Row],[Baseline Work]]))</f>
        <v/>
      </c>
      <c r="BD89" s="82" t="str">
        <f aca="false">IF(OR(Tasks[[#This Row],[Task Name]]="",Tasks[[#This Row],[Baseline Cost]]=""),"",Tasks[[#This Row],[Cost]]-N(Tasks[[#This Row],[Baseline Cost]]))</f>
        <v/>
      </c>
      <c r="BE8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8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8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8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89" s="43" t="str">
        <f aca="false">IF(Tasks[[#This Row],[Task Name]]="","",MAX(1,N(Tasks[[#This Row],[Level]])))</f>
        <v/>
      </c>
      <c r="BJ89" s="43" t="n">
        <f aca="false">ROW()-ROW(Tasks[[#Headers],[ID]])</f>
        <v>84</v>
      </c>
      <c r="BK8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89" s="43" t="n">
        <f aca="false">IFERROR(N(INDEX(Tasks[_Level],Tasks[[#This Row],[_Row]]+1)),0)</f>
        <v>0</v>
      </c>
      <c r="BM89" s="86" t="b">
        <f aca="false">AND(Tasks[[#This Row],[Task Name]]&lt;&gt;"",Tasks[[#This Row],[_NextLevel]]&gt;Tasks[[#This Row],[_Level]])</f>
        <v>0</v>
      </c>
      <c r="BN89" s="43" t="n">
        <f aca="false">IF(Tasks[[#This Row],[_IsSummary]],COUNTIF(Tasks[WBS],Tasks[[#This Row],[WBS]]&amp;".*"),0)</f>
        <v>0</v>
      </c>
      <c r="BO89" s="43" t="n">
        <f aca="false">IF(AND(Tasks[[#This Row],[Task Name]]&lt;&gt;"",NOT(Tasks[[#This Row],[_IsSummary]])),1,0)</f>
        <v>0</v>
      </c>
      <c r="BP89" s="43" t="n">
        <f aca="false">IF(N(Tasks[[#This Row],[Pred1 UID]])=0,0,IFERROR(MATCH(Tasks[[#This Row],[Pred1 UID]],Tasks[UID],0),-1))</f>
        <v>0</v>
      </c>
      <c r="BQ89" s="43" t="n">
        <f aca="false">IF(N(Tasks[[#This Row],[Pred2 UID]])=0,0,IFERROR(MATCH(Tasks[[#This Row],[Pred2 UID]],Tasks[UID],0),-1))</f>
        <v>0</v>
      </c>
      <c r="BR8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8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8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8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89" s="43" t="n">
        <f aca="false">IF(NOT(Tasks[[#This Row],[_IsLeaf]]=1),0,IF(N(Tasks[[#This Row],[Actual Finish]])&gt;0,1,MIN(1,N(Tasks[[#This Row],[% Complete]]))))</f>
        <v>0</v>
      </c>
      <c r="BW8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89" s="43" t="n">
        <f aca="false">IF(Tasks[[#This Row],[_LeafWork]]=0,0,Tasks[[#This Row],[_LeafWork]]*IFERROR(INDEX(res_Rate,MATCH(Tasks[[#This Row],[Resource]],res_Name,0)),0))</f>
        <v>0</v>
      </c>
      <c r="BY8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8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8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8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89" s="43" t="n">
        <f aca="false">IF(NOT(Tasks[[#This Row],[_IsLeaf]]=1),0,MAX(_xlfn.MAXIFS(Tasks[_Row],Tasks[Pred1 UID],Tasks[[#This Row],[UID]]),_xlfn.MAXIFS(Tasks[_Row],Tasks[Pred2 UID],Tasks[[#This Row],[UID]])))</f>
        <v>0</v>
      </c>
      <c r="CD8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89" s="87" t="str">
        <f aca="false">IF(NOT(Tasks[[#This Row],[_IsLeaf]]=1),"",MIN(ProjectFinish,IF(N(Tasks[[#This Row],[Deadline]])&gt;0,Tasks[[#This Row],[Deadline]],2958465),Tasks[[#This Row],[_SuccessorFinishLimit]]))</f>
        <v/>
      </c>
      <c r="CF8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8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89" s="86" t="b">
        <f aca="false">AND(Tasks[[#This Row],[_IsLeaf]]=1,Tasks[[#This Row],[_LeafProgress]]&lt;1,N(Tasks[[#This Row],[_LeafTotalSlack]])&lt;=CriticalSlackDays)</f>
        <v>0</v>
      </c>
      <c r="CI8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8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8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8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8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8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8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8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89" s="43" t="n">
        <f aca="false">IF(AND(Tasks[[#This Row],[_IsLeaf]]=1,Tasks[[#This Row],[_LeafWork]]&gt;0),NETWORKDAYS.INTL(ProjectStart,Tasks[[#This Row],[_LeafFcstStart]],WorkWeek,Holidays),0)</f>
        <v>0</v>
      </c>
      <c r="CR8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89" s="43" t="n">
        <f aca="false">IF(AND(Tasks[[#This Row],[_IsLeaf]]=1,Tasks[[#This Row],[_LeafWork]]&gt;0),Tasks[[#This Row],[_LeafWork]]/(Tasks[[#This Row],[_FinishWorkday]]-Tasks[[#This Row],[_StartWorkday]]+1),0)</f>
        <v>0</v>
      </c>
      <c r="CT89" s="43" t="n">
        <f aca="false">Tasks[[#This Row],[_WorkPerWorkday]]*(Tasks[[#This Row],[_StartWorkday]]-1)</f>
        <v>-0</v>
      </c>
      <c r="CU89" s="43" t="n">
        <f aca="false">IF(Tasks[[#This Row],[_IsLeaf]]=1,MAX(N(Tasks[[#This Row],[Duration]]),0.1),0)</f>
        <v>0</v>
      </c>
      <c r="CV89" s="43" t="n">
        <f aca="false">Tasks[[#This Row],[_WeightDur]]*Tasks[[#This Row],[_LeafProgress]]</f>
        <v>0</v>
      </c>
      <c r="CW8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8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8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8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8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89" s="43" t="str">
        <f aca="false">IF(AND(Tasks[[#This Row],[_IsLeaf]]=1,N(Tasks[[#This Row],[Duration]])=0,Tasks[[#This Row],[_LeafProgress]]&lt;1),Tasks[[#This Row],[_LeafFcstFinish]]+Tasks[[#This Row],[_Row]]/100000,"")</f>
        <v/>
      </c>
      <c r="DC8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89" s="43" t="n">
        <f aca="false">IF(NOT(Tasks[[#This Row],[_IsLeaf]]=1),0,IF(Tasks[[#This Row],[Baseline Cost]]="",Tasks[[#This Row],[_LeafCost]],N(Tasks[[#This Row],[Baseline Cost]])))</f>
        <v>0</v>
      </c>
      <c r="DE89" s="43" t="n">
        <f aca="false">Tasks[[#This Row],[_LeafBudget]]*Tasks[[#This Row],[_PlannedPct]]</f>
        <v>0</v>
      </c>
      <c r="DF89" s="43" t="n">
        <f aca="false">Tasks[[#This Row],[_LeafBudget]]*Tasks[[#This Row],[_LeafProgress]]</f>
        <v>0</v>
      </c>
      <c r="DG89" s="43" t="n">
        <f aca="false">IF(NOT(Tasks[[#This Row],[_IsLeaf]]=1),0,IF(Tasks[[#This Row],[Actual Cost]]="",Tasks[[#This Row],[_LeafCost]]*Tasks[[#This Row],[_LeafProgress]],N(Tasks[[#This Row],[Actual Cost]])))</f>
        <v>0</v>
      </c>
      <c r="DH89" s="43" t="str">
        <f aca="false">IF(Tasks[[#This Row],[Task Name]]="","",LEFT(Tasks[[#This Row],[WBS]],FIND(".",Tasks[[#This Row],[WBS]]&amp;".")-1))</f>
        <v/>
      </c>
      <c r="DI89" s="43" t="str">
        <f aca="false">IF(AND(Tasks[[#This Row],[Task Name]]&lt;&gt;"",Tasks[[#This Row],[_Level]]=1),Tasks[[#This Row],[_Row]],"")</f>
        <v/>
      </c>
      <c r="DJ89" s="43" t="str">
        <f aca="false">IF(AND(Tasks[[#This Row],[_IsLeaf]]=1,N(Tasks[[#This Row],[Duration]])=0),Tasks[[#This Row],[Planned Finish]]+Tasks[[#This Row],[_Row]]/100000,"")</f>
        <v/>
      </c>
      <c r="DK8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8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8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89" s="43" t="str">
        <f aca="false">IF(Tasks[[#This Row],[_LeafCritical]],Tasks[[#This Row],[_LeafFcstStart]]+Tasks[[#This Row],[_Row]]/100000,"")</f>
        <v/>
      </c>
      <c r="DO89" s="43" t="n">
        <f aca="false">Tasks[[#This Row],[_LeafWork]]*Tasks[[#This Row],[_LeafProgress]]</f>
        <v>0</v>
      </c>
      <c r="DP8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89" s="43" t="n">
        <f aca="false">IF(Tasks[[#This Row],[_IsLeaf]]=1,N(Tasks[[#This Row],[Story Points]]),0)</f>
        <v>0</v>
      </c>
      <c r="DR89" s="43" t="str">
        <f aca="false">IF(AND(Tasks[[#This Row],[_IsLeaf]]=1,CurrentSprint&lt;&gt;"",Tasks[[#This Row],[Sprint]]=CurrentSprint),Tasks[[#This Row],[_Row]],"")</f>
        <v/>
      </c>
    </row>
    <row r="90" customFormat="false" ht="15" hidden="false" customHeight="false" outlineLevel="0" collapsed="false">
      <c r="A90" s="28" t="str">
        <f aca="false">IF(Tasks[[#This Row],[Task Name]]="","",COUNTA(Tasks[[#Headers],[Task Name]]:Tasks[[#This Row],[Task Name]])-1)</f>
        <v/>
      </c>
      <c r="B90" s="29" t="n">
        <v>85</v>
      </c>
      <c r="C9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90" s="29"/>
      <c r="E90" s="30"/>
      <c r="F90" s="29"/>
      <c r="G90" s="29"/>
      <c r="H90" s="29"/>
      <c r="I90" s="29"/>
      <c r="J90" s="29"/>
      <c r="K90" s="29"/>
      <c r="L90" s="29"/>
      <c r="M90" s="29"/>
      <c r="N90" s="72"/>
      <c r="O90" s="72"/>
      <c r="P90" s="25" t="str">
        <f aca="false">IF(Tasks[[#This Row],[Task Name]]="","",IF(N(Tasks[[#This Row],[Baseline Start]])&gt;0,Tasks[[#This Row],[Baseline Start]],Tasks[[#This Row],[_CalcStart]]))</f>
        <v/>
      </c>
      <c r="Q90" s="25" t="str">
        <f aca="false">IF(Tasks[[#This Row],[Task Name]]="","",IF(N(Tasks[[#This Row],[Baseline Finish]])&gt;0,Tasks[[#This Row],[Baseline Finish]],Tasks[[#This Row],[_CalcFinish]]))</f>
        <v/>
      </c>
      <c r="R90" s="72"/>
      <c r="S90" s="72"/>
      <c r="T9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9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9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9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9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9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9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9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9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9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9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90" s="74"/>
      <c r="AF9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9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90" s="30"/>
      <c r="AI90" s="74"/>
      <c r="AJ9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9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90" s="83"/>
      <c r="AM90" s="29"/>
      <c r="AN9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90" s="84"/>
      <c r="AP9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90" s="30"/>
      <c r="AR90" s="25" t="str">
        <f aca="false">IF(Tasks[[#This Row],[Task Name]]="","",Tasks[[#This Row],[Forecast Start]])</f>
        <v/>
      </c>
      <c r="AS90" s="25" t="str">
        <f aca="false">IF(Tasks[[#This Row],[Task Name]]="","",Tasks[[#This Row],[Forecast Finish]])</f>
        <v/>
      </c>
      <c r="AT9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90" s="81" t="str">
        <f aca="false">IF(Tasks[[#This Row],[Task Name]]="","",Tasks[[#This Row],[Work]])</f>
        <v/>
      </c>
      <c r="AV90" s="82" t="str">
        <f aca="false">IF(Tasks[[#This Row],[Task Name]]="","",Tasks[[#This Row],[Cost]])</f>
        <v/>
      </c>
      <c r="AW90" s="72"/>
      <c r="AX90" s="72"/>
      <c r="AY90" s="29"/>
      <c r="AZ90" s="85"/>
      <c r="BA90" s="83"/>
      <c r="BB90" s="28" t="str">
        <f aca="false">IF(OR(Tasks[[#This Row],[Task Name]]="",Tasks[[#This Row],[Baseline Duration]]=""),"",Tasks[[#This Row],[BL Source Duration]]-N(Tasks[[#This Row],[Baseline Duration]]))</f>
        <v/>
      </c>
      <c r="BC90" s="81" t="str">
        <f aca="false">IF(OR(Tasks[[#This Row],[Task Name]]="",Tasks[[#This Row],[Baseline Work]]=""),"",Tasks[[#This Row],[Work]]-N(Tasks[[#This Row],[Baseline Work]]))</f>
        <v/>
      </c>
      <c r="BD90" s="82" t="str">
        <f aca="false">IF(OR(Tasks[[#This Row],[Task Name]]="",Tasks[[#This Row],[Baseline Cost]]=""),"",Tasks[[#This Row],[Cost]]-N(Tasks[[#This Row],[Baseline Cost]]))</f>
        <v/>
      </c>
      <c r="BE9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9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9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9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90" s="43" t="str">
        <f aca="false">IF(Tasks[[#This Row],[Task Name]]="","",MAX(1,N(Tasks[[#This Row],[Level]])))</f>
        <v/>
      </c>
      <c r="BJ90" s="43" t="n">
        <f aca="false">ROW()-ROW(Tasks[[#Headers],[ID]])</f>
        <v>85</v>
      </c>
      <c r="BK9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90" s="43" t="n">
        <f aca="false">IFERROR(N(INDEX(Tasks[_Level],Tasks[[#This Row],[_Row]]+1)),0)</f>
        <v>0</v>
      </c>
      <c r="BM90" s="86" t="b">
        <f aca="false">AND(Tasks[[#This Row],[Task Name]]&lt;&gt;"",Tasks[[#This Row],[_NextLevel]]&gt;Tasks[[#This Row],[_Level]])</f>
        <v>0</v>
      </c>
      <c r="BN90" s="43" t="n">
        <f aca="false">IF(Tasks[[#This Row],[_IsSummary]],COUNTIF(Tasks[WBS],Tasks[[#This Row],[WBS]]&amp;".*"),0)</f>
        <v>0</v>
      </c>
      <c r="BO90" s="43" t="n">
        <f aca="false">IF(AND(Tasks[[#This Row],[Task Name]]&lt;&gt;"",NOT(Tasks[[#This Row],[_IsSummary]])),1,0)</f>
        <v>0</v>
      </c>
      <c r="BP90" s="43" t="n">
        <f aca="false">IF(N(Tasks[[#This Row],[Pred1 UID]])=0,0,IFERROR(MATCH(Tasks[[#This Row],[Pred1 UID]],Tasks[UID],0),-1))</f>
        <v>0</v>
      </c>
      <c r="BQ90" s="43" t="n">
        <f aca="false">IF(N(Tasks[[#This Row],[Pred2 UID]])=0,0,IFERROR(MATCH(Tasks[[#This Row],[Pred2 UID]],Tasks[UID],0),-1))</f>
        <v>0</v>
      </c>
      <c r="BR9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9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9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9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90" s="43" t="n">
        <f aca="false">IF(NOT(Tasks[[#This Row],[_IsLeaf]]=1),0,IF(N(Tasks[[#This Row],[Actual Finish]])&gt;0,1,MIN(1,N(Tasks[[#This Row],[% Complete]]))))</f>
        <v>0</v>
      </c>
      <c r="BW9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90" s="43" t="n">
        <f aca="false">IF(Tasks[[#This Row],[_LeafWork]]=0,0,Tasks[[#This Row],[_LeafWork]]*IFERROR(INDEX(res_Rate,MATCH(Tasks[[#This Row],[Resource]],res_Name,0)),0))</f>
        <v>0</v>
      </c>
      <c r="BY9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9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9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9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90" s="43" t="n">
        <f aca="false">IF(NOT(Tasks[[#This Row],[_IsLeaf]]=1),0,MAX(_xlfn.MAXIFS(Tasks[_Row],Tasks[Pred1 UID],Tasks[[#This Row],[UID]]),_xlfn.MAXIFS(Tasks[_Row],Tasks[Pred2 UID],Tasks[[#This Row],[UID]])))</f>
        <v>0</v>
      </c>
      <c r="CD9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90" s="87" t="str">
        <f aca="false">IF(NOT(Tasks[[#This Row],[_IsLeaf]]=1),"",MIN(ProjectFinish,IF(N(Tasks[[#This Row],[Deadline]])&gt;0,Tasks[[#This Row],[Deadline]],2958465),Tasks[[#This Row],[_SuccessorFinishLimit]]))</f>
        <v/>
      </c>
      <c r="CF9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9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90" s="86" t="b">
        <f aca="false">AND(Tasks[[#This Row],[_IsLeaf]]=1,Tasks[[#This Row],[_LeafProgress]]&lt;1,N(Tasks[[#This Row],[_LeafTotalSlack]])&lt;=CriticalSlackDays)</f>
        <v>0</v>
      </c>
      <c r="CI9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9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9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9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9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9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9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9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90" s="43" t="n">
        <f aca="false">IF(AND(Tasks[[#This Row],[_IsLeaf]]=1,Tasks[[#This Row],[_LeafWork]]&gt;0),NETWORKDAYS.INTL(ProjectStart,Tasks[[#This Row],[_LeafFcstStart]],WorkWeek,Holidays),0)</f>
        <v>0</v>
      </c>
      <c r="CR9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90" s="43" t="n">
        <f aca="false">IF(AND(Tasks[[#This Row],[_IsLeaf]]=1,Tasks[[#This Row],[_LeafWork]]&gt;0),Tasks[[#This Row],[_LeafWork]]/(Tasks[[#This Row],[_FinishWorkday]]-Tasks[[#This Row],[_StartWorkday]]+1),0)</f>
        <v>0</v>
      </c>
      <c r="CT90" s="43" t="n">
        <f aca="false">Tasks[[#This Row],[_WorkPerWorkday]]*(Tasks[[#This Row],[_StartWorkday]]-1)</f>
        <v>-0</v>
      </c>
      <c r="CU90" s="43" t="n">
        <f aca="false">IF(Tasks[[#This Row],[_IsLeaf]]=1,MAX(N(Tasks[[#This Row],[Duration]]),0.1),0)</f>
        <v>0</v>
      </c>
      <c r="CV90" s="43" t="n">
        <f aca="false">Tasks[[#This Row],[_WeightDur]]*Tasks[[#This Row],[_LeafProgress]]</f>
        <v>0</v>
      </c>
      <c r="CW9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9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9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9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9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90" s="43" t="str">
        <f aca="false">IF(AND(Tasks[[#This Row],[_IsLeaf]]=1,N(Tasks[[#This Row],[Duration]])=0,Tasks[[#This Row],[_LeafProgress]]&lt;1),Tasks[[#This Row],[_LeafFcstFinish]]+Tasks[[#This Row],[_Row]]/100000,"")</f>
        <v/>
      </c>
      <c r="DC9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90" s="43" t="n">
        <f aca="false">IF(NOT(Tasks[[#This Row],[_IsLeaf]]=1),0,IF(Tasks[[#This Row],[Baseline Cost]]="",Tasks[[#This Row],[_LeafCost]],N(Tasks[[#This Row],[Baseline Cost]])))</f>
        <v>0</v>
      </c>
      <c r="DE90" s="43" t="n">
        <f aca="false">Tasks[[#This Row],[_LeafBudget]]*Tasks[[#This Row],[_PlannedPct]]</f>
        <v>0</v>
      </c>
      <c r="DF90" s="43" t="n">
        <f aca="false">Tasks[[#This Row],[_LeafBudget]]*Tasks[[#This Row],[_LeafProgress]]</f>
        <v>0</v>
      </c>
      <c r="DG90" s="43" t="n">
        <f aca="false">IF(NOT(Tasks[[#This Row],[_IsLeaf]]=1),0,IF(Tasks[[#This Row],[Actual Cost]]="",Tasks[[#This Row],[_LeafCost]]*Tasks[[#This Row],[_LeafProgress]],N(Tasks[[#This Row],[Actual Cost]])))</f>
        <v>0</v>
      </c>
      <c r="DH90" s="43" t="str">
        <f aca="false">IF(Tasks[[#This Row],[Task Name]]="","",LEFT(Tasks[[#This Row],[WBS]],FIND(".",Tasks[[#This Row],[WBS]]&amp;".")-1))</f>
        <v/>
      </c>
      <c r="DI90" s="43" t="str">
        <f aca="false">IF(AND(Tasks[[#This Row],[Task Name]]&lt;&gt;"",Tasks[[#This Row],[_Level]]=1),Tasks[[#This Row],[_Row]],"")</f>
        <v/>
      </c>
      <c r="DJ90" s="43" t="str">
        <f aca="false">IF(AND(Tasks[[#This Row],[_IsLeaf]]=1,N(Tasks[[#This Row],[Duration]])=0),Tasks[[#This Row],[Planned Finish]]+Tasks[[#This Row],[_Row]]/100000,"")</f>
        <v/>
      </c>
      <c r="DK9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9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9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90" s="43" t="str">
        <f aca="false">IF(Tasks[[#This Row],[_LeafCritical]],Tasks[[#This Row],[_LeafFcstStart]]+Tasks[[#This Row],[_Row]]/100000,"")</f>
        <v/>
      </c>
      <c r="DO90" s="43" t="n">
        <f aca="false">Tasks[[#This Row],[_LeafWork]]*Tasks[[#This Row],[_LeafProgress]]</f>
        <v>0</v>
      </c>
      <c r="DP9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90" s="43" t="n">
        <f aca="false">IF(Tasks[[#This Row],[_IsLeaf]]=1,N(Tasks[[#This Row],[Story Points]]),0)</f>
        <v>0</v>
      </c>
      <c r="DR90" s="43" t="str">
        <f aca="false">IF(AND(Tasks[[#This Row],[_IsLeaf]]=1,CurrentSprint&lt;&gt;"",Tasks[[#This Row],[Sprint]]=CurrentSprint),Tasks[[#This Row],[_Row]],"")</f>
        <v/>
      </c>
    </row>
    <row r="91" customFormat="false" ht="15" hidden="false" customHeight="false" outlineLevel="0" collapsed="false">
      <c r="A91" s="28" t="str">
        <f aca="false">IF(Tasks[[#This Row],[Task Name]]="","",COUNTA(Tasks[[#Headers],[Task Name]]:Tasks[[#This Row],[Task Name]])-1)</f>
        <v/>
      </c>
      <c r="B91" s="29" t="n">
        <v>86</v>
      </c>
      <c r="C9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91" s="29"/>
      <c r="E91" s="30"/>
      <c r="F91" s="29"/>
      <c r="G91" s="29"/>
      <c r="H91" s="29"/>
      <c r="I91" s="29"/>
      <c r="J91" s="29"/>
      <c r="K91" s="29"/>
      <c r="L91" s="29"/>
      <c r="M91" s="29"/>
      <c r="N91" s="72"/>
      <c r="O91" s="72"/>
      <c r="P91" s="25" t="str">
        <f aca="false">IF(Tasks[[#This Row],[Task Name]]="","",IF(N(Tasks[[#This Row],[Baseline Start]])&gt;0,Tasks[[#This Row],[Baseline Start]],Tasks[[#This Row],[_CalcStart]]))</f>
        <v/>
      </c>
      <c r="Q91" s="25" t="str">
        <f aca="false">IF(Tasks[[#This Row],[Task Name]]="","",IF(N(Tasks[[#This Row],[Baseline Finish]])&gt;0,Tasks[[#This Row],[Baseline Finish]],Tasks[[#This Row],[_CalcFinish]]))</f>
        <v/>
      </c>
      <c r="R91" s="72"/>
      <c r="S91" s="72"/>
      <c r="T9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9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9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9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9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9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9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9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9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9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9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91" s="74"/>
      <c r="AF9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9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91" s="30"/>
      <c r="AI91" s="74"/>
      <c r="AJ9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9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91" s="83"/>
      <c r="AM91" s="29"/>
      <c r="AN9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91" s="84"/>
      <c r="AP9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91" s="30"/>
      <c r="AR91" s="25" t="str">
        <f aca="false">IF(Tasks[[#This Row],[Task Name]]="","",Tasks[[#This Row],[Forecast Start]])</f>
        <v/>
      </c>
      <c r="AS91" s="25" t="str">
        <f aca="false">IF(Tasks[[#This Row],[Task Name]]="","",Tasks[[#This Row],[Forecast Finish]])</f>
        <v/>
      </c>
      <c r="AT9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91" s="81" t="str">
        <f aca="false">IF(Tasks[[#This Row],[Task Name]]="","",Tasks[[#This Row],[Work]])</f>
        <v/>
      </c>
      <c r="AV91" s="82" t="str">
        <f aca="false">IF(Tasks[[#This Row],[Task Name]]="","",Tasks[[#This Row],[Cost]])</f>
        <v/>
      </c>
      <c r="AW91" s="72"/>
      <c r="AX91" s="72"/>
      <c r="AY91" s="29"/>
      <c r="AZ91" s="85"/>
      <c r="BA91" s="83"/>
      <c r="BB91" s="28" t="str">
        <f aca="false">IF(OR(Tasks[[#This Row],[Task Name]]="",Tasks[[#This Row],[Baseline Duration]]=""),"",Tasks[[#This Row],[BL Source Duration]]-N(Tasks[[#This Row],[Baseline Duration]]))</f>
        <v/>
      </c>
      <c r="BC91" s="81" t="str">
        <f aca="false">IF(OR(Tasks[[#This Row],[Task Name]]="",Tasks[[#This Row],[Baseline Work]]=""),"",Tasks[[#This Row],[Work]]-N(Tasks[[#This Row],[Baseline Work]]))</f>
        <v/>
      </c>
      <c r="BD91" s="82" t="str">
        <f aca="false">IF(OR(Tasks[[#This Row],[Task Name]]="",Tasks[[#This Row],[Baseline Cost]]=""),"",Tasks[[#This Row],[Cost]]-N(Tasks[[#This Row],[Baseline Cost]]))</f>
        <v/>
      </c>
      <c r="BE9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9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9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9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91" s="43" t="str">
        <f aca="false">IF(Tasks[[#This Row],[Task Name]]="","",MAX(1,N(Tasks[[#This Row],[Level]])))</f>
        <v/>
      </c>
      <c r="BJ91" s="43" t="n">
        <f aca="false">ROW()-ROW(Tasks[[#Headers],[ID]])</f>
        <v>86</v>
      </c>
      <c r="BK9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91" s="43" t="n">
        <f aca="false">IFERROR(N(INDEX(Tasks[_Level],Tasks[[#This Row],[_Row]]+1)),0)</f>
        <v>0</v>
      </c>
      <c r="BM91" s="86" t="b">
        <f aca="false">AND(Tasks[[#This Row],[Task Name]]&lt;&gt;"",Tasks[[#This Row],[_NextLevel]]&gt;Tasks[[#This Row],[_Level]])</f>
        <v>0</v>
      </c>
      <c r="BN91" s="43" t="n">
        <f aca="false">IF(Tasks[[#This Row],[_IsSummary]],COUNTIF(Tasks[WBS],Tasks[[#This Row],[WBS]]&amp;".*"),0)</f>
        <v>0</v>
      </c>
      <c r="BO91" s="43" t="n">
        <f aca="false">IF(AND(Tasks[[#This Row],[Task Name]]&lt;&gt;"",NOT(Tasks[[#This Row],[_IsSummary]])),1,0)</f>
        <v>0</v>
      </c>
      <c r="BP91" s="43" t="n">
        <f aca="false">IF(N(Tasks[[#This Row],[Pred1 UID]])=0,0,IFERROR(MATCH(Tasks[[#This Row],[Pred1 UID]],Tasks[UID],0),-1))</f>
        <v>0</v>
      </c>
      <c r="BQ91" s="43" t="n">
        <f aca="false">IF(N(Tasks[[#This Row],[Pred2 UID]])=0,0,IFERROR(MATCH(Tasks[[#This Row],[Pred2 UID]],Tasks[UID],0),-1))</f>
        <v>0</v>
      </c>
      <c r="BR9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9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9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9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91" s="43" t="n">
        <f aca="false">IF(NOT(Tasks[[#This Row],[_IsLeaf]]=1),0,IF(N(Tasks[[#This Row],[Actual Finish]])&gt;0,1,MIN(1,N(Tasks[[#This Row],[% Complete]]))))</f>
        <v>0</v>
      </c>
      <c r="BW9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91" s="43" t="n">
        <f aca="false">IF(Tasks[[#This Row],[_LeafWork]]=0,0,Tasks[[#This Row],[_LeafWork]]*IFERROR(INDEX(res_Rate,MATCH(Tasks[[#This Row],[Resource]],res_Name,0)),0))</f>
        <v>0</v>
      </c>
      <c r="BY9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9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9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9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91" s="43" t="n">
        <f aca="false">IF(NOT(Tasks[[#This Row],[_IsLeaf]]=1),0,MAX(_xlfn.MAXIFS(Tasks[_Row],Tasks[Pred1 UID],Tasks[[#This Row],[UID]]),_xlfn.MAXIFS(Tasks[_Row],Tasks[Pred2 UID],Tasks[[#This Row],[UID]])))</f>
        <v>0</v>
      </c>
      <c r="CD9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91" s="87" t="str">
        <f aca="false">IF(NOT(Tasks[[#This Row],[_IsLeaf]]=1),"",MIN(ProjectFinish,IF(N(Tasks[[#This Row],[Deadline]])&gt;0,Tasks[[#This Row],[Deadline]],2958465),Tasks[[#This Row],[_SuccessorFinishLimit]]))</f>
        <v/>
      </c>
      <c r="CF9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9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91" s="86" t="b">
        <f aca="false">AND(Tasks[[#This Row],[_IsLeaf]]=1,Tasks[[#This Row],[_LeafProgress]]&lt;1,N(Tasks[[#This Row],[_LeafTotalSlack]])&lt;=CriticalSlackDays)</f>
        <v>0</v>
      </c>
      <c r="CI9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9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9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9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9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9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9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9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91" s="43" t="n">
        <f aca="false">IF(AND(Tasks[[#This Row],[_IsLeaf]]=1,Tasks[[#This Row],[_LeafWork]]&gt;0),NETWORKDAYS.INTL(ProjectStart,Tasks[[#This Row],[_LeafFcstStart]],WorkWeek,Holidays),0)</f>
        <v>0</v>
      </c>
      <c r="CR9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91" s="43" t="n">
        <f aca="false">IF(AND(Tasks[[#This Row],[_IsLeaf]]=1,Tasks[[#This Row],[_LeafWork]]&gt;0),Tasks[[#This Row],[_LeafWork]]/(Tasks[[#This Row],[_FinishWorkday]]-Tasks[[#This Row],[_StartWorkday]]+1),0)</f>
        <v>0</v>
      </c>
      <c r="CT91" s="43" t="n">
        <f aca="false">Tasks[[#This Row],[_WorkPerWorkday]]*(Tasks[[#This Row],[_StartWorkday]]-1)</f>
        <v>-0</v>
      </c>
      <c r="CU91" s="43" t="n">
        <f aca="false">IF(Tasks[[#This Row],[_IsLeaf]]=1,MAX(N(Tasks[[#This Row],[Duration]]),0.1),0)</f>
        <v>0</v>
      </c>
      <c r="CV91" s="43" t="n">
        <f aca="false">Tasks[[#This Row],[_WeightDur]]*Tasks[[#This Row],[_LeafProgress]]</f>
        <v>0</v>
      </c>
      <c r="CW9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9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9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9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9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91" s="43" t="str">
        <f aca="false">IF(AND(Tasks[[#This Row],[_IsLeaf]]=1,N(Tasks[[#This Row],[Duration]])=0,Tasks[[#This Row],[_LeafProgress]]&lt;1),Tasks[[#This Row],[_LeafFcstFinish]]+Tasks[[#This Row],[_Row]]/100000,"")</f>
        <v/>
      </c>
      <c r="DC9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91" s="43" t="n">
        <f aca="false">IF(NOT(Tasks[[#This Row],[_IsLeaf]]=1),0,IF(Tasks[[#This Row],[Baseline Cost]]="",Tasks[[#This Row],[_LeafCost]],N(Tasks[[#This Row],[Baseline Cost]])))</f>
        <v>0</v>
      </c>
      <c r="DE91" s="43" t="n">
        <f aca="false">Tasks[[#This Row],[_LeafBudget]]*Tasks[[#This Row],[_PlannedPct]]</f>
        <v>0</v>
      </c>
      <c r="DF91" s="43" t="n">
        <f aca="false">Tasks[[#This Row],[_LeafBudget]]*Tasks[[#This Row],[_LeafProgress]]</f>
        <v>0</v>
      </c>
      <c r="DG91" s="43" t="n">
        <f aca="false">IF(NOT(Tasks[[#This Row],[_IsLeaf]]=1),0,IF(Tasks[[#This Row],[Actual Cost]]="",Tasks[[#This Row],[_LeafCost]]*Tasks[[#This Row],[_LeafProgress]],N(Tasks[[#This Row],[Actual Cost]])))</f>
        <v>0</v>
      </c>
      <c r="DH91" s="43" t="str">
        <f aca="false">IF(Tasks[[#This Row],[Task Name]]="","",LEFT(Tasks[[#This Row],[WBS]],FIND(".",Tasks[[#This Row],[WBS]]&amp;".")-1))</f>
        <v/>
      </c>
      <c r="DI91" s="43" t="str">
        <f aca="false">IF(AND(Tasks[[#This Row],[Task Name]]&lt;&gt;"",Tasks[[#This Row],[_Level]]=1),Tasks[[#This Row],[_Row]],"")</f>
        <v/>
      </c>
      <c r="DJ91" s="43" t="str">
        <f aca="false">IF(AND(Tasks[[#This Row],[_IsLeaf]]=1,N(Tasks[[#This Row],[Duration]])=0),Tasks[[#This Row],[Planned Finish]]+Tasks[[#This Row],[_Row]]/100000,"")</f>
        <v/>
      </c>
      <c r="DK9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9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9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91" s="43" t="str">
        <f aca="false">IF(Tasks[[#This Row],[_LeafCritical]],Tasks[[#This Row],[_LeafFcstStart]]+Tasks[[#This Row],[_Row]]/100000,"")</f>
        <v/>
      </c>
      <c r="DO91" s="43" t="n">
        <f aca="false">Tasks[[#This Row],[_LeafWork]]*Tasks[[#This Row],[_LeafProgress]]</f>
        <v>0</v>
      </c>
      <c r="DP9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91" s="43" t="n">
        <f aca="false">IF(Tasks[[#This Row],[_IsLeaf]]=1,N(Tasks[[#This Row],[Story Points]]),0)</f>
        <v>0</v>
      </c>
      <c r="DR91" s="43" t="str">
        <f aca="false">IF(AND(Tasks[[#This Row],[_IsLeaf]]=1,CurrentSprint&lt;&gt;"",Tasks[[#This Row],[Sprint]]=CurrentSprint),Tasks[[#This Row],[_Row]],"")</f>
        <v/>
      </c>
    </row>
    <row r="92" customFormat="false" ht="15" hidden="false" customHeight="false" outlineLevel="0" collapsed="false">
      <c r="A92" s="28" t="str">
        <f aca="false">IF(Tasks[[#This Row],[Task Name]]="","",COUNTA(Tasks[[#Headers],[Task Name]]:Tasks[[#This Row],[Task Name]])-1)</f>
        <v/>
      </c>
      <c r="B92" s="29" t="n">
        <v>87</v>
      </c>
      <c r="C9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92" s="29"/>
      <c r="E92" s="30"/>
      <c r="F92" s="29"/>
      <c r="G92" s="29"/>
      <c r="H92" s="29"/>
      <c r="I92" s="29"/>
      <c r="J92" s="29"/>
      <c r="K92" s="29"/>
      <c r="L92" s="29"/>
      <c r="M92" s="29"/>
      <c r="N92" s="72"/>
      <c r="O92" s="72"/>
      <c r="P92" s="25" t="str">
        <f aca="false">IF(Tasks[[#This Row],[Task Name]]="","",IF(N(Tasks[[#This Row],[Baseline Start]])&gt;0,Tasks[[#This Row],[Baseline Start]],Tasks[[#This Row],[_CalcStart]]))</f>
        <v/>
      </c>
      <c r="Q92" s="25" t="str">
        <f aca="false">IF(Tasks[[#This Row],[Task Name]]="","",IF(N(Tasks[[#This Row],[Baseline Finish]])&gt;0,Tasks[[#This Row],[Baseline Finish]],Tasks[[#This Row],[_CalcFinish]]))</f>
        <v/>
      </c>
      <c r="R92" s="72"/>
      <c r="S92" s="72"/>
      <c r="T9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9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9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9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9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9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9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9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9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9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9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92" s="74"/>
      <c r="AF9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9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92" s="30"/>
      <c r="AI92" s="74"/>
      <c r="AJ9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9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92" s="83"/>
      <c r="AM92" s="29"/>
      <c r="AN9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92" s="84"/>
      <c r="AP9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92" s="30"/>
      <c r="AR92" s="25" t="str">
        <f aca="false">IF(Tasks[[#This Row],[Task Name]]="","",Tasks[[#This Row],[Forecast Start]])</f>
        <v/>
      </c>
      <c r="AS92" s="25" t="str">
        <f aca="false">IF(Tasks[[#This Row],[Task Name]]="","",Tasks[[#This Row],[Forecast Finish]])</f>
        <v/>
      </c>
      <c r="AT9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92" s="81" t="str">
        <f aca="false">IF(Tasks[[#This Row],[Task Name]]="","",Tasks[[#This Row],[Work]])</f>
        <v/>
      </c>
      <c r="AV92" s="82" t="str">
        <f aca="false">IF(Tasks[[#This Row],[Task Name]]="","",Tasks[[#This Row],[Cost]])</f>
        <v/>
      </c>
      <c r="AW92" s="72"/>
      <c r="AX92" s="72"/>
      <c r="AY92" s="29"/>
      <c r="AZ92" s="85"/>
      <c r="BA92" s="83"/>
      <c r="BB92" s="28" t="str">
        <f aca="false">IF(OR(Tasks[[#This Row],[Task Name]]="",Tasks[[#This Row],[Baseline Duration]]=""),"",Tasks[[#This Row],[BL Source Duration]]-N(Tasks[[#This Row],[Baseline Duration]]))</f>
        <v/>
      </c>
      <c r="BC92" s="81" t="str">
        <f aca="false">IF(OR(Tasks[[#This Row],[Task Name]]="",Tasks[[#This Row],[Baseline Work]]=""),"",Tasks[[#This Row],[Work]]-N(Tasks[[#This Row],[Baseline Work]]))</f>
        <v/>
      </c>
      <c r="BD92" s="82" t="str">
        <f aca="false">IF(OR(Tasks[[#This Row],[Task Name]]="",Tasks[[#This Row],[Baseline Cost]]=""),"",Tasks[[#This Row],[Cost]]-N(Tasks[[#This Row],[Baseline Cost]]))</f>
        <v/>
      </c>
      <c r="BE9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9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9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9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92" s="43" t="str">
        <f aca="false">IF(Tasks[[#This Row],[Task Name]]="","",MAX(1,N(Tasks[[#This Row],[Level]])))</f>
        <v/>
      </c>
      <c r="BJ92" s="43" t="n">
        <f aca="false">ROW()-ROW(Tasks[[#Headers],[ID]])</f>
        <v>87</v>
      </c>
      <c r="BK9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92" s="43" t="n">
        <f aca="false">IFERROR(N(INDEX(Tasks[_Level],Tasks[[#This Row],[_Row]]+1)),0)</f>
        <v>0</v>
      </c>
      <c r="BM92" s="86" t="b">
        <f aca="false">AND(Tasks[[#This Row],[Task Name]]&lt;&gt;"",Tasks[[#This Row],[_NextLevel]]&gt;Tasks[[#This Row],[_Level]])</f>
        <v>0</v>
      </c>
      <c r="BN92" s="43" t="n">
        <f aca="false">IF(Tasks[[#This Row],[_IsSummary]],COUNTIF(Tasks[WBS],Tasks[[#This Row],[WBS]]&amp;".*"),0)</f>
        <v>0</v>
      </c>
      <c r="BO92" s="43" t="n">
        <f aca="false">IF(AND(Tasks[[#This Row],[Task Name]]&lt;&gt;"",NOT(Tasks[[#This Row],[_IsSummary]])),1,0)</f>
        <v>0</v>
      </c>
      <c r="BP92" s="43" t="n">
        <f aca="false">IF(N(Tasks[[#This Row],[Pred1 UID]])=0,0,IFERROR(MATCH(Tasks[[#This Row],[Pred1 UID]],Tasks[UID],0),-1))</f>
        <v>0</v>
      </c>
      <c r="BQ92" s="43" t="n">
        <f aca="false">IF(N(Tasks[[#This Row],[Pred2 UID]])=0,0,IFERROR(MATCH(Tasks[[#This Row],[Pred2 UID]],Tasks[UID],0),-1))</f>
        <v>0</v>
      </c>
      <c r="BR9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9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9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9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92" s="43" t="n">
        <f aca="false">IF(NOT(Tasks[[#This Row],[_IsLeaf]]=1),0,IF(N(Tasks[[#This Row],[Actual Finish]])&gt;0,1,MIN(1,N(Tasks[[#This Row],[% Complete]]))))</f>
        <v>0</v>
      </c>
      <c r="BW9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92" s="43" t="n">
        <f aca="false">IF(Tasks[[#This Row],[_LeafWork]]=0,0,Tasks[[#This Row],[_LeafWork]]*IFERROR(INDEX(res_Rate,MATCH(Tasks[[#This Row],[Resource]],res_Name,0)),0))</f>
        <v>0</v>
      </c>
      <c r="BY9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9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9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9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92" s="43" t="n">
        <f aca="false">IF(NOT(Tasks[[#This Row],[_IsLeaf]]=1),0,MAX(_xlfn.MAXIFS(Tasks[_Row],Tasks[Pred1 UID],Tasks[[#This Row],[UID]]),_xlfn.MAXIFS(Tasks[_Row],Tasks[Pred2 UID],Tasks[[#This Row],[UID]])))</f>
        <v>0</v>
      </c>
      <c r="CD9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92" s="87" t="str">
        <f aca="false">IF(NOT(Tasks[[#This Row],[_IsLeaf]]=1),"",MIN(ProjectFinish,IF(N(Tasks[[#This Row],[Deadline]])&gt;0,Tasks[[#This Row],[Deadline]],2958465),Tasks[[#This Row],[_SuccessorFinishLimit]]))</f>
        <v/>
      </c>
      <c r="CF9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9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92" s="86" t="b">
        <f aca="false">AND(Tasks[[#This Row],[_IsLeaf]]=1,Tasks[[#This Row],[_LeafProgress]]&lt;1,N(Tasks[[#This Row],[_LeafTotalSlack]])&lt;=CriticalSlackDays)</f>
        <v>0</v>
      </c>
      <c r="CI9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9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9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9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9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9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9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9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92" s="43" t="n">
        <f aca="false">IF(AND(Tasks[[#This Row],[_IsLeaf]]=1,Tasks[[#This Row],[_LeafWork]]&gt;0),NETWORKDAYS.INTL(ProjectStart,Tasks[[#This Row],[_LeafFcstStart]],WorkWeek,Holidays),0)</f>
        <v>0</v>
      </c>
      <c r="CR9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92" s="43" t="n">
        <f aca="false">IF(AND(Tasks[[#This Row],[_IsLeaf]]=1,Tasks[[#This Row],[_LeafWork]]&gt;0),Tasks[[#This Row],[_LeafWork]]/(Tasks[[#This Row],[_FinishWorkday]]-Tasks[[#This Row],[_StartWorkday]]+1),0)</f>
        <v>0</v>
      </c>
      <c r="CT92" s="43" t="n">
        <f aca="false">Tasks[[#This Row],[_WorkPerWorkday]]*(Tasks[[#This Row],[_StartWorkday]]-1)</f>
        <v>-0</v>
      </c>
      <c r="CU92" s="43" t="n">
        <f aca="false">IF(Tasks[[#This Row],[_IsLeaf]]=1,MAX(N(Tasks[[#This Row],[Duration]]),0.1),0)</f>
        <v>0</v>
      </c>
      <c r="CV92" s="43" t="n">
        <f aca="false">Tasks[[#This Row],[_WeightDur]]*Tasks[[#This Row],[_LeafProgress]]</f>
        <v>0</v>
      </c>
      <c r="CW9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9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9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9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9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92" s="43" t="str">
        <f aca="false">IF(AND(Tasks[[#This Row],[_IsLeaf]]=1,N(Tasks[[#This Row],[Duration]])=0,Tasks[[#This Row],[_LeafProgress]]&lt;1),Tasks[[#This Row],[_LeafFcstFinish]]+Tasks[[#This Row],[_Row]]/100000,"")</f>
        <v/>
      </c>
      <c r="DC9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92" s="43" t="n">
        <f aca="false">IF(NOT(Tasks[[#This Row],[_IsLeaf]]=1),0,IF(Tasks[[#This Row],[Baseline Cost]]="",Tasks[[#This Row],[_LeafCost]],N(Tasks[[#This Row],[Baseline Cost]])))</f>
        <v>0</v>
      </c>
      <c r="DE92" s="43" t="n">
        <f aca="false">Tasks[[#This Row],[_LeafBudget]]*Tasks[[#This Row],[_PlannedPct]]</f>
        <v>0</v>
      </c>
      <c r="DF92" s="43" t="n">
        <f aca="false">Tasks[[#This Row],[_LeafBudget]]*Tasks[[#This Row],[_LeafProgress]]</f>
        <v>0</v>
      </c>
      <c r="DG92" s="43" t="n">
        <f aca="false">IF(NOT(Tasks[[#This Row],[_IsLeaf]]=1),0,IF(Tasks[[#This Row],[Actual Cost]]="",Tasks[[#This Row],[_LeafCost]]*Tasks[[#This Row],[_LeafProgress]],N(Tasks[[#This Row],[Actual Cost]])))</f>
        <v>0</v>
      </c>
      <c r="DH92" s="43" t="str">
        <f aca="false">IF(Tasks[[#This Row],[Task Name]]="","",LEFT(Tasks[[#This Row],[WBS]],FIND(".",Tasks[[#This Row],[WBS]]&amp;".")-1))</f>
        <v/>
      </c>
      <c r="DI92" s="43" t="str">
        <f aca="false">IF(AND(Tasks[[#This Row],[Task Name]]&lt;&gt;"",Tasks[[#This Row],[_Level]]=1),Tasks[[#This Row],[_Row]],"")</f>
        <v/>
      </c>
      <c r="DJ92" s="43" t="str">
        <f aca="false">IF(AND(Tasks[[#This Row],[_IsLeaf]]=1,N(Tasks[[#This Row],[Duration]])=0),Tasks[[#This Row],[Planned Finish]]+Tasks[[#This Row],[_Row]]/100000,"")</f>
        <v/>
      </c>
      <c r="DK9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9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9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92" s="43" t="str">
        <f aca="false">IF(Tasks[[#This Row],[_LeafCritical]],Tasks[[#This Row],[_LeafFcstStart]]+Tasks[[#This Row],[_Row]]/100000,"")</f>
        <v/>
      </c>
      <c r="DO92" s="43" t="n">
        <f aca="false">Tasks[[#This Row],[_LeafWork]]*Tasks[[#This Row],[_LeafProgress]]</f>
        <v>0</v>
      </c>
      <c r="DP9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92" s="43" t="n">
        <f aca="false">IF(Tasks[[#This Row],[_IsLeaf]]=1,N(Tasks[[#This Row],[Story Points]]),0)</f>
        <v>0</v>
      </c>
      <c r="DR92" s="43" t="str">
        <f aca="false">IF(AND(Tasks[[#This Row],[_IsLeaf]]=1,CurrentSprint&lt;&gt;"",Tasks[[#This Row],[Sprint]]=CurrentSprint),Tasks[[#This Row],[_Row]],"")</f>
        <v/>
      </c>
    </row>
    <row r="93" customFormat="false" ht="15" hidden="false" customHeight="false" outlineLevel="0" collapsed="false">
      <c r="A93" s="28" t="str">
        <f aca="false">IF(Tasks[[#This Row],[Task Name]]="","",COUNTA(Tasks[[#Headers],[Task Name]]:Tasks[[#This Row],[Task Name]])-1)</f>
        <v/>
      </c>
      <c r="B93" s="29" t="n">
        <v>88</v>
      </c>
      <c r="C9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93" s="29"/>
      <c r="E93" s="30"/>
      <c r="F93" s="29"/>
      <c r="G93" s="29"/>
      <c r="H93" s="29"/>
      <c r="I93" s="29"/>
      <c r="J93" s="29"/>
      <c r="K93" s="29"/>
      <c r="L93" s="29"/>
      <c r="M93" s="29"/>
      <c r="N93" s="72"/>
      <c r="O93" s="72"/>
      <c r="P93" s="25" t="str">
        <f aca="false">IF(Tasks[[#This Row],[Task Name]]="","",IF(N(Tasks[[#This Row],[Baseline Start]])&gt;0,Tasks[[#This Row],[Baseline Start]],Tasks[[#This Row],[_CalcStart]]))</f>
        <v/>
      </c>
      <c r="Q93" s="25" t="str">
        <f aca="false">IF(Tasks[[#This Row],[Task Name]]="","",IF(N(Tasks[[#This Row],[Baseline Finish]])&gt;0,Tasks[[#This Row],[Baseline Finish]],Tasks[[#This Row],[_CalcFinish]]))</f>
        <v/>
      </c>
      <c r="R93" s="72"/>
      <c r="S93" s="72"/>
      <c r="T9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9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9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9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9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9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9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9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9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9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9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93" s="74"/>
      <c r="AF9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9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93" s="30"/>
      <c r="AI93" s="74"/>
      <c r="AJ9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9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93" s="83"/>
      <c r="AM93" s="29"/>
      <c r="AN9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93" s="84"/>
      <c r="AP9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93" s="30"/>
      <c r="AR93" s="25" t="str">
        <f aca="false">IF(Tasks[[#This Row],[Task Name]]="","",Tasks[[#This Row],[Forecast Start]])</f>
        <v/>
      </c>
      <c r="AS93" s="25" t="str">
        <f aca="false">IF(Tasks[[#This Row],[Task Name]]="","",Tasks[[#This Row],[Forecast Finish]])</f>
        <v/>
      </c>
      <c r="AT9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93" s="81" t="str">
        <f aca="false">IF(Tasks[[#This Row],[Task Name]]="","",Tasks[[#This Row],[Work]])</f>
        <v/>
      </c>
      <c r="AV93" s="82" t="str">
        <f aca="false">IF(Tasks[[#This Row],[Task Name]]="","",Tasks[[#This Row],[Cost]])</f>
        <v/>
      </c>
      <c r="AW93" s="72"/>
      <c r="AX93" s="72"/>
      <c r="AY93" s="29"/>
      <c r="AZ93" s="85"/>
      <c r="BA93" s="83"/>
      <c r="BB93" s="28" t="str">
        <f aca="false">IF(OR(Tasks[[#This Row],[Task Name]]="",Tasks[[#This Row],[Baseline Duration]]=""),"",Tasks[[#This Row],[BL Source Duration]]-N(Tasks[[#This Row],[Baseline Duration]]))</f>
        <v/>
      </c>
      <c r="BC93" s="81" t="str">
        <f aca="false">IF(OR(Tasks[[#This Row],[Task Name]]="",Tasks[[#This Row],[Baseline Work]]=""),"",Tasks[[#This Row],[Work]]-N(Tasks[[#This Row],[Baseline Work]]))</f>
        <v/>
      </c>
      <c r="BD93" s="82" t="str">
        <f aca="false">IF(OR(Tasks[[#This Row],[Task Name]]="",Tasks[[#This Row],[Baseline Cost]]=""),"",Tasks[[#This Row],[Cost]]-N(Tasks[[#This Row],[Baseline Cost]]))</f>
        <v/>
      </c>
      <c r="BE9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9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9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9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93" s="43" t="str">
        <f aca="false">IF(Tasks[[#This Row],[Task Name]]="","",MAX(1,N(Tasks[[#This Row],[Level]])))</f>
        <v/>
      </c>
      <c r="BJ93" s="43" t="n">
        <f aca="false">ROW()-ROW(Tasks[[#Headers],[ID]])</f>
        <v>88</v>
      </c>
      <c r="BK9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93" s="43" t="n">
        <f aca="false">IFERROR(N(INDEX(Tasks[_Level],Tasks[[#This Row],[_Row]]+1)),0)</f>
        <v>0</v>
      </c>
      <c r="BM93" s="86" t="b">
        <f aca="false">AND(Tasks[[#This Row],[Task Name]]&lt;&gt;"",Tasks[[#This Row],[_NextLevel]]&gt;Tasks[[#This Row],[_Level]])</f>
        <v>0</v>
      </c>
      <c r="BN93" s="43" t="n">
        <f aca="false">IF(Tasks[[#This Row],[_IsSummary]],COUNTIF(Tasks[WBS],Tasks[[#This Row],[WBS]]&amp;".*"),0)</f>
        <v>0</v>
      </c>
      <c r="BO93" s="43" t="n">
        <f aca="false">IF(AND(Tasks[[#This Row],[Task Name]]&lt;&gt;"",NOT(Tasks[[#This Row],[_IsSummary]])),1,0)</f>
        <v>0</v>
      </c>
      <c r="BP93" s="43" t="n">
        <f aca="false">IF(N(Tasks[[#This Row],[Pred1 UID]])=0,0,IFERROR(MATCH(Tasks[[#This Row],[Pred1 UID]],Tasks[UID],0),-1))</f>
        <v>0</v>
      </c>
      <c r="BQ93" s="43" t="n">
        <f aca="false">IF(N(Tasks[[#This Row],[Pred2 UID]])=0,0,IFERROR(MATCH(Tasks[[#This Row],[Pred2 UID]],Tasks[UID],0),-1))</f>
        <v>0</v>
      </c>
      <c r="BR9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9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9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9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93" s="43" t="n">
        <f aca="false">IF(NOT(Tasks[[#This Row],[_IsLeaf]]=1),0,IF(N(Tasks[[#This Row],[Actual Finish]])&gt;0,1,MIN(1,N(Tasks[[#This Row],[% Complete]]))))</f>
        <v>0</v>
      </c>
      <c r="BW9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93" s="43" t="n">
        <f aca="false">IF(Tasks[[#This Row],[_LeafWork]]=0,0,Tasks[[#This Row],[_LeafWork]]*IFERROR(INDEX(res_Rate,MATCH(Tasks[[#This Row],[Resource]],res_Name,0)),0))</f>
        <v>0</v>
      </c>
      <c r="BY9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9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9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9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93" s="43" t="n">
        <f aca="false">IF(NOT(Tasks[[#This Row],[_IsLeaf]]=1),0,MAX(_xlfn.MAXIFS(Tasks[_Row],Tasks[Pred1 UID],Tasks[[#This Row],[UID]]),_xlfn.MAXIFS(Tasks[_Row],Tasks[Pred2 UID],Tasks[[#This Row],[UID]])))</f>
        <v>0</v>
      </c>
      <c r="CD9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93" s="87" t="str">
        <f aca="false">IF(NOT(Tasks[[#This Row],[_IsLeaf]]=1),"",MIN(ProjectFinish,IF(N(Tasks[[#This Row],[Deadline]])&gt;0,Tasks[[#This Row],[Deadline]],2958465),Tasks[[#This Row],[_SuccessorFinishLimit]]))</f>
        <v/>
      </c>
      <c r="CF9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9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93" s="86" t="b">
        <f aca="false">AND(Tasks[[#This Row],[_IsLeaf]]=1,Tasks[[#This Row],[_LeafProgress]]&lt;1,N(Tasks[[#This Row],[_LeafTotalSlack]])&lt;=CriticalSlackDays)</f>
        <v>0</v>
      </c>
      <c r="CI9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9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9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9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9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9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9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9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93" s="43" t="n">
        <f aca="false">IF(AND(Tasks[[#This Row],[_IsLeaf]]=1,Tasks[[#This Row],[_LeafWork]]&gt;0),NETWORKDAYS.INTL(ProjectStart,Tasks[[#This Row],[_LeafFcstStart]],WorkWeek,Holidays),0)</f>
        <v>0</v>
      </c>
      <c r="CR9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93" s="43" t="n">
        <f aca="false">IF(AND(Tasks[[#This Row],[_IsLeaf]]=1,Tasks[[#This Row],[_LeafWork]]&gt;0),Tasks[[#This Row],[_LeafWork]]/(Tasks[[#This Row],[_FinishWorkday]]-Tasks[[#This Row],[_StartWorkday]]+1),0)</f>
        <v>0</v>
      </c>
      <c r="CT93" s="43" t="n">
        <f aca="false">Tasks[[#This Row],[_WorkPerWorkday]]*(Tasks[[#This Row],[_StartWorkday]]-1)</f>
        <v>-0</v>
      </c>
      <c r="CU93" s="43" t="n">
        <f aca="false">IF(Tasks[[#This Row],[_IsLeaf]]=1,MAX(N(Tasks[[#This Row],[Duration]]),0.1),0)</f>
        <v>0</v>
      </c>
      <c r="CV93" s="43" t="n">
        <f aca="false">Tasks[[#This Row],[_WeightDur]]*Tasks[[#This Row],[_LeafProgress]]</f>
        <v>0</v>
      </c>
      <c r="CW9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9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9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9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9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93" s="43" t="str">
        <f aca="false">IF(AND(Tasks[[#This Row],[_IsLeaf]]=1,N(Tasks[[#This Row],[Duration]])=0,Tasks[[#This Row],[_LeafProgress]]&lt;1),Tasks[[#This Row],[_LeafFcstFinish]]+Tasks[[#This Row],[_Row]]/100000,"")</f>
        <v/>
      </c>
      <c r="DC9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93" s="43" t="n">
        <f aca="false">IF(NOT(Tasks[[#This Row],[_IsLeaf]]=1),0,IF(Tasks[[#This Row],[Baseline Cost]]="",Tasks[[#This Row],[_LeafCost]],N(Tasks[[#This Row],[Baseline Cost]])))</f>
        <v>0</v>
      </c>
      <c r="DE93" s="43" t="n">
        <f aca="false">Tasks[[#This Row],[_LeafBudget]]*Tasks[[#This Row],[_PlannedPct]]</f>
        <v>0</v>
      </c>
      <c r="DF93" s="43" t="n">
        <f aca="false">Tasks[[#This Row],[_LeafBudget]]*Tasks[[#This Row],[_LeafProgress]]</f>
        <v>0</v>
      </c>
      <c r="DG93" s="43" t="n">
        <f aca="false">IF(NOT(Tasks[[#This Row],[_IsLeaf]]=1),0,IF(Tasks[[#This Row],[Actual Cost]]="",Tasks[[#This Row],[_LeafCost]]*Tasks[[#This Row],[_LeafProgress]],N(Tasks[[#This Row],[Actual Cost]])))</f>
        <v>0</v>
      </c>
      <c r="DH93" s="43" t="str">
        <f aca="false">IF(Tasks[[#This Row],[Task Name]]="","",LEFT(Tasks[[#This Row],[WBS]],FIND(".",Tasks[[#This Row],[WBS]]&amp;".")-1))</f>
        <v/>
      </c>
      <c r="DI93" s="43" t="str">
        <f aca="false">IF(AND(Tasks[[#This Row],[Task Name]]&lt;&gt;"",Tasks[[#This Row],[_Level]]=1),Tasks[[#This Row],[_Row]],"")</f>
        <v/>
      </c>
      <c r="DJ93" s="43" t="str">
        <f aca="false">IF(AND(Tasks[[#This Row],[_IsLeaf]]=1,N(Tasks[[#This Row],[Duration]])=0),Tasks[[#This Row],[Planned Finish]]+Tasks[[#This Row],[_Row]]/100000,"")</f>
        <v/>
      </c>
      <c r="DK9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9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9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93" s="43" t="str">
        <f aca="false">IF(Tasks[[#This Row],[_LeafCritical]],Tasks[[#This Row],[_LeafFcstStart]]+Tasks[[#This Row],[_Row]]/100000,"")</f>
        <v/>
      </c>
      <c r="DO93" s="43" t="n">
        <f aca="false">Tasks[[#This Row],[_LeafWork]]*Tasks[[#This Row],[_LeafProgress]]</f>
        <v>0</v>
      </c>
      <c r="DP9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93" s="43" t="n">
        <f aca="false">IF(Tasks[[#This Row],[_IsLeaf]]=1,N(Tasks[[#This Row],[Story Points]]),0)</f>
        <v>0</v>
      </c>
      <c r="DR93" s="43" t="str">
        <f aca="false">IF(AND(Tasks[[#This Row],[_IsLeaf]]=1,CurrentSprint&lt;&gt;"",Tasks[[#This Row],[Sprint]]=CurrentSprint),Tasks[[#This Row],[_Row]],"")</f>
        <v/>
      </c>
    </row>
    <row r="94" customFormat="false" ht="15" hidden="false" customHeight="false" outlineLevel="0" collapsed="false">
      <c r="A94" s="28" t="str">
        <f aca="false">IF(Tasks[[#This Row],[Task Name]]="","",COUNTA(Tasks[[#Headers],[Task Name]]:Tasks[[#This Row],[Task Name]])-1)</f>
        <v/>
      </c>
      <c r="B94" s="29" t="n">
        <v>89</v>
      </c>
      <c r="C9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94" s="29"/>
      <c r="E94" s="30"/>
      <c r="F94" s="29"/>
      <c r="G94" s="29"/>
      <c r="H94" s="29"/>
      <c r="I94" s="29"/>
      <c r="J94" s="29"/>
      <c r="K94" s="29"/>
      <c r="L94" s="29"/>
      <c r="M94" s="29"/>
      <c r="N94" s="72"/>
      <c r="O94" s="72"/>
      <c r="P94" s="25" t="str">
        <f aca="false">IF(Tasks[[#This Row],[Task Name]]="","",IF(N(Tasks[[#This Row],[Baseline Start]])&gt;0,Tasks[[#This Row],[Baseline Start]],Tasks[[#This Row],[_CalcStart]]))</f>
        <v/>
      </c>
      <c r="Q94" s="25" t="str">
        <f aca="false">IF(Tasks[[#This Row],[Task Name]]="","",IF(N(Tasks[[#This Row],[Baseline Finish]])&gt;0,Tasks[[#This Row],[Baseline Finish]],Tasks[[#This Row],[_CalcFinish]]))</f>
        <v/>
      </c>
      <c r="R94" s="72"/>
      <c r="S94" s="72"/>
      <c r="T9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9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9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9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9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9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9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9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9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9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9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94" s="74"/>
      <c r="AF9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9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94" s="30"/>
      <c r="AI94" s="74"/>
      <c r="AJ9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9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94" s="83"/>
      <c r="AM94" s="29"/>
      <c r="AN9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94" s="84"/>
      <c r="AP9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94" s="30"/>
      <c r="AR94" s="25" t="str">
        <f aca="false">IF(Tasks[[#This Row],[Task Name]]="","",Tasks[[#This Row],[Forecast Start]])</f>
        <v/>
      </c>
      <c r="AS94" s="25" t="str">
        <f aca="false">IF(Tasks[[#This Row],[Task Name]]="","",Tasks[[#This Row],[Forecast Finish]])</f>
        <v/>
      </c>
      <c r="AT9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94" s="81" t="str">
        <f aca="false">IF(Tasks[[#This Row],[Task Name]]="","",Tasks[[#This Row],[Work]])</f>
        <v/>
      </c>
      <c r="AV94" s="82" t="str">
        <f aca="false">IF(Tasks[[#This Row],[Task Name]]="","",Tasks[[#This Row],[Cost]])</f>
        <v/>
      </c>
      <c r="AW94" s="72"/>
      <c r="AX94" s="72"/>
      <c r="AY94" s="29"/>
      <c r="AZ94" s="85"/>
      <c r="BA94" s="83"/>
      <c r="BB94" s="28" t="str">
        <f aca="false">IF(OR(Tasks[[#This Row],[Task Name]]="",Tasks[[#This Row],[Baseline Duration]]=""),"",Tasks[[#This Row],[BL Source Duration]]-N(Tasks[[#This Row],[Baseline Duration]]))</f>
        <v/>
      </c>
      <c r="BC94" s="81" t="str">
        <f aca="false">IF(OR(Tasks[[#This Row],[Task Name]]="",Tasks[[#This Row],[Baseline Work]]=""),"",Tasks[[#This Row],[Work]]-N(Tasks[[#This Row],[Baseline Work]]))</f>
        <v/>
      </c>
      <c r="BD94" s="82" t="str">
        <f aca="false">IF(OR(Tasks[[#This Row],[Task Name]]="",Tasks[[#This Row],[Baseline Cost]]=""),"",Tasks[[#This Row],[Cost]]-N(Tasks[[#This Row],[Baseline Cost]]))</f>
        <v/>
      </c>
      <c r="BE9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9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9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9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94" s="43" t="str">
        <f aca="false">IF(Tasks[[#This Row],[Task Name]]="","",MAX(1,N(Tasks[[#This Row],[Level]])))</f>
        <v/>
      </c>
      <c r="BJ94" s="43" t="n">
        <f aca="false">ROW()-ROW(Tasks[[#Headers],[ID]])</f>
        <v>89</v>
      </c>
      <c r="BK9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94" s="43" t="n">
        <f aca="false">IFERROR(N(INDEX(Tasks[_Level],Tasks[[#This Row],[_Row]]+1)),0)</f>
        <v>0</v>
      </c>
      <c r="BM94" s="86" t="b">
        <f aca="false">AND(Tasks[[#This Row],[Task Name]]&lt;&gt;"",Tasks[[#This Row],[_NextLevel]]&gt;Tasks[[#This Row],[_Level]])</f>
        <v>0</v>
      </c>
      <c r="BN94" s="43" t="n">
        <f aca="false">IF(Tasks[[#This Row],[_IsSummary]],COUNTIF(Tasks[WBS],Tasks[[#This Row],[WBS]]&amp;".*"),0)</f>
        <v>0</v>
      </c>
      <c r="BO94" s="43" t="n">
        <f aca="false">IF(AND(Tasks[[#This Row],[Task Name]]&lt;&gt;"",NOT(Tasks[[#This Row],[_IsSummary]])),1,0)</f>
        <v>0</v>
      </c>
      <c r="BP94" s="43" t="n">
        <f aca="false">IF(N(Tasks[[#This Row],[Pred1 UID]])=0,0,IFERROR(MATCH(Tasks[[#This Row],[Pred1 UID]],Tasks[UID],0),-1))</f>
        <v>0</v>
      </c>
      <c r="BQ94" s="43" t="n">
        <f aca="false">IF(N(Tasks[[#This Row],[Pred2 UID]])=0,0,IFERROR(MATCH(Tasks[[#This Row],[Pred2 UID]],Tasks[UID],0),-1))</f>
        <v>0</v>
      </c>
      <c r="BR9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9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9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9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94" s="43" t="n">
        <f aca="false">IF(NOT(Tasks[[#This Row],[_IsLeaf]]=1),0,IF(N(Tasks[[#This Row],[Actual Finish]])&gt;0,1,MIN(1,N(Tasks[[#This Row],[% Complete]]))))</f>
        <v>0</v>
      </c>
      <c r="BW9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94" s="43" t="n">
        <f aca="false">IF(Tasks[[#This Row],[_LeafWork]]=0,0,Tasks[[#This Row],[_LeafWork]]*IFERROR(INDEX(res_Rate,MATCH(Tasks[[#This Row],[Resource]],res_Name,0)),0))</f>
        <v>0</v>
      </c>
      <c r="BY9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9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9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9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94" s="43" t="n">
        <f aca="false">IF(NOT(Tasks[[#This Row],[_IsLeaf]]=1),0,MAX(_xlfn.MAXIFS(Tasks[_Row],Tasks[Pred1 UID],Tasks[[#This Row],[UID]]),_xlfn.MAXIFS(Tasks[_Row],Tasks[Pred2 UID],Tasks[[#This Row],[UID]])))</f>
        <v>0</v>
      </c>
      <c r="CD9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94" s="87" t="str">
        <f aca="false">IF(NOT(Tasks[[#This Row],[_IsLeaf]]=1),"",MIN(ProjectFinish,IF(N(Tasks[[#This Row],[Deadline]])&gt;0,Tasks[[#This Row],[Deadline]],2958465),Tasks[[#This Row],[_SuccessorFinishLimit]]))</f>
        <v/>
      </c>
      <c r="CF9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9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94" s="86" t="b">
        <f aca="false">AND(Tasks[[#This Row],[_IsLeaf]]=1,Tasks[[#This Row],[_LeafProgress]]&lt;1,N(Tasks[[#This Row],[_LeafTotalSlack]])&lt;=CriticalSlackDays)</f>
        <v>0</v>
      </c>
      <c r="CI9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9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9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9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9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9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9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9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94" s="43" t="n">
        <f aca="false">IF(AND(Tasks[[#This Row],[_IsLeaf]]=1,Tasks[[#This Row],[_LeafWork]]&gt;0),NETWORKDAYS.INTL(ProjectStart,Tasks[[#This Row],[_LeafFcstStart]],WorkWeek,Holidays),0)</f>
        <v>0</v>
      </c>
      <c r="CR9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94" s="43" t="n">
        <f aca="false">IF(AND(Tasks[[#This Row],[_IsLeaf]]=1,Tasks[[#This Row],[_LeafWork]]&gt;0),Tasks[[#This Row],[_LeafWork]]/(Tasks[[#This Row],[_FinishWorkday]]-Tasks[[#This Row],[_StartWorkday]]+1),0)</f>
        <v>0</v>
      </c>
      <c r="CT94" s="43" t="n">
        <f aca="false">Tasks[[#This Row],[_WorkPerWorkday]]*(Tasks[[#This Row],[_StartWorkday]]-1)</f>
        <v>-0</v>
      </c>
      <c r="CU94" s="43" t="n">
        <f aca="false">IF(Tasks[[#This Row],[_IsLeaf]]=1,MAX(N(Tasks[[#This Row],[Duration]]),0.1),0)</f>
        <v>0</v>
      </c>
      <c r="CV94" s="43" t="n">
        <f aca="false">Tasks[[#This Row],[_WeightDur]]*Tasks[[#This Row],[_LeafProgress]]</f>
        <v>0</v>
      </c>
      <c r="CW9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9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9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9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9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94" s="43" t="str">
        <f aca="false">IF(AND(Tasks[[#This Row],[_IsLeaf]]=1,N(Tasks[[#This Row],[Duration]])=0,Tasks[[#This Row],[_LeafProgress]]&lt;1),Tasks[[#This Row],[_LeafFcstFinish]]+Tasks[[#This Row],[_Row]]/100000,"")</f>
        <v/>
      </c>
      <c r="DC9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94" s="43" t="n">
        <f aca="false">IF(NOT(Tasks[[#This Row],[_IsLeaf]]=1),0,IF(Tasks[[#This Row],[Baseline Cost]]="",Tasks[[#This Row],[_LeafCost]],N(Tasks[[#This Row],[Baseline Cost]])))</f>
        <v>0</v>
      </c>
      <c r="DE94" s="43" t="n">
        <f aca="false">Tasks[[#This Row],[_LeafBudget]]*Tasks[[#This Row],[_PlannedPct]]</f>
        <v>0</v>
      </c>
      <c r="DF94" s="43" t="n">
        <f aca="false">Tasks[[#This Row],[_LeafBudget]]*Tasks[[#This Row],[_LeafProgress]]</f>
        <v>0</v>
      </c>
      <c r="DG94" s="43" t="n">
        <f aca="false">IF(NOT(Tasks[[#This Row],[_IsLeaf]]=1),0,IF(Tasks[[#This Row],[Actual Cost]]="",Tasks[[#This Row],[_LeafCost]]*Tasks[[#This Row],[_LeafProgress]],N(Tasks[[#This Row],[Actual Cost]])))</f>
        <v>0</v>
      </c>
      <c r="DH94" s="43" t="str">
        <f aca="false">IF(Tasks[[#This Row],[Task Name]]="","",LEFT(Tasks[[#This Row],[WBS]],FIND(".",Tasks[[#This Row],[WBS]]&amp;".")-1))</f>
        <v/>
      </c>
      <c r="DI94" s="43" t="str">
        <f aca="false">IF(AND(Tasks[[#This Row],[Task Name]]&lt;&gt;"",Tasks[[#This Row],[_Level]]=1),Tasks[[#This Row],[_Row]],"")</f>
        <v/>
      </c>
      <c r="DJ94" s="43" t="str">
        <f aca="false">IF(AND(Tasks[[#This Row],[_IsLeaf]]=1,N(Tasks[[#This Row],[Duration]])=0),Tasks[[#This Row],[Planned Finish]]+Tasks[[#This Row],[_Row]]/100000,"")</f>
        <v/>
      </c>
      <c r="DK9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9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9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94" s="43" t="str">
        <f aca="false">IF(Tasks[[#This Row],[_LeafCritical]],Tasks[[#This Row],[_LeafFcstStart]]+Tasks[[#This Row],[_Row]]/100000,"")</f>
        <v/>
      </c>
      <c r="DO94" s="43" t="n">
        <f aca="false">Tasks[[#This Row],[_LeafWork]]*Tasks[[#This Row],[_LeafProgress]]</f>
        <v>0</v>
      </c>
      <c r="DP9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94" s="43" t="n">
        <f aca="false">IF(Tasks[[#This Row],[_IsLeaf]]=1,N(Tasks[[#This Row],[Story Points]]),0)</f>
        <v>0</v>
      </c>
      <c r="DR94" s="43" t="str">
        <f aca="false">IF(AND(Tasks[[#This Row],[_IsLeaf]]=1,CurrentSprint&lt;&gt;"",Tasks[[#This Row],[Sprint]]=CurrentSprint),Tasks[[#This Row],[_Row]],"")</f>
        <v/>
      </c>
    </row>
    <row r="95" customFormat="false" ht="15" hidden="false" customHeight="false" outlineLevel="0" collapsed="false">
      <c r="A95" s="28" t="str">
        <f aca="false">IF(Tasks[[#This Row],[Task Name]]="","",COUNTA(Tasks[[#Headers],[Task Name]]:Tasks[[#This Row],[Task Name]])-1)</f>
        <v/>
      </c>
      <c r="B95" s="29" t="n">
        <v>90</v>
      </c>
      <c r="C9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95" s="29"/>
      <c r="E95" s="30"/>
      <c r="F95" s="29"/>
      <c r="G95" s="29"/>
      <c r="H95" s="29"/>
      <c r="I95" s="29"/>
      <c r="J95" s="29"/>
      <c r="K95" s="29"/>
      <c r="L95" s="29"/>
      <c r="M95" s="29"/>
      <c r="N95" s="72"/>
      <c r="O95" s="72"/>
      <c r="P95" s="25" t="str">
        <f aca="false">IF(Tasks[[#This Row],[Task Name]]="","",IF(N(Tasks[[#This Row],[Baseline Start]])&gt;0,Tasks[[#This Row],[Baseline Start]],Tasks[[#This Row],[_CalcStart]]))</f>
        <v/>
      </c>
      <c r="Q95" s="25" t="str">
        <f aca="false">IF(Tasks[[#This Row],[Task Name]]="","",IF(N(Tasks[[#This Row],[Baseline Finish]])&gt;0,Tasks[[#This Row],[Baseline Finish]],Tasks[[#This Row],[_CalcFinish]]))</f>
        <v/>
      </c>
      <c r="R95" s="72"/>
      <c r="S95" s="72"/>
      <c r="T9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9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9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9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9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9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9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9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9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9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9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95" s="74"/>
      <c r="AF9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9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95" s="30"/>
      <c r="AI95" s="74"/>
      <c r="AJ9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9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95" s="83"/>
      <c r="AM95" s="29"/>
      <c r="AN9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95" s="84"/>
      <c r="AP9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95" s="30"/>
      <c r="AR95" s="25" t="str">
        <f aca="false">IF(Tasks[[#This Row],[Task Name]]="","",Tasks[[#This Row],[Forecast Start]])</f>
        <v/>
      </c>
      <c r="AS95" s="25" t="str">
        <f aca="false">IF(Tasks[[#This Row],[Task Name]]="","",Tasks[[#This Row],[Forecast Finish]])</f>
        <v/>
      </c>
      <c r="AT9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95" s="81" t="str">
        <f aca="false">IF(Tasks[[#This Row],[Task Name]]="","",Tasks[[#This Row],[Work]])</f>
        <v/>
      </c>
      <c r="AV95" s="82" t="str">
        <f aca="false">IF(Tasks[[#This Row],[Task Name]]="","",Tasks[[#This Row],[Cost]])</f>
        <v/>
      </c>
      <c r="AW95" s="72"/>
      <c r="AX95" s="72"/>
      <c r="AY95" s="29"/>
      <c r="AZ95" s="85"/>
      <c r="BA95" s="83"/>
      <c r="BB95" s="28" t="str">
        <f aca="false">IF(OR(Tasks[[#This Row],[Task Name]]="",Tasks[[#This Row],[Baseline Duration]]=""),"",Tasks[[#This Row],[BL Source Duration]]-N(Tasks[[#This Row],[Baseline Duration]]))</f>
        <v/>
      </c>
      <c r="BC95" s="81" t="str">
        <f aca="false">IF(OR(Tasks[[#This Row],[Task Name]]="",Tasks[[#This Row],[Baseline Work]]=""),"",Tasks[[#This Row],[Work]]-N(Tasks[[#This Row],[Baseline Work]]))</f>
        <v/>
      </c>
      <c r="BD95" s="82" t="str">
        <f aca="false">IF(OR(Tasks[[#This Row],[Task Name]]="",Tasks[[#This Row],[Baseline Cost]]=""),"",Tasks[[#This Row],[Cost]]-N(Tasks[[#This Row],[Baseline Cost]]))</f>
        <v/>
      </c>
      <c r="BE9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9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9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9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95" s="43" t="str">
        <f aca="false">IF(Tasks[[#This Row],[Task Name]]="","",MAX(1,N(Tasks[[#This Row],[Level]])))</f>
        <v/>
      </c>
      <c r="BJ95" s="43" t="n">
        <f aca="false">ROW()-ROW(Tasks[[#Headers],[ID]])</f>
        <v>90</v>
      </c>
      <c r="BK9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95" s="43" t="n">
        <f aca="false">IFERROR(N(INDEX(Tasks[_Level],Tasks[[#This Row],[_Row]]+1)),0)</f>
        <v>0</v>
      </c>
      <c r="BM95" s="86" t="b">
        <f aca="false">AND(Tasks[[#This Row],[Task Name]]&lt;&gt;"",Tasks[[#This Row],[_NextLevel]]&gt;Tasks[[#This Row],[_Level]])</f>
        <v>0</v>
      </c>
      <c r="BN95" s="43" t="n">
        <f aca="false">IF(Tasks[[#This Row],[_IsSummary]],COUNTIF(Tasks[WBS],Tasks[[#This Row],[WBS]]&amp;".*"),0)</f>
        <v>0</v>
      </c>
      <c r="BO95" s="43" t="n">
        <f aca="false">IF(AND(Tasks[[#This Row],[Task Name]]&lt;&gt;"",NOT(Tasks[[#This Row],[_IsSummary]])),1,0)</f>
        <v>0</v>
      </c>
      <c r="BP95" s="43" t="n">
        <f aca="false">IF(N(Tasks[[#This Row],[Pred1 UID]])=0,0,IFERROR(MATCH(Tasks[[#This Row],[Pred1 UID]],Tasks[UID],0),-1))</f>
        <v>0</v>
      </c>
      <c r="BQ95" s="43" t="n">
        <f aca="false">IF(N(Tasks[[#This Row],[Pred2 UID]])=0,0,IFERROR(MATCH(Tasks[[#This Row],[Pred2 UID]],Tasks[UID],0),-1))</f>
        <v>0</v>
      </c>
      <c r="BR9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9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9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9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95" s="43" t="n">
        <f aca="false">IF(NOT(Tasks[[#This Row],[_IsLeaf]]=1),0,IF(N(Tasks[[#This Row],[Actual Finish]])&gt;0,1,MIN(1,N(Tasks[[#This Row],[% Complete]]))))</f>
        <v>0</v>
      </c>
      <c r="BW9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95" s="43" t="n">
        <f aca="false">IF(Tasks[[#This Row],[_LeafWork]]=0,0,Tasks[[#This Row],[_LeafWork]]*IFERROR(INDEX(res_Rate,MATCH(Tasks[[#This Row],[Resource]],res_Name,0)),0))</f>
        <v>0</v>
      </c>
      <c r="BY9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9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9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9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95" s="43" t="n">
        <f aca="false">IF(NOT(Tasks[[#This Row],[_IsLeaf]]=1),0,MAX(_xlfn.MAXIFS(Tasks[_Row],Tasks[Pred1 UID],Tasks[[#This Row],[UID]]),_xlfn.MAXIFS(Tasks[_Row],Tasks[Pred2 UID],Tasks[[#This Row],[UID]])))</f>
        <v>0</v>
      </c>
      <c r="CD9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95" s="87" t="str">
        <f aca="false">IF(NOT(Tasks[[#This Row],[_IsLeaf]]=1),"",MIN(ProjectFinish,IF(N(Tasks[[#This Row],[Deadline]])&gt;0,Tasks[[#This Row],[Deadline]],2958465),Tasks[[#This Row],[_SuccessorFinishLimit]]))</f>
        <v/>
      </c>
      <c r="CF9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9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95" s="86" t="b">
        <f aca="false">AND(Tasks[[#This Row],[_IsLeaf]]=1,Tasks[[#This Row],[_LeafProgress]]&lt;1,N(Tasks[[#This Row],[_LeafTotalSlack]])&lt;=CriticalSlackDays)</f>
        <v>0</v>
      </c>
      <c r="CI9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9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9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9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9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9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9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9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95" s="43" t="n">
        <f aca="false">IF(AND(Tasks[[#This Row],[_IsLeaf]]=1,Tasks[[#This Row],[_LeafWork]]&gt;0),NETWORKDAYS.INTL(ProjectStart,Tasks[[#This Row],[_LeafFcstStart]],WorkWeek,Holidays),0)</f>
        <v>0</v>
      </c>
      <c r="CR9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95" s="43" t="n">
        <f aca="false">IF(AND(Tasks[[#This Row],[_IsLeaf]]=1,Tasks[[#This Row],[_LeafWork]]&gt;0),Tasks[[#This Row],[_LeafWork]]/(Tasks[[#This Row],[_FinishWorkday]]-Tasks[[#This Row],[_StartWorkday]]+1),0)</f>
        <v>0</v>
      </c>
      <c r="CT95" s="43" t="n">
        <f aca="false">Tasks[[#This Row],[_WorkPerWorkday]]*(Tasks[[#This Row],[_StartWorkday]]-1)</f>
        <v>-0</v>
      </c>
      <c r="CU95" s="43" t="n">
        <f aca="false">IF(Tasks[[#This Row],[_IsLeaf]]=1,MAX(N(Tasks[[#This Row],[Duration]]),0.1),0)</f>
        <v>0</v>
      </c>
      <c r="CV95" s="43" t="n">
        <f aca="false">Tasks[[#This Row],[_WeightDur]]*Tasks[[#This Row],[_LeafProgress]]</f>
        <v>0</v>
      </c>
      <c r="CW9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9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9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9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9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95" s="43" t="str">
        <f aca="false">IF(AND(Tasks[[#This Row],[_IsLeaf]]=1,N(Tasks[[#This Row],[Duration]])=0,Tasks[[#This Row],[_LeafProgress]]&lt;1),Tasks[[#This Row],[_LeafFcstFinish]]+Tasks[[#This Row],[_Row]]/100000,"")</f>
        <v/>
      </c>
      <c r="DC9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95" s="43" t="n">
        <f aca="false">IF(NOT(Tasks[[#This Row],[_IsLeaf]]=1),0,IF(Tasks[[#This Row],[Baseline Cost]]="",Tasks[[#This Row],[_LeafCost]],N(Tasks[[#This Row],[Baseline Cost]])))</f>
        <v>0</v>
      </c>
      <c r="DE95" s="43" t="n">
        <f aca="false">Tasks[[#This Row],[_LeafBudget]]*Tasks[[#This Row],[_PlannedPct]]</f>
        <v>0</v>
      </c>
      <c r="DF95" s="43" t="n">
        <f aca="false">Tasks[[#This Row],[_LeafBudget]]*Tasks[[#This Row],[_LeafProgress]]</f>
        <v>0</v>
      </c>
      <c r="DG95" s="43" t="n">
        <f aca="false">IF(NOT(Tasks[[#This Row],[_IsLeaf]]=1),0,IF(Tasks[[#This Row],[Actual Cost]]="",Tasks[[#This Row],[_LeafCost]]*Tasks[[#This Row],[_LeafProgress]],N(Tasks[[#This Row],[Actual Cost]])))</f>
        <v>0</v>
      </c>
      <c r="DH95" s="43" t="str">
        <f aca="false">IF(Tasks[[#This Row],[Task Name]]="","",LEFT(Tasks[[#This Row],[WBS]],FIND(".",Tasks[[#This Row],[WBS]]&amp;".")-1))</f>
        <v/>
      </c>
      <c r="DI95" s="43" t="str">
        <f aca="false">IF(AND(Tasks[[#This Row],[Task Name]]&lt;&gt;"",Tasks[[#This Row],[_Level]]=1),Tasks[[#This Row],[_Row]],"")</f>
        <v/>
      </c>
      <c r="DJ95" s="43" t="str">
        <f aca="false">IF(AND(Tasks[[#This Row],[_IsLeaf]]=1,N(Tasks[[#This Row],[Duration]])=0),Tasks[[#This Row],[Planned Finish]]+Tasks[[#This Row],[_Row]]/100000,"")</f>
        <v/>
      </c>
      <c r="DK9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9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9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95" s="43" t="str">
        <f aca="false">IF(Tasks[[#This Row],[_LeafCritical]],Tasks[[#This Row],[_LeafFcstStart]]+Tasks[[#This Row],[_Row]]/100000,"")</f>
        <v/>
      </c>
      <c r="DO95" s="43" t="n">
        <f aca="false">Tasks[[#This Row],[_LeafWork]]*Tasks[[#This Row],[_LeafProgress]]</f>
        <v>0</v>
      </c>
      <c r="DP9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95" s="43" t="n">
        <f aca="false">IF(Tasks[[#This Row],[_IsLeaf]]=1,N(Tasks[[#This Row],[Story Points]]),0)</f>
        <v>0</v>
      </c>
      <c r="DR95" s="43" t="str">
        <f aca="false">IF(AND(Tasks[[#This Row],[_IsLeaf]]=1,CurrentSprint&lt;&gt;"",Tasks[[#This Row],[Sprint]]=CurrentSprint),Tasks[[#This Row],[_Row]],"")</f>
        <v/>
      </c>
    </row>
    <row r="96" customFormat="false" ht="15" hidden="false" customHeight="false" outlineLevel="0" collapsed="false">
      <c r="A96" s="28" t="str">
        <f aca="false">IF(Tasks[[#This Row],[Task Name]]="","",COUNTA(Tasks[[#Headers],[Task Name]]:Tasks[[#This Row],[Task Name]])-1)</f>
        <v/>
      </c>
      <c r="B96" s="29" t="n">
        <v>91</v>
      </c>
      <c r="C9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96" s="29"/>
      <c r="E96" s="30"/>
      <c r="F96" s="29"/>
      <c r="G96" s="29"/>
      <c r="H96" s="29"/>
      <c r="I96" s="29"/>
      <c r="J96" s="29"/>
      <c r="K96" s="29"/>
      <c r="L96" s="29"/>
      <c r="M96" s="29"/>
      <c r="N96" s="72"/>
      <c r="O96" s="72"/>
      <c r="P96" s="25" t="str">
        <f aca="false">IF(Tasks[[#This Row],[Task Name]]="","",IF(N(Tasks[[#This Row],[Baseline Start]])&gt;0,Tasks[[#This Row],[Baseline Start]],Tasks[[#This Row],[_CalcStart]]))</f>
        <v/>
      </c>
      <c r="Q96" s="25" t="str">
        <f aca="false">IF(Tasks[[#This Row],[Task Name]]="","",IF(N(Tasks[[#This Row],[Baseline Finish]])&gt;0,Tasks[[#This Row],[Baseline Finish]],Tasks[[#This Row],[_CalcFinish]]))</f>
        <v/>
      </c>
      <c r="R96" s="72"/>
      <c r="S96" s="72"/>
      <c r="T9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9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9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9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9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9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9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9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9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9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9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96" s="74"/>
      <c r="AF9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9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96" s="30"/>
      <c r="AI96" s="74"/>
      <c r="AJ9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9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96" s="83"/>
      <c r="AM96" s="29"/>
      <c r="AN9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96" s="84"/>
      <c r="AP9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96" s="30"/>
      <c r="AR96" s="25" t="str">
        <f aca="false">IF(Tasks[[#This Row],[Task Name]]="","",Tasks[[#This Row],[Forecast Start]])</f>
        <v/>
      </c>
      <c r="AS96" s="25" t="str">
        <f aca="false">IF(Tasks[[#This Row],[Task Name]]="","",Tasks[[#This Row],[Forecast Finish]])</f>
        <v/>
      </c>
      <c r="AT9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96" s="81" t="str">
        <f aca="false">IF(Tasks[[#This Row],[Task Name]]="","",Tasks[[#This Row],[Work]])</f>
        <v/>
      </c>
      <c r="AV96" s="82" t="str">
        <f aca="false">IF(Tasks[[#This Row],[Task Name]]="","",Tasks[[#This Row],[Cost]])</f>
        <v/>
      </c>
      <c r="AW96" s="72"/>
      <c r="AX96" s="72"/>
      <c r="AY96" s="29"/>
      <c r="AZ96" s="85"/>
      <c r="BA96" s="83"/>
      <c r="BB96" s="28" t="str">
        <f aca="false">IF(OR(Tasks[[#This Row],[Task Name]]="",Tasks[[#This Row],[Baseline Duration]]=""),"",Tasks[[#This Row],[BL Source Duration]]-N(Tasks[[#This Row],[Baseline Duration]]))</f>
        <v/>
      </c>
      <c r="BC96" s="81" t="str">
        <f aca="false">IF(OR(Tasks[[#This Row],[Task Name]]="",Tasks[[#This Row],[Baseline Work]]=""),"",Tasks[[#This Row],[Work]]-N(Tasks[[#This Row],[Baseline Work]]))</f>
        <v/>
      </c>
      <c r="BD96" s="82" t="str">
        <f aca="false">IF(OR(Tasks[[#This Row],[Task Name]]="",Tasks[[#This Row],[Baseline Cost]]=""),"",Tasks[[#This Row],[Cost]]-N(Tasks[[#This Row],[Baseline Cost]]))</f>
        <v/>
      </c>
      <c r="BE9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9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9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9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96" s="43" t="str">
        <f aca="false">IF(Tasks[[#This Row],[Task Name]]="","",MAX(1,N(Tasks[[#This Row],[Level]])))</f>
        <v/>
      </c>
      <c r="BJ96" s="43" t="n">
        <f aca="false">ROW()-ROW(Tasks[[#Headers],[ID]])</f>
        <v>91</v>
      </c>
      <c r="BK9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96" s="43" t="n">
        <f aca="false">IFERROR(N(INDEX(Tasks[_Level],Tasks[[#This Row],[_Row]]+1)),0)</f>
        <v>0</v>
      </c>
      <c r="BM96" s="86" t="b">
        <f aca="false">AND(Tasks[[#This Row],[Task Name]]&lt;&gt;"",Tasks[[#This Row],[_NextLevel]]&gt;Tasks[[#This Row],[_Level]])</f>
        <v>0</v>
      </c>
      <c r="BN96" s="43" t="n">
        <f aca="false">IF(Tasks[[#This Row],[_IsSummary]],COUNTIF(Tasks[WBS],Tasks[[#This Row],[WBS]]&amp;".*"),0)</f>
        <v>0</v>
      </c>
      <c r="BO96" s="43" t="n">
        <f aca="false">IF(AND(Tasks[[#This Row],[Task Name]]&lt;&gt;"",NOT(Tasks[[#This Row],[_IsSummary]])),1,0)</f>
        <v>0</v>
      </c>
      <c r="BP96" s="43" t="n">
        <f aca="false">IF(N(Tasks[[#This Row],[Pred1 UID]])=0,0,IFERROR(MATCH(Tasks[[#This Row],[Pred1 UID]],Tasks[UID],0),-1))</f>
        <v>0</v>
      </c>
      <c r="BQ96" s="43" t="n">
        <f aca="false">IF(N(Tasks[[#This Row],[Pred2 UID]])=0,0,IFERROR(MATCH(Tasks[[#This Row],[Pred2 UID]],Tasks[UID],0),-1))</f>
        <v>0</v>
      </c>
      <c r="BR9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9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9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9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96" s="43" t="n">
        <f aca="false">IF(NOT(Tasks[[#This Row],[_IsLeaf]]=1),0,IF(N(Tasks[[#This Row],[Actual Finish]])&gt;0,1,MIN(1,N(Tasks[[#This Row],[% Complete]]))))</f>
        <v>0</v>
      </c>
      <c r="BW9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96" s="43" t="n">
        <f aca="false">IF(Tasks[[#This Row],[_LeafWork]]=0,0,Tasks[[#This Row],[_LeafWork]]*IFERROR(INDEX(res_Rate,MATCH(Tasks[[#This Row],[Resource]],res_Name,0)),0))</f>
        <v>0</v>
      </c>
      <c r="BY9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9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9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9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96" s="43" t="n">
        <f aca="false">IF(NOT(Tasks[[#This Row],[_IsLeaf]]=1),0,MAX(_xlfn.MAXIFS(Tasks[_Row],Tasks[Pred1 UID],Tasks[[#This Row],[UID]]),_xlfn.MAXIFS(Tasks[_Row],Tasks[Pred2 UID],Tasks[[#This Row],[UID]])))</f>
        <v>0</v>
      </c>
      <c r="CD9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96" s="87" t="str">
        <f aca="false">IF(NOT(Tasks[[#This Row],[_IsLeaf]]=1),"",MIN(ProjectFinish,IF(N(Tasks[[#This Row],[Deadline]])&gt;0,Tasks[[#This Row],[Deadline]],2958465),Tasks[[#This Row],[_SuccessorFinishLimit]]))</f>
        <v/>
      </c>
      <c r="CF9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9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96" s="86" t="b">
        <f aca="false">AND(Tasks[[#This Row],[_IsLeaf]]=1,Tasks[[#This Row],[_LeafProgress]]&lt;1,N(Tasks[[#This Row],[_LeafTotalSlack]])&lt;=CriticalSlackDays)</f>
        <v>0</v>
      </c>
      <c r="CI9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9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9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9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9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9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9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9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96" s="43" t="n">
        <f aca="false">IF(AND(Tasks[[#This Row],[_IsLeaf]]=1,Tasks[[#This Row],[_LeafWork]]&gt;0),NETWORKDAYS.INTL(ProjectStart,Tasks[[#This Row],[_LeafFcstStart]],WorkWeek,Holidays),0)</f>
        <v>0</v>
      </c>
      <c r="CR9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96" s="43" t="n">
        <f aca="false">IF(AND(Tasks[[#This Row],[_IsLeaf]]=1,Tasks[[#This Row],[_LeafWork]]&gt;0),Tasks[[#This Row],[_LeafWork]]/(Tasks[[#This Row],[_FinishWorkday]]-Tasks[[#This Row],[_StartWorkday]]+1),0)</f>
        <v>0</v>
      </c>
      <c r="CT96" s="43" t="n">
        <f aca="false">Tasks[[#This Row],[_WorkPerWorkday]]*(Tasks[[#This Row],[_StartWorkday]]-1)</f>
        <v>-0</v>
      </c>
      <c r="CU96" s="43" t="n">
        <f aca="false">IF(Tasks[[#This Row],[_IsLeaf]]=1,MAX(N(Tasks[[#This Row],[Duration]]),0.1),0)</f>
        <v>0</v>
      </c>
      <c r="CV96" s="43" t="n">
        <f aca="false">Tasks[[#This Row],[_WeightDur]]*Tasks[[#This Row],[_LeafProgress]]</f>
        <v>0</v>
      </c>
      <c r="CW9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9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9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9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9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96" s="43" t="str">
        <f aca="false">IF(AND(Tasks[[#This Row],[_IsLeaf]]=1,N(Tasks[[#This Row],[Duration]])=0,Tasks[[#This Row],[_LeafProgress]]&lt;1),Tasks[[#This Row],[_LeafFcstFinish]]+Tasks[[#This Row],[_Row]]/100000,"")</f>
        <v/>
      </c>
      <c r="DC9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96" s="43" t="n">
        <f aca="false">IF(NOT(Tasks[[#This Row],[_IsLeaf]]=1),0,IF(Tasks[[#This Row],[Baseline Cost]]="",Tasks[[#This Row],[_LeafCost]],N(Tasks[[#This Row],[Baseline Cost]])))</f>
        <v>0</v>
      </c>
      <c r="DE96" s="43" t="n">
        <f aca="false">Tasks[[#This Row],[_LeafBudget]]*Tasks[[#This Row],[_PlannedPct]]</f>
        <v>0</v>
      </c>
      <c r="DF96" s="43" t="n">
        <f aca="false">Tasks[[#This Row],[_LeafBudget]]*Tasks[[#This Row],[_LeafProgress]]</f>
        <v>0</v>
      </c>
      <c r="DG96" s="43" t="n">
        <f aca="false">IF(NOT(Tasks[[#This Row],[_IsLeaf]]=1),0,IF(Tasks[[#This Row],[Actual Cost]]="",Tasks[[#This Row],[_LeafCost]]*Tasks[[#This Row],[_LeafProgress]],N(Tasks[[#This Row],[Actual Cost]])))</f>
        <v>0</v>
      </c>
      <c r="DH96" s="43" t="str">
        <f aca="false">IF(Tasks[[#This Row],[Task Name]]="","",LEFT(Tasks[[#This Row],[WBS]],FIND(".",Tasks[[#This Row],[WBS]]&amp;".")-1))</f>
        <v/>
      </c>
      <c r="DI96" s="43" t="str">
        <f aca="false">IF(AND(Tasks[[#This Row],[Task Name]]&lt;&gt;"",Tasks[[#This Row],[_Level]]=1),Tasks[[#This Row],[_Row]],"")</f>
        <v/>
      </c>
      <c r="DJ96" s="43" t="str">
        <f aca="false">IF(AND(Tasks[[#This Row],[_IsLeaf]]=1,N(Tasks[[#This Row],[Duration]])=0),Tasks[[#This Row],[Planned Finish]]+Tasks[[#This Row],[_Row]]/100000,"")</f>
        <v/>
      </c>
      <c r="DK9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9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9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96" s="43" t="str">
        <f aca="false">IF(Tasks[[#This Row],[_LeafCritical]],Tasks[[#This Row],[_LeafFcstStart]]+Tasks[[#This Row],[_Row]]/100000,"")</f>
        <v/>
      </c>
      <c r="DO96" s="43" t="n">
        <f aca="false">Tasks[[#This Row],[_LeafWork]]*Tasks[[#This Row],[_LeafProgress]]</f>
        <v>0</v>
      </c>
      <c r="DP9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96" s="43" t="n">
        <f aca="false">IF(Tasks[[#This Row],[_IsLeaf]]=1,N(Tasks[[#This Row],[Story Points]]),0)</f>
        <v>0</v>
      </c>
      <c r="DR96" s="43" t="str">
        <f aca="false">IF(AND(Tasks[[#This Row],[_IsLeaf]]=1,CurrentSprint&lt;&gt;"",Tasks[[#This Row],[Sprint]]=CurrentSprint),Tasks[[#This Row],[_Row]],"")</f>
        <v/>
      </c>
    </row>
    <row r="97" customFormat="false" ht="15" hidden="false" customHeight="false" outlineLevel="0" collapsed="false">
      <c r="A97" s="28" t="str">
        <f aca="false">IF(Tasks[[#This Row],[Task Name]]="","",COUNTA(Tasks[[#Headers],[Task Name]]:Tasks[[#This Row],[Task Name]])-1)</f>
        <v/>
      </c>
      <c r="B97" s="29" t="n">
        <v>92</v>
      </c>
      <c r="C9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97" s="29"/>
      <c r="E97" s="30"/>
      <c r="F97" s="29"/>
      <c r="G97" s="29"/>
      <c r="H97" s="29"/>
      <c r="I97" s="29"/>
      <c r="J97" s="29"/>
      <c r="K97" s="29"/>
      <c r="L97" s="29"/>
      <c r="M97" s="29"/>
      <c r="N97" s="72"/>
      <c r="O97" s="72"/>
      <c r="P97" s="25" t="str">
        <f aca="false">IF(Tasks[[#This Row],[Task Name]]="","",IF(N(Tasks[[#This Row],[Baseline Start]])&gt;0,Tasks[[#This Row],[Baseline Start]],Tasks[[#This Row],[_CalcStart]]))</f>
        <v/>
      </c>
      <c r="Q97" s="25" t="str">
        <f aca="false">IF(Tasks[[#This Row],[Task Name]]="","",IF(N(Tasks[[#This Row],[Baseline Finish]])&gt;0,Tasks[[#This Row],[Baseline Finish]],Tasks[[#This Row],[_CalcFinish]]))</f>
        <v/>
      </c>
      <c r="R97" s="72"/>
      <c r="S97" s="72"/>
      <c r="T9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9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9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9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9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9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9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9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9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9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9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97" s="74"/>
      <c r="AF9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9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97" s="30"/>
      <c r="AI97" s="74"/>
      <c r="AJ9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9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97" s="83"/>
      <c r="AM97" s="29"/>
      <c r="AN9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97" s="84"/>
      <c r="AP9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97" s="30"/>
      <c r="AR97" s="25" t="str">
        <f aca="false">IF(Tasks[[#This Row],[Task Name]]="","",Tasks[[#This Row],[Forecast Start]])</f>
        <v/>
      </c>
      <c r="AS97" s="25" t="str">
        <f aca="false">IF(Tasks[[#This Row],[Task Name]]="","",Tasks[[#This Row],[Forecast Finish]])</f>
        <v/>
      </c>
      <c r="AT9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97" s="81" t="str">
        <f aca="false">IF(Tasks[[#This Row],[Task Name]]="","",Tasks[[#This Row],[Work]])</f>
        <v/>
      </c>
      <c r="AV97" s="82" t="str">
        <f aca="false">IF(Tasks[[#This Row],[Task Name]]="","",Tasks[[#This Row],[Cost]])</f>
        <v/>
      </c>
      <c r="AW97" s="72"/>
      <c r="AX97" s="72"/>
      <c r="AY97" s="29"/>
      <c r="AZ97" s="85"/>
      <c r="BA97" s="83"/>
      <c r="BB97" s="28" t="str">
        <f aca="false">IF(OR(Tasks[[#This Row],[Task Name]]="",Tasks[[#This Row],[Baseline Duration]]=""),"",Tasks[[#This Row],[BL Source Duration]]-N(Tasks[[#This Row],[Baseline Duration]]))</f>
        <v/>
      </c>
      <c r="BC97" s="81" t="str">
        <f aca="false">IF(OR(Tasks[[#This Row],[Task Name]]="",Tasks[[#This Row],[Baseline Work]]=""),"",Tasks[[#This Row],[Work]]-N(Tasks[[#This Row],[Baseline Work]]))</f>
        <v/>
      </c>
      <c r="BD97" s="82" t="str">
        <f aca="false">IF(OR(Tasks[[#This Row],[Task Name]]="",Tasks[[#This Row],[Baseline Cost]]=""),"",Tasks[[#This Row],[Cost]]-N(Tasks[[#This Row],[Baseline Cost]]))</f>
        <v/>
      </c>
      <c r="BE9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9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9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9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97" s="43" t="str">
        <f aca="false">IF(Tasks[[#This Row],[Task Name]]="","",MAX(1,N(Tasks[[#This Row],[Level]])))</f>
        <v/>
      </c>
      <c r="BJ97" s="43" t="n">
        <f aca="false">ROW()-ROW(Tasks[[#Headers],[ID]])</f>
        <v>92</v>
      </c>
      <c r="BK9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97" s="43" t="n">
        <f aca="false">IFERROR(N(INDEX(Tasks[_Level],Tasks[[#This Row],[_Row]]+1)),0)</f>
        <v>0</v>
      </c>
      <c r="BM97" s="86" t="b">
        <f aca="false">AND(Tasks[[#This Row],[Task Name]]&lt;&gt;"",Tasks[[#This Row],[_NextLevel]]&gt;Tasks[[#This Row],[_Level]])</f>
        <v>0</v>
      </c>
      <c r="BN97" s="43" t="n">
        <f aca="false">IF(Tasks[[#This Row],[_IsSummary]],COUNTIF(Tasks[WBS],Tasks[[#This Row],[WBS]]&amp;".*"),0)</f>
        <v>0</v>
      </c>
      <c r="BO97" s="43" t="n">
        <f aca="false">IF(AND(Tasks[[#This Row],[Task Name]]&lt;&gt;"",NOT(Tasks[[#This Row],[_IsSummary]])),1,0)</f>
        <v>0</v>
      </c>
      <c r="BP97" s="43" t="n">
        <f aca="false">IF(N(Tasks[[#This Row],[Pred1 UID]])=0,0,IFERROR(MATCH(Tasks[[#This Row],[Pred1 UID]],Tasks[UID],0),-1))</f>
        <v>0</v>
      </c>
      <c r="BQ97" s="43" t="n">
        <f aca="false">IF(N(Tasks[[#This Row],[Pred2 UID]])=0,0,IFERROR(MATCH(Tasks[[#This Row],[Pred2 UID]],Tasks[UID],0),-1))</f>
        <v>0</v>
      </c>
      <c r="BR9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9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9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9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97" s="43" t="n">
        <f aca="false">IF(NOT(Tasks[[#This Row],[_IsLeaf]]=1),0,IF(N(Tasks[[#This Row],[Actual Finish]])&gt;0,1,MIN(1,N(Tasks[[#This Row],[% Complete]]))))</f>
        <v>0</v>
      </c>
      <c r="BW9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97" s="43" t="n">
        <f aca="false">IF(Tasks[[#This Row],[_LeafWork]]=0,0,Tasks[[#This Row],[_LeafWork]]*IFERROR(INDEX(res_Rate,MATCH(Tasks[[#This Row],[Resource]],res_Name,0)),0))</f>
        <v>0</v>
      </c>
      <c r="BY9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9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9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9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97" s="43" t="n">
        <f aca="false">IF(NOT(Tasks[[#This Row],[_IsLeaf]]=1),0,MAX(_xlfn.MAXIFS(Tasks[_Row],Tasks[Pred1 UID],Tasks[[#This Row],[UID]]),_xlfn.MAXIFS(Tasks[_Row],Tasks[Pred2 UID],Tasks[[#This Row],[UID]])))</f>
        <v>0</v>
      </c>
      <c r="CD9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97" s="87" t="str">
        <f aca="false">IF(NOT(Tasks[[#This Row],[_IsLeaf]]=1),"",MIN(ProjectFinish,IF(N(Tasks[[#This Row],[Deadline]])&gt;0,Tasks[[#This Row],[Deadline]],2958465),Tasks[[#This Row],[_SuccessorFinishLimit]]))</f>
        <v/>
      </c>
      <c r="CF9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9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97" s="86" t="b">
        <f aca="false">AND(Tasks[[#This Row],[_IsLeaf]]=1,Tasks[[#This Row],[_LeafProgress]]&lt;1,N(Tasks[[#This Row],[_LeafTotalSlack]])&lt;=CriticalSlackDays)</f>
        <v>0</v>
      </c>
      <c r="CI9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9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9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9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9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9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9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9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97" s="43" t="n">
        <f aca="false">IF(AND(Tasks[[#This Row],[_IsLeaf]]=1,Tasks[[#This Row],[_LeafWork]]&gt;0),NETWORKDAYS.INTL(ProjectStart,Tasks[[#This Row],[_LeafFcstStart]],WorkWeek,Holidays),0)</f>
        <v>0</v>
      </c>
      <c r="CR9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97" s="43" t="n">
        <f aca="false">IF(AND(Tasks[[#This Row],[_IsLeaf]]=1,Tasks[[#This Row],[_LeafWork]]&gt;0),Tasks[[#This Row],[_LeafWork]]/(Tasks[[#This Row],[_FinishWorkday]]-Tasks[[#This Row],[_StartWorkday]]+1),0)</f>
        <v>0</v>
      </c>
      <c r="CT97" s="43" t="n">
        <f aca="false">Tasks[[#This Row],[_WorkPerWorkday]]*(Tasks[[#This Row],[_StartWorkday]]-1)</f>
        <v>-0</v>
      </c>
      <c r="CU97" s="43" t="n">
        <f aca="false">IF(Tasks[[#This Row],[_IsLeaf]]=1,MAX(N(Tasks[[#This Row],[Duration]]),0.1),0)</f>
        <v>0</v>
      </c>
      <c r="CV97" s="43" t="n">
        <f aca="false">Tasks[[#This Row],[_WeightDur]]*Tasks[[#This Row],[_LeafProgress]]</f>
        <v>0</v>
      </c>
      <c r="CW9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9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9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9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9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97" s="43" t="str">
        <f aca="false">IF(AND(Tasks[[#This Row],[_IsLeaf]]=1,N(Tasks[[#This Row],[Duration]])=0,Tasks[[#This Row],[_LeafProgress]]&lt;1),Tasks[[#This Row],[_LeafFcstFinish]]+Tasks[[#This Row],[_Row]]/100000,"")</f>
        <v/>
      </c>
      <c r="DC9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97" s="43" t="n">
        <f aca="false">IF(NOT(Tasks[[#This Row],[_IsLeaf]]=1),0,IF(Tasks[[#This Row],[Baseline Cost]]="",Tasks[[#This Row],[_LeafCost]],N(Tasks[[#This Row],[Baseline Cost]])))</f>
        <v>0</v>
      </c>
      <c r="DE97" s="43" t="n">
        <f aca="false">Tasks[[#This Row],[_LeafBudget]]*Tasks[[#This Row],[_PlannedPct]]</f>
        <v>0</v>
      </c>
      <c r="DF97" s="43" t="n">
        <f aca="false">Tasks[[#This Row],[_LeafBudget]]*Tasks[[#This Row],[_LeafProgress]]</f>
        <v>0</v>
      </c>
      <c r="DG97" s="43" t="n">
        <f aca="false">IF(NOT(Tasks[[#This Row],[_IsLeaf]]=1),0,IF(Tasks[[#This Row],[Actual Cost]]="",Tasks[[#This Row],[_LeafCost]]*Tasks[[#This Row],[_LeafProgress]],N(Tasks[[#This Row],[Actual Cost]])))</f>
        <v>0</v>
      </c>
      <c r="DH97" s="43" t="str">
        <f aca="false">IF(Tasks[[#This Row],[Task Name]]="","",LEFT(Tasks[[#This Row],[WBS]],FIND(".",Tasks[[#This Row],[WBS]]&amp;".")-1))</f>
        <v/>
      </c>
      <c r="DI97" s="43" t="str">
        <f aca="false">IF(AND(Tasks[[#This Row],[Task Name]]&lt;&gt;"",Tasks[[#This Row],[_Level]]=1),Tasks[[#This Row],[_Row]],"")</f>
        <v/>
      </c>
      <c r="DJ97" s="43" t="str">
        <f aca="false">IF(AND(Tasks[[#This Row],[_IsLeaf]]=1,N(Tasks[[#This Row],[Duration]])=0),Tasks[[#This Row],[Planned Finish]]+Tasks[[#This Row],[_Row]]/100000,"")</f>
        <v/>
      </c>
      <c r="DK9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9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9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97" s="43" t="str">
        <f aca="false">IF(Tasks[[#This Row],[_LeafCritical]],Tasks[[#This Row],[_LeafFcstStart]]+Tasks[[#This Row],[_Row]]/100000,"")</f>
        <v/>
      </c>
      <c r="DO97" s="43" t="n">
        <f aca="false">Tasks[[#This Row],[_LeafWork]]*Tasks[[#This Row],[_LeafProgress]]</f>
        <v>0</v>
      </c>
      <c r="DP9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97" s="43" t="n">
        <f aca="false">IF(Tasks[[#This Row],[_IsLeaf]]=1,N(Tasks[[#This Row],[Story Points]]),0)</f>
        <v>0</v>
      </c>
      <c r="DR97" s="43" t="str">
        <f aca="false">IF(AND(Tasks[[#This Row],[_IsLeaf]]=1,CurrentSprint&lt;&gt;"",Tasks[[#This Row],[Sprint]]=CurrentSprint),Tasks[[#This Row],[_Row]],"")</f>
        <v/>
      </c>
    </row>
    <row r="98" customFormat="false" ht="15" hidden="false" customHeight="false" outlineLevel="0" collapsed="false">
      <c r="A98" s="28" t="str">
        <f aca="false">IF(Tasks[[#This Row],[Task Name]]="","",COUNTA(Tasks[[#Headers],[Task Name]]:Tasks[[#This Row],[Task Name]])-1)</f>
        <v/>
      </c>
      <c r="B98" s="29" t="n">
        <v>93</v>
      </c>
      <c r="C9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98" s="29"/>
      <c r="E98" s="30"/>
      <c r="F98" s="29"/>
      <c r="G98" s="29"/>
      <c r="H98" s="29"/>
      <c r="I98" s="29"/>
      <c r="J98" s="29"/>
      <c r="K98" s="29"/>
      <c r="L98" s="29"/>
      <c r="M98" s="29"/>
      <c r="N98" s="72"/>
      <c r="O98" s="72"/>
      <c r="P98" s="25" t="str">
        <f aca="false">IF(Tasks[[#This Row],[Task Name]]="","",IF(N(Tasks[[#This Row],[Baseline Start]])&gt;0,Tasks[[#This Row],[Baseline Start]],Tasks[[#This Row],[_CalcStart]]))</f>
        <v/>
      </c>
      <c r="Q98" s="25" t="str">
        <f aca="false">IF(Tasks[[#This Row],[Task Name]]="","",IF(N(Tasks[[#This Row],[Baseline Finish]])&gt;0,Tasks[[#This Row],[Baseline Finish]],Tasks[[#This Row],[_CalcFinish]]))</f>
        <v/>
      </c>
      <c r="R98" s="72"/>
      <c r="S98" s="72"/>
      <c r="T9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9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9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9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9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9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9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9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9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9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9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98" s="74"/>
      <c r="AF9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9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98" s="30"/>
      <c r="AI98" s="74"/>
      <c r="AJ9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9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98" s="83"/>
      <c r="AM98" s="29"/>
      <c r="AN9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98" s="84"/>
      <c r="AP9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98" s="30"/>
      <c r="AR98" s="25" t="str">
        <f aca="false">IF(Tasks[[#This Row],[Task Name]]="","",Tasks[[#This Row],[Forecast Start]])</f>
        <v/>
      </c>
      <c r="AS98" s="25" t="str">
        <f aca="false">IF(Tasks[[#This Row],[Task Name]]="","",Tasks[[#This Row],[Forecast Finish]])</f>
        <v/>
      </c>
      <c r="AT9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98" s="81" t="str">
        <f aca="false">IF(Tasks[[#This Row],[Task Name]]="","",Tasks[[#This Row],[Work]])</f>
        <v/>
      </c>
      <c r="AV98" s="82" t="str">
        <f aca="false">IF(Tasks[[#This Row],[Task Name]]="","",Tasks[[#This Row],[Cost]])</f>
        <v/>
      </c>
      <c r="AW98" s="72"/>
      <c r="AX98" s="72"/>
      <c r="AY98" s="29"/>
      <c r="AZ98" s="85"/>
      <c r="BA98" s="83"/>
      <c r="BB98" s="28" t="str">
        <f aca="false">IF(OR(Tasks[[#This Row],[Task Name]]="",Tasks[[#This Row],[Baseline Duration]]=""),"",Tasks[[#This Row],[BL Source Duration]]-N(Tasks[[#This Row],[Baseline Duration]]))</f>
        <v/>
      </c>
      <c r="BC98" s="81" t="str">
        <f aca="false">IF(OR(Tasks[[#This Row],[Task Name]]="",Tasks[[#This Row],[Baseline Work]]=""),"",Tasks[[#This Row],[Work]]-N(Tasks[[#This Row],[Baseline Work]]))</f>
        <v/>
      </c>
      <c r="BD98" s="82" t="str">
        <f aca="false">IF(OR(Tasks[[#This Row],[Task Name]]="",Tasks[[#This Row],[Baseline Cost]]=""),"",Tasks[[#This Row],[Cost]]-N(Tasks[[#This Row],[Baseline Cost]]))</f>
        <v/>
      </c>
      <c r="BE9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9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9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9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98" s="43" t="str">
        <f aca="false">IF(Tasks[[#This Row],[Task Name]]="","",MAX(1,N(Tasks[[#This Row],[Level]])))</f>
        <v/>
      </c>
      <c r="BJ98" s="43" t="n">
        <f aca="false">ROW()-ROW(Tasks[[#Headers],[ID]])</f>
        <v>93</v>
      </c>
      <c r="BK9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98" s="43" t="n">
        <f aca="false">IFERROR(N(INDEX(Tasks[_Level],Tasks[[#This Row],[_Row]]+1)),0)</f>
        <v>0</v>
      </c>
      <c r="BM98" s="86" t="b">
        <f aca="false">AND(Tasks[[#This Row],[Task Name]]&lt;&gt;"",Tasks[[#This Row],[_NextLevel]]&gt;Tasks[[#This Row],[_Level]])</f>
        <v>0</v>
      </c>
      <c r="BN98" s="43" t="n">
        <f aca="false">IF(Tasks[[#This Row],[_IsSummary]],COUNTIF(Tasks[WBS],Tasks[[#This Row],[WBS]]&amp;".*"),0)</f>
        <v>0</v>
      </c>
      <c r="BO98" s="43" t="n">
        <f aca="false">IF(AND(Tasks[[#This Row],[Task Name]]&lt;&gt;"",NOT(Tasks[[#This Row],[_IsSummary]])),1,0)</f>
        <v>0</v>
      </c>
      <c r="BP98" s="43" t="n">
        <f aca="false">IF(N(Tasks[[#This Row],[Pred1 UID]])=0,0,IFERROR(MATCH(Tasks[[#This Row],[Pred1 UID]],Tasks[UID],0),-1))</f>
        <v>0</v>
      </c>
      <c r="BQ98" s="43" t="n">
        <f aca="false">IF(N(Tasks[[#This Row],[Pred2 UID]])=0,0,IFERROR(MATCH(Tasks[[#This Row],[Pred2 UID]],Tasks[UID],0),-1))</f>
        <v>0</v>
      </c>
      <c r="BR9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9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9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9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98" s="43" t="n">
        <f aca="false">IF(NOT(Tasks[[#This Row],[_IsLeaf]]=1),0,IF(N(Tasks[[#This Row],[Actual Finish]])&gt;0,1,MIN(1,N(Tasks[[#This Row],[% Complete]]))))</f>
        <v>0</v>
      </c>
      <c r="BW9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98" s="43" t="n">
        <f aca="false">IF(Tasks[[#This Row],[_LeafWork]]=0,0,Tasks[[#This Row],[_LeafWork]]*IFERROR(INDEX(res_Rate,MATCH(Tasks[[#This Row],[Resource]],res_Name,0)),0))</f>
        <v>0</v>
      </c>
      <c r="BY9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9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9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9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98" s="43" t="n">
        <f aca="false">IF(NOT(Tasks[[#This Row],[_IsLeaf]]=1),0,MAX(_xlfn.MAXIFS(Tasks[_Row],Tasks[Pred1 UID],Tasks[[#This Row],[UID]]),_xlfn.MAXIFS(Tasks[_Row],Tasks[Pred2 UID],Tasks[[#This Row],[UID]])))</f>
        <v>0</v>
      </c>
      <c r="CD9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98" s="87" t="str">
        <f aca="false">IF(NOT(Tasks[[#This Row],[_IsLeaf]]=1),"",MIN(ProjectFinish,IF(N(Tasks[[#This Row],[Deadline]])&gt;0,Tasks[[#This Row],[Deadline]],2958465),Tasks[[#This Row],[_SuccessorFinishLimit]]))</f>
        <v/>
      </c>
      <c r="CF9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9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98" s="86" t="b">
        <f aca="false">AND(Tasks[[#This Row],[_IsLeaf]]=1,Tasks[[#This Row],[_LeafProgress]]&lt;1,N(Tasks[[#This Row],[_LeafTotalSlack]])&lt;=CriticalSlackDays)</f>
        <v>0</v>
      </c>
      <c r="CI9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9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9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9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9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9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9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9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98" s="43" t="n">
        <f aca="false">IF(AND(Tasks[[#This Row],[_IsLeaf]]=1,Tasks[[#This Row],[_LeafWork]]&gt;0),NETWORKDAYS.INTL(ProjectStart,Tasks[[#This Row],[_LeafFcstStart]],WorkWeek,Holidays),0)</f>
        <v>0</v>
      </c>
      <c r="CR9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98" s="43" t="n">
        <f aca="false">IF(AND(Tasks[[#This Row],[_IsLeaf]]=1,Tasks[[#This Row],[_LeafWork]]&gt;0),Tasks[[#This Row],[_LeafWork]]/(Tasks[[#This Row],[_FinishWorkday]]-Tasks[[#This Row],[_StartWorkday]]+1),0)</f>
        <v>0</v>
      </c>
      <c r="CT98" s="43" t="n">
        <f aca="false">Tasks[[#This Row],[_WorkPerWorkday]]*(Tasks[[#This Row],[_StartWorkday]]-1)</f>
        <v>-0</v>
      </c>
      <c r="CU98" s="43" t="n">
        <f aca="false">IF(Tasks[[#This Row],[_IsLeaf]]=1,MAX(N(Tasks[[#This Row],[Duration]]),0.1),0)</f>
        <v>0</v>
      </c>
      <c r="CV98" s="43" t="n">
        <f aca="false">Tasks[[#This Row],[_WeightDur]]*Tasks[[#This Row],[_LeafProgress]]</f>
        <v>0</v>
      </c>
      <c r="CW9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9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9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9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9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98" s="43" t="str">
        <f aca="false">IF(AND(Tasks[[#This Row],[_IsLeaf]]=1,N(Tasks[[#This Row],[Duration]])=0,Tasks[[#This Row],[_LeafProgress]]&lt;1),Tasks[[#This Row],[_LeafFcstFinish]]+Tasks[[#This Row],[_Row]]/100000,"")</f>
        <v/>
      </c>
      <c r="DC9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98" s="43" t="n">
        <f aca="false">IF(NOT(Tasks[[#This Row],[_IsLeaf]]=1),0,IF(Tasks[[#This Row],[Baseline Cost]]="",Tasks[[#This Row],[_LeafCost]],N(Tasks[[#This Row],[Baseline Cost]])))</f>
        <v>0</v>
      </c>
      <c r="DE98" s="43" t="n">
        <f aca="false">Tasks[[#This Row],[_LeafBudget]]*Tasks[[#This Row],[_PlannedPct]]</f>
        <v>0</v>
      </c>
      <c r="DF98" s="43" t="n">
        <f aca="false">Tasks[[#This Row],[_LeafBudget]]*Tasks[[#This Row],[_LeafProgress]]</f>
        <v>0</v>
      </c>
      <c r="DG98" s="43" t="n">
        <f aca="false">IF(NOT(Tasks[[#This Row],[_IsLeaf]]=1),0,IF(Tasks[[#This Row],[Actual Cost]]="",Tasks[[#This Row],[_LeafCost]]*Tasks[[#This Row],[_LeafProgress]],N(Tasks[[#This Row],[Actual Cost]])))</f>
        <v>0</v>
      </c>
      <c r="DH98" s="43" t="str">
        <f aca="false">IF(Tasks[[#This Row],[Task Name]]="","",LEFT(Tasks[[#This Row],[WBS]],FIND(".",Tasks[[#This Row],[WBS]]&amp;".")-1))</f>
        <v/>
      </c>
      <c r="DI98" s="43" t="str">
        <f aca="false">IF(AND(Tasks[[#This Row],[Task Name]]&lt;&gt;"",Tasks[[#This Row],[_Level]]=1),Tasks[[#This Row],[_Row]],"")</f>
        <v/>
      </c>
      <c r="DJ98" s="43" t="str">
        <f aca="false">IF(AND(Tasks[[#This Row],[_IsLeaf]]=1,N(Tasks[[#This Row],[Duration]])=0),Tasks[[#This Row],[Planned Finish]]+Tasks[[#This Row],[_Row]]/100000,"")</f>
        <v/>
      </c>
      <c r="DK9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9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9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98" s="43" t="str">
        <f aca="false">IF(Tasks[[#This Row],[_LeafCritical]],Tasks[[#This Row],[_LeafFcstStart]]+Tasks[[#This Row],[_Row]]/100000,"")</f>
        <v/>
      </c>
      <c r="DO98" s="43" t="n">
        <f aca="false">Tasks[[#This Row],[_LeafWork]]*Tasks[[#This Row],[_LeafProgress]]</f>
        <v>0</v>
      </c>
      <c r="DP9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98" s="43" t="n">
        <f aca="false">IF(Tasks[[#This Row],[_IsLeaf]]=1,N(Tasks[[#This Row],[Story Points]]),0)</f>
        <v>0</v>
      </c>
      <c r="DR98" s="43" t="str">
        <f aca="false">IF(AND(Tasks[[#This Row],[_IsLeaf]]=1,CurrentSprint&lt;&gt;"",Tasks[[#This Row],[Sprint]]=CurrentSprint),Tasks[[#This Row],[_Row]],"")</f>
        <v/>
      </c>
    </row>
    <row r="99" customFormat="false" ht="15" hidden="false" customHeight="false" outlineLevel="0" collapsed="false">
      <c r="A99" s="28" t="str">
        <f aca="false">IF(Tasks[[#This Row],[Task Name]]="","",COUNTA(Tasks[[#Headers],[Task Name]]:Tasks[[#This Row],[Task Name]])-1)</f>
        <v/>
      </c>
      <c r="B99" s="29" t="n">
        <v>94</v>
      </c>
      <c r="C9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99" s="29"/>
      <c r="E99" s="30"/>
      <c r="F99" s="29"/>
      <c r="G99" s="29"/>
      <c r="H99" s="29"/>
      <c r="I99" s="29"/>
      <c r="J99" s="29"/>
      <c r="K99" s="29"/>
      <c r="L99" s="29"/>
      <c r="M99" s="29"/>
      <c r="N99" s="72"/>
      <c r="O99" s="72"/>
      <c r="P99" s="25" t="str">
        <f aca="false">IF(Tasks[[#This Row],[Task Name]]="","",IF(N(Tasks[[#This Row],[Baseline Start]])&gt;0,Tasks[[#This Row],[Baseline Start]],Tasks[[#This Row],[_CalcStart]]))</f>
        <v/>
      </c>
      <c r="Q99" s="25" t="str">
        <f aca="false">IF(Tasks[[#This Row],[Task Name]]="","",IF(N(Tasks[[#This Row],[Baseline Finish]])&gt;0,Tasks[[#This Row],[Baseline Finish]],Tasks[[#This Row],[_CalcFinish]]))</f>
        <v/>
      </c>
      <c r="R99" s="72"/>
      <c r="S99" s="72"/>
      <c r="T9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9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9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9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9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9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9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9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9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9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9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99" s="74"/>
      <c r="AF9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9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99" s="30"/>
      <c r="AI99" s="74"/>
      <c r="AJ9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9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99" s="83"/>
      <c r="AM99" s="29"/>
      <c r="AN9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99" s="84"/>
      <c r="AP9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99" s="30"/>
      <c r="AR99" s="25" t="str">
        <f aca="false">IF(Tasks[[#This Row],[Task Name]]="","",Tasks[[#This Row],[Forecast Start]])</f>
        <v/>
      </c>
      <c r="AS99" s="25" t="str">
        <f aca="false">IF(Tasks[[#This Row],[Task Name]]="","",Tasks[[#This Row],[Forecast Finish]])</f>
        <v/>
      </c>
      <c r="AT9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99" s="81" t="str">
        <f aca="false">IF(Tasks[[#This Row],[Task Name]]="","",Tasks[[#This Row],[Work]])</f>
        <v/>
      </c>
      <c r="AV99" s="82" t="str">
        <f aca="false">IF(Tasks[[#This Row],[Task Name]]="","",Tasks[[#This Row],[Cost]])</f>
        <v/>
      </c>
      <c r="AW99" s="72"/>
      <c r="AX99" s="72"/>
      <c r="AY99" s="29"/>
      <c r="AZ99" s="85"/>
      <c r="BA99" s="83"/>
      <c r="BB99" s="28" t="str">
        <f aca="false">IF(OR(Tasks[[#This Row],[Task Name]]="",Tasks[[#This Row],[Baseline Duration]]=""),"",Tasks[[#This Row],[BL Source Duration]]-N(Tasks[[#This Row],[Baseline Duration]]))</f>
        <v/>
      </c>
      <c r="BC99" s="81" t="str">
        <f aca="false">IF(OR(Tasks[[#This Row],[Task Name]]="",Tasks[[#This Row],[Baseline Work]]=""),"",Tasks[[#This Row],[Work]]-N(Tasks[[#This Row],[Baseline Work]]))</f>
        <v/>
      </c>
      <c r="BD99" s="82" t="str">
        <f aca="false">IF(OR(Tasks[[#This Row],[Task Name]]="",Tasks[[#This Row],[Baseline Cost]]=""),"",Tasks[[#This Row],[Cost]]-N(Tasks[[#This Row],[Baseline Cost]]))</f>
        <v/>
      </c>
      <c r="BE9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9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9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9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99" s="43" t="str">
        <f aca="false">IF(Tasks[[#This Row],[Task Name]]="","",MAX(1,N(Tasks[[#This Row],[Level]])))</f>
        <v/>
      </c>
      <c r="BJ99" s="43" t="n">
        <f aca="false">ROW()-ROW(Tasks[[#Headers],[ID]])</f>
        <v>94</v>
      </c>
      <c r="BK9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99" s="43" t="n">
        <f aca="false">IFERROR(N(INDEX(Tasks[_Level],Tasks[[#This Row],[_Row]]+1)),0)</f>
        <v>0</v>
      </c>
      <c r="BM99" s="86" t="b">
        <f aca="false">AND(Tasks[[#This Row],[Task Name]]&lt;&gt;"",Tasks[[#This Row],[_NextLevel]]&gt;Tasks[[#This Row],[_Level]])</f>
        <v>0</v>
      </c>
      <c r="BN99" s="43" t="n">
        <f aca="false">IF(Tasks[[#This Row],[_IsSummary]],COUNTIF(Tasks[WBS],Tasks[[#This Row],[WBS]]&amp;".*"),0)</f>
        <v>0</v>
      </c>
      <c r="BO99" s="43" t="n">
        <f aca="false">IF(AND(Tasks[[#This Row],[Task Name]]&lt;&gt;"",NOT(Tasks[[#This Row],[_IsSummary]])),1,0)</f>
        <v>0</v>
      </c>
      <c r="BP99" s="43" t="n">
        <f aca="false">IF(N(Tasks[[#This Row],[Pred1 UID]])=0,0,IFERROR(MATCH(Tasks[[#This Row],[Pred1 UID]],Tasks[UID],0),-1))</f>
        <v>0</v>
      </c>
      <c r="BQ99" s="43" t="n">
        <f aca="false">IF(N(Tasks[[#This Row],[Pred2 UID]])=0,0,IFERROR(MATCH(Tasks[[#This Row],[Pred2 UID]],Tasks[UID],0),-1))</f>
        <v>0</v>
      </c>
      <c r="BR9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9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9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9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99" s="43" t="n">
        <f aca="false">IF(NOT(Tasks[[#This Row],[_IsLeaf]]=1),0,IF(N(Tasks[[#This Row],[Actual Finish]])&gt;0,1,MIN(1,N(Tasks[[#This Row],[% Complete]]))))</f>
        <v>0</v>
      </c>
      <c r="BW9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99" s="43" t="n">
        <f aca="false">IF(Tasks[[#This Row],[_LeafWork]]=0,0,Tasks[[#This Row],[_LeafWork]]*IFERROR(INDEX(res_Rate,MATCH(Tasks[[#This Row],[Resource]],res_Name,0)),0))</f>
        <v>0</v>
      </c>
      <c r="BY9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9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9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9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99" s="43" t="n">
        <f aca="false">IF(NOT(Tasks[[#This Row],[_IsLeaf]]=1),0,MAX(_xlfn.MAXIFS(Tasks[_Row],Tasks[Pred1 UID],Tasks[[#This Row],[UID]]),_xlfn.MAXIFS(Tasks[_Row],Tasks[Pred2 UID],Tasks[[#This Row],[UID]])))</f>
        <v>0</v>
      </c>
      <c r="CD9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99" s="87" t="str">
        <f aca="false">IF(NOT(Tasks[[#This Row],[_IsLeaf]]=1),"",MIN(ProjectFinish,IF(N(Tasks[[#This Row],[Deadline]])&gt;0,Tasks[[#This Row],[Deadline]],2958465),Tasks[[#This Row],[_SuccessorFinishLimit]]))</f>
        <v/>
      </c>
      <c r="CF9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9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99" s="86" t="b">
        <f aca="false">AND(Tasks[[#This Row],[_IsLeaf]]=1,Tasks[[#This Row],[_LeafProgress]]&lt;1,N(Tasks[[#This Row],[_LeafTotalSlack]])&lt;=CriticalSlackDays)</f>
        <v>0</v>
      </c>
      <c r="CI9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9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9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9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9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9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9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9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99" s="43" t="n">
        <f aca="false">IF(AND(Tasks[[#This Row],[_IsLeaf]]=1,Tasks[[#This Row],[_LeafWork]]&gt;0),NETWORKDAYS.INTL(ProjectStart,Tasks[[#This Row],[_LeafFcstStart]],WorkWeek,Holidays),0)</f>
        <v>0</v>
      </c>
      <c r="CR9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99" s="43" t="n">
        <f aca="false">IF(AND(Tasks[[#This Row],[_IsLeaf]]=1,Tasks[[#This Row],[_LeafWork]]&gt;0),Tasks[[#This Row],[_LeafWork]]/(Tasks[[#This Row],[_FinishWorkday]]-Tasks[[#This Row],[_StartWorkday]]+1),0)</f>
        <v>0</v>
      </c>
      <c r="CT99" s="43" t="n">
        <f aca="false">Tasks[[#This Row],[_WorkPerWorkday]]*(Tasks[[#This Row],[_StartWorkday]]-1)</f>
        <v>-0</v>
      </c>
      <c r="CU99" s="43" t="n">
        <f aca="false">IF(Tasks[[#This Row],[_IsLeaf]]=1,MAX(N(Tasks[[#This Row],[Duration]]),0.1),0)</f>
        <v>0</v>
      </c>
      <c r="CV99" s="43" t="n">
        <f aca="false">Tasks[[#This Row],[_WeightDur]]*Tasks[[#This Row],[_LeafProgress]]</f>
        <v>0</v>
      </c>
      <c r="CW9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9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9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9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9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99" s="43" t="str">
        <f aca="false">IF(AND(Tasks[[#This Row],[_IsLeaf]]=1,N(Tasks[[#This Row],[Duration]])=0,Tasks[[#This Row],[_LeafProgress]]&lt;1),Tasks[[#This Row],[_LeafFcstFinish]]+Tasks[[#This Row],[_Row]]/100000,"")</f>
        <v/>
      </c>
      <c r="DC9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99" s="43" t="n">
        <f aca="false">IF(NOT(Tasks[[#This Row],[_IsLeaf]]=1),0,IF(Tasks[[#This Row],[Baseline Cost]]="",Tasks[[#This Row],[_LeafCost]],N(Tasks[[#This Row],[Baseline Cost]])))</f>
        <v>0</v>
      </c>
      <c r="DE99" s="43" t="n">
        <f aca="false">Tasks[[#This Row],[_LeafBudget]]*Tasks[[#This Row],[_PlannedPct]]</f>
        <v>0</v>
      </c>
      <c r="DF99" s="43" t="n">
        <f aca="false">Tasks[[#This Row],[_LeafBudget]]*Tasks[[#This Row],[_LeafProgress]]</f>
        <v>0</v>
      </c>
      <c r="DG99" s="43" t="n">
        <f aca="false">IF(NOT(Tasks[[#This Row],[_IsLeaf]]=1),0,IF(Tasks[[#This Row],[Actual Cost]]="",Tasks[[#This Row],[_LeafCost]]*Tasks[[#This Row],[_LeafProgress]],N(Tasks[[#This Row],[Actual Cost]])))</f>
        <v>0</v>
      </c>
      <c r="DH99" s="43" t="str">
        <f aca="false">IF(Tasks[[#This Row],[Task Name]]="","",LEFT(Tasks[[#This Row],[WBS]],FIND(".",Tasks[[#This Row],[WBS]]&amp;".")-1))</f>
        <v/>
      </c>
      <c r="DI99" s="43" t="str">
        <f aca="false">IF(AND(Tasks[[#This Row],[Task Name]]&lt;&gt;"",Tasks[[#This Row],[_Level]]=1),Tasks[[#This Row],[_Row]],"")</f>
        <v/>
      </c>
      <c r="DJ99" s="43" t="str">
        <f aca="false">IF(AND(Tasks[[#This Row],[_IsLeaf]]=1,N(Tasks[[#This Row],[Duration]])=0),Tasks[[#This Row],[Planned Finish]]+Tasks[[#This Row],[_Row]]/100000,"")</f>
        <v/>
      </c>
      <c r="DK9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9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9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99" s="43" t="str">
        <f aca="false">IF(Tasks[[#This Row],[_LeafCritical]],Tasks[[#This Row],[_LeafFcstStart]]+Tasks[[#This Row],[_Row]]/100000,"")</f>
        <v/>
      </c>
      <c r="DO99" s="43" t="n">
        <f aca="false">Tasks[[#This Row],[_LeafWork]]*Tasks[[#This Row],[_LeafProgress]]</f>
        <v>0</v>
      </c>
      <c r="DP9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99" s="43" t="n">
        <f aca="false">IF(Tasks[[#This Row],[_IsLeaf]]=1,N(Tasks[[#This Row],[Story Points]]),0)</f>
        <v>0</v>
      </c>
      <c r="DR99" s="43" t="str">
        <f aca="false">IF(AND(Tasks[[#This Row],[_IsLeaf]]=1,CurrentSprint&lt;&gt;"",Tasks[[#This Row],[Sprint]]=CurrentSprint),Tasks[[#This Row],[_Row]],"")</f>
        <v/>
      </c>
    </row>
    <row r="100" customFormat="false" ht="15" hidden="false" customHeight="false" outlineLevel="0" collapsed="false">
      <c r="A100" s="28" t="str">
        <f aca="false">IF(Tasks[[#This Row],[Task Name]]="","",COUNTA(Tasks[[#Headers],[Task Name]]:Tasks[[#This Row],[Task Name]])-1)</f>
        <v/>
      </c>
      <c r="B100" s="29" t="n">
        <v>95</v>
      </c>
      <c r="C10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00" s="29"/>
      <c r="E100" s="30"/>
      <c r="F100" s="29"/>
      <c r="G100" s="29"/>
      <c r="H100" s="29"/>
      <c r="I100" s="29"/>
      <c r="J100" s="29"/>
      <c r="K100" s="29"/>
      <c r="L100" s="29"/>
      <c r="M100" s="29"/>
      <c r="N100" s="72"/>
      <c r="O100" s="72"/>
      <c r="P100" s="25" t="str">
        <f aca="false">IF(Tasks[[#This Row],[Task Name]]="","",IF(N(Tasks[[#This Row],[Baseline Start]])&gt;0,Tasks[[#This Row],[Baseline Start]],Tasks[[#This Row],[_CalcStart]]))</f>
        <v/>
      </c>
      <c r="Q100" s="25" t="str">
        <f aca="false">IF(Tasks[[#This Row],[Task Name]]="","",IF(N(Tasks[[#This Row],[Baseline Finish]])&gt;0,Tasks[[#This Row],[Baseline Finish]],Tasks[[#This Row],[_CalcFinish]]))</f>
        <v/>
      </c>
      <c r="R100" s="72"/>
      <c r="S100" s="72"/>
      <c r="T10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0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0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0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0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0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0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0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0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0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0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00" s="74"/>
      <c r="AF10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0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00" s="30"/>
      <c r="AI100" s="74"/>
      <c r="AJ10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0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00" s="83"/>
      <c r="AM100" s="29"/>
      <c r="AN10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00" s="84"/>
      <c r="AP10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00" s="30"/>
      <c r="AR100" s="25" t="str">
        <f aca="false">IF(Tasks[[#This Row],[Task Name]]="","",Tasks[[#This Row],[Forecast Start]])</f>
        <v/>
      </c>
      <c r="AS100" s="25" t="str">
        <f aca="false">IF(Tasks[[#This Row],[Task Name]]="","",Tasks[[#This Row],[Forecast Finish]])</f>
        <v/>
      </c>
      <c r="AT10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00" s="81" t="str">
        <f aca="false">IF(Tasks[[#This Row],[Task Name]]="","",Tasks[[#This Row],[Work]])</f>
        <v/>
      </c>
      <c r="AV100" s="82" t="str">
        <f aca="false">IF(Tasks[[#This Row],[Task Name]]="","",Tasks[[#This Row],[Cost]])</f>
        <v/>
      </c>
      <c r="AW100" s="72"/>
      <c r="AX100" s="72"/>
      <c r="AY100" s="29"/>
      <c r="AZ100" s="85"/>
      <c r="BA100" s="83"/>
      <c r="BB100" s="28" t="str">
        <f aca="false">IF(OR(Tasks[[#This Row],[Task Name]]="",Tasks[[#This Row],[Baseline Duration]]=""),"",Tasks[[#This Row],[BL Source Duration]]-N(Tasks[[#This Row],[Baseline Duration]]))</f>
        <v/>
      </c>
      <c r="BC100" s="81" t="str">
        <f aca="false">IF(OR(Tasks[[#This Row],[Task Name]]="",Tasks[[#This Row],[Baseline Work]]=""),"",Tasks[[#This Row],[Work]]-N(Tasks[[#This Row],[Baseline Work]]))</f>
        <v/>
      </c>
      <c r="BD100" s="82" t="str">
        <f aca="false">IF(OR(Tasks[[#This Row],[Task Name]]="",Tasks[[#This Row],[Baseline Cost]]=""),"",Tasks[[#This Row],[Cost]]-N(Tasks[[#This Row],[Baseline Cost]]))</f>
        <v/>
      </c>
      <c r="BE10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0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0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0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00" s="43" t="str">
        <f aca="false">IF(Tasks[[#This Row],[Task Name]]="","",MAX(1,N(Tasks[[#This Row],[Level]])))</f>
        <v/>
      </c>
      <c r="BJ100" s="43" t="n">
        <f aca="false">ROW()-ROW(Tasks[[#Headers],[ID]])</f>
        <v>95</v>
      </c>
      <c r="BK10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00" s="43" t="n">
        <f aca="false">IFERROR(N(INDEX(Tasks[_Level],Tasks[[#This Row],[_Row]]+1)),0)</f>
        <v>0</v>
      </c>
      <c r="BM100" s="86" t="b">
        <f aca="false">AND(Tasks[[#This Row],[Task Name]]&lt;&gt;"",Tasks[[#This Row],[_NextLevel]]&gt;Tasks[[#This Row],[_Level]])</f>
        <v>0</v>
      </c>
      <c r="BN100" s="43" t="n">
        <f aca="false">IF(Tasks[[#This Row],[_IsSummary]],COUNTIF(Tasks[WBS],Tasks[[#This Row],[WBS]]&amp;".*"),0)</f>
        <v>0</v>
      </c>
      <c r="BO100" s="43" t="n">
        <f aca="false">IF(AND(Tasks[[#This Row],[Task Name]]&lt;&gt;"",NOT(Tasks[[#This Row],[_IsSummary]])),1,0)</f>
        <v>0</v>
      </c>
      <c r="BP100" s="43" t="n">
        <f aca="false">IF(N(Tasks[[#This Row],[Pred1 UID]])=0,0,IFERROR(MATCH(Tasks[[#This Row],[Pred1 UID]],Tasks[UID],0),-1))</f>
        <v>0</v>
      </c>
      <c r="BQ100" s="43" t="n">
        <f aca="false">IF(N(Tasks[[#This Row],[Pred2 UID]])=0,0,IFERROR(MATCH(Tasks[[#This Row],[Pred2 UID]],Tasks[UID],0),-1))</f>
        <v>0</v>
      </c>
      <c r="BR10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0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0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0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00" s="43" t="n">
        <f aca="false">IF(NOT(Tasks[[#This Row],[_IsLeaf]]=1),0,IF(N(Tasks[[#This Row],[Actual Finish]])&gt;0,1,MIN(1,N(Tasks[[#This Row],[% Complete]]))))</f>
        <v>0</v>
      </c>
      <c r="BW10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00" s="43" t="n">
        <f aca="false">IF(Tasks[[#This Row],[_LeafWork]]=0,0,Tasks[[#This Row],[_LeafWork]]*IFERROR(INDEX(res_Rate,MATCH(Tasks[[#This Row],[Resource]],res_Name,0)),0))</f>
        <v>0</v>
      </c>
      <c r="BY10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0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0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0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00" s="43" t="n">
        <f aca="false">IF(NOT(Tasks[[#This Row],[_IsLeaf]]=1),0,MAX(_xlfn.MAXIFS(Tasks[_Row],Tasks[Pred1 UID],Tasks[[#This Row],[UID]]),_xlfn.MAXIFS(Tasks[_Row],Tasks[Pred2 UID],Tasks[[#This Row],[UID]])))</f>
        <v>0</v>
      </c>
      <c r="CD10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00" s="87" t="str">
        <f aca="false">IF(NOT(Tasks[[#This Row],[_IsLeaf]]=1),"",MIN(ProjectFinish,IF(N(Tasks[[#This Row],[Deadline]])&gt;0,Tasks[[#This Row],[Deadline]],2958465),Tasks[[#This Row],[_SuccessorFinishLimit]]))</f>
        <v/>
      </c>
      <c r="CF10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0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00" s="86" t="b">
        <f aca="false">AND(Tasks[[#This Row],[_IsLeaf]]=1,Tasks[[#This Row],[_LeafProgress]]&lt;1,N(Tasks[[#This Row],[_LeafTotalSlack]])&lt;=CriticalSlackDays)</f>
        <v>0</v>
      </c>
      <c r="CI10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0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0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0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0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0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0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0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00" s="43" t="n">
        <f aca="false">IF(AND(Tasks[[#This Row],[_IsLeaf]]=1,Tasks[[#This Row],[_LeafWork]]&gt;0),NETWORKDAYS.INTL(ProjectStart,Tasks[[#This Row],[_LeafFcstStart]],WorkWeek,Holidays),0)</f>
        <v>0</v>
      </c>
      <c r="CR10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00" s="43" t="n">
        <f aca="false">IF(AND(Tasks[[#This Row],[_IsLeaf]]=1,Tasks[[#This Row],[_LeafWork]]&gt;0),Tasks[[#This Row],[_LeafWork]]/(Tasks[[#This Row],[_FinishWorkday]]-Tasks[[#This Row],[_StartWorkday]]+1),0)</f>
        <v>0</v>
      </c>
      <c r="CT100" s="43" t="n">
        <f aca="false">Tasks[[#This Row],[_WorkPerWorkday]]*(Tasks[[#This Row],[_StartWorkday]]-1)</f>
        <v>-0</v>
      </c>
      <c r="CU100" s="43" t="n">
        <f aca="false">IF(Tasks[[#This Row],[_IsLeaf]]=1,MAX(N(Tasks[[#This Row],[Duration]]),0.1),0)</f>
        <v>0</v>
      </c>
      <c r="CV100" s="43" t="n">
        <f aca="false">Tasks[[#This Row],[_WeightDur]]*Tasks[[#This Row],[_LeafProgress]]</f>
        <v>0</v>
      </c>
      <c r="CW10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0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0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0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0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00" s="43" t="str">
        <f aca="false">IF(AND(Tasks[[#This Row],[_IsLeaf]]=1,N(Tasks[[#This Row],[Duration]])=0,Tasks[[#This Row],[_LeafProgress]]&lt;1),Tasks[[#This Row],[_LeafFcstFinish]]+Tasks[[#This Row],[_Row]]/100000,"")</f>
        <v/>
      </c>
      <c r="DC10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00" s="43" t="n">
        <f aca="false">IF(NOT(Tasks[[#This Row],[_IsLeaf]]=1),0,IF(Tasks[[#This Row],[Baseline Cost]]="",Tasks[[#This Row],[_LeafCost]],N(Tasks[[#This Row],[Baseline Cost]])))</f>
        <v>0</v>
      </c>
      <c r="DE100" s="43" t="n">
        <f aca="false">Tasks[[#This Row],[_LeafBudget]]*Tasks[[#This Row],[_PlannedPct]]</f>
        <v>0</v>
      </c>
      <c r="DF100" s="43" t="n">
        <f aca="false">Tasks[[#This Row],[_LeafBudget]]*Tasks[[#This Row],[_LeafProgress]]</f>
        <v>0</v>
      </c>
      <c r="DG100" s="43" t="n">
        <f aca="false">IF(NOT(Tasks[[#This Row],[_IsLeaf]]=1),0,IF(Tasks[[#This Row],[Actual Cost]]="",Tasks[[#This Row],[_LeafCost]]*Tasks[[#This Row],[_LeafProgress]],N(Tasks[[#This Row],[Actual Cost]])))</f>
        <v>0</v>
      </c>
      <c r="DH100" s="43" t="str">
        <f aca="false">IF(Tasks[[#This Row],[Task Name]]="","",LEFT(Tasks[[#This Row],[WBS]],FIND(".",Tasks[[#This Row],[WBS]]&amp;".")-1))</f>
        <v/>
      </c>
      <c r="DI100" s="43" t="str">
        <f aca="false">IF(AND(Tasks[[#This Row],[Task Name]]&lt;&gt;"",Tasks[[#This Row],[_Level]]=1),Tasks[[#This Row],[_Row]],"")</f>
        <v/>
      </c>
      <c r="DJ100" s="43" t="str">
        <f aca="false">IF(AND(Tasks[[#This Row],[_IsLeaf]]=1,N(Tasks[[#This Row],[Duration]])=0),Tasks[[#This Row],[Planned Finish]]+Tasks[[#This Row],[_Row]]/100000,"")</f>
        <v/>
      </c>
      <c r="DK10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0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0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00" s="43" t="str">
        <f aca="false">IF(Tasks[[#This Row],[_LeafCritical]],Tasks[[#This Row],[_LeafFcstStart]]+Tasks[[#This Row],[_Row]]/100000,"")</f>
        <v/>
      </c>
      <c r="DO100" s="43" t="n">
        <f aca="false">Tasks[[#This Row],[_LeafWork]]*Tasks[[#This Row],[_LeafProgress]]</f>
        <v>0</v>
      </c>
      <c r="DP10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00" s="43" t="n">
        <f aca="false">IF(Tasks[[#This Row],[_IsLeaf]]=1,N(Tasks[[#This Row],[Story Points]]),0)</f>
        <v>0</v>
      </c>
      <c r="DR100" s="43" t="str">
        <f aca="false">IF(AND(Tasks[[#This Row],[_IsLeaf]]=1,CurrentSprint&lt;&gt;"",Tasks[[#This Row],[Sprint]]=CurrentSprint),Tasks[[#This Row],[_Row]],"")</f>
        <v/>
      </c>
    </row>
    <row r="101" customFormat="false" ht="15" hidden="false" customHeight="false" outlineLevel="0" collapsed="false">
      <c r="A101" s="28" t="str">
        <f aca="false">IF(Tasks[[#This Row],[Task Name]]="","",COUNTA(Tasks[[#Headers],[Task Name]]:Tasks[[#This Row],[Task Name]])-1)</f>
        <v/>
      </c>
      <c r="B101" s="29" t="n">
        <v>96</v>
      </c>
      <c r="C10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01" s="29"/>
      <c r="E101" s="30"/>
      <c r="F101" s="29"/>
      <c r="G101" s="29"/>
      <c r="H101" s="29"/>
      <c r="I101" s="29"/>
      <c r="J101" s="29"/>
      <c r="K101" s="29"/>
      <c r="L101" s="29"/>
      <c r="M101" s="29"/>
      <c r="N101" s="72"/>
      <c r="O101" s="72"/>
      <c r="P101" s="25" t="str">
        <f aca="false">IF(Tasks[[#This Row],[Task Name]]="","",IF(N(Tasks[[#This Row],[Baseline Start]])&gt;0,Tasks[[#This Row],[Baseline Start]],Tasks[[#This Row],[_CalcStart]]))</f>
        <v/>
      </c>
      <c r="Q101" s="25" t="str">
        <f aca="false">IF(Tasks[[#This Row],[Task Name]]="","",IF(N(Tasks[[#This Row],[Baseline Finish]])&gt;0,Tasks[[#This Row],[Baseline Finish]],Tasks[[#This Row],[_CalcFinish]]))</f>
        <v/>
      </c>
      <c r="R101" s="72"/>
      <c r="S101" s="72"/>
      <c r="T10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0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0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0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0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0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0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0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0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0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0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01" s="74"/>
      <c r="AF10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0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01" s="30"/>
      <c r="AI101" s="74"/>
      <c r="AJ10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0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01" s="83"/>
      <c r="AM101" s="29"/>
      <c r="AN10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01" s="84"/>
      <c r="AP10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01" s="30"/>
      <c r="AR101" s="25" t="str">
        <f aca="false">IF(Tasks[[#This Row],[Task Name]]="","",Tasks[[#This Row],[Forecast Start]])</f>
        <v/>
      </c>
      <c r="AS101" s="25" t="str">
        <f aca="false">IF(Tasks[[#This Row],[Task Name]]="","",Tasks[[#This Row],[Forecast Finish]])</f>
        <v/>
      </c>
      <c r="AT10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01" s="81" t="str">
        <f aca="false">IF(Tasks[[#This Row],[Task Name]]="","",Tasks[[#This Row],[Work]])</f>
        <v/>
      </c>
      <c r="AV101" s="82" t="str">
        <f aca="false">IF(Tasks[[#This Row],[Task Name]]="","",Tasks[[#This Row],[Cost]])</f>
        <v/>
      </c>
      <c r="AW101" s="72"/>
      <c r="AX101" s="72"/>
      <c r="AY101" s="29"/>
      <c r="AZ101" s="85"/>
      <c r="BA101" s="83"/>
      <c r="BB101" s="28" t="str">
        <f aca="false">IF(OR(Tasks[[#This Row],[Task Name]]="",Tasks[[#This Row],[Baseline Duration]]=""),"",Tasks[[#This Row],[BL Source Duration]]-N(Tasks[[#This Row],[Baseline Duration]]))</f>
        <v/>
      </c>
      <c r="BC101" s="81" t="str">
        <f aca="false">IF(OR(Tasks[[#This Row],[Task Name]]="",Tasks[[#This Row],[Baseline Work]]=""),"",Tasks[[#This Row],[Work]]-N(Tasks[[#This Row],[Baseline Work]]))</f>
        <v/>
      </c>
      <c r="BD101" s="82" t="str">
        <f aca="false">IF(OR(Tasks[[#This Row],[Task Name]]="",Tasks[[#This Row],[Baseline Cost]]=""),"",Tasks[[#This Row],[Cost]]-N(Tasks[[#This Row],[Baseline Cost]]))</f>
        <v/>
      </c>
      <c r="BE10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0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0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0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01" s="43" t="str">
        <f aca="false">IF(Tasks[[#This Row],[Task Name]]="","",MAX(1,N(Tasks[[#This Row],[Level]])))</f>
        <v/>
      </c>
      <c r="BJ101" s="43" t="n">
        <f aca="false">ROW()-ROW(Tasks[[#Headers],[ID]])</f>
        <v>96</v>
      </c>
      <c r="BK10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01" s="43" t="n">
        <f aca="false">IFERROR(N(INDEX(Tasks[_Level],Tasks[[#This Row],[_Row]]+1)),0)</f>
        <v>0</v>
      </c>
      <c r="BM101" s="86" t="b">
        <f aca="false">AND(Tasks[[#This Row],[Task Name]]&lt;&gt;"",Tasks[[#This Row],[_NextLevel]]&gt;Tasks[[#This Row],[_Level]])</f>
        <v>0</v>
      </c>
      <c r="BN101" s="43" t="n">
        <f aca="false">IF(Tasks[[#This Row],[_IsSummary]],COUNTIF(Tasks[WBS],Tasks[[#This Row],[WBS]]&amp;".*"),0)</f>
        <v>0</v>
      </c>
      <c r="BO101" s="43" t="n">
        <f aca="false">IF(AND(Tasks[[#This Row],[Task Name]]&lt;&gt;"",NOT(Tasks[[#This Row],[_IsSummary]])),1,0)</f>
        <v>0</v>
      </c>
      <c r="BP101" s="43" t="n">
        <f aca="false">IF(N(Tasks[[#This Row],[Pred1 UID]])=0,0,IFERROR(MATCH(Tasks[[#This Row],[Pred1 UID]],Tasks[UID],0),-1))</f>
        <v>0</v>
      </c>
      <c r="BQ101" s="43" t="n">
        <f aca="false">IF(N(Tasks[[#This Row],[Pred2 UID]])=0,0,IFERROR(MATCH(Tasks[[#This Row],[Pred2 UID]],Tasks[UID],0),-1))</f>
        <v>0</v>
      </c>
      <c r="BR10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0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0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0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01" s="43" t="n">
        <f aca="false">IF(NOT(Tasks[[#This Row],[_IsLeaf]]=1),0,IF(N(Tasks[[#This Row],[Actual Finish]])&gt;0,1,MIN(1,N(Tasks[[#This Row],[% Complete]]))))</f>
        <v>0</v>
      </c>
      <c r="BW10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01" s="43" t="n">
        <f aca="false">IF(Tasks[[#This Row],[_LeafWork]]=0,0,Tasks[[#This Row],[_LeafWork]]*IFERROR(INDEX(res_Rate,MATCH(Tasks[[#This Row],[Resource]],res_Name,0)),0))</f>
        <v>0</v>
      </c>
      <c r="BY10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0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0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0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01" s="43" t="n">
        <f aca="false">IF(NOT(Tasks[[#This Row],[_IsLeaf]]=1),0,MAX(_xlfn.MAXIFS(Tasks[_Row],Tasks[Pred1 UID],Tasks[[#This Row],[UID]]),_xlfn.MAXIFS(Tasks[_Row],Tasks[Pred2 UID],Tasks[[#This Row],[UID]])))</f>
        <v>0</v>
      </c>
      <c r="CD10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01" s="87" t="str">
        <f aca="false">IF(NOT(Tasks[[#This Row],[_IsLeaf]]=1),"",MIN(ProjectFinish,IF(N(Tasks[[#This Row],[Deadline]])&gt;0,Tasks[[#This Row],[Deadline]],2958465),Tasks[[#This Row],[_SuccessorFinishLimit]]))</f>
        <v/>
      </c>
      <c r="CF10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0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01" s="86" t="b">
        <f aca="false">AND(Tasks[[#This Row],[_IsLeaf]]=1,Tasks[[#This Row],[_LeafProgress]]&lt;1,N(Tasks[[#This Row],[_LeafTotalSlack]])&lt;=CriticalSlackDays)</f>
        <v>0</v>
      </c>
      <c r="CI10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0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0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0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0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0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0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0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01" s="43" t="n">
        <f aca="false">IF(AND(Tasks[[#This Row],[_IsLeaf]]=1,Tasks[[#This Row],[_LeafWork]]&gt;0),NETWORKDAYS.INTL(ProjectStart,Tasks[[#This Row],[_LeafFcstStart]],WorkWeek,Holidays),0)</f>
        <v>0</v>
      </c>
      <c r="CR10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01" s="43" t="n">
        <f aca="false">IF(AND(Tasks[[#This Row],[_IsLeaf]]=1,Tasks[[#This Row],[_LeafWork]]&gt;0),Tasks[[#This Row],[_LeafWork]]/(Tasks[[#This Row],[_FinishWorkday]]-Tasks[[#This Row],[_StartWorkday]]+1),0)</f>
        <v>0</v>
      </c>
      <c r="CT101" s="43" t="n">
        <f aca="false">Tasks[[#This Row],[_WorkPerWorkday]]*(Tasks[[#This Row],[_StartWorkday]]-1)</f>
        <v>-0</v>
      </c>
      <c r="CU101" s="43" t="n">
        <f aca="false">IF(Tasks[[#This Row],[_IsLeaf]]=1,MAX(N(Tasks[[#This Row],[Duration]]),0.1),0)</f>
        <v>0</v>
      </c>
      <c r="CV101" s="43" t="n">
        <f aca="false">Tasks[[#This Row],[_WeightDur]]*Tasks[[#This Row],[_LeafProgress]]</f>
        <v>0</v>
      </c>
      <c r="CW10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0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0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0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0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01" s="43" t="str">
        <f aca="false">IF(AND(Tasks[[#This Row],[_IsLeaf]]=1,N(Tasks[[#This Row],[Duration]])=0,Tasks[[#This Row],[_LeafProgress]]&lt;1),Tasks[[#This Row],[_LeafFcstFinish]]+Tasks[[#This Row],[_Row]]/100000,"")</f>
        <v/>
      </c>
      <c r="DC10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01" s="43" t="n">
        <f aca="false">IF(NOT(Tasks[[#This Row],[_IsLeaf]]=1),0,IF(Tasks[[#This Row],[Baseline Cost]]="",Tasks[[#This Row],[_LeafCost]],N(Tasks[[#This Row],[Baseline Cost]])))</f>
        <v>0</v>
      </c>
      <c r="DE101" s="43" t="n">
        <f aca="false">Tasks[[#This Row],[_LeafBudget]]*Tasks[[#This Row],[_PlannedPct]]</f>
        <v>0</v>
      </c>
      <c r="DF101" s="43" t="n">
        <f aca="false">Tasks[[#This Row],[_LeafBudget]]*Tasks[[#This Row],[_LeafProgress]]</f>
        <v>0</v>
      </c>
      <c r="DG101" s="43" t="n">
        <f aca="false">IF(NOT(Tasks[[#This Row],[_IsLeaf]]=1),0,IF(Tasks[[#This Row],[Actual Cost]]="",Tasks[[#This Row],[_LeafCost]]*Tasks[[#This Row],[_LeafProgress]],N(Tasks[[#This Row],[Actual Cost]])))</f>
        <v>0</v>
      </c>
      <c r="DH101" s="43" t="str">
        <f aca="false">IF(Tasks[[#This Row],[Task Name]]="","",LEFT(Tasks[[#This Row],[WBS]],FIND(".",Tasks[[#This Row],[WBS]]&amp;".")-1))</f>
        <v/>
      </c>
      <c r="DI101" s="43" t="str">
        <f aca="false">IF(AND(Tasks[[#This Row],[Task Name]]&lt;&gt;"",Tasks[[#This Row],[_Level]]=1),Tasks[[#This Row],[_Row]],"")</f>
        <v/>
      </c>
      <c r="DJ101" s="43" t="str">
        <f aca="false">IF(AND(Tasks[[#This Row],[_IsLeaf]]=1,N(Tasks[[#This Row],[Duration]])=0),Tasks[[#This Row],[Planned Finish]]+Tasks[[#This Row],[_Row]]/100000,"")</f>
        <v/>
      </c>
      <c r="DK10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0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0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01" s="43" t="str">
        <f aca="false">IF(Tasks[[#This Row],[_LeafCritical]],Tasks[[#This Row],[_LeafFcstStart]]+Tasks[[#This Row],[_Row]]/100000,"")</f>
        <v/>
      </c>
      <c r="DO101" s="43" t="n">
        <f aca="false">Tasks[[#This Row],[_LeafWork]]*Tasks[[#This Row],[_LeafProgress]]</f>
        <v>0</v>
      </c>
      <c r="DP10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01" s="43" t="n">
        <f aca="false">IF(Tasks[[#This Row],[_IsLeaf]]=1,N(Tasks[[#This Row],[Story Points]]),0)</f>
        <v>0</v>
      </c>
      <c r="DR101" s="43" t="str">
        <f aca="false">IF(AND(Tasks[[#This Row],[_IsLeaf]]=1,CurrentSprint&lt;&gt;"",Tasks[[#This Row],[Sprint]]=CurrentSprint),Tasks[[#This Row],[_Row]],"")</f>
        <v/>
      </c>
    </row>
    <row r="102" customFormat="false" ht="15" hidden="false" customHeight="false" outlineLevel="0" collapsed="false">
      <c r="A102" s="28" t="str">
        <f aca="false">IF(Tasks[[#This Row],[Task Name]]="","",COUNTA(Tasks[[#Headers],[Task Name]]:Tasks[[#This Row],[Task Name]])-1)</f>
        <v/>
      </c>
      <c r="B102" s="29" t="n">
        <v>97</v>
      </c>
      <c r="C10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02" s="29"/>
      <c r="E102" s="30"/>
      <c r="F102" s="29"/>
      <c r="G102" s="29"/>
      <c r="H102" s="29"/>
      <c r="I102" s="29"/>
      <c r="J102" s="29"/>
      <c r="K102" s="29"/>
      <c r="L102" s="29"/>
      <c r="M102" s="29"/>
      <c r="N102" s="72"/>
      <c r="O102" s="72"/>
      <c r="P102" s="25" t="str">
        <f aca="false">IF(Tasks[[#This Row],[Task Name]]="","",IF(N(Tasks[[#This Row],[Baseline Start]])&gt;0,Tasks[[#This Row],[Baseline Start]],Tasks[[#This Row],[_CalcStart]]))</f>
        <v/>
      </c>
      <c r="Q102" s="25" t="str">
        <f aca="false">IF(Tasks[[#This Row],[Task Name]]="","",IF(N(Tasks[[#This Row],[Baseline Finish]])&gt;0,Tasks[[#This Row],[Baseline Finish]],Tasks[[#This Row],[_CalcFinish]]))</f>
        <v/>
      </c>
      <c r="R102" s="72"/>
      <c r="S102" s="72"/>
      <c r="T10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0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0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0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0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0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0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0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0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0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0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02" s="74"/>
      <c r="AF10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0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02" s="30"/>
      <c r="AI102" s="74"/>
      <c r="AJ10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0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02" s="83"/>
      <c r="AM102" s="29"/>
      <c r="AN10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02" s="84"/>
      <c r="AP10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02" s="30"/>
      <c r="AR102" s="25" t="str">
        <f aca="false">IF(Tasks[[#This Row],[Task Name]]="","",Tasks[[#This Row],[Forecast Start]])</f>
        <v/>
      </c>
      <c r="AS102" s="25" t="str">
        <f aca="false">IF(Tasks[[#This Row],[Task Name]]="","",Tasks[[#This Row],[Forecast Finish]])</f>
        <v/>
      </c>
      <c r="AT10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02" s="81" t="str">
        <f aca="false">IF(Tasks[[#This Row],[Task Name]]="","",Tasks[[#This Row],[Work]])</f>
        <v/>
      </c>
      <c r="AV102" s="82" t="str">
        <f aca="false">IF(Tasks[[#This Row],[Task Name]]="","",Tasks[[#This Row],[Cost]])</f>
        <v/>
      </c>
      <c r="AW102" s="72"/>
      <c r="AX102" s="72"/>
      <c r="AY102" s="29"/>
      <c r="AZ102" s="85"/>
      <c r="BA102" s="83"/>
      <c r="BB102" s="28" t="str">
        <f aca="false">IF(OR(Tasks[[#This Row],[Task Name]]="",Tasks[[#This Row],[Baseline Duration]]=""),"",Tasks[[#This Row],[BL Source Duration]]-N(Tasks[[#This Row],[Baseline Duration]]))</f>
        <v/>
      </c>
      <c r="BC102" s="81" t="str">
        <f aca="false">IF(OR(Tasks[[#This Row],[Task Name]]="",Tasks[[#This Row],[Baseline Work]]=""),"",Tasks[[#This Row],[Work]]-N(Tasks[[#This Row],[Baseline Work]]))</f>
        <v/>
      </c>
      <c r="BD102" s="82" t="str">
        <f aca="false">IF(OR(Tasks[[#This Row],[Task Name]]="",Tasks[[#This Row],[Baseline Cost]]=""),"",Tasks[[#This Row],[Cost]]-N(Tasks[[#This Row],[Baseline Cost]]))</f>
        <v/>
      </c>
      <c r="BE10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0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0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0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02" s="43" t="str">
        <f aca="false">IF(Tasks[[#This Row],[Task Name]]="","",MAX(1,N(Tasks[[#This Row],[Level]])))</f>
        <v/>
      </c>
      <c r="BJ102" s="43" t="n">
        <f aca="false">ROW()-ROW(Tasks[[#Headers],[ID]])</f>
        <v>97</v>
      </c>
      <c r="BK10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02" s="43" t="n">
        <f aca="false">IFERROR(N(INDEX(Tasks[_Level],Tasks[[#This Row],[_Row]]+1)),0)</f>
        <v>0</v>
      </c>
      <c r="BM102" s="86" t="b">
        <f aca="false">AND(Tasks[[#This Row],[Task Name]]&lt;&gt;"",Tasks[[#This Row],[_NextLevel]]&gt;Tasks[[#This Row],[_Level]])</f>
        <v>0</v>
      </c>
      <c r="BN102" s="43" t="n">
        <f aca="false">IF(Tasks[[#This Row],[_IsSummary]],COUNTIF(Tasks[WBS],Tasks[[#This Row],[WBS]]&amp;".*"),0)</f>
        <v>0</v>
      </c>
      <c r="BO102" s="43" t="n">
        <f aca="false">IF(AND(Tasks[[#This Row],[Task Name]]&lt;&gt;"",NOT(Tasks[[#This Row],[_IsSummary]])),1,0)</f>
        <v>0</v>
      </c>
      <c r="BP102" s="43" t="n">
        <f aca="false">IF(N(Tasks[[#This Row],[Pred1 UID]])=0,0,IFERROR(MATCH(Tasks[[#This Row],[Pred1 UID]],Tasks[UID],0),-1))</f>
        <v>0</v>
      </c>
      <c r="BQ102" s="43" t="n">
        <f aca="false">IF(N(Tasks[[#This Row],[Pred2 UID]])=0,0,IFERROR(MATCH(Tasks[[#This Row],[Pred2 UID]],Tasks[UID],0),-1))</f>
        <v>0</v>
      </c>
      <c r="BR10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0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0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0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02" s="43" t="n">
        <f aca="false">IF(NOT(Tasks[[#This Row],[_IsLeaf]]=1),0,IF(N(Tasks[[#This Row],[Actual Finish]])&gt;0,1,MIN(1,N(Tasks[[#This Row],[% Complete]]))))</f>
        <v>0</v>
      </c>
      <c r="BW10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02" s="43" t="n">
        <f aca="false">IF(Tasks[[#This Row],[_LeafWork]]=0,0,Tasks[[#This Row],[_LeafWork]]*IFERROR(INDEX(res_Rate,MATCH(Tasks[[#This Row],[Resource]],res_Name,0)),0))</f>
        <v>0</v>
      </c>
      <c r="BY10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0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0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0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02" s="43" t="n">
        <f aca="false">IF(NOT(Tasks[[#This Row],[_IsLeaf]]=1),0,MAX(_xlfn.MAXIFS(Tasks[_Row],Tasks[Pred1 UID],Tasks[[#This Row],[UID]]),_xlfn.MAXIFS(Tasks[_Row],Tasks[Pred2 UID],Tasks[[#This Row],[UID]])))</f>
        <v>0</v>
      </c>
      <c r="CD10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02" s="87" t="str">
        <f aca="false">IF(NOT(Tasks[[#This Row],[_IsLeaf]]=1),"",MIN(ProjectFinish,IF(N(Tasks[[#This Row],[Deadline]])&gt;0,Tasks[[#This Row],[Deadline]],2958465),Tasks[[#This Row],[_SuccessorFinishLimit]]))</f>
        <v/>
      </c>
      <c r="CF10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0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02" s="86" t="b">
        <f aca="false">AND(Tasks[[#This Row],[_IsLeaf]]=1,Tasks[[#This Row],[_LeafProgress]]&lt;1,N(Tasks[[#This Row],[_LeafTotalSlack]])&lt;=CriticalSlackDays)</f>
        <v>0</v>
      </c>
      <c r="CI10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0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0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0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0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0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0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0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02" s="43" t="n">
        <f aca="false">IF(AND(Tasks[[#This Row],[_IsLeaf]]=1,Tasks[[#This Row],[_LeafWork]]&gt;0),NETWORKDAYS.INTL(ProjectStart,Tasks[[#This Row],[_LeafFcstStart]],WorkWeek,Holidays),0)</f>
        <v>0</v>
      </c>
      <c r="CR10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02" s="43" t="n">
        <f aca="false">IF(AND(Tasks[[#This Row],[_IsLeaf]]=1,Tasks[[#This Row],[_LeafWork]]&gt;0),Tasks[[#This Row],[_LeafWork]]/(Tasks[[#This Row],[_FinishWorkday]]-Tasks[[#This Row],[_StartWorkday]]+1),0)</f>
        <v>0</v>
      </c>
      <c r="CT102" s="43" t="n">
        <f aca="false">Tasks[[#This Row],[_WorkPerWorkday]]*(Tasks[[#This Row],[_StartWorkday]]-1)</f>
        <v>-0</v>
      </c>
      <c r="CU102" s="43" t="n">
        <f aca="false">IF(Tasks[[#This Row],[_IsLeaf]]=1,MAX(N(Tasks[[#This Row],[Duration]]),0.1),0)</f>
        <v>0</v>
      </c>
      <c r="CV102" s="43" t="n">
        <f aca="false">Tasks[[#This Row],[_WeightDur]]*Tasks[[#This Row],[_LeafProgress]]</f>
        <v>0</v>
      </c>
      <c r="CW10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0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0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0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0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02" s="43" t="str">
        <f aca="false">IF(AND(Tasks[[#This Row],[_IsLeaf]]=1,N(Tasks[[#This Row],[Duration]])=0,Tasks[[#This Row],[_LeafProgress]]&lt;1),Tasks[[#This Row],[_LeafFcstFinish]]+Tasks[[#This Row],[_Row]]/100000,"")</f>
        <v/>
      </c>
      <c r="DC10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02" s="43" t="n">
        <f aca="false">IF(NOT(Tasks[[#This Row],[_IsLeaf]]=1),0,IF(Tasks[[#This Row],[Baseline Cost]]="",Tasks[[#This Row],[_LeafCost]],N(Tasks[[#This Row],[Baseline Cost]])))</f>
        <v>0</v>
      </c>
      <c r="DE102" s="43" t="n">
        <f aca="false">Tasks[[#This Row],[_LeafBudget]]*Tasks[[#This Row],[_PlannedPct]]</f>
        <v>0</v>
      </c>
      <c r="DF102" s="43" t="n">
        <f aca="false">Tasks[[#This Row],[_LeafBudget]]*Tasks[[#This Row],[_LeafProgress]]</f>
        <v>0</v>
      </c>
      <c r="DG102" s="43" t="n">
        <f aca="false">IF(NOT(Tasks[[#This Row],[_IsLeaf]]=1),0,IF(Tasks[[#This Row],[Actual Cost]]="",Tasks[[#This Row],[_LeafCost]]*Tasks[[#This Row],[_LeafProgress]],N(Tasks[[#This Row],[Actual Cost]])))</f>
        <v>0</v>
      </c>
      <c r="DH102" s="43" t="str">
        <f aca="false">IF(Tasks[[#This Row],[Task Name]]="","",LEFT(Tasks[[#This Row],[WBS]],FIND(".",Tasks[[#This Row],[WBS]]&amp;".")-1))</f>
        <v/>
      </c>
      <c r="DI102" s="43" t="str">
        <f aca="false">IF(AND(Tasks[[#This Row],[Task Name]]&lt;&gt;"",Tasks[[#This Row],[_Level]]=1),Tasks[[#This Row],[_Row]],"")</f>
        <v/>
      </c>
      <c r="DJ102" s="43" t="str">
        <f aca="false">IF(AND(Tasks[[#This Row],[_IsLeaf]]=1,N(Tasks[[#This Row],[Duration]])=0),Tasks[[#This Row],[Planned Finish]]+Tasks[[#This Row],[_Row]]/100000,"")</f>
        <v/>
      </c>
      <c r="DK10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0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0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02" s="43" t="str">
        <f aca="false">IF(Tasks[[#This Row],[_LeafCritical]],Tasks[[#This Row],[_LeafFcstStart]]+Tasks[[#This Row],[_Row]]/100000,"")</f>
        <v/>
      </c>
      <c r="DO102" s="43" t="n">
        <f aca="false">Tasks[[#This Row],[_LeafWork]]*Tasks[[#This Row],[_LeafProgress]]</f>
        <v>0</v>
      </c>
      <c r="DP10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02" s="43" t="n">
        <f aca="false">IF(Tasks[[#This Row],[_IsLeaf]]=1,N(Tasks[[#This Row],[Story Points]]),0)</f>
        <v>0</v>
      </c>
      <c r="DR102" s="43" t="str">
        <f aca="false">IF(AND(Tasks[[#This Row],[_IsLeaf]]=1,CurrentSprint&lt;&gt;"",Tasks[[#This Row],[Sprint]]=CurrentSprint),Tasks[[#This Row],[_Row]],"")</f>
        <v/>
      </c>
    </row>
    <row r="103" customFormat="false" ht="15" hidden="false" customHeight="false" outlineLevel="0" collapsed="false">
      <c r="A103" s="28" t="str">
        <f aca="false">IF(Tasks[[#This Row],[Task Name]]="","",COUNTA(Tasks[[#Headers],[Task Name]]:Tasks[[#This Row],[Task Name]])-1)</f>
        <v/>
      </c>
      <c r="B103" s="29" t="n">
        <v>98</v>
      </c>
      <c r="C10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03" s="29"/>
      <c r="E103" s="30"/>
      <c r="F103" s="29"/>
      <c r="G103" s="29"/>
      <c r="H103" s="29"/>
      <c r="I103" s="29"/>
      <c r="J103" s="29"/>
      <c r="K103" s="29"/>
      <c r="L103" s="29"/>
      <c r="M103" s="29"/>
      <c r="N103" s="72"/>
      <c r="O103" s="72"/>
      <c r="P103" s="25" t="str">
        <f aca="false">IF(Tasks[[#This Row],[Task Name]]="","",IF(N(Tasks[[#This Row],[Baseline Start]])&gt;0,Tasks[[#This Row],[Baseline Start]],Tasks[[#This Row],[_CalcStart]]))</f>
        <v/>
      </c>
      <c r="Q103" s="25" t="str">
        <f aca="false">IF(Tasks[[#This Row],[Task Name]]="","",IF(N(Tasks[[#This Row],[Baseline Finish]])&gt;0,Tasks[[#This Row],[Baseline Finish]],Tasks[[#This Row],[_CalcFinish]]))</f>
        <v/>
      </c>
      <c r="R103" s="72"/>
      <c r="S103" s="72"/>
      <c r="T10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0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0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0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0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0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0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0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0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0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0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03" s="74"/>
      <c r="AF10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0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03" s="30"/>
      <c r="AI103" s="74"/>
      <c r="AJ10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0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03" s="83"/>
      <c r="AM103" s="29"/>
      <c r="AN10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03" s="84"/>
      <c r="AP10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03" s="30"/>
      <c r="AR103" s="25" t="str">
        <f aca="false">IF(Tasks[[#This Row],[Task Name]]="","",Tasks[[#This Row],[Forecast Start]])</f>
        <v/>
      </c>
      <c r="AS103" s="25" t="str">
        <f aca="false">IF(Tasks[[#This Row],[Task Name]]="","",Tasks[[#This Row],[Forecast Finish]])</f>
        <v/>
      </c>
      <c r="AT10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03" s="81" t="str">
        <f aca="false">IF(Tasks[[#This Row],[Task Name]]="","",Tasks[[#This Row],[Work]])</f>
        <v/>
      </c>
      <c r="AV103" s="82" t="str">
        <f aca="false">IF(Tasks[[#This Row],[Task Name]]="","",Tasks[[#This Row],[Cost]])</f>
        <v/>
      </c>
      <c r="AW103" s="72"/>
      <c r="AX103" s="72"/>
      <c r="AY103" s="29"/>
      <c r="AZ103" s="85"/>
      <c r="BA103" s="83"/>
      <c r="BB103" s="28" t="str">
        <f aca="false">IF(OR(Tasks[[#This Row],[Task Name]]="",Tasks[[#This Row],[Baseline Duration]]=""),"",Tasks[[#This Row],[BL Source Duration]]-N(Tasks[[#This Row],[Baseline Duration]]))</f>
        <v/>
      </c>
      <c r="BC103" s="81" t="str">
        <f aca="false">IF(OR(Tasks[[#This Row],[Task Name]]="",Tasks[[#This Row],[Baseline Work]]=""),"",Tasks[[#This Row],[Work]]-N(Tasks[[#This Row],[Baseline Work]]))</f>
        <v/>
      </c>
      <c r="BD103" s="82" t="str">
        <f aca="false">IF(OR(Tasks[[#This Row],[Task Name]]="",Tasks[[#This Row],[Baseline Cost]]=""),"",Tasks[[#This Row],[Cost]]-N(Tasks[[#This Row],[Baseline Cost]]))</f>
        <v/>
      </c>
      <c r="BE10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0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0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0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03" s="43" t="str">
        <f aca="false">IF(Tasks[[#This Row],[Task Name]]="","",MAX(1,N(Tasks[[#This Row],[Level]])))</f>
        <v/>
      </c>
      <c r="BJ103" s="43" t="n">
        <f aca="false">ROW()-ROW(Tasks[[#Headers],[ID]])</f>
        <v>98</v>
      </c>
      <c r="BK10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03" s="43" t="n">
        <f aca="false">IFERROR(N(INDEX(Tasks[_Level],Tasks[[#This Row],[_Row]]+1)),0)</f>
        <v>0</v>
      </c>
      <c r="BM103" s="86" t="b">
        <f aca="false">AND(Tasks[[#This Row],[Task Name]]&lt;&gt;"",Tasks[[#This Row],[_NextLevel]]&gt;Tasks[[#This Row],[_Level]])</f>
        <v>0</v>
      </c>
      <c r="BN103" s="43" t="n">
        <f aca="false">IF(Tasks[[#This Row],[_IsSummary]],COUNTIF(Tasks[WBS],Tasks[[#This Row],[WBS]]&amp;".*"),0)</f>
        <v>0</v>
      </c>
      <c r="BO103" s="43" t="n">
        <f aca="false">IF(AND(Tasks[[#This Row],[Task Name]]&lt;&gt;"",NOT(Tasks[[#This Row],[_IsSummary]])),1,0)</f>
        <v>0</v>
      </c>
      <c r="BP103" s="43" t="n">
        <f aca="false">IF(N(Tasks[[#This Row],[Pred1 UID]])=0,0,IFERROR(MATCH(Tasks[[#This Row],[Pred1 UID]],Tasks[UID],0),-1))</f>
        <v>0</v>
      </c>
      <c r="BQ103" s="43" t="n">
        <f aca="false">IF(N(Tasks[[#This Row],[Pred2 UID]])=0,0,IFERROR(MATCH(Tasks[[#This Row],[Pred2 UID]],Tasks[UID],0),-1))</f>
        <v>0</v>
      </c>
      <c r="BR10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0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0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0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03" s="43" t="n">
        <f aca="false">IF(NOT(Tasks[[#This Row],[_IsLeaf]]=1),0,IF(N(Tasks[[#This Row],[Actual Finish]])&gt;0,1,MIN(1,N(Tasks[[#This Row],[% Complete]]))))</f>
        <v>0</v>
      </c>
      <c r="BW10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03" s="43" t="n">
        <f aca="false">IF(Tasks[[#This Row],[_LeafWork]]=0,0,Tasks[[#This Row],[_LeafWork]]*IFERROR(INDEX(res_Rate,MATCH(Tasks[[#This Row],[Resource]],res_Name,0)),0))</f>
        <v>0</v>
      </c>
      <c r="BY10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0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0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0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03" s="43" t="n">
        <f aca="false">IF(NOT(Tasks[[#This Row],[_IsLeaf]]=1),0,MAX(_xlfn.MAXIFS(Tasks[_Row],Tasks[Pred1 UID],Tasks[[#This Row],[UID]]),_xlfn.MAXIFS(Tasks[_Row],Tasks[Pred2 UID],Tasks[[#This Row],[UID]])))</f>
        <v>0</v>
      </c>
      <c r="CD10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03" s="87" t="str">
        <f aca="false">IF(NOT(Tasks[[#This Row],[_IsLeaf]]=1),"",MIN(ProjectFinish,IF(N(Tasks[[#This Row],[Deadline]])&gt;0,Tasks[[#This Row],[Deadline]],2958465),Tasks[[#This Row],[_SuccessorFinishLimit]]))</f>
        <v/>
      </c>
      <c r="CF10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0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03" s="86" t="b">
        <f aca="false">AND(Tasks[[#This Row],[_IsLeaf]]=1,Tasks[[#This Row],[_LeafProgress]]&lt;1,N(Tasks[[#This Row],[_LeafTotalSlack]])&lt;=CriticalSlackDays)</f>
        <v>0</v>
      </c>
      <c r="CI10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0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0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0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0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0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0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0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03" s="43" t="n">
        <f aca="false">IF(AND(Tasks[[#This Row],[_IsLeaf]]=1,Tasks[[#This Row],[_LeafWork]]&gt;0),NETWORKDAYS.INTL(ProjectStart,Tasks[[#This Row],[_LeafFcstStart]],WorkWeek,Holidays),0)</f>
        <v>0</v>
      </c>
      <c r="CR10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03" s="43" t="n">
        <f aca="false">IF(AND(Tasks[[#This Row],[_IsLeaf]]=1,Tasks[[#This Row],[_LeafWork]]&gt;0),Tasks[[#This Row],[_LeafWork]]/(Tasks[[#This Row],[_FinishWorkday]]-Tasks[[#This Row],[_StartWorkday]]+1),0)</f>
        <v>0</v>
      </c>
      <c r="CT103" s="43" t="n">
        <f aca="false">Tasks[[#This Row],[_WorkPerWorkday]]*(Tasks[[#This Row],[_StartWorkday]]-1)</f>
        <v>-0</v>
      </c>
      <c r="CU103" s="43" t="n">
        <f aca="false">IF(Tasks[[#This Row],[_IsLeaf]]=1,MAX(N(Tasks[[#This Row],[Duration]]),0.1),0)</f>
        <v>0</v>
      </c>
      <c r="CV103" s="43" t="n">
        <f aca="false">Tasks[[#This Row],[_WeightDur]]*Tasks[[#This Row],[_LeafProgress]]</f>
        <v>0</v>
      </c>
      <c r="CW10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0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0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0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0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03" s="43" t="str">
        <f aca="false">IF(AND(Tasks[[#This Row],[_IsLeaf]]=1,N(Tasks[[#This Row],[Duration]])=0,Tasks[[#This Row],[_LeafProgress]]&lt;1),Tasks[[#This Row],[_LeafFcstFinish]]+Tasks[[#This Row],[_Row]]/100000,"")</f>
        <v/>
      </c>
      <c r="DC10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03" s="43" t="n">
        <f aca="false">IF(NOT(Tasks[[#This Row],[_IsLeaf]]=1),0,IF(Tasks[[#This Row],[Baseline Cost]]="",Tasks[[#This Row],[_LeafCost]],N(Tasks[[#This Row],[Baseline Cost]])))</f>
        <v>0</v>
      </c>
      <c r="DE103" s="43" t="n">
        <f aca="false">Tasks[[#This Row],[_LeafBudget]]*Tasks[[#This Row],[_PlannedPct]]</f>
        <v>0</v>
      </c>
      <c r="DF103" s="43" t="n">
        <f aca="false">Tasks[[#This Row],[_LeafBudget]]*Tasks[[#This Row],[_LeafProgress]]</f>
        <v>0</v>
      </c>
      <c r="DG103" s="43" t="n">
        <f aca="false">IF(NOT(Tasks[[#This Row],[_IsLeaf]]=1),0,IF(Tasks[[#This Row],[Actual Cost]]="",Tasks[[#This Row],[_LeafCost]]*Tasks[[#This Row],[_LeafProgress]],N(Tasks[[#This Row],[Actual Cost]])))</f>
        <v>0</v>
      </c>
      <c r="DH103" s="43" t="str">
        <f aca="false">IF(Tasks[[#This Row],[Task Name]]="","",LEFT(Tasks[[#This Row],[WBS]],FIND(".",Tasks[[#This Row],[WBS]]&amp;".")-1))</f>
        <v/>
      </c>
      <c r="DI103" s="43" t="str">
        <f aca="false">IF(AND(Tasks[[#This Row],[Task Name]]&lt;&gt;"",Tasks[[#This Row],[_Level]]=1),Tasks[[#This Row],[_Row]],"")</f>
        <v/>
      </c>
      <c r="DJ103" s="43" t="str">
        <f aca="false">IF(AND(Tasks[[#This Row],[_IsLeaf]]=1,N(Tasks[[#This Row],[Duration]])=0),Tasks[[#This Row],[Planned Finish]]+Tasks[[#This Row],[_Row]]/100000,"")</f>
        <v/>
      </c>
      <c r="DK10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0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0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03" s="43" t="str">
        <f aca="false">IF(Tasks[[#This Row],[_LeafCritical]],Tasks[[#This Row],[_LeafFcstStart]]+Tasks[[#This Row],[_Row]]/100000,"")</f>
        <v/>
      </c>
      <c r="DO103" s="43" t="n">
        <f aca="false">Tasks[[#This Row],[_LeafWork]]*Tasks[[#This Row],[_LeafProgress]]</f>
        <v>0</v>
      </c>
      <c r="DP10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03" s="43" t="n">
        <f aca="false">IF(Tasks[[#This Row],[_IsLeaf]]=1,N(Tasks[[#This Row],[Story Points]]),0)</f>
        <v>0</v>
      </c>
      <c r="DR103" s="43" t="str">
        <f aca="false">IF(AND(Tasks[[#This Row],[_IsLeaf]]=1,CurrentSprint&lt;&gt;"",Tasks[[#This Row],[Sprint]]=CurrentSprint),Tasks[[#This Row],[_Row]],"")</f>
        <v/>
      </c>
    </row>
    <row r="104" customFormat="false" ht="15" hidden="false" customHeight="false" outlineLevel="0" collapsed="false">
      <c r="A104" s="28" t="str">
        <f aca="false">IF(Tasks[[#This Row],[Task Name]]="","",COUNTA(Tasks[[#Headers],[Task Name]]:Tasks[[#This Row],[Task Name]])-1)</f>
        <v/>
      </c>
      <c r="B104" s="29" t="n">
        <v>99</v>
      </c>
      <c r="C10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04" s="29"/>
      <c r="E104" s="30"/>
      <c r="F104" s="29"/>
      <c r="G104" s="29"/>
      <c r="H104" s="29"/>
      <c r="I104" s="29"/>
      <c r="J104" s="29"/>
      <c r="K104" s="29"/>
      <c r="L104" s="29"/>
      <c r="M104" s="29"/>
      <c r="N104" s="72"/>
      <c r="O104" s="72"/>
      <c r="P104" s="25" t="str">
        <f aca="false">IF(Tasks[[#This Row],[Task Name]]="","",IF(N(Tasks[[#This Row],[Baseline Start]])&gt;0,Tasks[[#This Row],[Baseline Start]],Tasks[[#This Row],[_CalcStart]]))</f>
        <v/>
      </c>
      <c r="Q104" s="25" t="str">
        <f aca="false">IF(Tasks[[#This Row],[Task Name]]="","",IF(N(Tasks[[#This Row],[Baseline Finish]])&gt;0,Tasks[[#This Row],[Baseline Finish]],Tasks[[#This Row],[_CalcFinish]]))</f>
        <v/>
      </c>
      <c r="R104" s="72"/>
      <c r="S104" s="72"/>
      <c r="T10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0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0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0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0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0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0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0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0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0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0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04" s="74"/>
      <c r="AF10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0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04" s="30"/>
      <c r="AI104" s="74"/>
      <c r="AJ10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0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04" s="83"/>
      <c r="AM104" s="29"/>
      <c r="AN10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04" s="84"/>
      <c r="AP10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04" s="30"/>
      <c r="AR104" s="25" t="str">
        <f aca="false">IF(Tasks[[#This Row],[Task Name]]="","",Tasks[[#This Row],[Forecast Start]])</f>
        <v/>
      </c>
      <c r="AS104" s="25" t="str">
        <f aca="false">IF(Tasks[[#This Row],[Task Name]]="","",Tasks[[#This Row],[Forecast Finish]])</f>
        <v/>
      </c>
      <c r="AT10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04" s="81" t="str">
        <f aca="false">IF(Tasks[[#This Row],[Task Name]]="","",Tasks[[#This Row],[Work]])</f>
        <v/>
      </c>
      <c r="AV104" s="82" t="str">
        <f aca="false">IF(Tasks[[#This Row],[Task Name]]="","",Tasks[[#This Row],[Cost]])</f>
        <v/>
      </c>
      <c r="AW104" s="72"/>
      <c r="AX104" s="72"/>
      <c r="AY104" s="29"/>
      <c r="AZ104" s="85"/>
      <c r="BA104" s="83"/>
      <c r="BB104" s="28" t="str">
        <f aca="false">IF(OR(Tasks[[#This Row],[Task Name]]="",Tasks[[#This Row],[Baseline Duration]]=""),"",Tasks[[#This Row],[BL Source Duration]]-N(Tasks[[#This Row],[Baseline Duration]]))</f>
        <v/>
      </c>
      <c r="BC104" s="81" t="str">
        <f aca="false">IF(OR(Tasks[[#This Row],[Task Name]]="",Tasks[[#This Row],[Baseline Work]]=""),"",Tasks[[#This Row],[Work]]-N(Tasks[[#This Row],[Baseline Work]]))</f>
        <v/>
      </c>
      <c r="BD104" s="82" t="str">
        <f aca="false">IF(OR(Tasks[[#This Row],[Task Name]]="",Tasks[[#This Row],[Baseline Cost]]=""),"",Tasks[[#This Row],[Cost]]-N(Tasks[[#This Row],[Baseline Cost]]))</f>
        <v/>
      </c>
      <c r="BE10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0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0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0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04" s="43" t="str">
        <f aca="false">IF(Tasks[[#This Row],[Task Name]]="","",MAX(1,N(Tasks[[#This Row],[Level]])))</f>
        <v/>
      </c>
      <c r="BJ104" s="43" t="n">
        <f aca="false">ROW()-ROW(Tasks[[#Headers],[ID]])</f>
        <v>99</v>
      </c>
      <c r="BK10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04" s="43" t="n">
        <f aca="false">IFERROR(N(INDEX(Tasks[_Level],Tasks[[#This Row],[_Row]]+1)),0)</f>
        <v>0</v>
      </c>
      <c r="BM104" s="86" t="b">
        <f aca="false">AND(Tasks[[#This Row],[Task Name]]&lt;&gt;"",Tasks[[#This Row],[_NextLevel]]&gt;Tasks[[#This Row],[_Level]])</f>
        <v>0</v>
      </c>
      <c r="BN104" s="43" t="n">
        <f aca="false">IF(Tasks[[#This Row],[_IsSummary]],COUNTIF(Tasks[WBS],Tasks[[#This Row],[WBS]]&amp;".*"),0)</f>
        <v>0</v>
      </c>
      <c r="BO104" s="43" t="n">
        <f aca="false">IF(AND(Tasks[[#This Row],[Task Name]]&lt;&gt;"",NOT(Tasks[[#This Row],[_IsSummary]])),1,0)</f>
        <v>0</v>
      </c>
      <c r="BP104" s="43" t="n">
        <f aca="false">IF(N(Tasks[[#This Row],[Pred1 UID]])=0,0,IFERROR(MATCH(Tasks[[#This Row],[Pred1 UID]],Tasks[UID],0),-1))</f>
        <v>0</v>
      </c>
      <c r="BQ104" s="43" t="n">
        <f aca="false">IF(N(Tasks[[#This Row],[Pred2 UID]])=0,0,IFERROR(MATCH(Tasks[[#This Row],[Pred2 UID]],Tasks[UID],0),-1))</f>
        <v>0</v>
      </c>
      <c r="BR10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0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0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0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04" s="43" t="n">
        <f aca="false">IF(NOT(Tasks[[#This Row],[_IsLeaf]]=1),0,IF(N(Tasks[[#This Row],[Actual Finish]])&gt;0,1,MIN(1,N(Tasks[[#This Row],[% Complete]]))))</f>
        <v>0</v>
      </c>
      <c r="BW10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04" s="43" t="n">
        <f aca="false">IF(Tasks[[#This Row],[_LeafWork]]=0,0,Tasks[[#This Row],[_LeafWork]]*IFERROR(INDEX(res_Rate,MATCH(Tasks[[#This Row],[Resource]],res_Name,0)),0))</f>
        <v>0</v>
      </c>
      <c r="BY10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0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0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0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04" s="43" t="n">
        <f aca="false">IF(NOT(Tasks[[#This Row],[_IsLeaf]]=1),0,MAX(_xlfn.MAXIFS(Tasks[_Row],Tasks[Pred1 UID],Tasks[[#This Row],[UID]]),_xlfn.MAXIFS(Tasks[_Row],Tasks[Pred2 UID],Tasks[[#This Row],[UID]])))</f>
        <v>0</v>
      </c>
      <c r="CD10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04" s="87" t="str">
        <f aca="false">IF(NOT(Tasks[[#This Row],[_IsLeaf]]=1),"",MIN(ProjectFinish,IF(N(Tasks[[#This Row],[Deadline]])&gt;0,Tasks[[#This Row],[Deadline]],2958465),Tasks[[#This Row],[_SuccessorFinishLimit]]))</f>
        <v/>
      </c>
      <c r="CF10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0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04" s="86" t="b">
        <f aca="false">AND(Tasks[[#This Row],[_IsLeaf]]=1,Tasks[[#This Row],[_LeafProgress]]&lt;1,N(Tasks[[#This Row],[_LeafTotalSlack]])&lt;=CriticalSlackDays)</f>
        <v>0</v>
      </c>
      <c r="CI10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0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0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0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0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0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0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0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04" s="43" t="n">
        <f aca="false">IF(AND(Tasks[[#This Row],[_IsLeaf]]=1,Tasks[[#This Row],[_LeafWork]]&gt;0),NETWORKDAYS.INTL(ProjectStart,Tasks[[#This Row],[_LeafFcstStart]],WorkWeek,Holidays),0)</f>
        <v>0</v>
      </c>
      <c r="CR10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04" s="43" t="n">
        <f aca="false">IF(AND(Tasks[[#This Row],[_IsLeaf]]=1,Tasks[[#This Row],[_LeafWork]]&gt;0),Tasks[[#This Row],[_LeafWork]]/(Tasks[[#This Row],[_FinishWorkday]]-Tasks[[#This Row],[_StartWorkday]]+1),0)</f>
        <v>0</v>
      </c>
      <c r="CT104" s="43" t="n">
        <f aca="false">Tasks[[#This Row],[_WorkPerWorkday]]*(Tasks[[#This Row],[_StartWorkday]]-1)</f>
        <v>-0</v>
      </c>
      <c r="CU104" s="43" t="n">
        <f aca="false">IF(Tasks[[#This Row],[_IsLeaf]]=1,MAX(N(Tasks[[#This Row],[Duration]]),0.1),0)</f>
        <v>0</v>
      </c>
      <c r="CV104" s="43" t="n">
        <f aca="false">Tasks[[#This Row],[_WeightDur]]*Tasks[[#This Row],[_LeafProgress]]</f>
        <v>0</v>
      </c>
      <c r="CW10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0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0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0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0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04" s="43" t="str">
        <f aca="false">IF(AND(Tasks[[#This Row],[_IsLeaf]]=1,N(Tasks[[#This Row],[Duration]])=0,Tasks[[#This Row],[_LeafProgress]]&lt;1),Tasks[[#This Row],[_LeafFcstFinish]]+Tasks[[#This Row],[_Row]]/100000,"")</f>
        <v/>
      </c>
      <c r="DC10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04" s="43" t="n">
        <f aca="false">IF(NOT(Tasks[[#This Row],[_IsLeaf]]=1),0,IF(Tasks[[#This Row],[Baseline Cost]]="",Tasks[[#This Row],[_LeafCost]],N(Tasks[[#This Row],[Baseline Cost]])))</f>
        <v>0</v>
      </c>
      <c r="DE104" s="43" t="n">
        <f aca="false">Tasks[[#This Row],[_LeafBudget]]*Tasks[[#This Row],[_PlannedPct]]</f>
        <v>0</v>
      </c>
      <c r="DF104" s="43" t="n">
        <f aca="false">Tasks[[#This Row],[_LeafBudget]]*Tasks[[#This Row],[_LeafProgress]]</f>
        <v>0</v>
      </c>
      <c r="DG104" s="43" t="n">
        <f aca="false">IF(NOT(Tasks[[#This Row],[_IsLeaf]]=1),0,IF(Tasks[[#This Row],[Actual Cost]]="",Tasks[[#This Row],[_LeafCost]]*Tasks[[#This Row],[_LeafProgress]],N(Tasks[[#This Row],[Actual Cost]])))</f>
        <v>0</v>
      </c>
      <c r="DH104" s="43" t="str">
        <f aca="false">IF(Tasks[[#This Row],[Task Name]]="","",LEFT(Tasks[[#This Row],[WBS]],FIND(".",Tasks[[#This Row],[WBS]]&amp;".")-1))</f>
        <v/>
      </c>
      <c r="DI104" s="43" t="str">
        <f aca="false">IF(AND(Tasks[[#This Row],[Task Name]]&lt;&gt;"",Tasks[[#This Row],[_Level]]=1),Tasks[[#This Row],[_Row]],"")</f>
        <v/>
      </c>
      <c r="DJ104" s="43" t="str">
        <f aca="false">IF(AND(Tasks[[#This Row],[_IsLeaf]]=1,N(Tasks[[#This Row],[Duration]])=0),Tasks[[#This Row],[Planned Finish]]+Tasks[[#This Row],[_Row]]/100000,"")</f>
        <v/>
      </c>
      <c r="DK10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0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0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04" s="43" t="str">
        <f aca="false">IF(Tasks[[#This Row],[_LeafCritical]],Tasks[[#This Row],[_LeafFcstStart]]+Tasks[[#This Row],[_Row]]/100000,"")</f>
        <v/>
      </c>
      <c r="DO104" s="43" t="n">
        <f aca="false">Tasks[[#This Row],[_LeafWork]]*Tasks[[#This Row],[_LeafProgress]]</f>
        <v>0</v>
      </c>
      <c r="DP10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04" s="43" t="n">
        <f aca="false">IF(Tasks[[#This Row],[_IsLeaf]]=1,N(Tasks[[#This Row],[Story Points]]),0)</f>
        <v>0</v>
      </c>
      <c r="DR104" s="43" t="str">
        <f aca="false">IF(AND(Tasks[[#This Row],[_IsLeaf]]=1,CurrentSprint&lt;&gt;"",Tasks[[#This Row],[Sprint]]=CurrentSprint),Tasks[[#This Row],[_Row]],"")</f>
        <v/>
      </c>
    </row>
    <row r="105" customFormat="false" ht="15" hidden="false" customHeight="false" outlineLevel="0" collapsed="false">
      <c r="A105" s="28" t="str">
        <f aca="false">IF(Tasks[[#This Row],[Task Name]]="","",COUNTA(Tasks[[#Headers],[Task Name]]:Tasks[[#This Row],[Task Name]])-1)</f>
        <v/>
      </c>
      <c r="B105" s="29" t="n">
        <v>100</v>
      </c>
      <c r="C10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05" s="29"/>
      <c r="E105" s="30"/>
      <c r="F105" s="29"/>
      <c r="G105" s="29"/>
      <c r="H105" s="29"/>
      <c r="I105" s="29"/>
      <c r="J105" s="29"/>
      <c r="K105" s="29"/>
      <c r="L105" s="29"/>
      <c r="M105" s="29"/>
      <c r="N105" s="72"/>
      <c r="O105" s="72"/>
      <c r="P105" s="25" t="str">
        <f aca="false">IF(Tasks[[#This Row],[Task Name]]="","",IF(N(Tasks[[#This Row],[Baseline Start]])&gt;0,Tasks[[#This Row],[Baseline Start]],Tasks[[#This Row],[_CalcStart]]))</f>
        <v/>
      </c>
      <c r="Q105" s="25" t="str">
        <f aca="false">IF(Tasks[[#This Row],[Task Name]]="","",IF(N(Tasks[[#This Row],[Baseline Finish]])&gt;0,Tasks[[#This Row],[Baseline Finish]],Tasks[[#This Row],[_CalcFinish]]))</f>
        <v/>
      </c>
      <c r="R105" s="72"/>
      <c r="S105" s="72"/>
      <c r="T10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0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0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0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0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0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0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0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0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0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0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05" s="74"/>
      <c r="AF10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0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05" s="30"/>
      <c r="AI105" s="74"/>
      <c r="AJ10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0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05" s="83"/>
      <c r="AM105" s="29"/>
      <c r="AN10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05" s="84"/>
      <c r="AP10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05" s="30"/>
      <c r="AR105" s="25" t="str">
        <f aca="false">IF(Tasks[[#This Row],[Task Name]]="","",Tasks[[#This Row],[Forecast Start]])</f>
        <v/>
      </c>
      <c r="AS105" s="25" t="str">
        <f aca="false">IF(Tasks[[#This Row],[Task Name]]="","",Tasks[[#This Row],[Forecast Finish]])</f>
        <v/>
      </c>
      <c r="AT10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05" s="81" t="str">
        <f aca="false">IF(Tasks[[#This Row],[Task Name]]="","",Tasks[[#This Row],[Work]])</f>
        <v/>
      </c>
      <c r="AV105" s="82" t="str">
        <f aca="false">IF(Tasks[[#This Row],[Task Name]]="","",Tasks[[#This Row],[Cost]])</f>
        <v/>
      </c>
      <c r="AW105" s="72"/>
      <c r="AX105" s="72"/>
      <c r="AY105" s="29"/>
      <c r="AZ105" s="85"/>
      <c r="BA105" s="83"/>
      <c r="BB105" s="28" t="str">
        <f aca="false">IF(OR(Tasks[[#This Row],[Task Name]]="",Tasks[[#This Row],[Baseline Duration]]=""),"",Tasks[[#This Row],[BL Source Duration]]-N(Tasks[[#This Row],[Baseline Duration]]))</f>
        <v/>
      </c>
      <c r="BC105" s="81" t="str">
        <f aca="false">IF(OR(Tasks[[#This Row],[Task Name]]="",Tasks[[#This Row],[Baseline Work]]=""),"",Tasks[[#This Row],[Work]]-N(Tasks[[#This Row],[Baseline Work]]))</f>
        <v/>
      </c>
      <c r="BD105" s="82" t="str">
        <f aca="false">IF(OR(Tasks[[#This Row],[Task Name]]="",Tasks[[#This Row],[Baseline Cost]]=""),"",Tasks[[#This Row],[Cost]]-N(Tasks[[#This Row],[Baseline Cost]]))</f>
        <v/>
      </c>
      <c r="BE10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0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0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0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05" s="43" t="str">
        <f aca="false">IF(Tasks[[#This Row],[Task Name]]="","",MAX(1,N(Tasks[[#This Row],[Level]])))</f>
        <v/>
      </c>
      <c r="BJ105" s="43" t="n">
        <f aca="false">ROW()-ROW(Tasks[[#Headers],[ID]])</f>
        <v>100</v>
      </c>
      <c r="BK10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05" s="43" t="n">
        <f aca="false">IFERROR(N(INDEX(Tasks[_Level],Tasks[[#This Row],[_Row]]+1)),0)</f>
        <v>0</v>
      </c>
      <c r="BM105" s="86" t="b">
        <f aca="false">AND(Tasks[[#This Row],[Task Name]]&lt;&gt;"",Tasks[[#This Row],[_NextLevel]]&gt;Tasks[[#This Row],[_Level]])</f>
        <v>0</v>
      </c>
      <c r="BN105" s="43" t="n">
        <f aca="false">IF(Tasks[[#This Row],[_IsSummary]],COUNTIF(Tasks[WBS],Tasks[[#This Row],[WBS]]&amp;".*"),0)</f>
        <v>0</v>
      </c>
      <c r="BO105" s="43" t="n">
        <f aca="false">IF(AND(Tasks[[#This Row],[Task Name]]&lt;&gt;"",NOT(Tasks[[#This Row],[_IsSummary]])),1,0)</f>
        <v>0</v>
      </c>
      <c r="BP105" s="43" t="n">
        <f aca="false">IF(N(Tasks[[#This Row],[Pred1 UID]])=0,0,IFERROR(MATCH(Tasks[[#This Row],[Pred1 UID]],Tasks[UID],0),-1))</f>
        <v>0</v>
      </c>
      <c r="BQ105" s="43" t="n">
        <f aca="false">IF(N(Tasks[[#This Row],[Pred2 UID]])=0,0,IFERROR(MATCH(Tasks[[#This Row],[Pred2 UID]],Tasks[UID],0),-1))</f>
        <v>0</v>
      </c>
      <c r="BR10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0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0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0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05" s="43" t="n">
        <f aca="false">IF(NOT(Tasks[[#This Row],[_IsLeaf]]=1),0,IF(N(Tasks[[#This Row],[Actual Finish]])&gt;0,1,MIN(1,N(Tasks[[#This Row],[% Complete]]))))</f>
        <v>0</v>
      </c>
      <c r="BW10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05" s="43" t="n">
        <f aca="false">IF(Tasks[[#This Row],[_LeafWork]]=0,0,Tasks[[#This Row],[_LeafWork]]*IFERROR(INDEX(res_Rate,MATCH(Tasks[[#This Row],[Resource]],res_Name,0)),0))</f>
        <v>0</v>
      </c>
      <c r="BY10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0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0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0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05" s="43" t="n">
        <f aca="false">IF(NOT(Tasks[[#This Row],[_IsLeaf]]=1),0,MAX(_xlfn.MAXIFS(Tasks[_Row],Tasks[Pred1 UID],Tasks[[#This Row],[UID]]),_xlfn.MAXIFS(Tasks[_Row],Tasks[Pred2 UID],Tasks[[#This Row],[UID]])))</f>
        <v>0</v>
      </c>
      <c r="CD10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05" s="87" t="str">
        <f aca="false">IF(NOT(Tasks[[#This Row],[_IsLeaf]]=1),"",MIN(ProjectFinish,IF(N(Tasks[[#This Row],[Deadline]])&gt;0,Tasks[[#This Row],[Deadline]],2958465),Tasks[[#This Row],[_SuccessorFinishLimit]]))</f>
        <v/>
      </c>
      <c r="CF10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0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05" s="86" t="b">
        <f aca="false">AND(Tasks[[#This Row],[_IsLeaf]]=1,Tasks[[#This Row],[_LeafProgress]]&lt;1,N(Tasks[[#This Row],[_LeafTotalSlack]])&lt;=CriticalSlackDays)</f>
        <v>0</v>
      </c>
      <c r="CI10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0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0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0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0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0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0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0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05" s="43" t="n">
        <f aca="false">IF(AND(Tasks[[#This Row],[_IsLeaf]]=1,Tasks[[#This Row],[_LeafWork]]&gt;0),NETWORKDAYS.INTL(ProjectStart,Tasks[[#This Row],[_LeafFcstStart]],WorkWeek,Holidays),0)</f>
        <v>0</v>
      </c>
      <c r="CR10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05" s="43" t="n">
        <f aca="false">IF(AND(Tasks[[#This Row],[_IsLeaf]]=1,Tasks[[#This Row],[_LeafWork]]&gt;0),Tasks[[#This Row],[_LeafWork]]/(Tasks[[#This Row],[_FinishWorkday]]-Tasks[[#This Row],[_StartWorkday]]+1),0)</f>
        <v>0</v>
      </c>
      <c r="CT105" s="43" t="n">
        <f aca="false">Tasks[[#This Row],[_WorkPerWorkday]]*(Tasks[[#This Row],[_StartWorkday]]-1)</f>
        <v>-0</v>
      </c>
      <c r="CU105" s="43" t="n">
        <f aca="false">IF(Tasks[[#This Row],[_IsLeaf]]=1,MAX(N(Tasks[[#This Row],[Duration]]),0.1),0)</f>
        <v>0</v>
      </c>
      <c r="CV105" s="43" t="n">
        <f aca="false">Tasks[[#This Row],[_WeightDur]]*Tasks[[#This Row],[_LeafProgress]]</f>
        <v>0</v>
      </c>
      <c r="CW10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0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0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0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0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05" s="43" t="str">
        <f aca="false">IF(AND(Tasks[[#This Row],[_IsLeaf]]=1,N(Tasks[[#This Row],[Duration]])=0,Tasks[[#This Row],[_LeafProgress]]&lt;1),Tasks[[#This Row],[_LeafFcstFinish]]+Tasks[[#This Row],[_Row]]/100000,"")</f>
        <v/>
      </c>
      <c r="DC10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05" s="43" t="n">
        <f aca="false">IF(NOT(Tasks[[#This Row],[_IsLeaf]]=1),0,IF(Tasks[[#This Row],[Baseline Cost]]="",Tasks[[#This Row],[_LeafCost]],N(Tasks[[#This Row],[Baseline Cost]])))</f>
        <v>0</v>
      </c>
      <c r="DE105" s="43" t="n">
        <f aca="false">Tasks[[#This Row],[_LeafBudget]]*Tasks[[#This Row],[_PlannedPct]]</f>
        <v>0</v>
      </c>
      <c r="DF105" s="43" t="n">
        <f aca="false">Tasks[[#This Row],[_LeafBudget]]*Tasks[[#This Row],[_LeafProgress]]</f>
        <v>0</v>
      </c>
      <c r="DG105" s="43" t="n">
        <f aca="false">IF(NOT(Tasks[[#This Row],[_IsLeaf]]=1),0,IF(Tasks[[#This Row],[Actual Cost]]="",Tasks[[#This Row],[_LeafCost]]*Tasks[[#This Row],[_LeafProgress]],N(Tasks[[#This Row],[Actual Cost]])))</f>
        <v>0</v>
      </c>
      <c r="DH105" s="43" t="str">
        <f aca="false">IF(Tasks[[#This Row],[Task Name]]="","",LEFT(Tasks[[#This Row],[WBS]],FIND(".",Tasks[[#This Row],[WBS]]&amp;".")-1))</f>
        <v/>
      </c>
      <c r="DI105" s="43" t="str">
        <f aca="false">IF(AND(Tasks[[#This Row],[Task Name]]&lt;&gt;"",Tasks[[#This Row],[_Level]]=1),Tasks[[#This Row],[_Row]],"")</f>
        <v/>
      </c>
      <c r="DJ105" s="43" t="str">
        <f aca="false">IF(AND(Tasks[[#This Row],[_IsLeaf]]=1,N(Tasks[[#This Row],[Duration]])=0),Tasks[[#This Row],[Planned Finish]]+Tasks[[#This Row],[_Row]]/100000,"")</f>
        <v/>
      </c>
      <c r="DK10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0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0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05" s="43" t="str">
        <f aca="false">IF(Tasks[[#This Row],[_LeafCritical]],Tasks[[#This Row],[_LeafFcstStart]]+Tasks[[#This Row],[_Row]]/100000,"")</f>
        <v/>
      </c>
      <c r="DO105" s="43" t="n">
        <f aca="false">Tasks[[#This Row],[_LeafWork]]*Tasks[[#This Row],[_LeafProgress]]</f>
        <v>0</v>
      </c>
      <c r="DP10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05" s="43" t="n">
        <f aca="false">IF(Tasks[[#This Row],[_IsLeaf]]=1,N(Tasks[[#This Row],[Story Points]]),0)</f>
        <v>0</v>
      </c>
      <c r="DR105" s="43" t="str">
        <f aca="false">IF(AND(Tasks[[#This Row],[_IsLeaf]]=1,CurrentSprint&lt;&gt;"",Tasks[[#This Row],[Sprint]]=CurrentSprint),Tasks[[#This Row],[_Row]],"")</f>
        <v/>
      </c>
    </row>
    <row r="106" customFormat="false" ht="15" hidden="false" customHeight="false" outlineLevel="0" collapsed="false">
      <c r="A106" s="28" t="str">
        <f aca="false">IF(Tasks[[#This Row],[Task Name]]="","",COUNTA(Tasks[[#Headers],[Task Name]]:Tasks[[#This Row],[Task Name]])-1)</f>
        <v/>
      </c>
      <c r="B106" s="29" t="n">
        <v>101</v>
      </c>
      <c r="C10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06" s="29"/>
      <c r="E106" s="30"/>
      <c r="F106" s="29"/>
      <c r="G106" s="29"/>
      <c r="H106" s="29"/>
      <c r="I106" s="29"/>
      <c r="J106" s="29"/>
      <c r="K106" s="29"/>
      <c r="L106" s="29"/>
      <c r="M106" s="29"/>
      <c r="N106" s="72"/>
      <c r="O106" s="72"/>
      <c r="P106" s="25" t="str">
        <f aca="false">IF(Tasks[[#This Row],[Task Name]]="","",IF(N(Tasks[[#This Row],[Baseline Start]])&gt;0,Tasks[[#This Row],[Baseline Start]],Tasks[[#This Row],[_CalcStart]]))</f>
        <v/>
      </c>
      <c r="Q106" s="25" t="str">
        <f aca="false">IF(Tasks[[#This Row],[Task Name]]="","",IF(N(Tasks[[#This Row],[Baseline Finish]])&gt;0,Tasks[[#This Row],[Baseline Finish]],Tasks[[#This Row],[_CalcFinish]]))</f>
        <v/>
      </c>
      <c r="R106" s="72"/>
      <c r="S106" s="72"/>
      <c r="T10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0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0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0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0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0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0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0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0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0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0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06" s="74"/>
      <c r="AF10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0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06" s="30"/>
      <c r="AI106" s="74"/>
      <c r="AJ10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0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06" s="83"/>
      <c r="AM106" s="29"/>
      <c r="AN10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06" s="84"/>
      <c r="AP10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06" s="30"/>
      <c r="AR106" s="25" t="str">
        <f aca="false">IF(Tasks[[#This Row],[Task Name]]="","",Tasks[[#This Row],[Forecast Start]])</f>
        <v/>
      </c>
      <c r="AS106" s="25" t="str">
        <f aca="false">IF(Tasks[[#This Row],[Task Name]]="","",Tasks[[#This Row],[Forecast Finish]])</f>
        <v/>
      </c>
      <c r="AT10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06" s="81" t="str">
        <f aca="false">IF(Tasks[[#This Row],[Task Name]]="","",Tasks[[#This Row],[Work]])</f>
        <v/>
      </c>
      <c r="AV106" s="82" t="str">
        <f aca="false">IF(Tasks[[#This Row],[Task Name]]="","",Tasks[[#This Row],[Cost]])</f>
        <v/>
      </c>
      <c r="AW106" s="72"/>
      <c r="AX106" s="72"/>
      <c r="AY106" s="29"/>
      <c r="AZ106" s="85"/>
      <c r="BA106" s="83"/>
      <c r="BB106" s="28" t="str">
        <f aca="false">IF(OR(Tasks[[#This Row],[Task Name]]="",Tasks[[#This Row],[Baseline Duration]]=""),"",Tasks[[#This Row],[BL Source Duration]]-N(Tasks[[#This Row],[Baseline Duration]]))</f>
        <v/>
      </c>
      <c r="BC106" s="81" t="str">
        <f aca="false">IF(OR(Tasks[[#This Row],[Task Name]]="",Tasks[[#This Row],[Baseline Work]]=""),"",Tasks[[#This Row],[Work]]-N(Tasks[[#This Row],[Baseline Work]]))</f>
        <v/>
      </c>
      <c r="BD106" s="82" t="str">
        <f aca="false">IF(OR(Tasks[[#This Row],[Task Name]]="",Tasks[[#This Row],[Baseline Cost]]=""),"",Tasks[[#This Row],[Cost]]-N(Tasks[[#This Row],[Baseline Cost]]))</f>
        <v/>
      </c>
      <c r="BE10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0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0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0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06" s="43" t="str">
        <f aca="false">IF(Tasks[[#This Row],[Task Name]]="","",MAX(1,N(Tasks[[#This Row],[Level]])))</f>
        <v/>
      </c>
      <c r="BJ106" s="43" t="n">
        <f aca="false">ROW()-ROW(Tasks[[#Headers],[ID]])</f>
        <v>101</v>
      </c>
      <c r="BK10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06" s="43" t="n">
        <f aca="false">IFERROR(N(INDEX(Tasks[_Level],Tasks[[#This Row],[_Row]]+1)),0)</f>
        <v>0</v>
      </c>
      <c r="BM106" s="86" t="b">
        <f aca="false">AND(Tasks[[#This Row],[Task Name]]&lt;&gt;"",Tasks[[#This Row],[_NextLevel]]&gt;Tasks[[#This Row],[_Level]])</f>
        <v>0</v>
      </c>
      <c r="BN106" s="43" t="n">
        <f aca="false">IF(Tasks[[#This Row],[_IsSummary]],COUNTIF(Tasks[WBS],Tasks[[#This Row],[WBS]]&amp;".*"),0)</f>
        <v>0</v>
      </c>
      <c r="BO106" s="43" t="n">
        <f aca="false">IF(AND(Tasks[[#This Row],[Task Name]]&lt;&gt;"",NOT(Tasks[[#This Row],[_IsSummary]])),1,0)</f>
        <v>0</v>
      </c>
      <c r="BP106" s="43" t="n">
        <f aca="false">IF(N(Tasks[[#This Row],[Pred1 UID]])=0,0,IFERROR(MATCH(Tasks[[#This Row],[Pred1 UID]],Tasks[UID],0),-1))</f>
        <v>0</v>
      </c>
      <c r="BQ106" s="43" t="n">
        <f aca="false">IF(N(Tasks[[#This Row],[Pred2 UID]])=0,0,IFERROR(MATCH(Tasks[[#This Row],[Pred2 UID]],Tasks[UID],0),-1))</f>
        <v>0</v>
      </c>
      <c r="BR10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0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0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0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06" s="43" t="n">
        <f aca="false">IF(NOT(Tasks[[#This Row],[_IsLeaf]]=1),0,IF(N(Tasks[[#This Row],[Actual Finish]])&gt;0,1,MIN(1,N(Tasks[[#This Row],[% Complete]]))))</f>
        <v>0</v>
      </c>
      <c r="BW10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06" s="43" t="n">
        <f aca="false">IF(Tasks[[#This Row],[_LeafWork]]=0,0,Tasks[[#This Row],[_LeafWork]]*IFERROR(INDEX(res_Rate,MATCH(Tasks[[#This Row],[Resource]],res_Name,0)),0))</f>
        <v>0</v>
      </c>
      <c r="BY10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0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0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0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06" s="43" t="n">
        <f aca="false">IF(NOT(Tasks[[#This Row],[_IsLeaf]]=1),0,MAX(_xlfn.MAXIFS(Tasks[_Row],Tasks[Pred1 UID],Tasks[[#This Row],[UID]]),_xlfn.MAXIFS(Tasks[_Row],Tasks[Pred2 UID],Tasks[[#This Row],[UID]])))</f>
        <v>0</v>
      </c>
      <c r="CD10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06" s="87" t="str">
        <f aca="false">IF(NOT(Tasks[[#This Row],[_IsLeaf]]=1),"",MIN(ProjectFinish,IF(N(Tasks[[#This Row],[Deadline]])&gt;0,Tasks[[#This Row],[Deadline]],2958465),Tasks[[#This Row],[_SuccessorFinishLimit]]))</f>
        <v/>
      </c>
      <c r="CF10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0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06" s="86" t="b">
        <f aca="false">AND(Tasks[[#This Row],[_IsLeaf]]=1,Tasks[[#This Row],[_LeafProgress]]&lt;1,N(Tasks[[#This Row],[_LeafTotalSlack]])&lt;=CriticalSlackDays)</f>
        <v>0</v>
      </c>
      <c r="CI10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0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0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0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0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0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0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0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06" s="43" t="n">
        <f aca="false">IF(AND(Tasks[[#This Row],[_IsLeaf]]=1,Tasks[[#This Row],[_LeafWork]]&gt;0),NETWORKDAYS.INTL(ProjectStart,Tasks[[#This Row],[_LeafFcstStart]],WorkWeek,Holidays),0)</f>
        <v>0</v>
      </c>
      <c r="CR10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06" s="43" t="n">
        <f aca="false">IF(AND(Tasks[[#This Row],[_IsLeaf]]=1,Tasks[[#This Row],[_LeafWork]]&gt;0),Tasks[[#This Row],[_LeafWork]]/(Tasks[[#This Row],[_FinishWorkday]]-Tasks[[#This Row],[_StartWorkday]]+1),0)</f>
        <v>0</v>
      </c>
      <c r="CT106" s="43" t="n">
        <f aca="false">Tasks[[#This Row],[_WorkPerWorkday]]*(Tasks[[#This Row],[_StartWorkday]]-1)</f>
        <v>-0</v>
      </c>
      <c r="CU106" s="43" t="n">
        <f aca="false">IF(Tasks[[#This Row],[_IsLeaf]]=1,MAX(N(Tasks[[#This Row],[Duration]]),0.1),0)</f>
        <v>0</v>
      </c>
      <c r="CV106" s="43" t="n">
        <f aca="false">Tasks[[#This Row],[_WeightDur]]*Tasks[[#This Row],[_LeafProgress]]</f>
        <v>0</v>
      </c>
      <c r="CW10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0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0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0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0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06" s="43" t="str">
        <f aca="false">IF(AND(Tasks[[#This Row],[_IsLeaf]]=1,N(Tasks[[#This Row],[Duration]])=0,Tasks[[#This Row],[_LeafProgress]]&lt;1),Tasks[[#This Row],[_LeafFcstFinish]]+Tasks[[#This Row],[_Row]]/100000,"")</f>
        <v/>
      </c>
      <c r="DC10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06" s="43" t="n">
        <f aca="false">IF(NOT(Tasks[[#This Row],[_IsLeaf]]=1),0,IF(Tasks[[#This Row],[Baseline Cost]]="",Tasks[[#This Row],[_LeafCost]],N(Tasks[[#This Row],[Baseline Cost]])))</f>
        <v>0</v>
      </c>
      <c r="DE106" s="43" t="n">
        <f aca="false">Tasks[[#This Row],[_LeafBudget]]*Tasks[[#This Row],[_PlannedPct]]</f>
        <v>0</v>
      </c>
      <c r="DF106" s="43" t="n">
        <f aca="false">Tasks[[#This Row],[_LeafBudget]]*Tasks[[#This Row],[_LeafProgress]]</f>
        <v>0</v>
      </c>
      <c r="DG106" s="43" t="n">
        <f aca="false">IF(NOT(Tasks[[#This Row],[_IsLeaf]]=1),0,IF(Tasks[[#This Row],[Actual Cost]]="",Tasks[[#This Row],[_LeafCost]]*Tasks[[#This Row],[_LeafProgress]],N(Tasks[[#This Row],[Actual Cost]])))</f>
        <v>0</v>
      </c>
      <c r="DH106" s="43" t="str">
        <f aca="false">IF(Tasks[[#This Row],[Task Name]]="","",LEFT(Tasks[[#This Row],[WBS]],FIND(".",Tasks[[#This Row],[WBS]]&amp;".")-1))</f>
        <v/>
      </c>
      <c r="DI106" s="43" t="str">
        <f aca="false">IF(AND(Tasks[[#This Row],[Task Name]]&lt;&gt;"",Tasks[[#This Row],[_Level]]=1),Tasks[[#This Row],[_Row]],"")</f>
        <v/>
      </c>
      <c r="DJ106" s="43" t="str">
        <f aca="false">IF(AND(Tasks[[#This Row],[_IsLeaf]]=1,N(Tasks[[#This Row],[Duration]])=0),Tasks[[#This Row],[Planned Finish]]+Tasks[[#This Row],[_Row]]/100000,"")</f>
        <v/>
      </c>
      <c r="DK10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0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0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06" s="43" t="str">
        <f aca="false">IF(Tasks[[#This Row],[_LeafCritical]],Tasks[[#This Row],[_LeafFcstStart]]+Tasks[[#This Row],[_Row]]/100000,"")</f>
        <v/>
      </c>
      <c r="DO106" s="43" t="n">
        <f aca="false">Tasks[[#This Row],[_LeafWork]]*Tasks[[#This Row],[_LeafProgress]]</f>
        <v>0</v>
      </c>
      <c r="DP10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06" s="43" t="n">
        <f aca="false">IF(Tasks[[#This Row],[_IsLeaf]]=1,N(Tasks[[#This Row],[Story Points]]),0)</f>
        <v>0</v>
      </c>
      <c r="DR106" s="43" t="str">
        <f aca="false">IF(AND(Tasks[[#This Row],[_IsLeaf]]=1,CurrentSprint&lt;&gt;"",Tasks[[#This Row],[Sprint]]=CurrentSprint),Tasks[[#This Row],[_Row]],"")</f>
        <v/>
      </c>
    </row>
    <row r="107" customFormat="false" ht="15" hidden="false" customHeight="false" outlineLevel="0" collapsed="false">
      <c r="A107" s="28" t="str">
        <f aca="false">IF(Tasks[[#This Row],[Task Name]]="","",COUNTA(Tasks[[#Headers],[Task Name]]:Tasks[[#This Row],[Task Name]])-1)</f>
        <v/>
      </c>
      <c r="B107" s="29" t="n">
        <v>102</v>
      </c>
      <c r="C10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07" s="29"/>
      <c r="E107" s="30"/>
      <c r="F107" s="29"/>
      <c r="G107" s="29"/>
      <c r="H107" s="29"/>
      <c r="I107" s="29"/>
      <c r="J107" s="29"/>
      <c r="K107" s="29"/>
      <c r="L107" s="29"/>
      <c r="M107" s="29"/>
      <c r="N107" s="72"/>
      <c r="O107" s="72"/>
      <c r="P107" s="25" t="str">
        <f aca="false">IF(Tasks[[#This Row],[Task Name]]="","",IF(N(Tasks[[#This Row],[Baseline Start]])&gt;0,Tasks[[#This Row],[Baseline Start]],Tasks[[#This Row],[_CalcStart]]))</f>
        <v/>
      </c>
      <c r="Q107" s="25" t="str">
        <f aca="false">IF(Tasks[[#This Row],[Task Name]]="","",IF(N(Tasks[[#This Row],[Baseline Finish]])&gt;0,Tasks[[#This Row],[Baseline Finish]],Tasks[[#This Row],[_CalcFinish]]))</f>
        <v/>
      </c>
      <c r="R107" s="72"/>
      <c r="S107" s="72"/>
      <c r="T10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0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0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0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0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0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0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0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0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0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0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07" s="74"/>
      <c r="AF10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0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07" s="30"/>
      <c r="AI107" s="74"/>
      <c r="AJ10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0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07" s="83"/>
      <c r="AM107" s="29"/>
      <c r="AN10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07" s="84"/>
      <c r="AP10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07" s="30"/>
      <c r="AR107" s="25" t="str">
        <f aca="false">IF(Tasks[[#This Row],[Task Name]]="","",Tasks[[#This Row],[Forecast Start]])</f>
        <v/>
      </c>
      <c r="AS107" s="25" t="str">
        <f aca="false">IF(Tasks[[#This Row],[Task Name]]="","",Tasks[[#This Row],[Forecast Finish]])</f>
        <v/>
      </c>
      <c r="AT10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07" s="81" t="str">
        <f aca="false">IF(Tasks[[#This Row],[Task Name]]="","",Tasks[[#This Row],[Work]])</f>
        <v/>
      </c>
      <c r="AV107" s="82" t="str">
        <f aca="false">IF(Tasks[[#This Row],[Task Name]]="","",Tasks[[#This Row],[Cost]])</f>
        <v/>
      </c>
      <c r="AW107" s="72"/>
      <c r="AX107" s="72"/>
      <c r="AY107" s="29"/>
      <c r="AZ107" s="85"/>
      <c r="BA107" s="83"/>
      <c r="BB107" s="28" t="str">
        <f aca="false">IF(OR(Tasks[[#This Row],[Task Name]]="",Tasks[[#This Row],[Baseline Duration]]=""),"",Tasks[[#This Row],[BL Source Duration]]-N(Tasks[[#This Row],[Baseline Duration]]))</f>
        <v/>
      </c>
      <c r="BC107" s="81" t="str">
        <f aca="false">IF(OR(Tasks[[#This Row],[Task Name]]="",Tasks[[#This Row],[Baseline Work]]=""),"",Tasks[[#This Row],[Work]]-N(Tasks[[#This Row],[Baseline Work]]))</f>
        <v/>
      </c>
      <c r="BD107" s="82" t="str">
        <f aca="false">IF(OR(Tasks[[#This Row],[Task Name]]="",Tasks[[#This Row],[Baseline Cost]]=""),"",Tasks[[#This Row],[Cost]]-N(Tasks[[#This Row],[Baseline Cost]]))</f>
        <v/>
      </c>
      <c r="BE10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0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0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0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07" s="43" t="str">
        <f aca="false">IF(Tasks[[#This Row],[Task Name]]="","",MAX(1,N(Tasks[[#This Row],[Level]])))</f>
        <v/>
      </c>
      <c r="BJ107" s="43" t="n">
        <f aca="false">ROW()-ROW(Tasks[[#Headers],[ID]])</f>
        <v>102</v>
      </c>
      <c r="BK10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07" s="43" t="n">
        <f aca="false">IFERROR(N(INDEX(Tasks[_Level],Tasks[[#This Row],[_Row]]+1)),0)</f>
        <v>0</v>
      </c>
      <c r="BM107" s="86" t="b">
        <f aca="false">AND(Tasks[[#This Row],[Task Name]]&lt;&gt;"",Tasks[[#This Row],[_NextLevel]]&gt;Tasks[[#This Row],[_Level]])</f>
        <v>0</v>
      </c>
      <c r="BN107" s="43" t="n">
        <f aca="false">IF(Tasks[[#This Row],[_IsSummary]],COUNTIF(Tasks[WBS],Tasks[[#This Row],[WBS]]&amp;".*"),0)</f>
        <v>0</v>
      </c>
      <c r="BO107" s="43" t="n">
        <f aca="false">IF(AND(Tasks[[#This Row],[Task Name]]&lt;&gt;"",NOT(Tasks[[#This Row],[_IsSummary]])),1,0)</f>
        <v>0</v>
      </c>
      <c r="BP107" s="43" t="n">
        <f aca="false">IF(N(Tasks[[#This Row],[Pred1 UID]])=0,0,IFERROR(MATCH(Tasks[[#This Row],[Pred1 UID]],Tasks[UID],0),-1))</f>
        <v>0</v>
      </c>
      <c r="BQ107" s="43" t="n">
        <f aca="false">IF(N(Tasks[[#This Row],[Pred2 UID]])=0,0,IFERROR(MATCH(Tasks[[#This Row],[Pred2 UID]],Tasks[UID],0),-1))</f>
        <v>0</v>
      </c>
      <c r="BR10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0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0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0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07" s="43" t="n">
        <f aca="false">IF(NOT(Tasks[[#This Row],[_IsLeaf]]=1),0,IF(N(Tasks[[#This Row],[Actual Finish]])&gt;0,1,MIN(1,N(Tasks[[#This Row],[% Complete]]))))</f>
        <v>0</v>
      </c>
      <c r="BW10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07" s="43" t="n">
        <f aca="false">IF(Tasks[[#This Row],[_LeafWork]]=0,0,Tasks[[#This Row],[_LeafWork]]*IFERROR(INDEX(res_Rate,MATCH(Tasks[[#This Row],[Resource]],res_Name,0)),0))</f>
        <v>0</v>
      </c>
      <c r="BY10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0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0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0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07" s="43" t="n">
        <f aca="false">IF(NOT(Tasks[[#This Row],[_IsLeaf]]=1),0,MAX(_xlfn.MAXIFS(Tasks[_Row],Tasks[Pred1 UID],Tasks[[#This Row],[UID]]),_xlfn.MAXIFS(Tasks[_Row],Tasks[Pred2 UID],Tasks[[#This Row],[UID]])))</f>
        <v>0</v>
      </c>
      <c r="CD10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07" s="87" t="str">
        <f aca="false">IF(NOT(Tasks[[#This Row],[_IsLeaf]]=1),"",MIN(ProjectFinish,IF(N(Tasks[[#This Row],[Deadline]])&gt;0,Tasks[[#This Row],[Deadline]],2958465),Tasks[[#This Row],[_SuccessorFinishLimit]]))</f>
        <v/>
      </c>
      <c r="CF10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0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07" s="86" t="b">
        <f aca="false">AND(Tasks[[#This Row],[_IsLeaf]]=1,Tasks[[#This Row],[_LeafProgress]]&lt;1,N(Tasks[[#This Row],[_LeafTotalSlack]])&lt;=CriticalSlackDays)</f>
        <v>0</v>
      </c>
      <c r="CI10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0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0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0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0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0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0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0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07" s="43" t="n">
        <f aca="false">IF(AND(Tasks[[#This Row],[_IsLeaf]]=1,Tasks[[#This Row],[_LeafWork]]&gt;0),NETWORKDAYS.INTL(ProjectStart,Tasks[[#This Row],[_LeafFcstStart]],WorkWeek,Holidays),0)</f>
        <v>0</v>
      </c>
      <c r="CR10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07" s="43" t="n">
        <f aca="false">IF(AND(Tasks[[#This Row],[_IsLeaf]]=1,Tasks[[#This Row],[_LeafWork]]&gt;0),Tasks[[#This Row],[_LeafWork]]/(Tasks[[#This Row],[_FinishWorkday]]-Tasks[[#This Row],[_StartWorkday]]+1),0)</f>
        <v>0</v>
      </c>
      <c r="CT107" s="43" t="n">
        <f aca="false">Tasks[[#This Row],[_WorkPerWorkday]]*(Tasks[[#This Row],[_StartWorkday]]-1)</f>
        <v>-0</v>
      </c>
      <c r="CU107" s="43" t="n">
        <f aca="false">IF(Tasks[[#This Row],[_IsLeaf]]=1,MAX(N(Tasks[[#This Row],[Duration]]),0.1),0)</f>
        <v>0</v>
      </c>
      <c r="CV107" s="43" t="n">
        <f aca="false">Tasks[[#This Row],[_WeightDur]]*Tasks[[#This Row],[_LeafProgress]]</f>
        <v>0</v>
      </c>
      <c r="CW10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0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0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0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0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07" s="43" t="str">
        <f aca="false">IF(AND(Tasks[[#This Row],[_IsLeaf]]=1,N(Tasks[[#This Row],[Duration]])=0,Tasks[[#This Row],[_LeafProgress]]&lt;1),Tasks[[#This Row],[_LeafFcstFinish]]+Tasks[[#This Row],[_Row]]/100000,"")</f>
        <v/>
      </c>
      <c r="DC10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07" s="43" t="n">
        <f aca="false">IF(NOT(Tasks[[#This Row],[_IsLeaf]]=1),0,IF(Tasks[[#This Row],[Baseline Cost]]="",Tasks[[#This Row],[_LeafCost]],N(Tasks[[#This Row],[Baseline Cost]])))</f>
        <v>0</v>
      </c>
      <c r="DE107" s="43" t="n">
        <f aca="false">Tasks[[#This Row],[_LeafBudget]]*Tasks[[#This Row],[_PlannedPct]]</f>
        <v>0</v>
      </c>
      <c r="DF107" s="43" t="n">
        <f aca="false">Tasks[[#This Row],[_LeafBudget]]*Tasks[[#This Row],[_LeafProgress]]</f>
        <v>0</v>
      </c>
      <c r="DG107" s="43" t="n">
        <f aca="false">IF(NOT(Tasks[[#This Row],[_IsLeaf]]=1),0,IF(Tasks[[#This Row],[Actual Cost]]="",Tasks[[#This Row],[_LeafCost]]*Tasks[[#This Row],[_LeafProgress]],N(Tasks[[#This Row],[Actual Cost]])))</f>
        <v>0</v>
      </c>
      <c r="DH107" s="43" t="str">
        <f aca="false">IF(Tasks[[#This Row],[Task Name]]="","",LEFT(Tasks[[#This Row],[WBS]],FIND(".",Tasks[[#This Row],[WBS]]&amp;".")-1))</f>
        <v/>
      </c>
      <c r="DI107" s="43" t="str">
        <f aca="false">IF(AND(Tasks[[#This Row],[Task Name]]&lt;&gt;"",Tasks[[#This Row],[_Level]]=1),Tasks[[#This Row],[_Row]],"")</f>
        <v/>
      </c>
      <c r="DJ107" s="43" t="str">
        <f aca="false">IF(AND(Tasks[[#This Row],[_IsLeaf]]=1,N(Tasks[[#This Row],[Duration]])=0),Tasks[[#This Row],[Planned Finish]]+Tasks[[#This Row],[_Row]]/100000,"")</f>
        <v/>
      </c>
      <c r="DK10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0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0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07" s="43" t="str">
        <f aca="false">IF(Tasks[[#This Row],[_LeafCritical]],Tasks[[#This Row],[_LeafFcstStart]]+Tasks[[#This Row],[_Row]]/100000,"")</f>
        <v/>
      </c>
      <c r="DO107" s="43" t="n">
        <f aca="false">Tasks[[#This Row],[_LeafWork]]*Tasks[[#This Row],[_LeafProgress]]</f>
        <v>0</v>
      </c>
      <c r="DP10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07" s="43" t="n">
        <f aca="false">IF(Tasks[[#This Row],[_IsLeaf]]=1,N(Tasks[[#This Row],[Story Points]]),0)</f>
        <v>0</v>
      </c>
      <c r="DR107" s="43" t="str">
        <f aca="false">IF(AND(Tasks[[#This Row],[_IsLeaf]]=1,CurrentSprint&lt;&gt;"",Tasks[[#This Row],[Sprint]]=CurrentSprint),Tasks[[#This Row],[_Row]],"")</f>
        <v/>
      </c>
    </row>
    <row r="108" customFormat="false" ht="15" hidden="false" customHeight="false" outlineLevel="0" collapsed="false">
      <c r="A108" s="28" t="str">
        <f aca="false">IF(Tasks[[#This Row],[Task Name]]="","",COUNTA(Tasks[[#Headers],[Task Name]]:Tasks[[#This Row],[Task Name]])-1)</f>
        <v/>
      </c>
      <c r="B108" s="29" t="n">
        <v>103</v>
      </c>
      <c r="C10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08" s="29"/>
      <c r="E108" s="30"/>
      <c r="F108" s="29"/>
      <c r="G108" s="29"/>
      <c r="H108" s="29"/>
      <c r="I108" s="29"/>
      <c r="J108" s="29"/>
      <c r="K108" s="29"/>
      <c r="L108" s="29"/>
      <c r="M108" s="29"/>
      <c r="N108" s="72"/>
      <c r="O108" s="72"/>
      <c r="P108" s="25" t="str">
        <f aca="false">IF(Tasks[[#This Row],[Task Name]]="","",IF(N(Tasks[[#This Row],[Baseline Start]])&gt;0,Tasks[[#This Row],[Baseline Start]],Tasks[[#This Row],[_CalcStart]]))</f>
        <v/>
      </c>
      <c r="Q108" s="25" t="str">
        <f aca="false">IF(Tasks[[#This Row],[Task Name]]="","",IF(N(Tasks[[#This Row],[Baseline Finish]])&gt;0,Tasks[[#This Row],[Baseline Finish]],Tasks[[#This Row],[_CalcFinish]]))</f>
        <v/>
      </c>
      <c r="R108" s="72"/>
      <c r="S108" s="72"/>
      <c r="T10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0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0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0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0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0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0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0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0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0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0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08" s="74"/>
      <c r="AF10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0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08" s="30"/>
      <c r="AI108" s="74"/>
      <c r="AJ10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0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08" s="83"/>
      <c r="AM108" s="29"/>
      <c r="AN10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08" s="84"/>
      <c r="AP10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08" s="30"/>
      <c r="AR108" s="25" t="str">
        <f aca="false">IF(Tasks[[#This Row],[Task Name]]="","",Tasks[[#This Row],[Forecast Start]])</f>
        <v/>
      </c>
      <c r="AS108" s="25" t="str">
        <f aca="false">IF(Tasks[[#This Row],[Task Name]]="","",Tasks[[#This Row],[Forecast Finish]])</f>
        <v/>
      </c>
      <c r="AT10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08" s="81" t="str">
        <f aca="false">IF(Tasks[[#This Row],[Task Name]]="","",Tasks[[#This Row],[Work]])</f>
        <v/>
      </c>
      <c r="AV108" s="82" t="str">
        <f aca="false">IF(Tasks[[#This Row],[Task Name]]="","",Tasks[[#This Row],[Cost]])</f>
        <v/>
      </c>
      <c r="AW108" s="72"/>
      <c r="AX108" s="72"/>
      <c r="AY108" s="29"/>
      <c r="AZ108" s="85"/>
      <c r="BA108" s="83"/>
      <c r="BB108" s="28" t="str">
        <f aca="false">IF(OR(Tasks[[#This Row],[Task Name]]="",Tasks[[#This Row],[Baseline Duration]]=""),"",Tasks[[#This Row],[BL Source Duration]]-N(Tasks[[#This Row],[Baseline Duration]]))</f>
        <v/>
      </c>
      <c r="BC108" s="81" t="str">
        <f aca="false">IF(OR(Tasks[[#This Row],[Task Name]]="",Tasks[[#This Row],[Baseline Work]]=""),"",Tasks[[#This Row],[Work]]-N(Tasks[[#This Row],[Baseline Work]]))</f>
        <v/>
      </c>
      <c r="BD108" s="82" t="str">
        <f aca="false">IF(OR(Tasks[[#This Row],[Task Name]]="",Tasks[[#This Row],[Baseline Cost]]=""),"",Tasks[[#This Row],[Cost]]-N(Tasks[[#This Row],[Baseline Cost]]))</f>
        <v/>
      </c>
      <c r="BE10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0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0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0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08" s="43" t="str">
        <f aca="false">IF(Tasks[[#This Row],[Task Name]]="","",MAX(1,N(Tasks[[#This Row],[Level]])))</f>
        <v/>
      </c>
      <c r="BJ108" s="43" t="n">
        <f aca="false">ROW()-ROW(Tasks[[#Headers],[ID]])</f>
        <v>103</v>
      </c>
      <c r="BK10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08" s="43" t="n">
        <f aca="false">IFERROR(N(INDEX(Tasks[_Level],Tasks[[#This Row],[_Row]]+1)),0)</f>
        <v>0</v>
      </c>
      <c r="BM108" s="86" t="b">
        <f aca="false">AND(Tasks[[#This Row],[Task Name]]&lt;&gt;"",Tasks[[#This Row],[_NextLevel]]&gt;Tasks[[#This Row],[_Level]])</f>
        <v>0</v>
      </c>
      <c r="BN108" s="43" t="n">
        <f aca="false">IF(Tasks[[#This Row],[_IsSummary]],COUNTIF(Tasks[WBS],Tasks[[#This Row],[WBS]]&amp;".*"),0)</f>
        <v>0</v>
      </c>
      <c r="BO108" s="43" t="n">
        <f aca="false">IF(AND(Tasks[[#This Row],[Task Name]]&lt;&gt;"",NOT(Tasks[[#This Row],[_IsSummary]])),1,0)</f>
        <v>0</v>
      </c>
      <c r="BP108" s="43" t="n">
        <f aca="false">IF(N(Tasks[[#This Row],[Pred1 UID]])=0,0,IFERROR(MATCH(Tasks[[#This Row],[Pred1 UID]],Tasks[UID],0),-1))</f>
        <v>0</v>
      </c>
      <c r="BQ108" s="43" t="n">
        <f aca="false">IF(N(Tasks[[#This Row],[Pred2 UID]])=0,0,IFERROR(MATCH(Tasks[[#This Row],[Pred2 UID]],Tasks[UID],0),-1))</f>
        <v>0</v>
      </c>
      <c r="BR10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0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0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0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08" s="43" t="n">
        <f aca="false">IF(NOT(Tasks[[#This Row],[_IsLeaf]]=1),0,IF(N(Tasks[[#This Row],[Actual Finish]])&gt;0,1,MIN(1,N(Tasks[[#This Row],[% Complete]]))))</f>
        <v>0</v>
      </c>
      <c r="BW10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08" s="43" t="n">
        <f aca="false">IF(Tasks[[#This Row],[_LeafWork]]=0,0,Tasks[[#This Row],[_LeafWork]]*IFERROR(INDEX(res_Rate,MATCH(Tasks[[#This Row],[Resource]],res_Name,0)),0))</f>
        <v>0</v>
      </c>
      <c r="BY10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0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0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0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08" s="43" t="n">
        <f aca="false">IF(NOT(Tasks[[#This Row],[_IsLeaf]]=1),0,MAX(_xlfn.MAXIFS(Tasks[_Row],Tasks[Pred1 UID],Tasks[[#This Row],[UID]]),_xlfn.MAXIFS(Tasks[_Row],Tasks[Pred2 UID],Tasks[[#This Row],[UID]])))</f>
        <v>0</v>
      </c>
      <c r="CD10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08" s="87" t="str">
        <f aca="false">IF(NOT(Tasks[[#This Row],[_IsLeaf]]=1),"",MIN(ProjectFinish,IF(N(Tasks[[#This Row],[Deadline]])&gt;0,Tasks[[#This Row],[Deadline]],2958465),Tasks[[#This Row],[_SuccessorFinishLimit]]))</f>
        <v/>
      </c>
      <c r="CF10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0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08" s="86" t="b">
        <f aca="false">AND(Tasks[[#This Row],[_IsLeaf]]=1,Tasks[[#This Row],[_LeafProgress]]&lt;1,N(Tasks[[#This Row],[_LeafTotalSlack]])&lt;=CriticalSlackDays)</f>
        <v>0</v>
      </c>
      <c r="CI10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0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0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0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0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0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0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0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08" s="43" t="n">
        <f aca="false">IF(AND(Tasks[[#This Row],[_IsLeaf]]=1,Tasks[[#This Row],[_LeafWork]]&gt;0),NETWORKDAYS.INTL(ProjectStart,Tasks[[#This Row],[_LeafFcstStart]],WorkWeek,Holidays),0)</f>
        <v>0</v>
      </c>
      <c r="CR10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08" s="43" t="n">
        <f aca="false">IF(AND(Tasks[[#This Row],[_IsLeaf]]=1,Tasks[[#This Row],[_LeafWork]]&gt;0),Tasks[[#This Row],[_LeafWork]]/(Tasks[[#This Row],[_FinishWorkday]]-Tasks[[#This Row],[_StartWorkday]]+1),0)</f>
        <v>0</v>
      </c>
      <c r="CT108" s="43" t="n">
        <f aca="false">Tasks[[#This Row],[_WorkPerWorkday]]*(Tasks[[#This Row],[_StartWorkday]]-1)</f>
        <v>-0</v>
      </c>
      <c r="CU108" s="43" t="n">
        <f aca="false">IF(Tasks[[#This Row],[_IsLeaf]]=1,MAX(N(Tasks[[#This Row],[Duration]]),0.1),0)</f>
        <v>0</v>
      </c>
      <c r="CV108" s="43" t="n">
        <f aca="false">Tasks[[#This Row],[_WeightDur]]*Tasks[[#This Row],[_LeafProgress]]</f>
        <v>0</v>
      </c>
      <c r="CW10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0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0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0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0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08" s="43" t="str">
        <f aca="false">IF(AND(Tasks[[#This Row],[_IsLeaf]]=1,N(Tasks[[#This Row],[Duration]])=0,Tasks[[#This Row],[_LeafProgress]]&lt;1),Tasks[[#This Row],[_LeafFcstFinish]]+Tasks[[#This Row],[_Row]]/100000,"")</f>
        <v/>
      </c>
      <c r="DC10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08" s="43" t="n">
        <f aca="false">IF(NOT(Tasks[[#This Row],[_IsLeaf]]=1),0,IF(Tasks[[#This Row],[Baseline Cost]]="",Tasks[[#This Row],[_LeafCost]],N(Tasks[[#This Row],[Baseline Cost]])))</f>
        <v>0</v>
      </c>
      <c r="DE108" s="43" t="n">
        <f aca="false">Tasks[[#This Row],[_LeafBudget]]*Tasks[[#This Row],[_PlannedPct]]</f>
        <v>0</v>
      </c>
      <c r="DF108" s="43" t="n">
        <f aca="false">Tasks[[#This Row],[_LeafBudget]]*Tasks[[#This Row],[_LeafProgress]]</f>
        <v>0</v>
      </c>
      <c r="DG108" s="43" t="n">
        <f aca="false">IF(NOT(Tasks[[#This Row],[_IsLeaf]]=1),0,IF(Tasks[[#This Row],[Actual Cost]]="",Tasks[[#This Row],[_LeafCost]]*Tasks[[#This Row],[_LeafProgress]],N(Tasks[[#This Row],[Actual Cost]])))</f>
        <v>0</v>
      </c>
      <c r="DH108" s="43" t="str">
        <f aca="false">IF(Tasks[[#This Row],[Task Name]]="","",LEFT(Tasks[[#This Row],[WBS]],FIND(".",Tasks[[#This Row],[WBS]]&amp;".")-1))</f>
        <v/>
      </c>
      <c r="DI108" s="43" t="str">
        <f aca="false">IF(AND(Tasks[[#This Row],[Task Name]]&lt;&gt;"",Tasks[[#This Row],[_Level]]=1),Tasks[[#This Row],[_Row]],"")</f>
        <v/>
      </c>
      <c r="DJ108" s="43" t="str">
        <f aca="false">IF(AND(Tasks[[#This Row],[_IsLeaf]]=1,N(Tasks[[#This Row],[Duration]])=0),Tasks[[#This Row],[Planned Finish]]+Tasks[[#This Row],[_Row]]/100000,"")</f>
        <v/>
      </c>
      <c r="DK10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0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0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08" s="43" t="str">
        <f aca="false">IF(Tasks[[#This Row],[_LeafCritical]],Tasks[[#This Row],[_LeafFcstStart]]+Tasks[[#This Row],[_Row]]/100000,"")</f>
        <v/>
      </c>
      <c r="DO108" s="43" t="n">
        <f aca="false">Tasks[[#This Row],[_LeafWork]]*Tasks[[#This Row],[_LeafProgress]]</f>
        <v>0</v>
      </c>
      <c r="DP10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08" s="43" t="n">
        <f aca="false">IF(Tasks[[#This Row],[_IsLeaf]]=1,N(Tasks[[#This Row],[Story Points]]),0)</f>
        <v>0</v>
      </c>
      <c r="DR108" s="43" t="str">
        <f aca="false">IF(AND(Tasks[[#This Row],[_IsLeaf]]=1,CurrentSprint&lt;&gt;"",Tasks[[#This Row],[Sprint]]=CurrentSprint),Tasks[[#This Row],[_Row]],"")</f>
        <v/>
      </c>
    </row>
    <row r="109" customFormat="false" ht="15" hidden="false" customHeight="false" outlineLevel="0" collapsed="false">
      <c r="A109" s="28" t="str">
        <f aca="false">IF(Tasks[[#This Row],[Task Name]]="","",COUNTA(Tasks[[#Headers],[Task Name]]:Tasks[[#This Row],[Task Name]])-1)</f>
        <v/>
      </c>
      <c r="B109" s="29" t="n">
        <v>104</v>
      </c>
      <c r="C10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09" s="29"/>
      <c r="E109" s="30"/>
      <c r="F109" s="29"/>
      <c r="G109" s="29"/>
      <c r="H109" s="29"/>
      <c r="I109" s="29"/>
      <c r="J109" s="29"/>
      <c r="K109" s="29"/>
      <c r="L109" s="29"/>
      <c r="M109" s="29"/>
      <c r="N109" s="72"/>
      <c r="O109" s="72"/>
      <c r="P109" s="25" t="str">
        <f aca="false">IF(Tasks[[#This Row],[Task Name]]="","",IF(N(Tasks[[#This Row],[Baseline Start]])&gt;0,Tasks[[#This Row],[Baseline Start]],Tasks[[#This Row],[_CalcStart]]))</f>
        <v/>
      </c>
      <c r="Q109" s="25" t="str">
        <f aca="false">IF(Tasks[[#This Row],[Task Name]]="","",IF(N(Tasks[[#This Row],[Baseline Finish]])&gt;0,Tasks[[#This Row],[Baseline Finish]],Tasks[[#This Row],[_CalcFinish]]))</f>
        <v/>
      </c>
      <c r="R109" s="72"/>
      <c r="S109" s="72"/>
      <c r="T10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0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0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0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0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0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0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0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0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0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0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09" s="74"/>
      <c r="AF10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0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09" s="30"/>
      <c r="AI109" s="74"/>
      <c r="AJ10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0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09" s="83"/>
      <c r="AM109" s="29"/>
      <c r="AN10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09" s="84"/>
      <c r="AP10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09" s="30"/>
      <c r="AR109" s="25" t="str">
        <f aca="false">IF(Tasks[[#This Row],[Task Name]]="","",Tasks[[#This Row],[Forecast Start]])</f>
        <v/>
      </c>
      <c r="AS109" s="25" t="str">
        <f aca="false">IF(Tasks[[#This Row],[Task Name]]="","",Tasks[[#This Row],[Forecast Finish]])</f>
        <v/>
      </c>
      <c r="AT10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09" s="81" t="str">
        <f aca="false">IF(Tasks[[#This Row],[Task Name]]="","",Tasks[[#This Row],[Work]])</f>
        <v/>
      </c>
      <c r="AV109" s="82" t="str">
        <f aca="false">IF(Tasks[[#This Row],[Task Name]]="","",Tasks[[#This Row],[Cost]])</f>
        <v/>
      </c>
      <c r="AW109" s="72"/>
      <c r="AX109" s="72"/>
      <c r="AY109" s="29"/>
      <c r="AZ109" s="85"/>
      <c r="BA109" s="83"/>
      <c r="BB109" s="28" t="str">
        <f aca="false">IF(OR(Tasks[[#This Row],[Task Name]]="",Tasks[[#This Row],[Baseline Duration]]=""),"",Tasks[[#This Row],[BL Source Duration]]-N(Tasks[[#This Row],[Baseline Duration]]))</f>
        <v/>
      </c>
      <c r="BC109" s="81" t="str">
        <f aca="false">IF(OR(Tasks[[#This Row],[Task Name]]="",Tasks[[#This Row],[Baseline Work]]=""),"",Tasks[[#This Row],[Work]]-N(Tasks[[#This Row],[Baseline Work]]))</f>
        <v/>
      </c>
      <c r="BD109" s="82" t="str">
        <f aca="false">IF(OR(Tasks[[#This Row],[Task Name]]="",Tasks[[#This Row],[Baseline Cost]]=""),"",Tasks[[#This Row],[Cost]]-N(Tasks[[#This Row],[Baseline Cost]]))</f>
        <v/>
      </c>
      <c r="BE10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0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0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0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09" s="43" t="str">
        <f aca="false">IF(Tasks[[#This Row],[Task Name]]="","",MAX(1,N(Tasks[[#This Row],[Level]])))</f>
        <v/>
      </c>
      <c r="BJ109" s="43" t="n">
        <f aca="false">ROW()-ROW(Tasks[[#Headers],[ID]])</f>
        <v>104</v>
      </c>
      <c r="BK10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09" s="43" t="n">
        <f aca="false">IFERROR(N(INDEX(Tasks[_Level],Tasks[[#This Row],[_Row]]+1)),0)</f>
        <v>0</v>
      </c>
      <c r="BM109" s="86" t="b">
        <f aca="false">AND(Tasks[[#This Row],[Task Name]]&lt;&gt;"",Tasks[[#This Row],[_NextLevel]]&gt;Tasks[[#This Row],[_Level]])</f>
        <v>0</v>
      </c>
      <c r="BN109" s="43" t="n">
        <f aca="false">IF(Tasks[[#This Row],[_IsSummary]],COUNTIF(Tasks[WBS],Tasks[[#This Row],[WBS]]&amp;".*"),0)</f>
        <v>0</v>
      </c>
      <c r="BO109" s="43" t="n">
        <f aca="false">IF(AND(Tasks[[#This Row],[Task Name]]&lt;&gt;"",NOT(Tasks[[#This Row],[_IsSummary]])),1,0)</f>
        <v>0</v>
      </c>
      <c r="BP109" s="43" t="n">
        <f aca="false">IF(N(Tasks[[#This Row],[Pred1 UID]])=0,0,IFERROR(MATCH(Tasks[[#This Row],[Pred1 UID]],Tasks[UID],0),-1))</f>
        <v>0</v>
      </c>
      <c r="BQ109" s="43" t="n">
        <f aca="false">IF(N(Tasks[[#This Row],[Pred2 UID]])=0,0,IFERROR(MATCH(Tasks[[#This Row],[Pred2 UID]],Tasks[UID],0),-1))</f>
        <v>0</v>
      </c>
      <c r="BR10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0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0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0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09" s="43" t="n">
        <f aca="false">IF(NOT(Tasks[[#This Row],[_IsLeaf]]=1),0,IF(N(Tasks[[#This Row],[Actual Finish]])&gt;0,1,MIN(1,N(Tasks[[#This Row],[% Complete]]))))</f>
        <v>0</v>
      </c>
      <c r="BW10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09" s="43" t="n">
        <f aca="false">IF(Tasks[[#This Row],[_LeafWork]]=0,0,Tasks[[#This Row],[_LeafWork]]*IFERROR(INDEX(res_Rate,MATCH(Tasks[[#This Row],[Resource]],res_Name,0)),0))</f>
        <v>0</v>
      </c>
      <c r="BY10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0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0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0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09" s="43" t="n">
        <f aca="false">IF(NOT(Tasks[[#This Row],[_IsLeaf]]=1),0,MAX(_xlfn.MAXIFS(Tasks[_Row],Tasks[Pred1 UID],Tasks[[#This Row],[UID]]),_xlfn.MAXIFS(Tasks[_Row],Tasks[Pred2 UID],Tasks[[#This Row],[UID]])))</f>
        <v>0</v>
      </c>
      <c r="CD10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09" s="87" t="str">
        <f aca="false">IF(NOT(Tasks[[#This Row],[_IsLeaf]]=1),"",MIN(ProjectFinish,IF(N(Tasks[[#This Row],[Deadline]])&gt;0,Tasks[[#This Row],[Deadline]],2958465),Tasks[[#This Row],[_SuccessorFinishLimit]]))</f>
        <v/>
      </c>
      <c r="CF10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0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09" s="86" t="b">
        <f aca="false">AND(Tasks[[#This Row],[_IsLeaf]]=1,Tasks[[#This Row],[_LeafProgress]]&lt;1,N(Tasks[[#This Row],[_LeafTotalSlack]])&lt;=CriticalSlackDays)</f>
        <v>0</v>
      </c>
      <c r="CI10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0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0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0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0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0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0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0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09" s="43" t="n">
        <f aca="false">IF(AND(Tasks[[#This Row],[_IsLeaf]]=1,Tasks[[#This Row],[_LeafWork]]&gt;0),NETWORKDAYS.INTL(ProjectStart,Tasks[[#This Row],[_LeafFcstStart]],WorkWeek,Holidays),0)</f>
        <v>0</v>
      </c>
      <c r="CR10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09" s="43" t="n">
        <f aca="false">IF(AND(Tasks[[#This Row],[_IsLeaf]]=1,Tasks[[#This Row],[_LeafWork]]&gt;0),Tasks[[#This Row],[_LeafWork]]/(Tasks[[#This Row],[_FinishWorkday]]-Tasks[[#This Row],[_StartWorkday]]+1),0)</f>
        <v>0</v>
      </c>
      <c r="CT109" s="43" t="n">
        <f aca="false">Tasks[[#This Row],[_WorkPerWorkday]]*(Tasks[[#This Row],[_StartWorkday]]-1)</f>
        <v>-0</v>
      </c>
      <c r="CU109" s="43" t="n">
        <f aca="false">IF(Tasks[[#This Row],[_IsLeaf]]=1,MAX(N(Tasks[[#This Row],[Duration]]),0.1),0)</f>
        <v>0</v>
      </c>
      <c r="CV109" s="43" t="n">
        <f aca="false">Tasks[[#This Row],[_WeightDur]]*Tasks[[#This Row],[_LeafProgress]]</f>
        <v>0</v>
      </c>
      <c r="CW10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0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0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0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0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09" s="43" t="str">
        <f aca="false">IF(AND(Tasks[[#This Row],[_IsLeaf]]=1,N(Tasks[[#This Row],[Duration]])=0,Tasks[[#This Row],[_LeafProgress]]&lt;1),Tasks[[#This Row],[_LeafFcstFinish]]+Tasks[[#This Row],[_Row]]/100000,"")</f>
        <v/>
      </c>
      <c r="DC10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09" s="43" t="n">
        <f aca="false">IF(NOT(Tasks[[#This Row],[_IsLeaf]]=1),0,IF(Tasks[[#This Row],[Baseline Cost]]="",Tasks[[#This Row],[_LeafCost]],N(Tasks[[#This Row],[Baseline Cost]])))</f>
        <v>0</v>
      </c>
      <c r="DE109" s="43" t="n">
        <f aca="false">Tasks[[#This Row],[_LeafBudget]]*Tasks[[#This Row],[_PlannedPct]]</f>
        <v>0</v>
      </c>
      <c r="DF109" s="43" t="n">
        <f aca="false">Tasks[[#This Row],[_LeafBudget]]*Tasks[[#This Row],[_LeafProgress]]</f>
        <v>0</v>
      </c>
      <c r="DG109" s="43" t="n">
        <f aca="false">IF(NOT(Tasks[[#This Row],[_IsLeaf]]=1),0,IF(Tasks[[#This Row],[Actual Cost]]="",Tasks[[#This Row],[_LeafCost]]*Tasks[[#This Row],[_LeafProgress]],N(Tasks[[#This Row],[Actual Cost]])))</f>
        <v>0</v>
      </c>
      <c r="DH109" s="43" t="str">
        <f aca="false">IF(Tasks[[#This Row],[Task Name]]="","",LEFT(Tasks[[#This Row],[WBS]],FIND(".",Tasks[[#This Row],[WBS]]&amp;".")-1))</f>
        <v/>
      </c>
      <c r="DI109" s="43" t="str">
        <f aca="false">IF(AND(Tasks[[#This Row],[Task Name]]&lt;&gt;"",Tasks[[#This Row],[_Level]]=1),Tasks[[#This Row],[_Row]],"")</f>
        <v/>
      </c>
      <c r="DJ109" s="43" t="str">
        <f aca="false">IF(AND(Tasks[[#This Row],[_IsLeaf]]=1,N(Tasks[[#This Row],[Duration]])=0),Tasks[[#This Row],[Planned Finish]]+Tasks[[#This Row],[_Row]]/100000,"")</f>
        <v/>
      </c>
      <c r="DK10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0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0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09" s="43" t="str">
        <f aca="false">IF(Tasks[[#This Row],[_LeafCritical]],Tasks[[#This Row],[_LeafFcstStart]]+Tasks[[#This Row],[_Row]]/100000,"")</f>
        <v/>
      </c>
      <c r="DO109" s="43" t="n">
        <f aca="false">Tasks[[#This Row],[_LeafWork]]*Tasks[[#This Row],[_LeafProgress]]</f>
        <v>0</v>
      </c>
      <c r="DP10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09" s="43" t="n">
        <f aca="false">IF(Tasks[[#This Row],[_IsLeaf]]=1,N(Tasks[[#This Row],[Story Points]]),0)</f>
        <v>0</v>
      </c>
      <c r="DR109" s="43" t="str">
        <f aca="false">IF(AND(Tasks[[#This Row],[_IsLeaf]]=1,CurrentSprint&lt;&gt;"",Tasks[[#This Row],[Sprint]]=CurrentSprint),Tasks[[#This Row],[_Row]],"")</f>
        <v/>
      </c>
    </row>
    <row r="110" customFormat="false" ht="15" hidden="false" customHeight="false" outlineLevel="0" collapsed="false">
      <c r="A110" s="28" t="str">
        <f aca="false">IF(Tasks[[#This Row],[Task Name]]="","",COUNTA(Tasks[[#Headers],[Task Name]]:Tasks[[#This Row],[Task Name]])-1)</f>
        <v/>
      </c>
      <c r="B110" s="29" t="n">
        <v>105</v>
      </c>
      <c r="C11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10" s="29"/>
      <c r="E110" s="30"/>
      <c r="F110" s="29"/>
      <c r="G110" s="29"/>
      <c r="H110" s="29"/>
      <c r="I110" s="29"/>
      <c r="J110" s="29"/>
      <c r="K110" s="29"/>
      <c r="L110" s="29"/>
      <c r="M110" s="29"/>
      <c r="N110" s="72"/>
      <c r="O110" s="72"/>
      <c r="P110" s="25" t="str">
        <f aca="false">IF(Tasks[[#This Row],[Task Name]]="","",IF(N(Tasks[[#This Row],[Baseline Start]])&gt;0,Tasks[[#This Row],[Baseline Start]],Tasks[[#This Row],[_CalcStart]]))</f>
        <v/>
      </c>
      <c r="Q110" s="25" t="str">
        <f aca="false">IF(Tasks[[#This Row],[Task Name]]="","",IF(N(Tasks[[#This Row],[Baseline Finish]])&gt;0,Tasks[[#This Row],[Baseline Finish]],Tasks[[#This Row],[_CalcFinish]]))</f>
        <v/>
      </c>
      <c r="R110" s="72"/>
      <c r="S110" s="72"/>
      <c r="T11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1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1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1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1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1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1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1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1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1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1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10" s="74"/>
      <c r="AF11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1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10" s="30"/>
      <c r="AI110" s="74"/>
      <c r="AJ11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1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10" s="83"/>
      <c r="AM110" s="29"/>
      <c r="AN11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10" s="84"/>
      <c r="AP11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10" s="30"/>
      <c r="AR110" s="25" t="str">
        <f aca="false">IF(Tasks[[#This Row],[Task Name]]="","",Tasks[[#This Row],[Forecast Start]])</f>
        <v/>
      </c>
      <c r="AS110" s="25" t="str">
        <f aca="false">IF(Tasks[[#This Row],[Task Name]]="","",Tasks[[#This Row],[Forecast Finish]])</f>
        <v/>
      </c>
      <c r="AT11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10" s="81" t="str">
        <f aca="false">IF(Tasks[[#This Row],[Task Name]]="","",Tasks[[#This Row],[Work]])</f>
        <v/>
      </c>
      <c r="AV110" s="82" t="str">
        <f aca="false">IF(Tasks[[#This Row],[Task Name]]="","",Tasks[[#This Row],[Cost]])</f>
        <v/>
      </c>
      <c r="AW110" s="72"/>
      <c r="AX110" s="72"/>
      <c r="AY110" s="29"/>
      <c r="AZ110" s="85"/>
      <c r="BA110" s="83"/>
      <c r="BB110" s="28" t="str">
        <f aca="false">IF(OR(Tasks[[#This Row],[Task Name]]="",Tasks[[#This Row],[Baseline Duration]]=""),"",Tasks[[#This Row],[BL Source Duration]]-N(Tasks[[#This Row],[Baseline Duration]]))</f>
        <v/>
      </c>
      <c r="BC110" s="81" t="str">
        <f aca="false">IF(OR(Tasks[[#This Row],[Task Name]]="",Tasks[[#This Row],[Baseline Work]]=""),"",Tasks[[#This Row],[Work]]-N(Tasks[[#This Row],[Baseline Work]]))</f>
        <v/>
      </c>
      <c r="BD110" s="82" t="str">
        <f aca="false">IF(OR(Tasks[[#This Row],[Task Name]]="",Tasks[[#This Row],[Baseline Cost]]=""),"",Tasks[[#This Row],[Cost]]-N(Tasks[[#This Row],[Baseline Cost]]))</f>
        <v/>
      </c>
      <c r="BE11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1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1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1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10" s="43" t="str">
        <f aca="false">IF(Tasks[[#This Row],[Task Name]]="","",MAX(1,N(Tasks[[#This Row],[Level]])))</f>
        <v/>
      </c>
      <c r="BJ110" s="43" t="n">
        <f aca="false">ROW()-ROW(Tasks[[#Headers],[ID]])</f>
        <v>105</v>
      </c>
      <c r="BK11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10" s="43" t="n">
        <f aca="false">IFERROR(N(INDEX(Tasks[_Level],Tasks[[#This Row],[_Row]]+1)),0)</f>
        <v>0</v>
      </c>
      <c r="BM110" s="86" t="b">
        <f aca="false">AND(Tasks[[#This Row],[Task Name]]&lt;&gt;"",Tasks[[#This Row],[_NextLevel]]&gt;Tasks[[#This Row],[_Level]])</f>
        <v>0</v>
      </c>
      <c r="BN110" s="43" t="n">
        <f aca="false">IF(Tasks[[#This Row],[_IsSummary]],COUNTIF(Tasks[WBS],Tasks[[#This Row],[WBS]]&amp;".*"),0)</f>
        <v>0</v>
      </c>
      <c r="BO110" s="43" t="n">
        <f aca="false">IF(AND(Tasks[[#This Row],[Task Name]]&lt;&gt;"",NOT(Tasks[[#This Row],[_IsSummary]])),1,0)</f>
        <v>0</v>
      </c>
      <c r="BP110" s="43" t="n">
        <f aca="false">IF(N(Tasks[[#This Row],[Pred1 UID]])=0,0,IFERROR(MATCH(Tasks[[#This Row],[Pred1 UID]],Tasks[UID],0),-1))</f>
        <v>0</v>
      </c>
      <c r="BQ110" s="43" t="n">
        <f aca="false">IF(N(Tasks[[#This Row],[Pred2 UID]])=0,0,IFERROR(MATCH(Tasks[[#This Row],[Pred2 UID]],Tasks[UID],0),-1))</f>
        <v>0</v>
      </c>
      <c r="BR11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1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1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1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10" s="43" t="n">
        <f aca="false">IF(NOT(Tasks[[#This Row],[_IsLeaf]]=1),0,IF(N(Tasks[[#This Row],[Actual Finish]])&gt;0,1,MIN(1,N(Tasks[[#This Row],[% Complete]]))))</f>
        <v>0</v>
      </c>
      <c r="BW11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10" s="43" t="n">
        <f aca="false">IF(Tasks[[#This Row],[_LeafWork]]=0,0,Tasks[[#This Row],[_LeafWork]]*IFERROR(INDEX(res_Rate,MATCH(Tasks[[#This Row],[Resource]],res_Name,0)),0))</f>
        <v>0</v>
      </c>
      <c r="BY11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1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1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1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10" s="43" t="n">
        <f aca="false">IF(NOT(Tasks[[#This Row],[_IsLeaf]]=1),0,MAX(_xlfn.MAXIFS(Tasks[_Row],Tasks[Pred1 UID],Tasks[[#This Row],[UID]]),_xlfn.MAXIFS(Tasks[_Row],Tasks[Pred2 UID],Tasks[[#This Row],[UID]])))</f>
        <v>0</v>
      </c>
      <c r="CD11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10" s="87" t="str">
        <f aca="false">IF(NOT(Tasks[[#This Row],[_IsLeaf]]=1),"",MIN(ProjectFinish,IF(N(Tasks[[#This Row],[Deadline]])&gt;0,Tasks[[#This Row],[Deadline]],2958465),Tasks[[#This Row],[_SuccessorFinishLimit]]))</f>
        <v/>
      </c>
      <c r="CF11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1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10" s="86" t="b">
        <f aca="false">AND(Tasks[[#This Row],[_IsLeaf]]=1,Tasks[[#This Row],[_LeafProgress]]&lt;1,N(Tasks[[#This Row],[_LeafTotalSlack]])&lt;=CriticalSlackDays)</f>
        <v>0</v>
      </c>
      <c r="CI11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1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1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1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1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1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1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1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10" s="43" t="n">
        <f aca="false">IF(AND(Tasks[[#This Row],[_IsLeaf]]=1,Tasks[[#This Row],[_LeafWork]]&gt;0),NETWORKDAYS.INTL(ProjectStart,Tasks[[#This Row],[_LeafFcstStart]],WorkWeek,Holidays),0)</f>
        <v>0</v>
      </c>
      <c r="CR11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10" s="43" t="n">
        <f aca="false">IF(AND(Tasks[[#This Row],[_IsLeaf]]=1,Tasks[[#This Row],[_LeafWork]]&gt;0),Tasks[[#This Row],[_LeafWork]]/(Tasks[[#This Row],[_FinishWorkday]]-Tasks[[#This Row],[_StartWorkday]]+1),0)</f>
        <v>0</v>
      </c>
      <c r="CT110" s="43" t="n">
        <f aca="false">Tasks[[#This Row],[_WorkPerWorkday]]*(Tasks[[#This Row],[_StartWorkday]]-1)</f>
        <v>-0</v>
      </c>
      <c r="CU110" s="43" t="n">
        <f aca="false">IF(Tasks[[#This Row],[_IsLeaf]]=1,MAX(N(Tasks[[#This Row],[Duration]]),0.1),0)</f>
        <v>0</v>
      </c>
      <c r="CV110" s="43" t="n">
        <f aca="false">Tasks[[#This Row],[_WeightDur]]*Tasks[[#This Row],[_LeafProgress]]</f>
        <v>0</v>
      </c>
      <c r="CW11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1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1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1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1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10" s="43" t="str">
        <f aca="false">IF(AND(Tasks[[#This Row],[_IsLeaf]]=1,N(Tasks[[#This Row],[Duration]])=0,Tasks[[#This Row],[_LeafProgress]]&lt;1),Tasks[[#This Row],[_LeafFcstFinish]]+Tasks[[#This Row],[_Row]]/100000,"")</f>
        <v/>
      </c>
      <c r="DC11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10" s="43" t="n">
        <f aca="false">IF(NOT(Tasks[[#This Row],[_IsLeaf]]=1),0,IF(Tasks[[#This Row],[Baseline Cost]]="",Tasks[[#This Row],[_LeafCost]],N(Tasks[[#This Row],[Baseline Cost]])))</f>
        <v>0</v>
      </c>
      <c r="DE110" s="43" t="n">
        <f aca="false">Tasks[[#This Row],[_LeafBudget]]*Tasks[[#This Row],[_PlannedPct]]</f>
        <v>0</v>
      </c>
      <c r="DF110" s="43" t="n">
        <f aca="false">Tasks[[#This Row],[_LeafBudget]]*Tasks[[#This Row],[_LeafProgress]]</f>
        <v>0</v>
      </c>
      <c r="DG110" s="43" t="n">
        <f aca="false">IF(NOT(Tasks[[#This Row],[_IsLeaf]]=1),0,IF(Tasks[[#This Row],[Actual Cost]]="",Tasks[[#This Row],[_LeafCost]]*Tasks[[#This Row],[_LeafProgress]],N(Tasks[[#This Row],[Actual Cost]])))</f>
        <v>0</v>
      </c>
      <c r="DH110" s="43" t="str">
        <f aca="false">IF(Tasks[[#This Row],[Task Name]]="","",LEFT(Tasks[[#This Row],[WBS]],FIND(".",Tasks[[#This Row],[WBS]]&amp;".")-1))</f>
        <v/>
      </c>
      <c r="DI110" s="43" t="str">
        <f aca="false">IF(AND(Tasks[[#This Row],[Task Name]]&lt;&gt;"",Tasks[[#This Row],[_Level]]=1),Tasks[[#This Row],[_Row]],"")</f>
        <v/>
      </c>
      <c r="DJ110" s="43" t="str">
        <f aca="false">IF(AND(Tasks[[#This Row],[_IsLeaf]]=1,N(Tasks[[#This Row],[Duration]])=0),Tasks[[#This Row],[Planned Finish]]+Tasks[[#This Row],[_Row]]/100000,"")</f>
        <v/>
      </c>
      <c r="DK11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1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1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10" s="43" t="str">
        <f aca="false">IF(Tasks[[#This Row],[_LeafCritical]],Tasks[[#This Row],[_LeafFcstStart]]+Tasks[[#This Row],[_Row]]/100000,"")</f>
        <v/>
      </c>
      <c r="DO110" s="43" t="n">
        <f aca="false">Tasks[[#This Row],[_LeafWork]]*Tasks[[#This Row],[_LeafProgress]]</f>
        <v>0</v>
      </c>
      <c r="DP11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10" s="43" t="n">
        <f aca="false">IF(Tasks[[#This Row],[_IsLeaf]]=1,N(Tasks[[#This Row],[Story Points]]),0)</f>
        <v>0</v>
      </c>
      <c r="DR110" s="43" t="str">
        <f aca="false">IF(AND(Tasks[[#This Row],[_IsLeaf]]=1,CurrentSprint&lt;&gt;"",Tasks[[#This Row],[Sprint]]=CurrentSprint),Tasks[[#This Row],[_Row]],"")</f>
        <v/>
      </c>
    </row>
    <row r="111" customFormat="false" ht="15" hidden="false" customHeight="false" outlineLevel="0" collapsed="false">
      <c r="A111" s="28" t="str">
        <f aca="false">IF(Tasks[[#This Row],[Task Name]]="","",COUNTA(Tasks[[#Headers],[Task Name]]:Tasks[[#This Row],[Task Name]])-1)</f>
        <v/>
      </c>
      <c r="B111" s="29" t="n">
        <v>106</v>
      </c>
      <c r="C11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11" s="29"/>
      <c r="E111" s="30"/>
      <c r="F111" s="29"/>
      <c r="G111" s="29"/>
      <c r="H111" s="29"/>
      <c r="I111" s="29"/>
      <c r="J111" s="29"/>
      <c r="K111" s="29"/>
      <c r="L111" s="29"/>
      <c r="M111" s="29"/>
      <c r="N111" s="72"/>
      <c r="O111" s="72"/>
      <c r="P111" s="25" t="str">
        <f aca="false">IF(Tasks[[#This Row],[Task Name]]="","",IF(N(Tasks[[#This Row],[Baseline Start]])&gt;0,Tasks[[#This Row],[Baseline Start]],Tasks[[#This Row],[_CalcStart]]))</f>
        <v/>
      </c>
      <c r="Q111" s="25" t="str">
        <f aca="false">IF(Tasks[[#This Row],[Task Name]]="","",IF(N(Tasks[[#This Row],[Baseline Finish]])&gt;0,Tasks[[#This Row],[Baseline Finish]],Tasks[[#This Row],[_CalcFinish]]))</f>
        <v/>
      </c>
      <c r="R111" s="72"/>
      <c r="S111" s="72"/>
      <c r="T11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1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1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1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1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1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1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1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1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1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1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11" s="74"/>
      <c r="AF11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1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11" s="30"/>
      <c r="AI111" s="74"/>
      <c r="AJ11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1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11" s="83"/>
      <c r="AM111" s="29"/>
      <c r="AN11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11" s="84"/>
      <c r="AP11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11" s="30"/>
      <c r="AR111" s="25" t="str">
        <f aca="false">IF(Tasks[[#This Row],[Task Name]]="","",Tasks[[#This Row],[Forecast Start]])</f>
        <v/>
      </c>
      <c r="AS111" s="25" t="str">
        <f aca="false">IF(Tasks[[#This Row],[Task Name]]="","",Tasks[[#This Row],[Forecast Finish]])</f>
        <v/>
      </c>
      <c r="AT11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11" s="81" t="str">
        <f aca="false">IF(Tasks[[#This Row],[Task Name]]="","",Tasks[[#This Row],[Work]])</f>
        <v/>
      </c>
      <c r="AV111" s="82" t="str">
        <f aca="false">IF(Tasks[[#This Row],[Task Name]]="","",Tasks[[#This Row],[Cost]])</f>
        <v/>
      </c>
      <c r="AW111" s="72"/>
      <c r="AX111" s="72"/>
      <c r="AY111" s="29"/>
      <c r="AZ111" s="85"/>
      <c r="BA111" s="83"/>
      <c r="BB111" s="28" t="str">
        <f aca="false">IF(OR(Tasks[[#This Row],[Task Name]]="",Tasks[[#This Row],[Baseline Duration]]=""),"",Tasks[[#This Row],[BL Source Duration]]-N(Tasks[[#This Row],[Baseline Duration]]))</f>
        <v/>
      </c>
      <c r="BC111" s="81" t="str">
        <f aca="false">IF(OR(Tasks[[#This Row],[Task Name]]="",Tasks[[#This Row],[Baseline Work]]=""),"",Tasks[[#This Row],[Work]]-N(Tasks[[#This Row],[Baseline Work]]))</f>
        <v/>
      </c>
      <c r="BD111" s="82" t="str">
        <f aca="false">IF(OR(Tasks[[#This Row],[Task Name]]="",Tasks[[#This Row],[Baseline Cost]]=""),"",Tasks[[#This Row],[Cost]]-N(Tasks[[#This Row],[Baseline Cost]]))</f>
        <v/>
      </c>
      <c r="BE11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1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1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1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11" s="43" t="str">
        <f aca="false">IF(Tasks[[#This Row],[Task Name]]="","",MAX(1,N(Tasks[[#This Row],[Level]])))</f>
        <v/>
      </c>
      <c r="BJ111" s="43" t="n">
        <f aca="false">ROW()-ROW(Tasks[[#Headers],[ID]])</f>
        <v>106</v>
      </c>
      <c r="BK11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11" s="43" t="n">
        <f aca="false">IFERROR(N(INDEX(Tasks[_Level],Tasks[[#This Row],[_Row]]+1)),0)</f>
        <v>0</v>
      </c>
      <c r="BM111" s="86" t="b">
        <f aca="false">AND(Tasks[[#This Row],[Task Name]]&lt;&gt;"",Tasks[[#This Row],[_NextLevel]]&gt;Tasks[[#This Row],[_Level]])</f>
        <v>0</v>
      </c>
      <c r="BN111" s="43" t="n">
        <f aca="false">IF(Tasks[[#This Row],[_IsSummary]],COUNTIF(Tasks[WBS],Tasks[[#This Row],[WBS]]&amp;".*"),0)</f>
        <v>0</v>
      </c>
      <c r="BO111" s="43" t="n">
        <f aca="false">IF(AND(Tasks[[#This Row],[Task Name]]&lt;&gt;"",NOT(Tasks[[#This Row],[_IsSummary]])),1,0)</f>
        <v>0</v>
      </c>
      <c r="BP111" s="43" t="n">
        <f aca="false">IF(N(Tasks[[#This Row],[Pred1 UID]])=0,0,IFERROR(MATCH(Tasks[[#This Row],[Pred1 UID]],Tasks[UID],0),-1))</f>
        <v>0</v>
      </c>
      <c r="BQ111" s="43" t="n">
        <f aca="false">IF(N(Tasks[[#This Row],[Pred2 UID]])=0,0,IFERROR(MATCH(Tasks[[#This Row],[Pred2 UID]],Tasks[UID],0),-1))</f>
        <v>0</v>
      </c>
      <c r="BR11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1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1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1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11" s="43" t="n">
        <f aca="false">IF(NOT(Tasks[[#This Row],[_IsLeaf]]=1),0,IF(N(Tasks[[#This Row],[Actual Finish]])&gt;0,1,MIN(1,N(Tasks[[#This Row],[% Complete]]))))</f>
        <v>0</v>
      </c>
      <c r="BW11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11" s="43" t="n">
        <f aca="false">IF(Tasks[[#This Row],[_LeafWork]]=0,0,Tasks[[#This Row],[_LeafWork]]*IFERROR(INDEX(res_Rate,MATCH(Tasks[[#This Row],[Resource]],res_Name,0)),0))</f>
        <v>0</v>
      </c>
      <c r="BY11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1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1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1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11" s="43" t="n">
        <f aca="false">IF(NOT(Tasks[[#This Row],[_IsLeaf]]=1),0,MAX(_xlfn.MAXIFS(Tasks[_Row],Tasks[Pred1 UID],Tasks[[#This Row],[UID]]),_xlfn.MAXIFS(Tasks[_Row],Tasks[Pred2 UID],Tasks[[#This Row],[UID]])))</f>
        <v>0</v>
      </c>
      <c r="CD11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11" s="87" t="str">
        <f aca="false">IF(NOT(Tasks[[#This Row],[_IsLeaf]]=1),"",MIN(ProjectFinish,IF(N(Tasks[[#This Row],[Deadline]])&gt;0,Tasks[[#This Row],[Deadline]],2958465),Tasks[[#This Row],[_SuccessorFinishLimit]]))</f>
        <v/>
      </c>
      <c r="CF11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1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11" s="86" t="b">
        <f aca="false">AND(Tasks[[#This Row],[_IsLeaf]]=1,Tasks[[#This Row],[_LeafProgress]]&lt;1,N(Tasks[[#This Row],[_LeafTotalSlack]])&lt;=CriticalSlackDays)</f>
        <v>0</v>
      </c>
      <c r="CI11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1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1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1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1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1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1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1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11" s="43" t="n">
        <f aca="false">IF(AND(Tasks[[#This Row],[_IsLeaf]]=1,Tasks[[#This Row],[_LeafWork]]&gt;0),NETWORKDAYS.INTL(ProjectStart,Tasks[[#This Row],[_LeafFcstStart]],WorkWeek,Holidays),0)</f>
        <v>0</v>
      </c>
      <c r="CR11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11" s="43" t="n">
        <f aca="false">IF(AND(Tasks[[#This Row],[_IsLeaf]]=1,Tasks[[#This Row],[_LeafWork]]&gt;0),Tasks[[#This Row],[_LeafWork]]/(Tasks[[#This Row],[_FinishWorkday]]-Tasks[[#This Row],[_StartWorkday]]+1),0)</f>
        <v>0</v>
      </c>
      <c r="CT111" s="43" t="n">
        <f aca="false">Tasks[[#This Row],[_WorkPerWorkday]]*(Tasks[[#This Row],[_StartWorkday]]-1)</f>
        <v>-0</v>
      </c>
      <c r="CU111" s="43" t="n">
        <f aca="false">IF(Tasks[[#This Row],[_IsLeaf]]=1,MAX(N(Tasks[[#This Row],[Duration]]),0.1),0)</f>
        <v>0</v>
      </c>
      <c r="CV111" s="43" t="n">
        <f aca="false">Tasks[[#This Row],[_WeightDur]]*Tasks[[#This Row],[_LeafProgress]]</f>
        <v>0</v>
      </c>
      <c r="CW11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1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1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1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1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11" s="43" t="str">
        <f aca="false">IF(AND(Tasks[[#This Row],[_IsLeaf]]=1,N(Tasks[[#This Row],[Duration]])=0,Tasks[[#This Row],[_LeafProgress]]&lt;1),Tasks[[#This Row],[_LeafFcstFinish]]+Tasks[[#This Row],[_Row]]/100000,"")</f>
        <v/>
      </c>
      <c r="DC11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11" s="43" t="n">
        <f aca="false">IF(NOT(Tasks[[#This Row],[_IsLeaf]]=1),0,IF(Tasks[[#This Row],[Baseline Cost]]="",Tasks[[#This Row],[_LeafCost]],N(Tasks[[#This Row],[Baseline Cost]])))</f>
        <v>0</v>
      </c>
      <c r="DE111" s="43" t="n">
        <f aca="false">Tasks[[#This Row],[_LeafBudget]]*Tasks[[#This Row],[_PlannedPct]]</f>
        <v>0</v>
      </c>
      <c r="DF111" s="43" t="n">
        <f aca="false">Tasks[[#This Row],[_LeafBudget]]*Tasks[[#This Row],[_LeafProgress]]</f>
        <v>0</v>
      </c>
      <c r="DG111" s="43" t="n">
        <f aca="false">IF(NOT(Tasks[[#This Row],[_IsLeaf]]=1),0,IF(Tasks[[#This Row],[Actual Cost]]="",Tasks[[#This Row],[_LeafCost]]*Tasks[[#This Row],[_LeafProgress]],N(Tasks[[#This Row],[Actual Cost]])))</f>
        <v>0</v>
      </c>
      <c r="DH111" s="43" t="str">
        <f aca="false">IF(Tasks[[#This Row],[Task Name]]="","",LEFT(Tasks[[#This Row],[WBS]],FIND(".",Tasks[[#This Row],[WBS]]&amp;".")-1))</f>
        <v/>
      </c>
      <c r="DI111" s="43" t="str">
        <f aca="false">IF(AND(Tasks[[#This Row],[Task Name]]&lt;&gt;"",Tasks[[#This Row],[_Level]]=1),Tasks[[#This Row],[_Row]],"")</f>
        <v/>
      </c>
      <c r="DJ111" s="43" t="str">
        <f aca="false">IF(AND(Tasks[[#This Row],[_IsLeaf]]=1,N(Tasks[[#This Row],[Duration]])=0),Tasks[[#This Row],[Planned Finish]]+Tasks[[#This Row],[_Row]]/100000,"")</f>
        <v/>
      </c>
      <c r="DK11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1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1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11" s="43" t="str">
        <f aca="false">IF(Tasks[[#This Row],[_LeafCritical]],Tasks[[#This Row],[_LeafFcstStart]]+Tasks[[#This Row],[_Row]]/100000,"")</f>
        <v/>
      </c>
      <c r="DO111" s="43" t="n">
        <f aca="false">Tasks[[#This Row],[_LeafWork]]*Tasks[[#This Row],[_LeafProgress]]</f>
        <v>0</v>
      </c>
      <c r="DP11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11" s="43" t="n">
        <f aca="false">IF(Tasks[[#This Row],[_IsLeaf]]=1,N(Tasks[[#This Row],[Story Points]]),0)</f>
        <v>0</v>
      </c>
      <c r="DR111" s="43" t="str">
        <f aca="false">IF(AND(Tasks[[#This Row],[_IsLeaf]]=1,CurrentSprint&lt;&gt;"",Tasks[[#This Row],[Sprint]]=CurrentSprint),Tasks[[#This Row],[_Row]],"")</f>
        <v/>
      </c>
    </row>
    <row r="112" customFormat="false" ht="15" hidden="false" customHeight="false" outlineLevel="0" collapsed="false">
      <c r="A112" s="28" t="str">
        <f aca="false">IF(Tasks[[#This Row],[Task Name]]="","",COUNTA(Tasks[[#Headers],[Task Name]]:Tasks[[#This Row],[Task Name]])-1)</f>
        <v/>
      </c>
      <c r="B112" s="29" t="n">
        <v>107</v>
      </c>
      <c r="C11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12" s="29"/>
      <c r="E112" s="30"/>
      <c r="F112" s="29"/>
      <c r="G112" s="29"/>
      <c r="H112" s="29"/>
      <c r="I112" s="29"/>
      <c r="J112" s="29"/>
      <c r="K112" s="29"/>
      <c r="L112" s="29"/>
      <c r="M112" s="29"/>
      <c r="N112" s="72"/>
      <c r="O112" s="72"/>
      <c r="P112" s="25" t="str">
        <f aca="false">IF(Tasks[[#This Row],[Task Name]]="","",IF(N(Tasks[[#This Row],[Baseline Start]])&gt;0,Tasks[[#This Row],[Baseline Start]],Tasks[[#This Row],[_CalcStart]]))</f>
        <v/>
      </c>
      <c r="Q112" s="25" t="str">
        <f aca="false">IF(Tasks[[#This Row],[Task Name]]="","",IF(N(Tasks[[#This Row],[Baseline Finish]])&gt;0,Tasks[[#This Row],[Baseline Finish]],Tasks[[#This Row],[_CalcFinish]]))</f>
        <v/>
      </c>
      <c r="R112" s="72"/>
      <c r="S112" s="72"/>
      <c r="T11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1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1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1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1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1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1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1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1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1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1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12" s="74"/>
      <c r="AF11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1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12" s="30"/>
      <c r="AI112" s="74"/>
      <c r="AJ11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1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12" s="83"/>
      <c r="AM112" s="29"/>
      <c r="AN11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12" s="84"/>
      <c r="AP11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12" s="30"/>
      <c r="AR112" s="25" t="str">
        <f aca="false">IF(Tasks[[#This Row],[Task Name]]="","",Tasks[[#This Row],[Forecast Start]])</f>
        <v/>
      </c>
      <c r="AS112" s="25" t="str">
        <f aca="false">IF(Tasks[[#This Row],[Task Name]]="","",Tasks[[#This Row],[Forecast Finish]])</f>
        <v/>
      </c>
      <c r="AT11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12" s="81" t="str">
        <f aca="false">IF(Tasks[[#This Row],[Task Name]]="","",Tasks[[#This Row],[Work]])</f>
        <v/>
      </c>
      <c r="AV112" s="82" t="str">
        <f aca="false">IF(Tasks[[#This Row],[Task Name]]="","",Tasks[[#This Row],[Cost]])</f>
        <v/>
      </c>
      <c r="AW112" s="72"/>
      <c r="AX112" s="72"/>
      <c r="AY112" s="29"/>
      <c r="AZ112" s="85"/>
      <c r="BA112" s="83"/>
      <c r="BB112" s="28" t="str">
        <f aca="false">IF(OR(Tasks[[#This Row],[Task Name]]="",Tasks[[#This Row],[Baseline Duration]]=""),"",Tasks[[#This Row],[BL Source Duration]]-N(Tasks[[#This Row],[Baseline Duration]]))</f>
        <v/>
      </c>
      <c r="BC112" s="81" t="str">
        <f aca="false">IF(OR(Tasks[[#This Row],[Task Name]]="",Tasks[[#This Row],[Baseline Work]]=""),"",Tasks[[#This Row],[Work]]-N(Tasks[[#This Row],[Baseline Work]]))</f>
        <v/>
      </c>
      <c r="BD112" s="82" t="str">
        <f aca="false">IF(OR(Tasks[[#This Row],[Task Name]]="",Tasks[[#This Row],[Baseline Cost]]=""),"",Tasks[[#This Row],[Cost]]-N(Tasks[[#This Row],[Baseline Cost]]))</f>
        <v/>
      </c>
      <c r="BE11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1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1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1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12" s="43" t="str">
        <f aca="false">IF(Tasks[[#This Row],[Task Name]]="","",MAX(1,N(Tasks[[#This Row],[Level]])))</f>
        <v/>
      </c>
      <c r="BJ112" s="43" t="n">
        <f aca="false">ROW()-ROW(Tasks[[#Headers],[ID]])</f>
        <v>107</v>
      </c>
      <c r="BK11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12" s="43" t="n">
        <f aca="false">IFERROR(N(INDEX(Tasks[_Level],Tasks[[#This Row],[_Row]]+1)),0)</f>
        <v>0</v>
      </c>
      <c r="BM112" s="86" t="b">
        <f aca="false">AND(Tasks[[#This Row],[Task Name]]&lt;&gt;"",Tasks[[#This Row],[_NextLevel]]&gt;Tasks[[#This Row],[_Level]])</f>
        <v>0</v>
      </c>
      <c r="BN112" s="43" t="n">
        <f aca="false">IF(Tasks[[#This Row],[_IsSummary]],COUNTIF(Tasks[WBS],Tasks[[#This Row],[WBS]]&amp;".*"),0)</f>
        <v>0</v>
      </c>
      <c r="BO112" s="43" t="n">
        <f aca="false">IF(AND(Tasks[[#This Row],[Task Name]]&lt;&gt;"",NOT(Tasks[[#This Row],[_IsSummary]])),1,0)</f>
        <v>0</v>
      </c>
      <c r="BP112" s="43" t="n">
        <f aca="false">IF(N(Tasks[[#This Row],[Pred1 UID]])=0,0,IFERROR(MATCH(Tasks[[#This Row],[Pred1 UID]],Tasks[UID],0),-1))</f>
        <v>0</v>
      </c>
      <c r="BQ112" s="43" t="n">
        <f aca="false">IF(N(Tasks[[#This Row],[Pred2 UID]])=0,0,IFERROR(MATCH(Tasks[[#This Row],[Pred2 UID]],Tasks[UID],0),-1))</f>
        <v>0</v>
      </c>
      <c r="BR11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1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1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1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12" s="43" t="n">
        <f aca="false">IF(NOT(Tasks[[#This Row],[_IsLeaf]]=1),0,IF(N(Tasks[[#This Row],[Actual Finish]])&gt;0,1,MIN(1,N(Tasks[[#This Row],[% Complete]]))))</f>
        <v>0</v>
      </c>
      <c r="BW11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12" s="43" t="n">
        <f aca="false">IF(Tasks[[#This Row],[_LeafWork]]=0,0,Tasks[[#This Row],[_LeafWork]]*IFERROR(INDEX(res_Rate,MATCH(Tasks[[#This Row],[Resource]],res_Name,0)),0))</f>
        <v>0</v>
      </c>
      <c r="BY11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1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1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1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12" s="43" t="n">
        <f aca="false">IF(NOT(Tasks[[#This Row],[_IsLeaf]]=1),0,MAX(_xlfn.MAXIFS(Tasks[_Row],Tasks[Pred1 UID],Tasks[[#This Row],[UID]]),_xlfn.MAXIFS(Tasks[_Row],Tasks[Pred2 UID],Tasks[[#This Row],[UID]])))</f>
        <v>0</v>
      </c>
      <c r="CD11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12" s="87" t="str">
        <f aca="false">IF(NOT(Tasks[[#This Row],[_IsLeaf]]=1),"",MIN(ProjectFinish,IF(N(Tasks[[#This Row],[Deadline]])&gt;0,Tasks[[#This Row],[Deadline]],2958465),Tasks[[#This Row],[_SuccessorFinishLimit]]))</f>
        <v/>
      </c>
      <c r="CF11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1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12" s="86" t="b">
        <f aca="false">AND(Tasks[[#This Row],[_IsLeaf]]=1,Tasks[[#This Row],[_LeafProgress]]&lt;1,N(Tasks[[#This Row],[_LeafTotalSlack]])&lt;=CriticalSlackDays)</f>
        <v>0</v>
      </c>
      <c r="CI11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1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1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1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1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1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1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1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12" s="43" t="n">
        <f aca="false">IF(AND(Tasks[[#This Row],[_IsLeaf]]=1,Tasks[[#This Row],[_LeafWork]]&gt;0),NETWORKDAYS.INTL(ProjectStart,Tasks[[#This Row],[_LeafFcstStart]],WorkWeek,Holidays),0)</f>
        <v>0</v>
      </c>
      <c r="CR11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12" s="43" t="n">
        <f aca="false">IF(AND(Tasks[[#This Row],[_IsLeaf]]=1,Tasks[[#This Row],[_LeafWork]]&gt;0),Tasks[[#This Row],[_LeafWork]]/(Tasks[[#This Row],[_FinishWorkday]]-Tasks[[#This Row],[_StartWorkday]]+1),0)</f>
        <v>0</v>
      </c>
      <c r="CT112" s="43" t="n">
        <f aca="false">Tasks[[#This Row],[_WorkPerWorkday]]*(Tasks[[#This Row],[_StartWorkday]]-1)</f>
        <v>-0</v>
      </c>
      <c r="CU112" s="43" t="n">
        <f aca="false">IF(Tasks[[#This Row],[_IsLeaf]]=1,MAX(N(Tasks[[#This Row],[Duration]]),0.1),0)</f>
        <v>0</v>
      </c>
      <c r="CV112" s="43" t="n">
        <f aca="false">Tasks[[#This Row],[_WeightDur]]*Tasks[[#This Row],[_LeafProgress]]</f>
        <v>0</v>
      </c>
      <c r="CW11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1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1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1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1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12" s="43" t="str">
        <f aca="false">IF(AND(Tasks[[#This Row],[_IsLeaf]]=1,N(Tasks[[#This Row],[Duration]])=0,Tasks[[#This Row],[_LeafProgress]]&lt;1),Tasks[[#This Row],[_LeafFcstFinish]]+Tasks[[#This Row],[_Row]]/100000,"")</f>
        <v/>
      </c>
      <c r="DC11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12" s="43" t="n">
        <f aca="false">IF(NOT(Tasks[[#This Row],[_IsLeaf]]=1),0,IF(Tasks[[#This Row],[Baseline Cost]]="",Tasks[[#This Row],[_LeafCost]],N(Tasks[[#This Row],[Baseline Cost]])))</f>
        <v>0</v>
      </c>
      <c r="DE112" s="43" t="n">
        <f aca="false">Tasks[[#This Row],[_LeafBudget]]*Tasks[[#This Row],[_PlannedPct]]</f>
        <v>0</v>
      </c>
      <c r="DF112" s="43" t="n">
        <f aca="false">Tasks[[#This Row],[_LeafBudget]]*Tasks[[#This Row],[_LeafProgress]]</f>
        <v>0</v>
      </c>
      <c r="DG112" s="43" t="n">
        <f aca="false">IF(NOT(Tasks[[#This Row],[_IsLeaf]]=1),0,IF(Tasks[[#This Row],[Actual Cost]]="",Tasks[[#This Row],[_LeafCost]]*Tasks[[#This Row],[_LeafProgress]],N(Tasks[[#This Row],[Actual Cost]])))</f>
        <v>0</v>
      </c>
      <c r="DH112" s="43" t="str">
        <f aca="false">IF(Tasks[[#This Row],[Task Name]]="","",LEFT(Tasks[[#This Row],[WBS]],FIND(".",Tasks[[#This Row],[WBS]]&amp;".")-1))</f>
        <v/>
      </c>
      <c r="DI112" s="43" t="str">
        <f aca="false">IF(AND(Tasks[[#This Row],[Task Name]]&lt;&gt;"",Tasks[[#This Row],[_Level]]=1),Tasks[[#This Row],[_Row]],"")</f>
        <v/>
      </c>
      <c r="DJ112" s="43" t="str">
        <f aca="false">IF(AND(Tasks[[#This Row],[_IsLeaf]]=1,N(Tasks[[#This Row],[Duration]])=0),Tasks[[#This Row],[Planned Finish]]+Tasks[[#This Row],[_Row]]/100000,"")</f>
        <v/>
      </c>
      <c r="DK11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1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1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12" s="43" t="str">
        <f aca="false">IF(Tasks[[#This Row],[_LeafCritical]],Tasks[[#This Row],[_LeafFcstStart]]+Tasks[[#This Row],[_Row]]/100000,"")</f>
        <v/>
      </c>
      <c r="DO112" s="43" t="n">
        <f aca="false">Tasks[[#This Row],[_LeafWork]]*Tasks[[#This Row],[_LeafProgress]]</f>
        <v>0</v>
      </c>
      <c r="DP11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12" s="43" t="n">
        <f aca="false">IF(Tasks[[#This Row],[_IsLeaf]]=1,N(Tasks[[#This Row],[Story Points]]),0)</f>
        <v>0</v>
      </c>
      <c r="DR112" s="43" t="str">
        <f aca="false">IF(AND(Tasks[[#This Row],[_IsLeaf]]=1,CurrentSprint&lt;&gt;"",Tasks[[#This Row],[Sprint]]=CurrentSprint),Tasks[[#This Row],[_Row]],"")</f>
        <v/>
      </c>
    </row>
    <row r="113" customFormat="false" ht="15" hidden="false" customHeight="false" outlineLevel="0" collapsed="false">
      <c r="A113" s="28" t="str">
        <f aca="false">IF(Tasks[[#This Row],[Task Name]]="","",COUNTA(Tasks[[#Headers],[Task Name]]:Tasks[[#This Row],[Task Name]])-1)</f>
        <v/>
      </c>
      <c r="B113" s="29" t="n">
        <v>108</v>
      </c>
      <c r="C11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13" s="29"/>
      <c r="E113" s="30"/>
      <c r="F113" s="29"/>
      <c r="G113" s="29"/>
      <c r="H113" s="29"/>
      <c r="I113" s="29"/>
      <c r="J113" s="29"/>
      <c r="K113" s="29"/>
      <c r="L113" s="29"/>
      <c r="M113" s="29"/>
      <c r="N113" s="72"/>
      <c r="O113" s="72"/>
      <c r="P113" s="25" t="str">
        <f aca="false">IF(Tasks[[#This Row],[Task Name]]="","",IF(N(Tasks[[#This Row],[Baseline Start]])&gt;0,Tasks[[#This Row],[Baseline Start]],Tasks[[#This Row],[_CalcStart]]))</f>
        <v/>
      </c>
      <c r="Q113" s="25" t="str">
        <f aca="false">IF(Tasks[[#This Row],[Task Name]]="","",IF(N(Tasks[[#This Row],[Baseline Finish]])&gt;0,Tasks[[#This Row],[Baseline Finish]],Tasks[[#This Row],[_CalcFinish]]))</f>
        <v/>
      </c>
      <c r="R113" s="72"/>
      <c r="S113" s="72"/>
      <c r="T11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1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1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1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1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1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1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1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1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1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1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13" s="74"/>
      <c r="AF11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1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13" s="30"/>
      <c r="AI113" s="74"/>
      <c r="AJ11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1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13" s="83"/>
      <c r="AM113" s="29"/>
      <c r="AN11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13" s="84"/>
      <c r="AP11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13" s="30"/>
      <c r="AR113" s="25" t="str">
        <f aca="false">IF(Tasks[[#This Row],[Task Name]]="","",Tasks[[#This Row],[Forecast Start]])</f>
        <v/>
      </c>
      <c r="AS113" s="25" t="str">
        <f aca="false">IF(Tasks[[#This Row],[Task Name]]="","",Tasks[[#This Row],[Forecast Finish]])</f>
        <v/>
      </c>
      <c r="AT11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13" s="81" t="str">
        <f aca="false">IF(Tasks[[#This Row],[Task Name]]="","",Tasks[[#This Row],[Work]])</f>
        <v/>
      </c>
      <c r="AV113" s="82" t="str">
        <f aca="false">IF(Tasks[[#This Row],[Task Name]]="","",Tasks[[#This Row],[Cost]])</f>
        <v/>
      </c>
      <c r="AW113" s="72"/>
      <c r="AX113" s="72"/>
      <c r="AY113" s="29"/>
      <c r="AZ113" s="85"/>
      <c r="BA113" s="83"/>
      <c r="BB113" s="28" t="str">
        <f aca="false">IF(OR(Tasks[[#This Row],[Task Name]]="",Tasks[[#This Row],[Baseline Duration]]=""),"",Tasks[[#This Row],[BL Source Duration]]-N(Tasks[[#This Row],[Baseline Duration]]))</f>
        <v/>
      </c>
      <c r="BC113" s="81" t="str">
        <f aca="false">IF(OR(Tasks[[#This Row],[Task Name]]="",Tasks[[#This Row],[Baseline Work]]=""),"",Tasks[[#This Row],[Work]]-N(Tasks[[#This Row],[Baseline Work]]))</f>
        <v/>
      </c>
      <c r="BD113" s="82" t="str">
        <f aca="false">IF(OR(Tasks[[#This Row],[Task Name]]="",Tasks[[#This Row],[Baseline Cost]]=""),"",Tasks[[#This Row],[Cost]]-N(Tasks[[#This Row],[Baseline Cost]]))</f>
        <v/>
      </c>
      <c r="BE11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1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1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1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13" s="43" t="str">
        <f aca="false">IF(Tasks[[#This Row],[Task Name]]="","",MAX(1,N(Tasks[[#This Row],[Level]])))</f>
        <v/>
      </c>
      <c r="BJ113" s="43" t="n">
        <f aca="false">ROW()-ROW(Tasks[[#Headers],[ID]])</f>
        <v>108</v>
      </c>
      <c r="BK11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13" s="43" t="n">
        <f aca="false">IFERROR(N(INDEX(Tasks[_Level],Tasks[[#This Row],[_Row]]+1)),0)</f>
        <v>0</v>
      </c>
      <c r="BM113" s="86" t="b">
        <f aca="false">AND(Tasks[[#This Row],[Task Name]]&lt;&gt;"",Tasks[[#This Row],[_NextLevel]]&gt;Tasks[[#This Row],[_Level]])</f>
        <v>0</v>
      </c>
      <c r="BN113" s="43" t="n">
        <f aca="false">IF(Tasks[[#This Row],[_IsSummary]],COUNTIF(Tasks[WBS],Tasks[[#This Row],[WBS]]&amp;".*"),0)</f>
        <v>0</v>
      </c>
      <c r="BO113" s="43" t="n">
        <f aca="false">IF(AND(Tasks[[#This Row],[Task Name]]&lt;&gt;"",NOT(Tasks[[#This Row],[_IsSummary]])),1,0)</f>
        <v>0</v>
      </c>
      <c r="BP113" s="43" t="n">
        <f aca="false">IF(N(Tasks[[#This Row],[Pred1 UID]])=0,0,IFERROR(MATCH(Tasks[[#This Row],[Pred1 UID]],Tasks[UID],0),-1))</f>
        <v>0</v>
      </c>
      <c r="BQ113" s="43" t="n">
        <f aca="false">IF(N(Tasks[[#This Row],[Pred2 UID]])=0,0,IFERROR(MATCH(Tasks[[#This Row],[Pred2 UID]],Tasks[UID],0),-1))</f>
        <v>0</v>
      </c>
      <c r="BR11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1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1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1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13" s="43" t="n">
        <f aca="false">IF(NOT(Tasks[[#This Row],[_IsLeaf]]=1),0,IF(N(Tasks[[#This Row],[Actual Finish]])&gt;0,1,MIN(1,N(Tasks[[#This Row],[% Complete]]))))</f>
        <v>0</v>
      </c>
      <c r="BW11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13" s="43" t="n">
        <f aca="false">IF(Tasks[[#This Row],[_LeafWork]]=0,0,Tasks[[#This Row],[_LeafWork]]*IFERROR(INDEX(res_Rate,MATCH(Tasks[[#This Row],[Resource]],res_Name,0)),0))</f>
        <v>0</v>
      </c>
      <c r="BY11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1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1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1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13" s="43" t="n">
        <f aca="false">IF(NOT(Tasks[[#This Row],[_IsLeaf]]=1),0,MAX(_xlfn.MAXIFS(Tasks[_Row],Tasks[Pred1 UID],Tasks[[#This Row],[UID]]),_xlfn.MAXIFS(Tasks[_Row],Tasks[Pred2 UID],Tasks[[#This Row],[UID]])))</f>
        <v>0</v>
      </c>
      <c r="CD11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13" s="87" t="str">
        <f aca="false">IF(NOT(Tasks[[#This Row],[_IsLeaf]]=1),"",MIN(ProjectFinish,IF(N(Tasks[[#This Row],[Deadline]])&gt;0,Tasks[[#This Row],[Deadline]],2958465),Tasks[[#This Row],[_SuccessorFinishLimit]]))</f>
        <v/>
      </c>
      <c r="CF11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1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13" s="86" t="b">
        <f aca="false">AND(Tasks[[#This Row],[_IsLeaf]]=1,Tasks[[#This Row],[_LeafProgress]]&lt;1,N(Tasks[[#This Row],[_LeafTotalSlack]])&lt;=CriticalSlackDays)</f>
        <v>0</v>
      </c>
      <c r="CI11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1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1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1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1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1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1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1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13" s="43" t="n">
        <f aca="false">IF(AND(Tasks[[#This Row],[_IsLeaf]]=1,Tasks[[#This Row],[_LeafWork]]&gt;0),NETWORKDAYS.INTL(ProjectStart,Tasks[[#This Row],[_LeafFcstStart]],WorkWeek,Holidays),0)</f>
        <v>0</v>
      </c>
      <c r="CR11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13" s="43" t="n">
        <f aca="false">IF(AND(Tasks[[#This Row],[_IsLeaf]]=1,Tasks[[#This Row],[_LeafWork]]&gt;0),Tasks[[#This Row],[_LeafWork]]/(Tasks[[#This Row],[_FinishWorkday]]-Tasks[[#This Row],[_StartWorkday]]+1),0)</f>
        <v>0</v>
      </c>
      <c r="CT113" s="43" t="n">
        <f aca="false">Tasks[[#This Row],[_WorkPerWorkday]]*(Tasks[[#This Row],[_StartWorkday]]-1)</f>
        <v>-0</v>
      </c>
      <c r="CU113" s="43" t="n">
        <f aca="false">IF(Tasks[[#This Row],[_IsLeaf]]=1,MAX(N(Tasks[[#This Row],[Duration]]),0.1),0)</f>
        <v>0</v>
      </c>
      <c r="CV113" s="43" t="n">
        <f aca="false">Tasks[[#This Row],[_WeightDur]]*Tasks[[#This Row],[_LeafProgress]]</f>
        <v>0</v>
      </c>
      <c r="CW11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1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1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1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1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13" s="43" t="str">
        <f aca="false">IF(AND(Tasks[[#This Row],[_IsLeaf]]=1,N(Tasks[[#This Row],[Duration]])=0,Tasks[[#This Row],[_LeafProgress]]&lt;1),Tasks[[#This Row],[_LeafFcstFinish]]+Tasks[[#This Row],[_Row]]/100000,"")</f>
        <v/>
      </c>
      <c r="DC11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13" s="43" t="n">
        <f aca="false">IF(NOT(Tasks[[#This Row],[_IsLeaf]]=1),0,IF(Tasks[[#This Row],[Baseline Cost]]="",Tasks[[#This Row],[_LeafCost]],N(Tasks[[#This Row],[Baseline Cost]])))</f>
        <v>0</v>
      </c>
      <c r="DE113" s="43" t="n">
        <f aca="false">Tasks[[#This Row],[_LeafBudget]]*Tasks[[#This Row],[_PlannedPct]]</f>
        <v>0</v>
      </c>
      <c r="DF113" s="43" t="n">
        <f aca="false">Tasks[[#This Row],[_LeafBudget]]*Tasks[[#This Row],[_LeafProgress]]</f>
        <v>0</v>
      </c>
      <c r="DG113" s="43" t="n">
        <f aca="false">IF(NOT(Tasks[[#This Row],[_IsLeaf]]=1),0,IF(Tasks[[#This Row],[Actual Cost]]="",Tasks[[#This Row],[_LeafCost]]*Tasks[[#This Row],[_LeafProgress]],N(Tasks[[#This Row],[Actual Cost]])))</f>
        <v>0</v>
      </c>
      <c r="DH113" s="43" t="str">
        <f aca="false">IF(Tasks[[#This Row],[Task Name]]="","",LEFT(Tasks[[#This Row],[WBS]],FIND(".",Tasks[[#This Row],[WBS]]&amp;".")-1))</f>
        <v/>
      </c>
      <c r="DI113" s="43" t="str">
        <f aca="false">IF(AND(Tasks[[#This Row],[Task Name]]&lt;&gt;"",Tasks[[#This Row],[_Level]]=1),Tasks[[#This Row],[_Row]],"")</f>
        <v/>
      </c>
      <c r="DJ113" s="43" t="str">
        <f aca="false">IF(AND(Tasks[[#This Row],[_IsLeaf]]=1,N(Tasks[[#This Row],[Duration]])=0),Tasks[[#This Row],[Planned Finish]]+Tasks[[#This Row],[_Row]]/100000,"")</f>
        <v/>
      </c>
      <c r="DK11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1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1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13" s="43" t="str">
        <f aca="false">IF(Tasks[[#This Row],[_LeafCritical]],Tasks[[#This Row],[_LeafFcstStart]]+Tasks[[#This Row],[_Row]]/100000,"")</f>
        <v/>
      </c>
      <c r="DO113" s="43" t="n">
        <f aca="false">Tasks[[#This Row],[_LeafWork]]*Tasks[[#This Row],[_LeafProgress]]</f>
        <v>0</v>
      </c>
      <c r="DP11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13" s="43" t="n">
        <f aca="false">IF(Tasks[[#This Row],[_IsLeaf]]=1,N(Tasks[[#This Row],[Story Points]]),0)</f>
        <v>0</v>
      </c>
      <c r="DR113" s="43" t="str">
        <f aca="false">IF(AND(Tasks[[#This Row],[_IsLeaf]]=1,CurrentSprint&lt;&gt;"",Tasks[[#This Row],[Sprint]]=CurrentSprint),Tasks[[#This Row],[_Row]],"")</f>
        <v/>
      </c>
    </row>
    <row r="114" customFormat="false" ht="15" hidden="false" customHeight="false" outlineLevel="0" collapsed="false">
      <c r="A114" s="28" t="str">
        <f aca="false">IF(Tasks[[#This Row],[Task Name]]="","",COUNTA(Tasks[[#Headers],[Task Name]]:Tasks[[#This Row],[Task Name]])-1)</f>
        <v/>
      </c>
      <c r="B114" s="29" t="n">
        <v>109</v>
      </c>
      <c r="C11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14" s="29"/>
      <c r="E114" s="30"/>
      <c r="F114" s="29"/>
      <c r="G114" s="29"/>
      <c r="H114" s="29"/>
      <c r="I114" s="29"/>
      <c r="J114" s="29"/>
      <c r="K114" s="29"/>
      <c r="L114" s="29"/>
      <c r="M114" s="29"/>
      <c r="N114" s="72"/>
      <c r="O114" s="72"/>
      <c r="P114" s="25" t="str">
        <f aca="false">IF(Tasks[[#This Row],[Task Name]]="","",IF(N(Tasks[[#This Row],[Baseline Start]])&gt;0,Tasks[[#This Row],[Baseline Start]],Tasks[[#This Row],[_CalcStart]]))</f>
        <v/>
      </c>
      <c r="Q114" s="25" t="str">
        <f aca="false">IF(Tasks[[#This Row],[Task Name]]="","",IF(N(Tasks[[#This Row],[Baseline Finish]])&gt;0,Tasks[[#This Row],[Baseline Finish]],Tasks[[#This Row],[_CalcFinish]]))</f>
        <v/>
      </c>
      <c r="R114" s="72"/>
      <c r="S114" s="72"/>
      <c r="T11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1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1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1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1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1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1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1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1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1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1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14" s="74"/>
      <c r="AF11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1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14" s="30"/>
      <c r="AI114" s="74"/>
      <c r="AJ11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1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14" s="83"/>
      <c r="AM114" s="29"/>
      <c r="AN11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14" s="84"/>
      <c r="AP11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14" s="30"/>
      <c r="AR114" s="25" t="str">
        <f aca="false">IF(Tasks[[#This Row],[Task Name]]="","",Tasks[[#This Row],[Forecast Start]])</f>
        <v/>
      </c>
      <c r="AS114" s="25" t="str">
        <f aca="false">IF(Tasks[[#This Row],[Task Name]]="","",Tasks[[#This Row],[Forecast Finish]])</f>
        <v/>
      </c>
      <c r="AT11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14" s="81" t="str">
        <f aca="false">IF(Tasks[[#This Row],[Task Name]]="","",Tasks[[#This Row],[Work]])</f>
        <v/>
      </c>
      <c r="AV114" s="82" t="str">
        <f aca="false">IF(Tasks[[#This Row],[Task Name]]="","",Tasks[[#This Row],[Cost]])</f>
        <v/>
      </c>
      <c r="AW114" s="72"/>
      <c r="AX114" s="72"/>
      <c r="AY114" s="29"/>
      <c r="AZ114" s="85"/>
      <c r="BA114" s="83"/>
      <c r="BB114" s="28" t="str">
        <f aca="false">IF(OR(Tasks[[#This Row],[Task Name]]="",Tasks[[#This Row],[Baseline Duration]]=""),"",Tasks[[#This Row],[BL Source Duration]]-N(Tasks[[#This Row],[Baseline Duration]]))</f>
        <v/>
      </c>
      <c r="BC114" s="81" t="str">
        <f aca="false">IF(OR(Tasks[[#This Row],[Task Name]]="",Tasks[[#This Row],[Baseline Work]]=""),"",Tasks[[#This Row],[Work]]-N(Tasks[[#This Row],[Baseline Work]]))</f>
        <v/>
      </c>
      <c r="BD114" s="82" t="str">
        <f aca="false">IF(OR(Tasks[[#This Row],[Task Name]]="",Tasks[[#This Row],[Baseline Cost]]=""),"",Tasks[[#This Row],[Cost]]-N(Tasks[[#This Row],[Baseline Cost]]))</f>
        <v/>
      </c>
      <c r="BE11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1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1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1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14" s="43" t="str">
        <f aca="false">IF(Tasks[[#This Row],[Task Name]]="","",MAX(1,N(Tasks[[#This Row],[Level]])))</f>
        <v/>
      </c>
      <c r="BJ114" s="43" t="n">
        <f aca="false">ROW()-ROW(Tasks[[#Headers],[ID]])</f>
        <v>109</v>
      </c>
      <c r="BK11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14" s="43" t="n">
        <f aca="false">IFERROR(N(INDEX(Tasks[_Level],Tasks[[#This Row],[_Row]]+1)),0)</f>
        <v>0</v>
      </c>
      <c r="BM114" s="86" t="b">
        <f aca="false">AND(Tasks[[#This Row],[Task Name]]&lt;&gt;"",Tasks[[#This Row],[_NextLevel]]&gt;Tasks[[#This Row],[_Level]])</f>
        <v>0</v>
      </c>
      <c r="BN114" s="43" t="n">
        <f aca="false">IF(Tasks[[#This Row],[_IsSummary]],COUNTIF(Tasks[WBS],Tasks[[#This Row],[WBS]]&amp;".*"),0)</f>
        <v>0</v>
      </c>
      <c r="BO114" s="43" t="n">
        <f aca="false">IF(AND(Tasks[[#This Row],[Task Name]]&lt;&gt;"",NOT(Tasks[[#This Row],[_IsSummary]])),1,0)</f>
        <v>0</v>
      </c>
      <c r="BP114" s="43" t="n">
        <f aca="false">IF(N(Tasks[[#This Row],[Pred1 UID]])=0,0,IFERROR(MATCH(Tasks[[#This Row],[Pred1 UID]],Tasks[UID],0),-1))</f>
        <v>0</v>
      </c>
      <c r="BQ114" s="43" t="n">
        <f aca="false">IF(N(Tasks[[#This Row],[Pred2 UID]])=0,0,IFERROR(MATCH(Tasks[[#This Row],[Pred2 UID]],Tasks[UID],0),-1))</f>
        <v>0</v>
      </c>
      <c r="BR11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1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1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1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14" s="43" t="n">
        <f aca="false">IF(NOT(Tasks[[#This Row],[_IsLeaf]]=1),0,IF(N(Tasks[[#This Row],[Actual Finish]])&gt;0,1,MIN(1,N(Tasks[[#This Row],[% Complete]]))))</f>
        <v>0</v>
      </c>
      <c r="BW11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14" s="43" t="n">
        <f aca="false">IF(Tasks[[#This Row],[_LeafWork]]=0,0,Tasks[[#This Row],[_LeafWork]]*IFERROR(INDEX(res_Rate,MATCH(Tasks[[#This Row],[Resource]],res_Name,0)),0))</f>
        <v>0</v>
      </c>
      <c r="BY11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1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1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1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14" s="43" t="n">
        <f aca="false">IF(NOT(Tasks[[#This Row],[_IsLeaf]]=1),0,MAX(_xlfn.MAXIFS(Tasks[_Row],Tasks[Pred1 UID],Tasks[[#This Row],[UID]]),_xlfn.MAXIFS(Tasks[_Row],Tasks[Pred2 UID],Tasks[[#This Row],[UID]])))</f>
        <v>0</v>
      </c>
      <c r="CD11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14" s="87" t="str">
        <f aca="false">IF(NOT(Tasks[[#This Row],[_IsLeaf]]=1),"",MIN(ProjectFinish,IF(N(Tasks[[#This Row],[Deadline]])&gt;0,Tasks[[#This Row],[Deadline]],2958465),Tasks[[#This Row],[_SuccessorFinishLimit]]))</f>
        <v/>
      </c>
      <c r="CF11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1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14" s="86" t="b">
        <f aca="false">AND(Tasks[[#This Row],[_IsLeaf]]=1,Tasks[[#This Row],[_LeafProgress]]&lt;1,N(Tasks[[#This Row],[_LeafTotalSlack]])&lt;=CriticalSlackDays)</f>
        <v>0</v>
      </c>
      <c r="CI11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1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1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1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1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1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1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1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14" s="43" t="n">
        <f aca="false">IF(AND(Tasks[[#This Row],[_IsLeaf]]=1,Tasks[[#This Row],[_LeafWork]]&gt;0),NETWORKDAYS.INTL(ProjectStart,Tasks[[#This Row],[_LeafFcstStart]],WorkWeek,Holidays),0)</f>
        <v>0</v>
      </c>
      <c r="CR11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14" s="43" t="n">
        <f aca="false">IF(AND(Tasks[[#This Row],[_IsLeaf]]=1,Tasks[[#This Row],[_LeafWork]]&gt;0),Tasks[[#This Row],[_LeafWork]]/(Tasks[[#This Row],[_FinishWorkday]]-Tasks[[#This Row],[_StartWorkday]]+1),0)</f>
        <v>0</v>
      </c>
      <c r="CT114" s="43" t="n">
        <f aca="false">Tasks[[#This Row],[_WorkPerWorkday]]*(Tasks[[#This Row],[_StartWorkday]]-1)</f>
        <v>-0</v>
      </c>
      <c r="CU114" s="43" t="n">
        <f aca="false">IF(Tasks[[#This Row],[_IsLeaf]]=1,MAX(N(Tasks[[#This Row],[Duration]]),0.1),0)</f>
        <v>0</v>
      </c>
      <c r="CV114" s="43" t="n">
        <f aca="false">Tasks[[#This Row],[_WeightDur]]*Tasks[[#This Row],[_LeafProgress]]</f>
        <v>0</v>
      </c>
      <c r="CW11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1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1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1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1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14" s="43" t="str">
        <f aca="false">IF(AND(Tasks[[#This Row],[_IsLeaf]]=1,N(Tasks[[#This Row],[Duration]])=0,Tasks[[#This Row],[_LeafProgress]]&lt;1),Tasks[[#This Row],[_LeafFcstFinish]]+Tasks[[#This Row],[_Row]]/100000,"")</f>
        <v/>
      </c>
      <c r="DC11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14" s="43" t="n">
        <f aca="false">IF(NOT(Tasks[[#This Row],[_IsLeaf]]=1),0,IF(Tasks[[#This Row],[Baseline Cost]]="",Tasks[[#This Row],[_LeafCost]],N(Tasks[[#This Row],[Baseline Cost]])))</f>
        <v>0</v>
      </c>
      <c r="DE114" s="43" t="n">
        <f aca="false">Tasks[[#This Row],[_LeafBudget]]*Tasks[[#This Row],[_PlannedPct]]</f>
        <v>0</v>
      </c>
      <c r="DF114" s="43" t="n">
        <f aca="false">Tasks[[#This Row],[_LeafBudget]]*Tasks[[#This Row],[_LeafProgress]]</f>
        <v>0</v>
      </c>
      <c r="DG114" s="43" t="n">
        <f aca="false">IF(NOT(Tasks[[#This Row],[_IsLeaf]]=1),0,IF(Tasks[[#This Row],[Actual Cost]]="",Tasks[[#This Row],[_LeafCost]]*Tasks[[#This Row],[_LeafProgress]],N(Tasks[[#This Row],[Actual Cost]])))</f>
        <v>0</v>
      </c>
      <c r="DH114" s="43" t="str">
        <f aca="false">IF(Tasks[[#This Row],[Task Name]]="","",LEFT(Tasks[[#This Row],[WBS]],FIND(".",Tasks[[#This Row],[WBS]]&amp;".")-1))</f>
        <v/>
      </c>
      <c r="DI114" s="43" t="str">
        <f aca="false">IF(AND(Tasks[[#This Row],[Task Name]]&lt;&gt;"",Tasks[[#This Row],[_Level]]=1),Tasks[[#This Row],[_Row]],"")</f>
        <v/>
      </c>
      <c r="DJ114" s="43" t="str">
        <f aca="false">IF(AND(Tasks[[#This Row],[_IsLeaf]]=1,N(Tasks[[#This Row],[Duration]])=0),Tasks[[#This Row],[Planned Finish]]+Tasks[[#This Row],[_Row]]/100000,"")</f>
        <v/>
      </c>
      <c r="DK11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1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1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14" s="43" t="str">
        <f aca="false">IF(Tasks[[#This Row],[_LeafCritical]],Tasks[[#This Row],[_LeafFcstStart]]+Tasks[[#This Row],[_Row]]/100000,"")</f>
        <v/>
      </c>
      <c r="DO114" s="43" t="n">
        <f aca="false">Tasks[[#This Row],[_LeafWork]]*Tasks[[#This Row],[_LeafProgress]]</f>
        <v>0</v>
      </c>
      <c r="DP11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14" s="43" t="n">
        <f aca="false">IF(Tasks[[#This Row],[_IsLeaf]]=1,N(Tasks[[#This Row],[Story Points]]),0)</f>
        <v>0</v>
      </c>
      <c r="DR114" s="43" t="str">
        <f aca="false">IF(AND(Tasks[[#This Row],[_IsLeaf]]=1,CurrentSprint&lt;&gt;"",Tasks[[#This Row],[Sprint]]=CurrentSprint),Tasks[[#This Row],[_Row]],"")</f>
        <v/>
      </c>
    </row>
    <row r="115" customFormat="false" ht="15" hidden="false" customHeight="false" outlineLevel="0" collapsed="false">
      <c r="A115" s="28" t="str">
        <f aca="false">IF(Tasks[[#This Row],[Task Name]]="","",COUNTA(Tasks[[#Headers],[Task Name]]:Tasks[[#This Row],[Task Name]])-1)</f>
        <v/>
      </c>
      <c r="B115" s="29" t="n">
        <v>110</v>
      </c>
      <c r="C11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15" s="29"/>
      <c r="E115" s="30"/>
      <c r="F115" s="29"/>
      <c r="G115" s="29"/>
      <c r="H115" s="29"/>
      <c r="I115" s="29"/>
      <c r="J115" s="29"/>
      <c r="K115" s="29"/>
      <c r="L115" s="29"/>
      <c r="M115" s="29"/>
      <c r="N115" s="72"/>
      <c r="O115" s="72"/>
      <c r="P115" s="25" t="str">
        <f aca="false">IF(Tasks[[#This Row],[Task Name]]="","",IF(N(Tasks[[#This Row],[Baseline Start]])&gt;0,Tasks[[#This Row],[Baseline Start]],Tasks[[#This Row],[_CalcStart]]))</f>
        <v/>
      </c>
      <c r="Q115" s="25" t="str">
        <f aca="false">IF(Tasks[[#This Row],[Task Name]]="","",IF(N(Tasks[[#This Row],[Baseline Finish]])&gt;0,Tasks[[#This Row],[Baseline Finish]],Tasks[[#This Row],[_CalcFinish]]))</f>
        <v/>
      </c>
      <c r="R115" s="72"/>
      <c r="S115" s="72"/>
      <c r="T11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1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1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1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1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1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1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1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1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1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1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15" s="74"/>
      <c r="AF11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1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15" s="30"/>
      <c r="AI115" s="74"/>
      <c r="AJ11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1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15" s="83"/>
      <c r="AM115" s="29"/>
      <c r="AN11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15" s="84"/>
      <c r="AP11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15" s="30"/>
      <c r="AR115" s="25" t="str">
        <f aca="false">IF(Tasks[[#This Row],[Task Name]]="","",Tasks[[#This Row],[Forecast Start]])</f>
        <v/>
      </c>
      <c r="AS115" s="25" t="str">
        <f aca="false">IF(Tasks[[#This Row],[Task Name]]="","",Tasks[[#This Row],[Forecast Finish]])</f>
        <v/>
      </c>
      <c r="AT11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15" s="81" t="str">
        <f aca="false">IF(Tasks[[#This Row],[Task Name]]="","",Tasks[[#This Row],[Work]])</f>
        <v/>
      </c>
      <c r="AV115" s="82" t="str">
        <f aca="false">IF(Tasks[[#This Row],[Task Name]]="","",Tasks[[#This Row],[Cost]])</f>
        <v/>
      </c>
      <c r="AW115" s="72"/>
      <c r="AX115" s="72"/>
      <c r="AY115" s="29"/>
      <c r="AZ115" s="85"/>
      <c r="BA115" s="83"/>
      <c r="BB115" s="28" t="str">
        <f aca="false">IF(OR(Tasks[[#This Row],[Task Name]]="",Tasks[[#This Row],[Baseline Duration]]=""),"",Tasks[[#This Row],[BL Source Duration]]-N(Tasks[[#This Row],[Baseline Duration]]))</f>
        <v/>
      </c>
      <c r="BC115" s="81" t="str">
        <f aca="false">IF(OR(Tasks[[#This Row],[Task Name]]="",Tasks[[#This Row],[Baseline Work]]=""),"",Tasks[[#This Row],[Work]]-N(Tasks[[#This Row],[Baseline Work]]))</f>
        <v/>
      </c>
      <c r="BD115" s="82" t="str">
        <f aca="false">IF(OR(Tasks[[#This Row],[Task Name]]="",Tasks[[#This Row],[Baseline Cost]]=""),"",Tasks[[#This Row],[Cost]]-N(Tasks[[#This Row],[Baseline Cost]]))</f>
        <v/>
      </c>
      <c r="BE11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1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1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1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15" s="43" t="str">
        <f aca="false">IF(Tasks[[#This Row],[Task Name]]="","",MAX(1,N(Tasks[[#This Row],[Level]])))</f>
        <v/>
      </c>
      <c r="BJ115" s="43" t="n">
        <f aca="false">ROW()-ROW(Tasks[[#Headers],[ID]])</f>
        <v>110</v>
      </c>
      <c r="BK11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15" s="43" t="n">
        <f aca="false">IFERROR(N(INDEX(Tasks[_Level],Tasks[[#This Row],[_Row]]+1)),0)</f>
        <v>0</v>
      </c>
      <c r="BM115" s="86" t="b">
        <f aca="false">AND(Tasks[[#This Row],[Task Name]]&lt;&gt;"",Tasks[[#This Row],[_NextLevel]]&gt;Tasks[[#This Row],[_Level]])</f>
        <v>0</v>
      </c>
      <c r="BN115" s="43" t="n">
        <f aca="false">IF(Tasks[[#This Row],[_IsSummary]],COUNTIF(Tasks[WBS],Tasks[[#This Row],[WBS]]&amp;".*"),0)</f>
        <v>0</v>
      </c>
      <c r="BO115" s="43" t="n">
        <f aca="false">IF(AND(Tasks[[#This Row],[Task Name]]&lt;&gt;"",NOT(Tasks[[#This Row],[_IsSummary]])),1,0)</f>
        <v>0</v>
      </c>
      <c r="BP115" s="43" t="n">
        <f aca="false">IF(N(Tasks[[#This Row],[Pred1 UID]])=0,0,IFERROR(MATCH(Tasks[[#This Row],[Pred1 UID]],Tasks[UID],0),-1))</f>
        <v>0</v>
      </c>
      <c r="BQ115" s="43" t="n">
        <f aca="false">IF(N(Tasks[[#This Row],[Pred2 UID]])=0,0,IFERROR(MATCH(Tasks[[#This Row],[Pred2 UID]],Tasks[UID],0),-1))</f>
        <v>0</v>
      </c>
      <c r="BR11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1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1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1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15" s="43" t="n">
        <f aca="false">IF(NOT(Tasks[[#This Row],[_IsLeaf]]=1),0,IF(N(Tasks[[#This Row],[Actual Finish]])&gt;0,1,MIN(1,N(Tasks[[#This Row],[% Complete]]))))</f>
        <v>0</v>
      </c>
      <c r="BW11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15" s="43" t="n">
        <f aca="false">IF(Tasks[[#This Row],[_LeafWork]]=0,0,Tasks[[#This Row],[_LeafWork]]*IFERROR(INDEX(res_Rate,MATCH(Tasks[[#This Row],[Resource]],res_Name,0)),0))</f>
        <v>0</v>
      </c>
      <c r="BY11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1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1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1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15" s="43" t="n">
        <f aca="false">IF(NOT(Tasks[[#This Row],[_IsLeaf]]=1),0,MAX(_xlfn.MAXIFS(Tasks[_Row],Tasks[Pred1 UID],Tasks[[#This Row],[UID]]),_xlfn.MAXIFS(Tasks[_Row],Tasks[Pred2 UID],Tasks[[#This Row],[UID]])))</f>
        <v>0</v>
      </c>
      <c r="CD11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15" s="87" t="str">
        <f aca="false">IF(NOT(Tasks[[#This Row],[_IsLeaf]]=1),"",MIN(ProjectFinish,IF(N(Tasks[[#This Row],[Deadline]])&gt;0,Tasks[[#This Row],[Deadline]],2958465),Tasks[[#This Row],[_SuccessorFinishLimit]]))</f>
        <v/>
      </c>
      <c r="CF11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1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15" s="86" t="b">
        <f aca="false">AND(Tasks[[#This Row],[_IsLeaf]]=1,Tasks[[#This Row],[_LeafProgress]]&lt;1,N(Tasks[[#This Row],[_LeafTotalSlack]])&lt;=CriticalSlackDays)</f>
        <v>0</v>
      </c>
      <c r="CI11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1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1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1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1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1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1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1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15" s="43" t="n">
        <f aca="false">IF(AND(Tasks[[#This Row],[_IsLeaf]]=1,Tasks[[#This Row],[_LeafWork]]&gt;0),NETWORKDAYS.INTL(ProjectStart,Tasks[[#This Row],[_LeafFcstStart]],WorkWeek,Holidays),0)</f>
        <v>0</v>
      </c>
      <c r="CR11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15" s="43" t="n">
        <f aca="false">IF(AND(Tasks[[#This Row],[_IsLeaf]]=1,Tasks[[#This Row],[_LeafWork]]&gt;0),Tasks[[#This Row],[_LeafWork]]/(Tasks[[#This Row],[_FinishWorkday]]-Tasks[[#This Row],[_StartWorkday]]+1),0)</f>
        <v>0</v>
      </c>
      <c r="CT115" s="43" t="n">
        <f aca="false">Tasks[[#This Row],[_WorkPerWorkday]]*(Tasks[[#This Row],[_StartWorkday]]-1)</f>
        <v>-0</v>
      </c>
      <c r="CU115" s="43" t="n">
        <f aca="false">IF(Tasks[[#This Row],[_IsLeaf]]=1,MAX(N(Tasks[[#This Row],[Duration]]),0.1),0)</f>
        <v>0</v>
      </c>
      <c r="CV115" s="43" t="n">
        <f aca="false">Tasks[[#This Row],[_WeightDur]]*Tasks[[#This Row],[_LeafProgress]]</f>
        <v>0</v>
      </c>
      <c r="CW11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1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1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1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1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15" s="43" t="str">
        <f aca="false">IF(AND(Tasks[[#This Row],[_IsLeaf]]=1,N(Tasks[[#This Row],[Duration]])=0,Tasks[[#This Row],[_LeafProgress]]&lt;1),Tasks[[#This Row],[_LeafFcstFinish]]+Tasks[[#This Row],[_Row]]/100000,"")</f>
        <v/>
      </c>
      <c r="DC11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15" s="43" t="n">
        <f aca="false">IF(NOT(Tasks[[#This Row],[_IsLeaf]]=1),0,IF(Tasks[[#This Row],[Baseline Cost]]="",Tasks[[#This Row],[_LeafCost]],N(Tasks[[#This Row],[Baseline Cost]])))</f>
        <v>0</v>
      </c>
      <c r="DE115" s="43" t="n">
        <f aca="false">Tasks[[#This Row],[_LeafBudget]]*Tasks[[#This Row],[_PlannedPct]]</f>
        <v>0</v>
      </c>
      <c r="DF115" s="43" t="n">
        <f aca="false">Tasks[[#This Row],[_LeafBudget]]*Tasks[[#This Row],[_LeafProgress]]</f>
        <v>0</v>
      </c>
      <c r="DG115" s="43" t="n">
        <f aca="false">IF(NOT(Tasks[[#This Row],[_IsLeaf]]=1),0,IF(Tasks[[#This Row],[Actual Cost]]="",Tasks[[#This Row],[_LeafCost]]*Tasks[[#This Row],[_LeafProgress]],N(Tasks[[#This Row],[Actual Cost]])))</f>
        <v>0</v>
      </c>
      <c r="DH115" s="43" t="str">
        <f aca="false">IF(Tasks[[#This Row],[Task Name]]="","",LEFT(Tasks[[#This Row],[WBS]],FIND(".",Tasks[[#This Row],[WBS]]&amp;".")-1))</f>
        <v/>
      </c>
      <c r="DI115" s="43" t="str">
        <f aca="false">IF(AND(Tasks[[#This Row],[Task Name]]&lt;&gt;"",Tasks[[#This Row],[_Level]]=1),Tasks[[#This Row],[_Row]],"")</f>
        <v/>
      </c>
      <c r="DJ115" s="43" t="str">
        <f aca="false">IF(AND(Tasks[[#This Row],[_IsLeaf]]=1,N(Tasks[[#This Row],[Duration]])=0),Tasks[[#This Row],[Planned Finish]]+Tasks[[#This Row],[_Row]]/100000,"")</f>
        <v/>
      </c>
      <c r="DK11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1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1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15" s="43" t="str">
        <f aca="false">IF(Tasks[[#This Row],[_LeafCritical]],Tasks[[#This Row],[_LeafFcstStart]]+Tasks[[#This Row],[_Row]]/100000,"")</f>
        <v/>
      </c>
      <c r="DO115" s="43" t="n">
        <f aca="false">Tasks[[#This Row],[_LeafWork]]*Tasks[[#This Row],[_LeafProgress]]</f>
        <v>0</v>
      </c>
      <c r="DP11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15" s="43" t="n">
        <f aca="false">IF(Tasks[[#This Row],[_IsLeaf]]=1,N(Tasks[[#This Row],[Story Points]]),0)</f>
        <v>0</v>
      </c>
      <c r="DR115" s="43" t="str">
        <f aca="false">IF(AND(Tasks[[#This Row],[_IsLeaf]]=1,CurrentSprint&lt;&gt;"",Tasks[[#This Row],[Sprint]]=CurrentSprint),Tasks[[#This Row],[_Row]],"")</f>
        <v/>
      </c>
    </row>
    <row r="116" customFormat="false" ht="15" hidden="false" customHeight="false" outlineLevel="0" collapsed="false">
      <c r="A116" s="28" t="str">
        <f aca="false">IF(Tasks[[#This Row],[Task Name]]="","",COUNTA(Tasks[[#Headers],[Task Name]]:Tasks[[#This Row],[Task Name]])-1)</f>
        <v/>
      </c>
      <c r="B116" s="29" t="n">
        <v>111</v>
      </c>
      <c r="C11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16" s="29"/>
      <c r="E116" s="30"/>
      <c r="F116" s="29"/>
      <c r="G116" s="29"/>
      <c r="H116" s="29"/>
      <c r="I116" s="29"/>
      <c r="J116" s="29"/>
      <c r="K116" s="29"/>
      <c r="L116" s="29"/>
      <c r="M116" s="29"/>
      <c r="N116" s="72"/>
      <c r="O116" s="72"/>
      <c r="P116" s="25" t="str">
        <f aca="false">IF(Tasks[[#This Row],[Task Name]]="","",IF(N(Tasks[[#This Row],[Baseline Start]])&gt;0,Tasks[[#This Row],[Baseline Start]],Tasks[[#This Row],[_CalcStart]]))</f>
        <v/>
      </c>
      <c r="Q116" s="25" t="str">
        <f aca="false">IF(Tasks[[#This Row],[Task Name]]="","",IF(N(Tasks[[#This Row],[Baseline Finish]])&gt;0,Tasks[[#This Row],[Baseline Finish]],Tasks[[#This Row],[_CalcFinish]]))</f>
        <v/>
      </c>
      <c r="R116" s="72"/>
      <c r="S116" s="72"/>
      <c r="T11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1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1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1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1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1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1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1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1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1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1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16" s="74"/>
      <c r="AF11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1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16" s="30"/>
      <c r="AI116" s="74"/>
      <c r="AJ11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1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16" s="83"/>
      <c r="AM116" s="29"/>
      <c r="AN11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16" s="84"/>
      <c r="AP11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16" s="30"/>
      <c r="AR116" s="25" t="str">
        <f aca="false">IF(Tasks[[#This Row],[Task Name]]="","",Tasks[[#This Row],[Forecast Start]])</f>
        <v/>
      </c>
      <c r="AS116" s="25" t="str">
        <f aca="false">IF(Tasks[[#This Row],[Task Name]]="","",Tasks[[#This Row],[Forecast Finish]])</f>
        <v/>
      </c>
      <c r="AT11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16" s="81" t="str">
        <f aca="false">IF(Tasks[[#This Row],[Task Name]]="","",Tasks[[#This Row],[Work]])</f>
        <v/>
      </c>
      <c r="AV116" s="82" t="str">
        <f aca="false">IF(Tasks[[#This Row],[Task Name]]="","",Tasks[[#This Row],[Cost]])</f>
        <v/>
      </c>
      <c r="AW116" s="72"/>
      <c r="AX116" s="72"/>
      <c r="AY116" s="29"/>
      <c r="AZ116" s="85"/>
      <c r="BA116" s="83"/>
      <c r="BB116" s="28" t="str">
        <f aca="false">IF(OR(Tasks[[#This Row],[Task Name]]="",Tasks[[#This Row],[Baseline Duration]]=""),"",Tasks[[#This Row],[BL Source Duration]]-N(Tasks[[#This Row],[Baseline Duration]]))</f>
        <v/>
      </c>
      <c r="BC116" s="81" t="str">
        <f aca="false">IF(OR(Tasks[[#This Row],[Task Name]]="",Tasks[[#This Row],[Baseline Work]]=""),"",Tasks[[#This Row],[Work]]-N(Tasks[[#This Row],[Baseline Work]]))</f>
        <v/>
      </c>
      <c r="BD116" s="82" t="str">
        <f aca="false">IF(OR(Tasks[[#This Row],[Task Name]]="",Tasks[[#This Row],[Baseline Cost]]=""),"",Tasks[[#This Row],[Cost]]-N(Tasks[[#This Row],[Baseline Cost]]))</f>
        <v/>
      </c>
      <c r="BE11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1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1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1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16" s="43" t="str">
        <f aca="false">IF(Tasks[[#This Row],[Task Name]]="","",MAX(1,N(Tasks[[#This Row],[Level]])))</f>
        <v/>
      </c>
      <c r="BJ116" s="43" t="n">
        <f aca="false">ROW()-ROW(Tasks[[#Headers],[ID]])</f>
        <v>111</v>
      </c>
      <c r="BK11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16" s="43" t="n">
        <f aca="false">IFERROR(N(INDEX(Tasks[_Level],Tasks[[#This Row],[_Row]]+1)),0)</f>
        <v>0</v>
      </c>
      <c r="BM116" s="86" t="b">
        <f aca="false">AND(Tasks[[#This Row],[Task Name]]&lt;&gt;"",Tasks[[#This Row],[_NextLevel]]&gt;Tasks[[#This Row],[_Level]])</f>
        <v>0</v>
      </c>
      <c r="BN116" s="43" t="n">
        <f aca="false">IF(Tasks[[#This Row],[_IsSummary]],COUNTIF(Tasks[WBS],Tasks[[#This Row],[WBS]]&amp;".*"),0)</f>
        <v>0</v>
      </c>
      <c r="BO116" s="43" t="n">
        <f aca="false">IF(AND(Tasks[[#This Row],[Task Name]]&lt;&gt;"",NOT(Tasks[[#This Row],[_IsSummary]])),1,0)</f>
        <v>0</v>
      </c>
      <c r="BP116" s="43" t="n">
        <f aca="false">IF(N(Tasks[[#This Row],[Pred1 UID]])=0,0,IFERROR(MATCH(Tasks[[#This Row],[Pred1 UID]],Tasks[UID],0),-1))</f>
        <v>0</v>
      </c>
      <c r="BQ116" s="43" t="n">
        <f aca="false">IF(N(Tasks[[#This Row],[Pred2 UID]])=0,0,IFERROR(MATCH(Tasks[[#This Row],[Pred2 UID]],Tasks[UID],0),-1))</f>
        <v>0</v>
      </c>
      <c r="BR11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1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1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1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16" s="43" t="n">
        <f aca="false">IF(NOT(Tasks[[#This Row],[_IsLeaf]]=1),0,IF(N(Tasks[[#This Row],[Actual Finish]])&gt;0,1,MIN(1,N(Tasks[[#This Row],[% Complete]]))))</f>
        <v>0</v>
      </c>
      <c r="BW11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16" s="43" t="n">
        <f aca="false">IF(Tasks[[#This Row],[_LeafWork]]=0,0,Tasks[[#This Row],[_LeafWork]]*IFERROR(INDEX(res_Rate,MATCH(Tasks[[#This Row],[Resource]],res_Name,0)),0))</f>
        <v>0</v>
      </c>
      <c r="BY11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1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1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1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16" s="43" t="n">
        <f aca="false">IF(NOT(Tasks[[#This Row],[_IsLeaf]]=1),0,MAX(_xlfn.MAXIFS(Tasks[_Row],Tasks[Pred1 UID],Tasks[[#This Row],[UID]]),_xlfn.MAXIFS(Tasks[_Row],Tasks[Pred2 UID],Tasks[[#This Row],[UID]])))</f>
        <v>0</v>
      </c>
      <c r="CD11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16" s="87" t="str">
        <f aca="false">IF(NOT(Tasks[[#This Row],[_IsLeaf]]=1),"",MIN(ProjectFinish,IF(N(Tasks[[#This Row],[Deadline]])&gt;0,Tasks[[#This Row],[Deadline]],2958465),Tasks[[#This Row],[_SuccessorFinishLimit]]))</f>
        <v/>
      </c>
      <c r="CF11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1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16" s="86" t="b">
        <f aca="false">AND(Tasks[[#This Row],[_IsLeaf]]=1,Tasks[[#This Row],[_LeafProgress]]&lt;1,N(Tasks[[#This Row],[_LeafTotalSlack]])&lt;=CriticalSlackDays)</f>
        <v>0</v>
      </c>
      <c r="CI11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1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1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1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1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1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1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1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16" s="43" t="n">
        <f aca="false">IF(AND(Tasks[[#This Row],[_IsLeaf]]=1,Tasks[[#This Row],[_LeafWork]]&gt;0),NETWORKDAYS.INTL(ProjectStart,Tasks[[#This Row],[_LeafFcstStart]],WorkWeek,Holidays),0)</f>
        <v>0</v>
      </c>
      <c r="CR11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16" s="43" t="n">
        <f aca="false">IF(AND(Tasks[[#This Row],[_IsLeaf]]=1,Tasks[[#This Row],[_LeafWork]]&gt;0),Tasks[[#This Row],[_LeafWork]]/(Tasks[[#This Row],[_FinishWorkday]]-Tasks[[#This Row],[_StartWorkday]]+1),0)</f>
        <v>0</v>
      </c>
      <c r="CT116" s="43" t="n">
        <f aca="false">Tasks[[#This Row],[_WorkPerWorkday]]*(Tasks[[#This Row],[_StartWorkday]]-1)</f>
        <v>-0</v>
      </c>
      <c r="CU116" s="43" t="n">
        <f aca="false">IF(Tasks[[#This Row],[_IsLeaf]]=1,MAX(N(Tasks[[#This Row],[Duration]]),0.1),0)</f>
        <v>0</v>
      </c>
      <c r="CV116" s="43" t="n">
        <f aca="false">Tasks[[#This Row],[_WeightDur]]*Tasks[[#This Row],[_LeafProgress]]</f>
        <v>0</v>
      </c>
      <c r="CW11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1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1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1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1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16" s="43" t="str">
        <f aca="false">IF(AND(Tasks[[#This Row],[_IsLeaf]]=1,N(Tasks[[#This Row],[Duration]])=0,Tasks[[#This Row],[_LeafProgress]]&lt;1),Tasks[[#This Row],[_LeafFcstFinish]]+Tasks[[#This Row],[_Row]]/100000,"")</f>
        <v/>
      </c>
      <c r="DC11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16" s="43" t="n">
        <f aca="false">IF(NOT(Tasks[[#This Row],[_IsLeaf]]=1),0,IF(Tasks[[#This Row],[Baseline Cost]]="",Tasks[[#This Row],[_LeafCost]],N(Tasks[[#This Row],[Baseline Cost]])))</f>
        <v>0</v>
      </c>
      <c r="DE116" s="43" t="n">
        <f aca="false">Tasks[[#This Row],[_LeafBudget]]*Tasks[[#This Row],[_PlannedPct]]</f>
        <v>0</v>
      </c>
      <c r="DF116" s="43" t="n">
        <f aca="false">Tasks[[#This Row],[_LeafBudget]]*Tasks[[#This Row],[_LeafProgress]]</f>
        <v>0</v>
      </c>
      <c r="DG116" s="43" t="n">
        <f aca="false">IF(NOT(Tasks[[#This Row],[_IsLeaf]]=1),0,IF(Tasks[[#This Row],[Actual Cost]]="",Tasks[[#This Row],[_LeafCost]]*Tasks[[#This Row],[_LeafProgress]],N(Tasks[[#This Row],[Actual Cost]])))</f>
        <v>0</v>
      </c>
      <c r="DH116" s="43" t="str">
        <f aca="false">IF(Tasks[[#This Row],[Task Name]]="","",LEFT(Tasks[[#This Row],[WBS]],FIND(".",Tasks[[#This Row],[WBS]]&amp;".")-1))</f>
        <v/>
      </c>
      <c r="DI116" s="43" t="str">
        <f aca="false">IF(AND(Tasks[[#This Row],[Task Name]]&lt;&gt;"",Tasks[[#This Row],[_Level]]=1),Tasks[[#This Row],[_Row]],"")</f>
        <v/>
      </c>
      <c r="DJ116" s="43" t="str">
        <f aca="false">IF(AND(Tasks[[#This Row],[_IsLeaf]]=1,N(Tasks[[#This Row],[Duration]])=0),Tasks[[#This Row],[Planned Finish]]+Tasks[[#This Row],[_Row]]/100000,"")</f>
        <v/>
      </c>
      <c r="DK11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1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1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16" s="43" t="str">
        <f aca="false">IF(Tasks[[#This Row],[_LeafCritical]],Tasks[[#This Row],[_LeafFcstStart]]+Tasks[[#This Row],[_Row]]/100000,"")</f>
        <v/>
      </c>
      <c r="DO116" s="43" t="n">
        <f aca="false">Tasks[[#This Row],[_LeafWork]]*Tasks[[#This Row],[_LeafProgress]]</f>
        <v>0</v>
      </c>
      <c r="DP11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16" s="43" t="n">
        <f aca="false">IF(Tasks[[#This Row],[_IsLeaf]]=1,N(Tasks[[#This Row],[Story Points]]),0)</f>
        <v>0</v>
      </c>
      <c r="DR116" s="43" t="str">
        <f aca="false">IF(AND(Tasks[[#This Row],[_IsLeaf]]=1,CurrentSprint&lt;&gt;"",Tasks[[#This Row],[Sprint]]=CurrentSprint),Tasks[[#This Row],[_Row]],"")</f>
        <v/>
      </c>
    </row>
    <row r="117" customFormat="false" ht="15" hidden="false" customHeight="false" outlineLevel="0" collapsed="false">
      <c r="A117" s="28" t="str">
        <f aca="false">IF(Tasks[[#This Row],[Task Name]]="","",COUNTA(Tasks[[#Headers],[Task Name]]:Tasks[[#This Row],[Task Name]])-1)</f>
        <v/>
      </c>
      <c r="B117" s="29" t="n">
        <v>112</v>
      </c>
      <c r="C11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17" s="29"/>
      <c r="E117" s="30"/>
      <c r="F117" s="29"/>
      <c r="G117" s="29"/>
      <c r="H117" s="29"/>
      <c r="I117" s="29"/>
      <c r="J117" s="29"/>
      <c r="K117" s="29"/>
      <c r="L117" s="29"/>
      <c r="M117" s="29"/>
      <c r="N117" s="72"/>
      <c r="O117" s="72"/>
      <c r="P117" s="25" t="str">
        <f aca="false">IF(Tasks[[#This Row],[Task Name]]="","",IF(N(Tasks[[#This Row],[Baseline Start]])&gt;0,Tasks[[#This Row],[Baseline Start]],Tasks[[#This Row],[_CalcStart]]))</f>
        <v/>
      </c>
      <c r="Q117" s="25" t="str">
        <f aca="false">IF(Tasks[[#This Row],[Task Name]]="","",IF(N(Tasks[[#This Row],[Baseline Finish]])&gt;0,Tasks[[#This Row],[Baseline Finish]],Tasks[[#This Row],[_CalcFinish]]))</f>
        <v/>
      </c>
      <c r="R117" s="72"/>
      <c r="S117" s="72"/>
      <c r="T11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1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1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1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1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1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1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1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1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1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1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17" s="74"/>
      <c r="AF11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1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17" s="30"/>
      <c r="AI117" s="74"/>
      <c r="AJ11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1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17" s="83"/>
      <c r="AM117" s="29"/>
      <c r="AN11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17" s="84"/>
      <c r="AP11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17" s="30"/>
      <c r="AR117" s="25" t="str">
        <f aca="false">IF(Tasks[[#This Row],[Task Name]]="","",Tasks[[#This Row],[Forecast Start]])</f>
        <v/>
      </c>
      <c r="AS117" s="25" t="str">
        <f aca="false">IF(Tasks[[#This Row],[Task Name]]="","",Tasks[[#This Row],[Forecast Finish]])</f>
        <v/>
      </c>
      <c r="AT11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17" s="81" t="str">
        <f aca="false">IF(Tasks[[#This Row],[Task Name]]="","",Tasks[[#This Row],[Work]])</f>
        <v/>
      </c>
      <c r="AV117" s="82" t="str">
        <f aca="false">IF(Tasks[[#This Row],[Task Name]]="","",Tasks[[#This Row],[Cost]])</f>
        <v/>
      </c>
      <c r="AW117" s="72"/>
      <c r="AX117" s="72"/>
      <c r="AY117" s="29"/>
      <c r="AZ117" s="85"/>
      <c r="BA117" s="83"/>
      <c r="BB117" s="28" t="str">
        <f aca="false">IF(OR(Tasks[[#This Row],[Task Name]]="",Tasks[[#This Row],[Baseline Duration]]=""),"",Tasks[[#This Row],[BL Source Duration]]-N(Tasks[[#This Row],[Baseline Duration]]))</f>
        <v/>
      </c>
      <c r="BC117" s="81" t="str">
        <f aca="false">IF(OR(Tasks[[#This Row],[Task Name]]="",Tasks[[#This Row],[Baseline Work]]=""),"",Tasks[[#This Row],[Work]]-N(Tasks[[#This Row],[Baseline Work]]))</f>
        <v/>
      </c>
      <c r="BD117" s="82" t="str">
        <f aca="false">IF(OR(Tasks[[#This Row],[Task Name]]="",Tasks[[#This Row],[Baseline Cost]]=""),"",Tasks[[#This Row],[Cost]]-N(Tasks[[#This Row],[Baseline Cost]]))</f>
        <v/>
      </c>
      <c r="BE11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1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1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1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17" s="43" t="str">
        <f aca="false">IF(Tasks[[#This Row],[Task Name]]="","",MAX(1,N(Tasks[[#This Row],[Level]])))</f>
        <v/>
      </c>
      <c r="BJ117" s="43" t="n">
        <f aca="false">ROW()-ROW(Tasks[[#Headers],[ID]])</f>
        <v>112</v>
      </c>
      <c r="BK11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17" s="43" t="n">
        <f aca="false">IFERROR(N(INDEX(Tasks[_Level],Tasks[[#This Row],[_Row]]+1)),0)</f>
        <v>0</v>
      </c>
      <c r="BM117" s="86" t="b">
        <f aca="false">AND(Tasks[[#This Row],[Task Name]]&lt;&gt;"",Tasks[[#This Row],[_NextLevel]]&gt;Tasks[[#This Row],[_Level]])</f>
        <v>0</v>
      </c>
      <c r="BN117" s="43" t="n">
        <f aca="false">IF(Tasks[[#This Row],[_IsSummary]],COUNTIF(Tasks[WBS],Tasks[[#This Row],[WBS]]&amp;".*"),0)</f>
        <v>0</v>
      </c>
      <c r="BO117" s="43" t="n">
        <f aca="false">IF(AND(Tasks[[#This Row],[Task Name]]&lt;&gt;"",NOT(Tasks[[#This Row],[_IsSummary]])),1,0)</f>
        <v>0</v>
      </c>
      <c r="BP117" s="43" t="n">
        <f aca="false">IF(N(Tasks[[#This Row],[Pred1 UID]])=0,0,IFERROR(MATCH(Tasks[[#This Row],[Pred1 UID]],Tasks[UID],0),-1))</f>
        <v>0</v>
      </c>
      <c r="BQ117" s="43" t="n">
        <f aca="false">IF(N(Tasks[[#This Row],[Pred2 UID]])=0,0,IFERROR(MATCH(Tasks[[#This Row],[Pred2 UID]],Tasks[UID],0),-1))</f>
        <v>0</v>
      </c>
      <c r="BR11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1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1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1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17" s="43" t="n">
        <f aca="false">IF(NOT(Tasks[[#This Row],[_IsLeaf]]=1),0,IF(N(Tasks[[#This Row],[Actual Finish]])&gt;0,1,MIN(1,N(Tasks[[#This Row],[% Complete]]))))</f>
        <v>0</v>
      </c>
      <c r="BW11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17" s="43" t="n">
        <f aca="false">IF(Tasks[[#This Row],[_LeafWork]]=0,0,Tasks[[#This Row],[_LeafWork]]*IFERROR(INDEX(res_Rate,MATCH(Tasks[[#This Row],[Resource]],res_Name,0)),0))</f>
        <v>0</v>
      </c>
      <c r="BY11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1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1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1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17" s="43" t="n">
        <f aca="false">IF(NOT(Tasks[[#This Row],[_IsLeaf]]=1),0,MAX(_xlfn.MAXIFS(Tasks[_Row],Tasks[Pred1 UID],Tasks[[#This Row],[UID]]),_xlfn.MAXIFS(Tasks[_Row],Tasks[Pred2 UID],Tasks[[#This Row],[UID]])))</f>
        <v>0</v>
      </c>
      <c r="CD11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17" s="87" t="str">
        <f aca="false">IF(NOT(Tasks[[#This Row],[_IsLeaf]]=1),"",MIN(ProjectFinish,IF(N(Tasks[[#This Row],[Deadline]])&gt;0,Tasks[[#This Row],[Deadline]],2958465),Tasks[[#This Row],[_SuccessorFinishLimit]]))</f>
        <v/>
      </c>
      <c r="CF11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1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17" s="86" t="b">
        <f aca="false">AND(Tasks[[#This Row],[_IsLeaf]]=1,Tasks[[#This Row],[_LeafProgress]]&lt;1,N(Tasks[[#This Row],[_LeafTotalSlack]])&lt;=CriticalSlackDays)</f>
        <v>0</v>
      </c>
      <c r="CI11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1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1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1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1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1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1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1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17" s="43" t="n">
        <f aca="false">IF(AND(Tasks[[#This Row],[_IsLeaf]]=1,Tasks[[#This Row],[_LeafWork]]&gt;0),NETWORKDAYS.INTL(ProjectStart,Tasks[[#This Row],[_LeafFcstStart]],WorkWeek,Holidays),0)</f>
        <v>0</v>
      </c>
      <c r="CR11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17" s="43" t="n">
        <f aca="false">IF(AND(Tasks[[#This Row],[_IsLeaf]]=1,Tasks[[#This Row],[_LeafWork]]&gt;0),Tasks[[#This Row],[_LeafWork]]/(Tasks[[#This Row],[_FinishWorkday]]-Tasks[[#This Row],[_StartWorkday]]+1),0)</f>
        <v>0</v>
      </c>
      <c r="CT117" s="43" t="n">
        <f aca="false">Tasks[[#This Row],[_WorkPerWorkday]]*(Tasks[[#This Row],[_StartWorkday]]-1)</f>
        <v>-0</v>
      </c>
      <c r="CU117" s="43" t="n">
        <f aca="false">IF(Tasks[[#This Row],[_IsLeaf]]=1,MAX(N(Tasks[[#This Row],[Duration]]),0.1),0)</f>
        <v>0</v>
      </c>
      <c r="CV117" s="43" t="n">
        <f aca="false">Tasks[[#This Row],[_WeightDur]]*Tasks[[#This Row],[_LeafProgress]]</f>
        <v>0</v>
      </c>
      <c r="CW11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1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1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1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1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17" s="43" t="str">
        <f aca="false">IF(AND(Tasks[[#This Row],[_IsLeaf]]=1,N(Tasks[[#This Row],[Duration]])=0,Tasks[[#This Row],[_LeafProgress]]&lt;1),Tasks[[#This Row],[_LeafFcstFinish]]+Tasks[[#This Row],[_Row]]/100000,"")</f>
        <v/>
      </c>
      <c r="DC11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17" s="43" t="n">
        <f aca="false">IF(NOT(Tasks[[#This Row],[_IsLeaf]]=1),0,IF(Tasks[[#This Row],[Baseline Cost]]="",Tasks[[#This Row],[_LeafCost]],N(Tasks[[#This Row],[Baseline Cost]])))</f>
        <v>0</v>
      </c>
      <c r="DE117" s="43" t="n">
        <f aca="false">Tasks[[#This Row],[_LeafBudget]]*Tasks[[#This Row],[_PlannedPct]]</f>
        <v>0</v>
      </c>
      <c r="DF117" s="43" t="n">
        <f aca="false">Tasks[[#This Row],[_LeafBudget]]*Tasks[[#This Row],[_LeafProgress]]</f>
        <v>0</v>
      </c>
      <c r="DG117" s="43" t="n">
        <f aca="false">IF(NOT(Tasks[[#This Row],[_IsLeaf]]=1),0,IF(Tasks[[#This Row],[Actual Cost]]="",Tasks[[#This Row],[_LeafCost]]*Tasks[[#This Row],[_LeafProgress]],N(Tasks[[#This Row],[Actual Cost]])))</f>
        <v>0</v>
      </c>
      <c r="DH117" s="43" t="str">
        <f aca="false">IF(Tasks[[#This Row],[Task Name]]="","",LEFT(Tasks[[#This Row],[WBS]],FIND(".",Tasks[[#This Row],[WBS]]&amp;".")-1))</f>
        <v/>
      </c>
      <c r="DI117" s="43" t="str">
        <f aca="false">IF(AND(Tasks[[#This Row],[Task Name]]&lt;&gt;"",Tasks[[#This Row],[_Level]]=1),Tasks[[#This Row],[_Row]],"")</f>
        <v/>
      </c>
      <c r="DJ117" s="43" t="str">
        <f aca="false">IF(AND(Tasks[[#This Row],[_IsLeaf]]=1,N(Tasks[[#This Row],[Duration]])=0),Tasks[[#This Row],[Planned Finish]]+Tasks[[#This Row],[_Row]]/100000,"")</f>
        <v/>
      </c>
      <c r="DK11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1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1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17" s="43" t="str">
        <f aca="false">IF(Tasks[[#This Row],[_LeafCritical]],Tasks[[#This Row],[_LeafFcstStart]]+Tasks[[#This Row],[_Row]]/100000,"")</f>
        <v/>
      </c>
      <c r="DO117" s="43" t="n">
        <f aca="false">Tasks[[#This Row],[_LeafWork]]*Tasks[[#This Row],[_LeafProgress]]</f>
        <v>0</v>
      </c>
      <c r="DP11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17" s="43" t="n">
        <f aca="false">IF(Tasks[[#This Row],[_IsLeaf]]=1,N(Tasks[[#This Row],[Story Points]]),0)</f>
        <v>0</v>
      </c>
      <c r="DR117" s="43" t="str">
        <f aca="false">IF(AND(Tasks[[#This Row],[_IsLeaf]]=1,CurrentSprint&lt;&gt;"",Tasks[[#This Row],[Sprint]]=CurrentSprint),Tasks[[#This Row],[_Row]],"")</f>
        <v/>
      </c>
    </row>
    <row r="118" customFormat="false" ht="15" hidden="false" customHeight="false" outlineLevel="0" collapsed="false">
      <c r="A118" s="28" t="str">
        <f aca="false">IF(Tasks[[#This Row],[Task Name]]="","",COUNTA(Tasks[[#Headers],[Task Name]]:Tasks[[#This Row],[Task Name]])-1)</f>
        <v/>
      </c>
      <c r="B118" s="29" t="n">
        <v>113</v>
      </c>
      <c r="C11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18" s="29"/>
      <c r="E118" s="30"/>
      <c r="F118" s="29"/>
      <c r="G118" s="29"/>
      <c r="H118" s="29"/>
      <c r="I118" s="29"/>
      <c r="J118" s="29"/>
      <c r="K118" s="29"/>
      <c r="L118" s="29"/>
      <c r="M118" s="29"/>
      <c r="N118" s="72"/>
      <c r="O118" s="72"/>
      <c r="P118" s="25" t="str">
        <f aca="false">IF(Tasks[[#This Row],[Task Name]]="","",IF(N(Tasks[[#This Row],[Baseline Start]])&gt;0,Tasks[[#This Row],[Baseline Start]],Tasks[[#This Row],[_CalcStart]]))</f>
        <v/>
      </c>
      <c r="Q118" s="25" t="str">
        <f aca="false">IF(Tasks[[#This Row],[Task Name]]="","",IF(N(Tasks[[#This Row],[Baseline Finish]])&gt;0,Tasks[[#This Row],[Baseline Finish]],Tasks[[#This Row],[_CalcFinish]]))</f>
        <v/>
      </c>
      <c r="R118" s="72"/>
      <c r="S118" s="72"/>
      <c r="T11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1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1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1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1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1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1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1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1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1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1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18" s="74"/>
      <c r="AF11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1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18" s="30"/>
      <c r="AI118" s="74"/>
      <c r="AJ11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1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18" s="83"/>
      <c r="AM118" s="29"/>
      <c r="AN11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18" s="84"/>
      <c r="AP11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18" s="30"/>
      <c r="AR118" s="25" t="str">
        <f aca="false">IF(Tasks[[#This Row],[Task Name]]="","",Tasks[[#This Row],[Forecast Start]])</f>
        <v/>
      </c>
      <c r="AS118" s="25" t="str">
        <f aca="false">IF(Tasks[[#This Row],[Task Name]]="","",Tasks[[#This Row],[Forecast Finish]])</f>
        <v/>
      </c>
      <c r="AT11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18" s="81" t="str">
        <f aca="false">IF(Tasks[[#This Row],[Task Name]]="","",Tasks[[#This Row],[Work]])</f>
        <v/>
      </c>
      <c r="AV118" s="82" t="str">
        <f aca="false">IF(Tasks[[#This Row],[Task Name]]="","",Tasks[[#This Row],[Cost]])</f>
        <v/>
      </c>
      <c r="AW118" s="72"/>
      <c r="AX118" s="72"/>
      <c r="AY118" s="29"/>
      <c r="AZ118" s="85"/>
      <c r="BA118" s="83"/>
      <c r="BB118" s="28" t="str">
        <f aca="false">IF(OR(Tasks[[#This Row],[Task Name]]="",Tasks[[#This Row],[Baseline Duration]]=""),"",Tasks[[#This Row],[BL Source Duration]]-N(Tasks[[#This Row],[Baseline Duration]]))</f>
        <v/>
      </c>
      <c r="BC118" s="81" t="str">
        <f aca="false">IF(OR(Tasks[[#This Row],[Task Name]]="",Tasks[[#This Row],[Baseline Work]]=""),"",Tasks[[#This Row],[Work]]-N(Tasks[[#This Row],[Baseline Work]]))</f>
        <v/>
      </c>
      <c r="BD118" s="82" t="str">
        <f aca="false">IF(OR(Tasks[[#This Row],[Task Name]]="",Tasks[[#This Row],[Baseline Cost]]=""),"",Tasks[[#This Row],[Cost]]-N(Tasks[[#This Row],[Baseline Cost]]))</f>
        <v/>
      </c>
      <c r="BE11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1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1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1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18" s="43" t="str">
        <f aca="false">IF(Tasks[[#This Row],[Task Name]]="","",MAX(1,N(Tasks[[#This Row],[Level]])))</f>
        <v/>
      </c>
      <c r="BJ118" s="43" t="n">
        <f aca="false">ROW()-ROW(Tasks[[#Headers],[ID]])</f>
        <v>113</v>
      </c>
      <c r="BK11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18" s="43" t="n">
        <f aca="false">IFERROR(N(INDEX(Tasks[_Level],Tasks[[#This Row],[_Row]]+1)),0)</f>
        <v>0</v>
      </c>
      <c r="BM118" s="86" t="b">
        <f aca="false">AND(Tasks[[#This Row],[Task Name]]&lt;&gt;"",Tasks[[#This Row],[_NextLevel]]&gt;Tasks[[#This Row],[_Level]])</f>
        <v>0</v>
      </c>
      <c r="BN118" s="43" t="n">
        <f aca="false">IF(Tasks[[#This Row],[_IsSummary]],COUNTIF(Tasks[WBS],Tasks[[#This Row],[WBS]]&amp;".*"),0)</f>
        <v>0</v>
      </c>
      <c r="BO118" s="43" t="n">
        <f aca="false">IF(AND(Tasks[[#This Row],[Task Name]]&lt;&gt;"",NOT(Tasks[[#This Row],[_IsSummary]])),1,0)</f>
        <v>0</v>
      </c>
      <c r="BP118" s="43" t="n">
        <f aca="false">IF(N(Tasks[[#This Row],[Pred1 UID]])=0,0,IFERROR(MATCH(Tasks[[#This Row],[Pred1 UID]],Tasks[UID],0),-1))</f>
        <v>0</v>
      </c>
      <c r="BQ118" s="43" t="n">
        <f aca="false">IF(N(Tasks[[#This Row],[Pred2 UID]])=0,0,IFERROR(MATCH(Tasks[[#This Row],[Pred2 UID]],Tasks[UID],0),-1))</f>
        <v>0</v>
      </c>
      <c r="BR11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1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1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1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18" s="43" t="n">
        <f aca="false">IF(NOT(Tasks[[#This Row],[_IsLeaf]]=1),0,IF(N(Tasks[[#This Row],[Actual Finish]])&gt;0,1,MIN(1,N(Tasks[[#This Row],[% Complete]]))))</f>
        <v>0</v>
      </c>
      <c r="BW11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18" s="43" t="n">
        <f aca="false">IF(Tasks[[#This Row],[_LeafWork]]=0,0,Tasks[[#This Row],[_LeafWork]]*IFERROR(INDEX(res_Rate,MATCH(Tasks[[#This Row],[Resource]],res_Name,0)),0))</f>
        <v>0</v>
      </c>
      <c r="BY11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1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1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1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18" s="43" t="n">
        <f aca="false">IF(NOT(Tasks[[#This Row],[_IsLeaf]]=1),0,MAX(_xlfn.MAXIFS(Tasks[_Row],Tasks[Pred1 UID],Tasks[[#This Row],[UID]]),_xlfn.MAXIFS(Tasks[_Row],Tasks[Pred2 UID],Tasks[[#This Row],[UID]])))</f>
        <v>0</v>
      </c>
      <c r="CD11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18" s="87" t="str">
        <f aca="false">IF(NOT(Tasks[[#This Row],[_IsLeaf]]=1),"",MIN(ProjectFinish,IF(N(Tasks[[#This Row],[Deadline]])&gt;0,Tasks[[#This Row],[Deadline]],2958465),Tasks[[#This Row],[_SuccessorFinishLimit]]))</f>
        <v/>
      </c>
      <c r="CF11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1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18" s="86" t="b">
        <f aca="false">AND(Tasks[[#This Row],[_IsLeaf]]=1,Tasks[[#This Row],[_LeafProgress]]&lt;1,N(Tasks[[#This Row],[_LeafTotalSlack]])&lt;=CriticalSlackDays)</f>
        <v>0</v>
      </c>
      <c r="CI11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1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1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1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1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1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1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1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18" s="43" t="n">
        <f aca="false">IF(AND(Tasks[[#This Row],[_IsLeaf]]=1,Tasks[[#This Row],[_LeafWork]]&gt;0),NETWORKDAYS.INTL(ProjectStart,Tasks[[#This Row],[_LeafFcstStart]],WorkWeek,Holidays),0)</f>
        <v>0</v>
      </c>
      <c r="CR11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18" s="43" t="n">
        <f aca="false">IF(AND(Tasks[[#This Row],[_IsLeaf]]=1,Tasks[[#This Row],[_LeafWork]]&gt;0),Tasks[[#This Row],[_LeafWork]]/(Tasks[[#This Row],[_FinishWorkday]]-Tasks[[#This Row],[_StartWorkday]]+1),0)</f>
        <v>0</v>
      </c>
      <c r="CT118" s="43" t="n">
        <f aca="false">Tasks[[#This Row],[_WorkPerWorkday]]*(Tasks[[#This Row],[_StartWorkday]]-1)</f>
        <v>-0</v>
      </c>
      <c r="CU118" s="43" t="n">
        <f aca="false">IF(Tasks[[#This Row],[_IsLeaf]]=1,MAX(N(Tasks[[#This Row],[Duration]]),0.1),0)</f>
        <v>0</v>
      </c>
      <c r="CV118" s="43" t="n">
        <f aca="false">Tasks[[#This Row],[_WeightDur]]*Tasks[[#This Row],[_LeafProgress]]</f>
        <v>0</v>
      </c>
      <c r="CW11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1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1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1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1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18" s="43" t="str">
        <f aca="false">IF(AND(Tasks[[#This Row],[_IsLeaf]]=1,N(Tasks[[#This Row],[Duration]])=0,Tasks[[#This Row],[_LeafProgress]]&lt;1),Tasks[[#This Row],[_LeafFcstFinish]]+Tasks[[#This Row],[_Row]]/100000,"")</f>
        <v/>
      </c>
      <c r="DC11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18" s="43" t="n">
        <f aca="false">IF(NOT(Tasks[[#This Row],[_IsLeaf]]=1),0,IF(Tasks[[#This Row],[Baseline Cost]]="",Tasks[[#This Row],[_LeafCost]],N(Tasks[[#This Row],[Baseline Cost]])))</f>
        <v>0</v>
      </c>
      <c r="DE118" s="43" t="n">
        <f aca="false">Tasks[[#This Row],[_LeafBudget]]*Tasks[[#This Row],[_PlannedPct]]</f>
        <v>0</v>
      </c>
      <c r="DF118" s="43" t="n">
        <f aca="false">Tasks[[#This Row],[_LeafBudget]]*Tasks[[#This Row],[_LeafProgress]]</f>
        <v>0</v>
      </c>
      <c r="DG118" s="43" t="n">
        <f aca="false">IF(NOT(Tasks[[#This Row],[_IsLeaf]]=1),0,IF(Tasks[[#This Row],[Actual Cost]]="",Tasks[[#This Row],[_LeafCost]]*Tasks[[#This Row],[_LeafProgress]],N(Tasks[[#This Row],[Actual Cost]])))</f>
        <v>0</v>
      </c>
      <c r="DH118" s="43" t="str">
        <f aca="false">IF(Tasks[[#This Row],[Task Name]]="","",LEFT(Tasks[[#This Row],[WBS]],FIND(".",Tasks[[#This Row],[WBS]]&amp;".")-1))</f>
        <v/>
      </c>
      <c r="DI118" s="43" t="str">
        <f aca="false">IF(AND(Tasks[[#This Row],[Task Name]]&lt;&gt;"",Tasks[[#This Row],[_Level]]=1),Tasks[[#This Row],[_Row]],"")</f>
        <v/>
      </c>
      <c r="DJ118" s="43" t="str">
        <f aca="false">IF(AND(Tasks[[#This Row],[_IsLeaf]]=1,N(Tasks[[#This Row],[Duration]])=0),Tasks[[#This Row],[Planned Finish]]+Tasks[[#This Row],[_Row]]/100000,"")</f>
        <v/>
      </c>
      <c r="DK11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1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1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18" s="43" t="str">
        <f aca="false">IF(Tasks[[#This Row],[_LeafCritical]],Tasks[[#This Row],[_LeafFcstStart]]+Tasks[[#This Row],[_Row]]/100000,"")</f>
        <v/>
      </c>
      <c r="DO118" s="43" t="n">
        <f aca="false">Tasks[[#This Row],[_LeafWork]]*Tasks[[#This Row],[_LeafProgress]]</f>
        <v>0</v>
      </c>
      <c r="DP11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18" s="43" t="n">
        <f aca="false">IF(Tasks[[#This Row],[_IsLeaf]]=1,N(Tasks[[#This Row],[Story Points]]),0)</f>
        <v>0</v>
      </c>
      <c r="DR118" s="43" t="str">
        <f aca="false">IF(AND(Tasks[[#This Row],[_IsLeaf]]=1,CurrentSprint&lt;&gt;"",Tasks[[#This Row],[Sprint]]=CurrentSprint),Tasks[[#This Row],[_Row]],"")</f>
        <v/>
      </c>
    </row>
    <row r="119" customFormat="false" ht="15" hidden="false" customHeight="false" outlineLevel="0" collapsed="false">
      <c r="A119" s="28" t="str">
        <f aca="false">IF(Tasks[[#This Row],[Task Name]]="","",COUNTA(Tasks[[#Headers],[Task Name]]:Tasks[[#This Row],[Task Name]])-1)</f>
        <v/>
      </c>
      <c r="B119" s="29" t="n">
        <v>114</v>
      </c>
      <c r="C11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19" s="29"/>
      <c r="E119" s="30"/>
      <c r="F119" s="29"/>
      <c r="G119" s="29"/>
      <c r="H119" s="29"/>
      <c r="I119" s="29"/>
      <c r="J119" s="29"/>
      <c r="K119" s="29"/>
      <c r="L119" s="29"/>
      <c r="M119" s="29"/>
      <c r="N119" s="72"/>
      <c r="O119" s="72"/>
      <c r="P119" s="25" t="str">
        <f aca="false">IF(Tasks[[#This Row],[Task Name]]="","",IF(N(Tasks[[#This Row],[Baseline Start]])&gt;0,Tasks[[#This Row],[Baseline Start]],Tasks[[#This Row],[_CalcStart]]))</f>
        <v/>
      </c>
      <c r="Q119" s="25" t="str">
        <f aca="false">IF(Tasks[[#This Row],[Task Name]]="","",IF(N(Tasks[[#This Row],[Baseline Finish]])&gt;0,Tasks[[#This Row],[Baseline Finish]],Tasks[[#This Row],[_CalcFinish]]))</f>
        <v/>
      </c>
      <c r="R119" s="72"/>
      <c r="S119" s="72"/>
      <c r="T11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1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1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1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1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1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1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1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1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1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1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19" s="74"/>
      <c r="AF11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1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19" s="30"/>
      <c r="AI119" s="74"/>
      <c r="AJ11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1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19" s="83"/>
      <c r="AM119" s="29"/>
      <c r="AN11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19" s="84"/>
      <c r="AP11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19" s="30"/>
      <c r="AR119" s="25" t="str">
        <f aca="false">IF(Tasks[[#This Row],[Task Name]]="","",Tasks[[#This Row],[Forecast Start]])</f>
        <v/>
      </c>
      <c r="AS119" s="25" t="str">
        <f aca="false">IF(Tasks[[#This Row],[Task Name]]="","",Tasks[[#This Row],[Forecast Finish]])</f>
        <v/>
      </c>
      <c r="AT11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19" s="81" t="str">
        <f aca="false">IF(Tasks[[#This Row],[Task Name]]="","",Tasks[[#This Row],[Work]])</f>
        <v/>
      </c>
      <c r="AV119" s="82" t="str">
        <f aca="false">IF(Tasks[[#This Row],[Task Name]]="","",Tasks[[#This Row],[Cost]])</f>
        <v/>
      </c>
      <c r="AW119" s="72"/>
      <c r="AX119" s="72"/>
      <c r="AY119" s="29"/>
      <c r="AZ119" s="85"/>
      <c r="BA119" s="83"/>
      <c r="BB119" s="28" t="str">
        <f aca="false">IF(OR(Tasks[[#This Row],[Task Name]]="",Tasks[[#This Row],[Baseline Duration]]=""),"",Tasks[[#This Row],[BL Source Duration]]-N(Tasks[[#This Row],[Baseline Duration]]))</f>
        <v/>
      </c>
      <c r="BC119" s="81" t="str">
        <f aca="false">IF(OR(Tasks[[#This Row],[Task Name]]="",Tasks[[#This Row],[Baseline Work]]=""),"",Tasks[[#This Row],[Work]]-N(Tasks[[#This Row],[Baseline Work]]))</f>
        <v/>
      </c>
      <c r="BD119" s="82" t="str">
        <f aca="false">IF(OR(Tasks[[#This Row],[Task Name]]="",Tasks[[#This Row],[Baseline Cost]]=""),"",Tasks[[#This Row],[Cost]]-N(Tasks[[#This Row],[Baseline Cost]]))</f>
        <v/>
      </c>
      <c r="BE11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1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1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1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19" s="43" t="str">
        <f aca="false">IF(Tasks[[#This Row],[Task Name]]="","",MAX(1,N(Tasks[[#This Row],[Level]])))</f>
        <v/>
      </c>
      <c r="BJ119" s="43" t="n">
        <f aca="false">ROW()-ROW(Tasks[[#Headers],[ID]])</f>
        <v>114</v>
      </c>
      <c r="BK11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19" s="43" t="n">
        <f aca="false">IFERROR(N(INDEX(Tasks[_Level],Tasks[[#This Row],[_Row]]+1)),0)</f>
        <v>0</v>
      </c>
      <c r="BM119" s="86" t="b">
        <f aca="false">AND(Tasks[[#This Row],[Task Name]]&lt;&gt;"",Tasks[[#This Row],[_NextLevel]]&gt;Tasks[[#This Row],[_Level]])</f>
        <v>0</v>
      </c>
      <c r="BN119" s="43" t="n">
        <f aca="false">IF(Tasks[[#This Row],[_IsSummary]],COUNTIF(Tasks[WBS],Tasks[[#This Row],[WBS]]&amp;".*"),0)</f>
        <v>0</v>
      </c>
      <c r="BO119" s="43" t="n">
        <f aca="false">IF(AND(Tasks[[#This Row],[Task Name]]&lt;&gt;"",NOT(Tasks[[#This Row],[_IsSummary]])),1,0)</f>
        <v>0</v>
      </c>
      <c r="BP119" s="43" t="n">
        <f aca="false">IF(N(Tasks[[#This Row],[Pred1 UID]])=0,0,IFERROR(MATCH(Tasks[[#This Row],[Pred1 UID]],Tasks[UID],0),-1))</f>
        <v>0</v>
      </c>
      <c r="BQ119" s="43" t="n">
        <f aca="false">IF(N(Tasks[[#This Row],[Pred2 UID]])=0,0,IFERROR(MATCH(Tasks[[#This Row],[Pred2 UID]],Tasks[UID],0),-1))</f>
        <v>0</v>
      </c>
      <c r="BR11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1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1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1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19" s="43" t="n">
        <f aca="false">IF(NOT(Tasks[[#This Row],[_IsLeaf]]=1),0,IF(N(Tasks[[#This Row],[Actual Finish]])&gt;0,1,MIN(1,N(Tasks[[#This Row],[% Complete]]))))</f>
        <v>0</v>
      </c>
      <c r="BW11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19" s="43" t="n">
        <f aca="false">IF(Tasks[[#This Row],[_LeafWork]]=0,0,Tasks[[#This Row],[_LeafWork]]*IFERROR(INDEX(res_Rate,MATCH(Tasks[[#This Row],[Resource]],res_Name,0)),0))</f>
        <v>0</v>
      </c>
      <c r="BY11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1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1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1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19" s="43" t="n">
        <f aca="false">IF(NOT(Tasks[[#This Row],[_IsLeaf]]=1),0,MAX(_xlfn.MAXIFS(Tasks[_Row],Tasks[Pred1 UID],Tasks[[#This Row],[UID]]),_xlfn.MAXIFS(Tasks[_Row],Tasks[Pred2 UID],Tasks[[#This Row],[UID]])))</f>
        <v>0</v>
      </c>
      <c r="CD11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19" s="87" t="str">
        <f aca="false">IF(NOT(Tasks[[#This Row],[_IsLeaf]]=1),"",MIN(ProjectFinish,IF(N(Tasks[[#This Row],[Deadline]])&gt;0,Tasks[[#This Row],[Deadline]],2958465),Tasks[[#This Row],[_SuccessorFinishLimit]]))</f>
        <v/>
      </c>
      <c r="CF11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1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19" s="86" t="b">
        <f aca="false">AND(Tasks[[#This Row],[_IsLeaf]]=1,Tasks[[#This Row],[_LeafProgress]]&lt;1,N(Tasks[[#This Row],[_LeafTotalSlack]])&lt;=CriticalSlackDays)</f>
        <v>0</v>
      </c>
      <c r="CI11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1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1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1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1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1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1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1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19" s="43" t="n">
        <f aca="false">IF(AND(Tasks[[#This Row],[_IsLeaf]]=1,Tasks[[#This Row],[_LeafWork]]&gt;0),NETWORKDAYS.INTL(ProjectStart,Tasks[[#This Row],[_LeafFcstStart]],WorkWeek,Holidays),0)</f>
        <v>0</v>
      </c>
      <c r="CR11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19" s="43" t="n">
        <f aca="false">IF(AND(Tasks[[#This Row],[_IsLeaf]]=1,Tasks[[#This Row],[_LeafWork]]&gt;0),Tasks[[#This Row],[_LeafWork]]/(Tasks[[#This Row],[_FinishWorkday]]-Tasks[[#This Row],[_StartWorkday]]+1),0)</f>
        <v>0</v>
      </c>
      <c r="CT119" s="43" t="n">
        <f aca="false">Tasks[[#This Row],[_WorkPerWorkday]]*(Tasks[[#This Row],[_StartWorkday]]-1)</f>
        <v>-0</v>
      </c>
      <c r="CU119" s="43" t="n">
        <f aca="false">IF(Tasks[[#This Row],[_IsLeaf]]=1,MAX(N(Tasks[[#This Row],[Duration]]),0.1),0)</f>
        <v>0</v>
      </c>
      <c r="CV119" s="43" t="n">
        <f aca="false">Tasks[[#This Row],[_WeightDur]]*Tasks[[#This Row],[_LeafProgress]]</f>
        <v>0</v>
      </c>
      <c r="CW11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1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1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1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1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19" s="43" t="str">
        <f aca="false">IF(AND(Tasks[[#This Row],[_IsLeaf]]=1,N(Tasks[[#This Row],[Duration]])=0,Tasks[[#This Row],[_LeafProgress]]&lt;1),Tasks[[#This Row],[_LeafFcstFinish]]+Tasks[[#This Row],[_Row]]/100000,"")</f>
        <v/>
      </c>
      <c r="DC11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19" s="43" t="n">
        <f aca="false">IF(NOT(Tasks[[#This Row],[_IsLeaf]]=1),0,IF(Tasks[[#This Row],[Baseline Cost]]="",Tasks[[#This Row],[_LeafCost]],N(Tasks[[#This Row],[Baseline Cost]])))</f>
        <v>0</v>
      </c>
      <c r="DE119" s="43" t="n">
        <f aca="false">Tasks[[#This Row],[_LeafBudget]]*Tasks[[#This Row],[_PlannedPct]]</f>
        <v>0</v>
      </c>
      <c r="DF119" s="43" t="n">
        <f aca="false">Tasks[[#This Row],[_LeafBudget]]*Tasks[[#This Row],[_LeafProgress]]</f>
        <v>0</v>
      </c>
      <c r="DG119" s="43" t="n">
        <f aca="false">IF(NOT(Tasks[[#This Row],[_IsLeaf]]=1),0,IF(Tasks[[#This Row],[Actual Cost]]="",Tasks[[#This Row],[_LeafCost]]*Tasks[[#This Row],[_LeafProgress]],N(Tasks[[#This Row],[Actual Cost]])))</f>
        <v>0</v>
      </c>
      <c r="DH119" s="43" t="str">
        <f aca="false">IF(Tasks[[#This Row],[Task Name]]="","",LEFT(Tasks[[#This Row],[WBS]],FIND(".",Tasks[[#This Row],[WBS]]&amp;".")-1))</f>
        <v/>
      </c>
      <c r="DI119" s="43" t="str">
        <f aca="false">IF(AND(Tasks[[#This Row],[Task Name]]&lt;&gt;"",Tasks[[#This Row],[_Level]]=1),Tasks[[#This Row],[_Row]],"")</f>
        <v/>
      </c>
      <c r="DJ119" s="43" t="str">
        <f aca="false">IF(AND(Tasks[[#This Row],[_IsLeaf]]=1,N(Tasks[[#This Row],[Duration]])=0),Tasks[[#This Row],[Planned Finish]]+Tasks[[#This Row],[_Row]]/100000,"")</f>
        <v/>
      </c>
      <c r="DK11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1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1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19" s="43" t="str">
        <f aca="false">IF(Tasks[[#This Row],[_LeafCritical]],Tasks[[#This Row],[_LeafFcstStart]]+Tasks[[#This Row],[_Row]]/100000,"")</f>
        <v/>
      </c>
      <c r="DO119" s="43" t="n">
        <f aca="false">Tasks[[#This Row],[_LeafWork]]*Tasks[[#This Row],[_LeafProgress]]</f>
        <v>0</v>
      </c>
      <c r="DP11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19" s="43" t="n">
        <f aca="false">IF(Tasks[[#This Row],[_IsLeaf]]=1,N(Tasks[[#This Row],[Story Points]]),0)</f>
        <v>0</v>
      </c>
      <c r="DR119" s="43" t="str">
        <f aca="false">IF(AND(Tasks[[#This Row],[_IsLeaf]]=1,CurrentSprint&lt;&gt;"",Tasks[[#This Row],[Sprint]]=CurrentSprint),Tasks[[#This Row],[_Row]],"")</f>
        <v/>
      </c>
    </row>
    <row r="120" customFormat="false" ht="15" hidden="false" customHeight="false" outlineLevel="0" collapsed="false">
      <c r="A120" s="28" t="str">
        <f aca="false">IF(Tasks[[#This Row],[Task Name]]="","",COUNTA(Tasks[[#Headers],[Task Name]]:Tasks[[#This Row],[Task Name]])-1)</f>
        <v/>
      </c>
      <c r="B120" s="29" t="n">
        <v>115</v>
      </c>
      <c r="C12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20" s="29"/>
      <c r="E120" s="30"/>
      <c r="F120" s="29"/>
      <c r="G120" s="29"/>
      <c r="H120" s="29"/>
      <c r="I120" s="29"/>
      <c r="J120" s="29"/>
      <c r="K120" s="29"/>
      <c r="L120" s="29"/>
      <c r="M120" s="29"/>
      <c r="N120" s="72"/>
      <c r="O120" s="72"/>
      <c r="P120" s="25" t="str">
        <f aca="false">IF(Tasks[[#This Row],[Task Name]]="","",IF(N(Tasks[[#This Row],[Baseline Start]])&gt;0,Tasks[[#This Row],[Baseline Start]],Tasks[[#This Row],[_CalcStart]]))</f>
        <v/>
      </c>
      <c r="Q120" s="25" t="str">
        <f aca="false">IF(Tasks[[#This Row],[Task Name]]="","",IF(N(Tasks[[#This Row],[Baseline Finish]])&gt;0,Tasks[[#This Row],[Baseline Finish]],Tasks[[#This Row],[_CalcFinish]]))</f>
        <v/>
      </c>
      <c r="R120" s="72"/>
      <c r="S120" s="72"/>
      <c r="T12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2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2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2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2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2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2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2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2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2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2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20" s="74"/>
      <c r="AF12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2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20" s="30"/>
      <c r="AI120" s="74"/>
      <c r="AJ12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2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20" s="83"/>
      <c r="AM120" s="29"/>
      <c r="AN12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20" s="84"/>
      <c r="AP12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20" s="30"/>
      <c r="AR120" s="25" t="str">
        <f aca="false">IF(Tasks[[#This Row],[Task Name]]="","",Tasks[[#This Row],[Forecast Start]])</f>
        <v/>
      </c>
      <c r="AS120" s="25" t="str">
        <f aca="false">IF(Tasks[[#This Row],[Task Name]]="","",Tasks[[#This Row],[Forecast Finish]])</f>
        <v/>
      </c>
      <c r="AT12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20" s="81" t="str">
        <f aca="false">IF(Tasks[[#This Row],[Task Name]]="","",Tasks[[#This Row],[Work]])</f>
        <v/>
      </c>
      <c r="AV120" s="82" t="str">
        <f aca="false">IF(Tasks[[#This Row],[Task Name]]="","",Tasks[[#This Row],[Cost]])</f>
        <v/>
      </c>
      <c r="AW120" s="72"/>
      <c r="AX120" s="72"/>
      <c r="AY120" s="29"/>
      <c r="AZ120" s="85"/>
      <c r="BA120" s="83"/>
      <c r="BB120" s="28" t="str">
        <f aca="false">IF(OR(Tasks[[#This Row],[Task Name]]="",Tasks[[#This Row],[Baseline Duration]]=""),"",Tasks[[#This Row],[BL Source Duration]]-N(Tasks[[#This Row],[Baseline Duration]]))</f>
        <v/>
      </c>
      <c r="BC120" s="81" t="str">
        <f aca="false">IF(OR(Tasks[[#This Row],[Task Name]]="",Tasks[[#This Row],[Baseline Work]]=""),"",Tasks[[#This Row],[Work]]-N(Tasks[[#This Row],[Baseline Work]]))</f>
        <v/>
      </c>
      <c r="BD120" s="82" t="str">
        <f aca="false">IF(OR(Tasks[[#This Row],[Task Name]]="",Tasks[[#This Row],[Baseline Cost]]=""),"",Tasks[[#This Row],[Cost]]-N(Tasks[[#This Row],[Baseline Cost]]))</f>
        <v/>
      </c>
      <c r="BE12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2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2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2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20" s="43" t="str">
        <f aca="false">IF(Tasks[[#This Row],[Task Name]]="","",MAX(1,N(Tasks[[#This Row],[Level]])))</f>
        <v/>
      </c>
      <c r="BJ120" s="43" t="n">
        <f aca="false">ROW()-ROW(Tasks[[#Headers],[ID]])</f>
        <v>115</v>
      </c>
      <c r="BK12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20" s="43" t="n">
        <f aca="false">IFERROR(N(INDEX(Tasks[_Level],Tasks[[#This Row],[_Row]]+1)),0)</f>
        <v>0</v>
      </c>
      <c r="BM120" s="86" t="b">
        <f aca="false">AND(Tasks[[#This Row],[Task Name]]&lt;&gt;"",Tasks[[#This Row],[_NextLevel]]&gt;Tasks[[#This Row],[_Level]])</f>
        <v>0</v>
      </c>
      <c r="BN120" s="43" t="n">
        <f aca="false">IF(Tasks[[#This Row],[_IsSummary]],COUNTIF(Tasks[WBS],Tasks[[#This Row],[WBS]]&amp;".*"),0)</f>
        <v>0</v>
      </c>
      <c r="BO120" s="43" t="n">
        <f aca="false">IF(AND(Tasks[[#This Row],[Task Name]]&lt;&gt;"",NOT(Tasks[[#This Row],[_IsSummary]])),1,0)</f>
        <v>0</v>
      </c>
      <c r="BP120" s="43" t="n">
        <f aca="false">IF(N(Tasks[[#This Row],[Pred1 UID]])=0,0,IFERROR(MATCH(Tasks[[#This Row],[Pred1 UID]],Tasks[UID],0),-1))</f>
        <v>0</v>
      </c>
      <c r="BQ120" s="43" t="n">
        <f aca="false">IF(N(Tasks[[#This Row],[Pred2 UID]])=0,0,IFERROR(MATCH(Tasks[[#This Row],[Pred2 UID]],Tasks[UID],0),-1))</f>
        <v>0</v>
      </c>
      <c r="BR12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2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2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2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20" s="43" t="n">
        <f aca="false">IF(NOT(Tasks[[#This Row],[_IsLeaf]]=1),0,IF(N(Tasks[[#This Row],[Actual Finish]])&gt;0,1,MIN(1,N(Tasks[[#This Row],[% Complete]]))))</f>
        <v>0</v>
      </c>
      <c r="BW12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20" s="43" t="n">
        <f aca="false">IF(Tasks[[#This Row],[_LeafWork]]=0,0,Tasks[[#This Row],[_LeafWork]]*IFERROR(INDEX(res_Rate,MATCH(Tasks[[#This Row],[Resource]],res_Name,0)),0))</f>
        <v>0</v>
      </c>
      <c r="BY12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2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2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2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20" s="43" t="n">
        <f aca="false">IF(NOT(Tasks[[#This Row],[_IsLeaf]]=1),0,MAX(_xlfn.MAXIFS(Tasks[_Row],Tasks[Pred1 UID],Tasks[[#This Row],[UID]]),_xlfn.MAXIFS(Tasks[_Row],Tasks[Pred2 UID],Tasks[[#This Row],[UID]])))</f>
        <v>0</v>
      </c>
      <c r="CD12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20" s="87" t="str">
        <f aca="false">IF(NOT(Tasks[[#This Row],[_IsLeaf]]=1),"",MIN(ProjectFinish,IF(N(Tasks[[#This Row],[Deadline]])&gt;0,Tasks[[#This Row],[Deadline]],2958465),Tasks[[#This Row],[_SuccessorFinishLimit]]))</f>
        <v/>
      </c>
      <c r="CF12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2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20" s="86" t="b">
        <f aca="false">AND(Tasks[[#This Row],[_IsLeaf]]=1,Tasks[[#This Row],[_LeafProgress]]&lt;1,N(Tasks[[#This Row],[_LeafTotalSlack]])&lt;=CriticalSlackDays)</f>
        <v>0</v>
      </c>
      <c r="CI12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2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2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2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2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2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2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2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20" s="43" t="n">
        <f aca="false">IF(AND(Tasks[[#This Row],[_IsLeaf]]=1,Tasks[[#This Row],[_LeafWork]]&gt;0),NETWORKDAYS.INTL(ProjectStart,Tasks[[#This Row],[_LeafFcstStart]],WorkWeek,Holidays),0)</f>
        <v>0</v>
      </c>
      <c r="CR12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20" s="43" t="n">
        <f aca="false">IF(AND(Tasks[[#This Row],[_IsLeaf]]=1,Tasks[[#This Row],[_LeafWork]]&gt;0),Tasks[[#This Row],[_LeafWork]]/(Tasks[[#This Row],[_FinishWorkday]]-Tasks[[#This Row],[_StartWorkday]]+1),0)</f>
        <v>0</v>
      </c>
      <c r="CT120" s="43" t="n">
        <f aca="false">Tasks[[#This Row],[_WorkPerWorkday]]*(Tasks[[#This Row],[_StartWorkday]]-1)</f>
        <v>-0</v>
      </c>
      <c r="CU120" s="43" t="n">
        <f aca="false">IF(Tasks[[#This Row],[_IsLeaf]]=1,MAX(N(Tasks[[#This Row],[Duration]]),0.1),0)</f>
        <v>0</v>
      </c>
      <c r="CV120" s="43" t="n">
        <f aca="false">Tasks[[#This Row],[_WeightDur]]*Tasks[[#This Row],[_LeafProgress]]</f>
        <v>0</v>
      </c>
      <c r="CW12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2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2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2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2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20" s="43" t="str">
        <f aca="false">IF(AND(Tasks[[#This Row],[_IsLeaf]]=1,N(Tasks[[#This Row],[Duration]])=0,Tasks[[#This Row],[_LeafProgress]]&lt;1),Tasks[[#This Row],[_LeafFcstFinish]]+Tasks[[#This Row],[_Row]]/100000,"")</f>
        <v/>
      </c>
      <c r="DC12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20" s="43" t="n">
        <f aca="false">IF(NOT(Tasks[[#This Row],[_IsLeaf]]=1),0,IF(Tasks[[#This Row],[Baseline Cost]]="",Tasks[[#This Row],[_LeafCost]],N(Tasks[[#This Row],[Baseline Cost]])))</f>
        <v>0</v>
      </c>
      <c r="DE120" s="43" t="n">
        <f aca="false">Tasks[[#This Row],[_LeafBudget]]*Tasks[[#This Row],[_PlannedPct]]</f>
        <v>0</v>
      </c>
      <c r="DF120" s="43" t="n">
        <f aca="false">Tasks[[#This Row],[_LeafBudget]]*Tasks[[#This Row],[_LeafProgress]]</f>
        <v>0</v>
      </c>
      <c r="DG120" s="43" t="n">
        <f aca="false">IF(NOT(Tasks[[#This Row],[_IsLeaf]]=1),0,IF(Tasks[[#This Row],[Actual Cost]]="",Tasks[[#This Row],[_LeafCost]]*Tasks[[#This Row],[_LeafProgress]],N(Tasks[[#This Row],[Actual Cost]])))</f>
        <v>0</v>
      </c>
      <c r="DH120" s="43" t="str">
        <f aca="false">IF(Tasks[[#This Row],[Task Name]]="","",LEFT(Tasks[[#This Row],[WBS]],FIND(".",Tasks[[#This Row],[WBS]]&amp;".")-1))</f>
        <v/>
      </c>
      <c r="DI120" s="43" t="str">
        <f aca="false">IF(AND(Tasks[[#This Row],[Task Name]]&lt;&gt;"",Tasks[[#This Row],[_Level]]=1),Tasks[[#This Row],[_Row]],"")</f>
        <v/>
      </c>
      <c r="DJ120" s="43" t="str">
        <f aca="false">IF(AND(Tasks[[#This Row],[_IsLeaf]]=1,N(Tasks[[#This Row],[Duration]])=0),Tasks[[#This Row],[Planned Finish]]+Tasks[[#This Row],[_Row]]/100000,"")</f>
        <v/>
      </c>
      <c r="DK12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2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2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20" s="43" t="str">
        <f aca="false">IF(Tasks[[#This Row],[_LeafCritical]],Tasks[[#This Row],[_LeafFcstStart]]+Tasks[[#This Row],[_Row]]/100000,"")</f>
        <v/>
      </c>
      <c r="DO120" s="43" t="n">
        <f aca="false">Tasks[[#This Row],[_LeafWork]]*Tasks[[#This Row],[_LeafProgress]]</f>
        <v>0</v>
      </c>
      <c r="DP12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20" s="43" t="n">
        <f aca="false">IF(Tasks[[#This Row],[_IsLeaf]]=1,N(Tasks[[#This Row],[Story Points]]),0)</f>
        <v>0</v>
      </c>
      <c r="DR120" s="43" t="str">
        <f aca="false">IF(AND(Tasks[[#This Row],[_IsLeaf]]=1,CurrentSprint&lt;&gt;"",Tasks[[#This Row],[Sprint]]=CurrentSprint),Tasks[[#This Row],[_Row]],"")</f>
        <v/>
      </c>
    </row>
    <row r="121" customFormat="false" ht="15" hidden="false" customHeight="false" outlineLevel="0" collapsed="false">
      <c r="A121" s="28" t="str">
        <f aca="false">IF(Tasks[[#This Row],[Task Name]]="","",COUNTA(Tasks[[#Headers],[Task Name]]:Tasks[[#This Row],[Task Name]])-1)</f>
        <v/>
      </c>
      <c r="B121" s="29" t="n">
        <v>116</v>
      </c>
      <c r="C12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21" s="29"/>
      <c r="E121" s="30"/>
      <c r="F121" s="29"/>
      <c r="G121" s="29"/>
      <c r="H121" s="29"/>
      <c r="I121" s="29"/>
      <c r="J121" s="29"/>
      <c r="K121" s="29"/>
      <c r="L121" s="29"/>
      <c r="M121" s="29"/>
      <c r="N121" s="72"/>
      <c r="O121" s="72"/>
      <c r="P121" s="25" t="str">
        <f aca="false">IF(Tasks[[#This Row],[Task Name]]="","",IF(N(Tasks[[#This Row],[Baseline Start]])&gt;0,Tasks[[#This Row],[Baseline Start]],Tasks[[#This Row],[_CalcStart]]))</f>
        <v/>
      </c>
      <c r="Q121" s="25" t="str">
        <f aca="false">IF(Tasks[[#This Row],[Task Name]]="","",IF(N(Tasks[[#This Row],[Baseline Finish]])&gt;0,Tasks[[#This Row],[Baseline Finish]],Tasks[[#This Row],[_CalcFinish]]))</f>
        <v/>
      </c>
      <c r="R121" s="72"/>
      <c r="S121" s="72"/>
      <c r="T12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2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2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2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2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2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2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2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2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2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2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21" s="74"/>
      <c r="AF12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2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21" s="30"/>
      <c r="AI121" s="74"/>
      <c r="AJ12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2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21" s="83"/>
      <c r="AM121" s="29"/>
      <c r="AN12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21" s="84"/>
      <c r="AP12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21" s="30"/>
      <c r="AR121" s="25" t="str">
        <f aca="false">IF(Tasks[[#This Row],[Task Name]]="","",Tasks[[#This Row],[Forecast Start]])</f>
        <v/>
      </c>
      <c r="AS121" s="25" t="str">
        <f aca="false">IF(Tasks[[#This Row],[Task Name]]="","",Tasks[[#This Row],[Forecast Finish]])</f>
        <v/>
      </c>
      <c r="AT12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21" s="81" t="str">
        <f aca="false">IF(Tasks[[#This Row],[Task Name]]="","",Tasks[[#This Row],[Work]])</f>
        <v/>
      </c>
      <c r="AV121" s="82" t="str">
        <f aca="false">IF(Tasks[[#This Row],[Task Name]]="","",Tasks[[#This Row],[Cost]])</f>
        <v/>
      </c>
      <c r="AW121" s="72"/>
      <c r="AX121" s="72"/>
      <c r="AY121" s="29"/>
      <c r="AZ121" s="85"/>
      <c r="BA121" s="83"/>
      <c r="BB121" s="28" t="str">
        <f aca="false">IF(OR(Tasks[[#This Row],[Task Name]]="",Tasks[[#This Row],[Baseline Duration]]=""),"",Tasks[[#This Row],[BL Source Duration]]-N(Tasks[[#This Row],[Baseline Duration]]))</f>
        <v/>
      </c>
      <c r="BC121" s="81" t="str">
        <f aca="false">IF(OR(Tasks[[#This Row],[Task Name]]="",Tasks[[#This Row],[Baseline Work]]=""),"",Tasks[[#This Row],[Work]]-N(Tasks[[#This Row],[Baseline Work]]))</f>
        <v/>
      </c>
      <c r="BD121" s="82" t="str">
        <f aca="false">IF(OR(Tasks[[#This Row],[Task Name]]="",Tasks[[#This Row],[Baseline Cost]]=""),"",Tasks[[#This Row],[Cost]]-N(Tasks[[#This Row],[Baseline Cost]]))</f>
        <v/>
      </c>
      <c r="BE12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2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2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2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21" s="43" t="str">
        <f aca="false">IF(Tasks[[#This Row],[Task Name]]="","",MAX(1,N(Tasks[[#This Row],[Level]])))</f>
        <v/>
      </c>
      <c r="BJ121" s="43" t="n">
        <f aca="false">ROW()-ROW(Tasks[[#Headers],[ID]])</f>
        <v>116</v>
      </c>
      <c r="BK12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21" s="43" t="n">
        <f aca="false">IFERROR(N(INDEX(Tasks[_Level],Tasks[[#This Row],[_Row]]+1)),0)</f>
        <v>0</v>
      </c>
      <c r="BM121" s="86" t="b">
        <f aca="false">AND(Tasks[[#This Row],[Task Name]]&lt;&gt;"",Tasks[[#This Row],[_NextLevel]]&gt;Tasks[[#This Row],[_Level]])</f>
        <v>0</v>
      </c>
      <c r="BN121" s="43" t="n">
        <f aca="false">IF(Tasks[[#This Row],[_IsSummary]],COUNTIF(Tasks[WBS],Tasks[[#This Row],[WBS]]&amp;".*"),0)</f>
        <v>0</v>
      </c>
      <c r="BO121" s="43" t="n">
        <f aca="false">IF(AND(Tasks[[#This Row],[Task Name]]&lt;&gt;"",NOT(Tasks[[#This Row],[_IsSummary]])),1,0)</f>
        <v>0</v>
      </c>
      <c r="BP121" s="43" t="n">
        <f aca="false">IF(N(Tasks[[#This Row],[Pred1 UID]])=0,0,IFERROR(MATCH(Tasks[[#This Row],[Pred1 UID]],Tasks[UID],0),-1))</f>
        <v>0</v>
      </c>
      <c r="BQ121" s="43" t="n">
        <f aca="false">IF(N(Tasks[[#This Row],[Pred2 UID]])=0,0,IFERROR(MATCH(Tasks[[#This Row],[Pred2 UID]],Tasks[UID],0),-1))</f>
        <v>0</v>
      </c>
      <c r="BR12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2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2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2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21" s="43" t="n">
        <f aca="false">IF(NOT(Tasks[[#This Row],[_IsLeaf]]=1),0,IF(N(Tasks[[#This Row],[Actual Finish]])&gt;0,1,MIN(1,N(Tasks[[#This Row],[% Complete]]))))</f>
        <v>0</v>
      </c>
      <c r="BW12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21" s="43" t="n">
        <f aca="false">IF(Tasks[[#This Row],[_LeafWork]]=0,0,Tasks[[#This Row],[_LeafWork]]*IFERROR(INDEX(res_Rate,MATCH(Tasks[[#This Row],[Resource]],res_Name,0)),0))</f>
        <v>0</v>
      </c>
      <c r="BY12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2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2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2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21" s="43" t="n">
        <f aca="false">IF(NOT(Tasks[[#This Row],[_IsLeaf]]=1),0,MAX(_xlfn.MAXIFS(Tasks[_Row],Tasks[Pred1 UID],Tasks[[#This Row],[UID]]),_xlfn.MAXIFS(Tasks[_Row],Tasks[Pred2 UID],Tasks[[#This Row],[UID]])))</f>
        <v>0</v>
      </c>
      <c r="CD12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21" s="87" t="str">
        <f aca="false">IF(NOT(Tasks[[#This Row],[_IsLeaf]]=1),"",MIN(ProjectFinish,IF(N(Tasks[[#This Row],[Deadline]])&gt;0,Tasks[[#This Row],[Deadline]],2958465),Tasks[[#This Row],[_SuccessorFinishLimit]]))</f>
        <v/>
      </c>
      <c r="CF12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2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21" s="86" t="b">
        <f aca="false">AND(Tasks[[#This Row],[_IsLeaf]]=1,Tasks[[#This Row],[_LeafProgress]]&lt;1,N(Tasks[[#This Row],[_LeafTotalSlack]])&lt;=CriticalSlackDays)</f>
        <v>0</v>
      </c>
      <c r="CI12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2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2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2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2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2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2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2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21" s="43" t="n">
        <f aca="false">IF(AND(Tasks[[#This Row],[_IsLeaf]]=1,Tasks[[#This Row],[_LeafWork]]&gt;0),NETWORKDAYS.INTL(ProjectStart,Tasks[[#This Row],[_LeafFcstStart]],WorkWeek,Holidays),0)</f>
        <v>0</v>
      </c>
      <c r="CR12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21" s="43" t="n">
        <f aca="false">IF(AND(Tasks[[#This Row],[_IsLeaf]]=1,Tasks[[#This Row],[_LeafWork]]&gt;0),Tasks[[#This Row],[_LeafWork]]/(Tasks[[#This Row],[_FinishWorkday]]-Tasks[[#This Row],[_StartWorkday]]+1),0)</f>
        <v>0</v>
      </c>
      <c r="CT121" s="43" t="n">
        <f aca="false">Tasks[[#This Row],[_WorkPerWorkday]]*(Tasks[[#This Row],[_StartWorkday]]-1)</f>
        <v>-0</v>
      </c>
      <c r="CU121" s="43" t="n">
        <f aca="false">IF(Tasks[[#This Row],[_IsLeaf]]=1,MAX(N(Tasks[[#This Row],[Duration]]),0.1),0)</f>
        <v>0</v>
      </c>
      <c r="CV121" s="43" t="n">
        <f aca="false">Tasks[[#This Row],[_WeightDur]]*Tasks[[#This Row],[_LeafProgress]]</f>
        <v>0</v>
      </c>
      <c r="CW12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2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2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2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2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21" s="43" t="str">
        <f aca="false">IF(AND(Tasks[[#This Row],[_IsLeaf]]=1,N(Tasks[[#This Row],[Duration]])=0,Tasks[[#This Row],[_LeafProgress]]&lt;1),Tasks[[#This Row],[_LeafFcstFinish]]+Tasks[[#This Row],[_Row]]/100000,"")</f>
        <v/>
      </c>
      <c r="DC12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21" s="43" t="n">
        <f aca="false">IF(NOT(Tasks[[#This Row],[_IsLeaf]]=1),0,IF(Tasks[[#This Row],[Baseline Cost]]="",Tasks[[#This Row],[_LeafCost]],N(Tasks[[#This Row],[Baseline Cost]])))</f>
        <v>0</v>
      </c>
      <c r="DE121" s="43" t="n">
        <f aca="false">Tasks[[#This Row],[_LeafBudget]]*Tasks[[#This Row],[_PlannedPct]]</f>
        <v>0</v>
      </c>
      <c r="DF121" s="43" t="n">
        <f aca="false">Tasks[[#This Row],[_LeafBudget]]*Tasks[[#This Row],[_LeafProgress]]</f>
        <v>0</v>
      </c>
      <c r="DG121" s="43" t="n">
        <f aca="false">IF(NOT(Tasks[[#This Row],[_IsLeaf]]=1),0,IF(Tasks[[#This Row],[Actual Cost]]="",Tasks[[#This Row],[_LeafCost]]*Tasks[[#This Row],[_LeafProgress]],N(Tasks[[#This Row],[Actual Cost]])))</f>
        <v>0</v>
      </c>
      <c r="DH121" s="43" t="str">
        <f aca="false">IF(Tasks[[#This Row],[Task Name]]="","",LEFT(Tasks[[#This Row],[WBS]],FIND(".",Tasks[[#This Row],[WBS]]&amp;".")-1))</f>
        <v/>
      </c>
      <c r="DI121" s="43" t="str">
        <f aca="false">IF(AND(Tasks[[#This Row],[Task Name]]&lt;&gt;"",Tasks[[#This Row],[_Level]]=1),Tasks[[#This Row],[_Row]],"")</f>
        <v/>
      </c>
      <c r="DJ121" s="43" t="str">
        <f aca="false">IF(AND(Tasks[[#This Row],[_IsLeaf]]=1,N(Tasks[[#This Row],[Duration]])=0),Tasks[[#This Row],[Planned Finish]]+Tasks[[#This Row],[_Row]]/100000,"")</f>
        <v/>
      </c>
      <c r="DK12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2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2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21" s="43" t="str">
        <f aca="false">IF(Tasks[[#This Row],[_LeafCritical]],Tasks[[#This Row],[_LeafFcstStart]]+Tasks[[#This Row],[_Row]]/100000,"")</f>
        <v/>
      </c>
      <c r="DO121" s="43" t="n">
        <f aca="false">Tasks[[#This Row],[_LeafWork]]*Tasks[[#This Row],[_LeafProgress]]</f>
        <v>0</v>
      </c>
      <c r="DP12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21" s="43" t="n">
        <f aca="false">IF(Tasks[[#This Row],[_IsLeaf]]=1,N(Tasks[[#This Row],[Story Points]]),0)</f>
        <v>0</v>
      </c>
      <c r="DR121" s="43" t="str">
        <f aca="false">IF(AND(Tasks[[#This Row],[_IsLeaf]]=1,CurrentSprint&lt;&gt;"",Tasks[[#This Row],[Sprint]]=CurrentSprint),Tasks[[#This Row],[_Row]],"")</f>
        <v/>
      </c>
    </row>
    <row r="122" customFormat="false" ht="15" hidden="false" customHeight="false" outlineLevel="0" collapsed="false">
      <c r="A122" s="28" t="str">
        <f aca="false">IF(Tasks[[#This Row],[Task Name]]="","",COUNTA(Tasks[[#Headers],[Task Name]]:Tasks[[#This Row],[Task Name]])-1)</f>
        <v/>
      </c>
      <c r="B122" s="29" t="n">
        <v>117</v>
      </c>
      <c r="C12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22" s="29"/>
      <c r="E122" s="30"/>
      <c r="F122" s="29"/>
      <c r="G122" s="29"/>
      <c r="H122" s="29"/>
      <c r="I122" s="29"/>
      <c r="J122" s="29"/>
      <c r="K122" s="29"/>
      <c r="L122" s="29"/>
      <c r="M122" s="29"/>
      <c r="N122" s="72"/>
      <c r="O122" s="72"/>
      <c r="P122" s="25" t="str">
        <f aca="false">IF(Tasks[[#This Row],[Task Name]]="","",IF(N(Tasks[[#This Row],[Baseline Start]])&gt;0,Tasks[[#This Row],[Baseline Start]],Tasks[[#This Row],[_CalcStart]]))</f>
        <v/>
      </c>
      <c r="Q122" s="25" t="str">
        <f aca="false">IF(Tasks[[#This Row],[Task Name]]="","",IF(N(Tasks[[#This Row],[Baseline Finish]])&gt;0,Tasks[[#This Row],[Baseline Finish]],Tasks[[#This Row],[_CalcFinish]]))</f>
        <v/>
      </c>
      <c r="R122" s="72"/>
      <c r="S122" s="72"/>
      <c r="T12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2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2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2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2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2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2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2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2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2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2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22" s="74"/>
      <c r="AF12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2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22" s="30"/>
      <c r="AI122" s="74"/>
      <c r="AJ12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2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22" s="83"/>
      <c r="AM122" s="29"/>
      <c r="AN12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22" s="84"/>
      <c r="AP12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22" s="30"/>
      <c r="AR122" s="25" t="str">
        <f aca="false">IF(Tasks[[#This Row],[Task Name]]="","",Tasks[[#This Row],[Forecast Start]])</f>
        <v/>
      </c>
      <c r="AS122" s="25" t="str">
        <f aca="false">IF(Tasks[[#This Row],[Task Name]]="","",Tasks[[#This Row],[Forecast Finish]])</f>
        <v/>
      </c>
      <c r="AT12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22" s="81" t="str">
        <f aca="false">IF(Tasks[[#This Row],[Task Name]]="","",Tasks[[#This Row],[Work]])</f>
        <v/>
      </c>
      <c r="AV122" s="82" t="str">
        <f aca="false">IF(Tasks[[#This Row],[Task Name]]="","",Tasks[[#This Row],[Cost]])</f>
        <v/>
      </c>
      <c r="AW122" s="72"/>
      <c r="AX122" s="72"/>
      <c r="AY122" s="29"/>
      <c r="AZ122" s="85"/>
      <c r="BA122" s="83"/>
      <c r="BB122" s="28" t="str">
        <f aca="false">IF(OR(Tasks[[#This Row],[Task Name]]="",Tasks[[#This Row],[Baseline Duration]]=""),"",Tasks[[#This Row],[BL Source Duration]]-N(Tasks[[#This Row],[Baseline Duration]]))</f>
        <v/>
      </c>
      <c r="BC122" s="81" t="str">
        <f aca="false">IF(OR(Tasks[[#This Row],[Task Name]]="",Tasks[[#This Row],[Baseline Work]]=""),"",Tasks[[#This Row],[Work]]-N(Tasks[[#This Row],[Baseline Work]]))</f>
        <v/>
      </c>
      <c r="BD122" s="82" t="str">
        <f aca="false">IF(OR(Tasks[[#This Row],[Task Name]]="",Tasks[[#This Row],[Baseline Cost]]=""),"",Tasks[[#This Row],[Cost]]-N(Tasks[[#This Row],[Baseline Cost]]))</f>
        <v/>
      </c>
      <c r="BE12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2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2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2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22" s="43" t="str">
        <f aca="false">IF(Tasks[[#This Row],[Task Name]]="","",MAX(1,N(Tasks[[#This Row],[Level]])))</f>
        <v/>
      </c>
      <c r="BJ122" s="43" t="n">
        <f aca="false">ROW()-ROW(Tasks[[#Headers],[ID]])</f>
        <v>117</v>
      </c>
      <c r="BK12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22" s="43" t="n">
        <f aca="false">IFERROR(N(INDEX(Tasks[_Level],Tasks[[#This Row],[_Row]]+1)),0)</f>
        <v>0</v>
      </c>
      <c r="BM122" s="86" t="b">
        <f aca="false">AND(Tasks[[#This Row],[Task Name]]&lt;&gt;"",Tasks[[#This Row],[_NextLevel]]&gt;Tasks[[#This Row],[_Level]])</f>
        <v>0</v>
      </c>
      <c r="BN122" s="43" t="n">
        <f aca="false">IF(Tasks[[#This Row],[_IsSummary]],COUNTIF(Tasks[WBS],Tasks[[#This Row],[WBS]]&amp;".*"),0)</f>
        <v>0</v>
      </c>
      <c r="BO122" s="43" t="n">
        <f aca="false">IF(AND(Tasks[[#This Row],[Task Name]]&lt;&gt;"",NOT(Tasks[[#This Row],[_IsSummary]])),1,0)</f>
        <v>0</v>
      </c>
      <c r="BP122" s="43" t="n">
        <f aca="false">IF(N(Tasks[[#This Row],[Pred1 UID]])=0,0,IFERROR(MATCH(Tasks[[#This Row],[Pred1 UID]],Tasks[UID],0),-1))</f>
        <v>0</v>
      </c>
      <c r="BQ122" s="43" t="n">
        <f aca="false">IF(N(Tasks[[#This Row],[Pred2 UID]])=0,0,IFERROR(MATCH(Tasks[[#This Row],[Pred2 UID]],Tasks[UID],0),-1))</f>
        <v>0</v>
      </c>
      <c r="BR12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2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2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2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22" s="43" t="n">
        <f aca="false">IF(NOT(Tasks[[#This Row],[_IsLeaf]]=1),0,IF(N(Tasks[[#This Row],[Actual Finish]])&gt;0,1,MIN(1,N(Tasks[[#This Row],[% Complete]]))))</f>
        <v>0</v>
      </c>
      <c r="BW12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22" s="43" t="n">
        <f aca="false">IF(Tasks[[#This Row],[_LeafWork]]=0,0,Tasks[[#This Row],[_LeafWork]]*IFERROR(INDEX(res_Rate,MATCH(Tasks[[#This Row],[Resource]],res_Name,0)),0))</f>
        <v>0</v>
      </c>
      <c r="BY12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2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2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2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22" s="43" t="n">
        <f aca="false">IF(NOT(Tasks[[#This Row],[_IsLeaf]]=1),0,MAX(_xlfn.MAXIFS(Tasks[_Row],Tasks[Pred1 UID],Tasks[[#This Row],[UID]]),_xlfn.MAXIFS(Tasks[_Row],Tasks[Pred2 UID],Tasks[[#This Row],[UID]])))</f>
        <v>0</v>
      </c>
      <c r="CD12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22" s="87" t="str">
        <f aca="false">IF(NOT(Tasks[[#This Row],[_IsLeaf]]=1),"",MIN(ProjectFinish,IF(N(Tasks[[#This Row],[Deadline]])&gt;0,Tasks[[#This Row],[Deadline]],2958465),Tasks[[#This Row],[_SuccessorFinishLimit]]))</f>
        <v/>
      </c>
      <c r="CF12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2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22" s="86" t="b">
        <f aca="false">AND(Tasks[[#This Row],[_IsLeaf]]=1,Tasks[[#This Row],[_LeafProgress]]&lt;1,N(Tasks[[#This Row],[_LeafTotalSlack]])&lt;=CriticalSlackDays)</f>
        <v>0</v>
      </c>
      <c r="CI12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2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2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2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2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2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2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2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22" s="43" t="n">
        <f aca="false">IF(AND(Tasks[[#This Row],[_IsLeaf]]=1,Tasks[[#This Row],[_LeafWork]]&gt;0),NETWORKDAYS.INTL(ProjectStart,Tasks[[#This Row],[_LeafFcstStart]],WorkWeek,Holidays),0)</f>
        <v>0</v>
      </c>
      <c r="CR12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22" s="43" t="n">
        <f aca="false">IF(AND(Tasks[[#This Row],[_IsLeaf]]=1,Tasks[[#This Row],[_LeafWork]]&gt;0),Tasks[[#This Row],[_LeafWork]]/(Tasks[[#This Row],[_FinishWorkday]]-Tasks[[#This Row],[_StartWorkday]]+1),0)</f>
        <v>0</v>
      </c>
      <c r="CT122" s="43" t="n">
        <f aca="false">Tasks[[#This Row],[_WorkPerWorkday]]*(Tasks[[#This Row],[_StartWorkday]]-1)</f>
        <v>-0</v>
      </c>
      <c r="CU122" s="43" t="n">
        <f aca="false">IF(Tasks[[#This Row],[_IsLeaf]]=1,MAX(N(Tasks[[#This Row],[Duration]]),0.1),0)</f>
        <v>0</v>
      </c>
      <c r="CV122" s="43" t="n">
        <f aca="false">Tasks[[#This Row],[_WeightDur]]*Tasks[[#This Row],[_LeafProgress]]</f>
        <v>0</v>
      </c>
      <c r="CW12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2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2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2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2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22" s="43" t="str">
        <f aca="false">IF(AND(Tasks[[#This Row],[_IsLeaf]]=1,N(Tasks[[#This Row],[Duration]])=0,Tasks[[#This Row],[_LeafProgress]]&lt;1),Tasks[[#This Row],[_LeafFcstFinish]]+Tasks[[#This Row],[_Row]]/100000,"")</f>
        <v/>
      </c>
      <c r="DC12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22" s="43" t="n">
        <f aca="false">IF(NOT(Tasks[[#This Row],[_IsLeaf]]=1),0,IF(Tasks[[#This Row],[Baseline Cost]]="",Tasks[[#This Row],[_LeafCost]],N(Tasks[[#This Row],[Baseline Cost]])))</f>
        <v>0</v>
      </c>
      <c r="DE122" s="43" t="n">
        <f aca="false">Tasks[[#This Row],[_LeafBudget]]*Tasks[[#This Row],[_PlannedPct]]</f>
        <v>0</v>
      </c>
      <c r="DF122" s="43" t="n">
        <f aca="false">Tasks[[#This Row],[_LeafBudget]]*Tasks[[#This Row],[_LeafProgress]]</f>
        <v>0</v>
      </c>
      <c r="DG122" s="43" t="n">
        <f aca="false">IF(NOT(Tasks[[#This Row],[_IsLeaf]]=1),0,IF(Tasks[[#This Row],[Actual Cost]]="",Tasks[[#This Row],[_LeafCost]]*Tasks[[#This Row],[_LeafProgress]],N(Tasks[[#This Row],[Actual Cost]])))</f>
        <v>0</v>
      </c>
      <c r="DH122" s="43" t="str">
        <f aca="false">IF(Tasks[[#This Row],[Task Name]]="","",LEFT(Tasks[[#This Row],[WBS]],FIND(".",Tasks[[#This Row],[WBS]]&amp;".")-1))</f>
        <v/>
      </c>
      <c r="DI122" s="43" t="str">
        <f aca="false">IF(AND(Tasks[[#This Row],[Task Name]]&lt;&gt;"",Tasks[[#This Row],[_Level]]=1),Tasks[[#This Row],[_Row]],"")</f>
        <v/>
      </c>
      <c r="DJ122" s="43" t="str">
        <f aca="false">IF(AND(Tasks[[#This Row],[_IsLeaf]]=1,N(Tasks[[#This Row],[Duration]])=0),Tasks[[#This Row],[Planned Finish]]+Tasks[[#This Row],[_Row]]/100000,"")</f>
        <v/>
      </c>
      <c r="DK12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2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2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22" s="43" t="str">
        <f aca="false">IF(Tasks[[#This Row],[_LeafCritical]],Tasks[[#This Row],[_LeafFcstStart]]+Tasks[[#This Row],[_Row]]/100000,"")</f>
        <v/>
      </c>
      <c r="DO122" s="43" t="n">
        <f aca="false">Tasks[[#This Row],[_LeafWork]]*Tasks[[#This Row],[_LeafProgress]]</f>
        <v>0</v>
      </c>
      <c r="DP12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22" s="43" t="n">
        <f aca="false">IF(Tasks[[#This Row],[_IsLeaf]]=1,N(Tasks[[#This Row],[Story Points]]),0)</f>
        <v>0</v>
      </c>
      <c r="DR122" s="43" t="str">
        <f aca="false">IF(AND(Tasks[[#This Row],[_IsLeaf]]=1,CurrentSprint&lt;&gt;"",Tasks[[#This Row],[Sprint]]=CurrentSprint),Tasks[[#This Row],[_Row]],"")</f>
        <v/>
      </c>
    </row>
    <row r="123" customFormat="false" ht="15" hidden="false" customHeight="false" outlineLevel="0" collapsed="false">
      <c r="A123" s="28" t="str">
        <f aca="false">IF(Tasks[[#This Row],[Task Name]]="","",COUNTA(Tasks[[#Headers],[Task Name]]:Tasks[[#This Row],[Task Name]])-1)</f>
        <v/>
      </c>
      <c r="B123" s="29" t="n">
        <v>118</v>
      </c>
      <c r="C12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23" s="29"/>
      <c r="E123" s="30"/>
      <c r="F123" s="29"/>
      <c r="G123" s="29"/>
      <c r="H123" s="29"/>
      <c r="I123" s="29"/>
      <c r="J123" s="29"/>
      <c r="K123" s="29"/>
      <c r="L123" s="29"/>
      <c r="M123" s="29"/>
      <c r="N123" s="72"/>
      <c r="O123" s="72"/>
      <c r="P123" s="25" t="str">
        <f aca="false">IF(Tasks[[#This Row],[Task Name]]="","",IF(N(Tasks[[#This Row],[Baseline Start]])&gt;0,Tasks[[#This Row],[Baseline Start]],Tasks[[#This Row],[_CalcStart]]))</f>
        <v/>
      </c>
      <c r="Q123" s="25" t="str">
        <f aca="false">IF(Tasks[[#This Row],[Task Name]]="","",IF(N(Tasks[[#This Row],[Baseline Finish]])&gt;0,Tasks[[#This Row],[Baseline Finish]],Tasks[[#This Row],[_CalcFinish]]))</f>
        <v/>
      </c>
      <c r="R123" s="72"/>
      <c r="S123" s="72"/>
      <c r="T12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2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2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2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2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2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2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2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2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2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2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23" s="74"/>
      <c r="AF12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2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23" s="30"/>
      <c r="AI123" s="74"/>
      <c r="AJ12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2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23" s="83"/>
      <c r="AM123" s="29"/>
      <c r="AN12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23" s="84"/>
      <c r="AP12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23" s="30"/>
      <c r="AR123" s="25" t="str">
        <f aca="false">IF(Tasks[[#This Row],[Task Name]]="","",Tasks[[#This Row],[Forecast Start]])</f>
        <v/>
      </c>
      <c r="AS123" s="25" t="str">
        <f aca="false">IF(Tasks[[#This Row],[Task Name]]="","",Tasks[[#This Row],[Forecast Finish]])</f>
        <v/>
      </c>
      <c r="AT12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23" s="81" t="str">
        <f aca="false">IF(Tasks[[#This Row],[Task Name]]="","",Tasks[[#This Row],[Work]])</f>
        <v/>
      </c>
      <c r="AV123" s="82" t="str">
        <f aca="false">IF(Tasks[[#This Row],[Task Name]]="","",Tasks[[#This Row],[Cost]])</f>
        <v/>
      </c>
      <c r="AW123" s="72"/>
      <c r="AX123" s="72"/>
      <c r="AY123" s="29"/>
      <c r="AZ123" s="85"/>
      <c r="BA123" s="83"/>
      <c r="BB123" s="28" t="str">
        <f aca="false">IF(OR(Tasks[[#This Row],[Task Name]]="",Tasks[[#This Row],[Baseline Duration]]=""),"",Tasks[[#This Row],[BL Source Duration]]-N(Tasks[[#This Row],[Baseline Duration]]))</f>
        <v/>
      </c>
      <c r="BC123" s="81" t="str">
        <f aca="false">IF(OR(Tasks[[#This Row],[Task Name]]="",Tasks[[#This Row],[Baseline Work]]=""),"",Tasks[[#This Row],[Work]]-N(Tasks[[#This Row],[Baseline Work]]))</f>
        <v/>
      </c>
      <c r="BD123" s="82" t="str">
        <f aca="false">IF(OR(Tasks[[#This Row],[Task Name]]="",Tasks[[#This Row],[Baseline Cost]]=""),"",Tasks[[#This Row],[Cost]]-N(Tasks[[#This Row],[Baseline Cost]]))</f>
        <v/>
      </c>
      <c r="BE12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2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2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2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23" s="43" t="str">
        <f aca="false">IF(Tasks[[#This Row],[Task Name]]="","",MAX(1,N(Tasks[[#This Row],[Level]])))</f>
        <v/>
      </c>
      <c r="BJ123" s="43" t="n">
        <f aca="false">ROW()-ROW(Tasks[[#Headers],[ID]])</f>
        <v>118</v>
      </c>
      <c r="BK12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23" s="43" t="n">
        <f aca="false">IFERROR(N(INDEX(Tasks[_Level],Tasks[[#This Row],[_Row]]+1)),0)</f>
        <v>0</v>
      </c>
      <c r="BM123" s="86" t="b">
        <f aca="false">AND(Tasks[[#This Row],[Task Name]]&lt;&gt;"",Tasks[[#This Row],[_NextLevel]]&gt;Tasks[[#This Row],[_Level]])</f>
        <v>0</v>
      </c>
      <c r="BN123" s="43" t="n">
        <f aca="false">IF(Tasks[[#This Row],[_IsSummary]],COUNTIF(Tasks[WBS],Tasks[[#This Row],[WBS]]&amp;".*"),0)</f>
        <v>0</v>
      </c>
      <c r="BO123" s="43" t="n">
        <f aca="false">IF(AND(Tasks[[#This Row],[Task Name]]&lt;&gt;"",NOT(Tasks[[#This Row],[_IsSummary]])),1,0)</f>
        <v>0</v>
      </c>
      <c r="BP123" s="43" t="n">
        <f aca="false">IF(N(Tasks[[#This Row],[Pred1 UID]])=0,0,IFERROR(MATCH(Tasks[[#This Row],[Pred1 UID]],Tasks[UID],0),-1))</f>
        <v>0</v>
      </c>
      <c r="BQ123" s="43" t="n">
        <f aca="false">IF(N(Tasks[[#This Row],[Pred2 UID]])=0,0,IFERROR(MATCH(Tasks[[#This Row],[Pred2 UID]],Tasks[UID],0),-1))</f>
        <v>0</v>
      </c>
      <c r="BR12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2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2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2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23" s="43" t="n">
        <f aca="false">IF(NOT(Tasks[[#This Row],[_IsLeaf]]=1),0,IF(N(Tasks[[#This Row],[Actual Finish]])&gt;0,1,MIN(1,N(Tasks[[#This Row],[% Complete]]))))</f>
        <v>0</v>
      </c>
      <c r="BW12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23" s="43" t="n">
        <f aca="false">IF(Tasks[[#This Row],[_LeafWork]]=0,0,Tasks[[#This Row],[_LeafWork]]*IFERROR(INDEX(res_Rate,MATCH(Tasks[[#This Row],[Resource]],res_Name,0)),0))</f>
        <v>0</v>
      </c>
      <c r="BY12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2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2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2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23" s="43" t="n">
        <f aca="false">IF(NOT(Tasks[[#This Row],[_IsLeaf]]=1),0,MAX(_xlfn.MAXIFS(Tasks[_Row],Tasks[Pred1 UID],Tasks[[#This Row],[UID]]),_xlfn.MAXIFS(Tasks[_Row],Tasks[Pred2 UID],Tasks[[#This Row],[UID]])))</f>
        <v>0</v>
      </c>
      <c r="CD12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23" s="87" t="str">
        <f aca="false">IF(NOT(Tasks[[#This Row],[_IsLeaf]]=1),"",MIN(ProjectFinish,IF(N(Tasks[[#This Row],[Deadline]])&gt;0,Tasks[[#This Row],[Deadline]],2958465),Tasks[[#This Row],[_SuccessorFinishLimit]]))</f>
        <v/>
      </c>
      <c r="CF12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2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23" s="86" t="b">
        <f aca="false">AND(Tasks[[#This Row],[_IsLeaf]]=1,Tasks[[#This Row],[_LeafProgress]]&lt;1,N(Tasks[[#This Row],[_LeafTotalSlack]])&lt;=CriticalSlackDays)</f>
        <v>0</v>
      </c>
      <c r="CI12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2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2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2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2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2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2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2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23" s="43" t="n">
        <f aca="false">IF(AND(Tasks[[#This Row],[_IsLeaf]]=1,Tasks[[#This Row],[_LeafWork]]&gt;0),NETWORKDAYS.INTL(ProjectStart,Tasks[[#This Row],[_LeafFcstStart]],WorkWeek,Holidays),0)</f>
        <v>0</v>
      </c>
      <c r="CR12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23" s="43" t="n">
        <f aca="false">IF(AND(Tasks[[#This Row],[_IsLeaf]]=1,Tasks[[#This Row],[_LeafWork]]&gt;0),Tasks[[#This Row],[_LeafWork]]/(Tasks[[#This Row],[_FinishWorkday]]-Tasks[[#This Row],[_StartWorkday]]+1),0)</f>
        <v>0</v>
      </c>
      <c r="CT123" s="43" t="n">
        <f aca="false">Tasks[[#This Row],[_WorkPerWorkday]]*(Tasks[[#This Row],[_StartWorkday]]-1)</f>
        <v>-0</v>
      </c>
      <c r="CU123" s="43" t="n">
        <f aca="false">IF(Tasks[[#This Row],[_IsLeaf]]=1,MAX(N(Tasks[[#This Row],[Duration]]),0.1),0)</f>
        <v>0</v>
      </c>
      <c r="CV123" s="43" t="n">
        <f aca="false">Tasks[[#This Row],[_WeightDur]]*Tasks[[#This Row],[_LeafProgress]]</f>
        <v>0</v>
      </c>
      <c r="CW12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2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2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2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2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23" s="43" t="str">
        <f aca="false">IF(AND(Tasks[[#This Row],[_IsLeaf]]=1,N(Tasks[[#This Row],[Duration]])=0,Tasks[[#This Row],[_LeafProgress]]&lt;1),Tasks[[#This Row],[_LeafFcstFinish]]+Tasks[[#This Row],[_Row]]/100000,"")</f>
        <v/>
      </c>
      <c r="DC12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23" s="43" t="n">
        <f aca="false">IF(NOT(Tasks[[#This Row],[_IsLeaf]]=1),0,IF(Tasks[[#This Row],[Baseline Cost]]="",Tasks[[#This Row],[_LeafCost]],N(Tasks[[#This Row],[Baseline Cost]])))</f>
        <v>0</v>
      </c>
      <c r="DE123" s="43" t="n">
        <f aca="false">Tasks[[#This Row],[_LeafBudget]]*Tasks[[#This Row],[_PlannedPct]]</f>
        <v>0</v>
      </c>
      <c r="DF123" s="43" t="n">
        <f aca="false">Tasks[[#This Row],[_LeafBudget]]*Tasks[[#This Row],[_LeafProgress]]</f>
        <v>0</v>
      </c>
      <c r="DG123" s="43" t="n">
        <f aca="false">IF(NOT(Tasks[[#This Row],[_IsLeaf]]=1),0,IF(Tasks[[#This Row],[Actual Cost]]="",Tasks[[#This Row],[_LeafCost]]*Tasks[[#This Row],[_LeafProgress]],N(Tasks[[#This Row],[Actual Cost]])))</f>
        <v>0</v>
      </c>
      <c r="DH123" s="43" t="str">
        <f aca="false">IF(Tasks[[#This Row],[Task Name]]="","",LEFT(Tasks[[#This Row],[WBS]],FIND(".",Tasks[[#This Row],[WBS]]&amp;".")-1))</f>
        <v/>
      </c>
      <c r="DI123" s="43" t="str">
        <f aca="false">IF(AND(Tasks[[#This Row],[Task Name]]&lt;&gt;"",Tasks[[#This Row],[_Level]]=1),Tasks[[#This Row],[_Row]],"")</f>
        <v/>
      </c>
      <c r="DJ123" s="43" t="str">
        <f aca="false">IF(AND(Tasks[[#This Row],[_IsLeaf]]=1,N(Tasks[[#This Row],[Duration]])=0),Tasks[[#This Row],[Planned Finish]]+Tasks[[#This Row],[_Row]]/100000,"")</f>
        <v/>
      </c>
      <c r="DK12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2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2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23" s="43" t="str">
        <f aca="false">IF(Tasks[[#This Row],[_LeafCritical]],Tasks[[#This Row],[_LeafFcstStart]]+Tasks[[#This Row],[_Row]]/100000,"")</f>
        <v/>
      </c>
      <c r="DO123" s="43" t="n">
        <f aca="false">Tasks[[#This Row],[_LeafWork]]*Tasks[[#This Row],[_LeafProgress]]</f>
        <v>0</v>
      </c>
      <c r="DP12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23" s="43" t="n">
        <f aca="false">IF(Tasks[[#This Row],[_IsLeaf]]=1,N(Tasks[[#This Row],[Story Points]]),0)</f>
        <v>0</v>
      </c>
      <c r="DR123" s="43" t="str">
        <f aca="false">IF(AND(Tasks[[#This Row],[_IsLeaf]]=1,CurrentSprint&lt;&gt;"",Tasks[[#This Row],[Sprint]]=CurrentSprint),Tasks[[#This Row],[_Row]],"")</f>
        <v/>
      </c>
    </row>
    <row r="124" customFormat="false" ht="15" hidden="false" customHeight="false" outlineLevel="0" collapsed="false">
      <c r="A124" s="28" t="str">
        <f aca="false">IF(Tasks[[#This Row],[Task Name]]="","",COUNTA(Tasks[[#Headers],[Task Name]]:Tasks[[#This Row],[Task Name]])-1)</f>
        <v/>
      </c>
      <c r="B124" s="29" t="n">
        <v>119</v>
      </c>
      <c r="C12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24" s="29"/>
      <c r="E124" s="30"/>
      <c r="F124" s="29"/>
      <c r="G124" s="29"/>
      <c r="H124" s="29"/>
      <c r="I124" s="29"/>
      <c r="J124" s="29"/>
      <c r="K124" s="29"/>
      <c r="L124" s="29"/>
      <c r="M124" s="29"/>
      <c r="N124" s="72"/>
      <c r="O124" s="72"/>
      <c r="P124" s="25" t="str">
        <f aca="false">IF(Tasks[[#This Row],[Task Name]]="","",IF(N(Tasks[[#This Row],[Baseline Start]])&gt;0,Tasks[[#This Row],[Baseline Start]],Tasks[[#This Row],[_CalcStart]]))</f>
        <v/>
      </c>
      <c r="Q124" s="25" t="str">
        <f aca="false">IF(Tasks[[#This Row],[Task Name]]="","",IF(N(Tasks[[#This Row],[Baseline Finish]])&gt;0,Tasks[[#This Row],[Baseline Finish]],Tasks[[#This Row],[_CalcFinish]]))</f>
        <v/>
      </c>
      <c r="R124" s="72"/>
      <c r="S124" s="72"/>
      <c r="T12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2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2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2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2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2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2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2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2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2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2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24" s="74"/>
      <c r="AF12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2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24" s="30"/>
      <c r="AI124" s="74"/>
      <c r="AJ12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2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24" s="83"/>
      <c r="AM124" s="29"/>
      <c r="AN12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24" s="84"/>
      <c r="AP12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24" s="30"/>
      <c r="AR124" s="25" t="str">
        <f aca="false">IF(Tasks[[#This Row],[Task Name]]="","",Tasks[[#This Row],[Forecast Start]])</f>
        <v/>
      </c>
      <c r="AS124" s="25" t="str">
        <f aca="false">IF(Tasks[[#This Row],[Task Name]]="","",Tasks[[#This Row],[Forecast Finish]])</f>
        <v/>
      </c>
      <c r="AT12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24" s="81" t="str">
        <f aca="false">IF(Tasks[[#This Row],[Task Name]]="","",Tasks[[#This Row],[Work]])</f>
        <v/>
      </c>
      <c r="AV124" s="82" t="str">
        <f aca="false">IF(Tasks[[#This Row],[Task Name]]="","",Tasks[[#This Row],[Cost]])</f>
        <v/>
      </c>
      <c r="AW124" s="72"/>
      <c r="AX124" s="72"/>
      <c r="AY124" s="29"/>
      <c r="AZ124" s="85"/>
      <c r="BA124" s="83"/>
      <c r="BB124" s="28" t="str">
        <f aca="false">IF(OR(Tasks[[#This Row],[Task Name]]="",Tasks[[#This Row],[Baseline Duration]]=""),"",Tasks[[#This Row],[BL Source Duration]]-N(Tasks[[#This Row],[Baseline Duration]]))</f>
        <v/>
      </c>
      <c r="BC124" s="81" t="str">
        <f aca="false">IF(OR(Tasks[[#This Row],[Task Name]]="",Tasks[[#This Row],[Baseline Work]]=""),"",Tasks[[#This Row],[Work]]-N(Tasks[[#This Row],[Baseline Work]]))</f>
        <v/>
      </c>
      <c r="BD124" s="82" t="str">
        <f aca="false">IF(OR(Tasks[[#This Row],[Task Name]]="",Tasks[[#This Row],[Baseline Cost]]=""),"",Tasks[[#This Row],[Cost]]-N(Tasks[[#This Row],[Baseline Cost]]))</f>
        <v/>
      </c>
      <c r="BE12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2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2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2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24" s="43" t="str">
        <f aca="false">IF(Tasks[[#This Row],[Task Name]]="","",MAX(1,N(Tasks[[#This Row],[Level]])))</f>
        <v/>
      </c>
      <c r="BJ124" s="43" t="n">
        <f aca="false">ROW()-ROW(Tasks[[#Headers],[ID]])</f>
        <v>119</v>
      </c>
      <c r="BK12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24" s="43" t="n">
        <f aca="false">IFERROR(N(INDEX(Tasks[_Level],Tasks[[#This Row],[_Row]]+1)),0)</f>
        <v>0</v>
      </c>
      <c r="BM124" s="86" t="b">
        <f aca="false">AND(Tasks[[#This Row],[Task Name]]&lt;&gt;"",Tasks[[#This Row],[_NextLevel]]&gt;Tasks[[#This Row],[_Level]])</f>
        <v>0</v>
      </c>
      <c r="BN124" s="43" t="n">
        <f aca="false">IF(Tasks[[#This Row],[_IsSummary]],COUNTIF(Tasks[WBS],Tasks[[#This Row],[WBS]]&amp;".*"),0)</f>
        <v>0</v>
      </c>
      <c r="BO124" s="43" t="n">
        <f aca="false">IF(AND(Tasks[[#This Row],[Task Name]]&lt;&gt;"",NOT(Tasks[[#This Row],[_IsSummary]])),1,0)</f>
        <v>0</v>
      </c>
      <c r="BP124" s="43" t="n">
        <f aca="false">IF(N(Tasks[[#This Row],[Pred1 UID]])=0,0,IFERROR(MATCH(Tasks[[#This Row],[Pred1 UID]],Tasks[UID],0),-1))</f>
        <v>0</v>
      </c>
      <c r="BQ124" s="43" t="n">
        <f aca="false">IF(N(Tasks[[#This Row],[Pred2 UID]])=0,0,IFERROR(MATCH(Tasks[[#This Row],[Pred2 UID]],Tasks[UID],0),-1))</f>
        <v>0</v>
      </c>
      <c r="BR12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2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2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2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24" s="43" t="n">
        <f aca="false">IF(NOT(Tasks[[#This Row],[_IsLeaf]]=1),0,IF(N(Tasks[[#This Row],[Actual Finish]])&gt;0,1,MIN(1,N(Tasks[[#This Row],[% Complete]]))))</f>
        <v>0</v>
      </c>
      <c r="BW12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24" s="43" t="n">
        <f aca="false">IF(Tasks[[#This Row],[_LeafWork]]=0,0,Tasks[[#This Row],[_LeafWork]]*IFERROR(INDEX(res_Rate,MATCH(Tasks[[#This Row],[Resource]],res_Name,0)),0))</f>
        <v>0</v>
      </c>
      <c r="BY12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2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2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2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24" s="43" t="n">
        <f aca="false">IF(NOT(Tasks[[#This Row],[_IsLeaf]]=1),0,MAX(_xlfn.MAXIFS(Tasks[_Row],Tasks[Pred1 UID],Tasks[[#This Row],[UID]]),_xlfn.MAXIFS(Tasks[_Row],Tasks[Pred2 UID],Tasks[[#This Row],[UID]])))</f>
        <v>0</v>
      </c>
      <c r="CD12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24" s="87" t="str">
        <f aca="false">IF(NOT(Tasks[[#This Row],[_IsLeaf]]=1),"",MIN(ProjectFinish,IF(N(Tasks[[#This Row],[Deadline]])&gt;0,Tasks[[#This Row],[Deadline]],2958465),Tasks[[#This Row],[_SuccessorFinishLimit]]))</f>
        <v/>
      </c>
      <c r="CF12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2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24" s="86" t="b">
        <f aca="false">AND(Tasks[[#This Row],[_IsLeaf]]=1,Tasks[[#This Row],[_LeafProgress]]&lt;1,N(Tasks[[#This Row],[_LeafTotalSlack]])&lt;=CriticalSlackDays)</f>
        <v>0</v>
      </c>
      <c r="CI12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2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2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2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2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2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2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2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24" s="43" t="n">
        <f aca="false">IF(AND(Tasks[[#This Row],[_IsLeaf]]=1,Tasks[[#This Row],[_LeafWork]]&gt;0),NETWORKDAYS.INTL(ProjectStart,Tasks[[#This Row],[_LeafFcstStart]],WorkWeek,Holidays),0)</f>
        <v>0</v>
      </c>
      <c r="CR12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24" s="43" t="n">
        <f aca="false">IF(AND(Tasks[[#This Row],[_IsLeaf]]=1,Tasks[[#This Row],[_LeafWork]]&gt;0),Tasks[[#This Row],[_LeafWork]]/(Tasks[[#This Row],[_FinishWorkday]]-Tasks[[#This Row],[_StartWorkday]]+1),0)</f>
        <v>0</v>
      </c>
      <c r="CT124" s="43" t="n">
        <f aca="false">Tasks[[#This Row],[_WorkPerWorkday]]*(Tasks[[#This Row],[_StartWorkday]]-1)</f>
        <v>-0</v>
      </c>
      <c r="CU124" s="43" t="n">
        <f aca="false">IF(Tasks[[#This Row],[_IsLeaf]]=1,MAX(N(Tasks[[#This Row],[Duration]]),0.1),0)</f>
        <v>0</v>
      </c>
      <c r="CV124" s="43" t="n">
        <f aca="false">Tasks[[#This Row],[_WeightDur]]*Tasks[[#This Row],[_LeafProgress]]</f>
        <v>0</v>
      </c>
      <c r="CW12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2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2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2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2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24" s="43" t="str">
        <f aca="false">IF(AND(Tasks[[#This Row],[_IsLeaf]]=1,N(Tasks[[#This Row],[Duration]])=0,Tasks[[#This Row],[_LeafProgress]]&lt;1),Tasks[[#This Row],[_LeafFcstFinish]]+Tasks[[#This Row],[_Row]]/100000,"")</f>
        <v/>
      </c>
      <c r="DC12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24" s="43" t="n">
        <f aca="false">IF(NOT(Tasks[[#This Row],[_IsLeaf]]=1),0,IF(Tasks[[#This Row],[Baseline Cost]]="",Tasks[[#This Row],[_LeafCost]],N(Tasks[[#This Row],[Baseline Cost]])))</f>
        <v>0</v>
      </c>
      <c r="DE124" s="43" t="n">
        <f aca="false">Tasks[[#This Row],[_LeafBudget]]*Tasks[[#This Row],[_PlannedPct]]</f>
        <v>0</v>
      </c>
      <c r="DF124" s="43" t="n">
        <f aca="false">Tasks[[#This Row],[_LeafBudget]]*Tasks[[#This Row],[_LeafProgress]]</f>
        <v>0</v>
      </c>
      <c r="DG124" s="43" t="n">
        <f aca="false">IF(NOT(Tasks[[#This Row],[_IsLeaf]]=1),0,IF(Tasks[[#This Row],[Actual Cost]]="",Tasks[[#This Row],[_LeafCost]]*Tasks[[#This Row],[_LeafProgress]],N(Tasks[[#This Row],[Actual Cost]])))</f>
        <v>0</v>
      </c>
      <c r="DH124" s="43" t="str">
        <f aca="false">IF(Tasks[[#This Row],[Task Name]]="","",LEFT(Tasks[[#This Row],[WBS]],FIND(".",Tasks[[#This Row],[WBS]]&amp;".")-1))</f>
        <v/>
      </c>
      <c r="DI124" s="43" t="str">
        <f aca="false">IF(AND(Tasks[[#This Row],[Task Name]]&lt;&gt;"",Tasks[[#This Row],[_Level]]=1),Tasks[[#This Row],[_Row]],"")</f>
        <v/>
      </c>
      <c r="DJ124" s="43" t="str">
        <f aca="false">IF(AND(Tasks[[#This Row],[_IsLeaf]]=1,N(Tasks[[#This Row],[Duration]])=0),Tasks[[#This Row],[Planned Finish]]+Tasks[[#This Row],[_Row]]/100000,"")</f>
        <v/>
      </c>
      <c r="DK12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2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2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24" s="43" t="str">
        <f aca="false">IF(Tasks[[#This Row],[_LeafCritical]],Tasks[[#This Row],[_LeafFcstStart]]+Tasks[[#This Row],[_Row]]/100000,"")</f>
        <v/>
      </c>
      <c r="DO124" s="43" t="n">
        <f aca="false">Tasks[[#This Row],[_LeafWork]]*Tasks[[#This Row],[_LeafProgress]]</f>
        <v>0</v>
      </c>
      <c r="DP12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24" s="43" t="n">
        <f aca="false">IF(Tasks[[#This Row],[_IsLeaf]]=1,N(Tasks[[#This Row],[Story Points]]),0)</f>
        <v>0</v>
      </c>
      <c r="DR124" s="43" t="str">
        <f aca="false">IF(AND(Tasks[[#This Row],[_IsLeaf]]=1,CurrentSprint&lt;&gt;"",Tasks[[#This Row],[Sprint]]=CurrentSprint),Tasks[[#This Row],[_Row]],"")</f>
        <v/>
      </c>
    </row>
    <row r="125" customFormat="false" ht="15" hidden="false" customHeight="false" outlineLevel="0" collapsed="false">
      <c r="A125" s="28" t="str">
        <f aca="false">IF(Tasks[[#This Row],[Task Name]]="","",COUNTA(Tasks[[#Headers],[Task Name]]:Tasks[[#This Row],[Task Name]])-1)</f>
        <v/>
      </c>
      <c r="B125" s="29" t="n">
        <v>120</v>
      </c>
      <c r="C12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25" s="29"/>
      <c r="E125" s="30"/>
      <c r="F125" s="29"/>
      <c r="G125" s="29"/>
      <c r="H125" s="29"/>
      <c r="I125" s="29"/>
      <c r="J125" s="29"/>
      <c r="K125" s="29"/>
      <c r="L125" s="29"/>
      <c r="M125" s="29"/>
      <c r="N125" s="72"/>
      <c r="O125" s="72"/>
      <c r="P125" s="25" t="str">
        <f aca="false">IF(Tasks[[#This Row],[Task Name]]="","",IF(N(Tasks[[#This Row],[Baseline Start]])&gt;0,Tasks[[#This Row],[Baseline Start]],Tasks[[#This Row],[_CalcStart]]))</f>
        <v/>
      </c>
      <c r="Q125" s="25" t="str">
        <f aca="false">IF(Tasks[[#This Row],[Task Name]]="","",IF(N(Tasks[[#This Row],[Baseline Finish]])&gt;0,Tasks[[#This Row],[Baseline Finish]],Tasks[[#This Row],[_CalcFinish]]))</f>
        <v/>
      </c>
      <c r="R125" s="72"/>
      <c r="S125" s="72"/>
      <c r="T12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2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2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2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2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2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2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2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2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2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2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25" s="74"/>
      <c r="AF12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2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25" s="30"/>
      <c r="AI125" s="74"/>
      <c r="AJ12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2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25" s="83"/>
      <c r="AM125" s="29"/>
      <c r="AN12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25" s="84"/>
      <c r="AP12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25" s="30"/>
      <c r="AR125" s="25" t="str">
        <f aca="false">IF(Tasks[[#This Row],[Task Name]]="","",Tasks[[#This Row],[Forecast Start]])</f>
        <v/>
      </c>
      <c r="AS125" s="25" t="str">
        <f aca="false">IF(Tasks[[#This Row],[Task Name]]="","",Tasks[[#This Row],[Forecast Finish]])</f>
        <v/>
      </c>
      <c r="AT12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25" s="81" t="str">
        <f aca="false">IF(Tasks[[#This Row],[Task Name]]="","",Tasks[[#This Row],[Work]])</f>
        <v/>
      </c>
      <c r="AV125" s="82" t="str">
        <f aca="false">IF(Tasks[[#This Row],[Task Name]]="","",Tasks[[#This Row],[Cost]])</f>
        <v/>
      </c>
      <c r="AW125" s="72"/>
      <c r="AX125" s="72"/>
      <c r="AY125" s="29"/>
      <c r="AZ125" s="85"/>
      <c r="BA125" s="83"/>
      <c r="BB125" s="28" t="str">
        <f aca="false">IF(OR(Tasks[[#This Row],[Task Name]]="",Tasks[[#This Row],[Baseline Duration]]=""),"",Tasks[[#This Row],[BL Source Duration]]-N(Tasks[[#This Row],[Baseline Duration]]))</f>
        <v/>
      </c>
      <c r="BC125" s="81" t="str">
        <f aca="false">IF(OR(Tasks[[#This Row],[Task Name]]="",Tasks[[#This Row],[Baseline Work]]=""),"",Tasks[[#This Row],[Work]]-N(Tasks[[#This Row],[Baseline Work]]))</f>
        <v/>
      </c>
      <c r="BD125" s="82" t="str">
        <f aca="false">IF(OR(Tasks[[#This Row],[Task Name]]="",Tasks[[#This Row],[Baseline Cost]]=""),"",Tasks[[#This Row],[Cost]]-N(Tasks[[#This Row],[Baseline Cost]]))</f>
        <v/>
      </c>
      <c r="BE12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2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2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2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25" s="43" t="str">
        <f aca="false">IF(Tasks[[#This Row],[Task Name]]="","",MAX(1,N(Tasks[[#This Row],[Level]])))</f>
        <v/>
      </c>
      <c r="BJ125" s="43" t="n">
        <f aca="false">ROW()-ROW(Tasks[[#Headers],[ID]])</f>
        <v>120</v>
      </c>
      <c r="BK12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25" s="43" t="n">
        <f aca="false">IFERROR(N(INDEX(Tasks[_Level],Tasks[[#This Row],[_Row]]+1)),0)</f>
        <v>0</v>
      </c>
      <c r="BM125" s="86" t="b">
        <f aca="false">AND(Tasks[[#This Row],[Task Name]]&lt;&gt;"",Tasks[[#This Row],[_NextLevel]]&gt;Tasks[[#This Row],[_Level]])</f>
        <v>0</v>
      </c>
      <c r="BN125" s="43" t="n">
        <f aca="false">IF(Tasks[[#This Row],[_IsSummary]],COUNTIF(Tasks[WBS],Tasks[[#This Row],[WBS]]&amp;".*"),0)</f>
        <v>0</v>
      </c>
      <c r="BO125" s="43" t="n">
        <f aca="false">IF(AND(Tasks[[#This Row],[Task Name]]&lt;&gt;"",NOT(Tasks[[#This Row],[_IsSummary]])),1,0)</f>
        <v>0</v>
      </c>
      <c r="BP125" s="43" t="n">
        <f aca="false">IF(N(Tasks[[#This Row],[Pred1 UID]])=0,0,IFERROR(MATCH(Tasks[[#This Row],[Pred1 UID]],Tasks[UID],0),-1))</f>
        <v>0</v>
      </c>
      <c r="BQ125" s="43" t="n">
        <f aca="false">IF(N(Tasks[[#This Row],[Pred2 UID]])=0,0,IFERROR(MATCH(Tasks[[#This Row],[Pred2 UID]],Tasks[UID],0),-1))</f>
        <v>0</v>
      </c>
      <c r="BR12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2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2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2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25" s="43" t="n">
        <f aca="false">IF(NOT(Tasks[[#This Row],[_IsLeaf]]=1),0,IF(N(Tasks[[#This Row],[Actual Finish]])&gt;0,1,MIN(1,N(Tasks[[#This Row],[% Complete]]))))</f>
        <v>0</v>
      </c>
      <c r="BW12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25" s="43" t="n">
        <f aca="false">IF(Tasks[[#This Row],[_LeafWork]]=0,0,Tasks[[#This Row],[_LeafWork]]*IFERROR(INDEX(res_Rate,MATCH(Tasks[[#This Row],[Resource]],res_Name,0)),0))</f>
        <v>0</v>
      </c>
      <c r="BY12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2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2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2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25" s="43" t="n">
        <f aca="false">IF(NOT(Tasks[[#This Row],[_IsLeaf]]=1),0,MAX(_xlfn.MAXIFS(Tasks[_Row],Tasks[Pred1 UID],Tasks[[#This Row],[UID]]),_xlfn.MAXIFS(Tasks[_Row],Tasks[Pred2 UID],Tasks[[#This Row],[UID]])))</f>
        <v>0</v>
      </c>
      <c r="CD12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25" s="87" t="str">
        <f aca="false">IF(NOT(Tasks[[#This Row],[_IsLeaf]]=1),"",MIN(ProjectFinish,IF(N(Tasks[[#This Row],[Deadline]])&gt;0,Tasks[[#This Row],[Deadline]],2958465),Tasks[[#This Row],[_SuccessorFinishLimit]]))</f>
        <v/>
      </c>
      <c r="CF12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2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25" s="86" t="b">
        <f aca="false">AND(Tasks[[#This Row],[_IsLeaf]]=1,Tasks[[#This Row],[_LeafProgress]]&lt;1,N(Tasks[[#This Row],[_LeafTotalSlack]])&lt;=CriticalSlackDays)</f>
        <v>0</v>
      </c>
      <c r="CI12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2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2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2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2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2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2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2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25" s="43" t="n">
        <f aca="false">IF(AND(Tasks[[#This Row],[_IsLeaf]]=1,Tasks[[#This Row],[_LeafWork]]&gt;0),NETWORKDAYS.INTL(ProjectStart,Tasks[[#This Row],[_LeafFcstStart]],WorkWeek,Holidays),0)</f>
        <v>0</v>
      </c>
      <c r="CR12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25" s="43" t="n">
        <f aca="false">IF(AND(Tasks[[#This Row],[_IsLeaf]]=1,Tasks[[#This Row],[_LeafWork]]&gt;0),Tasks[[#This Row],[_LeafWork]]/(Tasks[[#This Row],[_FinishWorkday]]-Tasks[[#This Row],[_StartWorkday]]+1),0)</f>
        <v>0</v>
      </c>
      <c r="CT125" s="43" t="n">
        <f aca="false">Tasks[[#This Row],[_WorkPerWorkday]]*(Tasks[[#This Row],[_StartWorkday]]-1)</f>
        <v>-0</v>
      </c>
      <c r="CU125" s="43" t="n">
        <f aca="false">IF(Tasks[[#This Row],[_IsLeaf]]=1,MAX(N(Tasks[[#This Row],[Duration]]),0.1),0)</f>
        <v>0</v>
      </c>
      <c r="CV125" s="43" t="n">
        <f aca="false">Tasks[[#This Row],[_WeightDur]]*Tasks[[#This Row],[_LeafProgress]]</f>
        <v>0</v>
      </c>
      <c r="CW12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2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2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2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2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25" s="43" t="str">
        <f aca="false">IF(AND(Tasks[[#This Row],[_IsLeaf]]=1,N(Tasks[[#This Row],[Duration]])=0,Tasks[[#This Row],[_LeafProgress]]&lt;1),Tasks[[#This Row],[_LeafFcstFinish]]+Tasks[[#This Row],[_Row]]/100000,"")</f>
        <v/>
      </c>
      <c r="DC12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25" s="43" t="n">
        <f aca="false">IF(NOT(Tasks[[#This Row],[_IsLeaf]]=1),0,IF(Tasks[[#This Row],[Baseline Cost]]="",Tasks[[#This Row],[_LeafCost]],N(Tasks[[#This Row],[Baseline Cost]])))</f>
        <v>0</v>
      </c>
      <c r="DE125" s="43" t="n">
        <f aca="false">Tasks[[#This Row],[_LeafBudget]]*Tasks[[#This Row],[_PlannedPct]]</f>
        <v>0</v>
      </c>
      <c r="DF125" s="43" t="n">
        <f aca="false">Tasks[[#This Row],[_LeafBudget]]*Tasks[[#This Row],[_LeafProgress]]</f>
        <v>0</v>
      </c>
      <c r="DG125" s="43" t="n">
        <f aca="false">IF(NOT(Tasks[[#This Row],[_IsLeaf]]=1),0,IF(Tasks[[#This Row],[Actual Cost]]="",Tasks[[#This Row],[_LeafCost]]*Tasks[[#This Row],[_LeafProgress]],N(Tasks[[#This Row],[Actual Cost]])))</f>
        <v>0</v>
      </c>
      <c r="DH125" s="43" t="str">
        <f aca="false">IF(Tasks[[#This Row],[Task Name]]="","",LEFT(Tasks[[#This Row],[WBS]],FIND(".",Tasks[[#This Row],[WBS]]&amp;".")-1))</f>
        <v/>
      </c>
      <c r="DI125" s="43" t="str">
        <f aca="false">IF(AND(Tasks[[#This Row],[Task Name]]&lt;&gt;"",Tasks[[#This Row],[_Level]]=1),Tasks[[#This Row],[_Row]],"")</f>
        <v/>
      </c>
      <c r="DJ125" s="43" t="str">
        <f aca="false">IF(AND(Tasks[[#This Row],[_IsLeaf]]=1,N(Tasks[[#This Row],[Duration]])=0),Tasks[[#This Row],[Planned Finish]]+Tasks[[#This Row],[_Row]]/100000,"")</f>
        <v/>
      </c>
      <c r="DK12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2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2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25" s="43" t="str">
        <f aca="false">IF(Tasks[[#This Row],[_LeafCritical]],Tasks[[#This Row],[_LeafFcstStart]]+Tasks[[#This Row],[_Row]]/100000,"")</f>
        <v/>
      </c>
      <c r="DO125" s="43" t="n">
        <f aca="false">Tasks[[#This Row],[_LeafWork]]*Tasks[[#This Row],[_LeafProgress]]</f>
        <v>0</v>
      </c>
      <c r="DP12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25" s="43" t="n">
        <f aca="false">IF(Tasks[[#This Row],[_IsLeaf]]=1,N(Tasks[[#This Row],[Story Points]]),0)</f>
        <v>0</v>
      </c>
      <c r="DR125" s="43" t="str">
        <f aca="false">IF(AND(Tasks[[#This Row],[_IsLeaf]]=1,CurrentSprint&lt;&gt;"",Tasks[[#This Row],[Sprint]]=CurrentSprint),Tasks[[#This Row],[_Row]],"")</f>
        <v/>
      </c>
    </row>
    <row r="126" customFormat="false" ht="15" hidden="false" customHeight="false" outlineLevel="0" collapsed="false">
      <c r="A126" s="28" t="str">
        <f aca="false">IF(Tasks[[#This Row],[Task Name]]="","",COUNTA(Tasks[[#Headers],[Task Name]]:Tasks[[#This Row],[Task Name]])-1)</f>
        <v/>
      </c>
      <c r="B126" s="29" t="n">
        <v>121</v>
      </c>
      <c r="C12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26" s="29"/>
      <c r="E126" s="30"/>
      <c r="F126" s="29"/>
      <c r="G126" s="29"/>
      <c r="H126" s="29"/>
      <c r="I126" s="29"/>
      <c r="J126" s="29"/>
      <c r="K126" s="29"/>
      <c r="L126" s="29"/>
      <c r="M126" s="29"/>
      <c r="N126" s="72"/>
      <c r="O126" s="72"/>
      <c r="P126" s="25" t="str">
        <f aca="false">IF(Tasks[[#This Row],[Task Name]]="","",IF(N(Tasks[[#This Row],[Baseline Start]])&gt;0,Tasks[[#This Row],[Baseline Start]],Tasks[[#This Row],[_CalcStart]]))</f>
        <v/>
      </c>
      <c r="Q126" s="25" t="str">
        <f aca="false">IF(Tasks[[#This Row],[Task Name]]="","",IF(N(Tasks[[#This Row],[Baseline Finish]])&gt;0,Tasks[[#This Row],[Baseline Finish]],Tasks[[#This Row],[_CalcFinish]]))</f>
        <v/>
      </c>
      <c r="R126" s="72"/>
      <c r="S126" s="72"/>
      <c r="T12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2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2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2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2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2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2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2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2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2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2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26" s="74"/>
      <c r="AF12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2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26" s="30"/>
      <c r="AI126" s="74"/>
      <c r="AJ12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2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26" s="83"/>
      <c r="AM126" s="29"/>
      <c r="AN12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26" s="84"/>
      <c r="AP12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26" s="30"/>
      <c r="AR126" s="25" t="str">
        <f aca="false">IF(Tasks[[#This Row],[Task Name]]="","",Tasks[[#This Row],[Forecast Start]])</f>
        <v/>
      </c>
      <c r="AS126" s="25" t="str">
        <f aca="false">IF(Tasks[[#This Row],[Task Name]]="","",Tasks[[#This Row],[Forecast Finish]])</f>
        <v/>
      </c>
      <c r="AT12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26" s="81" t="str">
        <f aca="false">IF(Tasks[[#This Row],[Task Name]]="","",Tasks[[#This Row],[Work]])</f>
        <v/>
      </c>
      <c r="AV126" s="82" t="str">
        <f aca="false">IF(Tasks[[#This Row],[Task Name]]="","",Tasks[[#This Row],[Cost]])</f>
        <v/>
      </c>
      <c r="AW126" s="72"/>
      <c r="AX126" s="72"/>
      <c r="AY126" s="29"/>
      <c r="AZ126" s="85"/>
      <c r="BA126" s="83"/>
      <c r="BB126" s="28" t="str">
        <f aca="false">IF(OR(Tasks[[#This Row],[Task Name]]="",Tasks[[#This Row],[Baseline Duration]]=""),"",Tasks[[#This Row],[BL Source Duration]]-N(Tasks[[#This Row],[Baseline Duration]]))</f>
        <v/>
      </c>
      <c r="BC126" s="81" t="str">
        <f aca="false">IF(OR(Tasks[[#This Row],[Task Name]]="",Tasks[[#This Row],[Baseline Work]]=""),"",Tasks[[#This Row],[Work]]-N(Tasks[[#This Row],[Baseline Work]]))</f>
        <v/>
      </c>
      <c r="BD126" s="82" t="str">
        <f aca="false">IF(OR(Tasks[[#This Row],[Task Name]]="",Tasks[[#This Row],[Baseline Cost]]=""),"",Tasks[[#This Row],[Cost]]-N(Tasks[[#This Row],[Baseline Cost]]))</f>
        <v/>
      </c>
      <c r="BE12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2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2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2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26" s="43" t="str">
        <f aca="false">IF(Tasks[[#This Row],[Task Name]]="","",MAX(1,N(Tasks[[#This Row],[Level]])))</f>
        <v/>
      </c>
      <c r="BJ126" s="43" t="n">
        <f aca="false">ROW()-ROW(Tasks[[#Headers],[ID]])</f>
        <v>121</v>
      </c>
      <c r="BK12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26" s="43" t="n">
        <f aca="false">IFERROR(N(INDEX(Tasks[_Level],Tasks[[#This Row],[_Row]]+1)),0)</f>
        <v>0</v>
      </c>
      <c r="BM126" s="86" t="b">
        <f aca="false">AND(Tasks[[#This Row],[Task Name]]&lt;&gt;"",Tasks[[#This Row],[_NextLevel]]&gt;Tasks[[#This Row],[_Level]])</f>
        <v>0</v>
      </c>
      <c r="BN126" s="43" t="n">
        <f aca="false">IF(Tasks[[#This Row],[_IsSummary]],COUNTIF(Tasks[WBS],Tasks[[#This Row],[WBS]]&amp;".*"),0)</f>
        <v>0</v>
      </c>
      <c r="BO126" s="43" t="n">
        <f aca="false">IF(AND(Tasks[[#This Row],[Task Name]]&lt;&gt;"",NOT(Tasks[[#This Row],[_IsSummary]])),1,0)</f>
        <v>0</v>
      </c>
      <c r="BP126" s="43" t="n">
        <f aca="false">IF(N(Tasks[[#This Row],[Pred1 UID]])=0,0,IFERROR(MATCH(Tasks[[#This Row],[Pred1 UID]],Tasks[UID],0),-1))</f>
        <v>0</v>
      </c>
      <c r="BQ126" s="43" t="n">
        <f aca="false">IF(N(Tasks[[#This Row],[Pred2 UID]])=0,0,IFERROR(MATCH(Tasks[[#This Row],[Pred2 UID]],Tasks[UID],0),-1))</f>
        <v>0</v>
      </c>
      <c r="BR12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2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2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2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26" s="43" t="n">
        <f aca="false">IF(NOT(Tasks[[#This Row],[_IsLeaf]]=1),0,IF(N(Tasks[[#This Row],[Actual Finish]])&gt;0,1,MIN(1,N(Tasks[[#This Row],[% Complete]]))))</f>
        <v>0</v>
      </c>
      <c r="BW12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26" s="43" t="n">
        <f aca="false">IF(Tasks[[#This Row],[_LeafWork]]=0,0,Tasks[[#This Row],[_LeafWork]]*IFERROR(INDEX(res_Rate,MATCH(Tasks[[#This Row],[Resource]],res_Name,0)),0))</f>
        <v>0</v>
      </c>
      <c r="BY12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2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2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2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26" s="43" t="n">
        <f aca="false">IF(NOT(Tasks[[#This Row],[_IsLeaf]]=1),0,MAX(_xlfn.MAXIFS(Tasks[_Row],Tasks[Pred1 UID],Tasks[[#This Row],[UID]]),_xlfn.MAXIFS(Tasks[_Row],Tasks[Pred2 UID],Tasks[[#This Row],[UID]])))</f>
        <v>0</v>
      </c>
      <c r="CD12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26" s="87" t="str">
        <f aca="false">IF(NOT(Tasks[[#This Row],[_IsLeaf]]=1),"",MIN(ProjectFinish,IF(N(Tasks[[#This Row],[Deadline]])&gt;0,Tasks[[#This Row],[Deadline]],2958465),Tasks[[#This Row],[_SuccessorFinishLimit]]))</f>
        <v/>
      </c>
      <c r="CF12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2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26" s="86" t="b">
        <f aca="false">AND(Tasks[[#This Row],[_IsLeaf]]=1,Tasks[[#This Row],[_LeafProgress]]&lt;1,N(Tasks[[#This Row],[_LeafTotalSlack]])&lt;=CriticalSlackDays)</f>
        <v>0</v>
      </c>
      <c r="CI12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2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2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2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2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2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2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2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26" s="43" t="n">
        <f aca="false">IF(AND(Tasks[[#This Row],[_IsLeaf]]=1,Tasks[[#This Row],[_LeafWork]]&gt;0),NETWORKDAYS.INTL(ProjectStart,Tasks[[#This Row],[_LeafFcstStart]],WorkWeek,Holidays),0)</f>
        <v>0</v>
      </c>
      <c r="CR12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26" s="43" t="n">
        <f aca="false">IF(AND(Tasks[[#This Row],[_IsLeaf]]=1,Tasks[[#This Row],[_LeafWork]]&gt;0),Tasks[[#This Row],[_LeafWork]]/(Tasks[[#This Row],[_FinishWorkday]]-Tasks[[#This Row],[_StartWorkday]]+1),0)</f>
        <v>0</v>
      </c>
      <c r="CT126" s="43" t="n">
        <f aca="false">Tasks[[#This Row],[_WorkPerWorkday]]*(Tasks[[#This Row],[_StartWorkday]]-1)</f>
        <v>-0</v>
      </c>
      <c r="CU126" s="43" t="n">
        <f aca="false">IF(Tasks[[#This Row],[_IsLeaf]]=1,MAX(N(Tasks[[#This Row],[Duration]]),0.1),0)</f>
        <v>0</v>
      </c>
      <c r="CV126" s="43" t="n">
        <f aca="false">Tasks[[#This Row],[_WeightDur]]*Tasks[[#This Row],[_LeafProgress]]</f>
        <v>0</v>
      </c>
      <c r="CW12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2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2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2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2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26" s="43" t="str">
        <f aca="false">IF(AND(Tasks[[#This Row],[_IsLeaf]]=1,N(Tasks[[#This Row],[Duration]])=0,Tasks[[#This Row],[_LeafProgress]]&lt;1),Tasks[[#This Row],[_LeafFcstFinish]]+Tasks[[#This Row],[_Row]]/100000,"")</f>
        <v/>
      </c>
      <c r="DC12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26" s="43" t="n">
        <f aca="false">IF(NOT(Tasks[[#This Row],[_IsLeaf]]=1),0,IF(Tasks[[#This Row],[Baseline Cost]]="",Tasks[[#This Row],[_LeafCost]],N(Tasks[[#This Row],[Baseline Cost]])))</f>
        <v>0</v>
      </c>
      <c r="DE126" s="43" t="n">
        <f aca="false">Tasks[[#This Row],[_LeafBudget]]*Tasks[[#This Row],[_PlannedPct]]</f>
        <v>0</v>
      </c>
      <c r="DF126" s="43" t="n">
        <f aca="false">Tasks[[#This Row],[_LeafBudget]]*Tasks[[#This Row],[_LeafProgress]]</f>
        <v>0</v>
      </c>
      <c r="DG126" s="43" t="n">
        <f aca="false">IF(NOT(Tasks[[#This Row],[_IsLeaf]]=1),0,IF(Tasks[[#This Row],[Actual Cost]]="",Tasks[[#This Row],[_LeafCost]]*Tasks[[#This Row],[_LeafProgress]],N(Tasks[[#This Row],[Actual Cost]])))</f>
        <v>0</v>
      </c>
      <c r="DH126" s="43" t="str">
        <f aca="false">IF(Tasks[[#This Row],[Task Name]]="","",LEFT(Tasks[[#This Row],[WBS]],FIND(".",Tasks[[#This Row],[WBS]]&amp;".")-1))</f>
        <v/>
      </c>
      <c r="DI126" s="43" t="str">
        <f aca="false">IF(AND(Tasks[[#This Row],[Task Name]]&lt;&gt;"",Tasks[[#This Row],[_Level]]=1),Tasks[[#This Row],[_Row]],"")</f>
        <v/>
      </c>
      <c r="DJ126" s="43" t="str">
        <f aca="false">IF(AND(Tasks[[#This Row],[_IsLeaf]]=1,N(Tasks[[#This Row],[Duration]])=0),Tasks[[#This Row],[Planned Finish]]+Tasks[[#This Row],[_Row]]/100000,"")</f>
        <v/>
      </c>
      <c r="DK12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2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2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26" s="43" t="str">
        <f aca="false">IF(Tasks[[#This Row],[_LeafCritical]],Tasks[[#This Row],[_LeafFcstStart]]+Tasks[[#This Row],[_Row]]/100000,"")</f>
        <v/>
      </c>
      <c r="DO126" s="43" t="n">
        <f aca="false">Tasks[[#This Row],[_LeafWork]]*Tasks[[#This Row],[_LeafProgress]]</f>
        <v>0</v>
      </c>
      <c r="DP12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26" s="43" t="n">
        <f aca="false">IF(Tasks[[#This Row],[_IsLeaf]]=1,N(Tasks[[#This Row],[Story Points]]),0)</f>
        <v>0</v>
      </c>
      <c r="DR126" s="43" t="str">
        <f aca="false">IF(AND(Tasks[[#This Row],[_IsLeaf]]=1,CurrentSprint&lt;&gt;"",Tasks[[#This Row],[Sprint]]=CurrentSprint),Tasks[[#This Row],[_Row]],"")</f>
        <v/>
      </c>
    </row>
    <row r="127" customFormat="false" ht="15" hidden="false" customHeight="false" outlineLevel="0" collapsed="false">
      <c r="A127" s="28" t="str">
        <f aca="false">IF(Tasks[[#This Row],[Task Name]]="","",COUNTA(Tasks[[#Headers],[Task Name]]:Tasks[[#This Row],[Task Name]])-1)</f>
        <v/>
      </c>
      <c r="B127" s="29" t="n">
        <v>122</v>
      </c>
      <c r="C12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27" s="29"/>
      <c r="E127" s="30"/>
      <c r="F127" s="29"/>
      <c r="G127" s="29"/>
      <c r="H127" s="29"/>
      <c r="I127" s="29"/>
      <c r="J127" s="29"/>
      <c r="K127" s="29"/>
      <c r="L127" s="29"/>
      <c r="M127" s="29"/>
      <c r="N127" s="72"/>
      <c r="O127" s="72"/>
      <c r="P127" s="25" t="str">
        <f aca="false">IF(Tasks[[#This Row],[Task Name]]="","",IF(N(Tasks[[#This Row],[Baseline Start]])&gt;0,Tasks[[#This Row],[Baseline Start]],Tasks[[#This Row],[_CalcStart]]))</f>
        <v/>
      </c>
      <c r="Q127" s="25" t="str">
        <f aca="false">IF(Tasks[[#This Row],[Task Name]]="","",IF(N(Tasks[[#This Row],[Baseline Finish]])&gt;0,Tasks[[#This Row],[Baseline Finish]],Tasks[[#This Row],[_CalcFinish]]))</f>
        <v/>
      </c>
      <c r="R127" s="72"/>
      <c r="S127" s="72"/>
      <c r="T12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2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2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2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2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2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2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2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2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2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2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27" s="74"/>
      <c r="AF12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2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27" s="30"/>
      <c r="AI127" s="74"/>
      <c r="AJ12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2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27" s="83"/>
      <c r="AM127" s="29"/>
      <c r="AN12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27" s="84"/>
      <c r="AP12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27" s="30"/>
      <c r="AR127" s="25" t="str">
        <f aca="false">IF(Tasks[[#This Row],[Task Name]]="","",Tasks[[#This Row],[Forecast Start]])</f>
        <v/>
      </c>
      <c r="AS127" s="25" t="str">
        <f aca="false">IF(Tasks[[#This Row],[Task Name]]="","",Tasks[[#This Row],[Forecast Finish]])</f>
        <v/>
      </c>
      <c r="AT12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27" s="81" t="str">
        <f aca="false">IF(Tasks[[#This Row],[Task Name]]="","",Tasks[[#This Row],[Work]])</f>
        <v/>
      </c>
      <c r="AV127" s="82" t="str">
        <f aca="false">IF(Tasks[[#This Row],[Task Name]]="","",Tasks[[#This Row],[Cost]])</f>
        <v/>
      </c>
      <c r="AW127" s="72"/>
      <c r="AX127" s="72"/>
      <c r="AY127" s="29"/>
      <c r="AZ127" s="85"/>
      <c r="BA127" s="83"/>
      <c r="BB127" s="28" t="str">
        <f aca="false">IF(OR(Tasks[[#This Row],[Task Name]]="",Tasks[[#This Row],[Baseline Duration]]=""),"",Tasks[[#This Row],[BL Source Duration]]-N(Tasks[[#This Row],[Baseline Duration]]))</f>
        <v/>
      </c>
      <c r="BC127" s="81" t="str">
        <f aca="false">IF(OR(Tasks[[#This Row],[Task Name]]="",Tasks[[#This Row],[Baseline Work]]=""),"",Tasks[[#This Row],[Work]]-N(Tasks[[#This Row],[Baseline Work]]))</f>
        <v/>
      </c>
      <c r="BD127" s="82" t="str">
        <f aca="false">IF(OR(Tasks[[#This Row],[Task Name]]="",Tasks[[#This Row],[Baseline Cost]]=""),"",Tasks[[#This Row],[Cost]]-N(Tasks[[#This Row],[Baseline Cost]]))</f>
        <v/>
      </c>
      <c r="BE12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2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2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2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27" s="43" t="str">
        <f aca="false">IF(Tasks[[#This Row],[Task Name]]="","",MAX(1,N(Tasks[[#This Row],[Level]])))</f>
        <v/>
      </c>
      <c r="BJ127" s="43" t="n">
        <f aca="false">ROW()-ROW(Tasks[[#Headers],[ID]])</f>
        <v>122</v>
      </c>
      <c r="BK12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27" s="43" t="n">
        <f aca="false">IFERROR(N(INDEX(Tasks[_Level],Tasks[[#This Row],[_Row]]+1)),0)</f>
        <v>0</v>
      </c>
      <c r="BM127" s="86" t="b">
        <f aca="false">AND(Tasks[[#This Row],[Task Name]]&lt;&gt;"",Tasks[[#This Row],[_NextLevel]]&gt;Tasks[[#This Row],[_Level]])</f>
        <v>0</v>
      </c>
      <c r="BN127" s="43" t="n">
        <f aca="false">IF(Tasks[[#This Row],[_IsSummary]],COUNTIF(Tasks[WBS],Tasks[[#This Row],[WBS]]&amp;".*"),0)</f>
        <v>0</v>
      </c>
      <c r="BO127" s="43" t="n">
        <f aca="false">IF(AND(Tasks[[#This Row],[Task Name]]&lt;&gt;"",NOT(Tasks[[#This Row],[_IsSummary]])),1,0)</f>
        <v>0</v>
      </c>
      <c r="BP127" s="43" t="n">
        <f aca="false">IF(N(Tasks[[#This Row],[Pred1 UID]])=0,0,IFERROR(MATCH(Tasks[[#This Row],[Pred1 UID]],Tasks[UID],0),-1))</f>
        <v>0</v>
      </c>
      <c r="BQ127" s="43" t="n">
        <f aca="false">IF(N(Tasks[[#This Row],[Pred2 UID]])=0,0,IFERROR(MATCH(Tasks[[#This Row],[Pred2 UID]],Tasks[UID],0),-1))</f>
        <v>0</v>
      </c>
      <c r="BR12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2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2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2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27" s="43" t="n">
        <f aca="false">IF(NOT(Tasks[[#This Row],[_IsLeaf]]=1),0,IF(N(Tasks[[#This Row],[Actual Finish]])&gt;0,1,MIN(1,N(Tasks[[#This Row],[% Complete]]))))</f>
        <v>0</v>
      </c>
      <c r="BW12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27" s="43" t="n">
        <f aca="false">IF(Tasks[[#This Row],[_LeafWork]]=0,0,Tasks[[#This Row],[_LeafWork]]*IFERROR(INDEX(res_Rate,MATCH(Tasks[[#This Row],[Resource]],res_Name,0)),0))</f>
        <v>0</v>
      </c>
      <c r="BY12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2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2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2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27" s="43" t="n">
        <f aca="false">IF(NOT(Tasks[[#This Row],[_IsLeaf]]=1),0,MAX(_xlfn.MAXIFS(Tasks[_Row],Tasks[Pred1 UID],Tasks[[#This Row],[UID]]),_xlfn.MAXIFS(Tasks[_Row],Tasks[Pred2 UID],Tasks[[#This Row],[UID]])))</f>
        <v>0</v>
      </c>
      <c r="CD12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27" s="87" t="str">
        <f aca="false">IF(NOT(Tasks[[#This Row],[_IsLeaf]]=1),"",MIN(ProjectFinish,IF(N(Tasks[[#This Row],[Deadline]])&gt;0,Tasks[[#This Row],[Deadline]],2958465),Tasks[[#This Row],[_SuccessorFinishLimit]]))</f>
        <v/>
      </c>
      <c r="CF12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2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27" s="86" t="b">
        <f aca="false">AND(Tasks[[#This Row],[_IsLeaf]]=1,Tasks[[#This Row],[_LeafProgress]]&lt;1,N(Tasks[[#This Row],[_LeafTotalSlack]])&lt;=CriticalSlackDays)</f>
        <v>0</v>
      </c>
      <c r="CI12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2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2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2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2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2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2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2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27" s="43" t="n">
        <f aca="false">IF(AND(Tasks[[#This Row],[_IsLeaf]]=1,Tasks[[#This Row],[_LeafWork]]&gt;0),NETWORKDAYS.INTL(ProjectStart,Tasks[[#This Row],[_LeafFcstStart]],WorkWeek,Holidays),0)</f>
        <v>0</v>
      </c>
      <c r="CR12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27" s="43" t="n">
        <f aca="false">IF(AND(Tasks[[#This Row],[_IsLeaf]]=1,Tasks[[#This Row],[_LeafWork]]&gt;0),Tasks[[#This Row],[_LeafWork]]/(Tasks[[#This Row],[_FinishWorkday]]-Tasks[[#This Row],[_StartWorkday]]+1),0)</f>
        <v>0</v>
      </c>
      <c r="CT127" s="43" t="n">
        <f aca="false">Tasks[[#This Row],[_WorkPerWorkday]]*(Tasks[[#This Row],[_StartWorkday]]-1)</f>
        <v>-0</v>
      </c>
      <c r="CU127" s="43" t="n">
        <f aca="false">IF(Tasks[[#This Row],[_IsLeaf]]=1,MAX(N(Tasks[[#This Row],[Duration]]),0.1),0)</f>
        <v>0</v>
      </c>
      <c r="CV127" s="43" t="n">
        <f aca="false">Tasks[[#This Row],[_WeightDur]]*Tasks[[#This Row],[_LeafProgress]]</f>
        <v>0</v>
      </c>
      <c r="CW12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2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2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2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2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27" s="43" t="str">
        <f aca="false">IF(AND(Tasks[[#This Row],[_IsLeaf]]=1,N(Tasks[[#This Row],[Duration]])=0,Tasks[[#This Row],[_LeafProgress]]&lt;1),Tasks[[#This Row],[_LeafFcstFinish]]+Tasks[[#This Row],[_Row]]/100000,"")</f>
        <v/>
      </c>
      <c r="DC12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27" s="43" t="n">
        <f aca="false">IF(NOT(Tasks[[#This Row],[_IsLeaf]]=1),0,IF(Tasks[[#This Row],[Baseline Cost]]="",Tasks[[#This Row],[_LeafCost]],N(Tasks[[#This Row],[Baseline Cost]])))</f>
        <v>0</v>
      </c>
      <c r="DE127" s="43" t="n">
        <f aca="false">Tasks[[#This Row],[_LeafBudget]]*Tasks[[#This Row],[_PlannedPct]]</f>
        <v>0</v>
      </c>
      <c r="DF127" s="43" t="n">
        <f aca="false">Tasks[[#This Row],[_LeafBudget]]*Tasks[[#This Row],[_LeafProgress]]</f>
        <v>0</v>
      </c>
      <c r="DG127" s="43" t="n">
        <f aca="false">IF(NOT(Tasks[[#This Row],[_IsLeaf]]=1),0,IF(Tasks[[#This Row],[Actual Cost]]="",Tasks[[#This Row],[_LeafCost]]*Tasks[[#This Row],[_LeafProgress]],N(Tasks[[#This Row],[Actual Cost]])))</f>
        <v>0</v>
      </c>
      <c r="DH127" s="43" t="str">
        <f aca="false">IF(Tasks[[#This Row],[Task Name]]="","",LEFT(Tasks[[#This Row],[WBS]],FIND(".",Tasks[[#This Row],[WBS]]&amp;".")-1))</f>
        <v/>
      </c>
      <c r="DI127" s="43" t="str">
        <f aca="false">IF(AND(Tasks[[#This Row],[Task Name]]&lt;&gt;"",Tasks[[#This Row],[_Level]]=1),Tasks[[#This Row],[_Row]],"")</f>
        <v/>
      </c>
      <c r="DJ127" s="43" t="str">
        <f aca="false">IF(AND(Tasks[[#This Row],[_IsLeaf]]=1,N(Tasks[[#This Row],[Duration]])=0),Tasks[[#This Row],[Planned Finish]]+Tasks[[#This Row],[_Row]]/100000,"")</f>
        <v/>
      </c>
      <c r="DK12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2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2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27" s="43" t="str">
        <f aca="false">IF(Tasks[[#This Row],[_LeafCritical]],Tasks[[#This Row],[_LeafFcstStart]]+Tasks[[#This Row],[_Row]]/100000,"")</f>
        <v/>
      </c>
      <c r="DO127" s="43" t="n">
        <f aca="false">Tasks[[#This Row],[_LeafWork]]*Tasks[[#This Row],[_LeafProgress]]</f>
        <v>0</v>
      </c>
      <c r="DP12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27" s="43" t="n">
        <f aca="false">IF(Tasks[[#This Row],[_IsLeaf]]=1,N(Tasks[[#This Row],[Story Points]]),0)</f>
        <v>0</v>
      </c>
      <c r="DR127" s="43" t="str">
        <f aca="false">IF(AND(Tasks[[#This Row],[_IsLeaf]]=1,CurrentSprint&lt;&gt;"",Tasks[[#This Row],[Sprint]]=CurrentSprint),Tasks[[#This Row],[_Row]],"")</f>
        <v/>
      </c>
    </row>
    <row r="128" customFormat="false" ht="15" hidden="false" customHeight="false" outlineLevel="0" collapsed="false">
      <c r="A128" s="28" t="str">
        <f aca="false">IF(Tasks[[#This Row],[Task Name]]="","",COUNTA(Tasks[[#Headers],[Task Name]]:Tasks[[#This Row],[Task Name]])-1)</f>
        <v/>
      </c>
      <c r="B128" s="29" t="n">
        <v>123</v>
      </c>
      <c r="C12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28" s="29"/>
      <c r="E128" s="30"/>
      <c r="F128" s="29"/>
      <c r="G128" s="29"/>
      <c r="H128" s="29"/>
      <c r="I128" s="29"/>
      <c r="J128" s="29"/>
      <c r="K128" s="29"/>
      <c r="L128" s="29"/>
      <c r="M128" s="29"/>
      <c r="N128" s="72"/>
      <c r="O128" s="72"/>
      <c r="P128" s="25" t="str">
        <f aca="false">IF(Tasks[[#This Row],[Task Name]]="","",IF(N(Tasks[[#This Row],[Baseline Start]])&gt;0,Tasks[[#This Row],[Baseline Start]],Tasks[[#This Row],[_CalcStart]]))</f>
        <v/>
      </c>
      <c r="Q128" s="25" t="str">
        <f aca="false">IF(Tasks[[#This Row],[Task Name]]="","",IF(N(Tasks[[#This Row],[Baseline Finish]])&gt;0,Tasks[[#This Row],[Baseline Finish]],Tasks[[#This Row],[_CalcFinish]]))</f>
        <v/>
      </c>
      <c r="R128" s="72"/>
      <c r="S128" s="72"/>
      <c r="T12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2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2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2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2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2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2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2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2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2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2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28" s="74"/>
      <c r="AF12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2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28" s="30"/>
      <c r="AI128" s="74"/>
      <c r="AJ12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2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28" s="83"/>
      <c r="AM128" s="29"/>
      <c r="AN12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28" s="84"/>
      <c r="AP12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28" s="30"/>
      <c r="AR128" s="25" t="str">
        <f aca="false">IF(Tasks[[#This Row],[Task Name]]="","",Tasks[[#This Row],[Forecast Start]])</f>
        <v/>
      </c>
      <c r="AS128" s="25" t="str">
        <f aca="false">IF(Tasks[[#This Row],[Task Name]]="","",Tasks[[#This Row],[Forecast Finish]])</f>
        <v/>
      </c>
      <c r="AT12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28" s="81" t="str">
        <f aca="false">IF(Tasks[[#This Row],[Task Name]]="","",Tasks[[#This Row],[Work]])</f>
        <v/>
      </c>
      <c r="AV128" s="82" t="str">
        <f aca="false">IF(Tasks[[#This Row],[Task Name]]="","",Tasks[[#This Row],[Cost]])</f>
        <v/>
      </c>
      <c r="AW128" s="72"/>
      <c r="AX128" s="72"/>
      <c r="AY128" s="29"/>
      <c r="AZ128" s="85"/>
      <c r="BA128" s="83"/>
      <c r="BB128" s="28" t="str">
        <f aca="false">IF(OR(Tasks[[#This Row],[Task Name]]="",Tasks[[#This Row],[Baseline Duration]]=""),"",Tasks[[#This Row],[BL Source Duration]]-N(Tasks[[#This Row],[Baseline Duration]]))</f>
        <v/>
      </c>
      <c r="BC128" s="81" t="str">
        <f aca="false">IF(OR(Tasks[[#This Row],[Task Name]]="",Tasks[[#This Row],[Baseline Work]]=""),"",Tasks[[#This Row],[Work]]-N(Tasks[[#This Row],[Baseline Work]]))</f>
        <v/>
      </c>
      <c r="BD128" s="82" t="str">
        <f aca="false">IF(OR(Tasks[[#This Row],[Task Name]]="",Tasks[[#This Row],[Baseline Cost]]=""),"",Tasks[[#This Row],[Cost]]-N(Tasks[[#This Row],[Baseline Cost]]))</f>
        <v/>
      </c>
      <c r="BE12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2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2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2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28" s="43" t="str">
        <f aca="false">IF(Tasks[[#This Row],[Task Name]]="","",MAX(1,N(Tasks[[#This Row],[Level]])))</f>
        <v/>
      </c>
      <c r="BJ128" s="43" t="n">
        <f aca="false">ROW()-ROW(Tasks[[#Headers],[ID]])</f>
        <v>123</v>
      </c>
      <c r="BK12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28" s="43" t="n">
        <f aca="false">IFERROR(N(INDEX(Tasks[_Level],Tasks[[#This Row],[_Row]]+1)),0)</f>
        <v>0</v>
      </c>
      <c r="BM128" s="86" t="b">
        <f aca="false">AND(Tasks[[#This Row],[Task Name]]&lt;&gt;"",Tasks[[#This Row],[_NextLevel]]&gt;Tasks[[#This Row],[_Level]])</f>
        <v>0</v>
      </c>
      <c r="BN128" s="43" t="n">
        <f aca="false">IF(Tasks[[#This Row],[_IsSummary]],COUNTIF(Tasks[WBS],Tasks[[#This Row],[WBS]]&amp;".*"),0)</f>
        <v>0</v>
      </c>
      <c r="BO128" s="43" t="n">
        <f aca="false">IF(AND(Tasks[[#This Row],[Task Name]]&lt;&gt;"",NOT(Tasks[[#This Row],[_IsSummary]])),1,0)</f>
        <v>0</v>
      </c>
      <c r="BP128" s="43" t="n">
        <f aca="false">IF(N(Tasks[[#This Row],[Pred1 UID]])=0,0,IFERROR(MATCH(Tasks[[#This Row],[Pred1 UID]],Tasks[UID],0),-1))</f>
        <v>0</v>
      </c>
      <c r="BQ128" s="43" t="n">
        <f aca="false">IF(N(Tasks[[#This Row],[Pred2 UID]])=0,0,IFERROR(MATCH(Tasks[[#This Row],[Pred2 UID]],Tasks[UID],0),-1))</f>
        <v>0</v>
      </c>
      <c r="BR12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2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2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2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28" s="43" t="n">
        <f aca="false">IF(NOT(Tasks[[#This Row],[_IsLeaf]]=1),0,IF(N(Tasks[[#This Row],[Actual Finish]])&gt;0,1,MIN(1,N(Tasks[[#This Row],[% Complete]]))))</f>
        <v>0</v>
      </c>
      <c r="BW12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28" s="43" t="n">
        <f aca="false">IF(Tasks[[#This Row],[_LeafWork]]=0,0,Tasks[[#This Row],[_LeafWork]]*IFERROR(INDEX(res_Rate,MATCH(Tasks[[#This Row],[Resource]],res_Name,0)),0))</f>
        <v>0</v>
      </c>
      <c r="BY12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2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2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2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28" s="43" t="n">
        <f aca="false">IF(NOT(Tasks[[#This Row],[_IsLeaf]]=1),0,MAX(_xlfn.MAXIFS(Tasks[_Row],Tasks[Pred1 UID],Tasks[[#This Row],[UID]]),_xlfn.MAXIFS(Tasks[_Row],Tasks[Pred2 UID],Tasks[[#This Row],[UID]])))</f>
        <v>0</v>
      </c>
      <c r="CD12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28" s="87" t="str">
        <f aca="false">IF(NOT(Tasks[[#This Row],[_IsLeaf]]=1),"",MIN(ProjectFinish,IF(N(Tasks[[#This Row],[Deadline]])&gt;0,Tasks[[#This Row],[Deadline]],2958465),Tasks[[#This Row],[_SuccessorFinishLimit]]))</f>
        <v/>
      </c>
      <c r="CF12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2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28" s="86" t="b">
        <f aca="false">AND(Tasks[[#This Row],[_IsLeaf]]=1,Tasks[[#This Row],[_LeafProgress]]&lt;1,N(Tasks[[#This Row],[_LeafTotalSlack]])&lt;=CriticalSlackDays)</f>
        <v>0</v>
      </c>
      <c r="CI12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2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2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2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2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2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2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2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28" s="43" t="n">
        <f aca="false">IF(AND(Tasks[[#This Row],[_IsLeaf]]=1,Tasks[[#This Row],[_LeafWork]]&gt;0),NETWORKDAYS.INTL(ProjectStart,Tasks[[#This Row],[_LeafFcstStart]],WorkWeek,Holidays),0)</f>
        <v>0</v>
      </c>
      <c r="CR12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28" s="43" t="n">
        <f aca="false">IF(AND(Tasks[[#This Row],[_IsLeaf]]=1,Tasks[[#This Row],[_LeafWork]]&gt;0),Tasks[[#This Row],[_LeafWork]]/(Tasks[[#This Row],[_FinishWorkday]]-Tasks[[#This Row],[_StartWorkday]]+1),0)</f>
        <v>0</v>
      </c>
      <c r="CT128" s="43" t="n">
        <f aca="false">Tasks[[#This Row],[_WorkPerWorkday]]*(Tasks[[#This Row],[_StartWorkday]]-1)</f>
        <v>-0</v>
      </c>
      <c r="CU128" s="43" t="n">
        <f aca="false">IF(Tasks[[#This Row],[_IsLeaf]]=1,MAX(N(Tasks[[#This Row],[Duration]]),0.1),0)</f>
        <v>0</v>
      </c>
      <c r="CV128" s="43" t="n">
        <f aca="false">Tasks[[#This Row],[_WeightDur]]*Tasks[[#This Row],[_LeafProgress]]</f>
        <v>0</v>
      </c>
      <c r="CW12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2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2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2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2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28" s="43" t="str">
        <f aca="false">IF(AND(Tasks[[#This Row],[_IsLeaf]]=1,N(Tasks[[#This Row],[Duration]])=0,Tasks[[#This Row],[_LeafProgress]]&lt;1),Tasks[[#This Row],[_LeafFcstFinish]]+Tasks[[#This Row],[_Row]]/100000,"")</f>
        <v/>
      </c>
      <c r="DC12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28" s="43" t="n">
        <f aca="false">IF(NOT(Tasks[[#This Row],[_IsLeaf]]=1),0,IF(Tasks[[#This Row],[Baseline Cost]]="",Tasks[[#This Row],[_LeafCost]],N(Tasks[[#This Row],[Baseline Cost]])))</f>
        <v>0</v>
      </c>
      <c r="DE128" s="43" t="n">
        <f aca="false">Tasks[[#This Row],[_LeafBudget]]*Tasks[[#This Row],[_PlannedPct]]</f>
        <v>0</v>
      </c>
      <c r="DF128" s="43" t="n">
        <f aca="false">Tasks[[#This Row],[_LeafBudget]]*Tasks[[#This Row],[_LeafProgress]]</f>
        <v>0</v>
      </c>
      <c r="DG128" s="43" t="n">
        <f aca="false">IF(NOT(Tasks[[#This Row],[_IsLeaf]]=1),0,IF(Tasks[[#This Row],[Actual Cost]]="",Tasks[[#This Row],[_LeafCost]]*Tasks[[#This Row],[_LeafProgress]],N(Tasks[[#This Row],[Actual Cost]])))</f>
        <v>0</v>
      </c>
      <c r="DH128" s="43" t="str">
        <f aca="false">IF(Tasks[[#This Row],[Task Name]]="","",LEFT(Tasks[[#This Row],[WBS]],FIND(".",Tasks[[#This Row],[WBS]]&amp;".")-1))</f>
        <v/>
      </c>
      <c r="DI128" s="43" t="str">
        <f aca="false">IF(AND(Tasks[[#This Row],[Task Name]]&lt;&gt;"",Tasks[[#This Row],[_Level]]=1),Tasks[[#This Row],[_Row]],"")</f>
        <v/>
      </c>
      <c r="DJ128" s="43" t="str">
        <f aca="false">IF(AND(Tasks[[#This Row],[_IsLeaf]]=1,N(Tasks[[#This Row],[Duration]])=0),Tasks[[#This Row],[Planned Finish]]+Tasks[[#This Row],[_Row]]/100000,"")</f>
        <v/>
      </c>
      <c r="DK12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2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2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28" s="43" t="str">
        <f aca="false">IF(Tasks[[#This Row],[_LeafCritical]],Tasks[[#This Row],[_LeafFcstStart]]+Tasks[[#This Row],[_Row]]/100000,"")</f>
        <v/>
      </c>
      <c r="DO128" s="43" t="n">
        <f aca="false">Tasks[[#This Row],[_LeafWork]]*Tasks[[#This Row],[_LeafProgress]]</f>
        <v>0</v>
      </c>
      <c r="DP12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28" s="43" t="n">
        <f aca="false">IF(Tasks[[#This Row],[_IsLeaf]]=1,N(Tasks[[#This Row],[Story Points]]),0)</f>
        <v>0</v>
      </c>
      <c r="DR128" s="43" t="str">
        <f aca="false">IF(AND(Tasks[[#This Row],[_IsLeaf]]=1,CurrentSprint&lt;&gt;"",Tasks[[#This Row],[Sprint]]=CurrentSprint),Tasks[[#This Row],[_Row]],"")</f>
        <v/>
      </c>
    </row>
    <row r="129" customFormat="false" ht="15" hidden="false" customHeight="false" outlineLevel="0" collapsed="false">
      <c r="A129" s="28" t="str">
        <f aca="false">IF(Tasks[[#This Row],[Task Name]]="","",COUNTA(Tasks[[#Headers],[Task Name]]:Tasks[[#This Row],[Task Name]])-1)</f>
        <v/>
      </c>
      <c r="B129" s="29" t="n">
        <v>124</v>
      </c>
      <c r="C12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29" s="29"/>
      <c r="E129" s="30"/>
      <c r="F129" s="29"/>
      <c r="G129" s="29"/>
      <c r="H129" s="29"/>
      <c r="I129" s="29"/>
      <c r="J129" s="29"/>
      <c r="K129" s="29"/>
      <c r="L129" s="29"/>
      <c r="M129" s="29"/>
      <c r="N129" s="72"/>
      <c r="O129" s="72"/>
      <c r="P129" s="25" t="str">
        <f aca="false">IF(Tasks[[#This Row],[Task Name]]="","",IF(N(Tasks[[#This Row],[Baseline Start]])&gt;0,Tasks[[#This Row],[Baseline Start]],Tasks[[#This Row],[_CalcStart]]))</f>
        <v/>
      </c>
      <c r="Q129" s="25" t="str">
        <f aca="false">IF(Tasks[[#This Row],[Task Name]]="","",IF(N(Tasks[[#This Row],[Baseline Finish]])&gt;0,Tasks[[#This Row],[Baseline Finish]],Tasks[[#This Row],[_CalcFinish]]))</f>
        <v/>
      </c>
      <c r="R129" s="72"/>
      <c r="S129" s="72"/>
      <c r="T12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2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2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2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2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2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2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2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2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2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2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29" s="74"/>
      <c r="AF12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2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29" s="30"/>
      <c r="AI129" s="74"/>
      <c r="AJ12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2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29" s="83"/>
      <c r="AM129" s="29"/>
      <c r="AN12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29" s="84"/>
      <c r="AP12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29" s="30"/>
      <c r="AR129" s="25" t="str">
        <f aca="false">IF(Tasks[[#This Row],[Task Name]]="","",Tasks[[#This Row],[Forecast Start]])</f>
        <v/>
      </c>
      <c r="AS129" s="25" t="str">
        <f aca="false">IF(Tasks[[#This Row],[Task Name]]="","",Tasks[[#This Row],[Forecast Finish]])</f>
        <v/>
      </c>
      <c r="AT12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29" s="81" t="str">
        <f aca="false">IF(Tasks[[#This Row],[Task Name]]="","",Tasks[[#This Row],[Work]])</f>
        <v/>
      </c>
      <c r="AV129" s="82" t="str">
        <f aca="false">IF(Tasks[[#This Row],[Task Name]]="","",Tasks[[#This Row],[Cost]])</f>
        <v/>
      </c>
      <c r="AW129" s="72"/>
      <c r="AX129" s="72"/>
      <c r="AY129" s="29"/>
      <c r="AZ129" s="85"/>
      <c r="BA129" s="83"/>
      <c r="BB129" s="28" t="str">
        <f aca="false">IF(OR(Tasks[[#This Row],[Task Name]]="",Tasks[[#This Row],[Baseline Duration]]=""),"",Tasks[[#This Row],[BL Source Duration]]-N(Tasks[[#This Row],[Baseline Duration]]))</f>
        <v/>
      </c>
      <c r="BC129" s="81" t="str">
        <f aca="false">IF(OR(Tasks[[#This Row],[Task Name]]="",Tasks[[#This Row],[Baseline Work]]=""),"",Tasks[[#This Row],[Work]]-N(Tasks[[#This Row],[Baseline Work]]))</f>
        <v/>
      </c>
      <c r="BD129" s="82" t="str">
        <f aca="false">IF(OR(Tasks[[#This Row],[Task Name]]="",Tasks[[#This Row],[Baseline Cost]]=""),"",Tasks[[#This Row],[Cost]]-N(Tasks[[#This Row],[Baseline Cost]]))</f>
        <v/>
      </c>
      <c r="BE12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2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2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2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29" s="43" t="str">
        <f aca="false">IF(Tasks[[#This Row],[Task Name]]="","",MAX(1,N(Tasks[[#This Row],[Level]])))</f>
        <v/>
      </c>
      <c r="BJ129" s="43" t="n">
        <f aca="false">ROW()-ROW(Tasks[[#Headers],[ID]])</f>
        <v>124</v>
      </c>
      <c r="BK12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29" s="43" t="n">
        <f aca="false">IFERROR(N(INDEX(Tasks[_Level],Tasks[[#This Row],[_Row]]+1)),0)</f>
        <v>0</v>
      </c>
      <c r="BM129" s="86" t="b">
        <f aca="false">AND(Tasks[[#This Row],[Task Name]]&lt;&gt;"",Tasks[[#This Row],[_NextLevel]]&gt;Tasks[[#This Row],[_Level]])</f>
        <v>0</v>
      </c>
      <c r="BN129" s="43" t="n">
        <f aca="false">IF(Tasks[[#This Row],[_IsSummary]],COUNTIF(Tasks[WBS],Tasks[[#This Row],[WBS]]&amp;".*"),0)</f>
        <v>0</v>
      </c>
      <c r="BO129" s="43" t="n">
        <f aca="false">IF(AND(Tasks[[#This Row],[Task Name]]&lt;&gt;"",NOT(Tasks[[#This Row],[_IsSummary]])),1,0)</f>
        <v>0</v>
      </c>
      <c r="BP129" s="43" t="n">
        <f aca="false">IF(N(Tasks[[#This Row],[Pred1 UID]])=0,0,IFERROR(MATCH(Tasks[[#This Row],[Pred1 UID]],Tasks[UID],0),-1))</f>
        <v>0</v>
      </c>
      <c r="BQ129" s="43" t="n">
        <f aca="false">IF(N(Tasks[[#This Row],[Pred2 UID]])=0,0,IFERROR(MATCH(Tasks[[#This Row],[Pred2 UID]],Tasks[UID],0),-1))</f>
        <v>0</v>
      </c>
      <c r="BR12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2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2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2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29" s="43" t="n">
        <f aca="false">IF(NOT(Tasks[[#This Row],[_IsLeaf]]=1),0,IF(N(Tasks[[#This Row],[Actual Finish]])&gt;0,1,MIN(1,N(Tasks[[#This Row],[% Complete]]))))</f>
        <v>0</v>
      </c>
      <c r="BW12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29" s="43" t="n">
        <f aca="false">IF(Tasks[[#This Row],[_LeafWork]]=0,0,Tasks[[#This Row],[_LeafWork]]*IFERROR(INDEX(res_Rate,MATCH(Tasks[[#This Row],[Resource]],res_Name,0)),0))</f>
        <v>0</v>
      </c>
      <c r="BY12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2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2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2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29" s="43" t="n">
        <f aca="false">IF(NOT(Tasks[[#This Row],[_IsLeaf]]=1),0,MAX(_xlfn.MAXIFS(Tasks[_Row],Tasks[Pred1 UID],Tasks[[#This Row],[UID]]),_xlfn.MAXIFS(Tasks[_Row],Tasks[Pred2 UID],Tasks[[#This Row],[UID]])))</f>
        <v>0</v>
      </c>
      <c r="CD12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29" s="87" t="str">
        <f aca="false">IF(NOT(Tasks[[#This Row],[_IsLeaf]]=1),"",MIN(ProjectFinish,IF(N(Tasks[[#This Row],[Deadline]])&gt;0,Tasks[[#This Row],[Deadline]],2958465),Tasks[[#This Row],[_SuccessorFinishLimit]]))</f>
        <v/>
      </c>
      <c r="CF12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2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29" s="86" t="b">
        <f aca="false">AND(Tasks[[#This Row],[_IsLeaf]]=1,Tasks[[#This Row],[_LeafProgress]]&lt;1,N(Tasks[[#This Row],[_LeafTotalSlack]])&lt;=CriticalSlackDays)</f>
        <v>0</v>
      </c>
      <c r="CI12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2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2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2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2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2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2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2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29" s="43" t="n">
        <f aca="false">IF(AND(Tasks[[#This Row],[_IsLeaf]]=1,Tasks[[#This Row],[_LeafWork]]&gt;0),NETWORKDAYS.INTL(ProjectStart,Tasks[[#This Row],[_LeafFcstStart]],WorkWeek,Holidays),0)</f>
        <v>0</v>
      </c>
      <c r="CR12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29" s="43" t="n">
        <f aca="false">IF(AND(Tasks[[#This Row],[_IsLeaf]]=1,Tasks[[#This Row],[_LeafWork]]&gt;0),Tasks[[#This Row],[_LeafWork]]/(Tasks[[#This Row],[_FinishWorkday]]-Tasks[[#This Row],[_StartWorkday]]+1),0)</f>
        <v>0</v>
      </c>
      <c r="CT129" s="43" t="n">
        <f aca="false">Tasks[[#This Row],[_WorkPerWorkday]]*(Tasks[[#This Row],[_StartWorkday]]-1)</f>
        <v>-0</v>
      </c>
      <c r="CU129" s="43" t="n">
        <f aca="false">IF(Tasks[[#This Row],[_IsLeaf]]=1,MAX(N(Tasks[[#This Row],[Duration]]),0.1),0)</f>
        <v>0</v>
      </c>
      <c r="CV129" s="43" t="n">
        <f aca="false">Tasks[[#This Row],[_WeightDur]]*Tasks[[#This Row],[_LeafProgress]]</f>
        <v>0</v>
      </c>
      <c r="CW12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2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2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2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2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29" s="43" t="str">
        <f aca="false">IF(AND(Tasks[[#This Row],[_IsLeaf]]=1,N(Tasks[[#This Row],[Duration]])=0,Tasks[[#This Row],[_LeafProgress]]&lt;1),Tasks[[#This Row],[_LeafFcstFinish]]+Tasks[[#This Row],[_Row]]/100000,"")</f>
        <v/>
      </c>
      <c r="DC12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29" s="43" t="n">
        <f aca="false">IF(NOT(Tasks[[#This Row],[_IsLeaf]]=1),0,IF(Tasks[[#This Row],[Baseline Cost]]="",Tasks[[#This Row],[_LeafCost]],N(Tasks[[#This Row],[Baseline Cost]])))</f>
        <v>0</v>
      </c>
      <c r="DE129" s="43" t="n">
        <f aca="false">Tasks[[#This Row],[_LeafBudget]]*Tasks[[#This Row],[_PlannedPct]]</f>
        <v>0</v>
      </c>
      <c r="DF129" s="43" t="n">
        <f aca="false">Tasks[[#This Row],[_LeafBudget]]*Tasks[[#This Row],[_LeafProgress]]</f>
        <v>0</v>
      </c>
      <c r="DG129" s="43" t="n">
        <f aca="false">IF(NOT(Tasks[[#This Row],[_IsLeaf]]=1),0,IF(Tasks[[#This Row],[Actual Cost]]="",Tasks[[#This Row],[_LeafCost]]*Tasks[[#This Row],[_LeafProgress]],N(Tasks[[#This Row],[Actual Cost]])))</f>
        <v>0</v>
      </c>
      <c r="DH129" s="43" t="str">
        <f aca="false">IF(Tasks[[#This Row],[Task Name]]="","",LEFT(Tasks[[#This Row],[WBS]],FIND(".",Tasks[[#This Row],[WBS]]&amp;".")-1))</f>
        <v/>
      </c>
      <c r="DI129" s="43" t="str">
        <f aca="false">IF(AND(Tasks[[#This Row],[Task Name]]&lt;&gt;"",Tasks[[#This Row],[_Level]]=1),Tasks[[#This Row],[_Row]],"")</f>
        <v/>
      </c>
      <c r="DJ129" s="43" t="str">
        <f aca="false">IF(AND(Tasks[[#This Row],[_IsLeaf]]=1,N(Tasks[[#This Row],[Duration]])=0),Tasks[[#This Row],[Planned Finish]]+Tasks[[#This Row],[_Row]]/100000,"")</f>
        <v/>
      </c>
      <c r="DK12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2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2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29" s="43" t="str">
        <f aca="false">IF(Tasks[[#This Row],[_LeafCritical]],Tasks[[#This Row],[_LeafFcstStart]]+Tasks[[#This Row],[_Row]]/100000,"")</f>
        <v/>
      </c>
      <c r="DO129" s="43" t="n">
        <f aca="false">Tasks[[#This Row],[_LeafWork]]*Tasks[[#This Row],[_LeafProgress]]</f>
        <v>0</v>
      </c>
      <c r="DP12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29" s="43" t="n">
        <f aca="false">IF(Tasks[[#This Row],[_IsLeaf]]=1,N(Tasks[[#This Row],[Story Points]]),0)</f>
        <v>0</v>
      </c>
      <c r="DR129" s="43" t="str">
        <f aca="false">IF(AND(Tasks[[#This Row],[_IsLeaf]]=1,CurrentSprint&lt;&gt;"",Tasks[[#This Row],[Sprint]]=CurrentSprint),Tasks[[#This Row],[_Row]],"")</f>
        <v/>
      </c>
    </row>
    <row r="130" customFormat="false" ht="15" hidden="false" customHeight="false" outlineLevel="0" collapsed="false">
      <c r="A130" s="28" t="str">
        <f aca="false">IF(Tasks[[#This Row],[Task Name]]="","",COUNTA(Tasks[[#Headers],[Task Name]]:Tasks[[#This Row],[Task Name]])-1)</f>
        <v/>
      </c>
      <c r="B130" s="29" t="n">
        <v>125</v>
      </c>
      <c r="C13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30" s="29"/>
      <c r="E130" s="30"/>
      <c r="F130" s="29"/>
      <c r="G130" s="29"/>
      <c r="H130" s="29"/>
      <c r="I130" s="29"/>
      <c r="J130" s="29"/>
      <c r="K130" s="29"/>
      <c r="L130" s="29"/>
      <c r="M130" s="29"/>
      <c r="N130" s="72"/>
      <c r="O130" s="72"/>
      <c r="P130" s="25" t="str">
        <f aca="false">IF(Tasks[[#This Row],[Task Name]]="","",IF(N(Tasks[[#This Row],[Baseline Start]])&gt;0,Tasks[[#This Row],[Baseline Start]],Tasks[[#This Row],[_CalcStart]]))</f>
        <v/>
      </c>
      <c r="Q130" s="25" t="str">
        <f aca="false">IF(Tasks[[#This Row],[Task Name]]="","",IF(N(Tasks[[#This Row],[Baseline Finish]])&gt;0,Tasks[[#This Row],[Baseline Finish]],Tasks[[#This Row],[_CalcFinish]]))</f>
        <v/>
      </c>
      <c r="R130" s="72"/>
      <c r="S130" s="72"/>
      <c r="T13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3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3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3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3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3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3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3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3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3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3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30" s="74"/>
      <c r="AF13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3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30" s="30"/>
      <c r="AI130" s="74"/>
      <c r="AJ13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3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30" s="83"/>
      <c r="AM130" s="29"/>
      <c r="AN13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30" s="84"/>
      <c r="AP13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30" s="30"/>
      <c r="AR130" s="25" t="str">
        <f aca="false">IF(Tasks[[#This Row],[Task Name]]="","",Tasks[[#This Row],[Forecast Start]])</f>
        <v/>
      </c>
      <c r="AS130" s="25" t="str">
        <f aca="false">IF(Tasks[[#This Row],[Task Name]]="","",Tasks[[#This Row],[Forecast Finish]])</f>
        <v/>
      </c>
      <c r="AT13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30" s="81" t="str">
        <f aca="false">IF(Tasks[[#This Row],[Task Name]]="","",Tasks[[#This Row],[Work]])</f>
        <v/>
      </c>
      <c r="AV130" s="82" t="str">
        <f aca="false">IF(Tasks[[#This Row],[Task Name]]="","",Tasks[[#This Row],[Cost]])</f>
        <v/>
      </c>
      <c r="AW130" s="72"/>
      <c r="AX130" s="72"/>
      <c r="AY130" s="29"/>
      <c r="AZ130" s="85"/>
      <c r="BA130" s="83"/>
      <c r="BB130" s="28" t="str">
        <f aca="false">IF(OR(Tasks[[#This Row],[Task Name]]="",Tasks[[#This Row],[Baseline Duration]]=""),"",Tasks[[#This Row],[BL Source Duration]]-N(Tasks[[#This Row],[Baseline Duration]]))</f>
        <v/>
      </c>
      <c r="BC130" s="81" t="str">
        <f aca="false">IF(OR(Tasks[[#This Row],[Task Name]]="",Tasks[[#This Row],[Baseline Work]]=""),"",Tasks[[#This Row],[Work]]-N(Tasks[[#This Row],[Baseline Work]]))</f>
        <v/>
      </c>
      <c r="BD130" s="82" t="str">
        <f aca="false">IF(OR(Tasks[[#This Row],[Task Name]]="",Tasks[[#This Row],[Baseline Cost]]=""),"",Tasks[[#This Row],[Cost]]-N(Tasks[[#This Row],[Baseline Cost]]))</f>
        <v/>
      </c>
      <c r="BE13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3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3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3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30" s="43" t="str">
        <f aca="false">IF(Tasks[[#This Row],[Task Name]]="","",MAX(1,N(Tasks[[#This Row],[Level]])))</f>
        <v/>
      </c>
      <c r="BJ130" s="43" t="n">
        <f aca="false">ROW()-ROW(Tasks[[#Headers],[ID]])</f>
        <v>125</v>
      </c>
      <c r="BK13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30" s="43" t="n">
        <f aca="false">IFERROR(N(INDEX(Tasks[_Level],Tasks[[#This Row],[_Row]]+1)),0)</f>
        <v>0</v>
      </c>
      <c r="BM130" s="86" t="b">
        <f aca="false">AND(Tasks[[#This Row],[Task Name]]&lt;&gt;"",Tasks[[#This Row],[_NextLevel]]&gt;Tasks[[#This Row],[_Level]])</f>
        <v>0</v>
      </c>
      <c r="BN130" s="43" t="n">
        <f aca="false">IF(Tasks[[#This Row],[_IsSummary]],COUNTIF(Tasks[WBS],Tasks[[#This Row],[WBS]]&amp;".*"),0)</f>
        <v>0</v>
      </c>
      <c r="BO130" s="43" t="n">
        <f aca="false">IF(AND(Tasks[[#This Row],[Task Name]]&lt;&gt;"",NOT(Tasks[[#This Row],[_IsSummary]])),1,0)</f>
        <v>0</v>
      </c>
      <c r="BP130" s="43" t="n">
        <f aca="false">IF(N(Tasks[[#This Row],[Pred1 UID]])=0,0,IFERROR(MATCH(Tasks[[#This Row],[Pred1 UID]],Tasks[UID],0),-1))</f>
        <v>0</v>
      </c>
      <c r="BQ130" s="43" t="n">
        <f aca="false">IF(N(Tasks[[#This Row],[Pred2 UID]])=0,0,IFERROR(MATCH(Tasks[[#This Row],[Pred2 UID]],Tasks[UID],0),-1))</f>
        <v>0</v>
      </c>
      <c r="BR13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3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3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3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30" s="43" t="n">
        <f aca="false">IF(NOT(Tasks[[#This Row],[_IsLeaf]]=1),0,IF(N(Tasks[[#This Row],[Actual Finish]])&gt;0,1,MIN(1,N(Tasks[[#This Row],[% Complete]]))))</f>
        <v>0</v>
      </c>
      <c r="BW13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30" s="43" t="n">
        <f aca="false">IF(Tasks[[#This Row],[_LeafWork]]=0,0,Tasks[[#This Row],[_LeafWork]]*IFERROR(INDEX(res_Rate,MATCH(Tasks[[#This Row],[Resource]],res_Name,0)),0))</f>
        <v>0</v>
      </c>
      <c r="BY13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3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3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3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30" s="43" t="n">
        <f aca="false">IF(NOT(Tasks[[#This Row],[_IsLeaf]]=1),0,MAX(_xlfn.MAXIFS(Tasks[_Row],Tasks[Pred1 UID],Tasks[[#This Row],[UID]]),_xlfn.MAXIFS(Tasks[_Row],Tasks[Pred2 UID],Tasks[[#This Row],[UID]])))</f>
        <v>0</v>
      </c>
      <c r="CD13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30" s="87" t="str">
        <f aca="false">IF(NOT(Tasks[[#This Row],[_IsLeaf]]=1),"",MIN(ProjectFinish,IF(N(Tasks[[#This Row],[Deadline]])&gt;0,Tasks[[#This Row],[Deadline]],2958465),Tasks[[#This Row],[_SuccessorFinishLimit]]))</f>
        <v/>
      </c>
      <c r="CF13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3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30" s="86" t="b">
        <f aca="false">AND(Tasks[[#This Row],[_IsLeaf]]=1,Tasks[[#This Row],[_LeafProgress]]&lt;1,N(Tasks[[#This Row],[_LeafTotalSlack]])&lt;=CriticalSlackDays)</f>
        <v>0</v>
      </c>
      <c r="CI13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3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3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3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3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3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3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3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30" s="43" t="n">
        <f aca="false">IF(AND(Tasks[[#This Row],[_IsLeaf]]=1,Tasks[[#This Row],[_LeafWork]]&gt;0),NETWORKDAYS.INTL(ProjectStart,Tasks[[#This Row],[_LeafFcstStart]],WorkWeek,Holidays),0)</f>
        <v>0</v>
      </c>
      <c r="CR13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30" s="43" t="n">
        <f aca="false">IF(AND(Tasks[[#This Row],[_IsLeaf]]=1,Tasks[[#This Row],[_LeafWork]]&gt;0),Tasks[[#This Row],[_LeafWork]]/(Tasks[[#This Row],[_FinishWorkday]]-Tasks[[#This Row],[_StartWorkday]]+1),0)</f>
        <v>0</v>
      </c>
      <c r="CT130" s="43" t="n">
        <f aca="false">Tasks[[#This Row],[_WorkPerWorkday]]*(Tasks[[#This Row],[_StartWorkday]]-1)</f>
        <v>-0</v>
      </c>
      <c r="CU130" s="43" t="n">
        <f aca="false">IF(Tasks[[#This Row],[_IsLeaf]]=1,MAX(N(Tasks[[#This Row],[Duration]]),0.1),0)</f>
        <v>0</v>
      </c>
      <c r="CV130" s="43" t="n">
        <f aca="false">Tasks[[#This Row],[_WeightDur]]*Tasks[[#This Row],[_LeafProgress]]</f>
        <v>0</v>
      </c>
      <c r="CW13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3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3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3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3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30" s="43" t="str">
        <f aca="false">IF(AND(Tasks[[#This Row],[_IsLeaf]]=1,N(Tasks[[#This Row],[Duration]])=0,Tasks[[#This Row],[_LeafProgress]]&lt;1),Tasks[[#This Row],[_LeafFcstFinish]]+Tasks[[#This Row],[_Row]]/100000,"")</f>
        <v/>
      </c>
      <c r="DC13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30" s="43" t="n">
        <f aca="false">IF(NOT(Tasks[[#This Row],[_IsLeaf]]=1),0,IF(Tasks[[#This Row],[Baseline Cost]]="",Tasks[[#This Row],[_LeafCost]],N(Tasks[[#This Row],[Baseline Cost]])))</f>
        <v>0</v>
      </c>
      <c r="DE130" s="43" t="n">
        <f aca="false">Tasks[[#This Row],[_LeafBudget]]*Tasks[[#This Row],[_PlannedPct]]</f>
        <v>0</v>
      </c>
      <c r="DF130" s="43" t="n">
        <f aca="false">Tasks[[#This Row],[_LeafBudget]]*Tasks[[#This Row],[_LeafProgress]]</f>
        <v>0</v>
      </c>
      <c r="DG130" s="43" t="n">
        <f aca="false">IF(NOT(Tasks[[#This Row],[_IsLeaf]]=1),0,IF(Tasks[[#This Row],[Actual Cost]]="",Tasks[[#This Row],[_LeafCost]]*Tasks[[#This Row],[_LeafProgress]],N(Tasks[[#This Row],[Actual Cost]])))</f>
        <v>0</v>
      </c>
      <c r="DH130" s="43" t="str">
        <f aca="false">IF(Tasks[[#This Row],[Task Name]]="","",LEFT(Tasks[[#This Row],[WBS]],FIND(".",Tasks[[#This Row],[WBS]]&amp;".")-1))</f>
        <v/>
      </c>
      <c r="DI130" s="43" t="str">
        <f aca="false">IF(AND(Tasks[[#This Row],[Task Name]]&lt;&gt;"",Tasks[[#This Row],[_Level]]=1),Tasks[[#This Row],[_Row]],"")</f>
        <v/>
      </c>
      <c r="DJ130" s="43" t="str">
        <f aca="false">IF(AND(Tasks[[#This Row],[_IsLeaf]]=1,N(Tasks[[#This Row],[Duration]])=0),Tasks[[#This Row],[Planned Finish]]+Tasks[[#This Row],[_Row]]/100000,"")</f>
        <v/>
      </c>
      <c r="DK13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3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3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30" s="43" t="str">
        <f aca="false">IF(Tasks[[#This Row],[_LeafCritical]],Tasks[[#This Row],[_LeafFcstStart]]+Tasks[[#This Row],[_Row]]/100000,"")</f>
        <v/>
      </c>
      <c r="DO130" s="43" t="n">
        <f aca="false">Tasks[[#This Row],[_LeafWork]]*Tasks[[#This Row],[_LeafProgress]]</f>
        <v>0</v>
      </c>
      <c r="DP13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30" s="43" t="n">
        <f aca="false">IF(Tasks[[#This Row],[_IsLeaf]]=1,N(Tasks[[#This Row],[Story Points]]),0)</f>
        <v>0</v>
      </c>
      <c r="DR130" s="43" t="str">
        <f aca="false">IF(AND(Tasks[[#This Row],[_IsLeaf]]=1,CurrentSprint&lt;&gt;"",Tasks[[#This Row],[Sprint]]=CurrentSprint),Tasks[[#This Row],[_Row]],"")</f>
        <v/>
      </c>
    </row>
    <row r="131" customFormat="false" ht="15" hidden="false" customHeight="false" outlineLevel="0" collapsed="false">
      <c r="A131" s="28" t="str">
        <f aca="false">IF(Tasks[[#This Row],[Task Name]]="","",COUNTA(Tasks[[#Headers],[Task Name]]:Tasks[[#This Row],[Task Name]])-1)</f>
        <v/>
      </c>
      <c r="B131" s="29" t="n">
        <v>126</v>
      </c>
      <c r="C13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31" s="29"/>
      <c r="E131" s="30"/>
      <c r="F131" s="29"/>
      <c r="G131" s="29"/>
      <c r="H131" s="29"/>
      <c r="I131" s="29"/>
      <c r="J131" s="29"/>
      <c r="K131" s="29"/>
      <c r="L131" s="29"/>
      <c r="M131" s="29"/>
      <c r="N131" s="72"/>
      <c r="O131" s="72"/>
      <c r="P131" s="25" t="str">
        <f aca="false">IF(Tasks[[#This Row],[Task Name]]="","",IF(N(Tasks[[#This Row],[Baseline Start]])&gt;0,Tasks[[#This Row],[Baseline Start]],Tasks[[#This Row],[_CalcStart]]))</f>
        <v/>
      </c>
      <c r="Q131" s="25" t="str">
        <f aca="false">IF(Tasks[[#This Row],[Task Name]]="","",IF(N(Tasks[[#This Row],[Baseline Finish]])&gt;0,Tasks[[#This Row],[Baseline Finish]],Tasks[[#This Row],[_CalcFinish]]))</f>
        <v/>
      </c>
      <c r="R131" s="72"/>
      <c r="S131" s="72"/>
      <c r="T13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3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3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3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3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3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3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3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3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3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3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31" s="74"/>
      <c r="AF13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3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31" s="30"/>
      <c r="AI131" s="74"/>
      <c r="AJ13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3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31" s="83"/>
      <c r="AM131" s="29"/>
      <c r="AN13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31" s="84"/>
      <c r="AP13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31" s="30"/>
      <c r="AR131" s="25" t="str">
        <f aca="false">IF(Tasks[[#This Row],[Task Name]]="","",Tasks[[#This Row],[Forecast Start]])</f>
        <v/>
      </c>
      <c r="AS131" s="25" t="str">
        <f aca="false">IF(Tasks[[#This Row],[Task Name]]="","",Tasks[[#This Row],[Forecast Finish]])</f>
        <v/>
      </c>
      <c r="AT13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31" s="81" t="str">
        <f aca="false">IF(Tasks[[#This Row],[Task Name]]="","",Tasks[[#This Row],[Work]])</f>
        <v/>
      </c>
      <c r="AV131" s="82" t="str">
        <f aca="false">IF(Tasks[[#This Row],[Task Name]]="","",Tasks[[#This Row],[Cost]])</f>
        <v/>
      </c>
      <c r="AW131" s="72"/>
      <c r="AX131" s="72"/>
      <c r="AY131" s="29"/>
      <c r="AZ131" s="85"/>
      <c r="BA131" s="83"/>
      <c r="BB131" s="28" t="str">
        <f aca="false">IF(OR(Tasks[[#This Row],[Task Name]]="",Tasks[[#This Row],[Baseline Duration]]=""),"",Tasks[[#This Row],[BL Source Duration]]-N(Tasks[[#This Row],[Baseline Duration]]))</f>
        <v/>
      </c>
      <c r="BC131" s="81" t="str">
        <f aca="false">IF(OR(Tasks[[#This Row],[Task Name]]="",Tasks[[#This Row],[Baseline Work]]=""),"",Tasks[[#This Row],[Work]]-N(Tasks[[#This Row],[Baseline Work]]))</f>
        <v/>
      </c>
      <c r="BD131" s="82" t="str">
        <f aca="false">IF(OR(Tasks[[#This Row],[Task Name]]="",Tasks[[#This Row],[Baseline Cost]]=""),"",Tasks[[#This Row],[Cost]]-N(Tasks[[#This Row],[Baseline Cost]]))</f>
        <v/>
      </c>
      <c r="BE13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3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3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3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31" s="43" t="str">
        <f aca="false">IF(Tasks[[#This Row],[Task Name]]="","",MAX(1,N(Tasks[[#This Row],[Level]])))</f>
        <v/>
      </c>
      <c r="BJ131" s="43" t="n">
        <f aca="false">ROW()-ROW(Tasks[[#Headers],[ID]])</f>
        <v>126</v>
      </c>
      <c r="BK13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31" s="43" t="n">
        <f aca="false">IFERROR(N(INDEX(Tasks[_Level],Tasks[[#This Row],[_Row]]+1)),0)</f>
        <v>0</v>
      </c>
      <c r="BM131" s="86" t="b">
        <f aca="false">AND(Tasks[[#This Row],[Task Name]]&lt;&gt;"",Tasks[[#This Row],[_NextLevel]]&gt;Tasks[[#This Row],[_Level]])</f>
        <v>0</v>
      </c>
      <c r="BN131" s="43" t="n">
        <f aca="false">IF(Tasks[[#This Row],[_IsSummary]],COUNTIF(Tasks[WBS],Tasks[[#This Row],[WBS]]&amp;".*"),0)</f>
        <v>0</v>
      </c>
      <c r="BO131" s="43" t="n">
        <f aca="false">IF(AND(Tasks[[#This Row],[Task Name]]&lt;&gt;"",NOT(Tasks[[#This Row],[_IsSummary]])),1,0)</f>
        <v>0</v>
      </c>
      <c r="BP131" s="43" t="n">
        <f aca="false">IF(N(Tasks[[#This Row],[Pred1 UID]])=0,0,IFERROR(MATCH(Tasks[[#This Row],[Pred1 UID]],Tasks[UID],0),-1))</f>
        <v>0</v>
      </c>
      <c r="BQ131" s="43" t="n">
        <f aca="false">IF(N(Tasks[[#This Row],[Pred2 UID]])=0,0,IFERROR(MATCH(Tasks[[#This Row],[Pred2 UID]],Tasks[UID],0),-1))</f>
        <v>0</v>
      </c>
      <c r="BR13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3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3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3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31" s="43" t="n">
        <f aca="false">IF(NOT(Tasks[[#This Row],[_IsLeaf]]=1),0,IF(N(Tasks[[#This Row],[Actual Finish]])&gt;0,1,MIN(1,N(Tasks[[#This Row],[% Complete]]))))</f>
        <v>0</v>
      </c>
      <c r="BW13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31" s="43" t="n">
        <f aca="false">IF(Tasks[[#This Row],[_LeafWork]]=0,0,Tasks[[#This Row],[_LeafWork]]*IFERROR(INDEX(res_Rate,MATCH(Tasks[[#This Row],[Resource]],res_Name,0)),0))</f>
        <v>0</v>
      </c>
      <c r="BY13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3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3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3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31" s="43" t="n">
        <f aca="false">IF(NOT(Tasks[[#This Row],[_IsLeaf]]=1),0,MAX(_xlfn.MAXIFS(Tasks[_Row],Tasks[Pred1 UID],Tasks[[#This Row],[UID]]),_xlfn.MAXIFS(Tasks[_Row],Tasks[Pred2 UID],Tasks[[#This Row],[UID]])))</f>
        <v>0</v>
      </c>
      <c r="CD13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31" s="87" t="str">
        <f aca="false">IF(NOT(Tasks[[#This Row],[_IsLeaf]]=1),"",MIN(ProjectFinish,IF(N(Tasks[[#This Row],[Deadline]])&gt;0,Tasks[[#This Row],[Deadline]],2958465),Tasks[[#This Row],[_SuccessorFinishLimit]]))</f>
        <v/>
      </c>
      <c r="CF13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3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31" s="86" t="b">
        <f aca="false">AND(Tasks[[#This Row],[_IsLeaf]]=1,Tasks[[#This Row],[_LeafProgress]]&lt;1,N(Tasks[[#This Row],[_LeafTotalSlack]])&lt;=CriticalSlackDays)</f>
        <v>0</v>
      </c>
      <c r="CI13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3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3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3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3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3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3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3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31" s="43" t="n">
        <f aca="false">IF(AND(Tasks[[#This Row],[_IsLeaf]]=1,Tasks[[#This Row],[_LeafWork]]&gt;0),NETWORKDAYS.INTL(ProjectStart,Tasks[[#This Row],[_LeafFcstStart]],WorkWeek,Holidays),0)</f>
        <v>0</v>
      </c>
      <c r="CR13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31" s="43" t="n">
        <f aca="false">IF(AND(Tasks[[#This Row],[_IsLeaf]]=1,Tasks[[#This Row],[_LeafWork]]&gt;0),Tasks[[#This Row],[_LeafWork]]/(Tasks[[#This Row],[_FinishWorkday]]-Tasks[[#This Row],[_StartWorkday]]+1),0)</f>
        <v>0</v>
      </c>
      <c r="CT131" s="43" t="n">
        <f aca="false">Tasks[[#This Row],[_WorkPerWorkday]]*(Tasks[[#This Row],[_StartWorkday]]-1)</f>
        <v>-0</v>
      </c>
      <c r="CU131" s="43" t="n">
        <f aca="false">IF(Tasks[[#This Row],[_IsLeaf]]=1,MAX(N(Tasks[[#This Row],[Duration]]),0.1),0)</f>
        <v>0</v>
      </c>
      <c r="CV131" s="43" t="n">
        <f aca="false">Tasks[[#This Row],[_WeightDur]]*Tasks[[#This Row],[_LeafProgress]]</f>
        <v>0</v>
      </c>
      <c r="CW13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3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3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3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3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31" s="43" t="str">
        <f aca="false">IF(AND(Tasks[[#This Row],[_IsLeaf]]=1,N(Tasks[[#This Row],[Duration]])=0,Tasks[[#This Row],[_LeafProgress]]&lt;1),Tasks[[#This Row],[_LeafFcstFinish]]+Tasks[[#This Row],[_Row]]/100000,"")</f>
        <v/>
      </c>
      <c r="DC13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31" s="43" t="n">
        <f aca="false">IF(NOT(Tasks[[#This Row],[_IsLeaf]]=1),0,IF(Tasks[[#This Row],[Baseline Cost]]="",Tasks[[#This Row],[_LeafCost]],N(Tasks[[#This Row],[Baseline Cost]])))</f>
        <v>0</v>
      </c>
      <c r="DE131" s="43" t="n">
        <f aca="false">Tasks[[#This Row],[_LeafBudget]]*Tasks[[#This Row],[_PlannedPct]]</f>
        <v>0</v>
      </c>
      <c r="DF131" s="43" t="n">
        <f aca="false">Tasks[[#This Row],[_LeafBudget]]*Tasks[[#This Row],[_LeafProgress]]</f>
        <v>0</v>
      </c>
      <c r="DG131" s="43" t="n">
        <f aca="false">IF(NOT(Tasks[[#This Row],[_IsLeaf]]=1),0,IF(Tasks[[#This Row],[Actual Cost]]="",Tasks[[#This Row],[_LeafCost]]*Tasks[[#This Row],[_LeafProgress]],N(Tasks[[#This Row],[Actual Cost]])))</f>
        <v>0</v>
      </c>
      <c r="DH131" s="43" t="str">
        <f aca="false">IF(Tasks[[#This Row],[Task Name]]="","",LEFT(Tasks[[#This Row],[WBS]],FIND(".",Tasks[[#This Row],[WBS]]&amp;".")-1))</f>
        <v/>
      </c>
      <c r="DI131" s="43" t="str">
        <f aca="false">IF(AND(Tasks[[#This Row],[Task Name]]&lt;&gt;"",Tasks[[#This Row],[_Level]]=1),Tasks[[#This Row],[_Row]],"")</f>
        <v/>
      </c>
      <c r="DJ131" s="43" t="str">
        <f aca="false">IF(AND(Tasks[[#This Row],[_IsLeaf]]=1,N(Tasks[[#This Row],[Duration]])=0),Tasks[[#This Row],[Planned Finish]]+Tasks[[#This Row],[_Row]]/100000,"")</f>
        <v/>
      </c>
      <c r="DK13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3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3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31" s="43" t="str">
        <f aca="false">IF(Tasks[[#This Row],[_LeafCritical]],Tasks[[#This Row],[_LeafFcstStart]]+Tasks[[#This Row],[_Row]]/100000,"")</f>
        <v/>
      </c>
      <c r="DO131" s="43" t="n">
        <f aca="false">Tasks[[#This Row],[_LeafWork]]*Tasks[[#This Row],[_LeafProgress]]</f>
        <v>0</v>
      </c>
      <c r="DP13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31" s="43" t="n">
        <f aca="false">IF(Tasks[[#This Row],[_IsLeaf]]=1,N(Tasks[[#This Row],[Story Points]]),0)</f>
        <v>0</v>
      </c>
      <c r="DR131" s="43" t="str">
        <f aca="false">IF(AND(Tasks[[#This Row],[_IsLeaf]]=1,CurrentSprint&lt;&gt;"",Tasks[[#This Row],[Sprint]]=CurrentSprint),Tasks[[#This Row],[_Row]],"")</f>
        <v/>
      </c>
    </row>
    <row r="132" customFormat="false" ht="15" hidden="false" customHeight="false" outlineLevel="0" collapsed="false">
      <c r="A132" s="28" t="str">
        <f aca="false">IF(Tasks[[#This Row],[Task Name]]="","",COUNTA(Tasks[[#Headers],[Task Name]]:Tasks[[#This Row],[Task Name]])-1)</f>
        <v/>
      </c>
      <c r="B132" s="29" t="n">
        <v>127</v>
      </c>
      <c r="C13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32" s="29"/>
      <c r="E132" s="30"/>
      <c r="F132" s="29"/>
      <c r="G132" s="29"/>
      <c r="H132" s="29"/>
      <c r="I132" s="29"/>
      <c r="J132" s="29"/>
      <c r="K132" s="29"/>
      <c r="L132" s="29"/>
      <c r="M132" s="29"/>
      <c r="N132" s="72"/>
      <c r="O132" s="72"/>
      <c r="P132" s="25" t="str">
        <f aca="false">IF(Tasks[[#This Row],[Task Name]]="","",IF(N(Tasks[[#This Row],[Baseline Start]])&gt;0,Tasks[[#This Row],[Baseline Start]],Tasks[[#This Row],[_CalcStart]]))</f>
        <v/>
      </c>
      <c r="Q132" s="25" t="str">
        <f aca="false">IF(Tasks[[#This Row],[Task Name]]="","",IF(N(Tasks[[#This Row],[Baseline Finish]])&gt;0,Tasks[[#This Row],[Baseline Finish]],Tasks[[#This Row],[_CalcFinish]]))</f>
        <v/>
      </c>
      <c r="R132" s="72"/>
      <c r="S132" s="72"/>
      <c r="T13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3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3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3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3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3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3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3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3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3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3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32" s="74"/>
      <c r="AF13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3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32" s="30"/>
      <c r="AI132" s="74"/>
      <c r="AJ13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3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32" s="83"/>
      <c r="AM132" s="29"/>
      <c r="AN13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32" s="84"/>
      <c r="AP13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32" s="30"/>
      <c r="AR132" s="25" t="str">
        <f aca="false">IF(Tasks[[#This Row],[Task Name]]="","",Tasks[[#This Row],[Forecast Start]])</f>
        <v/>
      </c>
      <c r="AS132" s="25" t="str">
        <f aca="false">IF(Tasks[[#This Row],[Task Name]]="","",Tasks[[#This Row],[Forecast Finish]])</f>
        <v/>
      </c>
      <c r="AT13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32" s="81" t="str">
        <f aca="false">IF(Tasks[[#This Row],[Task Name]]="","",Tasks[[#This Row],[Work]])</f>
        <v/>
      </c>
      <c r="AV132" s="82" t="str">
        <f aca="false">IF(Tasks[[#This Row],[Task Name]]="","",Tasks[[#This Row],[Cost]])</f>
        <v/>
      </c>
      <c r="AW132" s="72"/>
      <c r="AX132" s="72"/>
      <c r="AY132" s="29"/>
      <c r="AZ132" s="85"/>
      <c r="BA132" s="83"/>
      <c r="BB132" s="28" t="str">
        <f aca="false">IF(OR(Tasks[[#This Row],[Task Name]]="",Tasks[[#This Row],[Baseline Duration]]=""),"",Tasks[[#This Row],[BL Source Duration]]-N(Tasks[[#This Row],[Baseline Duration]]))</f>
        <v/>
      </c>
      <c r="BC132" s="81" t="str">
        <f aca="false">IF(OR(Tasks[[#This Row],[Task Name]]="",Tasks[[#This Row],[Baseline Work]]=""),"",Tasks[[#This Row],[Work]]-N(Tasks[[#This Row],[Baseline Work]]))</f>
        <v/>
      </c>
      <c r="BD132" s="82" t="str">
        <f aca="false">IF(OR(Tasks[[#This Row],[Task Name]]="",Tasks[[#This Row],[Baseline Cost]]=""),"",Tasks[[#This Row],[Cost]]-N(Tasks[[#This Row],[Baseline Cost]]))</f>
        <v/>
      </c>
      <c r="BE13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3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3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3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32" s="43" t="str">
        <f aca="false">IF(Tasks[[#This Row],[Task Name]]="","",MAX(1,N(Tasks[[#This Row],[Level]])))</f>
        <v/>
      </c>
      <c r="BJ132" s="43" t="n">
        <f aca="false">ROW()-ROW(Tasks[[#Headers],[ID]])</f>
        <v>127</v>
      </c>
      <c r="BK13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32" s="43" t="n">
        <f aca="false">IFERROR(N(INDEX(Tasks[_Level],Tasks[[#This Row],[_Row]]+1)),0)</f>
        <v>0</v>
      </c>
      <c r="BM132" s="86" t="b">
        <f aca="false">AND(Tasks[[#This Row],[Task Name]]&lt;&gt;"",Tasks[[#This Row],[_NextLevel]]&gt;Tasks[[#This Row],[_Level]])</f>
        <v>0</v>
      </c>
      <c r="BN132" s="43" t="n">
        <f aca="false">IF(Tasks[[#This Row],[_IsSummary]],COUNTIF(Tasks[WBS],Tasks[[#This Row],[WBS]]&amp;".*"),0)</f>
        <v>0</v>
      </c>
      <c r="BO132" s="43" t="n">
        <f aca="false">IF(AND(Tasks[[#This Row],[Task Name]]&lt;&gt;"",NOT(Tasks[[#This Row],[_IsSummary]])),1,0)</f>
        <v>0</v>
      </c>
      <c r="BP132" s="43" t="n">
        <f aca="false">IF(N(Tasks[[#This Row],[Pred1 UID]])=0,0,IFERROR(MATCH(Tasks[[#This Row],[Pred1 UID]],Tasks[UID],0),-1))</f>
        <v>0</v>
      </c>
      <c r="BQ132" s="43" t="n">
        <f aca="false">IF(N(Tasks[[#This Row],[Pred2 UID]])=0,0,IFERROR(MATCH(Tasks[[#This Row],[Pred2 UID]],Tasks[UID],0),-1))</f>
        <v>0</v>
      </c>
      <c r="BR13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3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3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3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32" s="43" t="n">
        <f aca="false">IF(NOT(Tasks[[#This Row],[_IsLeaf]]=1),0,IF(N(Tasks[[#This Row],[Actual Finish]])&gt;0,1,MIN(1,N(Tasks[[#This Row],[% Complete]]))))</f>
        <v>0</v>
      </c>
      <c r="BW13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32" s="43" t="n">
        <f aca="false">IF(Tasks[[#This Row],[_LeafWork]]=0,0,Tasks[[#This Row],[_LeafWork]]*IFERROR(INDEX(res_Rate,MATCH(Tasks[[#This Row],[Resource]],res_Name,0)),0))</f>
        <v>0</v>
      </c>
      <c r="BY13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3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3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3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32" s="43" t="n">
        <f aca="false">IF(NOT(Tasks[[#This Row],[_IsLeaf]]=1),0,MAX(_xlfn.MAXIFS(Tasks[_Row],Tasks[Pred1 UID],Tasks[[#This Row],[UID]]),_xlfn.MAXIFS(Tasks[_Row],Tasks[Pred2 UID],Tasks[[#This Row],[UID]])))</f>
        <v>0</v>
      </c>
      <c r="CD13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32" s="87" t="str">
        <f aca="false">IF(NOT(Tasks[[#This Row],[_IsLeaf]]=1),"",MIN(ProjectFinish,IF(N(Tasks[[#This Row],[Deadline]])&gt;0,Tasks[[#This Row],[Deadline]],2958465),Tasks[[#This Row],[_SuccessorFinishLimit]]))</f>
        <v/>
      </c>
      <c r="CF13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3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32" s="86" t="b">
        <f aca="false">AND(Tasks[[#This Row],[_IsLeaf]]=1,Tasks[[#This Row],[_LeafProgress]]&lt;1,N(Tasks[[#This Row],[_LeafTotalSlack]])&lt;=CriticalSlackDays)</f>
        <v>0</v>
      </c>
      <c r="CI13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3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3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3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3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3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3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3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32" s="43" t="n">
        <f aca="false">IF(AND(Tasks[[#This Row],[_IsLeaf]]=1,Tasks[[#This Row],[_LeafWork]]&gt;0),NETWORKDAYS.INTL(ProjectStart,Tasks[[#This Row],[_LeafFcstStart]],WorkWeek,Holidays),0)</f>
        <v>0</v>
      </c>
      <c r="CR13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32" s="43" t="n">
        <f aca="false">IF(AND(Tasks[[#This Row],[_IsLeaf]]=1,Tasks[[#This Row],[_LeafWork]]&gt;0),Tasks[[#This Row],[_LeafWork]]/(Tasks[[#This Row],[_FinishWorkday]]-Tasks[[#This Row],[_StartWorkday]]+1),0)</f>
        <v>0</v>
      </c>
      <c r="CT132" s="43" t="n">
        <f aca="false">Tasks[[#This Row],[_WorkPerWorkday]]*(Tasks[[#This Row],[_StartWorkday]]-1)</f>
        <v>-0</v>
      </c>
      <c r="CU132" s="43" t="n">
        <f aca="false">IF(Tasks[[#This Row],[_IsLeaf]]=1,MAX(N(Tasks[[#This Row],[Duration]]),0.1),0)</f>
        <v>0</v>
      </c>
      <c r="CV132" s="43" t="n">
        <f aca="false">Tasks[[#This Row],[_WeightDur]]*Tasks[[#This Row],[_LeafProgress]]</f>
        <v>0</v>
      </c>
      <c r="CW13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3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3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3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3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32" s="43" t="str">
        <f aca="false">IF(AND(Tasks[[#This Row],[_IsLeaf]]=1,N(Tasks[[#This Row],[Duration]])=0,Tasks[[#This Row],[_LeafProgress]]&lt;1),Tasks[[#This Row],[_LeafFcstFinish]]+Tasks[[#This Row],[_Row]]/100000,"")</f>
        <v/>
      </c>
      <c r="DC13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32" s="43" t="n">
        <f aca="false">IF(NOT(Tasks[[#This Row],[_IsLeaf]]=1),0,IF(Tasks[[#This Row],[Baseline Cost]]="",Tasks[[#This Row],[_LeafCost]],N(Tasks[[#This Row],[Baseline Cost]])))</f>
        <v>0</v>
      </c>
      <c r="DE132" s="43" t="n">
        <f aca="false">Tasks[[#This Row],[_LeafBudget]]*Tasks[[#This Row],[_PlannedPct]]</f>
        <v>0</v>
      </c>
      <c r="DF132" s="43" t="n">
        <f aca="false">Tasks[[#This Row],[_LeafBudget]]*Tasks[[#This Row],[_LeafProgress]]</f>
        <v>0</v>
      </c>
      <c r="DG132" s="43" t="n">
        <f aca="false">IF(NOT(Tasks[[#This Row],[_IsLeaf]]=1),0,IF(Tasks[[#This Row],[Actual Cost]]="",Tasks[[#This Row],[_LeafCost]]*Tasks[[#This Row],[_LeafProgress]],N(Tasks[[#This Row],[Actual Cost]])))</f>
        <v>0</v>
      </c>
      <c r="DH132" s="43" t="str">
        <f aca="false">IF(Tasks[[#This Row],[Task Name]]="","",LEFT(Tasks[[#This Row],[WBS]],FIND(".",Tasks[[#This Row],[WBS]]&amp;".")-1))</f>
        <v/>
      </c>
      <c r="DI132" s="43" t="str">
        <f aca="false">IF(AND(Tasks[[#This Row],[Task Name]]&lt;&gt;"",Tasks[[#This Row],[_Level]]=1),Tasks[[#This Row],[_Row]],"")</f>
        <v/>
      </c>
      <c r="DJ132" s="43" t="str">
        <f aca="false">IF(AND(Tasks[[#This Row],[_IsLeaf]]=1,N(Tasks[[#This Row],[Duration]])=0),Tasks[[#This Row],[Planned Finish]]+Tasks[[#This Row],[_Row]]/100000,"")</f>
        <v/>
      </c>
      <c r="DK13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3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3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32" s="43" t="str">
        <f aca="false">IF(Tasks[[#This Row],[_LeafCritical]],Tasks[[#This Row],[_LeafFcstStart]]+Tasks[[#This Row],[_Row]]/100000,"")</f>
        <v/>
      </c>
      <c r="DO132" s="43" t="n">
        <f aca="false">Tasks[[#This Row],[_LeafWork]]*Tasks[[#This Row],[_LeafProgress]]</f>
        <v>0</v>
      </c>
      <c r="DP13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32" s="43" t="n">
        <f aca="false">IF(Tasks[[#This Row],[_IsLeaf]]=1,N(Tasks[[#This Row],[Story Points]]),0)</f>
        <v>0</v>
      </c>
      <c r="DR132" s="43" t="str">
        <f aca="false">IF(AND(Tasks[[#This Row],[_IsLeaf]]=1,CurrentSprint&lt;&gt;"",Tasks[[#This Row],[Sprint]]=CurrentSprint),Tasks[[#This Row],[_Row]],"")</f>
        <v/>
      </c>
    </row>
    <row r="133" customFormat="false" ht="15" hidden="false" customHeight="false" outlineLevel="0" collapsed="false">
      <c r="A133" s="28" t="str">
        <f aca="false">IF(Tasks[[#This Row],[Task Name]]="","",COUNTA(Tasks[[#Headers],[Task Name]]:Tasks[[#This Row],[Task Name]])-1)</f>
        <v/>
      </c>
      <c r="B133" s="29" t="n">
        <v>128</v>
      </c>
      <c r="C13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33" s="29"/>
      <c r="E133" s="30"/>
      <c r="F133" s="29"/>
      <c r="G133" s="29"/>
      <c r="H133" s="29"/>
      <c r="I133" s="29"/>
      <c r="J133" s="29"/>
      <c r="K133" s="29"/>
      <c r="L133" s="29"/>
      <c r="M133" s="29"/>
      <c r="N133" s="72"/>
      <c r="O133" s="72"/>
      <c r="P133" s="25" t="str">
        <f aca="false">IF(Tasks[[#This Row],[Task Name]]="","",IF(N(Tasks[[#This Row],[Baseline Start]])&gt;0,Tasks[[#This Row],[Baseline Start]],Tasks[[#This Row],[_CalcStart]]))</f>
        <v/>
      </c>
      <c r="Q133" s="25" t="str">
        <f aca="false">IF(Tasks[[#This Row],[Task Name]]="","",IF(N(Tasks[[#This Row],[Baseline Finish]])&gt;0,Tasks[[#This Row],[Baseline Finish]],Tasks[[#This Row],[_CalcFinish]]))</f>
        <v/>
      </c>
      <c r="R133" s="72"/>
      <c r="S133" s="72"/>
      <c r="T13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3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3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3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3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3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3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3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3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3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3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33" s="74"/>
      <c r="AF13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3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33" s="30"/>
      <c r="AI133" s="74"/>
      <c r="AJ13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3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33" s="83"/>
      <c r="AM133" s="29"/>
      <c r="AN13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33" s="84"/>
      <c r="AP13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33" s="30"/>
      <c r="AR133" s="25" t="str">
        <f aca="false">IF(Tasks[[#This Row],[Task Name]]="","",Tasks[[#This Row],[Forecast Start]])</f>
        <v/>
      </c>
      <c r="AS133" s="25" t="str">
        <f aca="false">IF(Tasks[[#This Row],[Task Name]]="","",Tasks[[#This Row],[Forecast Finish]])</f>
        <v/>
      </c>
      <c r="AT13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33" s="81" t="str">
        <f aca="false">IF(Tasks[[#This Row],[Task Name]]="","",Tasks[[#This Row],[Work]])</f>
        <v/>
      </c>
      <c r="AV133" s="82" t="str">
        <f aca="false">IF(Tasks[[#This Row],[Task Name]]="","",Tasks[[#This Row],[Cost]])</f>
        <v/>
      </c>
      <c r="AW133" s="72"/>
      <c r="AX133" s="72"/>
      <c r="AY133" s="29"/>
      <c r="AZ133" s="85"/>
      <c r="BA133" s="83"/>
      <c r="BB133" s="28" t="str">
        <f aca="false">IF(OR(Tasks[[#This Row],[Task Name]]="",Tasks[[#This Row],[Baseline Duration]]=""),"",Tasks[[#This Row],[BL Source Duration]]-N(Tasks[[#This Row],[Baseline Duration]]))</f>
        <v/>
      </c>
      <c r="BC133" s="81" t="str">
        <f aca="false">IF(OR(Tasks[[#This Row],[Task Name]]="",Tasks[[#This Row],[Baseline Work]]=""),"",Tasks[[#This Row],[Work]]-N(Tasks[[#This Row],[Baseline Work]]))</f>
        <v/>
      </c>
      <c r="BD133" s="82" t="str">
        <f aca="false">IF(OR(Tasks[[#This Row],[Task Name]]="",Tasks[[#This Row],[Baseline Cost]]=""),"",Tasks[[#This Row],[Cost]]-N(Tasks[[#This Row],[Baseline Cost]]))</f>
        <v/>
      </c>
      <c r="BE13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3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3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3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33" s="43" t="str">
        <f aca="false">IF(Tasks[[#This Row],[Task Name]]="","",MAX(1,N(Tasks[[#This Row],[Level]])))</f>
        <v/>
      </c>
      <c r="BJ133" s="43" t="n">
        <f aca="false">ROW()-ROW(Tasks[[#Headers],[ID]])</f>
        <v>128</v>
      </c>
      <c r="BK13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33" s="43" t="n">
        <f aca="false">IFERROR(N(INDEX(Tasks[_Level],Tasks[[#This Row],[_Row]]+1)),0)</f>
        <v>0</v>
      </c>
      <c r="BM133" s="86" t="b">
        <f aca="false">AND(Tasks[[#This Row],[Task Name]]&lt;&gt;"",Tasks[[#This Row],[_NextLevel]]&gt;Tasks[[#This Row],[_Level]])</f>
        <v>0</v>
      </c>
      <c r="BN133" s="43" t="n">
        <f aca="false">IF(Tasks[[#This Row],[_IsSummary]],COUNTIF(Tasks[WBS],Tasks[[#This Row],[WBS]]&amp;".*"),0)</f>
        <v>0</v>
      </c>
      <c r="BO133" s="43" t="n">
        <f aca="false">IF(AND(Tasks[[#This Row],[Task Name]]&lt;&gt;"",NOT(Tasks[[#This Row],[_IsSummary]])),1,0)</f>
        <v>0</v>
      </c>
      <c r="BP133" s="43" t="n">
        <f aca="false">IF(N(Tasks[[#This Row],[Pred1 UID]])=0,0,IFERROR(MATCH(Tasks[[#This Row],[Pred1 UID]],Tasks[UID],0),-1))</f>
        <v>0</v>
      </c>
      <c r="BQ133" s="43" t="n">
        <f aca="false">IF(N(Tasks[[#This Row],[Pred2 UID]])=0,0,IFERROR(MATCH(Tasks[[#This Row],[Pred2 UID]],Tasks[UID],0),-1))</f>
        <v>0</v>
      </c>
      <c r="BR13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3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3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3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33" s="43" t="n">
        <f aca="false">IF(NOT(Tasks[[#This Row],[_IsLeaf]]=1),0,IF(N(Tasks[[#This Row],[Actual Finish]])&gt;0,1,MIN(1,N(Tasks[[#This Row],[% Complete]]))))</f>
        <v>0</v>
      </c>
      <c r="BW13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33" s="43" t="n">
        <f aca="false">IF(Tasks[[#This Row],[_LeafWork]]=0,0,Tasks[[#This Row],[_LeafWork]]*IFERROR(INDEX(res_Rate,MATCH(Tasks[[#This Row],[Resource]],res_Name,0)),0))</f>
        <v>0</v>
      </c>
      <c r="BY13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3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3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3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33" s="43" t="n">
        <f aca="false">IF(NOT(Tasks[[#This Row],[_IsLeaf]]=1),0,MAX(_xlfn.MAXIFS(Tasks[_Row],Tasks[Pred1 UID],Tasks[[#This Row],[UID]]),_xlfn.MAXIFS(Tasks[_Row],Tasks[Pred2 UID],Tasks[[#This Row],[UID]])))</f>
        <v>0</v>
      </c>
      <c r="CD13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33" s="87" t="str">
        <f aca="false">IF(NOT(Tasks[[#This Row],[_IsLeaf]]=1),"",MIN(ProjectFinish,IF(N(Tasks[[#This Row],[Deadline]])&gt;0,Tasks[[#This Row],[Deadline]],2958465),Tasks[[#This Row],[_SuccessorFinishLimit]]))</f>
        <v/>
      </c>
      <c r="CF13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3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33" s="86" t="b">
        <f aca="false">AND(Tasks[[#This Row],[_IsLeaf]]=1,Tasks[[#This Row],[_LeafProgress]]&lt;1,N(Tasks[[#This Row],[_LeafTotalSlack]])&lt;=CriticalSlackDays)</f>
        <v>0</v>
      </c>
      <c r="CI13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3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3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3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3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3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3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3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33" s="43" t="n">
        <f aca="false">IF(AND(Tasks[[#This Row],[_IsLeaf]]=1,Tasks[[#This Row],[_LeafWork]]&gt;0),NETWORKDAYS.INTL(ProjectStart,Tasks[[#This Row],[_LeafFcstStart]],WorkWeek,Holidays),0)</f>
        <v>0</v>
      </c>
      <c r="CR13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33" s="43" t="n">
        <f aca="false">IF(AND(Tasks[[#This Row],[_IsLeaf]]=1,Tasks[[#This Row],[_LeafWork]]&gt;0),Tasks[[#This Row],[_LeafWork]]/(Tasks[[#This Row],[_FinishWorkday]]-Tasks[[#This Row],[_StartWorkday]]+1),0)</f>
        <v>0</v>
      </c>
      <c r="CT133" s="43" t="n">
        <f aca="false">Tasks[[#This Row],[_WorkPerWorkday]]*(Tasks[[#This Row],[_StartWorkday]]-1)</f>
        <v>-0</v>
      </c>
      <c r="CU133" s="43" t="n">
        <f aca="false">IF(Tasks[[#This Row],[_IsLeaf]]=1,MAX(N(Tasks[[#This Row],[Duration]]),0.1),0)</f>
        <v>0</v>
      </c>
      <c r="CV133" s="43" t="n">
        <f aca="false">Tasks[[#This Row],[_WeightDur]]*Tasks[[#This Row],[_LeafProgress]]</f>
        <v>0</v>
      </c>
      <c r="CW13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3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3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3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3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33" s="43" t="str">
        <f aca="false">IF(AND(Tasks[[#This Row],[_IsLeaf]]=1,N(Tasks[[#This Row],[Duration]])=0,Tasks[[#This Row],[_LeafProgress]]&lt;1),Tasks[[#This Row],[_LeafFcstFinish]]+Tasks[[#This Row],[_Row]]/100000,"")</f>
        <v/>
      </c>
      <c r="DC13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33" s="43" t="n">
        <f aca="false">IF(NOT(Tasks[[#This Row],[_IsLeaf]]=1),0,IF(Tasks[[#This Row],[Baseline Cost]]="",Tasks[[#This Row],[_LeafCost]],N(Tasks[[#This Row],[Baseline Cost]])))</f>
        <v>0</v>
      </c>
      <c r="DE133" s="43" t="n">
        <f aca="false">Tasks[[#This Row],[_LeafBudget]]*Tasks[[#This Row],[_PlannedPct]]</f>
        <v>0</v>
      </c>
      <c r="DF133" s="43" t="n">
        <f aca="false">Tasks[[#This Row],[_LeafBudget]]*Tasks[[#This Row],[_LeafProgress]]</f>
        <v>0</v>
      </c>
      <c r="DG133" s="43" t="n">
        <f aca="false">IF(NOT(Tasks[[#This Row],[_IsLeaf]]=1),0,IF(Tasks[[#This Row],[Actual Cost]]="",Tasks[[#This Row],[_LeafCost]]*Tasks[[#This Row],[_LeafProgress]],N(Tasks[[#This Row],[Actual Cost]])))</f>
        <v>0</v>
      </c>
      <c r="DH133" s="43" t="str">
        <f aca="false">IF(Tasks[[#This Row],[Task Name]]="","",LEFT(Tasks[[#This Row],[WBS]],FIND(".",Tasks[[#This Row],[WBS]]&amp;".")-1))</f>
        <v/>
      </c>
      <c r="DI133" s="43" t="str">
        <f aca="false">IF(AND(Tasks[[#This Row],[Task Name]]&lt;&gt;"",Tasks[[#This Row],[_Level]]=1),Tasks[[#This Row],[_Row]],"")</f>
        <v/>
      </c>
      <c r="DJ133" s="43" t="str">
        <f aca="false">IF(AND(Tasks[[#This Row],[_IsLeaf]]=1,N(Tasks[[#This Row],[Duration]])=0),Tasks[[#This Row],[Planned Finish]]+Tasks[[#This Row],[_Row]]/100000,"")</f>
        <v/>
      </c>
      <c r="DK13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3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3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33" s="43" t="str">
        <f aca="false">IF(Tasks[[#This Row],[_LeafCritical]],Tasks[[#This Row],[_LeafFcstStart]]+Tasks[[#This Row],[_Row]]/100000,"")</f>
        <v/>
      </c>
      <c r="DO133" s="43" t="n">
        <f aca="false">Tasks[[#This Row],[_LeafWork]]*Tasks[[#This Row],[_LeafProgress]]</f>
        <v>0</v>
      </c>
      <c r="DP13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33" s="43" t="n">
        <f aca="false">IF(Tasks[[#This Row],[_IsLeaf]]=1,N(Tasks[[#This Row],[Story Points]]),0)</f>
        <v>0</v>
      </c>
      <c r="DR133" s="43" t="str">
        <f aca="false">IF(AND(Tasks[[#This Row],[_IsLeaf]]=1,CurrentSprint&lt;&gt;"",Tasks[[#This Row],[Sprint]]=CurrentSprint),Tasks[[#This Row],[_Row]],"")</f>
        <v/>
      </c>
    </row>
    <row r="134" customFormat="false" ht="15" hidden="false" customHeight="false" outlineLevel="0" collapsed="false">
      <c r="A134" s="28" t="str">
        <f aca="false">IF(Tasks[[#This Row],[Task Name]]="","",COUNTA(Tasks[[#Headers],[Task Name]]:Tasks[[#This Row],[Task Name]])-1)</f>
        <v/>
      </c>
      <c r="B134" s="29" t="n">
        <v>129</v>
      </c>
      <c r="C13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34" s="29"/>
      <c r="E134" s="30"/>
      <c r="F134" s="29"/>
      <c r="G134" s="29"/>
      <c r="H134" s="29"/>
      <c r="I134" s="29"/>
      <c r="J134" s="29"/>
      <c r="K134" s="29"/>
      <c r="L134" s="29"/>
      <c r="M134" s="29"/>
      <c r="N134" s="72"/>
      <c r="O134" s="72"/>
      <c r="P134" s="25" t="str">
        <f aca="false">IF(Tasks[[#This Row],[Task Name]]="","",IF(N(Tasks[[#This Row],[Baseline Start]])&gt;0,Tasks[[#This Row],[Baseline Start]],Tasks[[#This Row],[_CalcStart]]))</f>
        <v/>
      </c>
      <c r="Q134" s="25" t="str">
        <f aca="false">IF(Tasks[[#This Row],[Task Name]]="","",IF(N(Tasks[[#This Row],[Baseline Finish]])&gt;0,Tasks[[#This Row],[Baseline Finish]],Tasks[[#This Row],[_CalcFinish]]))</f>
        <v/>
      </c>
      <c r="R134" s="72"/>
      <c r="S134" s="72"/>
      <c r="T13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3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3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3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3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3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3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3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3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3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3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34" s="74"/>
      <c r="AF13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3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34" s="30"/>
      <c r="AI134" s="74"/>
      <c r="AJ13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3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34" s="83"/>
      <c r="AM134" s="29"/>
      <c r="AN13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34" s="84"/>
      <c r="AP13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34" s="30"/>
      <c r="AR134" s="25" t="str">
        <f aca="false">IF(Tasks[[#This Row],[Task Name]]="","",Tasks[[#This Row],[Forecast Start]])</f>
        <v/>
      </c>
      <c r="AS134" s="25" t="str">
        <f aca="false">IF(Tasks[[#This Row],[Task Name]]="","",Tasks[[#This Row],[Forecast Finish]])</f>
        <v/>
      </c>
      <c r="AT13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34" s="81" t="str">
        <f aca="false">IF(Tasks[[#This Row],[Task Name]]="","",Tasks[[#This Row],[Work]])</f>
        <v/>
      </c>
      <c r="AV134" s="82" t="str">
        <f aca="false">IF(Tasks[[#This Row],[Task Name]]="","",Tasks[[#This Row],[Cost]])</f>
        <v/>
      </c>
      <c r="AW134" s="72"/>
      <c r="AX134" s="72"/>
      <c r="AY134" s="29"/>
      <c r="AZ134" s="85"/>
      <c r="BA134" s="83"/>
      <c r="BB134" s="28" t="str">
        <f aca="false">IF(OR(Tasks[[#This Row],[Task Name]]="",Tasks[[#This Row],[Baseline Duration]]=""),"",Tasks[[#This Row],[BL Source Duration]]-N(Tasks[[#This Row],[Baseline Duration]]))</f>
        <v/>
      </c>
      <c r="BC134" s="81" t="str">
        <f aca="false">IF(OR(Tasks[[#This Row],[Task Name]]="",Tasks[[#This Row],[Baseline Work]]=""),"",Tasks[[#This Row],[Work]]-N(Tasks[[#This Row],[Baseline Work]]))</f>
        <v/>
      </c>
      <c r="BD134" s="82" t="str">
        <f aca="false">IF(OR(Tasks[[#This Row],[Task Name]]="",Tasks[[#This Row],[Baseline Cost]]=""),"",Tasks[[#This Row],[Cost]]-N(Tasks[[#This Row],[Baseline Cost]]))</f>
        <v/>
      </c>
      <c r="BE13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3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3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3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34" s="43" t="str">
        <f aca="false">IF(Tasks[[#This Row],[Task Name]]="","",MAX(1,N(Tasks[[#This Row],[Level]])))</f>
        <v/>
      </c>
      <c r="BJ134" s="43" t="n">
        <f aca="false">ROW()-ROW(Tasks[[#Headers],[ID]])</f>
        <v>129</v>
      </c>
      <c r="BK13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34" s="43" t="n">
        <f aca="false">IFERROR(N(INDEX(Tasks[_Level],Tasks[[#This Row],[_Row]]+1)),0)</f>
        <v>0</v>
      </c>
      <c r="BM134" s="86" t="b">
        <f aca="false">AND(Tasks[[#This Row],[Task Name]]&lt;&gt;"",Tasks[[#This Row],[_NextLevel]]&gt;Tasks[[#This Row],[_Level]])</f>
        <v>0</v>
      </c>
      <c r="BN134" s="43" t="n">
        <f aca="false">IF(Tasks[[#This Row],[_IsSummary]],COUNTIF(Tasks[WBS],Tasks[[#This Row],[WBS]]&amp;".*"),0)</f>
        <v>0</v>
      </c>
      <c r="BO134" s="43" t="n">
        <f aca="false">IF(AND(Tasks[[#This Row],[Task Name]]&lt;&gt;"",NOT(Tasks[[#This Row],[_IsSummary]])),1,0)</f>
        <v>0</v>
      </c>
      <c r="BP134" s="43" t="n">
        <f aca="false">IF(N(Tasks[[#This Row],[Pred1 UID]])=0,0,IFERROR(MATCH(Tasks[[#This Row],[Pred1 UID]],Tasks[UID],0),-1))</f>
        <v>0</v>
      </c>
      <c r="BQ134" s="43" t="n">
        <f aca="false">IF(N(Tasks[[#This Row],[Pred2 UID]])=0,0,IFERROR(MATCH(Tasks[[#This Row],[Pred2 UID]],Tasks[UID],0),-1))</f>
        <v>0</v>
      </c>
      <c r="BR13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3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3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3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34" s="43" t="n">
        <f aca="false">IF(NOT(Tasks[[#This Row],[_IsLeaf]]=1),0,IF(N(Tasks[[#This Row],[Actual Finish]])&gt;0,1,MIN(1,N(Tasks[[#This Row],[% Complete]]))))</f>
        <v>0</v>
      </c>
      <c r="BW13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34" s="43" t="n">
        <f aca="false">IF(Tasks[[#This Row],[_LeafWork]]=0,0,Tasks[[#This Row],[_LeafWork]]*IFERROR(INDEX(res_Rate,MATCH(Tasks[[#This Row],[Resource]],res_Name,0)),0))</f>
        <v>0</v>
      </c>
      <c r="BY13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3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3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3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34" s="43" t="n">
        <f aca="false">IF(NOT(Tasks[[#This Row],[_IsLeaf]]=1),0,MAX(_xlfn.MAXIFS(Tasks[_Row],Tasks[Pred1 UID],Tasks[[#This Row],[UID]]),_xlfn.MAXIFS(Tasks[_Row],Tasks[Pred2 UID],Tasks[[#This Row],[UID]])))</f>
        <v>0</v>
      </c>
      <c r="CD13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34" s="87" t="str">
        <f aca="false">IF(NOT(Tasks[[#This Row],[_IsLeaf]]=1),"",MIN(ProjectFinish,IF(N(Tasks[[#This Row],[Deadline]])&gt;0,Tasks[[#This Row],[Deadline]],2958465),Tasks[[#This Row],[_SuccessorFinishLimit]]))</f>
        <v/>
      </c>
      <c r="CF13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3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34" s="86" t="b">
        <f aca="false">AND(Tasks[[#This Row],[_IsLeaf]]=1,Tasks[[#This Row],[_LeafProgress]]&lt;1,N(Tasks[[#This Row],[_LeafTotalSlack]])&lt;=CriticalSlackDays)</f>
        <v>0</v>
      </c>
      <c r="CI13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3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3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3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3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3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3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3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34" s="43" t="n">
        <f aca="false">IF(AND(Tasks[[#This Row],[_IsLeaf]]=1,Tasks[[#This Row],[_LeafWork]]&gt;0),NETWORKDAYS.INTL(ProjectStart,Tasks[[#This Row],[_LeafFcstStart]],WorkWeek,Holidays),0)</f>
        <v>0</v>
      </c>
      <c r="CR13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34" s="43" t="n">
        <f aca="false">IF(AND(Tasks[[#This Row],[_IsLeaf]]=1,Tasks[[#This Row],[_LeafWork]]&gt;0),Tasks[[#This Row],[_LeafWork]]/(Tasks[[#This Row],[_FinishWorkday]]-Tasks[[#This Row],[_StartWorkday]]+1),0)</f>
        <v>0</v>
      </c>
      <c r="CT134" s="43" t="n">
        <f aca="false">Tasks[[#This Row],[_WorkPerWorkday]]*(Tasks[[#This Row],[_StartWorkday]]-1)</f>
        <v>-0</v>
      </c>
      <c r="CU134" s="43" t="n">
        <f aca="false">IF(Tasks[[#This Row],[_IsLeaf]]=1,MAX(N(Tasks[[#This Row],[Duration]]),0.1),0)</f>
        <v>0</v>
      </c>
      <c r="CV134" s="43" t="n">
        <f aca="false">Tasks[[#This Row],[_WeightDur]]*Tasks[[#This Row],[_LeafProgress]]</f>
        <v>0</v>
      </c>
      <c r="CW13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3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3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3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3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34" s="43" t="str">
        <f aca="false">IF(AND(Tasks[[#This Row],[_IsLeaf]]=1,N(Tasks[[#This Row],[Duration]])=0,Tasks[[#This Row],[_LeafProgress]]&lt;1),Tasks[[#This Row],[_LeafFcstFinish]]+Tasks[[#This Row],[_Row]]/100000,"")</f>
        <v/>
      </c>
      <c r="DC13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34" s="43" t="n">
        <f aca="false">IF(NOT(Tasks[[#This Row],[_IsLeaf]]=1),0,IF(Tasks[[#This Row],[Baseline Cost]]="",Tasks[[#This Row],[_LeafCost]],N(Tasks[[#This Row],[Baseline Cost]])))</f>
        <v>0</v>
      </c>
      <c r="DE134" s="43" t="n">
        <f aca="false">Tasks[[#This Row],[_LeafBudget]]*Tasks[[#This Row],[_PlannedPct]]</f>
        <v>0</v>
      </c>
      <c r="DF134" s="43" t="n">
        <f aca="false">Tasks[[#This Row],[_LeafBudget]]*Tasks[[#This Row],[_LeafProgress]]</f>
        <v>0</v>
      </c>
      <c r="DG134" s="43" t="n">
        <f aca="false">IF(NOT(Tasks[[#This Row],[_IsLeaf]]=1),0,IF(Tasks[[#This Row],[Actual Cost]]="",Tasks[[#This Row],[_LeafCost]]*Tasks[[#This Row],[_LeafProgress]],N(Tasks[[#This Row],[Actual Cost]])))</f>
        <v>0</v>
      </c>
      <c r="DH134" s="43" t="str">
        <f aca="false">IF(Tasks[[#This Row],[Task Name]]="","",LEFT(Tasks[[#This Row],[WBS]],FIND(".",Tasks[[#This Row],[WBS]]&amp;".")-1))</f>
        <v/>
      </c>
      <c r="DI134" s="43" t="str">
        <f aca="false">IF(AND(Tasks[[#This Row],[Task Name]]&lt;&gt;"",Tasks[[#This Row],[_Level]]=1),Tasks[[#This Row],[_Row]],"")</f>
        <v/>
      </c>
      <c r="DJ134" s="43" t="str">
        <f aca="false">IF(AND(Tasks[[#This Row],[_IsLeaf]]=1,N(Tasks[[#This Row],[Duration]])=0),Tasks[[#This Row],[Planned Finish]]+Tasks[[#This Row],[_Row]]/100000,"")</f>
        <v/>
      </c>
      <c r="DK13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3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3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34" s="43" t="str">
        <f aca="false">IF(Tasks[[#This Row],[_LeafCritical]],Tasks[[#This Row],[_LeafFcstStart]]+Tasks[[#This Row],[_Row]]/100000,"")</f>
        <v/>
      </c>
      <c r="DO134" s="43" t="n">
        <f aca="false">Tasks[[#This Row],[_LeafWork]]*Tasks[[#This Row],[_LeafProgress]]</f>
        <v>0</v>
      </c>
      <c r="DP13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34" s="43" t="n">
        <f aca="false">IF(Tasks[[#This Row],[_IsLeaf]]=1,N(Tasks[[#This Row],[Story Points]]),0)</f>
        <v>0</v>
      </c>
      <c r="DR134" s="43" t="str">
        <f aca="false">IF(AND(Tasks[[#This Row],[_IsLeaf]]=1,CurrentSprint&lt;&gt;"",Tasks[[#This Row],[Sprint]]=CurrentSprint),Tasks[[#This Row],[_Row]],"")</f>
        <v/>
      </c>
    </row>
    <row r="135" customFormat="false" ht="15" hidden="false" customHeight="false" outlineLevel="0" collapsed="false">
      <c r="A135" s="28" t="str">
        <f aca="false">IF(Tasks[[#This Row],[Task Name]]="","",COUNTA(Tasks[[#Headers],[Task Name]]:Tasks[[#This Row],[Task Name]])-1)</f>
        <v/>
      </c>
      <c r="B135" s="29" t="n">
        <v>130</v>
      </c>
      <c r="C13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35" s="29"/>
      <c r="E135" s="30"/>
      <c r="F135" s="29"/>
      <c r="G135" s="29"/>
      <c r="H135" s="29"/>
      <c r="I135" s="29"/>
      <c r="J135" s="29"/>
      <c r="K135" s="29"/>
      <c r="L135" s="29"/>
      <c r="M135" s="29"/>
      <c r="N135" s="72"/>
      <c r="O135" s="72"/>
      <c r="P135" s="25" t="str">
        <f aca="false">IF(Tasks[[#This Row],[Task Name]]="","",IF(N(Tasks[[#This Row],[Baseline Start]])&gt;0,Tasks[[#This Row],[Baseline Start]],Tasks[[#This Row],[_CalcStart]]))</f>
        <v/>
      </c>
      <c r="Q135" s="25" t="str">
        <f aca="false">IF(Tasks[[#This Row],[Task Name]]="","",IF(N(Tasks[[#This Row],[Baseline Finish]])&gt;0,Tasks[[#This Row],[Baseline Finish]],Tasks[[#This Row],[_CalcFinish]]))</f>
        <v/>
      </c>
      <c r="R135" s="72"/>
      <c r="S135" s="72"/>
      <c r="T13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3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3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3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3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3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3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3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3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3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3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35" s="74"/>
      <c r="AF13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3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35" s="30"/>
      <c r="AI135" s="74"/>
      <c r="AJ13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3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35" s="83"/>
      <c r="AM135" s="29"/>
      <c r="AN13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35" s="84"/>
      <c r="AP13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35" s="30"/>
      <c r="AR135" s="25" t="str">
        <f aca="false">IF(Tasks[[#This Row],[Task Name]]="","",Tasks[[#This Row],[Forecast Start]])</f>
        <v/>
      </c>
      <c r="AS135" s="25" t="str">
        <f aca="false">IF(Tasks[[#This Row],[Task Name]]="","",Tasks[[#This Row],[Forecast Finish]])</f>
        <v/>
      </c>
      <c r="AT13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35" s="81" t="str">
        <f aca="false">IF(Tasks[[#This Row],[Task Name]]="","",Tasks[[#This Row],[Work]])</f>
        <v/>
      </c>
      <c r="AV135" s="82" t="str">
        <f aca="false">IF(Tasks[[#This Row],[Task Name]]="","",Tasks[[#This Row],[Cost]])</f>
        <v/>
      </c>
      <c r="AW135" s="72"/>
      <c r="AX135" s="72"/>
      <c r="AY135" s="29"/>
      <c r="AZ135" s="85"/>
      <c r="BA135" s="83"/>
      <c r="BB135" s="28" t="str">
        <f aca="false">IF(OR(Tasks[[#This Row],[Task Name]]="",Tasks[[#This Row],[Baseline Duration]]=""),"",Tasks[[#This Row],[BL Source Duration]]-N(Tasks[[#This Row],[Baseline Duration]]))</f>
        <v/>
      </c>
      <c r="BC135" s="81" t="str">
        <f aca="false">IF(OR(Tasks[[#This Row],[Task Name]]="",Tasks[[#This Row],[Baseline Work]]=""),"",Tasks[[#This Row],[Work]]-N(Tasks[[#This Row],[Baseline Work]]))</f>
        <v/>
      </c>
      <c r="BD135" s="82" t="str">
        <f aca="false">IF(OR(Tasks[[#This Row],[Task Name]]="",Tasks[[#This Row],[Baseline Cost]]=""),"",Tasks[[#This Row],[Cost]]-N(Tasks[[#This Row],[Baseline Cost]]))</f>
        <v/>
      </c>
      <c r="BE13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3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3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3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35" s="43" t="str">
        <f aca="false">IF(Tasks[[#This Row],[Task Name]]="","",MAX(1,N(Tasks[[#This Row],[Level]])))</f>
        <v/>
      </c>
      <c r="BJ135" s="43" t="n">
        <f aca="false">ROW()-ROW(Tasks[[#Headers],[ID]])</f>
        <v>130</v>
      </c>
      <c r="BK13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35" s="43" t="n">
        <f aca="false">IFERROR(N(INDEX(Tasks[_Level],Tasks[[#This Row],[_Row]]+1)),0)</f>
        <v>0</v>
      </c>
      <c r="BM135" s="86" t="b">
        <f aca="false">AND(Tasks[[#This Row],[Task Name]]&lt;&gt;"",Tasks[[#This Row],[_NextLevel]]&gt;Tasks[[#This Row],[_Level]])</f>
        <v>0</v>
      </c>
      <c r="BN135" s="43" t="n">
        <f aca="false">IF(Tasks[[#This Row],[_IsSummary]],COUNTIF(Tasks[WBS],Tasks[[#This Row],[WBS]]&amp;".*"),0)</f>
        <v>0</v>
      </c>
      <c r="BO135" s="43" t="n">
        <f aca="false">IF(AND(Tasks[[#This Row],[Task Name]]&lt;&gt;"",NOT(Tasks[[#This Row],[_IsSummary]])),1,0)</f>
        <v>0</v>
      </c>
      <c r="BP135" s="43" t="n">
        <f aca="false">IF(N(Tasks[[#This Row],[Pred1 UID]])=0,0,IFERROR(MATCH(Tasks[[#This Row],[Pred1 UID]],Tasks[UID],0),-1))</f>
        <v>0</v>
      </c>
      <c r="BQ135" s="43" t="n">
        <f aca="false">IF(N(Tasks[[#This Row],[Pred2 UID]])=0,0,IFERROR(MATCH(Tasks[[#This Row],[Pred2 UID]],Tasks[UID],0),-1))</f>
        <v>0</v>
      </c>
      <c r="BR13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3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3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3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35" s="43" t="n">
        <f aca="false">IF(NOT(Tasks[[#This Row],[_IsLeaf]]=1),0,IF(N(Tasks[[#This Row],[Actual Finish]])&gt;0,1,MIN(1,N(Tasks[[#This Row],[% Complete]]))))</f>
        <v>0</v>
      </c>
      <c r="BW13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35" s="43" t="n">
        <f aca="false">IF(Tasks[[#This Row],[_LeafWork]]=0,0,Tasks[[#This Row],[_LeafWork]]*IFERROR(INDEX(res_Rate,MATCH(Tasks[[#This Row],[Resource]],res_Name,0)),0))</f>
        <v>0</v>
      </c>
      <c r="BY13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3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3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3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35" s="43" t="n">
        <f aca="false">IF(NOT(Tasks[[#This Row],[_IsLeaf]]=1),0,MAX(_xlfn.MAXIFS(Tasks[_Row],Tasks[Pred1 UID],Tasks[[#This Row],[UID]]),_xlfn.MAXIFS(Tasks[_Row],Tasks[Pred2 UID],Tasks[[#This Row],[UID]])))</f>
        <v>0</v>
      </c>
      <c r="CD13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35" s="87" t="str">
        <f aca="false">IF(NOT(Tasks[[#This Row],[_IsLeaf]]=1),"",MIN(ProjectFinish,IF(N(Tasks[[#This Row],[Deadline]])&gt;0,Tasks[[#This Row],[Deadline]],2958465),Tasks[[#This Row],[_SuccessorFinishLimit]]))</f>
        <v/>
      </c>
      <c r="CF13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3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35" s="86" t="b">
        <f aca="false">AND(Tasks[[#This Row],[_IsLeaf]]=1,Tasks[[#This Row],[_LeafProgress]]&lt;1,N(Tasks[[#This Row],[_LeafTotalSlack]])&lt;=CriticalSlackDays)</f>
        <v>0</v>
      </c>
      <c r="CI13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3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3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3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3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3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3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3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35" s="43" t="n">
        <f aca="false">IF(AND(Tasks[[#This Row],[_IsLeaf]]=1,Tasks[[#This Row],[_LeafWork]]&gt;0),NETWORKDAYS.INTL(ProjectStart,Tasks[[#This Row],[_LeafFcstStart]],WorkWeek,Holidays),0)</f>
        <v>0</v>
      </c>
      <c r="CR13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35" s="43" t="n">
        <f aca="false">IF(AND(Tasks[[#This Row],[_IsLeaf]]=1,Tasks[[#This Row],[_LeafWork]]&gt;0),Tasks[[#This Row],[_LeafWork]]/(Tasks[[#This Row],[_FinishWorkday]]-Tasks[[#This Row],[_StartWorkday]]+1),0)</f>
        <v>0</v>
      </c>
      <c r="CT135" s="43" t="n">
        <f aca="false">Tasks[[#This Row],[_WorkPerWorkday]]*(Tasks[[#This Row],[_StartWorkday]]-1)</f>
        <v>-0</v>
      </c>
      <c r="CU135" s="43" t="n">
        <f aca="false">IF(Tasks[[#This Row],[_IsLeaf]]=1,MAX(N(Tasks[[#This Row],[Duration]]),0.1),0)</f>
        <v>0</v>
      </c>
      <c r="CV135" s="43" t="n">
        <f aca="false">Tasks[[#This Row],[_WeightDur]]*Tasks[[#This Row],[_LeafProgress]]</f>
        <v>0</v>
      </c>
      <c r="CW13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3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3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3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3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35" s="43" t="str">
        <f aca="false">IF(AND(Tasks[[#This Row],[_IsLeaf]]=1,N(Tasks[[#This Row],[Duration]])=0,Tasks[[#This Row],[_LeafProgress]]&lt;1),Tasks[[#This Row],[_LeafFcstFinish]]+Tasks[[#This Row],[_Row]]/100000,"")</f>
        <v/>
      </c>
      <c r="DC13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35" s="43" t="n">
        <f aca="false">IF(NOT(Tasks[[#This Row],[_IsLeaf]]=1),0,IF(Tasks[[#This Row],[Baseline Cost]]="",Tasks[[#This Row],[_LeafCost]],N(Tasks[[#This Row],[Baseline Cost]])))</f>
        <v>0</v>
      </c>
      <c r="DE135" s="43" t="n">
        <f aca="false">Tasks[[#This Row],[_LeafBudget]]*Tasks[[#This Row],[_PlannedPct]]</f>
        <v>0</v>
      </c>
      <c r="DF135" s="43" t="n">
        <f aca="false">Tasks[[#This Row],[_LeafBudget]]*Tasks[[#This Row],[_LeafProgress]]</f>
        <v>0</v>
      </c>
      <c r="DG135" s="43" t="n">
        <f aca="false">IF(NOT(Tasks[[#This Row],[_IsLeaf]]=1),0,IF(Tasks[[#This Row],[Actual Cost]]="",Tasks[[#This Row],[_LeafCost]]*Tasks[[#This Row],[_LeafProgress]],N(Tasks[[#This Row],[Actual Cost]])))</f>
        <v>0</v>
      </c>
      <c r="DH135" s="43" t="str">
        <f aca="false">IF(Tasks[[#This Row],[Task Name]]="","",LEFT(Tasks[[#This Row],[WBS]],FIND(".",Tasks[[#This Row],[WBS]]&amp;".")-1))</f>
        <v/>
      </c>
      <c r="DI135" s="43" t="str">
        <f aca="false">IF(AND(Tasks[[#This Row],[Task Name]]&lt;&gt;"",Tasks[[#This Row],[_Level]]=1),Tasks[[#This Row],[_Row]],"")</f>
        <v/>
      </c>
      <c r="DJ135" s="43" t="str">
        <f aca="false">IF(AND(Tasks[[#This Row],[_IsLeaf]]=1,N(Tasks[[#This Row],[Duration]])=0),Tasks[[#This Row],[Planned Finish]]+Tasks[[#This Row],[_Row]]/100000,"")</f>
        <v/>
      </c>
      <c r="DK13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3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3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35" s="43" t="str">
        <f aca="false">IF(Tasks[[#This Row],[_LeafCritical]],Tasks[[#This Row],[_LeafFcstStart]]+Tasks[[#This Row],[_Row]]/100000,"")</f>
        <v/>
      </c>
      <c r="DO135" s="43" t="n">
        <f aca="false">Tasks[[#This Row],[_LeafWork]]*Tasks[[#This Row],[_LeafProgress]]</f>
        <v>0</v>
      </c>
      <c r="DP13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35" s="43" t="n">
        <f aca="false">IF(Tasks[[#This Row],[_IsLeaf]]=1,N(Tasks[[#This Row],[Story Points]]),0)</f>
        <v>0</v>
      </c>
      <c r="DR135" s="43" t="str">
        <f aca="false">IF(AND(Tasks[[#This Row],[_IsLeaf]]=1,CurrentSprint&lt;&gt;"",Tasks[[#This Row],[Sprint]]=CurrentSprint),Tasks[[#This Row],[_Row]],"")</f>
        <v/>
      </c>
    </row>
    <row r="136" customFormat="false" ht="15" hidden="false" customHeight="false" outlineLevel="0" collapsed="false">
      <c r="A136" s="28" t="str">
        <f aca="false">IF(Tasks[[#This Row],[Task Name]]="","",COUNTA(Tasks[[#Headers],[Task Name]]:Tasks[[#This Row],[Task Name]])-1)</f>
        <v/>
      </c>
      <c r="B136" s="29" t="n">
        <v>131</v>
      </c>
      <c r="C13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36" s="29"/>
      <c r="E136" s="30"/>
      <c r="F136" s="29"/>
      <c r="G136" s="29"/>
      <c r="H136" s="29"/>
      <c r="I136" s="29"/>
      <c r="J136" s="29"/>
      <c r="K136" s="29"/>
      <c r="L136" s="29"/>
      <c r="M136" s="29"/>
      <c r="N136" s="72"/>
      <c r="O136" s="72"/>
      <c r="P136" s="25" t="str">
        <f aca="false">IF(Tasks[[#This Row],[Task Name]]="","",IF(N(Tasks[[#This Row],[Baseline Start]])&gt;0,Tasks[[#This Row],[Baseline Start]],Tasks[[#This Row],[_CalcStart]]))</f>
        <v/>
      </c>
      <c r="Q136" s="25" t="str">
        <f aca="false">IF(Tasks[[#This Row],[Task Name]]="","",IF(N(Tasks[[#This Row],[Baseline Finish]])&gt;0,Tasks[[#This Row],[Baseline Finish]],Tasks[[#This Row],[_CalcFinish]]))</f>
        <v/>
      </c>
      <c r="R136" s="72"/>
      <c r="S136" s="72"/>
      <c r="T13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3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3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3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3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3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3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3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3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3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3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36" s="74"/>
      <c r="AF13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3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36" s="30"/>
      <c r="AI136" s="74"/>
      <c r="AJ13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3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36" s="83"/>
      <c r="AM136" s="29"/>
      <c r="AN13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36" s="84"/>
      <c r="AP13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36" s="30"/>
      <c r="AR136" s="25" t="str">
        <f aca="false">IF(Tasks[[#This Row],[Task Name]]="","",Tasks[[#This Row],[Forecast Start]])</f>
        <v/>
      </c>
      <c r="AS136" s="25" t="str">
        <f aca="false">IF(Tasks[[#This Row],[Task Name]]="","",Tasks[[#This Row],[Forecast Finish]])</f>
        <v/>
      </c>
      <c r="AT13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36" s="81" t="str">
        <f aca="false">IF(Tasks[[#This Row],[Task Name]]="","",Tasks[[#This Row],[Work]])</f>
        <v/>
      </c>
      <c r="AV136" s="82" t="str">
        <f aca="false">IF(Tasks[[#This Row],[Task Name]]="","",Tasks[[#This Row],[Cost]])</f>
        <v/>
      </c>
      <c r="AW136" s="72"/>
      <c r="AX136" s="72"/>
      <c r="AY136" s="29"/>
      <c r="AZ136" s="85"/>
      <c r="BA136" s="83"/>
      <c r="BB136" s="28" t="str">
        <f aca="false">IF(OR(Tasks[[#This Row],[Task Name]]="",Tasks[[#This Row],[Baseline Duration]]=""),"",Tasks[[#This Row],[BL Source Duration]]-N(Tasks[[#This Row],[Baseline Duration]]))</f>
        <v/>
      </c>
      <c r="BC136" s="81" t="str">
        <f aca="false">IF(OR(Tasks[[#This Row],[Task Name]]="",Tasks[[#This Row],[Baseline Work]]=""),"",Tasks[[#This Row],[Work]]-N(Tasks[[#This Row],[Baseline Work]]))</f>
        <v/>
      </c>
      <c r="BD136" s="82" t="str">
        <f aca="false">IF(OR(Tasks[[#This Row],[Task Name]]="",Tasks[[#This Row],[Baseline Cost]]=""),"",Tasks[[#This Row],[Cost]]-N(Tasks[[#This Row],[Baseline Cost]]))</f>
        <v/>
      </c>
      <c r="BE13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3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3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3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36" s="43" t="str">
        <f aca="false">IF(Tasks[[#This Row],[Task Name]]="","",MAX(1,N(Tasks[[#This Row],[Level]])))</f>
        <v/>
      </c>
      <c r="BJ136" s="43" t="n">
        <f aca="false">ROW()-ROW(Tasks[[#Headers],[ID]])</f>
        <v>131</v>
      </c>
      <c r="BK13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36" s="43" t="n">
        <f aca="false">IFERROR(N(INDEX(Tasks[_Level],Tasks[[#This Row],[_Row]]+1)),0)</f>
        <v>0</v>
      </c>
      <c r="BM136" s="86" t="b">
        <f aca="false">AND(Tasks[[#This Row],[Task Name]]&lt;&gt;"",Tasks[[#This Row],[_NextLevel]]&gt;Tasks[[#This Row],[_Level]])</f>
        <v>0</v>
      </c>
      <c r="BN136" s="43" t="n">
        <f aca="false">IF(Tasks[[#This Row],[_IsSummary]],COUNTIF(Tasks[WBS],Tasks[[#This Row],[WBS]]&amp;".*"),0)</f>
        <v>0</v>
      </c>
      <c r="BO136" s="43" t="n">
        <f aca="false">IF(AND(Tasks[[#This Row],[Task Name]]&lt;&gt;"",NOT(Tasks[[#This Row],[_IsSummary]])),1,0)</f>
        <v>0</v>
      </c>
      <c r="BP136" s="43" t="n">
        <f aca="false">IF(N(Tasks[[#This Row],[Pred1 UID]])=0,0,IFERROR(MATCH(Tasks[[#This Row],[Pred1 UID]],Tasks[UID],0),-1))</f>
        <v>0</v>
      </c>
      <c r="BQ136" s="43" t="n">
        <f aca="false">IF(N(Tasks[[#This Row],[Pred2 UID]])=0,0,IFERROR(MATCH(Tasks[[#This Row],[Pred2 UID]],Tasks[UID],0),-1))</f>
        <v>0</v>
      </c>
      <c r="BR13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3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3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3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36" s="43" t="n">
        <f aca="false">IF(NOT(Tasks[[#This Row],[_IsLeaf]]=1),0,IF(N(Tasks[[#This Row],[Actual Finish]])&gt;0,1,MIN(1,N(Tasks[[#This Row],[% Complete]]))))</f>
        <v>0</v>
      </c>
      <c r="BW13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36" s="43" t="n">
        <f aca="false">IF(Tasks[[#This Row],[_LeafWork]]=0,0,Tasks[[#This Row],[_LeafWork]]*IFERROR(INDEX(res_Rate,MATCH(Tasks[[#This Row],[Resource]],res_Name,0)),0))</f>
        <v>0</v>
      </c>
      <c r="BY13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3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3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3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36" s="43" t="n">
        <f aca="false">IF(NOT(Tasks[[#This Row],[_IsLeaf]]=1),0,MAX(_xlfn.MAXIFS(Tasks[_Row],Tasks[Pred1 UID],Tasks[[#This Row],[UID]]),_xlfn.MAXIFS(Tasks[_Row],Tasks[Pred2 UID],Tasks[[#This Row],[UID]])))</f>
        <v>0</v>
      </c>
      <c r="CD13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36" s="87" t="str">
        <f aca="false">IF(NOT(Tasks[[#This Row],[_IsLeaf]]=1),"",MIN(ProjectFinish,IF(N(Tasks[[#This Row],[Deadline]])&gt;0,Tasks[[#This Row],[Deadline]],2958465),Tasks[[#This Row],[_SuccessorFinishLimit]]))</f>
        <v/>
      </c>
      <c r="CF13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3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36" s="86" t="b">
        <f aca="false">AND(Tasks[[#This Row],[_IsLeaf]]=1,Tasks[[#This Row],[_LeafProgress]]&lt;1,N(Tasks[[#This Row],[_LeafTotalSlack]])&lt;=CriticalSlackDays)</f>
        <v>0</v>
      </c>
      <c r="CI13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3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3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3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3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3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3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3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36" s="43" t="n">
        <f aca="false">IF(AND(Tasks[[#This Row],[_IsLeaf]]=1,Tasks[[#This Row],[_LeafWork]]&gt;0),NETWORKDAYS.INTL(ProjectStart,Tasks[[#This Row],[_LeafFcstStart]],WorkWeek,Holidays),0)</f>
        <v>0</v>
      </c>
      <c r="CR13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36" s="43" t="n">
        <f aca="false">IF(AND(Tasks[[#This Row],[_IsLeaf]]=1,Tasks[[#This Row],[_LeafWork]]&gt;0),Tasks[[#This Row],[_LeafWork]]/(Tasks[[#This Row],[_FinishWorkday]]-Tasks[[#This Row],[_StartWorkday]]+1),0)</f>
        <v>0</v>
      </c>
      <c r="CT136" s="43" t="n">
        <f aca="false">Tasks[[#This Row],[_WorkPerWorkday]]*(Tasks[[#This Row],[_StartWorkday]]-1)</f>
        <v>-0</v>
      </c>
      <c r="CU136" s="43" t="n">
        <f aca="false">IF(Tasks[[#This Row],[_IsLeaf]]=1,MAX(N(Tasks[[#This Row],[Duration]]),0.1),0)</f>
        <v>0</v>
      </c>
      <c r="CV136" s="43" t="n">
        <f aca="false">Tasks[[#This Row],[_WeightDur]]*Tasks[[#This Row],[_LeafProgress]]</f>
        <v>0</v>
      </c>
      <c r="CW13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3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3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3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3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36" s="43" t="str">
        <f aca="false">IF(AND(Tasks[[#This Row],[_IsLeaf]]=1,N(Tasks[[#This Row],[Duration]])=0,Tasks[[#This Row],[_LeafProgress]]&lt;1),Tasks[[#This Row],[_LeafFcstFinish]]+Tasks[[#This Row],[_Row]]/100000,"")</f>
        <v/>
      </c>
      <c r="DC13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36" s="43" t="n">
        <f aca="false">IF(NOT(Tasks[[#This Row],[_IsLeaf]]=1),0,IF(Tasks[[#This Row],[Baseline Cost]]="",Tasks[[#This Row],[_LeafCost]],N(Tasks[[#This Row],[Baseline Cost]])))</f>
        <v>0</v>
      </c>
      <c r="DE136" s="43" t="n">
        <f aca="false">Tasks[[#This Row],[_LeafBudget]]*Tasks[[#This Row],[_PlannedPct]]</f>
        <v>0</v>
      </c>
      <c r="DF136" s="43" t="n">
        <f aca="false">Tasks[[#This Row],[_LeafBudget]]*Tasks[[#This Row],[_LeafProgress]]</f>
        <v>0</v>
      </c>
      <c r="DG136" s="43" t="n">
        <f aca="false">IF(NOT(Tasks[[#This Row],[_IsLeaf]]=1),0,IF(Tasks[[#This Row],[Actual Cost]]="",Tasks[[#This Row],[_LeafCost]]*Tasks[[#This Row],[_LeafProgress]],N(Tasks[[#This Row],[Actual Cost]])))</f>
        <v>0</v>
      </c>
      <c r="DH136" s="43" t="str">
        <f aca="false">IF(Tasks[[#This Row],[Task Name]]="","",LEFT(Tasks[[#This Row],[WBS]],FIND(".",Tasks[[#This Row],[WBS]]&amp;".")-1))</f>
        <v/>
      </c>
      <c r="DI136" s="43" t="str">
        <f aca="false">IF(AND(Tasks[[#This Row],[Task Name]]&lt;&gt;"",Tasks[[#This Row],[_Level]]=1),Tasks[[#This Row],[_Row]],"")</f>
        <v/>
      </c>
      <c r="DJ136" s="43" t="str">
        <f aca="false">IF(AND(Tasks[[#This Row],[_IsLeaf]]=1,N(Tasks[[#This Row],[Duration]])=0),Tasks[[#This Row],[Planned Finish]]+Tasks[[#This Row],[_Row]]/100000,"")</f>
        <v/>
      </c>
      <c r="DK13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3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3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36" s="43" t="str">
        <f aca="false">IF(Tasks[[#This Row],[_LeafCritical]],Tasks[[#This Row],[_LeafFcstStart]]+Tasks[[#This Row],[_Row]]/100000,"")</f>
        <v/>
      </c>
      <c r="DO136" s="43" t="n">
        <f aca="false">Tasks[[#This Row],[_LeafWork]]*Tasks[[#This Row],[_LeafProgress]]</f>
        <v>0</v>
      </c>
      <c r="DP13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36" s="43" t="n">
        <f aca="false">IF(Tasks[[#This Row],[_IsLeaf]]=1,N(Tasks[[#This Row],[Story Points]]),0)</f>
        <v>0</v>
      </c>
      <c r="DR136" s="43" t="str">
        <f aca="false">IF(AND(Tasks[[#This Row],[_IsLeaf]]=1,CurrentSprint&lt;&gt;"",Tasks[[#This Row],[Sprint]]=CurrentSprint),Tasks[[#This Row],[_Row]],"")</f>
        <v/>
      </c>
    </row>
    <row r="137" customFormat="false" ht="15" hidden="false" customHeight="false" outlineLevel="0" collapsed="false">
      <c r="A137" s="28" t="str">
        <f aca="false">IF(Tasks[[#This Row],[Task Name]]="","",COUNTA(Tasks[[#Headers],[Task Name]]:Tasks[[#This Row],[Task Name]])-1)</f>
        <v/>
      </c>
      <c r="B137" s="29" t="n">
        <v>132</v>
      </c>
      <c r="C13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37" s="29"/>
      <c r="E137" s="30"/>
      <c r="F137" s="29"/>
      <c r="G137" s="29"/>
      <c r="H137" s="29"/>
      <c r="I137" s="29"/>
      <c r="J137" s="29"/>
      <c r="K137" s="29"/>
      <c r="L137" s="29"/>
      <c r="M137" s="29"/>
      <c r="N137" s="72"/>
      <c r="O137" s="72"/>
      <c r="P137" s="25" t="str">
        <f aca="false">IF(Tasks[[#This Row],[Task Name]]="","",IF(N(Tasks[[#This Row],[Baseline Start]])&gt;0,Tasks[[#This Row],[Baseline Start]],Tasks[[#This Row],[_CalcStart]]))</f>
        <v/>
      </c>
      <c r="Q137" s="25" t="str">
        <f aca="false">IF(Tasks[[#This Row],[Task Name]]="","",IF(N(Tasks[[#This Row],[Baseline Finish]])&gt;0,Tasks[[#This Row],[Baseline Finish]],Tasks[[#This Row],[_CalcFinish]]))</f>
        <v/>
      </c>
      <c r="R137" s="72"/>
      <c r="S137" s="72"/>
      <c r="T13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3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3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3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3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3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3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3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3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3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3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37" s="74"/>
      <c r="AF13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3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37" s="30"/>
      <c r="AI137" s="74"/>
      <c r="AJ13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3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37" s="83"/>
      <c r="AM137" s="29"/>
      <c r="AN13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37" s="84"/>
      <c r="AP13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37" s="30"/>
      <c r="AR137" s="25" t="str">
        <f aca="false">IF(Tasks[[#This Row],[Task Name]]="","",Tasks[[#This Row],[Forecast Start]])</f>
        <v/>
      </c>
      <c r="AS137" s="25" t="str">
        <f aca="false">IF(Tasks[[#This Row],[Task Name]]="","",Tasks[[#This Row],[Forecast Finish]])</f>
        <v/>
      </c>
      <c r="AT13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37" s="81" t="str">
        <f aca="false">IF(Tasks[[#This Row],[Task Name]]="","",Tasks[[#This Row],[Work]])</f>
        <v/>
      </c>
      <c r="AV137" s="82" t="str">
        <f aca="false">IF(Tasks[[#This Row],[Task Name]]="","",Tasks[[#This Row],[Cost]])</f>
        <v/>
      </c>
      <c r="AW137" s="72"/>
      <c r="AX137" s="72"/>
      <c r="AY137" s="29"/>
      <c r="AZ137" s="85"/>
      <c r="BA137" s="83"/>
      <c r="BB137" s="28" t="str">
        <f aca="false">IF(OR(Tasks[[#This Row],[Task Name]]="",Tasks[[#This Row],[Baseline Duration]]=""),"",Tasks[[#This Row],[BL Source Duration]]-N(Tasks[[#This Row],[Baseline Duration]]))</f>
        <v/>
      </c>
      <c r="BC137" s="81" t="str">
        <f aca="false">IF(OR(Tasks[[#This Row],[Task Name]]="",Tasks[[#This Row],[Baseline Work]]=""),"",Tasks[[#This Row],[Work]]-N(Tasks[[#This Row],[Baseline Work]]))</f>
        <v/>
      </c>
      <c r="BD137" s="82" t="str">
        <f aca="false">IF(OR(Tasks[[#This Row],[Task Name]]="",Tasks[[#This Row],[Baseline Cost]]=""),"",Tasks[[#This Row],[Cost]]-N(Tasks[[#This Row],[Baseline Cost]]))</f>
        <v/>
      </c>
      <c r="BE13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3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3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3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37" s="43" t="str">
        <f aca="false">IF(Tasks[[#This Row],[Task Name]]="","",MAX(1,N(Tasks[[#This Row],[Level]])))</f>
        <v/>
      </c>
      <c r="BJ137" s="43" t="n">
        <f aca="false">ROW()-ROW(Tasks[[#Headers],[ID]])</f>
        <v>132</v>
      </c>
      <c r="BK13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37" s="43" t="n">
        <f aca="false">IFERROR(N(INDEX(Tasks[_Level],Tasks[[#This Row],[_Row]]+1)),0)</f>
        <v>0</v>
      </c>
      <c r="BM137" s="86" t="b">
        <f aca="false">AND(Tasks[[#This Row],[Task Name]]&lt;&gt;"",Tasks[[#This Row],[_NextLevel]]&gt;Tasks[[#This Row],[_Level]])</f>
        <v>0</v>
      </c>
      <c r="BN137" s="43" t="n">
        <f aca="false">IF(Tasks[[#This Row],[_IsSummary]],COUNTIF(Tasks[WBS],Tasks[[#This Row],[WBS]]&amp;".*"),0)</f>
        <v>0</v>
      </c>
      <c r="BO137" s="43" t="n">
        <f aca="false">IF(AND(Tasks[[#This Row],[Task Name]]&lt;&gt;"",NOT(Tasks[[#This Row],[_IsSummary]])),1,0)</f>
        <v>0</v>
      </c>
      <c r="BP137" s="43" t="n">
        <f aca="false">IF(N(Tasks[[#This Row],[Pred1 UID]])=0,0,IFERROR(MATCH(Tasks[[#This Row],[Pred1 UID]],Tasks[UID],0),-1))</f>
        <v>0</v>
      </c>
      <c r="BQ137" s="43" t="n">
        <f aca="false">IF(N(Tasks[[#This Row],[Pred2 UID]])=0,0,IFERROR(MATCH(Tasks[[#This Row],[Pred2 UID]],Tasks[UID],0),-1))</f>
        <v>0</v>
      </c>
      <c r="BR13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3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3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3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37" s="43" t="n">
        <f aca="false">IF(NOT(Tasks[[#This Row],[_IsLeaf]]=1),0,IF(N(Tasks[[#This Row],[Actual Finish]])&gt;0,1,MIN(1,N(Tasks[[#This Row],[% Complete]]))))</f>
        <v>0</v>
      </c>
      <c r="BW13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37" s="43" t="n">
        <f aca="false">IF(Tasks[[#This Row],[_LeafWork]]=0,0,Tasks[[#This Row],[_LeafWork]]*IFERROR(INDEX(res_Rate,MATCH(Tasks[[#This Row],[Resource]],res_Name,0)),0))</f>
        <v>0</v>
      </c>
      <c r="BY13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3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3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3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37" s="43" t="n">
        <f aca="false">IF(NOT(Tasks[[#This Row],[_IsLeaf]]=1),0,MAX(_xlfn.MAXIFS(Tasks[_Row],Tasks[Pred1 UID],Tasks[[#This Row],[UID]]),_xlfn.MAXIFS(Tasks[_Row],Tasks[Pred2 UID],Tasks[[#This Row],[UID]])))</f>
        <v>0</v>
      </c>
      <c r="CD13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37" s="87" t="str">
        <f aca="false">IF(NOT(Tasks[[#This Row],[_IsLeaf]]=1),"",MIN(ProjectFinish,IF(N(Tasks[[#This Row],[Deadline]])&gt;0,Tasks[[#This Row],[Deadline]],2958465),Tasks[[#This Row],[_SuccessorFinishLimit]]))</f>
        <v/>
      </c>
      <c r="CF13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3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37" s="86" t="b">
        <f aca="false">AND(Tasks[[#This Row],[_IsLeaf]]=1,Tasks[[#This Row],[_LeafProgress]]&lt;1,N(Tasks[[#This Row],[_LeafTotalSlack]])&lt;=CriticalSlackDays)</f>
        <v>0</v>
      </c>
      <c r="CI13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3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3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3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3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3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3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3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37" s="43" t="n">
        <f aca="false">IF(AND(Tasks[[#This Row],[_IsLeaf]]=1,Tasks[[#This Row],[_LeafWork]]&gt;0),NETWORKDAYS.INTL(ProjectStart,Tasks[[#This Row],[_LeafFcstStart]],WorkWeek,Holidays),0)</f>
        <v>0</v>
      </c>
      <c r="CR13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37" s="43" t="n">
        <f aca="false">IF(AND(Tasks[[#This Row],[_IsLeaf]]=1,Tasks[[#This Row],[_LeafWork]]&gt;0),Tasks[[#This Row],[_LeafWork]]/(Tasks[[#This Row],[_FinishWorkday]]-Tasks[[#This Row],[_StartWorkday]]+1),0)</f>
        <v>0</v>
      </c>
      <c r="CT137" s="43" t="n">
        <f aca="false">Tasks[[#This Row],[_WorkPerWorkday]]*(Tasks[[#This Row],[_StartWorkday]]-1)</f>
        <v>-0</v>
      </c>
      <c r="CU137" s="43" t="n">
        <f aca="false">IF(Tasks[[#This Row],[_IsLeaf]]=1,MAX(N(Tasks[[#This Row],[Duration]]),0.1),0)</f>
        <v>0</v>
      </c>
      <c r="CV137" s="43" t="n">
        <f aca="false">Tasks[[#This Row],[_WeightDur]]*Tasks[[#This Row],[_LeafProgress]]</f>
        <v>0</v>
      </c>
      <c r="CW13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3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3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3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3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37" s="43" t="str">
        <f aca="false">IF(AND(Tasks[[#This Row],[_IsLeaf]]=1,N(Tasks[[#This Row],[Duration]])=0,Tasks[[#This Row],[_LeafProgress]]&lt;1),Tasks[[#This Row],[_LeafFcstFinish]]+Tasks[[#This Row],[_Row]]/100000,"")</f>
        <v/>
      </c>
      <c r="DC13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37" s="43" t="n">
        <f aca="false">IF(NOT(Tasks[[#This Row],[_IsLeaf]]=1),0,IF(Tasks[[#This Row],[Baseline Cost]]="",Tasks[[#This Row],[_LeafCost]],N(Tasks[[#This Row],[Baseline Cost]])))</f>
        <v>0</v>
      </c>
      <c r="DE137" s="43" t="n">
        <f aca="false">Tasks[[#This Row],[_LeafBudget]]*Tasks[[#This Row],[_PlannedPct]]</f>
        <v>0</v>
      </c>
      <c r="DF137" s="43" t="n">
        <f aca="false">Tasks[[#This Row],[_LeafBudget]]*Tasks[[#This Row],[_LeafProgress]]</f>
        <v>0</v>
      </c>
      <c r="DG137" s="43" t="n">
        <f aca="false">IF(NOT(Tasks[[#This Row],[_IsLeaf]]=1),0,IF(Tasks[[#This Row],[Actual Cost]]="",Tasks[[#This Row],[_LeafCost]]*Tasks[[#This Row],[_LeafProgress]],N(Tasks[[#This Row],[Actual Cost]])))</f>
        <v>0</v>
      </c>
      <c r="DH137" s="43" t="str">
        <f aca="false">IF(Tasks[[#This Row],[Task Name]]="","",LEFT(Tasks[[#This Row],[WBS]],FIND(".",Tasks[[#This Row],[WBS]]&amp;".")-1))</f>
        <v/>
      </c>
      <c r="DI137" s="43" t="str">
        <f aca="false">IF(AND(Tasks[[#This Row],[Task Name]]&lt;&gt;"",Tasks[[#This Row],[_Level]]=1),Tasks[[#This Row],[_Row]],"")</f>
        <v/>
      </c>
      <c r="DJ137" s="43" t="str">
        <f aca="false">IF(AND(Tasks[[#This Row],[_IsLeaf]]=1,N(Tasks[[#This Row],[Duration]])=0),Tasks[[#This Row],[Planned Finish]]+Tasks[[#This Row],[_Row]]/100000,"")</f>
        <v/>
      </c>
      <c r="DK13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3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3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37" s="43" t="str">
        <f aca="false">IF(Tasks[[#This Row],[_LeafCritical]],Tasks[[#This Row],[_LeafFcstStart]]+Tasks[[#This Row],[_Row]]/100000,"")</f>
        <v/>
      </c>
      <c r="DO137" s="43" t="n">
        <f aca="false">Tasks[[#This Row],[_LeafWork]]*Tasks[[#This Row],[_LeafProgress]]</f>
        <v>0</v>
      </c>
      <c r="DP13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37" s="43" t="n">
        <f aca="false">IF(Tasks[[#This Row],[_IsLeaf]]=1,N(Tasks[[#This Row],[Story Points]]),0)</f>
        <v>0</v>
      </c>
      <c r="DR137" s="43" t="str">
        <f aca="false">IF(AND(Tasks[[#This Row],[_IsLeaf]]=1,CurrentSprint&lt;&gt;"",Tasks[[#This Row],[Sprint]]=CurrentSprint),Tasks[[#This Row],[_Row]],"")</f>
        <v/>
      </c>
    </row>
    <row r="138" customFormat="false" ht="15" hidden="false" customHeight="false" outlineLevel="0" collapsed="false">
      <c r="A138" s="28" t="str">
        <f aca="false">IF(Tasks[[#This Row],[Task Name]]="","",COUNTA(Tasks[[#Headers],[Task Name]]:Tasks[[#This Row],[Task Name]])-1)</f>
        <v/>
      </c>
      <c r="B138" s="29" t="n">
        <v>133</v>
      </c>
      <c r="C13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38" s="29"/>
      <c r="E138" s="30"/>
      <c r="F138" s="29"/>
      <c r="G138" s="29"/>
      <c r="H138" s="29"/>
      <c r="I138" s="29"/>
      <c r="J138" s="29"/>
      <c r="K138" s="29"/>
      <c r="L138" s="29"/>
      <c r="M138" s="29"/>
      <c r="N138" s="72"/>
      <c r="O138" s="72"/>
      <c r="P138" s="25" t="str">
        <f aca="false">IF(Tasks[[#This Row],[Task Name]]="","",IF(N(Tasks[[#This Row],[Baseline Start]])&gt;0,Tasks[[#This Row],[Baseline Start]],Tasks[[#This Row],[_CalcStart]]))</f>
        <v/>
      </c>
      <c r="Q138" s="25" t="str">
        <f aca="false">IF(Tasks[[#This Row],[Task Name]]="","",IF(N(Tasks[[#This Row],[Baseline Finish]])&gt;0,Tasks[[#This Row],[Baseline Finish]],Tasks[[#This Row],[_CalcFinish]]))</f>
        <v/>
      </c>
      <c r="R138" s="72"/>
      <c r="S138" s="72"/>
      <c r="T13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3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3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3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3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3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3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3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3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3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3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38" s="74"/>
      <c r="AF13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3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38" s="30"/>
      <c r="AI138" s="74"/>
      <c r="AJ13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3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38" s="83"/>
      <c r="AM138" s="29"/>
      <c r="AN13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38" s="84"/>
      <c r="AP13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38" s="30"/>
      <c r="AR138" s="25" t="str">
        <f aca="false">IF(Tasks[[#This Row],[Task Name]]="","",Tasks[[#This Row],[Forecast Start]])</f>
        <v/>
      </c>
      <c r="AS138" s="25" t="str">
        <f aca="false">IF(Tasks[[#This Row],[Task Name]]="","",Tasks[[#This Row],[Forecast Finish]])</f>
        <v/>
      </c>
      <c r="AT13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38" s="81" t="str">
        <f aca="false">IF(Tasks[[#This Row],[Task Name]]="","",Tasks[[#This Row],[Work]])</f>
        <v/>
      </c>
      <c r="AV138" s="82" t="str">
        <f aca="false">IF(Tasks[[#This Row],[Task Name]]="","",Tasks[[#This Row],[Cost]])</f>
        <v/>
      </c>
      <c r="AW138" s="72"/>
      <c r="AX138" s="72"/>
      <c r="AY138" s="29"/>
      <c r="AZ138" s="85"/>
      <c r="BA138" s="83"/>
      <c r="BB138" s="28" t="str">
        <f aca="false">IF(OR(Tasks[[#This Row],[Task Name]]="",Tasks[[#This Row],[Baseline Duration]]=""),"",Tasks[[#This Row],[BL Source Duration]]-N(Tasks[[#This Row],[Baseline Duration]]))</f>
        <v/>
      </c>
      <c r="BC138" s="81" t="str">
        <f aca="false">IF(OR(Tasks[[#This Row],[Task Name]]="",Tasks[[#This Row],[Baseline Work]]=""),"",Tasks[[#This Row],[Work]]-N(Tasks[[#This Row],[Baseline Work]]))</f>
        <v/>
      </c>
      <c r="BD138" s="82" t="str">
        <f aca="false">IF(OR(Tasks[[#This Row],[Task Name]]="",Tasks[[#This Row],[Baseline Cost]]=""),"",Tasks[[#This Row],[Cost]]-N(Tasks[[#This Row],[Baseline Cost]]))</f>
        <v/>
      </c>
      <c r="BE13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3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3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3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38" s="43" t="str">
        <f aca="false">IF(Tasks[[#This Row],[Task Name]]="","",MAX(1,N(Tasks[[#This Row],[Level]])))</f>
        <v/>
      </c>
      <c r="BJ138" s="43" t="n">
        <f aca="false">ROW()-ROW(Tasks[[#Headers],[ID]])</f>
        <v>133</v>
      </c>
      <c r="BK13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38" s="43" t="n">
        <f aca="false">IFERROR(N(INDEX(Tasks[_Level],Tasks[[#This Row],[_Row]]+1)),0)</f>
        <v>0</v>
      </c>
      <c r="BM138" s="86" t="b">
        <f aca="false">AND(Tasks[[#This Row],[Task Name]]&lt;&gt;"",Tasks[[#This Row],[_NextLevel]]&gt;Tasks[[#This Row],[_Level]])</f>
        <v>0</v>
      </c>
      <c r="BN138" s="43" t="n">
        <f aca="false">IF(Tasks[[#This Row],[_IsSummary]],COUNTIF(Tasks[WBS],Tasks[[#This Row],[WBS]]&amp;".*"),0)</f>
        <v>0</v>
      </c>
      <c r="BO138" s="43" t="n">
        <f aca="false">IF(AND(Tasks[[#This Row],[Task Name]]&lt;&gt;"",NOT(Tasks[[#This Row],[_IsSummary]])),1,0)</f>
        <v>0</v>
      </c>
      <c r="BP138" s="43" t="n">
        <f aca="false">IF(N(Tasks[[#This Row],[Pred1 UID]])=0,0,IFERROR(MATCH(Tasks[[#This Row],[Pred1 UID]],Tasks[UID],0),-1))</f>
        <v>0</v>
      </c>
      <c r="BQ138" s="43" t="n">
        <f aca="false">IF(N(Tasks[[#This Row],[Pred2 UID]])=0,0,IFERROR(MATCH(Tasks[[#This Row],[Pred2 UID]],Tasks[UID],0),-1))</f>
        <v>0</v>
      </c>
      <c r="BR13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3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3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3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38" s="43" t="n">
        <f aca="false">IF(NOT(Tasks[[#This Row],[_IsLeaf]]=1),0,IF(N(Tasks[[#This Row],[Actual Finish]])&gt;0,1,MIN(1,N(Tasks[[#This Row],[% Complete]]))))</f>
        <v>0</v>
      </c>
      <c r="BW13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38" s="43" t="n">
        <f aca="false">IF(Tasks[[#This Row],[_LeafWork]]=0,0,Tasks[[#This Row],[_LeafWork]]*IFERROR(INDEX(res_Rate,MATCH(Tasks[[#This Row],[Resource]],res_Name,0)),0))</f>
        <v>0</v>
      </c>
      <c r="BY13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3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3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3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38" s="43" t="n">
        <f aca="false">IF(NOT(Tasks[[#This Row],[_IsLeaf]]=1),0,MAX(_xlfn.MAXIFS(Tasks[_Row],Tasks[Pred1 UID],Tasks[[#This Row],[UID]]),_xlfn.MAXIFS(Tasks[_Row],Tasks[Pred2 UID],Tasks[[#This Row],[UID]])))</f>
        <v>0</v>
      </c>
      <c r="CD13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38" s="87" t="str">
        <f aca="false">IF(NOT(Tasks[[#This Row],[_IsLeaf]]=1),"",MIN(ProjectFinish,IF(N(Tasks[[#This Row],[Deadline]])&gt;0,Tasks[[#This Row],[Deadline]],2958465),Tasks[[#This Row],[_SuccessorFinishLimit]]))</f>
        <v/>
      </c>
      <c r="CF13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3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38" s="86" t="b">
        <f aca="false">AND(Tasks[[#This Row],[_IsLeaf]]=1,Tasks[[#This Row],[_LeafProgress]]&lt;1,N(Tasks[[#This Row],[_LeafTotalSlack]])&lt;=CriticalSlackDays)</f>
        <v>0</v>
      </c>
      <c r="CI13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3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3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3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3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3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3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3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38" s="43" t="n">
        <f aca="false">IF(AND(Tasks[[#This Row],[_IsLeaf]]=1,Tasks[[#This Row],[_LeafWork]]&gt;0),NETWORKDAYS.INTL(ProjectStart,Tasks[[#This Row],[_LeafFcstStart]],WorkWeek,Holidays),0)</f>
        <v>0</v>
      </c>
      <c r="CR13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38" s="43" t="n">
        <f aca="false">IF(AND(Tasks[[#This Row],[_IsLeaf]]=1,Tasks[[#This Row],[_LeafWork]]&gt;0),Tasks[[#This Row],[_LeafWork]]/(Tasks[[#This Row],[_FinishWorkday]]-Tasks[[#This Row],[_StartWorkday]]+1),0)</f>
        <v>0</v>
      </c>
      <c r="CT138" s="43" t="n">
        <f aca="false">Tasks[[#This Row],[_WorkPerWorkday]]*(Tasks[[#This Row],[_StartWorkday]]-1)</f>
        <v>-0</v>
      </c>
      <c r="CU138" s="43" t="n">
        <f aca="false">IF(Tasks[[#This Row],[_IsLeaf]]=1,MAX(N(Tasks[[#This Row],[Duration]]),0.1),0)</f>
        <v>0</v>
      </c>
      <c r="CV138" s="43" t="n">
        <f aca="false">Tasks[[#This Row],[_WeightDur]]*Tasks[[#This Row],[_LeafProgress]]</f>
        <v>0</v>
      </c>
      <c r="CW13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3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3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3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3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38" s="43" t="str">
        <f aca="false">IF(AND(Tasks[[#This Row],[_IsLeaf]]=1,N(Tasks[[#This Row],[Duration]])=0,Tasks[[#This Row],[_LeafProgress]]&lt;1),Tasks[[#This Row],[_LeafFcstFinish]]+Tasks[[#This Row],[_Row]]/100000,"")</f>
        <v/>
      </c>
      <c r="DC13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38" s="43" t="n">
        <f aca="false">IF(NOT(Tasks[[#This Row],[_IsLeaf]]=1),0,IF(Tasks[[#This Row],[Baseline Cost]]="",Tasks[[#This Row],[_LeafCost]],N(Tasks[[#This Row],[Baseline Cost]])))</f>
        <v>0</v>
      </c>
      <c r="DE138" s="43" t="n">
        <f aca="false">Tasks[[#This Row],[_LeafBudget]]*Tasks[[#This Row],[_PlannedPct]]</f>
        <v>0</v>
      </c>
      <c r="DF138" s="43" t="n">
        <f aca="false">Tasks[[#This Row],[_LeafBudget]]*Tasks[[#This Row],[_LeafProgress]]</f>
        <v>0</v>
      </c>
      <c r="DG138" s="43" t="n">
        <f aca="false">IF(NOT(Tasks[[#This Row],[_IsLeaf]]=1),0,IF(Tasks[[#This Row],[Actual Cost]]="",Tasks[[#This Row],[_LeafCost]]*Tasks[[#This Row],[_LeafProgress]],N(Tasks[[#This Row],[Actual Cost]])))</f>
        <v>0</v>
      </c>
      <c r="DH138" s="43" t="str">
        <f aca="false">IF(Tasks[[#This Row],[Task Name]]="","",LEFT(Tasks[[#This Row],[WBS]],FIND(".",Tasks[[#This Row],[WBS]]&amp;".")-1))</f>
        <v/>
      </c>
      <c r="DI138" s="43" t="str">
        <f aca="false">IF(AND(Tasks[[#This Row],[Task Name]]&lt;&gt;"",Tasks[[#This Row],[_Level]]=1),Tasks[[#This Row],[_Row]],"")</f>
        <v/>
      </c>
      <c r="DJ138" s="43" t="str">
        <f aca="false">IF(AND(Tasks[[#This Row],[_IsLeaf]]=1,N(Tasks[[#This Row],[Duration]])=0),Tasks[[#This Row],[Planned Finish]]+Tasks[[#This Row],[_Row]]/100000,"")</f>
        <v/>
      </c>
      <c r="DK13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3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3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38" s="43" t="str">
        <f aca="false">IF(Tasks[[#This Row],[_LeafCritical]],Tasks[[#This Row],[_LeafFcstStart]]+Tasks[[#This Row],[_Row]]/100000,"")</f>
        <v/>
      </c>
      <c r="DO138" s="43" t="n">
        <f aca="false">Tasks[[#This Row],[_LeafWork]]*Tasks[[#This Row],[_LeafProgress]]</f>
        <v>0</v>
      </c>
      <c r="DP13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38" s="43" t="n">
        <f aca="false">IF(Tasks[[#This Row],[_IsLeaf]]=1,N(Tasks[[#This Row],[Story Points]]),0)</f>
        <v>0</v>
      </c>
      <c r="DR138" s="43" t="str">
        <f aca="false">IF(AND(Tasks[[#This Row],[_IsLeaf]]=1,CurrentSprint&lt;&gt;"",Tasks[[#This Row],[Sprint]]=CurrentSprint),Tasks[[#This Row],[_Row]],"")</f>
        <v/>
      </c>
    </row>
    <row r="139" customFormat="false" ht="15" hidden="false" customHeight="false" outlineLevel="0" collapsed="false">
      <c r="A139" s="28" t="str">
        <f aca="false">IF(Tasks[[#This Row],[Task Name]]="","",COUNTA(Tasks[[#Headers],[Task Name]]:Tasks[[#This Row],[Task Name]])-1)</f>
        <v/>
      </c>
      <c r="B139" s="29" t="n">
        <v>134</v>
      </c>
      <c r="C13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39" s="29"/>
      <c r="E139" s="30"/>
      <c r="F139" s="29"/>
      <c r="G139" s="29"/>
      <c r="H139" s="29"/>
      <c r="I139" s="29"/>
      <c r="J139" s="29"/>
      <c r="K139" s="29"/>
      <c r="L139" s="29"/>
      <c r="M139" s="29"/>
      <c r="N139" s="72"/>
      <c r="O139" s="72"/>
      <c r="P139" s="25" t="str">
        <f aca="false">IF(Tasks[[#This Row],[Task Name]]="","",IF(N(Tasks[[#This Row],[Baseline Start]])&gt;0,Tasks[[#This Row],[Baseline Start]],Tasks[[#This Row],[_CalcStart]]))</f>
        <v/>
      </c>
      <c r="Q139" s="25" t="str">
        <f aca="false">IF(Tasks[[#This Row],[Task Name]]="","",IF(N(Tasks[[#This Row],[Baseline Finish]])&gt;0,Tasks[[#This Row],[Baseline Finish]],Tasks[[#This Row],[_CalcFinish]]))</f>
        <v/>
      </c>
      <c r="R139" s="72"/>
      <c r="S139" s="72"/>
      <c r="T13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3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3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3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3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3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3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3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3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3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3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39" s="74"/>
      <c r="AF13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3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39" s="30"/>
      <c r="AI139" s="74"/>
      <c r="AJ13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3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39" s="83"/>
      <c r="AM139" s="29"/>
      <c r="AN13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39" s="84"/>
      <c r="AP13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39" s="30"/>
      <c r="AR139" s="25" t="str">
        <f aca="false">IF(Tasks[[#This Row],[Task Name]]="","",Tasks[[#This Row],[Forecast Start]])</f>
        <v/>
      </c>
      <c r="AS139" s="25" t="str">
        <f aca="false">IF(Tasks[[#This Row],[Task Name]]="","",Tasks[[#This Row],[Forecast Finish]])</f>
        <v/>
      </c>
      <c r="AT13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39" s="81" t="str">
        <f aca="false">IF(Tasks[[#This Row],[Task Name]]="","",Tasks[[#This Row],[Work]])</f>
        <v/>
      </c>
      <c r="AV139" s="82" t="str">
        <f aca="false">IF(Tasks[[#This Row],[Task Name]]="","",Tasks[[#This Row],[Cost]])</f>
        <v/>
      </c>
      <c r="AW139" s="72"/>
      <c r="AX139" s="72"/>
      <c r="AY139" s="29"/>
      <c r="AZ139" s="85"/>
      <c r="BA139" s="83"/>
      <c r="BB139" s="28" t="str">
        <f aca="false">IF(OR(Tasks[[#This Row],[Task Name]]="",Tasks[[#This Row],[Baseline Duration]]=""),"",Tasks[[#This Row],[BL Source Duration]]-N(Tasks[[#This Row],[Baseline Duration]]))</f>
        <v/>
      </c>
      <c r="BC139" s="81" t="str">
        <f aca="false">IF(OR(Tasks[[#This Row],[Task Name]]="",Tasks[[#This Row],[Baseline Work]]=""),"",Tasks[[#This Row],[Work]]-N(Tasks[[#This Row],[Baseline Work]]))</f>
        <v/>
      </c>
      <c r="BD139" s="82" t="str">
        <f aca="false">IF(OR(Tasks[[#This Row],[Task Name]]="",Tasks[[#This Row],[Baseline Cost]]=""),"",Tasks[[#This Row],[Cost]]-N(Tasks[[#This Row],[Baseline Cost]]))</f>
        <v/>
      </c>
      <c r="BE13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3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3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3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39" s="43" t="str">
        <f aca="false">IF(Tasks[[#This Row],[Task Name]]="","",MAX(1,N(Tasks[[#This Row],[Level]])))</f>
        <v/>
      </c>
      <c r="BJ139" s="43" t="n">
        <f aca="false">ROW()-ROW(Tasks[[#Headers],[ID]])</f>
        <v>134</v>
      </c>
      <c r="BK13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39" s="43" t="n">
        <f aca="false">IFERROR(N(INDEX(Tasks[_Level],Tasks[[#This Row],[_Row]]+1)),0)</f>
        <v>0</v>
      </c>
      <c r="BM139" s="86" t="b">
        <f aca="false">AND(Tasks[[#This Row],[Task Name]]&lt;&gt;"",Tasks[[#This Row],[_NextLevel]]&gt;Tasks[[#This Row],[_Level]])</f>
        <v>0</v>
      </c>
      <c r="BN139" s="43" t="n">
        <f aca="false">IF(Tasks[[#This Row],[_IsSummary]],COUNTIF(Tasks[WBS],Tasks[[#This Row],[WBS]]&amp;".*"),0)</f>
        <v>0</v>
      </c>
      <c r="BO139" s="43" t="n">
        <f aca="false">IF(AND(Tasks[[#This Row],[Task Name]]&lt;&gt;"",NOT(Tasks[[#This Row],[_IsSummary]])),1,0)</f>
        <v>0</v>
      </c>
      <c r="BP139" s="43" t="n">
        <f aca="false">IF(N(Tasks[[#This Row],[Pred1 UID]])=0,0,IFERROR(MATCH(Tasks[[#This Row],[Pred1 UID]],Tasks[UID],0),-1))</f>
        <v>0</v>
      </c>
      <c r="BQ139" s="43" t="n">
        <f aca="false">IF(N(Tasks[[#This Row],[Pred2 UID]])=0,0,IFERROR(MATCH(Tasks[[#This Row],[Pred2 UID]],Tasks[UID],0),-1))</f>
        <v>0</v>
      </c>
      <c r="BR13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3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3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3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39" s="43" t="n">
        <f aca="false">IF(NOT(Tasks[[#This Row],[_IsLeaf]]=1),0,IF(N(Tasks[[#This Row],[Actual Finish]])&gt;0,1,MIN(1,N(Tasks[[#This Row],[% Complete]]))))</f>
        <v>0</v>
      </c>
      <c r="BW13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39" s="43" t="n">
        <f aca="false">IF(Tasks[[#This Row],[_LeafWork]]=0,0,Tasks[[#This Row],[_LeafWork]]*IFERROR(INDEX(res_Rate,MATCH(Tasks[[#This Row],[Resource]],res_Name,0)),0))</f>
        <v>0</v>
      </c>
      <c r="BY13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3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3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3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39" s="43" t="n">
        <f aca="false">IF(NOT(Tasks[[#This Row],[_IsLeaf]]=1),0,MAX(_xlfn.MAXIFS(Tasks[_Row],Tasks[Pred1 UID],Tasks[[#This Row],[UID]]),_xlfn.MAXIFS(Tasks[_Row],Tasks[Pred2 UID],Tasks[[#This Row],[UID]])))</f>
        <v>0</v>
      </c>
      <c r="CD13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39" s="87" t="str">
        <f aca="false">IF(NOT(Tasks[[#This Row],[_IsLeaf]]=1),"",MIN(ProjectFinish,IF(N(Tasks[[#This Row],[Deadline]])&gt;0,Tasks[[#This Row],[Deadline]],2958465),Tasks[[#This Row],[_SuccessorFinishLimit]]))</f>
        <v/>
      </c>
      <c r="CF13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3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39" s="86" t="b">
        <f aca="false">AND(Tasks[[#This Row],[_IsLeaf]]=1,Tasks[[#This Row],[_LeafProgress]]&lt;1,N(Tasks[[#This Row],[_LeafTotalSlack]])&lt;=CriticalSlackDays)</f>
        <v>0</v>
      </c>
      <c r="CI13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3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3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3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3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3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3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3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39" s="43" t="n">
        <f aca="false">IF(AND(Tasks[[#This Row],[_IsLeaf]]=1,Tasks[[#This Row],[_LeafWork]]&gt;0),NETWORKDAYS.INTL(ProjectStart,Tasks[[#This Row],[_LeafFcstStart]],WorkWeek,Holidays),0)</f>
        <v>0</v>
      </c>
      <c r="CR13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39" s="43" t="n">
        <f aca="false">IF(AND(Tasks[[#This Row],[_IsLeaf]]=1,Tasks[[#This Row],[_LeafWork]]&gt;0),Tasks[[#This Row],[_LeafWork]]/(Tasks[[#This Row],[_FinishWorkday]]-Tasks[[#This Row],[_StartWorkday]]+1),0)</f>
        <v>0</v>
      </c>
      <c r="CT139" s="43" t="n">
        <f aca="false">Tasks[[#This Row],[_WorkPerWorkday]]*(Tasks[[#This Row],[_StartWorkday]]-1)</f>
        <v>-0</v>
      </c>
      <c r="CU139" s="43" t="n">
        <f aca="false">IF(Tasks[[#This Row],[_IsLeaf]]=1,MAX(N(Tasks[[#This Row],[Duration]]),0.1),0)</f>
        <v>0</v>
      </c>
      <c r="CV139" s="43" t="n">
        <f aca="false">Tasks[[#This Row],[_WeightDur]]*Tasks[[#This Row],[_LeafProgress]]</f>
        <v>0</v>
      </c>
      <c r="CW13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3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3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3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3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39" s="43" t="str">
        <f aca="false">IF(AND(Tasks[[#This Row],[_IsLeaf]]=1,N(Tasks[[#This Row],[Duration]])=0,Tasks[[#This Row],[_LeafProgress]]&lt;1),Tasks[[#This Row],[_LeafFcstFinish]]+Tasks[[#This Row],[_Row]]/100000,"")</f>
        <v/>
      </c>
      <c r="DC13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39" s="43" t="n">
        <f aca="false">IF(NOT(Tasks[[#This Row],[_IsLeaf]]=1),0,IF(Tasks[[#This Row],[Baseline Cost]]="",Tasks[[#This Row],[_LeafCost]],N(Tasks[[#This Row],[Baseline Cost]])))</f>
        <v>0</v>
      </c>
      <c r="DE139" s="43" t="n">
        <f aca="false">Tasks[[#This Row],[_LeafBudget]]*Tasks[[#This Row],[_PlannedPct]]</f>
        <v>0</v>
      </c>
      <c r="DF139" s="43" t="n">
        <f aca="false">Tasks[[#This Row],[_LeafBudget]]*Tasks[[#This Row],[_LeafProgress]]</f>
        <v>0</v>
      </c>
      <c r="DG139" s="43" t="n">
        <f aca="false">IF(NOT(Tasks[[#This Row],[_IsLeaf]]=1),0,IF(Tasks[[#This Row],[Actual Cost]]="",Tasks[[#This Row],[_LeafCost]]*Tasks[[#This Row],[_LeafProgress]],N(Tasks[[#This Row],[Actual Cost]])))</f>
        <v>0</v>
      </c>
      <c r="DH139" s="43" t="str">
        <f aca="false">IF(Tasks[[#This Row],[Task Name]]="","",LEFT(Tasks[[#This Row],[WBS]],FIND(".",Tasks[[#This Row],[WBS]]&amp;".")-1))</f>
        <v/>
      </c>
      <c r="DI139" s="43" t="str">
        <f aca="false">IF(AND(Tasks[[#This Row],[Task Name]]&lt;&gt;"",Tasks[[#This Row],[_Level]]=1),Tasks[[#This Row],[_Row]],"")</f>
        <v/>
      </c>
      <c r="DJ139" s="43" t="str">
        <f aca="false">IF(AND(Tasks[[#This Row],[_IsLeaf]]=1,N(Tasks[[#This Row],[Duration]])=0),Tasks[[#This Row],[Planned Finish]]+Tasks[[#This Row],[_Row]]/100000,"")</f>
        <v/>
      </c>
      <c r="DK13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3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3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39" s="43" t="str">
        <f aca="false">IF(Tasks[[#This Row],[_LeafCritical]],Tasks[[#This Row],[_LeafFcstStart]]+Tasks[[#This Row],[_Row]]/100000,"")</f>
        <v/>
      </c>
      <c r="DO139" s="43" t="n">
        <f aca="false">Tasks[[#This Row],[_LeafWork]]*Tasks[[#This Row],[_LeafProgress]]</f>
        <v>0</v>
      </c>
      <c r="DP13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39" s="43" t="n">
        <f aca="false">IF(Tasks[[#This Row],[_IsLeaf]]=1,N(Tasks[[#This Row],[Story Points]]),0)</f>
        <v>0</v>
      </c>
      <c r="DR139" s="43" t="str">
        <f aca="false">IF(AND(Tasks[[#This Row],[_IsLeaf]]=1,CurrentSprint&lt;&gt;"",Tasks[[#This Row],[Sprint]]=CurrentSprint),Tasks[[#This Row],[_Row]],"")</f>
        <v/>
      </c>
    </row>
    <row r="140" customFormat="false" ht="15" hidden="false" customHeight="false" outlineLevel="0" collapsed="false">
      <c r="A140" s="28" t="str">
        <f aca="false">IF(Tasks[[#This Row],[Task Name]]="","",COUNTA(Tasks[[#Headers],[Task Name]]:Tasks[[#This Row],[Task Name]])-1)</f>
        <v/>
      </c>
      <c r="B140" s="29" t="n">
        <v>135</v>
      </c>
      <c r="C14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40" s="29"/>
      <c r="E140" s="30"/>
      <c r="F140" s="29"/>
      <c r="G140" s="29"/>
      <c r="H140" s="29"/>
      <c r="I140" s="29"/>
      <c r="J140" s="29"/>
      <c r="K140" s="29"/>
      <c r="L140" s="29"/>
      <c r="M140" s="29"/>
      <c r="N140" s="72"/>
      <c r="O140" s="72"/>
      <c r="P140" s="25" t="str">
        <f aca="false">IF(Tasks[[#This Row],[Task Name]]="","",IF(N(Tasks[[#This Row],[Baseline Start]])&gt;0,Tasks[[#This Row],[Baseline Start]],Tasks[[#This Row],[_CalcStart]]))</f>
        <v/>
      </c>
      <c r="Q140" s="25" t="str">
        <f aca="false">IF(Tasks[[#This Row],[Task Name]]="","",IF(N(Tasks[[#This Row],[Baseline Finish]])&gt;0,Tasks[[#This Row],[Baseline Finish]],Tasks[[#This Row],[_CalcFinish]]))</f>
        <v/>
      </c>
      <c r="R140" s="72"/>
      <c r="S140" s="72"/>
      <c r="T14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4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4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4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4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4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4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4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4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4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4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40" s="74"/>
      <c r="AF14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4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40" s="30"/>
      <c r="AI140" s="74"/>
      <c r="AJ14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4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40" s="83"/>
      <c r="AM140" s="29"/>
      <c r="AN14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40" s="84"/>
      <c r="AP14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40" s="30"/>
      <c r="AR140" s="25" t="str">
        <f aca="false">IF(Tasks[[#This Row],[Task Name]]="","",Tasks[[#This Row],[Forecast Start]])</f>
        <v/>
      </c>
      <c r="AS140" s="25" t="str">
        <f aca="false">IF(Tasks[[#This Row],[Task Name]]="","",Tasks[[#This Row],[Forecast Finish]])</f>
        <v/>
      </c>
      <c r="AT14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40" s="81" t="str">
        <f aca="false">IF(Tasks[[#This Row],[Task Name]]="","",Tasks[[#This Row],[Work]])</f>
        <v/>
      </c>
      <c r="AV140" s="82" t="str">
        <f aca="false">IF(Tasks[[#This Row],[Task Name]]="","",Tasks[[#This Row],[Cost]])</f>
        <v/>
      </c>
      <c r="AW140" s="72"/>
      <c r="AX140" s="72"/>
      <c r="AY140" s="29"/>
      <c r="AZ140" s="85"/>
      <c r="BA140" s="83"/>
      <c r="BB140" s="28" t="str">
        <f aca="false">IF(OR(Tasks[[#This Row],[Task Name]]="",Tasks[[#This Row],[Baseline Duration]]=""),"",Tasks[[#This Row],[BL Source Duration]]-N(Tasks[[#This Row],[Baseline Duration]]))</f>
        <v/>
      </c>
      <c r="BC140" s="81" t="str">
        <f aca="false">IF(OR(Tasks[[#This Row],[Task Name]]="",Tasks[[#This Row],[Baseline Work]]=""),"",Tasks[[#This Row],[Work]]-N(Tasks[[#This Row],[Baseline Work]]))</f>
        <v/>
      </c>
      <c r="BD140" s="82" t="str">
        <f aca="false">IF(OR(Tasks[[#This Row],[Task Name]]="",Tasks[[#This Row],[Baseline Cost]]=""),"",Tasks[[#This Row],[Cost]]-N(Tasks[[#This Row],[Baseline Cost]]))</f>
        <v/>
      </c>
      <c r="BE14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4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4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4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40" s="43" t="str">
        <f aca="false">IF(Tasks[[#This Row],[Task Name]]="","",MAX(1,N(Tasks[[#This Row],[Level]])))</f>
        <v/>
      </c>
      <c r="BJ140" s="43" t="n">
        <f aca="false">ROW()-ROW(Tasks[[#Headers],[ID]])</f>
        <v>135</v>
      </c>
      <c r="BK14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40" s="43" t="n">
        <f aca="false">IFERROR(N(INDEX(Tasks[_Level],Tasks[[#This Row],[_Row]]+1)),0)</f>
        <v>0</v>
      </c>
      <c r="BM140" s="86" t="b">
        <f aca="false">AND(Tasks[[#This Row],[Task Name]]&lt;&gt;"",Tasks[[#This Row],[_NextLevel]]&gt;Tasks[[#This Row],[_Level]])</f>
        <v>0</v>
      </c>
      <c r="BN140" s="43" t="n">
        <f aca="false">IF(Tasks[[#This Row],[_IsSummary]],COUNTIF(Tasks[WBS],Tasks[[#This Row],[WBS]]&amp;".*"),0)</f>
        <v>0</v>
      </c>
      <c r="BO140" s="43" t="n">
        <f aca="false">IF(AND(Tasks[[#This Row],[Task Name]]&lt;&gt;"",NOT(Tasks[[#This Row],[_IsSummary]])),1,0)</f>
        <v>0</v>
      </c>
      <c r="BP140" s="43" t="n">
        <f aca="false">IF(N(Tasks[[#This Row],[Pred1 UID]])=0,0,IFERROR(MATCH(Tasks[[#This Row],[Pred1 UID]],Tasks[UID],0),-1))</f>
        <v>0</v>
      </c>
      <c r="BQ140" s="43" t="n">
        <f aca="false">IF(N(Tasks[[#This Row],[Pred2 UID]])=0,0,IFERROR(MATCH(Tasks[[#This Row],[Pred2 UID]],Tasks[UID],0),-1))</f>
        <v>0</v>
      </c>
      <c r="BR14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4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4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4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40" s="43" t="n">
        <f aca="false">IF(NOT(Tasks[[#This Row],[_IsLeaf]]=1),0,IF(N(Tasks[[#This Row],[Actual Finish]])&gt;0,1,MIN(1,N(Tasks[[#This Row],[% Complete]]))))</f>
        <v>0</v>
      </c>
      <c r="BW14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40" s="43" t="n">
        <f aca="false">IF(Tasks[[#This Row],[_LeafWork]]=0,0,Tasks[[#This Row],[_LeafWork]]*IFERROR(INDEX(res_Rate,MATCH(Tasks[[#This Row],[Resource]],res_Name,0)),0))</f>
        <v>0</v>
      </c>
      <c r="BY14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4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4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4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40" s="43" t="n">
        <f aca="false">IF(NOT(Tasks[[#This Row],[_IsLeaf]]=1),0,MAX(_xlfn.MAXIFS(Tasks[_Row],Tasks[Pred1 UID],Tasks[[#This Row],[UID]]),_xlfn.MAXIFS(Tasks[_Row],Tasks[Pred2 UID],Tasks[[#This Row],[UID]])))</f>
        <v>0</v>
      </c>
      <c r="CD14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40" s="87" t="str">
        <f aca="false">IF(NOT(Tasks[[#This Row],[_IsLeaf]]=1),"",MIN(ProjectFinish,IF(N(Tasks[[#This Row],[Deadline]])&gt;0,Tasks[[#This Row],[Deadline]],2958465),Tasks[[#This Row],[_SuccessorFinishLimit]]))</f>
        <v/>
      </c>
      <c r="CF14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4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40" s="86" t="b">
        <f aca="false">AND(Tasks[[#This Row],[_IsLeaf]]=1,Tasks[[#This Row],[_LeafProgress]]&lt;1,N(Tasks[[#This Row],[_LeafTotalSlack]])&lt;=CriticalSlackDays)</f>
        <v>0</v>
      </c>
      <c r="CI14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4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4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4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4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4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4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4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40" s="43" t="n">
        <f aca="false">IF(AND(Tasks[[#This Row],[_IsLeaf]]=1,Tasks[[#This Row],[_LeafWork]]&gt;0),NETWORKDAYS.INTL(ProjectStart,Tasks[[#This Row],[_LeafFcstStart]],WorkWeek,Holidays),0)</f>
        <v>0</v>
      </c>
      <c r="CR14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40" s="43" t="n">
        <f aca="false">IF(AND(Tasks[[#This Row],[_IsLeaf]]=1,Tasks[[#This Row],[_LeafWork]]&gt;0),Tasks[[#This Row],[_LeafWork]]/(Tasks[[#This Row],[_FinishWorkday]]-Tasks[[#This Row],[_StartWorkday]]+1),0)</f>
        <v>0</v>
      </c>
      <c r="CT140" s="43" t="n">
        <f aca="false">Tasks[[#This Row],[_WorkPerWorkday]]*(Tasks[[#This Row],[_StartWorkday]]-1)</f>
        <v>-0</v>
      </c>
      <c r="CU140" s="43" t="n">
        <f aca="false">IF(Tasks[[#This Row],[_IsLeaf]]=1,MAX(N(Tasks[[#This Row],[Duration]]),0.1),0)</f>
        <v>0</v>
      </c>
      <c r="CV140" s="43" t="n">
        <f aca="false">Tasks[[#This Row],[_WeightDur]]*Tasks[[#This Row],[_LeafProgress]]</f>
        <v>0</v>
      </c>
      <c r="CW14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4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4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4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4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40" s="43" t="str">
        <f aca="false">IF(AND(Tasks[[#This Row],[_IsLeaf]]=1,N(Tasks[[#This Row],[Duration]])=0,Tasks[[#This Row],[_LeafProgress]]&lt;1),Tasks[[#This Row],[_LeafFcstFinish]]+Tasks[[#This Row],[_Row]]/100000,"")</f>
        <v/>
      </c>
      <c r="DC14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40" s="43" t="n">
        <f aca="false">IF(NOT(Tasks[[#This Row],[_IsLeaf]]=1),0,IF(Tasks[[#This Row],[Baseline Cost]]="",Tasks[[#This Row],[_LeafCost]],N(Tasks[[#This Row],[Baseline Cost]])))</f>
        <v>0</v>
      </c>
      <c r="DE140" s="43" t="n">
        <f aca="false">Tasks[[#This Row],[_LeafBudget]]*Tasks[[#This Row],[_PlannedPct]]</f>
        <v>0</v>
      </c>
      <c r="DF140" s="43" t="n">
        <f aca="false">Tasks[[#This Row],[_LeafBudget]]*Tasks[[#This Row],[_LeafProgress]]</f>
        <v>0</v>
      </c>
      <c r="DG140" s="43" t="n">
        <f aca="false">IF(NOT(Tasks[[#This Row],[_IsLeaf]]=1),0,IF(Tasks[[#This Row],[Actual Cost]]="",Tasks[[#This Row],[_LeafCost]]*Tasks[[#This Row],[_LeafProgress]],N(Tasks[[#This Row],[Actual Cost]])))</f>
        <v>0</v>
      </c>
      <c r="DH140" s="43" t="str">
        <f aca="false">IF(Tasks[[#This Row],[Task Name]]="","",LEFT(Tasks[[#This Row],[WBS]],FIND(".",Tasks[[#This Row],[WBS]]&amp;".")-1))</f>
        <v/>
      </c>
      <c r="DI140" s="43" t="str">
        <f aca="false">IF(AND(Tasks[[#This Row],[Task Name]]&lt;&gt;"",Tasks[[#This Row],[_Level]]=1),Tasks[[#This Row],[_Row]],"")</f>
        <v/>
      </c>
      <c r="DJ140" s="43" t="str">
        <f aca="false">IF(AND(Tasks[[#This Row],[_IsLeaf]]=1,N(Tasks[[#This Row],[Duration]])=0),Tasks[[#This Row],[Planned Finish]]+Tasks[[#This Row],[_Row]]/100000,"")</f>
        <v/>
      </c>
      <c r="DK14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4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4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40" s="43" t="str">
        <f aca="false">IF(Tasks[[#This Row],[_LeafCritical]],Tasks[[#This Row],[_LeafFcstStart]]+Tasks[[#This Row],[_Row]]/100000,"")</f>
        <v/>
      </c>
      <c r="DO140" s="43" t="n">
        <f aca="false">Tasks[[#This Row],[_LeafWork]]*Tasks[[#This Row],[_LeafProgress]]</f>
        <v>0</v>
      </c>
      <c r="DP14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40" s="43" t="n">
        <f aca="false">IF(Tasks[[#This Row],[_IsLeaf]]=1,N(Tasks[[#This Row],[Story Points]]),0)</f>
        <v>0</v>
      </c>
      <c r="DR140" s="43" t="str">
        <f aca="false">IF(AND(Tasks[[#This Row],[_IsLeaf]]=1,CurrentSprint&lt;&gt;"",Tasks[[#This Row],[Sprint]]=CurrentSprint),Tasks[[#This Row],[_Row]],"")</f>
        <v/>
      </c>
    </row>
    <row r="141" customFormat="false" ht="15" hidden="false" customHeight="false" outlineLevel="0" collapsed="false">
      <c r="A141" s="28" t="str">
        <f aca="false">IF(Tasks[[#This Row],[Task Name]]="","",COUNTA(Tasks[[#Headers],[Task Name]]:Tasks[[#This Row],[Task Name]])-1)</f>
        <v/>
      </c>
      <c r="B141" s="29" t="n">
        <v>136</v>
      </c>
      <c r="C14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41" s="29"/>
      <c r="E141" s="30"/>
      <c r="F141" s="29"/>
      <c r="G141" s="29"/>
      <c r="H141" s="29"/>
      <c r="I141" s="29"/>
      <c r="J141" s="29"/>
      <c r="K141" s="29"/>
      <c r="L141" s="29"/>
      <c r="M141" s="29"/>
      <c r="N141" s="72"/>
      <c r="O141" s="72"/>
      <c r="P141" s="25" t="str">
        <f aca="false">IF(Tasks[[#This Row],[Task Name]]="","",IF(N(Tasks[[#This Row],[Baseline Start]])&gt;0,Tasks[[#This Row],[Baseline Start]],Tasks[[#This Row],[_CalcStart]]))</f>
        <v/>
      </c>
      <c r="Q141" s="25" t="str">
        <f aca="false">IF(Tasks[[#This Row],[Task Name]]="","",IF(N(Tasks[[#This Row],[Baseline Finish]])&gt;0,Tasks[[#This Row],[Baseline Finish]],Tasks[[#This Row],[_CalcFinish]]))</f>
        <v/>
      </c>
      <c r="R141" s="72"/>
      <c r="S141" s="72"/>
      <c r="T14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4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4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4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4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4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4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4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4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4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4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41" s="74"/>
      <c r="AF14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4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41" s="30"/>
      <c r="AI141" s="74"/>
      <c r="AJ14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4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41" s="83"/>
      <c r="AM141" s="29"/>
      <c r="AN14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41" s="84"/>
      <c r="AP14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41" s="30"/>
      <c r="AR141" s="25" t="str">
        <f aca="false">IF(Tasks[[#This Row],[Task Name]]="","",Tasks[[#This Row],[Forecast Start]])</f>
        <v/>
      </c>
      <c r="AS141" s="25" t="str">
        <f aca="false">IF(Tasks[[#This Row],[Task Name]]="","",Tasks[[#This Row],[Forecast Finish]])</f>
        <v/>
      </c>
      <c r="AT14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41" s="81" t="str">
        <f aca="false">IF(Tasks[[#This Row],[Task Name]]="","",Tasks[[#This Row],[Work]])</f>
        <v/>
      </c>
      <c r="AV141" s="82" t="str">
        <f aca="false">IF(Tasks[[#This Row],[Task Name]]="","",Tasks[[#This Row],[Cost]])</f>
        <v/>
      </c>
      <c r="AW141" s="72"/>
      <c r="AX141" s="72"/>
      <c r="AY141" s="29"/>
      <c r="AZ141" s="85"/>
      <c r="BA141" s="83"/>
      <c r="BB141" s="28" t="str">
        <f aca="false">IF(OR(Tasks[[#This Row],[Task Name]]="",Tasks[[#This Row],[Baseline Duration]]=""),"",Tasks[[#This Row],[BL Source Duration]]-N(Tasks[[#This Row],[Baseline Duration]]))</f>
        <v/>
      </c>
      <c r="BC141" s="81" t="str">
        <f aca="false">IF(OR(Tasks[[#This Row],[Task Name]]="",Tasks[[#This Row],[Baseline Work]]=""),"",Tasks[[#This Row],[Work]]-N(Tasks[[#This Row],[Baseline Work]]))</f>
        <v/>
      </c>
      <c r="BD141" s="82" t="str">
        <f aca="false">IF(OR(Tasks[[#This Row],[Task Name]]="",Tasks[[#This Row],[Baseline Cost]]=""),"",Tasks[[#This Row],[Cost]]-N(Tasks[[#This Row],[Baseline Cost]]))</f>
        <v/>
      </c>
      <c r="BE14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4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4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4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41" s="43" t="str">
        <f aca="false">IF(Tasks[[#This Row],[Task Name]]="","",MAX(1,N(Tasks[[#This Row],[Level]])))</f>
        <v/>
      </c>
      <c r="BJ141" s="43" t="n">
        <f aca="false">ROW()-ROW(Tasks[[#Headers],[ID]])</f>
        <v>136</v>
      </c>
      <c r="BK14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41" s="43" t="n">
        <f aca="false">IFERROR(N(INDEX(Tasks[_Level],Tasks[[#This Row],[_Row]]+1)),0)</f>
        <v>0</v>
      </c>
      <c r="BM141" s="86" t="b">
        <f aca="false">AND(Tasks[[#This Row],[Task Name]]&lt;&gt;"",Tasks[[#This Row],[_NextLevel]]&gt;Tasks[[#This Row],[_Level]])</f>
        <v>0</v>
      </c>
      <c r="BN141" s="43" t="n">
        <f aca="false">IF(Tasks[[#This Row],[_IsSummary]],COUNTIF(Tasks[WBS],Tasks[[#This Row],[WBS]]&amp;".*"),0)</f>
        <v>0</v>
      </c>
      <c r="BO141" s="43" t="n">
        <f aca="false">IF(AND(Tasks[[#This Row],[Task Name]]&lt;&gt;"",NOT(Tasks[[#This Row],[_IsSummary]])),1,0)</f>
        <v>0</v>
      </c>
      <c r="BP141" s="43" t="n">
        <f aca="false">IF(N(Tasks[[#This Row],[Pred1 UID]])=0,0,IFERROR(MATCH(Tasks[[#This Row],[Pred1 UID]],Tasks[UID],0),-1))</f>
        <v>0</v>
      </c>
      <c r="BQ141" s="43" t="n">
        <f aca="false">IF(N(Tasks[[#This Row],[Pred2 UID]])=0,0,IFERROR(MATCH(Tasks[[#This Row],[Pred2 UID]],Tasks[UID],0),-1))</f>
        <v>0</v>
      </c>
      <c r="BR14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4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4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4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41" s="43" t="n">
        <f aca="false">IF(NOT(Tasks[[#This Row],[_IsLeaf]]=1),0,IF(N(Tasks[[#This Row],[Actual Finish]])&gt;0,1,MIN(1,N(Tasks[[#This Row],[% Complete]]))))</f>
        <v>0</v>
      </c>
      <c r="BW14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41" s="43" t="n">
        <f aca="false">IF(Tasks[[#This Row],[_LeafWork]]=0,0,Tasks[[#This Row],[_LeafWork]]*IFERROR(INDEX(res_Rate,MATCH(Tasks[[#This Row],[Resource]],res_Name,0)),0))</f>
        <v>0</v>
      </c>
      <c r="BY14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4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4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4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41" s="43" t="n">
        <f aca="false">IF(NOT(Tasks[[#This Row],[_IsLeaf]]=1),0,MAX(_xlfn.MAXIFS(Tasks[_Row],Tasks[Pred1 UID],Tasks[[#This Row],[UID]]),_xlfn.MAXIFS(Tasks[_Row],Tasks[Pred2 UID],Tasks[[#This Row],[UID]])))</f>
        <v>0</v>
      </c>
      <c r="CD14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41" s="87" t="str">
        <f aca="false">IF(NOT(Tasks[[#This Row],[_IsLeaf]]=1),"",MIN(ProjectFinish,IF(N(Tasks[[#This Row],[Deadline]])&gt;0,Tasks[[#This Row],[Deadline]],2958465),Tasks[[#This Row],[_SuccessorFinishLimit]]))</f>
        <v/>
      </c>
      <c r="CF14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4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41" s="86" t="b">
        <f aca="false">AND(Tasks[[#This Row],[_IsLeaf]]=1,Tasks[[#This Row],[_LeafProgress]]&lt;1,N(Tasks[[#This Row],[_LeafTotalSlack]])&lt;=CriticalSlackDays)</f>
        <v>0</v>
      </c>
      <c r="CI14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4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4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4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4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4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4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4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41" s="43" t="n">
        <f aca="false">IF(AND(Tasks[[#This Row],[_IsLeaf]]=1,Tasks[[#This Row],[_LeafWork]]&gt;0),NETWORKDAYS.INTL(ProjectStart,Tasks[[#This Row],[_LeafFcstStart]],WorkWeek,Holidays),0)</f>
        <v>0</v>
      </c>
      <c r="CR14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41" s="43" t="n">
        <f aca="false">IF(AND(Tasks[[#This Row],[_IsLeaf]]=1,Tasks[[#This Row],[_LeafWork]]&gt;0),Tasks[[#This Row],[_LeafWork]]/(Tasks[[#This Row],[_FinishWorkday]]-Tasks[[#This Row],[_StartWorkday]]+1),0)</f>
        <v>0</v>
      </c>
      <c r="CT141" s="43" t="n">
        <f aca="false">Tasks[[#This Row],[_WorkPerWorkday]]*(Tasks[[#This Row],[_StartWorkday]]-1)</f>
        <v>-0</v>
      </c>
      <c r="CU141" s="43" t="n">
        <f aca="false">IF(Tasks[[#This Row],[_IsLeaf]]=1,MAX(N(Tasks[[#This Row],[Duration]]),0.1),0)</f>
        <v>0</v>
      </c>
      <c r="CV141" s="43" t="n">
        <f aca="false">Tasks[[#This Row],[_WeightDur]]*Tasks[[#This Row],[_LeafProgress]]</f>
        <v>0</v>
      </c>
      <c r="CW14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4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4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4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4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41" s="43" t="str">
        <f aca="false">IF(AND(Tasks[[#This Row],[_IsLeaf]]=1,N(Tasks[[#This Row],[Duration]])=0,Tasks[[#This Row],[_LeafProgress]]&lt;1),Tasks[[#This Row],[_LeafFcstFinish]]+Tasks[[#This Row],[_Row]]/100000,"")</f>
        <v/>
      </c>
      <c r="DC14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41" s="43" t="n">
        <f aca="false">IF(NOT(Tasks[[#This Row],[_IsLeaf]]=1),0,IF(Tasks[[#This Row],[Baseline Cost]]="",Tasks[[#This Row],[_LeafCost]],N(Tasks[[#This Row],[Baseline Cost]])))</f>
        <v>0</v>
      </c>
      <c r="DE141" s="43" t="n">
        <f aca="false">Tasks[[#This Row],[_LeafBudget]]*Tasks[[#This Row],[_PlannedPct]]</f>
        <v>0</v>
      </c>
      <c r="DF141" s="43" t="n">
        <f aca="false">Tasks[[#This Row],[_LeafBudget]]*Tasks[[#This Row],[_LeafProgress]]</f>
        <v>0</v>
      </c>
      <c r="DG141" s="43" t="n">
        <f aca="false">IF(NOT(Tasks[[#This Row],[_IsLeaf]]=1),0,IF(Tasks[[#This Row],[Actual Cost]]="",Tasks[[#This Row],[_LeafCost]]*Tasks[[#This Row],[_LeafProgress]],N(Tasks[[#This Row],[Actual Cost]])))</f>
        <v>0</v>
      </c>
      <c r="DH141" s="43" t="str">
        <f aca="false">IF(Tasks[[#This Row],[Task Name]]="","",LEFT(Tasks[[#This Row],[WBS]],FIND(".",Tasks[[#This Row],[WBS]]&amp;".")-1))</f>
        <v/>
      </c>
      <c r="DI141" s="43" t="str">
        <f aca="false">IF(AND(Tasks[[#This Row],[Task Name]]&lt;&gt;"",Tasks[[#This Row],[_Level]]=1),Tasks[[#This Row],[_Row]],"")</f>
        <v/>
      </c>
      <c r="DJ141" s="43" t="str">
        <f aca="false">IF(AND(Tasks[[#This Row],[_IsLeaf]]=1,N(Tasks[[#This Row],[Duration]])=0),Tasks[[#This Row],[Planned Finish]]+Tasks[[#This Row],[_Row]]/100000,"")</f>
        <v/>
      </c>
      <c r="DK14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4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4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41" s="43" t="str">
        <f aca="false">IF(Tasks[[#This Row],[_LeafCritical]],Tasks[[#This Row],[_LeafFcstStart]]+Tasks[[#This Row],[_Row]]/100000,"")</f>
        <v/>
      </c>
      <c r="DO141" s="43" t="n">
        <f aca="false">Tasks[[#This Row],[_LeafWork]]*Tasks[[#This Row],[_LeafProgress]]</f>
        <v>0</v>
      </c>
      <c r="DP14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41" s="43" t="n">
        <f aca="false">IF(Tasks[[#This Row],[_IsLeaf]]=1,N(Tasks[[#This Row],[Story Points]]),0)</f>
        <v>0</v>
      </c>
      <c r="DR141" s="43" t="str">
        <f aca="false">IF(AND(Tasks[[#This Row],[_IsLeaf]]=1,CurrentSprint&lt;&gt;"",Tasks[[#This Row],[Sprint]]=CurrentSprint),Tasks[[#This Row],[_Row]],"")</f>
        <v/>
      </c>
    </row>
    <row r="142" customFormat="false" ht="15" hidden="false" customHeight="false" outlineLevel="0" collapsed="false">
      <c r="A142" s="28" t="str">
        <f aca="false">IF(Tasks[[#This Row],[Task Name]]="","",COUNTA(Tasks[[#Headers],[Task Name]]:Tasks[[#This Row],[Task Name]])-1)</f>
        <v/>
      </c>
      <c r="B142" s="29" t="n">
        <v>137</v>
      </c>
      <c r="C14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42" s="29"/>
      <c r="E142" s="30"/>
      <c r="F142" s="29"/>
      <c r="G142" s="29"/>
      <c r="H142" s="29"/>
      <c r="I142" s="29"/>
      <c r="J142" s="29"/>
      <c r="K142" s="29"/>
      <c r="L142" s="29"/>
      <c r="M142" s="29"/>
      <c r="N142" s="72"/>
      <c r="O142" s="72"/>
      <c r="P142" s="25" t="str">
        <f aca="false">IF(Tasks[[#This Row],[Task Name]]="","",IF(N(Tasks[[#This Row],[Baseline Start]])&gt;0,Tasks[[#This Row],[Baseline Start]],Tasks[[#This Row],[_CalcStart]]))</f>
        <v/>
      </c>
      <c r="Q142" s="25" t="str">
        <f aca="false">IF(Tasks[[#This Row],[Task Name]]="","",IF(N(Tasks[[#This Row],[Baseline Finish]])&gt;0,Tasks[[#This Row],[Baseline Finish]],Tasks[[#This Row],[_CalcFinish]]))</f>
        <v/>
      </c>
      <c r="R142" s="72"/>
      <c r="S142" s="72"/>
      <c r="T14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4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4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4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4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4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4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4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4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4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4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42" s="74"/>
      <c r="AF14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4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42" s="30"/>
      <c r="AI142" s="74"/>
      <c r="AJ14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4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42" s="83"/>
      <c r="AM142" s="29"/>
      <c r="AN14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42" s="84"/>
      <c r="AP14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42" s="30"/>
      <c r="AR142" s="25" t="str">
        <f aca="false">IF(Tasks[[#This Row],[Task Name]]="","",Tasks[[#This Row],[Forecast Start]])</f>
        <v/>
      </c>
      <c r="AS142" s="25" t="str">
        <f aca="false">IF(Tasks[[#This Row],[Task Name]]="","",Tasks[[#This Row],[Forecast Finish]])</f>
        <v/>
      </c>
      <c r="AT14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42" s="81" t="str">
        <f aca="false">IF(Tasks[[#This Row],[Task Name]]="","",Tasks[[#This Row],[Work]])</f>
        <v/>
      </c>
      <c r="AV142" s="82" t="str">
        <f aca="false">IF(Tasks[[#This Row],[Task Name]]="","",Tasks[[#This Row],[Cost]])</f>
        <v/>
      </c>
      <c r="AW142" s="72"/>
      <c r="AX142" s="72"/>
      <c r="AY142" s="29"/>
      <c r="AZ142" s="85"/>
      <c r="BA142" s="83"/>
      <c r="BB142" s="28" t="str">
        <f aca="false">IF(OR(Tasks[[#This Row],[Task Name]]="",Tasks[[#This Row],[Baseline Duration]]=""),"",Tasks[[#This Row],[BL Source Duration]]-N(Tasks[[#This Row],[Baseline Duration]]))</f>
        <v/>
      </c>
      <c r="BC142" s="81" t="str">
        <f aca="false">IF(OR(Tasks[[#This Row],[Task Name]]="",Tasks[[#This Row],[Baseline Work]]=""),"",Tasks[[#This Row],[Work]]-N(Tasks[[#This Row],[Baseline Work]]))</f>
        <v/>
      </c>
      <c r="BD142" s="82" t="str">
        <f aca="false">IF(OR(Tasks[[#This Row],[Task Name]]="",Tasks[[#This Row],[Baseline Cost]]=""),"",Tasks[[#This Row],[Cost]]-N(Tasks[[#This Row],[Baseline Cost]]))</f>
        <v/>
      </c>
      <c r="BE14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4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4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4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42" s="43" t="str">
        <f aca="false">IF(Tasks[[#This Row],[Task Name]]="","",MAX(1,N(Tasks[[#This Row],[Level]])))</f>
        <v/>
      </c>
      <c r="BJ142" s="43" t="n">
        <f aca="false">ROW()-ROW(Tasks[[#Headers],[ID]])</f>
        <v>137</v>
      </c>
      <c r="BK14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42" s="43" t="n">
        <f aca="false">IFERROR(N(INDEX(Tasks[_Level],Tasks[[#This Row],[_Row]]+1)),0)</f>
        <v>0</v>
      </c>
      <c r="BM142" s="86" t="b">
        <f aca="false">AND(Tasks[[#This Row],[Task Name]]&lt;&gt;"",Tasks[[#This Row],[_NextLevel]]&gt;Tasks[[#This Row],[_Level]])</f>
        <v>0</v>
      </c>
      <c r="BN142" s="43" t="n">
        <f aca="false">IF(Tasks[[#This Row],[_IsSummary]],COUNTIF(Tasks[WBS],Tasks[[#This Row],[WBS]]&amp;".*"),0)</f>
        <v>0</v>
      </c>
      <c r="BO142" s="43" t="n">
        <f aca="false">IF(AND(Tasks[[#This Row],[Task Name]]&lt;&gt;"",NOT(Tasks[[#This Row],[_IsSummary]])),1,0)</f>
        <v>0</v>
      </c>
      <c r="BP142" s="43" t="n">
        <f aca="false">IF(N(Tasks[[#This Row],[Pred1 UID]])=0,0,IFERROR(MATCH(Tasks[[#This Row],[Pred1 UID]],Tasks[UID],0),-1))</f>
        <v>0</v>
      </c>
      <c r="BQ142" s="43" t="n">
        <f aca="false">IF(N(Tasks[[#This Row],[Pred2 UID]])=0,0,IFERROR(MATCH(Tasks[[#This Row],[Pred2 UID]],Tasks[UID],0),-1))</f>
        <v>0</v>
      </c>
      <c r="BR14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4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4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4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42" s="43" t="n">
        <f aca="false">IF(NOT(Tasks[[#This Row],[_IsLeaf]]=1),0,IF(N(Tasks[[#This Row],[Actual Finish]])&gt;0,1,MIN(1,N(Tasks[[#This Row],[% Complete]]))))</f>
        <v>0</v>
      </c>
      <c r="BW14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42" s="43" t="n">
        <f aca="false">IF(Tasks[[#This Row],[_LeafWork]]=0,0,Tasks[[#This Row],[_LeafWork]]*IFERROR(INDEX(res_Rate,MATCH(Tasks[[#This Row],[Resource]],res_Name,0)),0))</f>
        <v>0</v>
      </c>
      <c r="BY14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4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4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4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42" s="43" t="n">
        <f aca="false">IF(NOT(Tasks[[#This Row],[_IsLeaf]]=1),0,MAX(_xlfn.MAXIFS(Tasks[_Row],Tasks[Pred1 UID],Tasks[[#This Row],[UID]]),_xlfn.MAXIFS(Tasks[_Row],Tasks[Pred2 UID],Tasks[[#This Row],[UID]])))</f>
        <v>0</v>
      </c>
      <c r="CD14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42" s="87" t="str">
        <f aca="false">IF(NOT(Tasks[[#This Row],[_IsLeaf]]=1),"",MIN(ProjectFinish,IF(N(Tasks[[#This Row],[Deadline]])&gt;0,Tasks[[#This Row],[Deadline]],2958465),Tasks[[#This Row],[_SuccessorFinishLimit]]))</f>
        <v/>
      </c>
      <c r="CF14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4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42" s="86" t="b">
        <f aca="false">AND(Tasks[[#This Row],[_IsLeaf]]=1,Tasks[[#This Row],[_LeafProgress]]&lt;1,N(Tasks[[#This Row],[_LeafTotalSlack]])&lt;=CriticalSlackDays)</f>
        <v>0</v>
      </c>
      <c r="CI14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4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4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4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4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4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4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4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42" s="43" t="n">
        <f aca="false">IF(AND(Tasks[[#This Row],[_IsLeaf]]=1,Tasks[[#This Row],[_LeafWork]]&gt;0),NETWORKDAYS.INTL(ProjectStart,Tasks[[#This Row],[_LeafFcstStart]],WorkWeek,Holidays),0)</f>
        <v>0</v>
      </c>
      <c r="CR14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42" s="43" t="n">
        <f aca="false">IF(AND(Tasks[[#This Row],[_IsLeaf]]=1,Tasks[[#This Row],[_LeafWork]]&gt;0),Tasks[[#This Row],[_LeafWork]]/(Tasks[[#This Row],[_FinishWorkday]]-Tasks[[#This Row],[_StartWorkday]]+1),0)</f>
        <v>0</v>
      </c>
      <c r="CT142" s="43" t="n">
        <f aca="false">Tasks[[#This Row],[_WorkPerWorkday]]*(Tasks[[#This Row],[_StartWorkday]]-1)</f>
        <v>-0</v>
      </c>
      <c r="CU142" s="43" t="n">
        <f aca="false">IF(Tasks[[#This Row],[_IsLeaf]]=1,MAX(N(Tasks[[#This Row],[Duration]]),0.1),0)</f>
        <v>0</v>
      </c>
      <c r="CV142" s="43" t="n">
        <f aca="false">Tasks[[#This Row],[_WeightDur]]*Tasks[[#This Row],[_LeafProgress]]</f>
        <v>0</v>
      </c>
      <c r="CW14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4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4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4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4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42" s="43" t="str">
        <f aca="false">IF(AND(Tasks[[#This Row],[_IsLeaf]]=1,N(Tasks[[#This Row],[Duration]])=0,Tasks[[#This Row],[_LeafProgress]]&lt;1),Tasks[[#This Row],[_LeafFcstFinish]]+Tasks[[#This Row],[_Row]]/100000,"")</f>
        <v/>
      </c>
      <c r="DC14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42" s="43" t="n">
        <f aca="false">IF(NOT(Tasks[[#This Row],[_IsLeaf]]=1),0,IF(Tasks[[#This Row],[Baseline Cost]]="",Tasks[[#This Row],[_LeafCost]],N(Tasks[[#This Row],[Baseline Cost]])))</f>
        <v>0</v>
      </c>
      <c r="DE142" s="43" t="n">
        <f aca="false">Tasks[[#This Row],[_LeafBudget]]*Tasks[[#This Row],[_PlannedPct]]</f>
        <v>0</v>
      </c>
      <c r="DF142" s="43" t="n">
        <f aca="false">Tasks[[#This Row],[_LeafBudget]]*Tasks[[#This Row],[_LeafProgress]]</f>
        <v>0</v>
      </c>
      <c r="DG142" s="43" t="n">
        <f aca="false">IF(NOT(Tasks[[#This Row],[_IsLeaf]]=1),0,IF(Tasks[[#This Row],[Actual Cost]]="",Tasks[[#This Row],[_LeafCost]]*Tasks[[#This Row],[_LeafProgress]],N(Tasks[[#This Row],[Actual Cost]])))</f>
        <v>0</v>
      </c>
      <c r="DH142" s="43" t="str">
        <f aca="false">IF(Tasks[[#This Row],[Task Name]]="","",LEFT(Tasks[[#This Row],[WBS]],FIND(".",Tasks[[#This Row],[WBS]]&amp;".")-1))</f>
        <v/>
      </c>
      <c r="DI142" s="43" t="str">
        <f aca="false">IF(AND(Tasks[[#This Row],[Task Name]]&lt;&gt;"",Tasks[[#This Row],[_Level]]=1),Tasks[[#This Row],[_Row]],"")</f>
        <v/>
      </c>
      <c r="DJ142" s="43" t="str">
        <f aca="false">IF(AND(Tasks[[#This Row],[_IsLeaf]]=1,N(Tasks[[#This Row],[Duration]])=0),Tasks[[#This Row],[Planned Finish]]+Tasks[[#This Row],[_Row]]/100000,"")</f>
        <v/>
      </c>
      <c r="DK14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4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4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42" s="43" t="str">
        <f aca="false">IF(Tasks[[#This Row],[_LeafCritical]],Tasks[[#This Row],[_LeafFcstStart]]+Tasks[[#This Row],[_Row]]/100000,"")</f>
        <v/>
      </c>
      <c r="DO142" s="43" t="n">
        <f aca="false">Tasks[[#This Row],[_LeafWork]]*Tasks[[#This Row],[_LeafProgress]]</f>
        <v>0</v>
      </c>
      <c r="DP14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42" s="43" t="n">
        <f aca="false">IF(Tasks[[#This Row],[_IsLeaf]]=1,N(Tasks[[#This Row],[Story Points]]),0)</f>
        <v>0</v>
      </c>
      <c r="DR142" s="43" t="str">
        <f aca="false">IF(AND(Tasks[[#This Row],[_IsLeaf]]=1,CurrentSprint&lt;&gt;"",Tasks[[#This Row],[Sprint]]=CurrentSprint),Tasks[[#This Row],[_Row]],"")</f>
        <v/>
      </c>
    </row>
    <row r="143" customFormat="false" ht="15" hidden="false" customHeight="false" outlineLevel="0" collapsed="false">
      <c r="A143" s="28" t="str">
        <f aca="false">IF(Tasks[[#This Row],[Task Name]]="","",COUNTA(Tasks[[#Headers],[Task Name]]:Tasks[[#This Row],[Task Name]])-1)</f>
        <v/>
      </c>
      <c r="B143" s="29" t="n">
        <v>138</v>
      </c>
      <c r="C14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43" s="29"/>
      <c r="E143" s="30"/>
      <c r="F143" s="29"/>
      <c r="G143" s="29"/>
      <c r="H143" s="29"/>
      <c r="I143" s="29"/>
      <c r="J143" s="29"/>
      <c r="K143" s="29"/>
      <c r="L143" s="29"/>
      <c r="M143" s="29"/>
      <c r="N143" s="72"/>
      <c r="O143" s="72"/>
      <c r="P143" s="25" t="str">
        <f aca="false">IF(Tasks[[#This Row],[Task Name]]="","",IF(N(Tasks[[#This Row],[Baseline Start]])&gt;0,Tasks[[#This Row],[Baseline Start]],Tasks[[#This Row],[_CalcStart]]))</f>
        <v/>
      </c>
      <c r="Q143" s="25" t="str">
        <f aca="false">IF(Tasks[[#This Row],[Task Name]]="","",IF(N(Tasks[[#This Row],[Baseline Finish]])&gt;0,Tasks[[#This Row],[Baseline Finish]],Tasks[[#This Row],[_CalcFinish]]))</f>
        <v/>
      </c>
      <c r="R143" s="72"/>
      <c r="S143" s="72"/>
      <c r="T14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4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4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4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4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4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4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4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4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4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4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43" s="74"/>
      <c r="AF14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4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43" s="30"/>
      <c r="AI143" s="74"/>
      <c r="AJ14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4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43" s="83"/>
      <c r="AM143" s="29"/>
      <c r="AN14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43" s="84"/>
      <c r="AP14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43" s="30"/>
      <c r="AR143" s="25" t="str">
        <f aca="false">IF(Tasks[[#This Row],[Task Name]]="","",Tasks[[#This Row],[Forecast Start]])</f>
        <v/>
      </c>
      <c r="AS143" s="25" t="str">
        <f aca="false">IF(Tasks[[#This Row],[Task Name]]="","",Tasks[[#This Row],[Forecast Finish]])</f>
        <v/>
      </c>
      <c r="AT14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43" s="81" t="str">
        <f aca="false">IF(Tasks[[#This Row],[Task Name]]="","",Tasks[[#This Row],[Work]])</f>
        <v/>
      </c>
      <c r="AV143" s="82" t="str">
        <f aca="false">IF(Tasks[[#This Row],[Task Name]]="","",Tasks[[#This Row],[Cost]])</f>
        <v/>
      </c>
      <c r="AW143" s="72"/>
      <c r="AX143" s="72"/>
      <c r="AY143" s="29"/>
      <c r="AZ143" s="85"/>
      <c r="BA143" s="83"/>
      <c r="BB143" s="28" t="str">
        <f aca="false">IF(OR(Tasks[[#This Row],[Task Name]]="",Tasks[[#This Row],[Baseline Duration]]=""),"",Tasks[[#This Row],[BL Source Duration]]-N(Tasks[[#This Row],[Baseline Duration]]))</f>
        <v/>
      </c>
      <c r="BC143" s="81" t="str">
        <f aca="false">IF(OR(Tasks[[#This Row],[Task Name]]="",Tasks[[#This Row],[Baseline Work]]=""),"",Tasks[[#This Row],[Work]]-N(Tasks[[#This Row],[Baseline Work]]))</f>
        <v/>
      </c>
      <c r="BD143" s="82" t="str">
        <f aca="false">IF(OR(Tasks[[#This Row],[Task Name]]="",Tasks[[#This Row],[Baseline Cost]]=""),"",Tasks[[#This Row],[Cost]]-N(Tasks[[#This Row],[Baseline Cost]]))</f>
        <v/>
      </c>
      <c r="BE14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4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4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4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43" s="43" t="str">
        <f aca="false">IF(Tasks[[#This Row],[Task Name]]="","",MAX(1,N(Tasks[[#This Row],[Level]])))</f>
        <v/>
      </c>
      <c r="BJ143" s="43" t="n">
        <f aca="false">ROW()-ROW(Tasks[[#Headers],[ID]])</f>
        <v>138</v>
      </c>
      <c r="BK14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43" s="43" t="n">
        <f aca="false">IFERROR(N(INDEX(Tasks[_Level],Tasks[[#This Row],[_Row]]+1)),0)</f>
        <v>0</v>
      </c>
      <c r="BM143" s="86" t="b">
        <f aca="false">AND(Tasks[[#This Row],[Task Name]]&lt;&gt;"",Tasks[[#This Row],[_NextLevel]]&gt;Tasks[[#This Row],[_Level]])</f>
        <v>0</v>
      </c>
      <c r="BN143" s="43" t="n">
        <f aca="false">IF(Tasks[[#This Row],[_IsSummary]],COUNTIF(Tasks[WBS],Tasks[[#This Row],[WBS]]&amp;".*"),0)</f>
        <v>0</v>
      </c>
      <c r="BO143" s="43" t="n">
        <f aca="false">IF(AND(Tasks[[#This Row],[Task Name]]&lt;&gt;"",NOT(Tasks[[#This Row],[_IsSummary]])),1,0)</f>
        <v>0</v>
      </c>
      <c r="BP143" s="43" t="n">
        <f aca="false">IF(N(Tasks[[#This Row],[Pred1 UID]])=0,0,IFERROR(MATCH(Tasks[[#This Row],[Pred1 UID]],Tasks[UID],0),-1))</f>
        <v>0</v>
      </c>
      <c r="BQ143" s="43" t="n">
        <f aca="false">IF(N(Tasks[[#This Row],[Pred2 UID]])=0,0,IFERROR(MATCH(Tasks[[#This Row],[Pred2 UID]],Tasks[UID],0),-1))</f>
        <v>0</v>
      </c>
      <c r="BR14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4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4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4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43" s="43" t="n">
        <f aca="false">IF(NOT(Tasks[[#This Row],[_IsLeaf]]=1),0,IF(N(Tasks[[#This Row],[Actual Finish]])&gt;0,1,MIN(1,N(Tasks[[#This Row],[% Complete]]))))</f>
        <v>0</v>
      </c>
      <c r="BW14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43" s="43" t="n">
        <f aca="false">IF(Tasks[[#This Row],[_LeafWork]]=0,0,Tasks[[#This Row],[_LeafWork]]*IFERROR(INDEX(res_Rate,MATCH(Tasks[[#This Row],[Resource]],res_Name,0)),0))</f>
        <v>0</v>
      </c>
      <c r="BY14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4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4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4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43" s="43" t="n">
        <f aca="false">IF(NOT(Tasks[[#This Row],[_IsLeaf]]=1),0,MAX(_xlfn.MAXIFS(Tasks[_Row],Tasks[Pred1 UID],Tasks[[#This Row],[UID]]),_xlfn.MAXIFS(Tasks[_Row],Tasks[Pred2 UID],Tasks[[#This Row],[UID]])))</f>
        <v>0</v>
      </c>
      <c r="CD14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43" s="87" t="str">
        <f aca="false">IF(NOT(Tasks[[#This Row],[_IsLeaf]]=1),"",MIN(ProjectFinish,IF(N(Tasks[[#This Row],[Deadline]])&gt;0,Tasks[[#This Row],[Deadline]],2958465),Tasks[[#This Row],[_SuccessorFinishLimit]]))</f>
        <v/>
      </c>
      <c r="CF14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4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43" s="86" t="b">
        <f aca="false">AND(Tasks[[#This Row],[_IsLeaf]]=1,Tasks[[#This Row],[_LeafProgress]]&lt;1,N(Tasks[[#This Row],[_LeafTotalSlack]])&lt;=CriticalSlackDays)</f>
        <v>0</v>
      </c>
      <c r="CI14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4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4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4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4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4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4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4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43" s="43" t="n">
        <f aca="false">IF(AND(Tasks[[#This Row],[_IsLeaf]]=1,Tasks[[#This Row],[_LeafWork]]&gt;0),NETWORKDAYS.INTL(ProjectStart,Tasks[[#This Row],[_LeafFcstStart]],WorkWeek,Holidays),0)</f>
        <v>0</v>
      </c>
      <c r="CR14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43" s="43" t="n">
        <f aca="false">IF(AND(Tasks[[#This Row],[_IsLeaf]]=1,Tasks[[#This Row],[_LeafWork]]&gt;0),Tasks[[#This Row],[_LeafWork]]/(Tasks[[#This Row],[_FinishWorkday]]-Tasks[[#This Row],[_StartWorkday]]+1),0)</f>
        <v>0</v>
      </c>
      <c r="CT143" s="43" t="n">
        <f aca="false">Tasks[[#This Row],[_WorkPerWorkday]]*(Tasks[[#This Row],[_StartWorkday]]-1)</f>
        <v>-0</v>
      </c>
      <c r="CU143" s="43" t="n">
        <f aca="false">IF(Tasks[[#This Row],[_IsLeaf]]=1,MAX(N(Tasks[[#This Row],[Duration]]),0.1),0)</f>
        <v>0</v>
      </c>
      <c r="CV143" s="43" t="n">
        <f aca="false">Tasks[[#This Row],[_WeightDur]]*Tasks[[#This Row],[_LeafProgress]]</f>
        <v>0</v>
      </c>
      <c r="CW14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4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4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4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4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43" s="43" t="str">
        <f aca="false">IF(AND(Tasks[[#This Row],[_IsLeaf]]=1,N(Tasks[[#This Row],[Duration]])=0,Tasks[[#This Row],[_LeafProgress]]&lt;1),Tasks[[#This Row],[_LeafFcstFinish]]+Tasks[[#This Row],[_Row]]/100000,"")</f>
        <v/>
      </c>
      <c r="DC14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43" s="43" t="n">
        <f aca="false">IF(NOT(Tasks[[#This Row],[_IsLeaf]]=1),0,IF(Tasks[[#This Row],[Baseline Cost]]="",Tasks[[#This Row],[_LeafCost]],N(Tasks[[#This Row],[Baseline Cost]])))</f>
        <v>0</v>
      </c>
      <c r="DE143" s="43" t="n">
        <f aca="false">Tasks[[#This Row],[_LeafBudget]]*Tasks[[#This Row],[_PlannedPct]]</f>
        <v>0</v>
      </c>
      <c r="DF143" s="43" t="n">
        <f aca="false">Tasks[[#This Row],[_LeafBudget]]*Tasks[[#This Row],[_LeafProgress]]</f>
        <v>0</v>
      </c>
      <c r="DG143" s="43" t="n">
        <f aca="false">IF(NOT(Tasks[[#This Row],[_IsLeaf]]=1),0,IF(Tasks[[#This Row],[Actual Cost]]="",Tasks[[#This Row],[_LeafCost]]*Tasks[[#This Row],[_LeafProgress]],N(Tasks[[#This Row],[Actual Cost]])))</f>
        <v>0</v>
      </c>
      <c r="DH143" s="43" t="str">
        <f aca="false">IF(Tasks[[#This Row],[Task Name]]="","",LEFT(Tasks[[#This Row],[WBS]],FIND(".",Tasks[[#This Row],[WBS]]&amp;".")-1))</f>
        <v/>
      </c>
      <c r="DI143" s="43" t="str">
        <f aca="false">IF(AND(Tasks[[#This Row],[Task Name]]&lt;&gt;"",Tasks[[#This Row],[_Level]]=1),Tasks[[#This Row],[_Row]],"")</f>
        <v/>
      </c>
      <c r="DJ143" s="43" t="str">
        <f aca="false">IF(AND(Tasks[[#This Row],[_IsLeaf]]=1,N(Tasks[[#This Row],[Duration]])=0),Tasks[[#This Row],[Planned Finish]]+Tasks[[#This Row],[_Row]]/100000,"")</f>
        <v/>
      </c>
      <c r="DK14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4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4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43" s="43" t="str">
        <f aca="false">IF(Tasks[[#This Row],[_LeafCritical]],Tasks[[#This Row],[_LeafFcstStart]]+Tasks[[#This Row],[_Row]]/100000,"")</f>
        <v/>
      </c>
      <c r="DO143" s="43" t="n">
        <f aca="false">Tasks[[#This Row],[_LeafWork]]*Tasks[[#This Row],[_LeafProgress]]</f>
        <v>0</v>
      </c>
      <c r="DP14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43" s="43" t="n">
        <f aca="false">IF(Tasks[[#This Row],[_IsLeaf]]=1,N(Tasks[[#This Row],[Story Points]]),0)</f>
        <v>0</v>
      </c>
      <c r="DR143" s="43" t="str">
        <f aca="false">IF(AND(Tasks[[#This Row],[_IsLeaf]]=1,CurrentSprint&lt;&gt;"",Tasks[[#This Row],[Sprint]]=CurrentSprint),Tasks[[#This Row],[_Row]],"")</f>
        <v/>
      </c>
    </row>
    <row r="144" customFormat="false" ht="15" hidden="false" customHeight="false" outlineLevel="0" collapsed="false">
      <c r="A144" s="28" t="str">
        <f aca="false">IF(Tasks[[#This Row],[Task Name]]="","",COUNTA(Tasks[[#Headers],[Task Name]]:Tasks[[#This Row],[Task Name]])-1)</f>
        <v/>
      </c>
      <c r="B144" s="29" t="n">
        <v>139</v>
      </c>
      <c r="C14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44" s="29"/>
      <c r="E144" s="30"/>
      <c r="F144" s="29"/>
      <c r="G144" s="29"/>
      <c r="H144" s="29"/>
      <c r="I144" s="29"/>
      <c r="J144" s="29"/>
      <c r="K144" s="29"/>
      <c r="L144" s="29"/>
      <c r="M144" s="29"/>
      <c r="N144" s="72"/>
      <c r="O144" s="72"/>
      <c r="P144" s="25" t="str">
        <f aca="false">IF(Tasks[[#This Row],[Task Name]]="","",IF(N(Tasks[[#This Row],[Baseline Start]])&gt;0,Tasks[[#This Row],[Baseline Start]],Tasks[[#This Row],[_CalcStart]]))</f>
        <v/>
      </c>
      <c r="Q144" s="25" t="str">
        <f aca="false">IF(Tasks[[#This Row],[Task Name]]="","",IF(N(Tasks[[#This Row],[Baseline Finish]])&gt;0,Tasks[[#This Row],[Baseline Finish]],Tasks[[#This Row],[_CalcFinish]]))</f>
        <v/>
      </c>
      <c r="R144" s="72"/>
      <c r="S144" s="72"/>
      <c r="T14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4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4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4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4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4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4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4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4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4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4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44" s="74"/>
      <c r="AF14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4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44" s="30"/>
      <c r="AI144" s="74"/>
      <c r="AJ14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4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44" s="83"/>
      <c r="AM144" s="29"/>
      <c r="AN14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44" s="84"/>
      <c r="AP14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44" s="30"/>
      <c r="AR144" s="25" t="str">
        <f aca="false">IF(Tasks[[#This Row],[Task Name]]="","",Tasks[[#This Row],[Forecast Start]])</f>
        <v/>
      </c>
      <c r="AS144" s="25" t="str">
        <f aca="false">IF(Tasks[[#This Row],[Task Name]]="","",Tasks[[#This Row],[Forecast Finish]])</f>
        <v/>
      </c>
      <c r="AT14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44" s="81" t="str">
        <f aca="false">IF(Tasks[[#This Row],[Task Name]]="","",Tasks[[#This Row],[Work]])</f>
        <v/>
      </c>
      <c r="AV144" s="82" t="str">
        <f aca="false">IF(Tasks[[#This Row],[Task Name]]="","",Tasks[[#This Row],[Cost]])</f>
        <v/>
      </c>
      <c r="AW144" s="72"/>
      <c r="AX144" s="72"/>
      <c r="AY144" s="29"/>
      <c r="AZ144" s="85"/>
      <c r="BA144" s="83"/>
      <c r="BB144" s="28" t="str">
        <f aca="false">IF(OR(Tasks[[#This Row],[Task Name]]="",Tasks[[#This Row],[Baseline Duration]]=""),"",Tasks[[#This Row],[BL Source Duration]]-N(Tasks[[#This Row],[Baseline Duration]]))</f>
        <v/>
      </c>
      <c r="BC144" s="81" t="str">
        <f aca="false">IF(OR(Tasks[[#This Row],[Task Name]]="",Tasks[[#This Row],[Baseline Work]]=""),"",Tasks[[#This Row],[Work]]-N(Tasks[[#This Row],[Baseline Work]]))</f>
        <v/>
      </c>
      <c r="BD144" s="82" t="str">
        <f aca="false">IF(OR(Tasks[[#This Row],[Task Name]]="",Tasks[[#This Row],[Baseline Cost]]=""),"",Tasks[[#This Row],[Cost]]-N(Tasks[[#This Row],[Baseline Cost]]))</f>
        <v/>
      </c>
      <c r="BE14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4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4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4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44" s="43" t="str">
        <f aca="false">IF(Tasks[[#This Row],[Task Name]]="","",MAX(1,N(Tasks[[#This Row],[Level]])))</f>
        <v/>
      </c>
      <c r="BJ144" s="43" t="n">
        <f aca="false">ROW()-ROW(Tasks[[#Headers],[ID]])</f>
        <v>139</v>
      </c>
      <c r="BK14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44" s="43" t="n">
        <f aca="false">IFERROR(N(INDEX(Tasks[_Level],Tasks[[#This Row],[_Row]]+1)),0)</f>
        <v>0</v>
      </c>
      <c r="BM144" s="86" t="b">
        <f aca="false">AND(Tasks[[#This Row],[Task Name]]&lt;&gt;"",Tasks[[#This Row],[_NextLevel]]&gt;Tasks[[#This Row],[_Level]])</f>
        <v>0</v>
      </c>
      <c r="BN144" s="43" t="n">
        <f aca="false">IF(Tasks[[#This Row],[_IsSummary]],COUNTIF(Tasks[WBS],Tasks[[#This Row],[WBS]]&amp;".*"),0)</f>
        <v>0</v>
      </c>
      <c r="BO144" s="43" t="n">
        <f aca="false">IF(AND(Tasks[[#This Row],[Task Name]]&lt;&gt;"",NOT(Tasks[[#This Row],[_IsSummary]])),1,0)</f>
        <v>0</v>
      </c>
      <c r="BP144" s="43" t="n">
        <f aca="false">IF(N(Tasks[[#This Row],[Pred1 UID]])=0,0,IFERROR(MATCH(Tasks[[#This Row],[Pred1 UID]],Tasks[UID],0),-1))</f>
        <v>0</v>
      </c>
      <c r="BQ144" s="43" t="n">
        <f aca="false">IF(N(Tasks[[#This Row],[Pred2 UID]])=0,0,IFERROR(MATCH(Tasks[[#This Row],[Pred2 UID]],Tasks[UID],0),-1))</f>
        <v>0</v>
      </c>
      <c r="BR14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4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4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4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44" s="43" t="n">
        <f aca="false">IF(NOT(Tasks[[#This Row],[_IsLeaf]]=1),0,IF(N(Tasks[[#This Row],[Actual Finish]])&gt;0,1,MIN(1,N(Tasks[[#This Row],[% Complete]]))))</f>
        <v>0</v>
      </c>
      <c r="BW14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44" s="43" t="n">
        <f aca="false">IF(Tasks[[#This Row],[_LeafWork]]=0,0,Tasks[[#This Row],[_LeafWork]]*IFERROR(INDEX(res_Rate,MATCH(Tasks[[#This Row],[Resource]],res_Name,0)),0))</f>
        <v>0</v>
      </c>
      <c r="BY14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4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4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4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44" s="43" t="n">
        <f aca="false">IF(NOT(Tasks[[#This Row],[_IsLeaf]]=1),0,MAX(_xlfn.MAXIFS(Tasks[_Row],Tasks[Pred1 UID],Tasks[[#This Row],[UID]]),_xlfn.MAXIFS(Tasks[_Row],Tasks[Pred2 UID],Tasks[[#This Row],[UID]])))</f>
        <v>0</v>
      </c>
      <c r="CD14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44" s="87" t="str">
        <f aca="false">IF(NOT(Tasks[[#This Row],[_IsLeaf]]=1),"",MIN(ProjectFinish,IF(N(Tasks[[#This Row],[Deadline]])&gt;0,Tasks[[#This Row],[Deadline]],2958465),Tasks[[#This Row],[_SuccessorFinishLimit]]))</f>
        <v/>
      </c>
      <c r="CF14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4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44" s="86" t="b">
        <f aca="false">AND(Tasks[[#This Row],[_IsLeaf]]=1,Tasks[[#This Row],[_LeafProgress]]&lt;1,N(Tasks[[#This Row],[_LeafTotalSlack]])&lt;=CriticalSlackDays)</f>
        <v>0</v>
      </c>
      <c r="CI14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4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4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4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4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4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4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4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44" s="43" t="n">
        <f aca="false">IF(AND(Tasks[[#This Row],[_IsLeaf]]=1,Tasks[[#This Row],[_LeafWork]]&gt;0),NETWORKDAYS.INTL(ProjectStart,Tasks[[#This Row],[_LeafFcstStart]],WorkWeek,Holidays),0)</f>
        <v>0</v>
      </c>
      <c r="CR14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44" s="43" t="n">
        <f aca="false">IF(AND(Tasks[[#This Row],[_IsLeaf]]=1,Tasks[[#This Row],[_LeafWork]]&gt;0),Tasks[[#This Row],[_LeafWork]]/(Tasks[[#This Row],[_FinishWorkday]]-Tasks[[#This Row],[_StartWorkday]]+1),0)</f>
        <v>0</v>
      </c>
      <c r="CT144" s="43" t="n">
        <f aca="false">Tasks[[#This Row],[_WorkPerWorkday]]*(Tasks[[#This Row],[_StartWorkday]]-1)</f>
        <v>-0</v>
      </c>
      <c r="CU144" s="43" t="n">
        <f aca="false">IF(Tasks[[#This Row],[_IsLeaf]]=1,MAX(N(Tasks[[#This Row],[Duration]]),0.1),0)</f>
        <v>0</v>
      </c>
      <c r="CV144" s="43" t="n">
        <f aca="false">Tasks[[#This Row],[_WeightDur]]*Tasks[[#This Row],[_LeafProgress]]</f>
        <v>0</v>
      </c>
      <c r="CW14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4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4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4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4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44" s="43" t="str">
        <f aca="false">IF(AND(Tasks[[#This Row],[_IsLeaf]]=1,N(Tasks[[#This Row],[Duration]])=0,Tasks[[#This Row],[_LeafProgress]]&lt;1),Tasks[[#This Row],[_LeafFcstFinish]]+Tasks[[#This Row],[_Row]]/100000,"")</f>
        <v/>
      </c>
      <c r="DC14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44" s="43" t="n">
        <f aca="false">IF(NOT(Tasks[[#This Row],[_IsLeaf]]=1),0,IF(Tasks[[#This Row],[Baseline Cost]]="",Tasks[[#This Row],[_LeafCost]],N(Tasks[[#This Row],[Baseline Cost]])))</f>
        <v>0</v>
      </c>
      <c r="DE144" s="43" t="n">
        <f aca="false">Tasks[[#This Row],[_LeafBudget]]*Tasks[[#This Row],[_PlannedPct]]</f>
        <v>0</v>
      </c>
      <c r="DF144" s="43" t="n">
        <f aca="false">Tasks[[#This Row],[_LeafBudget]]*Tasks[[#This Row],[_LeafProgress]]</f>
        <v>0</v>
      </c>
      <c r="DG144" s="43" t="n">
        <f aca="false">IF(NOT(Tasks[[#This Row],[_IsLeaf]]=1),0,IF(Tasks[[#This Row],[Actual Cost]]="",Tasks[[#This Row],[_LeafCost]]*Tasks[[#This Row],[_LeafProgress]],N(Tasks[[#This Row],[Actual Cost]])))</f>
        <v>0</v>
      </c>
      <c r="DH144" s="43" t="str">
        <f aca="false">IF(Tasks[[#This Row],[Task Name]]="","",LEFT(Tasks[[#This Row],[WBS]],FIND(".",Tasks[[#This Row],[WBS]]&amp;".")-1))</f>
        <v/>
      </c>
      <c r="DI144" s="43" t="str">
        <f aca="false">IF(AND(Tasks[[#This Row],[Task Name]]&lt;&gt;"",Tasks[[#This Row],[_Level]]=1),Tasks[[#This Row],[_Row]],"")</f>
        <v/>
      </c>
      <c r="DJ144" s="43" t="str">
        <f aca="false">IF(AND(Tasks[[#This Row],[_IsLeaf]]=1,N(Tasks[[#This Row],[Duration]])=0),Tasks[[#This Row],[Planned Finish]]+Tasks[[#This Row],[_Row]]/100000,"")</f>
        <v/>
      </c>
      <c r="DK14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4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4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44" s="43" t="str">
        <f aca="false">IF(Tasks[[#This Row],[_LeafCritical]],Tasks[[#This Row],[_LeafFcstStart]]+Tasks[[#This Row],[_Row]]/100000,"")</f>
        <v/>
      </c>
      <c r="DO144" s="43" t="n">
        <f aca="false">Tasks[[#This Row],[_LeafWork]]*Tasks[[#This Row],[_LeafProgress]]</f>
        <v>0</v>
      </c>
      <c r="DP14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44" s="43" t="n">
        <f aca="false">IF(Tasks[[#This Row],[_IsLeaf]]=1,N(Tasks[[#This Row],[Story Points]]),0)</f>
        <v>0</v>
      </c>
      <c r="DR144" s="43" t="str">
        <f aca="false">IF(AND(Tasks[[#This Row],[_IsLeaf]]=1,CurrentSprint&lt;&gt;"",Tasks[[#This Row],[Sprint]]=CurrentSprint),Tasks[[#This Row],[_Row]],"")</f>
        <v/>
      </c>
    </row>
    <row r="145" customFormat="false" ht="15" hidden="false" customHeight="false" outlineLevel="0" collapsed="false">
      <c r="A145" s="28" t="str">
        <f aca="false">IF(Tasks[[#This Row],[Task Name]]="","",COUNTA(Tasks[[#Headers],[Task Name]]:Tasks[[#This Row],[Task Name]])-1)</f>
        <v/>
      </c>
      <c r="B145" s="29" t="n">
        <v>140</v>
      </c>
      <c r="C14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45" s="29"/>
      <c r="E145" s="30"/>
      <c r="F145" s="29"/>
      <c r="G145" s="29"/>
      <c r="H145" s="29"/>
      <c r="I145" s="29"/>
      <c r="J145" s="29"/>
      <c r="K145" s="29"/>
      <c r="L145" s="29"/>
      <c r="M145" s="29"/>
      <c r="N145" s="72"/>
      <c r="O145" s="72"/>
      <c r="P145" s="25" t="str">
        <f aca="false">IF(Tasks[[#This Row],[Task Name]]="","",IF(N(Tasks[[#This Row],[Baseline Start]])&gt;0,Tasks[[#This Row],[Baseline Start]],Tasks[[#This Row],[_CalcStart]]))</f>
        <v/>
      </c>
      <c r="Q145" s="25" t="str">
        <f aca="false">IF(Tasks[[#This Row],[Task Name]]="","",IF(N(Tasks[[#This Row],[Baseline Finish]])&gt;0,Tasks[[#This Row],[Baseline Finish]],Tasks[[#This Row],[_CalcFinish]]))</f>
        <v/>
      </c>
      <c r="R145" s="72"/>
      <c r="S145" s="72"/>
      <c r="T14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4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4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4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4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4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4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4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4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4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4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45" s="74"/>
      <c r="AF14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4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45" s="30"/>
      <c r="AI145" s="74"/>
      <c r="AJ14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4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45" s="83"/>
      <c r="AM145" s="29"/>
      <c r="AN14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45" s="84"/>
      <c r="AP14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45" s="30"/>
      <c r="AR145" s="25" t="str">
        <f aca="false">IF(Tasks[[#This Row],[Task Name]]="","",Tasks[[#This Row],[Forecast Start]])</f>
        <v/>
      </c>
      <c r="AS145" s="25" t="str">
        <f aca="false">IF(Tasks[[#This Row],[Task Name]]="","",Tasks[[#This Row],[Forecast Finish]])</f>
        <v/>
      </c>
      <c r="AT14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45" s="81" t="str">
        <f aca="false">IF(Tasks[[#This Row],[Task Name]]="","",Tasks[[#This Row],[Work]])</f>
        <v/>
      </c>
      <c r="AV145" s="82" t="str">
        <f aca="false">IF(Tasks[[#This Row],[Task Name]]="","",Tasks[[#This Row],[Cost]])</f>
        <v/>
      </c>
      <c r="AW145" s="72"/>
      <c r="AX145" s="72"/>
      <c r="AY145" s="29"/>
      <c r="AZ145" s="85"/>
      <c r="BA145" s="83"/>
      <c r="BB145" s="28" t="str">
        <f aca="false">IF(OR(Tasks[[#This Row],[Task Name]]="",Tasks[[#This Row],[Baseline Duration]]=""),"",Tasks[[#This Row],[BL Source Duration]]-N(Tasks[[#This Row],[Baseline Duration]]))</f>
        <v/>
      </c>
      <c r="BC145" s="81" t="str">
        <f aca="false">IF(OR(Tasks[[#This Row],[Task Name]]="",Tasks[[#This Row],[Baseline Work]]=""),"",Tasks[[#This Row],[Work]]-N(Tasks[[#This Row],[Baseline Work]]))</f>
        <v/>
      </c>
      <c r="BD145" s="82" t="str">
        <f aca="false">IF(OR(Tasks[[#This Row],[Task Name]]="",Tasks[[#This Row],[Baseline Cost]]=""),"",Tasks[[#This Row],[Cost]]-N(Tasks[[#This Row],[Baseline Cost]]))</f>
        <v/>
      </c>
      <c r="BE14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4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4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4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45" s="43" t="str">
        <f aca="false">IF(Tasks[[#This Row],[Task Name]]="","",MAX(1,N(Tasks[[#This Row],[Level]])))</f>
        <v/>
      </c>
      <c r="BJ145" s="43" t="n">
        <f aca="false">ROW()-ROW(Tasks[[#Headers],[ID]])</f>
        <v>140</v>
      </c>
      <c r="BK14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45" s="43" t="n">
        <f aca="false">IFERROR(N(INDEX(Tasks[_Level],Tasks[[#This Row],[_Row]]+1)),0)</f>
        <v>0</v>
      </c>
      <c r="BM145" s="86" t="b">
        <f aca="false">AND(Tasks[[#This Row],[Task Name]]&lt;&gt;"",Tasks[[#This Row],[_NextLevel]]&gt;Tasks[[#This Row],[_Level]])</f>
        <v>0</v>
      </c>
      <c r="BN145" s="43" t="n">
        <f aca="false">IF(Tasks[[#This Row],[_IsSummary]],COUNTIF(Tasks[WBS],Tasks[[#This Row],[WBS]]&amp;".*"),0)</f>
        <v>0</v>
      </c>
      <c r="BO145" s="43" t="n">
        <f aca="false">IF(AND(Tasks[[#This Row],[Task Name]]&lt;&gt;"",NOT(Tasks[[#This Row],[_IsSummary]])),1,0)</f>
        <v>0</v>
      </c>
      <c r="BP145" s="43" t="n">
        <f aca="false">IF(N(Tasks[[#This Row],[Pred1 UID]])=0,0,IFERROR(MATCH(Tasks[[#This Row],[Pred1 UID]],Tasks[UID],0),-1))</f>
        <v>0</v>
      </c>
      <c r="BQ145" s="43" t="n">
        <f aca="false">IF(N(Tasks[[#This Row],[Pred2 UID]])=0,0,IFERROR(MATCH(Tasks[[#This Row],[Pred2 UID]],Tasks[UID],0),-1))</f>
        <v>0</v>
      </c>
      <c r="BR14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4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4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4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45" s="43" t="n">
        <f aca="false">IF(NOT(Tasks[[#This Row],[_IsLeaf]]=1),0,IF(N(Tasks[[#This Row],[Actual Finish]])&gt;0,1,MIN(1,N(Tasks[[#This Row],[% Complete]]))))</f>
        <v>0</v>
      </c>
      <c r="BW14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45" s="43" t="n">
        <f aca="false">IF(Tasks[[#This Row],[_LeafWork]]=0,0,Tasks[[#This Row],[_LeafWork]]*IFERROR(INDEX(res_Rate,MATCH(Tasks[[#This Row],[Resource]],res_Name,0)),0))</f>
        <v>0</v>
      </c>
      <c r="BY14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4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4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4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45" s="43" t="n">
        <f aca="false">IF(NOT(Tasks[[#This Row],[_IsLeaf]]=1),0,MAX(_xlfn.MAXIFS(Tasks[_Row],Tasks[Pred1 UID],Tasks[[#This Row],[UID]]),_xlfn.MAXIFS(Tasks[_Row],Tasks[Pred2 UID],Tasks[[#This Row],[UID]])))</f>
        <v>0</v>
      </c>
      <c r="CD14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45" s="87" t="str">
        <f aca="false">IF(NOT(Tasks[[#This Row],[_IsLeaf]]=1),"",MIN(ProjectFinish,IF(N(Tasks[[#This Row],[Deadline]])&gt;0,Tasks[[#This Row],[Deadline]],2958465),Tasks[[#This Row],[_SuccessorFinishLimit]]))</f>
        <v/>
      </c>
      <c r="CF14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4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45" s="86" t="b">
        <f aca="false">AND(Tasks[[#This Row],[_IsLeaf]]=1,Tasks[[#This Row],[_LeafProgress]]&lt;1,N(Tasks[[#This Row],[_LeafTotalSlack]])&lt;=CriticalSlackDays)</f>
        <v>0</v>
      </c>
      <c r="CI14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4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4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4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4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4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4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4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45" s="43" t="n">
        <f aca="false">IF(AND(Tasks[[#This Row],[_IsLeaf]]=1,Tasks[[#This Row],[_LeafWork]]&gt;0),NETWORKDAYS.INTL(ProjectStart,Tasks[[#This Row],[_LeafFcstStart]],WorkWeek,Holidays),0)</f>
        <v>0</v>
      </c>
      <c r="CR14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45" s="43" t="n">
        <f aca="false">IF(AND(Tasks[[#This Row],[_IsLeaf]]=1,Tasks[[#This Row],[_LeafWork]]&gt;0),Tasks[[#This Row],[_LeafWork]]/(Tasks[[#This Row],[_FinishWorkday]]-Tasks[[#This Row],[_StartWorkday]]+1),0)</f>
        <v>0</v>
      </c>
      <c r="CT145" s="43" t="n">
        <f aca="false">Tasks[[#This Row],[_WorkPerWorkday]]*(Tasks[[#This Row],[_StartWorkday]]-1)</f>
        <v>-0</v>
      </c>
      <c r="CU145" s="43" t="n">
        <f aca="false">IF(Tasks[[#This Row],[_IsLeaf]]=1,MAX(N(Tasks[[#This Row],[Duration]]),0.1),0)</f>
        <v>0</v>
      </c>
      <c r="CV145" s="43" t="n">
        <f aca="false">Tasks[[#This Row],[_WeightDur]]*Tasks[[#This Row],[_LeafProgress]]</f>
        <v>0</v>
      </c>
      <c r="CW14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4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4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4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4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45" s="43" t="str">
        <f aca="false">IF(AND(Tasks[[#This Row],[_IsLeaf]]=1,N(Tasks[[#This Row],[Duration]])=0,Tasks[[#This Row],[_LeafProgress]]&lt;1),Tasks[[#This Row],[_LeafFcstFinish]]+Tasks[[#This Row],[_Row]]/100000,"")</f>
        <v/>
      </c>
      <c r="DC14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45" s="43" t="n">
        <f aca="false">IF(NOT(Tasks[[#This Row],[_IsLeaf]]=1),0,IF(Tasks[[#This Row],[Baseline Cost]]="",Tasks[[#This Row],[_LeafCost]],N(Tasks[[#This Row],[Baseline Cost]])))</f>
        <v>0</v>
      </c>
      <c r="DE145" s="43" t="n">
        <f aca="false">Tasks[[#This Row],[_LeafBudget]]*Tasks[[#This Row],[_PlannedPct]]</f>
        <v>0</v>
      </c>
      <c r="DF145" s="43" t="n">
        <f aca="false">Tasks[[#This Row],[_LeafBudget]]*Tasks[[#This Row],[_LeafProgress]]</f>
        <v>0</v>
      </c>
      <c r="DG145" s="43" t="n">
        <f aca="false">IF(NOT(Tasks[[#This Row],[_IsLeaf]]=1),0,IF(Tasks[[#This Row],[Actual Cost]]="",Tasks[[#This Row],[_LeafCost]]*Tasks[[#This Row],[_LeafProgress]],N(Tasks[[#This Row],[Actual Cost]])))</f>
        <v>0</v>
      </c>
      <c r="DH145" s="43" t="str">
        <f aca="false">IF(Tasks[[#This Row],[Task Name]]="","",LEFT(Tasks[[#This Row],[WBS]],FIND(".",Tasks[[#This Row],[WBS]]&amp;".")-1))</f>
        <v/>
      </c>
      <c r="DI145" s="43" t="str">
        <f aca="false">IF(AND(Tasks[[#This Row],[Task Name]]&lt;&gt;"",Tasks[[#This Row],[_Level]]=1),Tasks[[#This Row],[_Row]],"")</f>
        <v/>
      </c>
      <c r="DJ145" s="43" t="str">
        <f aca="false">IF(AND(Tasks[[#This Row],[_IsLeaf]]=1,N(Tasks[[#This Row],[Duration]])=0),Tasks[[#This Row],[Planned Finish]]+Tasks[[#This Row],[_Row]]/100000,"")</f>
        <v/>
      </c>
      <c r="DK14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4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4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45" s="43" t="str">
        <f aca="false">IF(Tasks[[#This Row],[_LeafCritical]],Tasks[[#This Row],[_LeafFcstStart]]+Tasks[[#This Row],[_Row]]/100000,"")</f>
        <v/>
      </c>
      <c r="DO145" s="43" t="n">
        <f aca="false">Tasks[[#This Row],[_LeafWork]]*Tasks[[#This Row],[_LeafProgress]]</f>
        <v>0</v>
      </c>
      <c r="DP14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45" s="43" t="n">
        <f aca="false">IF(Tasks[[#This Row],[_IsLeaf]]=1,N(Tasks[[#This Row],[Story Points]]),0)</f>
        <v>0</v>
      </c>
      <c r="DR145" s="43" t="str">
        <f aca="false">IF(AND(Tasks[[#This Row],[_IsLeaf]]=1,CurrentSprint&lt;&gt;"",Tasks[[#This Row],[Sprint]]=CurrentSprint),Tasks[[#This Row],[_Row]],"")</f>
        <v/>
      </c>
    </row>
    <row r="146" customFormat="false" ht="15" hidden="false" customHeight="false" outlineLevel="0" collapsed="false">
      <c r="A146" s="28" t="str">
        <f aca="false">IF(Tasks[[#This Row],[Task Name]]="","",COUNTA(Tasks[[#Headers],[Task Name]]:Tasks[[#This Row],[Task Name]])-1)</f>
        <v/>
      </c>
      <c r="B146" s="29" t="n">
        <v>141</v>
      </c>
      <c r="C14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46" s="29"/>
      <c r="E146" s="30"/>
      <c r="F146" s="29"/>
      <c r="G146" s="29"/>
      <c r="H146" s="29"/>
      <c r="I146" s="29"/>
      <c r="J146" s="29"/>
      <c r="K146" s="29"/>
      <c r="L146" s="29"/>
      <c r="M146" s="29"/>
      <c r="N146" s="72"/>
      <c r="O146" s="72"/>
      <c r="P146" s="25" t="str">
        <f aca="false">IF(Tasks[[#This Row],[Task Name]]="","",IF(N(Tasks[[#This Row],[Baseline Start]])&gt;0,Tasks[[#This Row],[Baseline Start]],Tasks[[#This Row],[_CalcStart]]))</f>
        <v/>
      </c>
      <c r="Q146" s="25" t="str">
        <f aca="false">IF(Tasks[[#This Row],[Task Name]]="","",IF(N(Tasks[[#This Row],[Baseline Finish]])&gt;0,Tasks[[#This Row],[Baseline Finish]],Tasks[[#This Row],[_CalcFinish]]))</f>
        <v/>
      </c>
      <c r="R146" s="72"/>
      <c r="S146" s="72"/>
      <c r="T14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4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4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4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4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4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4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4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4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4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4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46" s="74"/>
      <c r="AF14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4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46" s="30"/>
      <c r="AI146" s="74"/>
      <c r="AJ14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4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46" s="83"/>
      <c r="AM146" s="29"/>
      <c r="AN14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46" s="84"/>
      <c r="AP14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46" s="30"/>
      <c r="AR146" s="25" t="str">
        <f aca="false">IF(Tasks[[#This Row],[Task Name]]="","",Tasks[[#This Row],[Forecast Start]])</f>
        <v/>
      </c>
      <c r="AS146" s="25" t="str">
        <f aca="false">IF(Tasks[[#This Row],[Task Name]]="","",Tasks[[#This Row],[Forecast Finish]])</f>
        <v/>
      </c>
      <c r="AT14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46" s="81" t="str">
        <f aca="false">IF(Tasks[[#This Row],[Task Name]]="","",Tasks[[#This Row],[Work]])</f>
        <v/>
      </c>
      <c r="AV146" s="82" t="str">
        <f aca="false">IF(Tasks[[#This Row],[Task Name]]="","",Tasks[[#This Row],[Cost]])</f>
        <v/>
      </c>
      <c r="AW146" s="72"/>
      <c r="AX146" s="72"/>
      <c r="AY146" s="29"/>
      <c r="AZ146" s="85"/>
      <c r="BA146" s="83"/>
      <c r="BB146" s="28" t="str">
        <f aca="false">IF(OR(Tasks[[#This Row],[Task Name]]="",Tasks[[#This Row],[Baseline Duration]]=""),"",Tasks[[#This Row],[BL Source Duration]]-N(Tasks[[#This Row],[Baseline Duration]]))</f>
        <v/>
      </c>
      <c r="BC146" s="81" t="str">
        <f aca="false">IF(OR(Tasks[[#This Row],[Task Name]]="",Tasks[[#This Row],[Baseline Work]]=""),"",Tasks[[#This Row],[Work]]-N(Tasks[[#This Row],[Baseline Work]]))</f>
        <v/>
      </c>
      <c r="BD146" s="82" t="str">
        <f aca="false">IF(OR(Tasks[[#This Row],[Task Name]]="",Tasks[[#This Row],[Baseline Cost]]=""),"",Tasks[[#This Row],[Cost]]-N(Tasks[[#This Row],[Baseline Cost]]))</f>
        <v/>
      </c>
      <c r="BE14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4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4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4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46" s="43" t="str">
        <f aca="false">IF(Tasks[[#This Row],[Task Name]]="","",MAX(1,N(Tasks[[#This Row],[Level]])))</f>
        <v/>
      </c>
      <c r="BJ146" s="43" t="n">
        <f aca="false">ROW()-ROW(Tasks[[#Headers],[ID]])</f>
        <v>141</v>
      </c>
      <c r="BK14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46" s="43" t="n">
        <f aca="false">IFERROR(N(INDEX(Tasks[_Level],Tasks[[#This Row],[_Row]]+1)),0)</f>
        <v>0</v>
      </c>
      <c r="BM146" s="86" t="b">
        <f aca="false">AND(Tasks[[#This Row],[Task Name]]&lt;&gt;"",Tasks[[#This Row],[_NextLevel]]&gt;Tasks[[#This Row],[_Level]])</f>
        <v>0</v>
      </c>
      <c r="BN146" s="43" t="n">
        <f aca="false">IF(Tasks[[#This Row],[_IsSummary]],COUNTIF(Tasks[WBS],Tasks[[#This Row],[WBS]]&amp;".*"),0)</f>
        <v>0</v>
      </c>
      <c r="BO146" s="43" t="n">
        <f aca="false">IF(AND(Tasks[[#This Row],[Task Name]]&lt;&gt;"",NOT(Tasks[[#This Row],[_IsSummary]])),1,0)</f>
        <v>0</v>
      </c>
      <c r="BP146" s="43" t="n">
        <f aca="false">IF(N(Tasks[[#This Row],[Pred1 UID]])=0,0,IFERROR(MATCH(Tasks[[#This Row],[Pred1 UID]],Tasks[UID],0),-1))</f>
        <v>0</v>
      </c>
      <c r="BQ146" s="43" t="n">
        <f aca="false">IF(N(Tasks[[#This Row],[Pred2 UID]])=0,0,IFERROR(MATCH(Tasks[[#This Row],[Pred2 UID]],Tasks[UID],0),-1))</f>
        <v>0</v>
      </c>
      <c r="BR14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4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4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4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46" s="43" t="n">
        <f aca="false">IF(NOT(Tasks[[#This Row],[_IsLeaf]]=1),0,IF(N(Tasks[[#This Row],[Actual Finish]])&gt;0,1,MIN(1,N(Tasks[[#This Row],[% Complete]]))))</f>
        <v>0</v>
      </c>
      <c r="BW14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46" s="43" t="n">
        <f aca="false">IF(Tasks[[#This Row],[_LeafWork]]=0,0,Tasks[[#This Row],[_LeafWork]]*IFERROR(INDEX(res_Rate,MATCH(Tasks[[#This Row],[Resource]],res_Name,0)),0))</f>
        <v>0</v>
      </c>
      <c r="BY14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4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4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4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46" s="43" t="n">
        <f aca="false">IF(NOT(Tasks[[#This Row],[_IsLeaf]]=1),0,MAX(_xlfn.MAXIFS(Tasks[_Row],Tasks[Pred1 UID],Tasks[[#This Row],[UID]]),_xlfn.MAXIFS(Tasks[_Row],Tasks[Pred2 UID],Tasks[[#This Row],[UID]])))</f>
        <v>0</v>
      </c>
      <c r="CD14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46" s="87" t="str">
        <f aca="false">IF(NOT(Tasks[[#This Row],[_IsLeaf]]=1),"",MIN(ProjectFinish,IF(N(Tasks[[#This Row],[Deadline]])&gt;0,Tasks[[#This Row],[Deadline]],2958465),Tasks[[#This Row],[_SuccessorFinishLimit]]))</f>
        <v/>
      </c>
      <c r="CF14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4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46" s="86" t="b">
        <f aca="false">AND(Tasks[[#This Row],[_IsLeaf]]=1,Tasks[[#This Row],[_LeafProgress]]&lt;1,N(Tasks[[#This Row],[_LeafTotalSlack]])&lt;=CriticalSlackDays)</f>
        <v>0</v>
      </c>
      <c r="CI14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4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4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4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4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4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4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4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46" s="43" t="n">
        <f aca="false">IF(AND(Tasks[[#This Row],[_IsLeaf]]=1,Tasks[[#This Row],[_LeafWork]]&gt;0),NETWORKDAYS.INTL(ProjectStart,Tasks[[#This Row],[_LeafFcstStart]],WorkWeek,Holidays),0)</f>
        <v>0</v>
      </c>
      <c r="CR14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46" s="43" t="n">
        <f aca="false">IF(AND(Tasks[[#This Row],[_IsLeaf]]=1,Tasks[[#This Row],[_LeafWork]]&gt;0),Tasks[[#This Row],[_LeafWork]]/(Tasks[[#This Row],[_FinishWorkday]]-Tasks[[#This Row],[_StartWorkday]]+1),0)</f>
        <v>0</v>
      </c>
      <c r="CT146" s="43" t="n">
        <f aca="false">Tasks[[#This Row],[_WorkPerWorkday]]*(Tasks[[#This Row],[_StartWorkday]]-1)</f>
        <v>-0</v>
      </c>
      <c r="CU146" s="43" t="n">
        <f aca="false">IF(Tasks[[#This Row],[_IsLeaf]]=1,MAX(N(Tasks[[#This Row],[Duration]]),0.1),0)</f>
        <v>0</v>
      </c>
      <c r="CV146" s="43" t="n">
        <f aca="false">Tasks[[#This Row],[_WeightDur]]*Tasks[[#This Row],[_LeafProgress]]</f>
        <v>0</v>
      </c>
      <c r="CW14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4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4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4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4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46" s="43" t="str">
        <f aca="false">IF(AND(Tasks[[#This Row],[_IsLeaf]]=1,N(Tasks[[#This Row],[Duration]])=0,Tasks[[#This Row],[_LeafProgress]]&lt;1),Tasks[[#This Row],[_LeafFcstFinish]]+Tasks[[#This Row],[_Row]]/100000,"")</f>
        <v/>
      </c>
      <c r="DC14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46" s="43" t="n">
        <f aca="false">IF(NOT(Tasks[[#This Row],[_IsLeaf]]=1),0,IF(Tasks[[#This Row],[Baseline Cost]]="",Tasks[[#This Row],[_LeafCost]],N(Tasks[[#This Row],[Baseline Cost]])))</f>
        <v>0</v>
      </c>
      <c r="DE146" s="43" t="n">
        <f aca="false">Tasks[[#This Row],[_LeafBudget]]*Tasks[[#This Row],[_PlannedPct]]</f>
        <v>0</v>
      </c>
      <c r="DF146" s="43" t="n">
        <f aca="false">Tasks[[#This Row],[_LeafBudget]]*Tasks[[#This Row],[_LeafProgress]]</f>
        <v>0</v>
      </c>
      <c r="DG146" s="43" t="n">
        <f aca="false">IF(NOT(Tasks[[#This Row],[_IsLeaf]]=1),0,IF(Tasks[[#This Row],[Actual Cost]]="",Tasks[[#This Row],[_LeafCost]]*Tasks[[#This Row],[_LeafProgress]],N(Tasks[[#This Row],[Actual Cost]])))</f>
        <v>0</v>
      </c>
      <c r="DH146" s="43" t="str">
        <f aca="false">IF(Tasks[[#This Row],[Task Name]]="","",LEFT(Tasks[[#This Row],[WBS]],FIND(".",Tasks[[#This Row],[WBS]]&amp;".")-1))</f>
        <v/>
      </c>
      <c r="DI146" s="43" t="str">
        <f aca="false">IF(AND(Tasks[[#This Row],[Task Name]]&lt;&gt;"",Tasks[[#This Row],[_Level]]=1),Tasks[[#This Row],[_Row]],"")</f>
        <v/>
      </c>
      <c r="DJ146" s="43" t="str">
        <f aca="false">IF(AND(Tasks[[#This Row],[_IsLeaf]]=1,N(Tasks[[#This Row],[Duration]])=0),Tasks[[#This Row],[Planned Finish]]+Tasks[[#This Row],[_Row]]/100000,"")</f>
        <v/>
      </c>
      <c r="DK14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4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4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46" s="43" t="str">
        <f aca="false">IF(Tasks[[#This Row],[_LeafCritical]],Tasks[[#This Row],[_LeafFcstStart]]+Tasks[[#This Row],[_Row]]/100000,"")</f>
        <v/>
      </c>
      <c r="DO146" s="43" t="n">
        <f aca="false">Tasks[[#This Row],[_LeafWork]]*Tasks[[#This Row],[_LeafProgress]]</f>
        <v>0</v>
      </c>
      <c r="DP14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46" s="43" t="n">
        <f aca="false">IF(Tasks[[#This Row],[_IsLeaf]]=1,N(Tasks[[#This Row],[Story Points]]),0)</f>
        <v>0</v>
      </c>
      <c r="DR146" s="43" t="str">
        <f aca="false">IF(AND(Tasks[[#This Row],[_IsLeaf]]=1,CurrentSprint&lt;&gt;"",Tasks[[#This Row],[Sprint]]=CurrentSprint),Tasks[[#This Row],[_Row]],"")</f>
        <v/>
      </c>
    </row>
    <row r="147" customFormat="false" ht="15" hidden="false" customHeight="false" outlineLevel="0" collapsed="false">
      <c r="A147" s="28" t="str">
        <f aca="false">IF(Tasks[[#This Row],[Task Name]]="","",COUNTA(Tasks[[#Headers],[Task Name]]:Tasks[[#This Row],[Task Name]])-1)</f>
        <v/>
      </c>
      <c r="B147" s="29" t="n">
        <v>142</v>
      </c>
      <c r="C14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47" s="29"/>
      <c r="E147" s="30"/>
      <c r="F147" s="29"/>
      <c r="G147" s="29"/>
      <c r="H147" s="29"/>
      <c r="I147" s="29"/>
      <c r="J147" s="29"/>
      <c r="K147" s="29"/>
      <c r="L147" s="29"/>
      <c r="M147" s="29"/>
      <c r="N147" s="72"/>
      <c r="O147" s="72"/>
      <c r="P147" s="25" t="str">
        <f aca="false">IF(Tasks[[#This Row],[Task Name]]="","",IF(N(Tasks[[#This Row],[Baseline Start]])&gt;0,Tasks[[#This Row],[Baseline Start]],Tasks[[#This Row],[_CalcStart]]))</f>
        <v/>
      </c>
      <c r="Q147" s="25" t="str">
        <f aca="false">IF(Tasks[[#This Row],[Task Name]]="","",IF(N(Tasks[[#This Row],[Baseline Finish]])&gt;0,Tasks[[#This Row],[Baseline Finish]],Tasks[[#This Row],[_CalcFinish]]))</f>
        <v/>
      </c>
      <c r="R147" s="72"/>
      <c r="S147" s="72"/>
      <c r="T14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4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4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4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4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4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4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4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4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4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4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47" s="74"/>
      <c r="AF14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4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47" s="30"/>
      <c r="AI147" s="74"/>
      <c r="AJ14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4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47" s="83"/>
      <c r="AM147" s="29"/>
      <c r="AN14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47" s="84"/>
      <c r="AP14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47" s="30"/>
      <c r="AR147" s="25" t="str">
        <f aca="false">IF(Tasks[[#This Row],[Task Name]]="","",Tasks[[#This Row],[Forecast Start]])</f>
        <v/>
      </c>
      <c r="AS147" s="25" t="str">
        <f aca="false">IF(Tasks[[#This Row],[Task Name]]="","",Tasks[[#This Row],[Forecast Finish]])</f>
        <v/>
      </c>
      <c r="AT14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47" s="81" t="str">
        <f aca="false">IF(Tasks[[#This Row],[Task Name]]="","",Tasks[[#This Row],[Work]])</f>
        <v/>
      </c>
      <c r="AV147" s="82" t="str">
        <f aca="false">IF(Tasks[[#This Row],[Task Name]]="","",Tasks[[#This Row],[Cost]])</f>
        <v/>
      </c>
      <c r="AW147" s="72"/>
      <c r="AX147" s="72"/>
      <c r="AY147" s="29"/>
      <c r="AZ147" s="85"/>
      <c r="BA147" s="83"/>
      <c r="BB147" s="28" t="str">
        <f aca="false">IF(OR(Tasks[[#This Row],[Task Name]]="",Tasks[[#This Row],[Baseline Duration]]=""),"",Tasks[[#This Row],[BL Source Duration]]-N(Tasks[[#This Row],[Baseline Duration]]))</f>
        <v/>
      </c>
      <c r="BC147" s="81" t="str">
        <f aca="false">IF(OR(Tasks[[#This Row],[Task Name]]="",Tasks[[#This Row],[Baseline Work]]=""),"",Tasks[[#This Row],[Work]]-N(Tasks[[#This Row],[Baseline Work]]))</f>
        <v/>
      </c>
      <c r="BD147" s="82" t="str">
        <f aca="false">IF(OR(Tasks[[#This Row],[Task Name]]="",Tasks[[#This Row],[Baseline Cost]]=""),"",Tasks[[#This Row],[Cost]]-N(Tasks[[#This Row],[Baseline Cost]]))</f>
        <v/>
      </c>
      <c r="BE14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4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4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4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47" s="43" t="str">
        <f aca="false">IF(Tasks[[#This Row],[Task Name]]="","",MAX(1,N(Tasks[[#This Row],[Level]])))</f>
        <v/>
      </c>
      <c r="BJ147" s="43" t="n">
        <f aca="false">ROW()-ROW(Tasks[[#Headers],[ID]])</f>
        <v>142</v>
      </c>
      <c r="BK14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47" s="43" t="n">
        <f aca="false">IFERROR(N(INDEX(Tasks[_Level],Tasks[[#This Row],[_Row]]+1)),0)</f>
        <v>0</v>
      </c>
      <c r="BM147" s="86" t="b">
        <f aca="false">AND(Tasks[[#This Row],[Task Name]]&lt;&gt;"",Tasks[[#This Row],[_NextLevel]]&gt;Tasks[[#This Row],[_Level]])</f>
        <v>0</v>
      </c>
      <c r="BN147" s="43" t="n">
        <f aca="false">IF(Tasks[[#This Row],[_IsSummary]],COUNTIF(Tasks[WBS],Tasks[[#This Row],[WBS]]&amp;".*"),0)</f>
        <v>0</v>
      </c>
      <c r="BO147" s="43" t="n">
        <f aca="false">IF(AND(Tasks[[#This Row],[Task Name]]&lt;&gt;"",NOT(Tasks[[#This Row],[_IsSummary]])),1,0)</f>
        <v>0</v>
      </c>
      <c r="BP147" s="43" t="n">
        <f aca="false">IF(N(Tasks[[#This Row],[Pred1 UID]])=0,0,IFERROR(MATCH(Tasks[[#This Row],[Pred1 UID]],Tasks[UID],0),-1))</f>
        <v>0</v>
      </c>
      <c r="BQ147" s="43" t="n">
        <f aca="false">IF(N(Tasks[[#This Row],[Pred2 UID]])=0,0,IFERROR(MATCH(Tasks[[#This Row],[Pred2 UID]],Tasks[UID],0),-1))</f>
        <v>0</v>
      </c>
      <c r="BR14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4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4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4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47" s="43" t="n">
        <f aca="false">IF(NOT(Tasks[[#This Row],[_IsLeaf]]=1),0,IF(N(Tasks[[#This Row],[Actual Finish]])&gt;0,1,MIN(1,N(Tasks[[#This Row],[% Complete]]))))</f>
        <v>0</v>
      </c>
      <c r="BW14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47" s="43" t="n">
        <f aca="false">IF(Tasks[[#This Row],[_LeafWork]]=0,0,Tasks[[#This Row],[_LeafWork]]*IFERROR(INDEX(res_Rate,MATCH(Tasks[[#This Row],[Resource]],res_Name,0)),0))</f>
        <v>0</v>
      </c>
      <c r="BY14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4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4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4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47" s="43" t="n">
        <f aca="false">IF(NOT(Tasks[[#This Row],[_IsLeaf]]=1),0,MAX(_xlfn.MAXIFS(Tasks[_Row],Tasks[Pred1 UID],Tasks[[#This Row],[UID]]),_xlfn.MAXIFS(Tasks[_Row],Tasks[Pred2 UID],Tasks[[#This Row],[UID]])))</f>
        <v>0</v>
      </c>
      <c r="CD14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47" s="87" t="str">
        <f aca="false">IF(NOT(Tasks[[#This Row],[_IsLeaf]]=1),"",MIN(ProjectFinish,IF(N(Tasks[[#This Row],[Deadline]])&gt;0,Tasks[[#This Row],[Deadline]],2958465),Tasks[[#This Row],[_SuccessorFinishLimit]]))</f>
        <v/>
      </c>
      <c r="CF14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4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47" s="86" t="b">
        <f aca="false">AND(Tasks[[#This Row],[_IsLeaf]]=1,Tasks[[#This Row],[_LeafProgress]]&lt;1,N(Tasks[[#This Row],[_LeafTotalSlack]])&lt;=CriticalSlackDays)</f>
        <v>0</v>
      </c>
      <c r="CI14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4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4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4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4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4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4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4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47" s="43" t="n">
        <f aca="false">IF(AND(Tasks[[#This Row],[_IsLeaf]]=1,Tasks[[#This Row],[_LeafWork]]&gt;0),NETWORKDAYS.INTL(ProjectStart,Tasks[[#This Row],[_LeafFcstStart]],WorkWeek,Holidays),0)</f>
        <v>0</v>
      </c>
      <c r="CR14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47" s="43" t="n">
        <f aca="false">IF(AND(Tasks[[#This Row],[_IsLeaf]]=1,Tasks[[#This Row],[_LeafWork]]&gt;0),Tasks[[#This Row],[_LeafWork]]/(Tasks[[#This Row],[_FinishWorkday]]-Tasks[[#This Row],[_StartWorkday]]+1),0)</f>
        <v>0</v>
      </c>
      <c r="CT147" s="43" t="n">
        <f aca="false">Tasks[[#This Row],[_WorkPerWorkday]]*(Tasks[[#This Row],[_StartWorkday]]-1)</f>
        <v>-0</v>
      </c>
      <c r="CU147" s="43" t="n">
        <f aca="false">IF(Tasks[[#This Row],[_IsLeaf]]=1,MAX(N(Tasks[[#This Row],[Duration]]),0.1),0)</f>
        <v>0</v>
      </c>
      <c r="CV147" s="43" t="n">
        <f aca="false">Tasks[[#This Row],[_WeightDur]]*Tasks[[#This Row],[_LeafProgress]]</f>
        <v>0</v>
      </c>
      <c r="CW14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4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4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4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4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47" s="43" t="str">
        <f aca="false">IF(AND(Tasks[[#This Row],[_IsLeaf]]=1,N(Tasks[[#This Row],[Duration]])=0,Tasks[[#This Row],[_LeafProgress]]&lt;1),Tasks[[#This Row],[_LeafFcstFinish]]+Tasks[[#This Row],[_Row]]/100000,"")</f>
        <v/>
      </c>
      <c r="DC14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47" s="43" t="n">
        <f aca="false">IF(NOT(Tasks[[#This Row],[_IsLeaf]]=1),0,IF(Tasks[[#This Row],[Baseline Cost]]="",Tasks[[#This Row],[_LeafCost]],N(Tasks[[#This Row],[Baseline Cost]])))</f>
        <v>0</v>
      </c>
      <c r="DE147" s="43" t="n">
        <f aca="false">Tasks[[#This Row],[_LeafBudget]]*Tasks[[#This Row],[_PlannedPct]]</f>
        <v>0</v>
      </c>
      <c r="DF147" s="43" t="n">
        <f aca="false">Tasks[[#This Row],[_LeafBudget]]*Tasks[[#This Row],[_LeafProgress]]</f>
        <v>0</v>
      </c>
      <c r="DG147" s="43" t="n">
        <f aca="false">IF(NOT(Tasks[[#This Row],[_IsLeaf]]=1),0,IF(Tasks[[#This Row],[Actual Cost]]="",Tasks[[#This Row],[_LeafCost]]*Tasks[[#This Row],[_LeafProgress]],N(Tasks[[#This Row],[Actual Cost]])))</f>
        <v>0</v>
      </c>
      <c r="DH147" s="43" t="str">
        <f aca="false">IF(Tasks[[#This Row],[Task Name]]="","",LEFT(Tasks[[#This Row],[WBS]],FIND(".",Tasks[[#This Row],[WBS]]&amp;".")-1))</f>
        <v/>
      </c>
      <c r="DI147" s="43" t="str">
        <f aca="false">IF(AND(Tasks[[#This Row],[Task Name]]&lt;&gt;"",Tasks[[#This Row],[_Level]]=1),Tasks[[#This Row],[_Row]],"")</f>
        <v/>
      </c>
      <c r="DJ147" s="43" t="str">
        <f aca="false">IF(AND(Tasks[[#This Row],[_IsLeaf]]=1,N(Tasks[[#This Row],[Duration]])=0),Tasks[[#This Row],[Planned Finish]]+Tasks[[#This Row],[_Row]]/100000,"")</f>
        <v/>
      </c>
      <c r="DK14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4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4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47" s="43" t="str">
        <f aca="false">IF(Tasks[[#This Row],[_LeafCritical]],Tasks[[#This Row],[_LeafFcstStart]]+Tasks[[#This Row],[_Row]]/100000,"")</f>
        <v/>
      </c>
      <c r="DO147" s="43" t="n">
        <f aca="false">Tasks[[#This Row],[_LeafWork]]*Tasks[[#This Row],[_LeafProgress]]</f>
        <v>0</v>
      </c>
      <c r="DP14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47" s="43" t="n">
        <f aca="false">IF(Tasks[[#This Row],[_IsLeaf]]=1,N(Tasks[[#This Row],[Story Points]]),0)</f>
        <v>0</v>
      </c>
      <c r="DR147" s="43" t="str">
        <f aca="false">IF(AND(Tasks[[#This Row],[_IsLeaf]]=1,CurrentSprint&lt;&gt;"",Tasks[[#This Row],[Sprint]]=CurrentSprint),Tasks[[#This Row],[_Row]],"")</f>
        <v/>
      </c>
    </row>
    <row r="148" customFormat="false" ht="15" hidden="false" customHeight="false" outlineLevel="0" collapsed="false">
      <c r="A148" s="28" t="str">
        <f aca="false">IF(Tasks[[#This Row],[Task Name]]="","",COUNTA(Tasks[[#Headers],[Task Name]]:Tasks[[#This Row],[Task Name]])-1)</f>
        <v/>
      </c>
      <c r="B148" s="29" t="n">
        <v>143</v>
      </c>
      <c r="C14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48" s="29"/>
      <c r="E148" s="30"/>
      <c r="F148" s="29"/>
      <c r="G148" s="29"/>
      <c r="H148" s="29"/>
      <c r="I148" s="29"/>
      <c r="J148" s="29"/>
      <c r="K148" s="29"/>
      <c r="L148" s="29"/>
      <c r="M148" s="29"/>
      <c r="N148" s="72"/>
      <c r="O148" s="72"/>
      <c r="P148" s="25" t="str">
        <f aca="false">IF(Tasks[[#This Row],[Task Name]]="","",IF(N(Tasks[[#This Row],[Baseline Start]])&gt;0,Tasks[[#This Row],[Baseline Start]],Tasks[[#This Row],[_CalcStart]]))</f>
        <v/>
      </c>
      <c r="Q148" s="25" t="str">
        <f aca="false">IF(Tasks[[#This Row],[Task Name]]="","",IF(N(Tasks[[#This Row],[Baseline Finish]])&gt;0,Tasks[[#This Row],[Baseline Finish]],Tasks[[#This Row],[_CalcFinish]]))</f>
        <v/>
      </c>
      <c r="R148" s="72"/>
      <c r="S148" s="72"/>
      <c r="T14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4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4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4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4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4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4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4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4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4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4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48" s="74"/>
      <c r="AF14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4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48" s="30"/>
      <c r="AI148" s="74"/>
      <c r="AJ14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4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48" s="83"/>
      <c r="AM148" s="29"/>
      <c r="AN14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48" s="84"/>
      <c r="AP14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48" s="30"/>
      <c r="AR148" s="25" t="str">
        <f aca="false">IF(Tasks[[#This Row],[Task Name]]="","",Tasks[[#This Row],[Forecast Start]])</f>
        <v/>
      </c>
      <c r="AS148" s="25" t="str">
        <f aca="false">IF(Tasks[[#This Row],[Task Name]]="","",Tasks[[#This Row],[Forecast Finish]])</f>
        <v/>
      </c>
      <c r="AT14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48" s="81" t="str">
        <f aca="false">IF(Tasks[[#This Row],[Task Name]]="","",Tasks[[#This Row],[Work]])</f>
        <v/>
      </c>
      <c r="AV148" s="82" t="str">
        <f aca="false">IF(Tasks[[#This Row],[Task Name]]="","",Tasks[[#This Row],[Cost]])</f>
        <v/>
      </c>
      <c r="AW148" s="72"/>
      <c r="AX148" s="72"/>
      <c r="AY148" s="29"/>
      <c r="AZ148" s="85"/>
      <c r="BA148" s="83"/>
      <c r="BB148" s="28" t="str">
        <f aca="false">IF(OR(Tasks[[#This Row],[Task Name]]="",Tasks[[#This Row],[Baseline Duration]]=""),"",Tasks[[#This Row],[BL Source Duration]]-N(Tasks[[#This Row],[Baseline Duration]]))</f>
        <v/>
      </c>
      <c r="BC148" s="81" t="str">
        <f aca="false">IF(OR(Tasks[[#This Row],[Task Name]]="",Tasks[[#This Row],[Baseline Work]]=""),"",Tasks[[#This Row],[Work]]-N(Tasks[[#This Row],[Baseline Work]]))</f>
        <v/>
      </c>
      <c r="BD148" s="82" t="str">
        <f aca="false">IF(OR(Tasks[[#This Row],[Task Name]]="",Tasks[[#This Row],[Baseline Cost]]=""),"",Tasks[[#This Row],[Cost]]-N(Tasks[[#This Row],[Baseline Cost]]))</f>
        <v/>
      </c>
      <c r="BE14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4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4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4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48" s="43" t="str">
        <f aca="false">IF(Tasks[[#This Row],[Task Name]]="","",MAX(1,N(Tasks[[#This Row],[Level]])))</f>
        <v/>
      </c>
      <c r="BJ148" s="43" t="n">
        <f aca="false">ROW()-ROW(Tasks[[#Headers],[ID]])</f>
        <v>143</v>
      </c>
      <c r="BK14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48" s="43" t="n">
        <f aca="false">IFERROR(N(INDEX(Tasks[_Level],Tasks[[#This Row],[_Row]]+1)),0)</f>
        <v>0</v>
      </c>
      <c r="BM148" s="86" t="b">
        <f aca="false">AND(Tasks[[#This Row],[Task Name]]&lt;&gt;"",Tasks[[#This Row],[_NextLevel]]&gt;Tasks[[#This Row],[_Level]])</f>
        <v>0</v>
      </c>
      <c r="BN148" s="43" t="n">
        <f aca="false">IF(Tasks[[#This Row],[_IsSummary]],COUNTIF(Tasks[WBS],Tasks[[#This Row],[WBS]]&amp;".*"),0)</f>
        <v>0</v>
      </c>
      <c r="BO148" s="43" t="n">
        <f aca="false">IF(AND(Tasks[[#This Row],[Task Name]]&lt;&gt;"",NOT(Tasks[[#This Row],[_IsSummary]])),1,0)</f>
        <v>0</v>
      </c>
      <c r="BP148" s="43" t="n">
        <f aca="false">IF(N(Tasks[[#This Row],[Pred1 UID]])=0,0,IFERROR(MATCH(Tasks[[#This Row],[Pred1 UID]],Tasks[UID],0),-1))</f>
        <v>0</v>
      </c>
      <c r="BQ148" s="43" t="n">
        <f aca="false">IF(N(Tasks[[#This Row],[Pred2 UID]])=0,0,IFERROR(MATCH(Tasks[[#This Row],[Pred2 UID]],Tasks[UID],0),-1))</f>
        <v>0</v>
      </c>
      <c r="BR14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4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4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4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48" s="43" t="n">
        <f aca="false">IF(NOT(Tasks[[#This Row],[_IsLeaf]]=1),0,IF(N(Tasks[[#This Row],[Actual Finish]])&gt;0,1,MIN(1,N(Tasks[[#This Row],[% Complete]]))))</f>
        <v>0</v>
      </c>
      <c r="BW14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48" s="43" t="n">
        <f aca="false">IF(Tasks[[#This Row],[_LeafWork]]=0,0,Tasks[[#This Row],[_LeafWork]]*IFERROR(INDEX(res_Rate,MATCH(Tasks[[#This Row],[Resource]],res_Name,0)),0))</f>
        <v>0</v>
      </c>
      <c r="BY14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4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4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4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48" s="43" t="n">
        <f aca="false">IF(NOT(Tasks[[#This Row],[_IsLeaf]]=1),0,MAX(_xlfn.MAXIFS(Tasks[_Row],Tasks[Pred1 UID],Tasks[[#This Row],[UID]]),_xlfn.MAXIFS(Tasks[_Row],Tasks[Pred2 UID],Tasks[[#This Row],[UID]])))</f>
        <v>0</v>
      </c>
      <c r="CD14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48" s="87" t="str">
        <f aca="false">IF(NOT(Tasks[[#This Row],[_IsLeaf]]=1),"",MIN(ProjectFinish,IF(N(Tasks[[#This Row],[Deadline]])&gt;0,Tasks[[#This Row],[Deadline]],2958465),Tasks[[#This Row],[_SuccessorFinishLimit]]))</f>
        <v/>
      </c>
      <c r="CF14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4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48" s="86" t="b">
        <f aca="false">AND(Tasks[[#This Row],[_IsLeaf]]=1,Tasks[[#This Row],[_LeafProgress]]&lt;1,N(Tasks[[#This Row],[_LeafTotalSlack]])&lt;=CriticalSlackDays)</f>
        <v>0</v>
      </c>
      <c r="CI14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4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4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4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4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4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4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4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48" s="43" t="n">
        <f aca="false">IF(AND(Tasks[[#This Row],[_IsLeaf]]=1,Tasks[[#This Row],[_LeafWork]]&gt;0),NETWORKDAYS.INTL(ProjectStart,Tasks[[#This Row],[_LeafFcstStart]],WorkWeek,Holidays),0)</f>
        <v>0</v>
      </c>
      <c r="CR14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48" s="43" t="n">
        <f aca="false">IF(AND(Tasks[[#This Row],[_IsLeaf]]=1,Tasks[[#This Row],[_LeafWork]]&gt;0),Tasks[[#This Row],[_LeafWork]]/(Tasks[[#This Row],[_FinishWorkday]]-Tasks[[#This Row],[_StartWorkday]]+1),0)</f>
        <v>0</v>
      </c>
      <c r="CT148" s="43" t="n">
        <f aca="false">Tasks[[#This Row],[_WorkPerWorkday]]*(Tasks[[#This Row],[_StartWorkday]]-1)</f>
        <v>-0</v>
      </c>
      <c r="CU148" s="43" t="n">
        <f aca="false">IF(Tasks[[#This Row],[_IsLeaf]]=1,MAX(N(Tasks[[#This Row],[Duration]]),0.1),0)</f>
        <v>0</v>
      </c>
      <c r="CV148" s="43" t="n">
        <f aca="false">Tasks[[#This Row],[_WeightDur]]*Tasks[[#This Row],[_LeafProgress]]</f>
        <v>0</v>
      </c>
      <c r="CW14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4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4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4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4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48" s="43" t="str">
        <f aca="false">IF(AND(Tasks[[#This Row],[_IsLeaf]]=1,N(Tasks[[#This Row],[Duration]])=0,Tasks[[#This Row],[_LeafProgress]]&lt;1),Tasks[[#This Row],[_LeafFcstFinish]]+Tasks[[#This Row],[_Row]]/100000,"")</f>
        <v/>
      </c>
      <c r="DC14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48" s="43" t="n">
        <f aca="false">IF(NOT(Tasks[[#This Row],[_IsLeaf]]=1),0,IF(Tasks[[#This Row],[Baseline Cost]]="",Tasks[[#This Row],[_LeafCost]],N(Tasks[[#This Row],[Baseline Cost]])))</f>
        <v>0</v>
      </c>
      <c r="DE148" s="43" t="n">
        <f aca="false">Tasks[[#This Row],[_LeafBudget]]*Tasks[[#This Row],[_PlannedPct]]</f>
        <v>0</v>
      </c>
      <c r="DF148" s="43" t="n">
        <f aca="false">Tasks[[#This Row],[_LeafBudget]]*Tasks[[#This Row],[_LeafProgress]]</f>
        <v>0</v>
      </c>
      <c r="DG148" s="43" t="n">
        <f aca="false">IF(NOT(Tasks[[#This Row],[_IsLeaf]]=1),0,IF(Tasks[[#This Row],[Actual Cost]]="",Tasks[[#This Row],[_LeafCost]]*Tasks[[#This Row],[_LeafProgress]],N(Tasks[[#This Row],[Actual Cost]])))</f>
        <v>0</v>
      </c>
      <c r="DH148" s="43" t="str">
        <f aca="false">IF(Tasks[[#This Row],[Task Name]]="","",LEFT(Tasks[[#This Row],[WBS]],FIND(".",Tasks[[#This Row],[WBS]]&amp;".")-1))</f>
        <v/>
      </c>
      <c r="DI148" s="43" t="str">
        <f aca="false">IF(AND(Tasks[[#This Row],[Task Name]]&lt;&gt;"",Tasks[[#This Row],[_Level]]=1),Tasks[[#This Row],[_Row]],"")</f>
        <v/>
      </c>
      <c r="DJ148" s="43" t="str">
        <f aca="false">IF(AND(Tasks[[#This Row],[_IsLeaf]]=1,N(Tasks[[#This Row],[Duration]])=0),Tasks[[#This Row],[Planned Finish]]+Tasks[[#This Row],[_Row]]/100000,"")</f>
        <v/>
      </c>
      <c r="DK14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4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4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48" s="43" t="str">
        <f aca="false">IF(Tasks[[#This Row],[_LeafCritical]],Tasks[[#This Row],[_LeafFcstStart]]+Tasks[[#This Row],[_Row]]/100000,"")</f>
        <v/>
      </c>
      <c r="DO148" s="43" t="n">
        <f aca="false">Tasks[[#This Row],[_LeafWork]]*Tasks[[#This Row],[_LeafProgress]]</f>
        <v>0</v>
      </c>
      <c r="DP14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48" s="43" t="n">
        <f aca="false">IF(Tasks[[#This Row],[_IsLeaf]]=1,N(Tasks[[#This Row],[Story Points]]),0)</f>
        <v>0</v>
      </c>
      <c r="DR148" s="43" t="str">
        <f aca="false">IF(AND(Tasks[[#This Row],[_IsLeaf]]=1,CurrentSprint&lt;&gt;"",Tasks[[#This Row],[Sprint]]=CurrentSprint),Tasks[[#This Row],[_Row]],"")</f>
        <v/>
      </c>
    </row>
    <row r="149" customFormat="false" ht="15" hidden="false" customHeight="false" outlineLevel="0" collapsed="false">
      <c r="A149" s="28" t="str">
        <f aca="false">IF(Tasks[[#This Row],[Task Name]]="","",COUNTA(Tasks[[#Headers],[Task Name]]:Tasks[[#This Row],[Task Name]])-1)</f>
        <v/>
      </c>
      <c r="B149" s="29" t="n">
        <v>144</v>
      </c>
      <c r="C14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49" s="29"/>
      <c r="E149" s="30"/>
      <c r="F149" s="29"/>
      <c r="G149" s="29"/>
      <c r="H149" s="29"/>
      <c r="I149" s="29"/>
      <c r="J149" s="29"/>
      <c r="K149" s="29"/>
      <c r="L149" s="29"/>
      <c r="M149" s="29"/>
      <c r="N149" s="72"/>
      <c r="O149" s="72"/>
      <c r="P149" s="25" t="str">
        <f aca="false">IF(Tasks[[#This Row],[Task Name]]="","",IF(N(Tasks[[#This Row],[Baseline Start]])&gt;0,Tasks[[#This Row],[Baseline Start]],Tasks[[#This Row],[_CalcStart]]))</f>
        <v/>
      </c>
      <c r="Q149" s="25" t="str">
        <f aca="false">IF(Tasks[[#This Row],[Task Name]]="","",IF(N(Tasks[[#This Row],[Baseline Finish]])&gt;0,Tasks[[#This Row],[Baseline Finish]],Tasks[[#This Row],[_CalcFinish]]))</f>
        <v/>
      </c>
      <c r="R149" s="72"/>
      <c r="S149" s="72"/>
      <c r="T14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4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4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4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4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4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4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4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4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4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4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49" s="74"/>
      <c r="AF14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4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49" s="30"/>
      <c r="AI149" s="74"/>
      <c r="AJ14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4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49" s="83"/>
      <c r="AM149" s="29"/>
      <c r="AN14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49" s="84"/>
      <c r="AP14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49" s="30"/>
      <c r="AR149" s="25" t="str">
        <f aca="false">IF(Tasks[[#This Row],[Task Name]]="","",Tasks[[#This Row],[Forecast Start]])</f>
        <v/>
      </c>
      <c r="AS149" s="25" t="str">
        <f aca="false">IF(Tasks[[#This Row],[Task Name]]="","",Tasks[[#This Row],[Forecast Finish]])</f>
        <v/>
      </c>
      <c r="AT14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49" s="81" t="str">
        <f aca="false">IF(Tasks[[#This Row],[Task Name]]="","",Tasks[[#This Row],[Work]])</f>
        <v/>
      </c>
      <c r="AV149" s="82" t="str">
        <f aca="false">IF(Tasks[[#This Row],[Task Name]]="","",Tasks[[#This Row],[Cost]])</f>
        <v/>
      </c>
      <c r="AW149" s="72"/>
      <c r="AX149" s="72"/>
      <c r="AY149" s="29"/>
      <c r="AZ149" s="85"/>
      <c r="BA149" s="83"/>
      <c r="BB149" s="28" t="str">
        <f aca="false">IF(OR(Tasks[[#This Row],[Task Name]]="",Tasks[[#This Row],[Baseline Duration]]=""),"",Tasks[[#This Row],[BL Source Duration]]-N(Tasks[[#This Row],[Baseline Duration]]))</f>
        <v/>
      </c>
      <c r="BC149" s="81" t="str">
        <f aca="false">IF(OR(Tasks[[#This Row],[Task Name]]="",Tasks[[#This Row],[Baseline Work]]=""),"",Tasks[[#This Row],[Work]]-N(Tasks[[#This Row],[Baseline Work]]))</f>
        <v/>
      </c>
      <c r="BD149" s="82" t="str">
        <f aca="false">IF(OR(Tasks[[#This Row],[Task Name]]="",Tasks[[#This Row],[Baseline Cost]]=""),"",Tasks[[#This Row],[Cost]]-N(Tasks[[#This Row],[Baseline Cost]]))</f>
        <v/>
      </c>
      <c r="BE14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4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4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4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49" s="43" t="str">
        <f aca="false">IF(Tasks[[#This Row],[Task Name]]="","",MAX(1,N(Tasks[[#This Row],[Level]])))</f>
        <v/>
      </c>
      <c r="BJ149" s="43" t="n">
        <f aca="false">ROW()-ROW(Tasks[[#Headers],[ID]])</f>
        <v>144</v>
      </c>
      <c r="BK14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49" s="43" t="n">
        <f aca="false">IFERROR(N(INDEX(Tasks[_Level],Tasks[[#This Row],[_Row]]+1)),0)</f>
        <v>0</v>
      </c>
      <c r="BM149" s="86" t="b">
        <f aca="false">AND(Tasks[[#This Row],[Task Name]]&lt;&gt;"",Tasks[[#This Row],[_NextLevel]]&gt;Tasks[[#This Row],[_Level]])</f>
        <v>0</v>
      </c>
      <c r="BN149" s="43" t="n">
        <f aca="false">IF(Tasks[[#This Row],[_IsSummary]],COUNTIF(Tasks[WBS],Tasks[[#This Row],[WBS]]&amp;".*"),0)</f>
        <v>0</v>
      </c>
      <c r="BO149" s="43" t="n">
        <f aca="false">IF(AND(Tasks[[#This Row],[Task Name]]&lt;&gt;"",NOT(Tasks[[#This Row],[_IsSummary]])),1,0)</f>
        <v>0</v>
      </c>
      <c r="BP149" s="43" t="n">
        <f aca="false">IF(N(Tasks[[#This Row],[Pred1 UID]])=0,0,IFERROR(MATCH(Tasks[[#This Row],[Pred1 UID]],Tasks[UID],0),-1))</f>
        <v>0</v>
      </c>
      <c r="BQ149" s="43" t="n">
        <f aca="false">IF(N(Tasks[[#This Row],[Pred2 UID]])=0,0,IFERROR(MATCH(Tasks[[#This Row],[Pred2 UID]],Tasks[UID],0),-1))</f>
        <v>0</v>
      </c>
      <c r="BR14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4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4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4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49" s="43" t="n">
        <f aca="false">IF(NOT(Tasks[[#This Row],[_IsLeaf]]=1),0,IF(N(Tasks[[#This Row],[Actual Finish]])&gt;0,1,MIN(1,N(Tasks[[#This Row],[% Complete]]))))</f>
        <v>0</v>
      </c>
      <c r="BW14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49" s="43" t="n">
        <f aca="false">IF(Tasks[[#This Row],[_LeafWork]]=0,0,Tasks[[#This Row],[_LeafWork]]*IFERROR(INDEX(res_Rate,MATCH(Tasks[[#This Row],[Resource]],res_Name,0)),0))</f>
        <v>0</v>
      </c>
      <c r="BY14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4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4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4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49" s="43" t="n">
        <f aca="false">IF(NOT(Tasks[[#This Row],[_IsLeaf]]=1),0,MAX(_xlfn.MAXIFS(Tasks[_Row],Tasks[Pred1 UID],Tasks[[#This Row],[UID]]),_xlfn.MAXIFS(Tasks[_Row],Tasks[Pred2 UID],Tasks[[#This Row],[UID]])))</f>
        <v>0</v>
      </c>
      <c r="CD14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49" s="87" t="str">
        <f aca="false">IF(NOT(Tasks[[#This Row],[_IsLeaf]]=1),"",MIN(ProjectFinish,IF(N(Tasks[[#This Row],[Deadline]])&gt;0,Tasks[[#This Row],[Deadline]],2958465),Tasks[[#This Row],[_SuccessorFinishLimit]]))</f>
        <v/>
      </c>
      <c r="CF14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4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49" s="86" t="b">
        <f aca="false">AND(Tasks[[#This Row],[_IsLeaf]]=1,Tasks[[#This Row],[_LeafProgress]]&lt;1,N(Tasks[[#This Row],[_LeafTotalSlack]])&lt;=CriticalSlackDays)</f>
        <v>0</v>
      </c>
      <c r="CI14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4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4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4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4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4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4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4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49" s="43" t="n">
        <f aca="false">IF(AND(Tasks[[#This Row],[_IsLeaf]]=1,Tasks[[#This Row],[_LeafWork]]&gt;0),NETWORKDAYS.INTL(ProjectStart,Tasks[[#This Row],[_LeafFcstStart]],WorkWeek,Holidays),0)</f>
        <v>0</v>
      </c>
      <c r="CR14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49" s="43" t="n">
        <f aca="false">IF(AND(Tasks[[#This Row],[_IsLeaf]]=1,Tasks[[#This Row],[_LeafWork]]&gt;0),Tasks[[#This Row],[_LeafWork]]/(Tasks[[#This Row],[_FinishWorkday]]-Tasks[[#This Row],[_StartWorkday]]+1),0)</f>
        <v>0</v>
      </c>
      <c r="CT149" s="43" t="n">
        <f aca="false">Tasks[[#This Row],[_WorkPerWorkday]]*(Tasks[[#This Row],[_StartWorkday]]-1)</f>
        <v>-0</v>
      </c>
      <c r="CU149" s="43" t="n">
        <f aca="false">IF(Tasks[[#This Row],[_IsLeaf]]=1,MAX(N(Tasks[[#This Row],[Duration]]),0.1),0)</f>
        <v>0</v>
      </c>
      <c r="CV149" s="43" t="n">
        <f aca="false">Tasks[[#This Row],[_WeightDur]]*Tasks[[#This Row],[_LeafProgress]]</f>
        <v>0</v>
      </c>
      <c r="CW14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4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4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4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4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49" s="43" t="str">
        <f aca="false">IF(AND(Tasks[[#This Row],[_IsLeaf]]=1,N(Tasks[[#This Row],[Duration]])=0,Tasks[[#This Row],[_LeafProgress]]&lt;1),Tasks[[#This Row],[_LeafFcstFinish]]+Tasks[[#This Row],[_Row]]/100000,"")</f>
        <v/>
      </c>
      <c r="DC14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49" s="43" t="n">
        <f aca="false">IF(NOT(Tasks[[#This Row],[_IsLeaf]]=1),0,IF(Tasks[[#This Row],[Baseline Cost]]="",Tasks[[#This Row],[_LeafCost]],N(Tasks[[#This Row],[Baseline Cost]])))</f>
        <v>0</v>
      </c>
      <c r="DE149" s="43" t="n">
        <f aca="false">Tasks[[#This Row],[_LeafBudget]]*Tasks[[#This Row],[_PlannedPct]]</f>
        <v>0</v>
      </c>
      <c r="DF149" s="43" t="n">
        <f aca="false">Tasks[[#This Row],[_LeafBudget]]*Tasks[[#This Row],[_LeafProgress]]</f>
        <v>0</v>
      </c>
      <c r="DG149" s="43" t="n">
        <f aca="false">IF(NOT(Tasks[[#This Row],[_IsLeaf]]=1),0,IF(Tasks[[#This Row],[Actual Cost]]="",Tasks[[#This Row],[_LeafCost]]*Tasks[[#This Row],[_LeafProgress]],N(Tasks[[#This Row],[Actual Cost]])))</f>
        <v>0</v>
      </c>
      <c r="DH149" s="43" t="str">
        <f aca="false">IF(Tasks[[#This Row],[Task Name]]="","",LEFT(Tasks[[#This Row],[WBS]],FIND(".",Tasks[[#This Row],[WBS]]&amp;".")-1))</f>
        <v/>
      </c>
      <c r="DI149" s="43" t="str">
        <f aca="false">IF(AND(Tasks[[#This Row],[Task Name]]&lt;&gt;"",Tasks[[#This Row],[_Level]]=1),Tasks[[#This Row],[_Row]],"")</f>
        <v/>
      </c>
      <c r="DJ149" s="43" t="str">
        <f aca="false">IF(AND(Tasks[[#This Row],[_IsLeaf]]=1,N(Tasks[[#This Row],[Duration]])=0),Tasks[[#This Row],[Planned Finish]]+Tasks[[#This Row],[_Row]]/100000,"")</f>
        <v/>
      </c>
      <c r="DK14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4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4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49" s="43" t="str">
        <f aca="false">IF(Tasks[[#This Row],[_LeafCritical]],Tasks[[#This Row],[_LeafFcstStart]]+Tasks[[#This Row],[_Row]]/100000,"")</f>
        <v/>
      </c>
      <c r="DO149" s="43" t="n">
        <f aca="false">Tasks[[#This Row],[_LeafWork]]*Tasks[[#This Row],[_LeafProgress]]</f>
        <v>0</v>
      </c>
      <c r="DP14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49" s="43" t="n">
        <f aca="false">IF(Tasks[[#This Row],[_IsLeaf]]=1,N(Tasks[[#This Row],[Story Points]]),0)</f>
        <v>0</v>
      </c>
      <c r="DR149" s="43" t="str">
        <f aca="false">IF(AND(Tasks[[#This Row],[_IsLeaf]]=1,CurrentSprint&lt;&gt;"",Tasks[[#This Row],[Sprint]]=CurrentSprint),Tasks[[#This Row],[_Row]],"")</f>
        <v/>
      </c>
    </row>
    <row r="150" customFormat="false" ht="15" hidden="false" customHeight="false" outlineLevel="0" collapsed="false">
      <c r="A150" s="28" t="str">
        <f aca="false">IF(Tasks[[#This Row],[Task Name]]="","",COUNTA(Tasks[[#Headers],[Task Name]]:Tasks[[#This Row],[Task Name]])-1)</f>
        <v/>
      </c>
      <c r="B150" s="29" t="n">
        <v>145</v>
      </c>
      <c r="C15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50" s="29"/>
      <c r="E150" s="30"/>
      <c r="F150" s="29"/>
      <c r="G150" s="29"/>
      <c r="H150" s="29"/>
      <c r="I150" s="29"/>
      <c r="J150" s="29"/>
      <c r="K150" s="29"/>
      <c r="L150" s="29"/>
      <c r="M150" s="29"/>
      <c r="N150" s="72"/>
      <c r="O150" s="72"/>
      <c r="P150" s="25" t="str">
        <f aca="false">IF(Tasks[[#This Row],[Task Name]]="","",IF(N(Tasks[[#This Row],[Baseline Start]])&gt;0,Tasks[[#This Row],[Baseline Start]],Tasks[[#This Row],[_CalcStart]]))</f>
        <v/>
      </c>
      <c r="Q150" s="25" t="str">
        <f aca="false">IF(Tasks[[#This Row],[Task Name]]="","",IF(N(Tasks[[#This Row],[Baseline Finish]])&gt;0,Tasks[[#This Row],[Baseline Finish]],Tasks[[#This Row],[_CalcFinish]]))</f>
        <v/>
      </c>
      <c r="R150" s="72"/>
      <c r="S150" s="72"/>
      <c r="T15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5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5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5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5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5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5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5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5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5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5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50" s="74"/>
      <c r="AF15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5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50" s="30"/>
      <c r="AI150" s="74"/>
      <c r="AJ15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5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50" s="83"/>
      <c r="AM150" s="29"/>
      <c r="AN15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50" s="84"/>
      <c r="AP15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50" s="30"/>
      <c r="AR150" s="25" t="str">
        <f aca="false">IF(Tasks[[#This Row],[Task Name]]="","",Tasks[[#This Row],[Forecast Start]])</f>
        <v/>
      </c>
      <c r="AS150" s="25" t="str">
        <f aca="false">IF(Tasks[[#This Row],[Task Name]]="","",Tasks[[#This Row],[Forecast Finish]])</f>
        <v/>
      </c>
      <c r="AT15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50" s="81" t="str">
        <f aca="false">IF(Tasks[[#This Row],[Task Name]]="","",Tasks[[#This Row],[Work]])</f>
        <v/>
      </c>
      <c r="AV150" s="82" t="str">
        <f aca="false">IF(Tasks[[#This Row],[Task Name]]="","",Tasks[[#This Row],[Cost]])</f>
        <v/>
      </c>
      <c r="AW150" s="72"/>
      <c r="AX150" s="72"/>
      <c r="AY150" s="29"/>
      <c r="AZ150" s="85"/>
      <c r="BA150" s="83"/>
      <c r="BB150" s="28" t="str">
        <f aca="false">IF(OR(Tasks[[#This Row],[Task Name]]="",Tasks[[#This Row],[Baseline Duration]]=""),"",Tasks[[#This Row],[BL Source Duration]]-N(Tasks[[#This Row],[Baseline Duration]]))</f>
        <v/>
      </c>
      <c r="BC150" s="81" t="str">
        <f aca="false">IF(OR(Tasks[[#This Row],[Task Name]]="",Tasks[[#This Row],[Baseline Work]]=""),"",Tasks[[#This Row],[Work]]-N(Tasks[[#This Row],[Baseline Work]]))</f>
        <v/>
      </c>
      <c r="BD150" s="82" t="str">
        <f aca="false">IF(OR(Tasks[[#This Row],[Task Name]]="",Tasks[[#This Row],[Baseline Cost]]=""),"",Tasks[[#This Row],[Cost]]-N(Tasks[[#This Row],[Baseline Cost]]))</f>
        <v/>
      </c>
      <c r="BE15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5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5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5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50" s="43" t="str">
        <f aca="false">IF(Tasks[[#This Row],[Task Name]]="","",MAX(1,N(Tasks[[#This Row],[Level]])))</f>
        <v/>
      </c>
      <c r="BJ150" s="43" t="n">
        <f aca="false">ROW()-ROW(Tasks[[#Headers],[ID]])</f>
        <v>145</v>
      </c>
      <c r="BK15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50" s="43" t="n">
        <f aca="false">IFERROR(N(INDEX(Tasks[_Level],Tasks[[#This Row],[_Row]]+1)),0)</f>
        <v>0</v>
      </c>
      <c r="BM150" s="86" t="b">
        <f aca="false">AND(Tasks[[#This Row],[Task Name]]&lt;&gt;"",Tasks[[#This Row],[_NextLevel]]&gt;Tasks[[#This Row],[_Level]])</f>
        <v>0</v>
      </c>
      <c r="BN150" s="43" t="n">
        <f aca="false">IF(Tasks[[#This Row],[_IsSummary]],COUNTIF(Tasks[WBS],Tasks[[#This Row],[WBS]]&amp;".*"),0)</f>
        <v>0</v>
      </c>
      <c r="BO150" s="43" t="n">
        <f aca="false">IF(AND(Tasks[[#This Row],[Task Name]]&lt;&gt;"",NOT(Tasks[[#This Row],[_IsSummary]])),1,0)</f>
        <v>0</v>
      </c>
      <c r="BP150" s="43" t="n">
        <f aca="false">IF(N(Tasks[[#This Row],[Pred1 UID]])=0,0,IFERROR(MATCH(Tasks[[#This Row],[Pred1 UID]],Tasks[UID],0),-1))</f>
        <v>0</v>
      </c>
      <c r="BQ150" s="43" t="n">
        <f aca="false">IF(N(Tasks[[#This Row],[Pred2 UID]])=0,0,IFERROR(MATCH(Tasks[[#This Row],[Pred2 UID]],Tasks[UID],0),-1))</f>
        <v>0</v>
      </c>
      <c r="BR15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5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5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5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50" s="43" t="n">
        <f aca="false">IF(NOT(Tasks[[#This Row],[_IsLeaf]]=1),0,IF(N(Tasks[[#This Row],[Actual Finish]])&gt;0,1,MIN(1,N(Tasks[[#This Row],[% Complete]]))))</f>
        <v>0</v>
      </c>
      <c r="BW15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50" s="43" t="n">
        <f aca="false">IF(Tasks[[#This Row],[_LeafWork]]=0,0,Tasks[[#This Row],[_LeafWork]]*IFERROR(INDEX(res_Rate,MATCH(Tasks[[#This Row],[Resource]],res_Name,0)),0))</f>
        <v>0</v>
      </c>
      <c r="BY15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5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5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5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50" s="43" t="n">
        <f aca="false">IF(NOT(Tasks[[#This Row],[_IsLeaf]]=1),0,MAX(_xlfn.MAXIFS(Tasks[_Row],Tasks[Pred1 UID],Tasks[[#This Row],[UID]]),_xlfn.MAXIFS(Tasks[_Row],Tasks[Pred2 UID],Tasks[[#This Row],[UID]])))</f>
        <v>0</v>
      </c>
      <c r="CD15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50" s="87" t="str">
        <f aca="false">IF(NOT(Tasks[[#This Row],[_IsLeaf]]=1),"",MIN(ProjectFinish,IF(N(Tasks[[#This Row],[Deadline]])&gt;0,Tasks[[#This Row],[Deadline]],2958465),Tasks[[#This Row],[_SuccessorFinishLimit]]))</f>
        <v/>
      </c>
      <c r="CF15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5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50" s="86" t="b">
        <f aca="false">AND(Tasks[[#This Row],[_IsLeaf]]=1,Tasks[[#This Row],[_LeafProgress]]&lt;1,N(Tasks[[#This Row],[_LeafTotalSlack]])&lt;=CriticalSlackDays)</f>
        <v>0</v>
      </c>
      <c r="CI15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5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5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5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5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5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5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5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50" s="43" t="n">
        <f aca="false">IF(AND(Tasks[[#This Row],[_IsLeaf]]=1,Tasks[[#This Row],[_LeafWork]]&gt;0),NETWORKDAYS.INTL(ProjectStart,Tasks[[#This Row],[_LeafFcstStart]],WorkWeek,Holidays),0)</f>
        <v>0</v>
      </c>
      <c r="CR15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50" s="43" t="n">
        <f aca="false">IF(AND(Tasks[[#This Row],[_IsLeaf]]=1,Tasks[[#This Row],[_LeafWork]]&gt;0),Tasks[[#This Row],[_LeafWork]]/(Tasks[[#This Row],[_FinishWorkday]]-Tasks[[#This Row],[_StartWorkday]]+1),0)</f>
        <v>0</v>
      </c>
      <c r="CT150" s="43" t="n">
        <f aca="false">Tasks[[#This Row],[_WorkPerWorkday]]*(Tasks[[#This Row],[_StartWorkday]]-1)</f>
        <v>-0</v>
      </c>
      <c r="CU150" s="43" t="n">
        <f aca="false">IF(Tasks[[#This Row],[_IsLeaf]]=1,MAX(N(Tasks[[#This Row],[Duration]]),0.1),0)</f>
        <v>0</v>
      </c>
      <c r="CV150" s="43" t="n">
        <f aca="false">Tasks[[#This Row],[_WeightDur]]*Tasks[[#This Row],[_LeafProgress]]</f>
        <v>0</v>
      </c>
      <c r="CW15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5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5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5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5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50" s="43" t="str">
        <f aca="false">IF(AND(Tasks[[#This Row],[_IsLeaf]]=1,N(Tasks[[#This Row],[Duration]])=0,Tasks[[#This Row],[_LeafProgress]]&lt;1),Tasks[[#This Row],[_LeafFcstFinish]]+Tasks[[#This Row],[_Row]]/100000,"")</f>
        <v/>
      </c>
      <c r="DC15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50" s="43" t="n">
        <f aca="false">IF(NOT(Tasks[[#This Row],[_IsLeaf]]=1),0,IF(Tasks[[#This Row],[Baseline Cost]]="",Tasks[[#This Row],[_LeafCost]],N(Tasks[[#This Row],[Baseline Cost]])))</f>
        <v>0</v>
      </c>
      <c r="DE150" s="43" t="n">
        <f aca="false">Tasks[[#This Row],[_LeafBudget]]*Tasks[[#This Row],[_PlannedPct]]</f>
        <v>0</v>
      </c>
      <c r="DF150" s="43" t="n">
        <f aca="false">Tasks[[#This Row],[_LeafBudget]]*Tasks[[#This Row],[_LeafProgress]]</f>
        <v>0</v>
      </c>
      <c r="DG150" s="43" t="n">
        <f aca="false">IF(NOT(Tasks[[#This Row],[_IsLeaf]]=1),0,IF(Tasks[[#This Row],[Actual Cost]]="",Tasks[[#This Row],[_LeafCost]]*Tasks[[#This Row],[_LeafProgress]],N(Tasks[[#This Row],[Actual Cost]])))</f>
        <v>0</v>
      </c>
      <c r="DH150" s="43" t="str">
        <f aca="false">IF(Tasks[[#This Row],[Task Name]]="","",LEFT(Tasks[[#This Row],[WBS]],FIND(".",Tasks[[#This Row],[WBS]]&amp;".")-1))</f>
        <v/>
      </c>
      <c r="DI150" s="43" t="str">
        <f aca="false">IF(AND(Tasks[[#This Row],[Task Name]]&lt;&gt;"",Tasks[[#This Row],[_Level]]=1),Tasks[[#This Row],[_Row]],"")</f>
        <v/>
      </c>
      <c r="DJ150" s="43" t="str">
        <f aca="false">IF(AND(Tasks[[#This Row],[_IsLeaf]]=1,N(Tasks[[#This Row],[Duration]])=0),Tasks[[#This Row],[Planned Finish]]+Tasks[[#This Row],[_Row]]/100000,"")</f>
        <v/>
      </c>
      <c r="DK15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5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5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50" s="43" t="str">
        <f aca="false">IF(Tasks[[#This Row],[_LeafCritical]],Tasks[[#This Row],[_LeafFcstStart]]+Tasks[[#This Row],[_Row]]/100000,"")</f>
        <v/>
      </c>
      <c r="DO150" s="43" t="n">
        <f aca="false">Tasks[[#This Row],[_LeafWork]]*Tasks[[#This Row],[_LeafProgress]]</f>
        <v>0</v>
      </c>
      <c r="DP15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50" s="43" t="n">
        <f aca="false">IF(Tasks[[#This Row],[_IsLeaf]]=1,N(Tasks[[#This Row],[Story Points]]),0)</f>
        <v>0</v>
      </c>
      <c r="DR150" s="43" t="str">
        <f aca="false">IF(AND(Tasks[[#This Row],[_IsLeaf]]=1,CurrentSprint&lt;&gt;"",Tasks[[#This Row],[Sprint]]=CurrentSprint),Tasks[[#This Row],[_Row]],"")</f>
        <v/>
      </c>
    </row>
    <row r="151" customFormat="false" ht="15" hidden="false" customHeight="false" outlineLevel="0" collapsed="false">
      <c r="A151" s="28" t="str">
        <f aca="false">IF(Tasks[[#This Row],[Task Name]]="","",COUNTA(Tasks[[#Headers],[Task Name]]:Tasks[[#This Row],[Task Name]])-1)</f>
        <v/>
      </c>
      <c r="B151" s="29" t="n">
        <v>146</v>
      </c>
      <c r="C15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51" s="29"/>
      <c r="E151" s="30"/>
      <c r="F151" s="29"/>
      <c r="G151" s="29"/>
      <c r="H151" s="29"/>
      <c r="I151" s="29"/>
      <c r="J151" s="29"/>
      <c r="K151" s="29"/>
      <c r="L151" s="29"/>
      <c r="M151" s="29"/>
      <c r="N151" s="72"/>
      <c r="O151" s="72"/>
      <c r="P151" s="25" t="str">
        <f aca="false">IF(Tasks[[#This Row],[Task Name]]="","",IF(N(Tasks[[#This Row],[Baseline Start]])&gt;0,Tasks[[#This Row],[Baseline Start]],Tasks[[#This Row],[_CalcStart]]))</f>
        <v/>
      </c>
      <c r="Q151" s="25" t="str">
        <f aca="false">IF(Tasks[[#This Row],[Task Name]]="","",IF(N(Tasks[[#This Row],[Baseline Finish]])&gt;0,Tasks[[#This Row],[Baseline Finish]],Tasks[[#This Row],[_CalcFinish]]))</f>
        <v/>
      </c>
      <c r="R151" s="72"/>
      <c r="S151" s="72"/>
      <c r="T15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5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5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5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5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5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5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5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5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5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5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51" s="74"/>
      <c r="AF15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5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51" s="30"/>
      <c r="AI151" s="74"/>
      <c r="AJ15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5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51" s="83"/>
      <c r="AM151" s="29"/>
      <c r="AN15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51" s="84"/>
      <c r="AP15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51" s="30"/>
      <c r="AR151" s="25" t="str">
        <f aca="false">IF(Tasks[[#This Row],[Task Name]]="","",Tasks[[#This Row],[Forecast Start]])</f>
        <v/>
      </c>
      <c r="AS151" s="25" t="str">
        <f aca="false">IF(Tasks[[#This Row],[Task Name]]="","",Tasks[[#This Row],[Forecast Finish]])</f>
        <v/>
      </c>
      <c r="AT15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51" s="81" t="str">
        <f aca="false">IF(Tasks[[#This Row],[Task Name]]="","",Tasks[[#This Row],[Work]])</f>
        <v/>
      </c>
      <c r="AV151" s="82" t="str">
        <f aca="false">IF(Tasks[[#This Row],[Task Name]]="","",Tasks[[#This Row],[Cost]])</f>
        <v/>
      </c>
      <c r="AW151" s="72"/>
      <c r="AX151" s="72"/>
      <c r="AY151" s="29"/>
      <c r="AZ151" s="85"/>
      <c r="BA151" s="83"/>
      <c r="BB151" s="28" t="str">
        <f aca="false">IF(OR(Tasks[[#This Row],[Task Name]]="",Tasks[[#This Row],[Baseline Duration]]=""),"",Tasks[[#This Row],[BL Source Duration]]-N(Tasks[[#This Row],[Baseline Duration]]))</f>
        <v/>
      </c>
      <c r="BC151" s="81" t="str">
        <f aca="false">IF(OR(Tasks[[#This Row],[Task Name]]="",Tasks[[#This Row],[Baseline Work]]=""),"",Tasks[[#This Row],[Work]]-N(Tasks[[#This Row],[Baseline Work]]))</f>
        <v/>
      </c>
      <c r="BD151" s="82" t="str">
        <f aca="false">IF(OR(Tasks[[#This Row],[Task Name]]="",Tasks[[#This Row],[Baseline Cost]]=""),"",Tasks[[#This Row],[Cost]]-N(Tasks[[#This Row],[Baseline Cost]]))</f>
        <v/>
      </c>
      <c r="BE15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5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5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5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51" s="43" t="str">
        <f aca="false">IF(Tasks[[#This Row],[Task Name]]="","",MAX(1,N(Tasks[[#This Row],[Level]])))</f>
        <v/>
      </c>
      <c r="BJ151" s="43" t="n">
        <f aca="false">ROW()-ROW(Tasks[[#Headers],[ID]])</f>
        <v>146</v>
      </c>
      <c r="BK15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51" s="43" t="n">
        <f aca="false">IFERROR(N(INDEX(Tasks[_Level],Tasks[[#This Row],[_Row]]+1)),0)</f>
        <v>0</v>
      </c>
      <c r="BM151" s="86" t="b">
        <f aca="false">AND(Tasks[[#This Row],[Task Name]]&lt;&gt;"",Tasks[[#This Row],[_NextLevel]]&gt;Tasks[[#This Row],[_Level]])</f>
        <v>0</v>
      </c>
      <c r="BN151" s="43" t="n">
        <f aca="false">IF(Tasks[[#This Row],[_IsSummary]],COUNTIF(Tasks[WBS],Tasks[[#This Row],[WBS]]&amp;".*"),0)</f>
        <v>0</v>
      </c>
      <c r="BO151" s="43" t="n">
        <f aca="false">IF(AND(Tasks[[#This Row],[Task Name]]&lt;&gt;"",NOT(Tasks[[#This Row],[_IsSummary]])),1,0)</f>
        <v>0</v>
      </c>
      <c r="BP151" s="43" t="n">
        <f aca="false">IF(N(Tasks[[#This Row],[Pred1 UID]])=0,0,IFERROR(MATCH(Tasks[[#This Row],[Pred1 UID]],Tasks[UID],0),-1))</f>
        <v>0</v>
      </c>
      <c r="BQ151" s="43" t="n">
        <f aca="false">IF(N(Tasks[[#This Row],[Pred2 UID]])=0,0,IFERROR(MATCH(Tasks[[#This Row],[Pred2 UID]],Tasks[UID],0),-1))</f>
        <v>0</v>
      </c>
      <c r="BR15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5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5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5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51" s="43" t="n">
        <f aca="false">IF(NOT(Tasks[[#This Row],[_IsLeaf]]=1),0,IF(N(Tasks[[#This Row],[Actual Finish]])&gt;0,1,MIN(1,N(Tasks[[#This Row],[% Complete]]))))</f>
        <v>0</v>
      </c>
      <c r="BW15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51" s="43" t="n">
        <f aca="false">IF(Tasks[[#This Row],[_LeafWork]]=0,0,Tasks[[#This Row],[_LeafWork]]*IFERROR(INDEX(res_Rate,MATCH(Tasks[[#This Row],[Resource]],res_Name,0)),0))</f>
        <v>0</v>
      </c>
      <c r="BY15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5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5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5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51" s="43" t="n">
        <f aca="false">IF(NOT(Tasks[[#This Row],[_IsLeaf]]=1),0,MAX(_xlfn.MAXIFS(Tasks[_Row],Tasks[Pred1 UID],Tasks[[#This Row],[UID]]),_xlfn.MAXIFS(Tasks[_Row],Tasks[Pred2 UID],Tasks[[#This Row],[UID]])))</f>
        <v>0</v>
      </c>
      <c r="CD15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51" s="87" t="str">
        <f aca="false">IF(NOT(Tasks[[#This Row],[_IsLeaf]]=1),"",MIN(ProjectFinish,IF(N(Tasks[[#This Row],[Deadline]])&gt;0,Tasks[[#This Row],[Deadline]],2958465),Tasks[[#This Row],[_SuccessorFinishLimit]]))</f>
        <v/>
      </c>
      <c r="CF15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5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51" s="86" t="b">
        <f aca="false">AND(Tasks[[#This Row],[_IsLeaf]]=1,Tasks[[#This Row],[_LeafProgress]]&lt;1,N(Tasks[[#This Row],[_LeafTotalSlack]])&lt;=CriticalSlackDays)</f>
        <v>0</v>
      </c>
      <c r="CI15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5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5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5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5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5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5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5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51" s="43" t="n">
        <f aca="false">IF(AND(Tasks[[#This Row],[_IsLeaf]]=1,Tasks[[#This Row],[_LeafWork]]&gt;0),NETWORKDAYS.INTL(ProjectStart,Tasks[[#This Row],[_LeafFcstStart]],WorkWeek,Holidays),0)</f>
        <v>0</v>
      </c>
      <c r="CR15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51" s="43" t="n">
        <f aca="false">IF(AND(Tasks[[#This Row],[_IsLeaf]]=1,Tasks[[#This Row],[_LeafWork]]&gt;0),Tasks[[#This Row],[_LeafWork]]/(Tasks[[#This Row],[_FinishWorkday]]-Tasks[[#This Row],[_StartWorkday]]+1),0)</f>
        <v>0</v>
      </c>
      <c r="CT151" s="43" t="n">
        <f aca="false">Tasks[[#This Row],[_WorkPerWorkday]]*(Tasks[[#This Row],[_StartWorkday]]-1)</f>
        <v>-0</v>
      </c>
      <c r="CU151" s="43" t="n">
        <f aca="false">IF(Tasks[[#This Row],[_IsLeaf]]=1,MAX(N(Tasks[[#This Row],[Duration]]),0.1),0)</f>
        <v>0</v>
      </c>
      <c r="CV151" s="43" t="n">
        <f aca="false">Tasks[[#This Row],[_WeightDur]]*Tasks[[#This Row],[_LeafProgress]]</f>
        <v>0</v>
      </c>
      <c r="CW15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5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5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5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5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51" s="43" t="str">
        <f aca="false">IF(AND(Tasks[[#This Row],[_IsLeaf]]=1,N(Tasks[[#This Row],[Duration]])=0,Tasks[[#This Row],[_LeafProgress]]&lt;1),Tasks[[#This Row],[_LeafFcstFinish]]+Tasks[[#This Row],[_Row]]/100000,"")</f>
        <v/>
      </c>
      <c r="DC15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51" s="43" t="n">
        <f aca="false">IF(NOT(Tasks[[#This Row],[_IsLeaf]]=1),0,IF(Tasks[[#This Row],[Baseline Cost]]="",Tasks[[#This Row],[_LeafCost]],N(Tasks[[#This Row],[Baseline Cost]])))</f>
        <v>0</v>
      </c>
      <c r="DE151" s="43" t="n">
        <f aca="false">Tasks[[#This Row],[_LeafBudget]]*Tasks[[#This Row],[_PlannedPct]]</f>
        <v>0</v>
      </c>
      <c r="DF151" s="43" t="n">
        <f aca="false">Tasks[[#This Row],[_LeafBudget]]*Tasks[[#This Row],[_LeafProgress]]</f>
        <v>0</v>
      </c>
      <c r="DG151" s="43" t="n">
        <f aca="false">IF(NOT(Tasks[[#This Row],[_IsLeaf]]=1),0,IF(Tasks[[#This Row],[Actual Cost]]="",Tasks[[#This Row],[_LeafCost]]*Tasks[[#This Row],[_LeafProgress]],N(Tasks[[#This Row],[Actual Cost]])))</f>
        <v>0</v>
      </c>
      <c r="DH151" s="43" t="str">
        <f aca="false">IF(Tasks[[#This Row],[Task Name]]="","",LEFT(Tasks[[#This Row],[WBS]],FIND(".",Tasks[[#This Row],[WBS]]&amp;".")-1))</f>
        <v/>
      </c>
      <c r="DI151" s="43" t="str">
        <f aca="false">IF(AND(Tasks[[#This Row],[Task Name]]&lt;&gt;"",Tasks[[#This Row],[_Level]]=1),Tasks[[#This Row],[_Row]],"")</f>
        <v/>
      </c>
      <c r="DJ151" s="43" t="str">
        <f aca="false">IF(AND(Tasks[[#This Row],[_IsLeaf]]=1,N(Tasks[[#This Row],[Duration]])=0),Tasks[[#This Row],[Planned Finish]]+Tasks[[#This Row],[_Row]]/100000,"")</f>
        <v/>
      </c>
      <c r="DK15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5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5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51" s="43" t="str">
        <f aca="false">IF(Tasks[[#This Row],[_LeafCritical]],Tasks[[#This Row],[_LeafFcstStart]]+Tasks[[#This Row],[_Row]]/100000,"")</f>
        <v/>
      </c>
      <c r="DO151" s="43" t="n">
        <f aca="false">Tasks[[#This Row],[_LeafWork]]*Tasks[[#This Row],[_LeafProgress]]</f>
        <v>0</v>
      </c>
      <c r="DP15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51" s="43" t="n">
        <f aca="false">IF(Tasks[[#This Row],[_IsLeaf]]=1,N(Tasks[[#This Row],[Story Points]]),0)</f>
        <v>0</v>
      </c>
      <c r="DR151" s="43" t="str">
        <f aca="false">IF(AND(Tasks[[#This Row],[_IsLeaf]]=1,CurrentSprint&lt;&gt;"",Tasks[[#This Row],[Sprint]]=CurrentSprint),Tasks[[#This Row],[_Row]],"")</f>
        <v/>
      </c>
    </row>
    <row r="152" customFormat="false" ht="15" hidden="false" customHeight="false" outlineLevel="0" collapsed="false">
      <c r="A152" s="28" t="str">
        <f aca="false">IF(Tasks[[#This Row],[Task Name]]="","",COUNTA(Tasks[[#Headers],[Task Name]]:Tasks[[#This Row],[Task Name]])-1)</f>
        <v/>
      </c>
      <c r="B152" s="29" t="n">
        <v>147</v>
      </c>
      <c r="C15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52" s="29"/>
      <c r="E152" s="30"/>
      <c r="F152" s="29"/>
      <c r="G152" s="29"/>
      <c r="H152" s="29"/>
      <c r="I152" s="29"/>
      <c r="J152" s="29"/>
      <c r="K152" s="29"/>
      <c r="L152" s="29"/>
      <c r="M152" s="29"/>
      <c r="N152" s="72"/>
      <c r="O152" s="72"/>
      <c r="P152" s="25" t="str">
        <f aca="false">IF(Tasks[[#This Row],[Task Name]]="","",IF(N(Tasks[[#This Row],[Baseline Start]])&gt;0,Tasks[[#This Row],[Baseline Start]],Tasks[[#This Row],[_CalcStart]]))</f>
        <v/>
      </c>
      <c r="Q152" s="25" t="str">
        <f aca="false">IF(Tasks[[#This Row],[Task Name]]="","",IF(N(Tasks[[#This Row],[Baseline Finish]])&gt;0,Tasks[[#This Row],[Baseline Finish]],Tasks[[#This Row],[_CalcFinish]]))</f>
        <v/>
      </c>
      <c r="R152" s="72"/>
      <c r="S152" s="72"/>
      <c r="T15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5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5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5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5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5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5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5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5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5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5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52" s="74"/>
      <c r="AF15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5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52" s="30"/>
      <c r="AI152" s="74"/>
      <c r="AJ15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5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52" s="83"/>
      <c r="AM152" s="29"/>
      <c r="AN15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52" s="84"/>
      <c r="AP15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52" s="30"/>
      <c r="AR152" s="25" t="str">
        <f aca="false">IF(Tasks[[#This Row],[Task Name]]="","",Tasks[[#This Row],[Forecast Start]])</f>
        <v/>
      </c>
      <c r="AS152" s="25" t="str">
        <f aca="false">IF(Tasks[[#This Row],[Task Name]]="","",Tasks[[#This Row],[Forecast Finish]])</f>
        <v/>
      </c>
      <c r="AT15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52" s="81" t="str">
        <f aca="false">IF(Tasks[[#This Row],[Task Name]]="","",Tasks[[#This Row],[Work]])</f>
        <v/>
      </c>
      <c r="AV152" s="82" t="str">
        <f aca="false">IF(Tasks[[#This Row],[Task Name]]="","",Tasks[[#This Row],[Cost]])</f>
        <v/>
      </c>
      <c r="AW152" s="72"/>
      <c r="AX152" s="72"/>
      <c r="AY152" s="29"/>
      <c r="AZ152" s="85"/>
      <c r="BA152" s="83"/>
      <c r="BB152" s="28" t="str">
        <f aca="false">IF(OR(Tasks[[#This Row],[Task Name]]="",Tasks[[#This Row],[Baseline Duration]]=""),"",Tasks[[#This Row],[BL Source Duration]]-N(Tasks[[#This Row],[Baseline Duration]]))</f>
        <v/>
      </c>
      <c r="BC152" s="81" t="str">
        <f aca="false">IF(OR(Tasks[[#This Row],[Task Name]]="",Tasks[[#This Row],[Baseline Work]]=""),"",Tasks[[#This Row],[Work]]-N(Tasks[[#This Row],[Baseline Work]]))</f>
        <v/>
      </c>
      <c r="BD152" s="82" t="str">
        <f aca="false">IF(OR(Tasks[[#This Row],[Task Name]]="",Tasks[[#This Row],[Baseline Cost]]=""),"",Tasks[[#This Row],[Cost]]-N(Tasks[[#This Row],[Baseline Cost]]))</f>
        <v/>
      </c>
      <c r="BE15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5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5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5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52" s="43" t="str">
        <f aca="false">IF(Tasks[[#This Row],[Task Name]]="","",MAX(1,N(Tasks[[#This Row],[Level]])))</f>
        <v/>
      </c>
      <c r="BJ152" s="43" t="n">
        <f aca="false">ROW()-ROW(Tasks[[#Headers],[ID]])</f>
        <v>147</v>
      </c>
      <c r="BK15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52" s="43" t="n">
        <f aca="false">IFERROR(N(INDEX(Tasks[_Level],Tasks[[#This Row],[_Row]]+1)),0)</f>
        <v>0</v>
      </c>
      <c r="BM152" s="86" t="b">
        <f aca="false">AND(Tasks[[#This Row],[Task Name]]&lt;&gt;"",Tasks[[#This Row],[_NextLevel]]&gt;Tasks[[#This Row],[_Level]])</f>
        <v>0</v>
      </c>
      <c r="BN152" s="43" t="n">
        <f aca="false">IF(Tasks[[#This Row],[_IsSummary]],COUNTIF(Tasks[WBS],Tasks[[#This Row],[WBS]]&amp;".*"),0)</f>
        <v>0</v>
      </c>
      <c r="BO152" s="43" t="n">
        <f aca="false">IF(AND(Tasks[[#This Row],[Task Name]]&lt;&gt;"",NOT(Tasks[[#This Row],[_IsSummary]])),1,0)</f>
        <v>0</v>
      </c>
      <c r="BP152" s="43" t="n">
        <f aca="false">IF(N(Tasks[[#This Row],[Pred1 UID]])=0,0,IFERROR(MATCH(Tasks[[#This Row],[Pred1 UID]],Tasks[UID],0),-1))</f>
        <v>0</v>
      </c>
      <c r="BQ152" s="43" t="n">
        <f aca="false">IF(N(Tasks[[#This Row],[Pred2 UID]])=0,0,IFERROR(MATCH(Tasks[[#This Row],[Pred2 UID]],Tasks[UID],0),-1))</f>
        <v>0</v>
      </c>
      <c r="BR15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5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5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5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52" s="43" t="n">
        <f aca="false">IF(NOT(Tasks[[#This Row],[_IsLeaf]]=1),0,IF(N(Tasks[[#This Row],[Actual Finish]])&gt;0,1,MIN(1,N(Tasks[[#This Row],[% Complete]]))))</f>
        <v>0</v>
      </c>
      <c r="BW15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52" s="43" t="n">
        <f aca="false">IF(Tasks[[#This Row],[_LeafWork]]=0,0,Tasks[[#This Row],[_LeafWork]]*IFERROR(INDEX(res_Rate,MATCH(Tasks[[#This Row],[Resource]],res_Name,0)),0))</f>
        <v>0</v>
      </c>
      <c r="BY15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5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5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5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52" s="43" t="n">
        <f aca="false">IF(NOT(Tasks[[#This Row],[_IsLeaf]]=1),0,MAX(_xlfn.MAXIFS(Tasks[_Row],Tasks[Pred1 UID],Tasks[[#This Row],[UID]]),_xlfn.MAXIFS(Tasks[_Row],Tasks[Pred2 UID],Tasks[[#This Row],[UID]])))</f>
        <v>0</v>
      </c>
      <c r="CD15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52" s="87" t="str">
        <f aca="false">IF(NOT(Tasks[[#This Row],[_IsLeaf]]=1),"",MIN(ProjectFinish,IF(N(Tasks[[#This Row],[Deadline]])&gt;0,Tasks[[#This Row],[Deadline]],2958465),Tasks[[#This Row],[_SuccessorFinishLimit]]))</f>
        <v/>
      </c>
      <c r="CF15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5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52" s="86" t="b">
        <f aca="false">AND(Tasks[[#This Row],[_IsLeaf]]=1,Tasks[[#This Row],[_LeafProgress]]&lt;1,N(Tasks[[#This Row],[_LeafTotalSlack]])&lt;=CriticalSlackDays)</f>
        <v>0</v>
      </c>
      <c r="CI15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5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5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5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5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5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5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5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52" s="43" t="n">
        <f aca="false">IF(AND(Tasks[[#This Row],[_IsLeaf]]=1,Tasks[[#This Row],[_LeafWork]]&gt;0),NETWORKDAYS.INTL(ProjectStart,Tasks[[#This Row],[_LeafFcstStart]],WorkWeek,Holidays),0)</f>
        <v>0</v>
      </c>
      <c r="CR15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52" s="43" t="n">
        <f aca="false">IF(AND(Tasks[[#This Row],[_IsLeaf]]=1,Tasks[[#This Row],[_LeafWork]]&gt;0),Tasks[[#This Row],[_LeafWork]]/(Tasks[[#This Row],[_FinishWorkday]]-Tasks[[#This Row],[_StartWorkday]]+1),0)</f>
        <v>0</v>
      </c>
      <c r="CT152" s="43" t="n">
        <f aca="false">Tasks[[#This Row],[_WorkPerWorkday]]*(Tasks[[#This Row],[_StartWorkday]]-1)</f>
        <v>-0</v>
      </c>
      <c r="CU152" s="43" t="n">
        <f aca="false">IF(Tasks[[#This Row],[_IsLeaf]]=1,MAX(N(Tasks[[#This Row],[Duration]]),0.1),0)</f>
        <v>0</v>
      </c>
      <c r="CV152" s="43" t="n">
        <f aca="false">Tasks[[#This Row],[_WeightDur]]*Tasks[[#This Row],[_LeafProgress]]</f>
        <v>0</v>
      </c>
      <c r="CW15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5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5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5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5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52" s="43" t="str">
        <f aca="false">IF(AND(Tasks[[#This Row],[_IsLeaf]]=1,N(Tasks[[#This Row],[Duration]])=0,Tasks[[#This Row],[_LeafProgress]]&lt;1),Tasks[[#This Row],[_LeafFcstFinish]]+Tasks[[#This Row],[_Row]]/100000,"")</f>
        <v/>
      </c>
      <c r="DC15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52" s="43" t="n">
        <f aca="false">IF(NOT(Tasks[[#This Row],[_IsLeaf]]=1),0,IF(Tasks[[#This Row],[Baseline Cost]]="",Tasks[[#This Row],[_LeafCost]],N(Tasks[[#This Row],[Baseline Cost]])))</f>
        <v>0</v>
      </c>
      <c r="DE152" s="43" t="n">
        <f aca="false">Tasks[[#This Row],[_LeafBudget]]*Tasks[[#This Row],[_PlannedPct]]</f>
        <v>0</v>
      </c>
      <c r="DF152" s="43" t="n">
        <f aca="false">Tasks[[#This Row],[_LeafBudget]]*Tasks[[#This Row],[_LeafProgress]]</f>
        <v>0</v>
      </c>
      <c r="DG152" s="43" t="n">
        <f aca="false">IF(NOT(Tasks[[#This Row],[_IsLeaf]]=1),0,IF(Tasks[[#This Row],[Actual Cost]]="",Tasks[[#This Row],[_LeafCost]]*Tasks[[#This Row],[_LeafProgress]],N(Tasks[[#This Row],[Actual Cost]])))</f>
        <v>0</v>
      </c>
      <c r="DH152" s="43" t="str">
        <f aca="false">IF(Tasks[[#This Row],[Task Name]]="","",LEFT(Tasks[[#This Row],[WBS]],FIND(".",Tasks[[#This Row],[WBS]]&amp;".")-1))</f>
        <v/>
      </c>
      <c r="DI152" s="43" t="str">
        <f aca="false">IF(AND(Tasks[[#This Row],[Task Name]]&lt;&gt;"",Tasks[[#This Row],[_Level]]=1),Tasks[[#This Row],[_Row]],"")</f>
        <v/>
      </c>
      <c r="DJ152" s="43" t="str">
        <f aca="false">IF(AND(Tasks[[#This Row],[_IsLeaf]]=1,N(Tasks[[#This Row],[Duration]])=0),Tasks[[#This Row],[Planned Finish]]+Tasks[[#This Row],[_Row]]/100000,"")</f>
        <v/>
      </c>
      <c r="DK15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5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5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52" s="43" t="str">
        <f aca="false">IF(Tasks[[#This Row],[_LeafCritical]],Tasks[[#This Row],[_LeafFcstStart]]+Tasks[[#This Row],[_Row]]/100000,"")</f>
        <v/>
      </c>
      <c r="DO152" s="43" t="n">
        <f aca="false">Tasks[[#This Row],[_LeafWork]]*Tasks[[#This Row],[_LeafProgress]]</f>
        <v>0</v>
      </c>
      <c r="DP15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52" s="43" t="n">
        <f aca="false">IF(Tasks[[#This Row],[_IsLeaf]]=1,N(Tasks[[#This Row],[Story Points]]),0)</f>
        <v>0</v>
      </c>
      <c r="DR152" s="43" t="str">
        <f aca="false">IF(AND(Tasks[[#This Row],[_IsLeaf]]=1,CurrentSprint&lt;&gt;"",Tasks[[#This Row],[Sprint]]=CurrentSprint),Tasks[[#This Row],[_Row]],"")</f>
        <v/>
      </c>
    </row>
    <row r="153" customFormat="false" ht="15" hidden="false" customHeight="false" outlineLevel="0" collapsed="false">
      <c r="A153" s="28" t="str">
        <f aca="false">IF(Tasks[[#This Row],[Task Name]]="","",COUNTA(Tasks[[#Headers],[Task Name]]:Tasks[[#This Row],[Task Name]])-1)</f>
        <v/>
      </c>
      <c r="B153" s="29" t="n">
        <v>148</v>
      </c>
      <c r="C15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53" s="29"/>
      <c r="E153" s="30"/>
      <c r="F153" s="29"/>
      <c r="G153" s="29"/>
      <c r="H153" s="29"/>
      <c r="I153" s="29"/>
      <c r="J153" s="29"/>
      <c r="K153" s="29"/>
      <c r="L153" s="29"/>
      <c r="M153" s="29"/>
      <c r="N153" s="72"/>
      <c r="O153" s="72"/>
      <c r="P153" s="25" t="str">
        <f aca="false">IF(Tasks[[#This Row],[Task Name]]="","",IF(N(Tasks[[#This Row],[Baseline Start]])&gt;0,Tasks[[#This Row],[Baseline Start]],Tasks[[#This Row],[_CalcStart]]))</f>
        <v/>
      </c>
      <c r="Q153" s="25" t="str">
        <f aca="false">IF(Tasks[[#This Row],[Task Name]]="","",IF(N(Tasks[[#This Row],[Baseline Finish]])&gt;0,Tasks[[#This Row],[Baseline Finish]],Tasks[[#This Row],[_CalcFinish]]))</f>
        <v/>
      </c>
      <c r="R153" s="72"/>
      <c r="S153" s="72"/>
      <c r="T15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5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5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5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5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5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5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5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5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5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5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53" s="74"/>
      <c r="AF15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5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53" s="30"/>
      <c r="AI153" s="74"/>
      <c r="AJ15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5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53" s="83"/>
      <c r="AM153" s="29"/>
      <c r="AN15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53" s="84"/>
      <c r="AP15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53" s="30"/>
      <c r="AR153" s="25" t="str">
        <f aca="false">IF(Tasks[[#This Row],[Task Name]]="","",Tasks[[#This Row],[Forecast Start]])</f>
        <v/>
      </c>
      <c r="AS153" s="25" t="str">
        <f aca="false">IF(Tasks[[#This Row],[Task Name]]="","",Tasks[[#This Row],[Forecast Finish]])</f>
        <v/>
      </c>
      <c r="AT15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53" s="81" t="str">
        <f aca="false">IF(Tasks[[#This Row],[Task Name]]="","",Tasks[[#This Row],[Work]])</f>
        <v/>
      </c>
      <c r="AV153" s="82" t="str">
        <f aca="false">IF(Tasks[[#This Row],[Task Name]]="","",Tasks[[#This Row],[Cost]])</f>
        <v/>
      </c>
      <c r="AW153" s="72"/>
      <c r="AX153" s="72"/>
      <c r="AY153" s="29"/>
      <c r="AZ153" s="85"/>
      <c r="BA153" s="83"/>
      <c r="BB153" s="28" t="str">
        <f aca="false">IF(OR(Tasks[[#This Row],[Task Name]]="",Tasks[[#This Row],[Baseline Duration]]=""),"",Tasks[[#This Row],[BL Source Duration]]-N(Tasks[[#This Row],[Baseline Duration]]))</f>
        <v/>
      </c>
      <c r="BC153" s="81" t="str">
        <f aca="false">IF(OR(Tasks[[#This Row],[Task Name]]="",Tasks[[#This Row],[Baseline Work]]=""),"",Tasks[[#This Row],[Work]]-N(Tasks[[#This Row],[Baseline Work]]))</f>
        <v/>
      </c>
      <c r="BD153" s="82" t="str">
        <f aca="false">IF(OR(Tasks[[#This Row],[Task Name]]="",Tasks[[#This Row],[Baseline Cost]]=""),"",Tasks[[#This Row],[Cost]]-N(Tasks[[#This Row],[Baseline Cost]]))</f>
        <v/>
      </c>
      <c r="BE15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5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5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5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53" s="43" t="str">
        <f aca="false">IF(Tasks[[#This Row],[Task Name]]="","",MAX(1,N(Tasks[[#This Row],[Level]])))</f>
        <v/>
      </c>
      <c r="BJ153" s="43" t="n">
        <f aca="false">ROW()-ROW(Tasks[[#Headers],[ID]])</f>
        <v>148</v>
      </c>
      <c r="BK15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53" s="43" t="n">
        <f aca="false">IFERROR(N(INDEX(Tasks[_Level],Tasks[[#This Row],[_Row]]+1)),0)</f>
        <v>0</v>
      </c>
      <c r="BM153" s="86" t="b">
        <f aca="false">AND(Tasks[[#This Row],[Task Name]]&lt;&gt;"",Tasks[[#This Row],[_NextLevel]]&gt;Tasks[[#This Row],[_Level]])</f>
        <v>0</v>
      </c>
      <c r="BN153" s="43" t="n">
        <f aca="false">IF(Tasks[[#This Row],[_IsSummary]],COUNTIF(Tasks[WBS],Tasks[[#This Row],[WBS]]&amp;".*"),0)</f>
        <v>0</v>
      </c>
      <c r="BO153" s="43" t="n">
        <f aca="false">IF(AND(Tasks[[#This Row],[Task Name]]&lt;&gt;"",NOT(Tasks[[#This Row],[_IsSummary]])),1,0)</f>
        <v>0</v>
      </c>
      <c r="BP153" s="43" t="n">
        <f aca="false">IF(N(Tasks[[#This Row],[Pred1 UID]])=0,0,IFERROR(MATCH(Tasks[[#This Row],[Pred1 UID]],Tasks[UID],0),-1))</f>
        <v>0</v>
      </c>
      <c r="BQ153" s="43" t="n">
        <f aca="false">IF(N(Tasks[[#This Row],[Pred2 UID]])=0,0,IFERROR(MATCH(Tasks[[#This Row],[Pred2 UID]],Tasks[UID],0),-1))</f>
        <v>0</v>
      </c>
      <c r="BR15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5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5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5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53" s="43" t="n">
        <f aca="false">IF(NOT(Tasks[[#This Row],[_IsLeaf]]=1),0,IF(N(Tasks[[#This Row],[Actual Finish]])&gt;0,1,MIN(1,N(Tasks[[#This Row],[% Complete]]))))</f>
        <v>0</v>
      </c>
      <c r="BW15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53" s="43" t="n">
        <f aca="false">IF(Tasks[[#This Row],[_LeafWork]]=0,0,Tasks[[#This Row],[_LeafWork]]*IFERROR(INDEX(res_Rate,MATCH(Tasks[[#This Row],[Resource]],res_Name,0)),0))</f>
        <v>0</v>
      </c>
      <c r="BY15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5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5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5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53" s="43" t="n">
        <f aca="false">IF(NOT(Tasks[[#This Row],[_IsLeaf]]=1),0,MAX(_xlfn.MAXIFS(Tasks[_Row],Tasks[Pred1 UID],Tasks[[#This Row],[UID]]),_xlfn.MAXIFS(Tasks[_Row],Tasks[Pred2 UID],Tasks[[#This Row],[UID]])))</f>
        <v>0</v>
      </c>
      <c r="CD15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53" s="87" t="str">
        <f aca="false">IF(NOT(Tasks[[#This Row],[_IsLeaf]]=1),"",MIN(ProjectFinish,IF(N(Tasks[[#This Row],[Deadline]])&gt;0,Tasks[[#This Row],[Deadline]],2958465),Tasks[[#This Row],[_SuccessorFinishLimit]]))</f>
        <v/>
      </c>
      <c r="CF15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5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53" s="86" t="b">
        <f aca="false">AND(Tasks[[#This Row],[_IsLeaf]]=1,Tasks[[#This Row],[_LeafProgress]]&lt;1,N(Tasks[[#This Row],[_LeafTotalSlack]])&lt;=CriticalSlackDays)</f>
        <v>0</v>
      </c>
      <c r="CI15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5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5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5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5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5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5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5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53" s="43" t="n">
        <f aca="false">IF(AND(Tasks[[#This Row],[_IsLeaf]]=1,Tasks[[#This Row],[_LeafWork]]&gt;0),NETWORKDAYS.INTL(ProjectStart,Tasks[[#This Row],[_LeafFcstStart]],WorkWeek,Holidays),0)</f>
        <v>0</v>
      </c>
      <c r="CR15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53" s="43" t="n">
        <f aca="false">IF(AND(Tasks[[#This Row],[_IsLeaf]]=1,Tasks[[#This Row],[_LeafWork]]&gt;0),Tasks[[#This Row],[_LeafWork]]/(Tasks[[#This Row],[_FinishWorkday]]-Tasks[[#This Row],[_StartWorkday]]+1),0)</f>
        <v>0</v>
      </c>
      <c r="CT153" s="43" t="n">
        <f aca="false">Tasks[[#This Row],[_WorkPerWorkday]]*(Tasks[[#This Row],[_StartWorkday]]-1)</f>
        <v>-0</v>
      </c>
      <c r="CU153" s="43" t="n">
        <f aca="false">IF(Tasks[[#This Row],[_IsLeaf]]=1,MAX(N(Tasks[[#This Row],[Duration]]),0.1),0)</f>
        <v>0</v>
      </c>
      <c r="CV153" s="43" t="n">
        <f aca="false">Tasks[[#This Row],[_WeightDur]]*Tasks[[#This Row],[_LeafProgress]]</f>
        <v>0</v>
      </c>
      <c r="CW15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5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5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5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5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53" s="43" t="str">
        <f aca="false">IF(AND(Tasks[[#This Row],[_IsLeaf]]=1,N(Tasks[[#This Row],[Duration]])=0,Tasks[[#This Row],[_LeafProgress]]&lt;1),Tasks[[#This Row],[_LeafFcstFinish]]+Tasks[[#This Row],[_Row]]/100000,"")</f>
        <v/>
      </c>
      <c r="DC15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53" s="43" t="n">
        <f aca="false">IF(NOT(Tasks[[#This Row],[_IsLeaf]]=1),0,IF(Tasks[[#This Row],[Baseline Cost]]="",Tasks[[#This Row],[_LeafCost]],N(Tasks[[#This Row],[Baseline Cost]])))</f>
        <v>0</v>
      </c>
      <c r="DE153" s="43" t="n">
        <f aca="false">Tasks[[#This Row],[_LeafBudget]]*Tasks[[#This Row],[_PlannedPct]]</f>
        <v>0</v>
      </c>
      <c r="DF153" s="43" t="n">
        <f aca="false">Tasks[[#This Row],[_LeafBudget]]*Tasks[[#This Row],[_LeafProgress]]</f>
        <v>0</v>
      </c>
      <c r="DG153" s="43" t="n">
        <f aca="false">IF(NOT(Tasks[[#This Row],[_IsLeaf]]=1),0,IF(Tasks[[#This Row],[Actual Cost]]="",Tasks[[#This Row],[_LeafCost]]*Tasks[[#This Row],[_LeafProgress]],N(Tasks[[#This Row],[Actual Cost]])))</f>
        <v>0</v>
      </c>
      <c r="DH153" s="43" t="str">
        <f aca="false">IF(Tasks[[#This Row],[Task Name]]="","",LEFT(Tasks[[#This Row],[WBS]],FIND(".",Tasks[[#This Row],[WBS]]&amp;".")-1))</f>
        <v/>
      </c>
      <c r="DI153" s="43" t="str">
        <f aca="false">IF(AND(Tasks[[#This Row],[Task Name]]&lt;&gt;"",Tasks[[#This Row],[_Level]]=1),Tasks[[#This Row],[_Row]],"")</f>
        <v/>
      </c>
      <c r="DJ153" s="43" t="str">
        <f aca="false">IF(AND(Tasks[[#This Row],[_IsLeaf]]=1,N(Tasks[[#This Row],[Duration]])=0),Tasks[[#This Row],[Planned Finish]]+Tasks[[#This Row],[_Row]]/100000,"")</f>
        <v/>
      </c>
      <c r="DK15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5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5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53" s="43" t="str">
        <f aca="false">IF(Tasks[[#This Row],[_LeafCritical]],Tasks[[#This Row],[_LeafFcstStart]]+Tasks[[#This Row],[_Row]]/100000,"")</f>
        <v/>
      </c>
      <c r="DO153" s="43" t="n">
        <f aca="false">Tasks[[#This Row],[_LeafWork]]*Tasks[[#This Row],[_LeafProgress]]</f>
        <v>0</v>
      </c>
      <c r="DP15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53" s="43" t="n">
        <f aca="false">IF(Tasks[[#This Row],[_IsLeaf]]=1,N(Tasks[[#This Row],[Story Points]]),0)</f>
        <v>0</v>
      </c>
      <c r="DR153" s="43" t="str">
        <f aca="false">IF(AND(Tasks[[#This Row],[_IsLeaf]]=1,CurrentSprint&lt;&gt;"",Tasks[[#This Row],[Sprint]]=CurrentSprint),Tasks[[#This Row],[_Row]],"")</f>
        <v/>
      </c>
    </row>
    <row r="154" customFormat="false" ht="15" hidden="false" customHeight="false" outlineLevel="0" collapsed="false">
      <c r="A154" s="28" t="str">
        <f aca="false">IF(Tasks[[#This Row],[Task Name]]="","",COUNTA(Tasks[[#Headers],[Task Name]]:Tasks[[#This Row],[Task Name]])-1)</f>
        <v/>
      </c>
      <c r="B154" s="29" t="n">
        <v>149</v>
      </c>
      <c r="C15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54" s="29"/>
      <c r="E154" s="30"/>
      <c r="F154" s="29"/>
      <c r="G154" s="29"/>
      <c r="H154" s="29"/>
      <c r="I154" s="29"/>
      <c r="J154" s="29"/>
      <c r="K154" s="29"/>
      <c r="L154" s="29"/>
      <c r="M154" s="29"/>
      <c r="N154" s="72"/>
      <c r="O154" s="72"/>
      <c r="P154" s="25" t="str">
        <f aca="false">IF(Tasks[[#This Row],[Task Name]]="","",IF(N(Tasks[[#This Row],[Baseline Start]])&gt;0,Tasks[[#This Row],[Baseline Start]],Tasks[[#This Row],[_CalcStart]]))</f>
        <v/>
      </c>
      <c r="Q154" s="25" t="str">
        <f aca="false">IF(Tasks[[#This Row],[Task Name]]="","",IF(N(Tasks[[#This Row],[Baseline Finish]])&gt;0,Tasks[[#This Row],[Baseline Finish]],Tasks[[#This Row],[_CalcFinish]]))</f>
        <v/>
      </c>
      <c r="R154" s="72"/>
      <c r="S154" s="72"/>
      <c r="T15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5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5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5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5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5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5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5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5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5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5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54" s="74"/>
      <c r="AF15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5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54" s="30"/>
      <c r="AI154" s="74"/>
      <c r="AJ15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5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54" s="83"/>
      <c r="AM154" s="29"/>
      <c r="AN15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54" s="84"/>
      <c r="AP15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54" s="30"/>
      <c r="AR154" s="25" t="str">
        <f aca="false">IF(Tasks[[#This Row],[Task Name]]="","",Tasks[[#This Row],[Forecast Start]])</f>
        <v/>
      </c>
      <c r="AS154" s="25" t="str">
        <f aca="false">IF(Tasks[[#This Row],[Task Name]]="","",Tasks[[#This Row],[Forecast Finish]])</f>
        <v/>
      </c>
      <c r="AT15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54" s="81" t="str">
        <f aca="false">IF(Tasks[[#This Row],[Task Name]]="","",Tasks[[#This Row],[Work]])</f>
        <v/>
      </c>
      <c r="AV154" s="82" t="str">
        <f aca="false">IF(Tasks[[#This Row],[Task Name]]="","",Tasks[[#This Row],[Cost]])</f>
        <v/>
      </c>
      <c r="AW154" s="72"/>
      <c r="AX154" s="72"/>
      <c r="AY154" s="29"/>
      <c r="AZ154" s="85"/>
      <c r="BA154" s="83"/>
      <c r="BB154" s="28" t="str">
        <f aca="false">IF(OR(Tasks[[#This Row],[Task Name]]="",Tasks[[#This Row],[Baseline Duration]]=""),"",Tasks[[#This Row],[BL Source Duration]]-N(Tasks[[#This Row],[Baseline Duration]]))</f>
        <v/>
      </c>
      <c r="BC154" s="81" t="str">
        <f aca="false">IF(OR(Tasks[[#This Row],[Task Name]]="",Tasks[[#This Row],[Baseline Work]]=""),"",Tasks[[#This Row],[Work]]-N(Tasks[[#This Row],[Baseline Work]]))</f>
        <v/>
      </c>
      <c r="BD154" s="82" t="str">
        <f aca="false">IF(OR(Tasks[[#This Row],[Task Name]]="",Tasks[[#This Row],[Baseline Cost]]=""),"",Tasks[[#This Row],[Cost]]-N(Tasks[[#This Row],[Baseline Cost]]))</f>
        <v/>
      </c>
      <c r="BE15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5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5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5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54" s="43" t="str">
        <f aca="false">IF(Tasks[[#This Row],[Task Name]]="","",MAX(1,N(Tasks[[#This Row],[Level]])))</f>
        <v/>
      </c>
      <c r="BJ154" s="43" t="n">
        <f aca="false">ROW()-ROW(Tasks[[#Headers],[ID]])</f>
        <v>149</v>
      </c>
      <c r="BK15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54" s="43" t="n">
        <f aca="false">IFERROR(N(INDEX(Tasks[_Level],Tasks[[#This Row],[_Row]]+1)),0)</f>
        <v>0</v>
      </c>
      <c r="BM154" s="86" t="b">
        <f aca="false">AND(Tasks[[#This Row],[Task Name]]&lt;&gt;"",Tasks[[#This Row],[_NextLevel]]&gt;Tasks[[#This Row],[_Level]])</f>
        <v>0</v>
      </c>
      <c r="BN154" s="43" t="n">
        <f aca="false">IF(Tasks[[#This Row],[_IsSummary]],COUNTIF(Tasks[WBS],Tasks[[#This Row],[WBS]]&amp;".*"),0)</f>
        <v>0</v>
      </c>
      <c r="BO154" s="43" t="n">
        <f aca="false">IF(AND(Tasks[[#This Row],[Task Name]]&lt;&gt;"",NOT(Tasks[[#This Row],[_IsSummary]])),1,0)</f>
        <v>0</v>
      </c>
      <c r="BP154" s="43" t="n">
        <f aca="false">IF(N(Tasks[[#This Row],[Pred1 UID]])=0,0,IFERROR(MATCH(Tasks[[#This Row],[Pred1 UID]],Tasks[UID],0),-1))</f>
        <v>0</v>
      </c>
      <c r="BQ154" s="43" t="n">
        <f aca="false">IF(N(Tasks[[#This Row],[Pred2 UID]])=0,0,IFERROR(MATCH(Tasks[[#This Row],[Pred2 UID]],Tasks[UID],0),-1))</f>
        <v>0</v>
      </c>
      <c r="BR15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5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5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5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54" s="43" t="n">
        <f aca="false">IF(NOT(Tasks[[#This Row],[_IsLeaf]]=1),0,IF(N(Tasks[[#This Row],[Actual Finish]])&gt;0,1,MIN(1,N(Tasks[[#This Row],[% Complete]]))))</f>
        <v>0</v>
      </c>
      <c r="BW15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54" s="43" t="n">
        <f aca="false">IF(Tasks[[#This Row],[_LeafWork]]=0,0,Tasks[[#This Row],[_LeafWork]]*IFERROR(INDEX(res_Rate,MATCH(Tasks[[#This Row],[Resource]],res_Name,0)),0))</f>
        <v>0</v>
      </c>
      <c r="BY15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5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5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5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54" s="43" t="n">
        <f aca="false">IF(NOT(Tasks[[#This Row],[_IsLeaf]]=1),0,MAX(_xlfn.MAXIFS(Tasks[_Row],Tasks[Pred1 UID],Tasks[[#This Row],[UID]]),_xlfn.MAXIFS(Tasks[_Row],Tasks[Pred2 UID],Tasks[[#This Row],[UID]])))</f>
        <v>0</v>
      </c>
      <c r="CD15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54" s="87" t="str">
        <f aca="false">IF(NOT(Tasks[[#This Row],[_IsLeaf]]=1),"",MIN(ProjectFinish,IF(N(Tasks[[#This Row],[Deadline]])&gt;0,Tasks[[#This Row],[Deadline]],2958465),Tasks[[#This Row],[_SuccessorFinishLimit]]))</f>
        <v/>
      </c>
      <c r="CF15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5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54" s="86" t="b">
        <f aca="false">AND(Tasks[[#This Row],[_IsLeaf]]=1,Tasks[[#This Row],[_LeafProgress]]&lt;1,N(Tasks[[#This Row],[_LeafTotalSlack]])&lt;=CriticalSlackDays)</f>
        <v>0</v>
      </c>
      <c r="CI15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5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5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5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5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5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5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5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54" s="43" t="n">
        <f aca="false">IF(AND(Tasks[[#This Row],[_IsLeaf]]=1,Tasks[[#This Row],[_LeafWork]]&gt;0),NETWORKDAYS.INTL(ProjectStart,Tasks[[#This Row],[_LeafFcstStart]],WorkWeek,Holidays),0)</f>
        <v>0</v>
      </c>
      <c r="CR15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54" s="43" t="n">
        <f aca="false">IF(AND(Tasks[[#This Row],[_IsLeaf]]=1,Tasks[[#This Row],[_LeafWork]]&gt;0),Tasks[[#This Row],[_LeafWork]]/(Tasks[[#This Row],[_FinishWorkday]]-Tasks[[#This Row],[_StartWorkday]]+1),0)</f>
        <v>0</v>
      </c>
      <c r="CT154" s="43" t="n">
        <f aca="false">Tasks[[#This Row],[_WorkPerWorkday]]*(Tasks[[#This Row],[_StartWorkday]]-1)</f>
        <v>-0</v>
      </c>
      <c r="CU154" s="43" t="n">
        <f aca="false">IF(Tasks[[#This Row],[_IsLeaf]]=1,MAX(N(Tasks[[#This Row],[Duration]]),0.1),0)</f>
        <v>0</v>
      </c>
      <c r="CV154" s="43" t="n">
        <f aca="false">Tasks[[#This Row],[_WeightDur]]*Tasks[[#This Row],[_LeafProgress]]</f>
        <v>0</v>
      </c>
      <c r="CW15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5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5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5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5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54" s="43" t="str">
        <f aca="false">IF(AND(Tasks[[#This Row],[_IsLeaf]]=1,N(Tasks[[#This Row],[Duration]])=0,Tasks[[#This Row],[_LeafProgress]]&lt;1),Tasks[[#This Row],[_LeafFcstFinish]]+Tasks[[#This Row],[_Row]]/100000,"")</f>
        <v/>
      </c>
      <c r="DC15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54" s="43" t="n">
        <f aca="false">IF(NOT(Tasks[[#This Row],[_IsLeaf]]=1),0,IF(Tasks[[#This Row],[Baseline Cost]]="",Tasks[[#This Row],[_LeafCost]],N(Tasks[[#This Row],[Baseline Cost]])))</f>
        <v>0</v>
      </c>
      <c r="DE154" s="43" t="n">
        <f aca="false">Tasks[[#This Row],[_LeafBudget]]*Tasks[[#This Row],[_PlannedPct]]</f>
        <v>0</v>
      </c>
      <c r="DF154" s="43" t="n">
        <f aca="false">Tasks[[#This Row],[_LeafBudget]]*Tasks[[#This Row],[_LeafProgress]]</f>
        <v>0</v>
      </c>
      <c r="DG154" s="43" t="n">
        <f aca="false">IF(NOT(Tasks[[#This Row],[_IsLeaf]]=1),0,IF(Tasks[[#This Row],[Actual Cost]]="",Tasks[[#This Row],[_LeafCost]]*Tasks[[#This Row],[_LeafProgress]],N(Tasks[[#This Row],[Actual Cost]])))</f>
        <v>0</v>
      </c>
      <c r="DH154" s="43" t="str">
        <f aca="false">IF(Tasks[[#This Row],[Task Name]]="","",LEFT(Tasks[[#This Row],[WBS]],FIND(".",Tasks[[#This Row],[WBS]]&amp;".")-1))</f>
        <v/>
      </c>
      <c r="DI154" s="43" t="str">
        <f aca="false">IF(AND(Tasks[[#This Row],[Task Name]]&lt;&gt;"",Tasks[[#This Row],[_Level]]=1),Tasks[[#This Row],[_Row]],"")</f>
        <v/>
      </c>
      <c r="DJ154" s="43" t="str">
        <f aca="false">IF(AND(Tasks[[#This Row],[_IsLeaf]]=1,N(Tasks[[#This Row],[Duration]])=0),Tasks[[#This Row],[Planned Finish]]+Tasks[[#This Row],[_Row]]/100000,"")</f>
        <v/>
      </c>
      <c r="DK15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5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5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54" s="43" t="str">
        <f aca="false">IF(Tasks[[#This Row],[_LeafCritical]],Tasks[[#This Row],[_LeafFcstStart]]+Tasks[[#This Row],[_Row]]/100000,"")</f>
        <v/>
      </c>
      <c r="DO154" s="43" t="n">
        <f aca="false">Tasks[[#This Row],[_LeafWork]]*Tasks[[#This Row],[_LeafProgress]]</f>
        <v>0</v>
      </c>
      <c r="DP15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54" s="43" t="n">
        <f aca="false">IF(Tasks[[#This Row],[_IsLeaf]]=1,N(Tasks[[#This Row],[Story Points]]),0)</f>
        <v>0</v>
      </c>
      <c r="DR154" s="43" t="str">
        <f aca="false">IF(AND(Tasks[[#This Row],[_IsLeaf]]=1,CurrentSprint&lt;&gt;"",Tasks[[#This Row],[Sprint]]=CurrentSprint),Tasks[[#This Row],[_Row]],"")</f>
        <v/>
      </c>
    </row>
    <row r="155" customFormat="false" ht="15" hidden="false" customHeight="false" outlineLevel="0" collapsed="false">
      <c r="A155" s="28" t="str">
        <f aca="false">IF(Tasks[[#This Row],[Task Name]]="","",COUNTA(Tasks[[#Headers],[Task Name]]:Tasks[[#This Row],[Task Name]])-1)</f>
        <v/>
      </c>
      <c r="B155" s="29" t="n">
        <v>150</v>
      </c>
      <c r="C15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55" s="29"/>
      <c r="E155" s="30"/>
      <c r="F155" s="29"/>
      <c r="G155" s="29"/>
      <c r="H155" s="29"/>
      <c r="I155" s="29"/>
      <c r="J155" s="29"/>
      <c r="K155" s="29"/>
      <c r="L155" s="29"/>
      <c r="M155" s="29"/>
      <c r="N155" s="72"/>
      <c r="O155" s="72"/>
      <c r="P155" s="25" t="str">
        <f aca="false">IF(Tasks[[#This Row],[Task Name]]="","",IF(N(Tasks[[#This Row],[Baseline Start]])&gt;0,Tasks[[#This Row],[Baseline Start]],Tasks[[#This Row],[_CalcStart]]))</f>
        <v/>
      </c>
      <c r="Q155" s="25" t="str">
        <f aca="false">IF(Tasks[[#This Row],[Task Name]]="","",IF(N(Tasks[[#This Row],[Baseline Finish]])&gt;0,Tasks[[#This Row],[Baseline Finish]],Tasks[[#This Row],[_CalcFinish]]))</f>
        <v/>
      </c>
      <c r="R155" s="72"/>
      <c r="S155" s="72"/>
      <c r="T15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5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5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5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5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5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5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5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5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5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5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55" s="74"/>
      <c r="AF15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5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55" s="30"/>
      <c r="AI155" s="74"/>
      <c r="AJ15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5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55" s="83"/>
      <c r="AM155" s="29"/>
      <c r="AN15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55" s="84"/>
      <c r="AP15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55" s="30"/>
      <c r="AR155" s="25" t="str">
        <f aca="false">IF(Tasks[[#This Row],[Task Name]]="","",Tasks[[#This Row],[Forecast Start]])</f>
        <v/>
      </c>
      <c r="AS155" s="25" t="str">
        <f aca="false">IF(Tasks[[#This Row],[Task Name]]="","",Tasks[[#This Row],[Forecast Finish]])</f>
        <v/>
      </c>
      <c r="AT15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55" s="81" t="str">
        <f aca="false">IF(Tasks[[#This Row],[Task Name]]="","",Tasks[[#This Row],[Work]])</f>
        <v/>
      </c>
      <c r="AV155" s="82" t="str">
        <f aca="false">IF(Tasks[[#This Row],[Task Name]]="","",Tasks[[#This Row],[Cost]])</f>
        <v/>
      </c>
      <c r="AW155" s="72"/>
      <c r="AX155" s="72"/>
      <c r="AY155" s="29"/>
      <c r="AZ155" s="85"/>
      <c r="BA155" s="83"/>
      <c r="BB155" s="28" t="str">
        <f aca="false">IF(OR(Tasks[[#This Row],[Task Name]]="",Tasks[[#This Row],[Baseline Duration]]=""),"",Tasks[[#This Row],[BL Source Duration]]-N(Tasks[[#This Row],[Baseline Duration]]))</f>
        <v/>
      </c>
      <c r="BC155" s="81" t="str">
        <f aca="false">IF(OR(Tasks[[#This Row],[Task Name]]="",Tasks[[#This Row],[Baseline Work]]=""),"",Tasks[[#This Row],[Work]]-N(Tasks[[#This Row],[Baseline Work]]))</f>
        <v/>
      </c>
      <c r="BD155" s="82" t="str">
        <f aca="false">IF(OR(Tasks[[#This Row],[Task Name]]="",Tasks[[#This Row],[Baseline Cost]]=""),"",Tasks[[#This Row],[Cost]]-N(Tasks[[#This Row],[Baseline Cost]]))</f>
        <v/>
      </c>
      <c r="BE15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5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5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5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55" s="43" t="str">
        <f aca="false">IF(Tasks[[#This Row],[Task Name]]="","",MAX(1,N(Tasks[[#This Row],[Level]])))</f>
        <v/>
      </c>
      <c r="BJ155" s="43" t="n">
        <f aca="false">ROW()-ROW(Tasks[[#Headers],[ID]])</f>
        <v>150</v>
      </c>
      <c r="BK15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55" s="43" t="n">
        <f aca="false">IFERROR(N(INDEX(Tasks[_Level],Tasks[[#This Row],[_Row]]+1)),0)</f>
        <v>0</v>
      </c>
      <c r="BM155" s="86" t="b">
        <f aca="false">AND(Tasks[[#This Row],[Task Name]]&lt;&gt;"",Tasks[[#This Row],[_NextLevel]]&gt;Tasks[[#This Row],[_Level]])</f>
        <v>0</v>
      </c>
      <c r="BN155" s="43" t="n">
        <f aca="false">IF(Tasks[[#This Row],[_IsSummary]],COUNTIF(Tasks[WBS],Tasks[[#This Row],[WBS]]&amp;".*"),0)</f>
        <v>0</v>
      </c>
      <c r="BO155" s="43" t="n">
        <f aca="false">IF(AND(Tasks[[#This Row],[Task Name]]&lt;&gt;"",NOT(Tasks[[#This Row],[_IsSummary]])),1,0)</f>
        <v>0</v>
      </c>
      <c r="BP155" s="43" t="n">
        <f aca="false">IF(N(Tasks[[#This Row],[Pred1 UID]])=0,0,IFERROR(MATCH(Tasks[[#This Row],[Pred1 UID]],Tasks[UID],0),-1))</f>
        <v>0</v>
      </c>
      <c r="BQ155" s="43" t="n">
        <f aca="false">IF(N(Tasks[[#This Row],[Pred2 UID]])=0,0,IFERROR(MATCH(Tasks[[#This Row],[Pred2 UID]],Tasks[UID],0),-1))</f>
        <v>0</v>
      </c>
      <c r="BR15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5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5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5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55" s="43" t="n">
        <f aca="false">IF(NOT(Tasks[[#This Row],[_IsLeaf]]=1),0,IF(N(Tasks[[#This Row],[Actual Finish]])&gt;0,1,MIN(1,N(Tasks[[#This Row],[% Complete]]))))</f>
        <v>0</v>
      </c>
      <c r="BW15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55" s="43" t="n">
        <f aca="false">IF(Tasks[[#This Row],[_LeafWork]]=0,0,Tasks[[#This Row],[_LeafWork]]*IFERROR(INDEX(res_Rate,MATCH(Tasks[[#This Row],[Resource]],res_Name,0)),0))</f>
        <v>0</v>
      </c>
      <c r="BY15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5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5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5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55" s="43" t="n">
        <f aca="false">IF(NOT(Tasks[[#This Row],[_IsLeaf]]=1),0,MAX(_xlfn.MAXIFS(Tasks[_Row],Tasks[Pred1 UID],Tasks[[#This Row],[UID]]),_xlfn.MAXIFS(Tasks[_Row],Tasks[Pred2 UID],Tasks[[#This Row],[UID]])))</f>
        <v>0</v>
      </c>
      <c r="CD15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55" s="87" t="str">
        <f aca="false">IF(NOT(Tasks[[#This Row],[_IsLeaf]]=1),"",MIN(ProjectFinish,IF(N(Tasks[[#This Row],[Deadline]])&gt;0,Tasks[[#This Row],[Deadline]],2958465),Tasks[[#This Row],[_SuccessorFinishLimit]]))</f>
        <v/>
      </c>
      <c r="CF15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5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55" s="86" t="b">
        <f aca="false">AND(Tasks[[#This Row],[_IsLeaf]]=1,Tasks[[#This Row],[_LeafProgress]]&lt;1,N(Tasks[[#This Row],[_LeafTotalSlack]])&lt;=CriticalSlackDays)</f>
        <v>0</v>
      </c>
      <c r="CI15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5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5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5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5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5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5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5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55" s="43" t="n">
        <f aca="false">IF(AND(Tasks[[#This Row],[_IsLeaf]]=1,Tasks[[#This Row],[_LeafWork]]&gt;0),NETWORKDAYS.INTL(ProjectStart,Tasks[[#This Row],[_LeafFcstStart]],WorkWeek,Holidays),0)</f>
        <v>0</v>
      </c>
      <c r="CR15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55" s="43" t="n">
        <f aca="false">IF(AND(Tasks[[#This Row],[_IsLeaf]]=1,Tasks[[#This Row],[_LeafWork]]&gt;0),Tasks[[#This Row],[_LeafWork]]/(Tasks[[#This Row],[_FinishWorkday]]-Tasks[[#This Row],[_StartWorkday]]+1),0)</f>
        <v>0</v>
      </c>
      <c r="CT155" s="43" t="n">
        <f aca="false">Tasks[[#This Row],[_WorkPerWorkday]]*(Tasks[[#This Row],[_StartWorkday]]-1)</f>
        <v>-0</v>
      </c>
      <c r="CU155" s="43" t="n">
        <f aca="false">IF(Tasks[[#This Row],[_IsLeaf]]=1,MAX(N(Tasks[[#This Row],[Duration]]),0.1),0)</f>
        <v>0</v>
      </c>
      <c r="CV155" s="43" t="n">
        <f aca="false">Tasks[[#This Row],[_WeightDur]]*Tasks[[#This Row],[_LeafProgress]]</f>
        <v>0</v>
      </c>
      <c r="CW15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5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5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5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5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55" s="43" t="str">
        <f aca="false">IF(AND(Tasks[[#This Row],[_IsLeaf]]=1,N(Tasks[[#This Row],[Duration]])=0,Tasks[[#This Row],[_LeafProgress]]&lt;1),Tasks[[#This Row],[_LeafFcstFinish]]+Tasks[[#This Row],[_Row]]/100000,"")</f>
        <v/>
      </c>
      <c r="DC15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55" s="43" t="n">
        <f aca="false">IF(NOT(Tasks[[#This Row],[_IsLeaf]]=1),0,IF(Tasks[[#This Row],[Baseline Cost]]="",Tasks[[#This Row],[_LeafCost]],N(Tasks[[#This Row],[Baseline Cost]])))</f>
        <v>0</v>
      </c>
      <c r="DE155" s="43" t="n">
        <f aca="false">Tasks[[#This Row],[_LeafBudget]]*Tasks[[#This Row],[_PlannedPct]]</f>
        <v>0</v>
      </c>
      <c r="DF155" s="43" t="n">
        <f aca="false">Tasks[[#This Row],[_LeafBudget]]*Tasks[[#This Row],[_LeafProgress]]</f>
        <v>0</v>
      </c>
      <c r="DG155" s="43" t="n">
        <f aca="false">IF(NOT(Tasks[[#This Row],[_IsLeaf]]=1),0,IF(Tasks[[#This Row],[Actual Cost]]="",Tasks[[#This Row],[_LeafCost]]*Tasks[[#This Row],[_LeafProgress]],N(Tasks[[#This Row],[Actual Cost]])))</f>
        <v>0</v>
      </c>
      <c r="DH155" s="43" t="str">
        <f aca="false">IF(Tasks[[#This Row],[Task Name]]="","",LEFT(Tasks[[#This Row],[WBS]],FIND(".",Tasks[[#This Row],[WBS]]&amp;".")-1))</f>
        <v/>
      </c>
      <c r="DI155" s="43" t="str">
        <f aca="false">IF(AND(Tasks[[#This Row],[Task Name]]&lt;&gt;"",Tasks[[#This Row],[_Level]]=1),Tasks[[#This Row],[_Row]],"")</f>
        <v/>
      </c>
      <c r="DJ155" s="43" t="str">
        <f aca="false">IF(AND(Tasks[[#This Row],[_IsLeaf]]=1,N(Tasks[[#This Row],[Duration]])=0),Tasks[[#This Row],[Planned Finish]]+Tasks[[#This Row],[_Row]]/100000,"")</f>
        <v/>
      </c>
      <c r="DK15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5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5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55" s="43" t="str">
        <f aca="false">IF(Tasks[[#This Row],[_LeafCritical]],Tasks[[#This Row],[_LeafFcstStart]]+Tasks[[#This Row],[_Row]]/100000,"")</f>
        <v/>
      </c>
      <c r="DO155" s="43" t="n">
        <f aca="false">Tasks[[#This Row],[_LeafWork]]*Tasks[[#This Row],[_LeafProgress]]</f>
        <v>0</v>
      </c>
      <c r="DP15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55" s="43" t="n">
        <f aca="false">IF(Tasks[[#This Row],[_IsLeaf]]=1,N(Tasks[[#This Row],[Story Points]]),0)</f>
        <v>0</v>
      </c>
      <c r="DR155" s="43" t="str">
        <f aca="false">IF(AND(Tasks[[#This Row],[_IsLeaf]]=1,CurrentSprint&lt;&gt;"",Tasks[[#This Row],[Sprint]]=CurrentSprint),Tasks[[#This Row],[_Row]],"")</f>
        <v/>
      </c>
    </row>
    <row r="156" customFormat="false" ht="15" hidden="false" customHeight="false" outlineLevel="0" collapsed="false">
      <c r="A156" s="28" t="str">
        <f aca="false">IF(Tasks[[#This Row],[Task Name]]="","",COUNTA(Tasks[[#Headers],[Task Name]]:Tasks[[#This Row],[Task Name]])-1)</f>
        <v/>
      </c>
      <c r="B156" s="29" t="n">
        <v>151</v>
      </c>
      <c r="C15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56" s="29"/>
      <c r="E156" s="30"/>
      <c r="F156" s="29"/>
      <c r="G156" s="29"/>
      <c r="H156" s="29"/>
      <c r="I156" s="29"/>
      <c r="J156" s="29"/>
      <c r="K156" s="29"/>
      <c r="L156" s="29"/>
      <c r="M156" s="29"/>
      <c r="N156" s="72"/>
      <c r="O156" s="72"/>
      <c r="P156" s="25" t="str">
        <f aca="false">IF(Tasks[[#This Row],[Task Name]]="","",IF(N(Tasks[[#This Row],[Baseline Start]])&gt;0,Tasks[[#This Row],[Baseline Start]],Tasks[[#This Row],[_CalcStart]]))</f>
        <v/>
      </c>
      <c r="Q156" s="25" t="str">
        <f aca="false">IF(Tasks[[#This Row],[Task Name]]="","",IF(N(Tasks[[#This Row],[Baseline Finish]])&gt;0,Tasks[[#This Row],[Baseline Finish]],Tasks[[#This Row],[_CalcFinish]]))</f>
        <v/>
      </c>
      <c r="R156" s="72"/>
      <c r="S156" s="72"/>
      <c r="T15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5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5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5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5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5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5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5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5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5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5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56" s="74"/>
      <c r="AF15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5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56" s="30"/>
      <c r="AI156" s="74"/>
      <c r="AJ15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5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56" s="83"/>
      <c r="AM156" s="29"/>
      <c r="AN15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56" s="84"/>
      <c r="AP15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56" s="30"/>
      <c r="AR156" s="25" t="str">
        <f aca="false">IF(Tasks[[#This Row],[Task Name]]="","",Tasks[[#This Row],[Forecast Start]])</f>
        <v/>
      </c>
      <c r="AS156" s="25" t="str">
        <f aca="false">IF(Tasks[[#This Row],[Task Name]]="","",Tasks[[#This Row],[Forecast Finish]])</f>
        <v/>
      </c>
      <c r="AT15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56" s="81" t="str">
        <f aca="false">IF(Tasks[[#This Row],[Task Name]]="","",Tasks[[#This Row],[Work]])</f>
        <v/>
      </c>
      <c r="AV156" s="82" t="str">
        <f aca="false">IF(Tasks[[#This Row],[Task Name]]="","",Tasks[[#This Row],[Cost]])</f>
        <v/>
      </c>
      <c r="AW156" s="72"/>
      <c r="AX156" s="72"/>
      <c r="AY156" s="29"/>
      <c r="AZ156" s="85"/>
      <c r="BA156" s="83"/>
      <c r="BB156" s="28" t="str">
        <f aca="false">IF(OR(Tasks[[#This Row],[Task Name]]="",Tasks[[#This Row],[Baseline Duration]]=""),"",Tasks[[#This Row],[BL Source Duration]]-N(Tasks[[#This Row],[Baseline Duration]]))</f>
        <v/>
      </c>
      <c r="BC156" s="81" t="str">
        <f aca="false">IF(OR(Tasks[[#This Row],[Task Name]]="",Tasks[[#This Row],[Baseline Work]]=""),"",Tasks[[#This Row],[Work]]-N(Tasks[[#This Row],[Baseline Work]]))</f>
        <v/>
      </c>
      <c r="BD156" s="82" t="str">
        <f aca="false">IF(OR(Tasks[[#This Row],[Task Name]]="",Tasks[[#This Row],[Baseline Cost]]=""),"",Tasks[[#This Row],[Cost]]-N(Tasks[[#This Row],[Baseline Cost]]))</f>
        <v/>
      </c>
      <c r="BE15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5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5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5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56" s="43" t="str">
        <f aca="false">IF(Tasks[[#This Row],[Task Name]]="","",MAX(1,N(Tasks[[#This Row],[Level]])))</f>
        <v/>
      </c>
      <c r="BJ156" s="43" t="n">
        <f aca="false">ROW()-ROW(Tasks[[#Headers],[ID]])</f>
        <v>151</v>
      </c>
      <c r="BK15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56" s="43" t="n">
        <f aca="false">IFERROR(N(INDEX(Tasks[_Level],Tasks[[#This Row],[_Row]]+1)),0)</f>
        <v>0</v>
      </c>
      <c r="BM156" s="86" t="b">
        <f aca="false">AND(Tasks[[#This Row],[Task Name]]&lt;&gt;"",Tasks[[#This Row],[_NextLevel]]&gt;Tasks[[#This Row],[_Level]])</f>
        <v>0</v>
      </c>
      <c r="BN156" s="43" t="n">
        <f aca="false">IF(Tasks[[#This Row],[_IsSummary]],COUNTIF(Tasks[WBS],Tasks[[#This Row],[WBS]]&amp;".*"),0)</f>
        <v>0</v>
      </c>
      <c r="BO156" s="43" t="n">
        <f aca="false">IF(AND(Tasks[[#This Row],[Task Name]]&lt;&gt;"",NOT(Tasks[[#This Row],[_IsSummary]])),1,0)</f>
        <v>0</v>
      </c>
      <c r="BP156" s="43" t="n">
        <f aca="false">IF(N(Tasks[[#This Row],[Pred1 UID]])=0,0,IFERROR(MATCH(Tasks[[#This Row],[Pred1 UID]],Tasks[UID],0),-1))</f>
        <v>0</v>
      </c>
      <c r="BQ156" s="43" t="n">
        <f aca="false">IF(N(Tasks[[#This Row],[Pred2 UID]])=0,0,IFERROR(MATCH(Tasks[[#This Row],[Pred2 UID]],Tasks[UID],0),-1))</f>
        <v>0</v>
      </c>
      <c r="BR15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5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5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5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56" s="43" t="n">
        <f aca="false">IF(NOT(Tasks[[#This Row],[_IsLeaf]]=1),0,IF(N(Tasks[[#This Row],[Actual Finish]])&gt;0,1,MIN(1,N(Tasks[[#This Row],[% Complete]]))))</f>
        <v>0</v>
      </c>
      <c r="BW15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56" s="43" t="n">
        <f aca="false">IF(Tasks[[#This Row],[_LeafWork]]=0,0,Tasks[[#This Row],[_LeafWork]]*IFERROR(INDEX(res_Rate,MATCH(Tasks[[#This Row],[Resource]],res_Name,0)),0))</f>
        <v>0</v>
      </c>
      <c r="BY15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5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5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5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56" s="43" t="n">
        <f aca="false">IF(NOT(Tasks[[#This Row],[_IsLeaf]]=1),0,MAX(_xlfn.MAXIFS(Tasks[_Row],Tasks[Pred1 UID],Tasks[[#This Row],[UID]]),_xlfn.MAXIFS(Tasks[_Row],Tasks[Pred2 UID],Tasks[[#This Row],[UID]])))</f>
        <v>0</v>
      </c>
      <c r="CD15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56" s="87" t="str">
        <f aca="false">IF(NOT(Tasks[[#This Row],[_IsLeaf]]=1),"",MIN(ProjectFinish,IF(N(Tasks[[#This Row],[Deadline]])&gt;0,Tasks[[#This Row],[Deadline]],2958465),Tasks[[#This Row],[_SuccessorFinishLimit]]))</f>
        <v/>
      </c>
      <c r="CF15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5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56" s="86" t="b">
        <f aca="false">AND(Tasks[[#This Row],[_IsLeaf]]=1,Tasks[[#This Row],[_LeafProgress]]&lt;1,N(Tasks[[#This Row],[_LeafTotalSlack]])&lt;=CriticalSlackDays)</f>
        <v>0</v>
      </c>
      <c r="CI15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5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5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5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5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5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5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5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56" s="43" t="n">
        <f aca="false">IF(AND(Tasks[[#This Row],[_IsLeaf]]=1,Tasks[[#This Row],[_LeafWork]]&gt;0),NETWORKDAYS.INTL(ProjectStart,Tasks[[#This Row],[_LeafFcstStart]],WorkWeek,Holidays),0)</f>
        <v>0</v>
      </c>
      <c r="CR15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56" s="43" t="n">
        <f aca="false">IF(AND(Tasks[[#This Row],[_IsLeaf]]=1,Tasks[[#This Row],[_LeafWork]]&gt;0),Tasks[[#This Row],[_LeafWork]]/(Tasks[[#This Row],[_FinishWorkday]]-Tasks[[#This Row],[_StartWorkday]]+1),0)</f>
        <v>0</v>
      </c>
      <c r="CT156" s="43" t="n">
        <f aca="false">Tasks[[#This Row],[_WorkPerWorkday]]*(Tasks[[#This Row],[_StartWorkday]]-1)</f>
        <v>-0</v>
      </c>
      <c r="CU156" s="43" t="n">
        <f aca="false">IF(Tasks[[#This Row],[_IsLeaf]]=1,MAX(N(Tasks[[#This Row],[Duration]]),0.1),0)</f>
        <v>0</v>
      </c>
      <c r="CV156" s="43" t="n">
        <f aca="false">Tasks[[#This Row],[_WeightDur]]*Tasks[[#This Row],[_LeafProgress]]</f>
        <v>0</v>
      </c>
      <c r="CW15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5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5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5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5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56" s="43" t="str">
        <f aca="false">IF(AND(Tasks[[#This Row],[_IsLeaf]]=1,N(Tasks[[#This Row],[Duration]])=0,Tasks[[#This Row],[_LeafProgress]]&lt;1),Tasks[[#This Row],[_LeafFcstFinish]]+Tasks[[#This Row],[_Row]]/100000,"")</f>
        <v/>
      </c>
      <c r="DC15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56" s="43" t="n">
        <f aca="false">IF(NOT(Tasks[[#This Row],[_IsLeaf]]=1),0,IF(Tasks[[#This Row],[Baseline Cost]]="",Tasks[[#This Row],[_LeafCost]],N(Tasks[[#This Row],[Baseline Cost]])))</f>
        <v>0</v>
      </c>
      <c r="DE156" s="43" t="n">
        <f aca="false">Tasks[[#This Row],[_LeafBudget]]*Tasks[[#This Row],[_PlannedPct]]</f>
        <v>0</v>
      </c>
      <c r="DF156" s="43" t="n">
        <f aca="false">Tasks[[#This Row],[_LeafBudget]]*Tasks[[#This Row],[_LeafProgress]]</f>
        <v>0</v>
      </c>
      <c r="DG156" s="43" t="n">
        <f aca="false">IF(NOT(Tasks[[#This Row],[_IsLeaf]]=1),0,IF(Tasks[[#This Row],[Actual Cost]]="",Tasks[[#This Row],[_LeafCost]]*Tasks[[#This Row],[_LeafProgress]],N(Tasks[[#This Row],[Actual Cost]])))</f>
        <v>0</v>
      </c>
      <c r="DH156" s="43" t="str">
        <f aca="false">IF(Tasks[[#This Row],[Task Name]]="","",LEFT(Tasks[[#This Row],[WBS]],FIND(".",Tasks[[#This Row],[WBS]]&amp;".")-1))</f>
        <v/>
      </c>
      <c r="DI156" s="43" t="str">
        <f aca="false">IF(AND(Tasks[[#This Row],[Task Name]]&lt;&gt;"",Tasks[[#This Row],[_Level]]=1),Tasks[[#This Row],[_Row]],"")</f>
        <v/>
      </c>
      <c r="DJ156" s="43" t="str">
        <f aca="false">IF(AND(Tasks[[#This Row],[_IsLeaf]]=1,N(Tasks[[#This Row],[Duration]])=0),Tasks[[#This Row],[Planned Finish]]+Tasks[[#This Row],[_Row]]/100000,"")</f>
        <v/>
      </c>
      <c r="DK15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5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5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56" s="43" t="str">
        <f aca="false">IF(Tasks[[#This Row],[_LeafCritical]],Tasks[[#This Row],[_LeafFcstStart]]+Tasks[[#This Row],[_Row]]/100000,"")</f>
        <v/>
      </c>
      <c r="DO156" s="43" t="n">
        <f aca="false">Tasks[[#This Row],[_LeafWork]]*Tasks[[#This Row],[_LeafProgress]]</f>
        <v>0</v>
      </c>
      <c r="DP15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56" s="43" t="n">
        <f aca="false">IF(Tasks[[#This Row],[_IsLeaf]]=1,N(Tasks[[#This Row],[Story Points]]),0)</f>
        <v>0</v>
      </c>
      <c r="DR156" s="43" t="str">
        <f aca="false">IF(AND(Tasks[[#This Row],[_IsLeaf]]=1,CurrentSprint&lt;&gt;"",Tasks[[#This Row],[Sprint]]=CurrentSprint),Tasks[[#This Row],[_Row]],"")</f>
        <v/>
      </c>
    </row>
    <row r="157" customFormat="false" ht="15" hidden="false" customHeight="false" outlineLevel="0" collapsed="false">
      <c r="A157" s="28" t="str">
        <f aca="false">IF(Tasks[[#This Row],[Task Name]]="","",COUNTA(Tasks[[#Headers],[Task Name]]:Tasks[[#This Row],[Task Name]])-1)</f>
        <v/>
      </c>
      <c r="B157" s="29" t="n">
        <v>152</v>
      </c>
      <c r="C15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57" s="29"/>
      <c r="E157" s="30"/>
      <c r="F157" s="29"/>
      <c r="G157" s="29"/>
      <c r="H157" s="29"/>
      <c r="I157" s="29"/>
      <c r="J157" s="29"/>
      <c r="K157" s="29"/>
      <c r="L157" s="29"/>
      <c r="M157" s="29"/>
      <c r="N157" s="72"/>
      <c r="O157" s="72"/>
      <c r="P157" s="25" t="str">
        <f aca="false">IF(Tasks[[#This Row],[Task Name]]="","",IF(N(Tasks[[#This Row],[Baseline Start]])&gt;0,Tasks[[#This Row],[Baseline Start]],Tasks[[#This Row],[_CalcStart]]))</f>
        <v/>
      </c>
      <c r="Q157" s="25" t="str">
        <f aca="false">IF(Tasks[[#This Row],[Task Name]]="","",IF(N(Tasks[[#This Row],[Baseline Finish]])&gt;0,Tasks[[#This Row],[Baseline Finish]],Tasks[[#This Row],[_CalcFinish]]))</f>
        <v/>
      </c>
      <c r="R157" s="72"/>
      <c r="S157" s="72"/>
      <c r="T15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5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5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5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5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5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5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5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5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5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5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57" s="74"/>
      <c r="AF15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5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57" s="30"/>
      <c r="AI157" s="74"/>
      <c r="AJ15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5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57" s="83"/>
      <c r="AM157" s="29"/>
      <c r="AN15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57" s="84"/>
      <c r="AP15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57" s="30"/>
      <c r="AR157" s="25" t="str">
        <f aca="false">IF(Tasks[[#This Row],[Task Name]]="","",Tasks[[#This Row],[Forecast Start]])</f>
        <v/>
      </c>
      <c r="AS157" s="25" t="str">
        <f aca="false">IF(Tasks[[#This Row],[Task Name]]="","",Tasks[[#This Row],[Forecast Finish]])</f>
        <v/>
      </c>
      <c r="AT15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57" s="81" t="str">
        <f aca="false">IF(Tasks[[#This Row],[Task Name]]="","",Tasks[[#This Row],[Work]])</f>
        <v/>
      </c>
      <c r="AV157" s="82" t="str">
        <f aca="false">IF(Tasks[[#This Row],[Task Name]]="","",Tasks[[#This Row],[Cost]])</f>
        <v/>
      </c>
      <c r="AW157" s="72"/>
      <c r="AX157" s="72"/>
      <c r="AY157" s="29"/>
      <c r="AZ157" s="85"/>
      <c r="BA157" s="83"/>
      <c r="BB157" s="28" t="str">
        <f aca="false">IF(OR(Tasks[[#This Row],[Task Name]]="",Tasks[[#This Row],[Baseline Duration]]=""),"",Tasks[[#This Row],[BL Source Duration]]-N(Tasks[[#This Row],[Baseline Duration]]))</f>
        <v/>
      </c>
      <c r="BC157" s="81" t="str">
        <f aca="false">IF(OR(Tasks[[#This Row],[Task Name]]="",Tasks[[#This Row],[Baseline Work]]=""),"",Tasks[[#This Row],[Work]]-N(Tasks[[#This Row],[Baseline Work]]))</f>
        <v/>
      </c>
      <c r="BD157" s="82" t="str">
        <f aca="false">IF(OR(Tasks[[#This Row],[Task Name]]="",Tasks[[#This Row],[Baseline Cost]]=""),"",Tasks[[#This Row],[Cost]]-N(Tasks[[#This Row],[Baseline Cost]]))</f>
        <v/>
      </c>
      <c r="BE15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5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5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5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57" s="43" t="str">
        <f aca="false">IF(Tasks[[#This Row],[Task Name]]="","",MAX(1,N(Tasks[[#This Row],[Level]])))</f>
        <v/>
      </c>
      <c r="BJ157" s="43" t="n">
        <f aca="false">ROW()-ROW(Tasks[[#Headers],[ID]])</f>
        <v>152</v>
      </c>
      <c r="BK15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57" s="43" t="n">
        <f aca="false">IFERROR(N(INDEX(Tasks[_Level],Tasks[[#This Row],[_Row]]+1)),0)</f>
        <v>0</v>
      </c>
      <c r="BM157" s="86" t="b">
        <f aca="false">AND(Tasks[[#This Row],[Task Name]]&lt;&gt;"",Tasks[[#This Row],[_NextLevel]]&gt;Tasks[[#This Row],[_Level]])</f>
        <v>0</v>
      </c>
      <c r="BN157" s="43" t="n">
        <f aca="false">IF(Tasks[[#This Row],[_IsSummary]],COUNTIF(Tasks[WBS],Tasks[[#This Row],[WBS]]&amp;".*"),0)</f>
        <v>0</v>
      </c>
      <c r="BO157" s="43" t="n">
        <f aca="false">IF(AND(Tasks[[#This Row],[Task Name]]&lt;&gt;"",NOT(Tasks[[#This Row],[_IsSummary]])),1,0)</f>
        <v>0</v>
      </c>
      <c r="BP157" s="43" t="n">
        <f aca="false">IF(N(Tasks[[#This Row],[Pred1 UID]])=0,0,IFERROR(MATCH(Tasks[[#This Row],[Pred1 UID]],Tasks[UID],0),-1))</f>
        <v>0</v>
      </c>
      <c r="BQ157" s="43" t="n">
        <f aca="false">IF(N(Tasks[[#This Row],[Pred2 UID]])=0,0,IFERROR(MATCH(Tasks[[#This Row],[Pred2 UID]],Tasks[UID],0),-1))</f>
        <v>0</v>
      </c>
      <c r="BR15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5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5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5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57" s="43" t="n">
        <f aca="false">IF(NOT(Tasks[[#This Row],[_IsLeaf]]=1),0,IF(N(Tasks[[#This Row],[Actual Finish]])&gt;0,1,MIN(1,N(Tasks[[#This Row],[% Complete]]))))</f>
        <v>0</v>
      </c>
      <c r="BW15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57" s="43" t="n">
        <f aca="false">IF(Tasks[[#This Row],[_LeafWork]]=0,0,Tasks[[#This Row],[_LeafWork]]*IFERROR(INDEX(res_Rate,MATCH(Tasks[[#This Row],[Resource]],res_Name,0)),0))</f>
        <v>0</v>
      </c>
      <c r="BY15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5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5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5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57" s="43" t="n">
        <f aca="false">IF(NOT(Tasks[[#This Row],[_IsLeaf]]=1),0,MAX(_xlfn.MAXIFS(Tasks[_Row],Tasks[Pred1 UID],Tasks[[#This Row],[UID]]),_xlfn.MAXIFS(Tasks[_Row],Tasks[Pred2 UID],Tasks[[#This Row],[UID]])))</f>
        <v>0</v>
      </c>
      <c r="CD15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57" s="87" t="str">
        <f aca="false">IF(NOT(Tasks[[#This Row],[_IsLeaf]]=1),"",MIN(ProjectFinish,IF(N(Tasks[[#This Row],[Deadline]])&gt;0,Tasks[[#This Row],[Deadline]],2958465),Tasks[[#This Row],[_SuccessorFinishLimit]]))</f>
        <v/>
      </c>
      <c r="CF15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5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57" s="86" t="b">
        <f aca="false">AND(Tasks[[#This Row],[_IsLeaf]]=1,Tasks[[#This Row],[_LeafProgress]]&lt;1,N(Tasks[[#This Row],[_LeafTotalSlack]])&lt;=CriticalSlackDays)</f>
        <v>0</v>
      </c>
      <c r="CI15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5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5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5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5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5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5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5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57" s="43" t="n">
        <f aca="false">IF(AND(Tasks[[#This Row],[_IsLeaf]]=1,Tasks[[#This Row],[_LeafWork]]&gt;0),NETWORKDAYS.INTL(ProjectStart,Tasks[[#This Row],[_LeafFcstStart]],WorkWeek,Holidays),0)</f>
        <v>0</v>
      </c>
      <c r="CR15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57" s="43" t="n">
        <f aca="false">IF(AND(Tasks[[#This Row],[_IsLeaf]]=1,Tasks[[#This Row],[_LeafWork]]&gt;0),Tasks[[#This Row],[_LeafWork]]/(Tasks[[#This Row],[_FinishWorkday]]-Tasks[[#This Row],[_StartWorkday]]+1),0)</f>
        <v>0</v>
      </c>
      <c r="CT157" s="43" t="n">
        <f aca="false">Tasks[[#This Row],[_WorkPerWorkday]]*(Tasks[[#This Row],[_StartWorkday]]-1)</f>
        <v>-0</v>
      </c>
      <c r="CU157" s="43" t="n">
        <f aca="false">IF(Tasks[[#This Row],[_IsLeaf]]=1,MAX(N(Tasks[[#This Row],[Duration]]),0.1),0)</f>
        <v>0</v>
      </c>
      <c r="CV157" s="43" t="n">
        <f aca="false">Tasks[[#This Row],[_WeightDur]]*Tasks[[#This Row],[_LeafProgress]]</f>
        <v>0</v>
      </c>
      <c r="CW15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5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5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5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5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57" s="43" t="str">
        <f aca="false">IF(AND(Tasks[[#This Row],[_IsLeaf]]=1,N(Tasks[[#This Row],[Duration]])=0,Tasks[[#This Row],[_LeafProgress]]&lt;1),Tasks[[#This Row],[_LeafFcstFinish]]+Tasks[[#This Row],[_Row]]/100000,"")</f>
        <v/>
      </c>
      <c r="DC15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57" s="43" t="n">
        <f aca="false">IF(NOT(Tasks[[#This Row],[_IsLeaf]]=1),0,IF(Tasks[[#This Row],[Baseline Cost]]="",Tasks[[#This Row],[_LeafCost]],N(Tasks[[#This Row],[Baseline Cost]])))</f>
        <v>0</v>
      </c>
      <c r="DE157" s="43" t="n">
        <f aca="false">Tasks[[#This Row],[_LeafBudget]]*Tasks[[#This Row],[_PlannedPct]]</f>
        <v>0</v>
      </c>
      <c r="DF157" s="43" t="n">
        <f aca="false">Tasks[[#This Row],[_LeafBudget]]*Tasks[[#This Row],[_LeafProgress]]</f>
        <v>0</v>
      </c>
      <c r="DG157" s="43" t="n">
        <f aca="false">IF(NOT(Tasks[[#This Row],[_IsLeaf]]=1),0,IF(Tasks[[#This Row],[Actual Cost]]="",Tasks[[#This Row],[_LeafCost]]*Tasks[[#This Row],[_LeafProgress]],N(Tasks[[#This Row],[Actual Cost]])))</f>
        <v>0</v>
      </c>
      <c r="DH157" s="43" t="str">
        <f aca="false">IF(Tasks[[#This Row],[Task Name]]="","",LEFT(Tasks[[#This Row],[WBS]],FIND(".",Tasks[[#This Row],[WBS]]&amp;".")-1))</f>
        <v/>
      </c>
      <c r="DI157" s="43" t="str">
        <f aca="false">IF(AND(Tasks[[#This Row],[Task Name]]&lt;&gt;"",Tasks[[#This Row],[_Level]]=1),Tasks[[#This Row],[_Row]],"")</f>
        <v/>
      </c>
      <c r="DJ157" s="43" t="str">
        <f aca="false">IF(AND(Tasks[[#This Row],[_IsLeaf]]=1,N(Tasks[[#This Row],[Duration]])=0),Tasks[[#This Row],[Planned Finish]]+Tasks[[#This Row],[_Row]]/100000,"")</f>
        <v/>
      </c>
      <c r="DK15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5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5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57" s="43" t="str">
        <f aca="false">IF(Tasks[[#This Row],[_LeafCritical]],Tasks[[#This Row],[_LeafFcstStart]]+Tasks[[#This Row],[_Row]]/100000,"")</f>
        <v/>
      </c>
      <c r="DO157" s="43" t="n">
        <f aca="false">Tasks[[#This Row],[_LeafWork]]*Tasks[[#This Row],[_LeafProgress]]</f>
        <v>0</v>
      </c>
      <c r="DP15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57" s="43" t="n">
        <f aca="false">IF(Tasks[[#This Row],[_IsLeaf]]=1,N(Tasks[[#This Row],[Story Points]]),0)</f>
        <v>0</v>
      </c>
      <c r="DR157" s="43" t="str">
        <f aca="false">IF(AND(Tasks[[#This Row],[_IsLeaf]]=1,CurrentSprint&lt;&gt;"",Tasks[[#This Row],[Sprint]]=CurrentSprint),Tasks[[#This Row],[_Row]],"")</f>
        <v/>
      </c>
    </row>
    <row r="158" customFormat="false" ht="15" hidden="false" customHeight="false" outlineLevel="0" collapsed="false">
      <c r="A158" s="28" t="str">
        <f aca="false">IF(Tasks[[#This Row],[Task Name]]="","",COUNTA(Tasks[[#Headers],[Task Name]]:Tasks[[#This Row],[Task Name]])-1)</f>
        <v/>
      </c>
      <c r="B158" s="29" t="n">
        <v>153</v>
      </c>
      <c r="C15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58" s="29"/>
      <c r="E158" s="30"/>
      <c r="F158" s="29"/>
      <c r="G158" s="29"/>
      <c r="H158" s="29"/>
      <c r="I158" s="29"/>
      <c r="J158" s="29"/>
      <c r="K158" s="29"/>
      <c r="L158" s="29"/>
      <c r="M158" s="29"/>
      <c r="N158" s="72"/>
      <c r="O158" s="72"/>
      <c r="P158" s="25" t="str">
        <f aca="false">IF(Tasks[[#This Row],[Task Name]]="","",IF(N(Tasks[[#This Row],[Baseline Start]])&gt;0,Tasks[[#This Row],[Baseline Start]],Tasks[[#This Row],[_CalcStart]]))</f>
        <v/>
      </c>
      <c r="Q158" s="25" t="str">
        <f aca="false">IF(Tasks[[#This Row],[Task Name]]="","",IF(N(Tasks[[#This Row],[Baseline Finish]])&gt;0,Tasks[[#This Row],[Baseline Finish]],Tasks[[#This Row],[_CalcFinish]]))</f>
        <v/>
      </c>
      <c r="R158" s="72"/>
      <c r="S158" s="72"/>
      <c r="T15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5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5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5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5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5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5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5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5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5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5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58" s="74"/>
      <c r="AF15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5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58" s="30"/>
      <c r="AI158" s="74"/>
      <c r="AJ15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5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58" s="83"/>
      <c r="AM158" s="29"/>
      <c r="AN15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58" s="84"/>
      <c r="AP15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58" s="30"/>
      <c r="AR158" s="25" t="str">
        <f aca="false">IF(Tasks[[#This Row],[Task Name]]="","",Tasks[[#This Row],[Forecast Start]])</f>
        <v/>
      </c>
      <c r="AS158" s="25" t="str">
        <f aca="false">IF(Tasks[[#This Row],[Task Name]]="","",Tasks[[#This Row],[Forecast Finish]])</f>
        <v/>
      </c>
      <c r="AT15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58" s="81" t="str">
        <f aca="false">IF(Tasks[[#This Row],[Task Name]]="","",Tasks[[#This Row],[Work]])</f>
        <v/>
      </c>
      <c r="AV158" s="82" t="str">
        <f aca="false">IF(Tasks[[#This Row],[Task Name]]="","",Tasks[[#This Row],[Cost]])</f>
        <v/>
      </c>
      <c r="AW158" s="72"/>
      <c r="AX158" s="72"/>
      <c r="AY158" s="29"/>
      <c r="AZ158" s="85"/>
      <c r="BA158" s="83"/>
      <c r="BB158" s="28" t="str">
        <f aca="false">IF(OR(Tasks[[#This Row],[Task Name]]="",Tasks[[#This Row],[Baseline Duration]]=""),"",Tasks[[#This Row],[BL Source Duration]]-N(Tasks[[#This Row],[Baseline Duration]]))</f>
        <v/>
      </c>
      <c r="BC158" s="81" t="str">
        <f aca="false">IF(OR(Tasks[[#This Row],[Task Name]]="",Tasks[[#This Row],[Baseline Work]]=""),"",Tasks[[#This Row],[Work]]-N(Tasks[[#This Row],[Baseline Work]]))</f>
        <v/>
      </c>
      <c r="BD158" s="82" t="str">
        <f aca="false">IF(OR(Tasks[[#This Row],[Task Name]]="",Tasks[[#This Row],[Baseline Cost]]=""),"",Tasks[[#This Row],[Cost]]-N(Tasks[[#This Row],[Baseline Cost]]))</f>
        <v/>
      </c>
      <c r="BE15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5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5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5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58" s="43" t="str">
        <f aca="false">IF(Tasks[[#This Row],[Task Name]]="","",MAX(1,N(Tasks[[#This Row],[Level]])))</f>
        <v/>
      </c>
      <c r="BJ158" s="43" t="n">
        <f aca="false">ROW()-ROW(Tasks[[#Headers],[ID]])</f>
        <v>153</v>
      </c>
      <c r="BK15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58" s="43" t="n">
        <f aca="false">IFERROR(N(INDEX(Tasks[_Level],Tasks[[#This Row],[_Row]]+1)),0)</f>
        <v>0</v>
      </c>
      <c r="BM158" s="86" t="b">
        <f aca="false">AND(Tasks[[#This Row],[Task Name]]&lt;&gt;"",Tasks[[#This Row],[_NextLevel]]&gt;Tasks[[#This Row],[_Level]])</f>
        <v>0</v>
      </c>
      <c r="BN158" s="43" t="n">
        <f aca="false">IF(Tasks[[#This Row],[_IsSummary]],COUNTIF(Tasks[WBS],Tasks[[#This Row],[WBS]]&amp;".*"),0)</f>
        <v>0</v>
      </c>
      <c r="BO158" s="43" t="n">
        <f aca="false">IF(AND(Tasks[[#This Row],[Task Name]]&lt;&gt;"",NOT(Tasks[[#This Row],[_IsSummary]])),1,0)</f>
        <v>0</v>
      </c>
      <c r="BP158" s="43" t="n">
        <f aca="false">IF(N(Tasks[[#This Row],[Pred1 UID]])=0,0,IFERROR(MATCH(Tasks[[#This Row],[Pred1 UID]],Tasks[UID],0),-1))</f>
        <v>0</v>
      </c>
      <c r="BQ158" s="43" t="n">
        <f aca="false">IF(N(Tasks[[#This Row],[Pred2 UID]])=0,0,IFERROR(MATCH(Tasks[[#This Row],[Pred2 UID]],Tasks[UID],0),-1))</f>
        <v>0</v>
      </c>
      <c r="BR15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5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5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5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58" s="43" t="n">
        <f aca="false">IF(NOT(Tasks[[#This Row],[_IsLeaf]]=1),0,IF(N(Tasks[[#This Row],[Actual Finish]])&gt;0,1,MIN(1,N(Tasks[[#This Row],[% Complete]]))))</f>
        <v>0</v>
      </c>
      <c r="BW15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58" s="43" t="n">
        <f aca="false">IF(Tasks[[#This Row],[_LeafWork]]=0,0,Tasks[[#This Row],[_LeafWork]]*IFERROR(INDEX(res_Rate,MATCH(Tasks[[#This Row],[Resource]],res_Name,0)),0))</f>
        <v>0</v>
      </c>
      <c r="BY15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5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5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5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58" s="43" t="n">
        <f aca="false">IF(NOT(Tasks[[#This Row],[_IsLeaf]]=1),0,MAX(_xlfn.MAXIFS(Tasks[_Row],Tasks[Pred1 UID],Tasks[[#This Row],[UID]]),_xlfn.MAXIFS(Tasks[_Row],Tasks[Pred2 UID],Tasks[[#This Row],[UID]])))</f>
        <v>0</v>
      </c>
      <c r="CD15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58" s="87" t="str">
        <f aca="false">IF(NOT(Tasks[[#This Row],[_IsLeaf]]=1),"",MIN(ProjectFinish,IF(N(Tasks[[#This Row],[Deadline]])&gt;0,Tasks[[#This Row],[Deadline]],2958465),Tasks[[#This Row],[_SuccessorFinishLimit]]))</f>
        <v/>
      </c>
      <c r="CF15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5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58" s="86" t="b">
        <f aca="false">AND(Tasks[[#This Row],[_IsLeaf]]=1,Tasks[[#This Row],[_LeafProgress]]&lt;1,N(Tasks[[#This Row],[_LeafTotalSlack]])&lt;=CriticalSlackDays)</f>
        <v>0</v>
      </c>
      <c r="CI15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5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5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5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5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5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5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5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58" s="43" t="n">
        <f aca="false">IF(AND(Tasks[[#This Row],[_IsLeaf]]=1,Tasks[[#This Row],[_LeafWork]]&gt;0),NETWORKDAYS.INTL(ProjectStart,Tasks[[#This Row],[_LeafFcstStart]],WorkWeek,Holidays),0)</f>
        <v>0</v>
      </c>
      <c r="CR15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58" s="43" t="n">
        <f aca="false">IF(AND(Tasks[[#This Row],[_IsLeaf]]=1,Tasks[[#This Row],[_LeafWork]]&gt;0),Tasks[[#This Row],[_LeafWork]]/(Tasks[[#This Row],[_FinishWorkday]]-Tasks[[#This Row],[_StartWorkday]]+1),0)</f>
        <v>0</v>
      </c>
      <c r="CT158" s="43" t="n">
        <f aca="false">Tasks[[#This Row],[_WorkPerWorkday]]*(Tasks[[#This Row],[_StartWorkday]]-1)</f>
        <v>-0</v>
      </c>
      <c r="CU158" s="43" t="n">
        <f aca="false">IF(Tasks[[#This Row],[_IsLeaf]]=1,MAX(N(Tasks[[#This Row],[Duration]]),0.1),0)</f>
        <v>0</v>
      </c>
      <c r="CV158" s="43" t="n">
        <f aca="false">Tasks[[#This Row],[_WeightDur]]*Tasks[[#This Row],[_LeafProgress]]</f>
        <v>0</v>
      </c>
      <c r="CW15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5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5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5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5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58" s="43" t="str">
        <f aca="false">IF(AND(Tasks[[#This Row],[_IsLeaf]]=1,N(Tasks[[#This Row],[Duration]])=0,Tasks[[#This Row],[_LeafProgress]]&lt;1),Tasks[[#This Row],[_LeafFcstFinish]]+Tasks[[#This Row],[_Row]]/100000,"")</f>
        <v/>
      </c>
      <c r="DC15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58" s="43" t="n">
        <f aca="false">IF(NOT(Tasks[[#This Row],[_IsLeaf]]=1),0,IF(Tasks[[#This Row],[Baseline Cost]]="",Tasks[[#This Row],[_LeafCost]],N(Tasks[[#This Row],[Baseline Cost]])))</f>
        <v>0</v>
      </c>
      <c r="DE158" s="43" t="n">
        <f aca="false">Tasks[[#This Row],[_LeafBudget]]*Tasks[[#This Row],[_PlannedPct]]</f>
        <v>0</v>
      </c>
      <c r="DF158" s="43" t="n">
        <f aca="false">Tasks[[#This Row],[_LeafBudget]]*Tasks[[#This Row],[_LeafProgress]]</f>
        <v>0</v>
      </c>
      <c r="DG158" s="43" t="n">
        <f aca="false">IF(NOT(Tasks[[#This Row],[_IsLeaf]]=1),0,IF(Tasks[[#This Row],[Actual Cost]]="",Tasks[[#This Row],[_LeafCost]]*Tasks[[#This Row],[_LeafProgress]],N(Tasks[[#This Row],[Actual Cost]])))</f>
        <v>0</v>
      </c>
      <c r="DH158" s="43" t="str">
        <f aca="false">IF(Tasks[[#This Row],[Task Name]]="","",LEFT(Tasks[[#This Row],[WBS]],FIND(".",Tasks[[#This Row],[WBS]]&amp;".")-1))</f>
        <v/>
      </c>
      <c r="DI158" s="43" t="str">
        <f aca="false">IF(AND(Tasks[[#This Row],[Task Name]]&lt;&gt;"",Tasks[[#This Row],[_Level]]=1),Tasks[[#This Row],[_Row]],"")</f>
        <v/>
      </c>
      <c r="DJ158" s="43" t="str">
        <f aca="false">IF(AND(Tasks[[#This Row],[_IsLeaf]]=1,N(Tasks[[#This Row],[Duration]])=0),Tasks[[#This Row],[Planned Finish]]+Tasks[[#This Row],[_Row]]/100000,"")</f>
        <v/>
      </c>
      <c r="DK15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5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5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58" s="43" t="str">
        <f aca="false">IF(Tasks[[#This Row],[_LeafCritical]],Tasks[[#This Row],[_LeafFcstStart]]+Tasks[[#This Row],[_Row]]/100000,"")</f>
        <v/>
      </c>
      <c r="DO158" s="43" t="n">
        <f aca="false">Tasks[[#This Row],[_LeafWork]]*Tasks[[#This Row],[_LeafProgress]]</f>
        <v>0</v>
      </c>
      <c r="DP15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58" s="43" t="n">
        <f aca="false">IF(Tasks[[#This Row],[_IsLeaf]]=1,N(Tasks[[#This Row],[Story Points]]),0)</f>
        <v>0</v>
      </c>
      <c r="DR158" s="43" t="str">
        <f aca="false">IF(AND(Tasks[[#This Row],[_IsLeaf]]=1,CurrentSprint&lt;&gt;"",Tasks[[#This Row],[Sprint]]=CurrentSprint),Tasks[[#This Row],[_Row]],"")</f>
        <v/>
      </c>
    </row>
    <row r="159" customFormat="false" ht="15" hidden="false" customHeight="false" outlineLevel="0" collapsed="false">
      <c r="A159" s="28" t="str">
        <f aca="false">IF(Tasks[[#This Row],[Task Name]]="","",COUNTA(Tasks[[#Headers],[Task Name]]:Tasks[[#This Row],[Task Name]])-1)</f>
        <v/>
      </c>
      <c r="B159" s="29" t="n">
        <v>154</v>
      </c>
      <c r="C15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59" s="29"/>
      <c r="E159" s="30"/>
      <c r="F159" s="29"/>
      <c r="G159" s="29"/>
      <c r="H159" s="29"/>
      <c r="I159" s="29"/>
      <c r="J159" s="29"/>
      <c r="K159" s="29"/>
      <c r="L159" s="29"/>
      <c r="M159" s="29"/>
      <c r="N159" s="72"/>
      <c r="O159" s="72"/>
      <c r="P159" s="25" t="str">
        <f aca="false">IF(Tasks[[#This Row],[Task Name]]="","",IF(N(Tasks[[#This Row],[Baseline Start]])&gt;0,Tasks[[#This Row],[Baseline Start]],Tasks[[#This Row],[_CalcStart]]))</f>
        <v/>
      </c>
      <c r="Q159" s="25" t="str">
        <f aca="false">IF(Tasks[[#This Row],[Task Name]]="","",IF(N(Tasks[[#This Row],[Baseline Finish]])&gt;0,Tasks[[#This Row],[Baseline Finish]],Tasks[[#This Row],[_CalcFinish]]))</f>
        <v/>
      </c>
      <c r="R159" s="72"/>
      <c r="S159" s="72"/>
      <c r="T15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5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5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5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5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5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5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5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5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5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5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59" s="74"/>
      <c r="AF15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5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59" s="30"/>
      <c r="AI159" s="74"/>
      <c r="AJ15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5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59" s="83"/>
      <c r="AM159" s="29"/>
      <c r="AN15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59" s="84"/>
      <c r="AP15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59" s="30"/>
      <c r="AR159" s="25" t="str">
        <f aca="false">IF(Tasks[[#This Row],[Task Name]]="","",Tasks[[#This Row],[Forecast Start]])</f>
        <v/>
      </c>
      <c r="AS159" s="25" t="str">
        <f aca="false">IF(Tasks[[#This Row],[Task Name]]="","",Tasks[[#This Row],[Forecast Finish]])</f>
        <v/>
      </c>
      <c r="AT15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59" s="81" t="str">
        <f aca="false">IF(Tasks[[#This Row],[Task Name]]="","",Tasks[[#This Row],[Work]])</f>
        <v/>
      </c>
      <c r="AV159" s="82" t="str">
        <f aca="false">IF(Tasks[[#This Row],[Task Name]]="","",Tasks[[#This Row],[Cost]])</f>
        <v/>
      </c>
      <c r="AW159" s="72"/>
      <c r="AX159" s="72"/>
      <c r="AY159" s="29"/>
      <c r="AZ159" s="85"/>
      <c r="BA159" s="83"/>
      <c r="BB159" s="28" t="str">
        <f aca="false">IF(OR(Tasks[[#This Row],[Task Name]]="",Tasks[[#This Row],[Baseline Duration]]=""),"",Tasks[[#This Row],[BL Source Duration]]-N(Tasks[[#This Row],[Baseline Duration]]))</f>
        <v/>
      </c>
      <c r="BC159" s="81" t="str">
        <f aca="false">IF(OR(Tasks[[#This Row],[Task Name]]="",Tasks[[#This Row],[Baseline Work]]=""),"",Tasks[[#This Row],[Work]]-N(Tasks[[#This Row],[Baseline Work]]))</f>
        <v/>
      </c>
      <c r="BD159" s="82" t="str">
        <f aca="false">IF(OR(Tasks[[#This Row],[Task Name]]="",Tasks[[#This Row],[Baseline Cost]]=""),"",Tasks[[#This Row],[Cost]]-N(Tasks[[#This Row],[Baseline Cost]]))</f>
        <v/>
      </c>
      <c r="BE15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5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5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5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59" s="43" t="str">
        <f aca="false">IF(Tasks[[#This Row],[Task Name]]="","",MAX(1,N(Tasks[[#This Row],[Level]])))</f>
        <v/>
      </c>
      <c r="BJ159" s="43" t="n">
        <f aca="false">ROW()-ROW(Tasks[[#Headers],[ID]])</f>
        <v>154</v>
      </c>
      <c r="BK15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59" s="43" t="n">
        <f aca="false">IFERROR(N(INDEX(Tasks[_Level],Tasks[[#This Row],[_Row]]+1)),0)</f>
        <v>0</v>
      </c>
      <c r="BM159" s="86" t="b">
        <f aca="false">AND(Tasks[[#This Row],[Task Name]]&lt;&gt;"",Tasks[[#This Row],[_NextLevel]]&gt;Tasks[[#This Row],[_Level]])</f>
        <v>0</v>
      </c>
      <c r="BN159" s="43" t="n">
        <f aca="false">IF(Tasks[[#This Row],[_IsSummary]],COUNTIF(Tasks[WBS],Tasks[[#This Row],[WBS]]&amp;".*"),0)</f>
        <v>0</v>
      </c>
      <c r="BO159" s="43" t="n">
        <f aca="false">IF(AND(Tasks[[#This Row],[Task Name]]&lt;&gt;"",NOT(Tasks[[#This Row],[_IsSummary]])),1,0)</f>
        <v>0</v>
      </c>
      <c r="BP159" s="43" t="n">
        <f aca="false">IF(N(Tasks[[#This Row],[Pred1 UID]])=0,0,IFERROR(MATCH(Tasks[[#This Row],[Pred1 UID]],Tasks[UID],0),-1))</f>
        <v>0</v>
      </c>
      <c r="BQ159" s="43" t="n">
        <f aca="false">IF(N(Tasks[[#This Row],[Pred2 UID]])=0,0,IFERROR(MATCH(Tasks[[#This Row],[Pred2 UID]],Tasks[UID],0),-1))</f>
        <v>0</v>
      </c>
      <c r="BR15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5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5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5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59" s="43" t="n">
        <f aca="false">IF(NOT(Tasks[[#This Row],[_IsLeaf]]=1),0,IF(N(Tasks[[#This Row],[Actual Finish]])&gt;0,1,MIN(1,N(Tasks[[#This Row],[% Complete]]))))</f>
        <v>0</v>
      </c>
      <c r="BW15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59" s="43" t="n">
        <f aca="false">IF(Tasks[[#This Row],[_LeafWork]]=0,0,Tasks[[#This Row],[_LeafWork]]*IFERROR(INDEX(res_Rate,MATCH(Tasks[[#This Row],[Resource]],res_Name,0)),0))</f>
        <v>0</v>
      </c>
      <c r="BY15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5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5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5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59" s="43" t="n">
        <f aca="false">IF(NOT(Tasks[[#This Row],[_IsLeaf]]=1),0,MAX(_xlfn.MAXIFS(Tasks[_Row],Tasks[Pred1 UID],Tasks[[#This Row],[UID]]),_xlfn.MAXIFS(Tasks[_Row],Tasks[Pred2 UID],Tasks[[#This Row],[UID]])))</f>
        <v>0</v>
      </c>
      <c r="CD15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59" s="87" t="str">
        <f aca="false">IF(NOT(Tasks[[#This Row],[_IsLeaf]]=1),"",MIN(ProjectFinish,IF(N(Tasks[[#This Row],[Deadline]])&gt;0,Tasks[[#This Row],[Deadline]],2958465),Tasks[[#This Row],[_SuccessorFinishLimit]]))</f>
        <v/>
      </c>
      <c r="CF15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5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59" s="86" t="b">
        <f aca="false">AND(Tasks[[#This Row],[_IsLeaf]]=1,Tasks[[#This Row],[_LeafProgress]]&lt;1,N(Tasks[[#This Row],[_LeafTotalSlack]])&lt;=CriticalSlackDays)</f>
        <v>0</v>
      </c>
      <c r="CI15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5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5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5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5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5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5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5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59" s="43" t="n">
        <f aca="false">IF(AND(Tasks[[#This Row],[_IsLeaf]]=1,Tasks[[#This Row],[_LeafWork]]&gt;0),NETWORKDAYS.INTL(ProjectStart,Tasks[[#This Row],[_LeafFcstStart]],WorkWeek,Holidays),0)</f>
        <v>0</v>
      </c>
      <c r="CR15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59" s="43" t="n">
        <f aca="false">IF(AND(Tasks[[#This Row],[_IsLeaf]]=1,Tasks[[#This Row],[_LeafWork]]&gt;0),Tasks[[#This Row],[_LeafWork]]/(Tasks[[#This Row],[_FinishWorkday]]-Tasks[[#This Row],[_StartWorkday]]+1),0)</f>
        <v>0</v>
      </c>
      <c r="CT159" s="43" t="n">
        <f aca="false">Tasks[[#This Row],[_WorkPerWorkday]]*(Tasks[[#This Row],[_StartWorkday]]-1)</f>
        <v>-0</v>
      </c>
      <c r="CU159" s="43" t="n">
        <f aca="false">IF(Tasks[[#This Row],[_IsLeaf]]=1,MAX(N(Tasks[[#This Row],[Duration]]),0.1),0)</f>
        <v>0</v>
      </c>
      <c r="CV159" s="43" t="n">
        <f aca="false">Tasks[[#This Row],[_WeightDur]]*Tasks[[#This Row],[_LeafProgress]]</f>
        <v>0</v>
      </c>
      <c r="CW15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5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5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5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5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59" s="43" t="str">
        <f aca="false">IF(AND(Tasks[[#This Row],[_IsLeaf]]=1,N(Tasks[[#This Row],[Duration]])=0,Tasks[[#This Row],[_LeafProgress]]&lt;1),Tasks[[#This Row],[_LeafFcstFinish]]+Tasks[[#This Row],[_Row]]/100000,"")</f>
        <v/>
      </c>
      <c r="DC15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59" s="43" t="n">
        <f aca="false">IF(NOT(Tasks[[#This Row],[_IsLeaf]]=1),0,IF(Tasks[[#This Row],[Baseline Cost]]="",Tasks[[#This Row],[_LeafCost]],N(Tasks[[#This Row],[Baseline Cost]])))</f>
        <v>0</v>
      </c>
      <c r="DE159" s="43" t="n">
        <f aca="false">Tasks[[#This Row],[_LeafBudget]]*Tasks[[#This Row],[_PlannedPct]]</f>
        <v>0</v>
      </c>
      <c r="DF159" s="43" t="n">
        <f aca="false">Tasks[[#This Row],[_LeafBudget]]*Tasks[[#This Row],[_LeafProgress]]</f>
        <v>0</v>
      </c>
      <c r="DG159" s="43" t="n">
        <f aca="false">IF(NOT(Tasks[[#This Row],[_IsLeaf]]=1),0,IF(Tasks[[#This Row],[Actual Cost]]="",Tasks[[#This Row],[_LeafCost]]*Tasks[[#This Row],[_LeafProgress]],N(Tasks[[#This Row],[Actual Cost]])))</f>
        <v>0</v>
      </c>
      <c r="DH159" s="43" t="str">
        <f aca="false">IF(Tasks[[#This Row],[Task Name]]="","",LEFT(Tasks[[#This Row],[WBS]],FIND(".",Tasks[[#This Row],[WBS]]&amp;".")-1))</f>
        <v/>
      </c>
      <c r="DI159" s="43" t="str">
        <f aca="false">IF(AND(Tasks[[#This Row],[Task Name]]&lt;&gt;"",Tasks[[#This Row],[_Level]]=1),Tasks[[#This Row],[_Row]],"")</f>
        <v/>
      </c>
      <c r="DJ159" s="43" t="str">
        <f aca="false">IF(AND(Tasks[[#This Row],[_IsLeaf]]=1,N(Tasks[[#This Row],[Duration]])=0),Tasks[[#This Row],[Planned Finish]]+Tasks[[#This Row],[_Row]]/100000,"")</f>
        <v/>
      </c>
      <c r="DK15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5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5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59" s="43" t="str">
        <f aca="false">IF(Tasks[[#This Row],[_LeafCritical]],Tasks[[#This Row],[_LeafFcstStart]]+Tasks[[#This Row],[_Row]]/100000,"")</f>
        <v/>
      </c>
      <c r="DO159" s="43" t="n">
        <f aca="false">Tasks[[#This Row],[_LeafWork]]*Tasks[[#This Row],[_LeafProgress]]</f>
        <v>0</v>
      </c>
      <c r="DP15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59" s="43" t="n">
        <f aca="false">IF(Tasks[[#This Row],[_IsLeaf]]=1,N(Tasks[[#This Row],[Story Points]]),0)</f>
        <v>0</v>
      </c>
      <c r="DR159" s="43" t="str">
        <f aca="false">IF(AND(Tasks[[#This Row],[_IsLeaf]]=1,CurrentSprint&lt;&gt;"",Tasks[[#This Row],[Sprint]]=CurrentSprint),Tasks[[#This Row],[_Row]],"")</f>
        <v/>
      </c>
    </row>
    <row r="160" customFormat="false" ht="15" hidden="false" customHeight="false" outlineLevel="0" collapsed="false">
      <c r="A160" s="28" t="str">
        <f aca="false">IF(Tasks[[#This Row],[Task Name]]="","",COUNTA(Tasks[[#Headers],[Task Name]]:Tasks[[#This Row],[Task Name]])-1)</f>
        <v/>
      </c>
      <c r="B160" s="29" t="n">
        <v>155</v>
      </c>
      <c r="C16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60" s="29"/>
      <c r="E160" s="30"/>
      <c r="F160" s="29"/>
      <c r="G160" s="29"/>
      <c r="H160" s="29"/>
      <c r="I160" s="29"/>
      <c r="J160" s="29"/>
      <c r="K160" s="29"/>
      <c r="L160" s="29"/>
      <c r="M160" s="29"/>
      <c r="N160" s="72"/>
      <c r="O160" s="72"/>
      <c r="P160" s="25" t="str">
        <f aca="false">IF(Tasks[[#This Row],[Task Name]]="","",IF(N(Tasks[[#This Row],[Baseline Start]])&gt;0,Tasks[[#This Row],[Baseline Start]],Tasks[[#This Row],[_CalcStart]]))</f>
        <v/>
      </c>
      <c r="Q160" s="25" t="str">
        <f aca="false">IF(Tasks[[#This Row],[Task Name]]="","",IF(N(Tasks[[#This Row],[Baseline Finish]])&gt;0,Tasks[[#This Row],[Baseline Finish]],Tasks[[#This Row],[_CalcFinish]]))</f>
        <v/>
      </c>
      <c r="R160" s="72"/>
      <c r="S160" s="72"/>
      <c r="T16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6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6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6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6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6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6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6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6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6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6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60" s="74"/>
      <c r="AF16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6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60" s="30"/>
      <c r="AI160" s="74"/>
      <c r="AJ16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6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60" s="83"/>
      <c r="AM160" s="29"/>
      <c r="AN16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60" s="84"/>
      <c r="AP16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60" s="30"/>
      <c r="AR160" s="25" t="str">
        <f aca="false">IF(Tasks[[#This Row],[Task Name]]="","",Tasks[[#This Row],[Forecast Start]])</f>
        <v/>
      </c>
      <c r="AS160" s="25" t="str">
        <f aca="false">IF(Tasks[[#This Row],[Task Name]]="","",Tasks[[#This Row],[Forecast Finish]])</f>
        <v/>
      </c>
      <c r="AT16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60" s="81" t="str">
        <f aca="false">IF(Tasks[[#This Row],[Task Name]]="","",Tasks[[#This Row],[Work]])</f>
        <v/>
      </c>
      <c r="AV160" s="82" t="str">
        <f aca="false">IF(Tasks[[#This Row],[Task Name]]="","",Tasks[[#This Row],[Cost]])</f>
        <v/>
      </c>
      <c r="AW160" s="72"/>
      <c r="AX160" s="72"/>
      <c r="AY160" s="29"/>
      <c r="AZ160" s="85"/>
      <c r="BA160" s="83"/>
      <c r="BB160" s="28" t="str">
        <f aca="false">IF(OR(Tasks[[#This Row],[Task Name]]="",Tasks[[#This Row],[Baseline Duration]]=""),"",Tasks[[#This Row],[BL Source Duration]]-N(Tasks[[#This Row],[Baseline Duration]]))</f>
        <v/>
      </c>
      <c r="BC160" s="81" t="str">
        <f aca="false">IF(OR(Tasks[[#This Row],[Task Name]]="",Tasks[[#This Row],[Baseline Work]]=""),"",Tasks[[#This Row],[Work]]-N(Tasks[[#This Row],[Baseline Work]]))</f>
        <v/>
      </c>
      <c r="BD160" s="82" t="str">
        <f aca="false">IF(OR(Tasks[[#This Row],[Task Name]]="",Tasks[[#This Row],[Baseline Cost]]=""),"",Tasks[[#This Row],[Cost]]-N(Tasks[[#This Row],[Baseline Cost]]))</f>
        <v/>
      </c>
      <c r="BE16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6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6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6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60" s="43" t="str">
        <f aca="false">IF(Tasks[[#This Row],[Task Name]]="","",MAX(1,N(Tasks[[#This Row],[Level]])))</f>
        <v/>
      </c>
      <c r="BJ160" s="43" t="n">
        <f aca="false">ROW()-ROW(Tasks[[#Headers],[ID]])</f>
        <v>155</v>
      </c>
      <c r="BK16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60" s="43" t="n">
        <f aca="false">IFERROR(N(INDEX(Tasks[_Level],Tasks[[#This Row],[_Row]]+1)),0)</f>
        <v>0</v>
      </c>
      <c r="BM160" s="86" t="b">
        <f aca="false">AND(Tasks[[#This Row],[Task Name]]&lt;&gt;"",Tasks[[#This Row],[_NextLevel]]&gt;Tasks[[#This Row],[_Level]])</f>
        <v>0</v>
      </c>
      <c r="BN160" s="43" t="n">
        <f aca="false">IF(Tasks[[#This Row],[_IsSummary]],COUNTIF(Tasks[WBS],Tasks[[#This Row],[WBS]]&amp;".*"),0)</f>
        <v>0</v>
      </c>
      <c r="BO160" s="43" t="n">
        <f aca="false">IF(AND(Tasks[[#This Row],[Task Name]]&lt;&gt;"",NOT(Tasks[[#This Row],[_IsSummary]])),1,0)</f>
        <v>0</v>
      </c>
      <c r="BP160" s="43" t="n">
        <f aca="false">IF(N(Tasks[[#This Row],[Pred1 UID]])=0,0,IFERROR(MATCH(Tasks[[#This Row],[Pred1 UID]],Tasks[UID],0),-1))</f>
        <v>0</v>
      </c>
      <c r="BQ160" s="43" t="n">
        <f aca="false">IF(N(Tasks[[#This Row],[Pred2 UID]])=0,0,IFERROR(MATCH(Tasks[[#This Row],[Pred2 UID]],Tasks[UID],0),-1))</f>
        <v>0</v>
      </c>
      <c r="BR16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6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6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6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60" s="43" t="n">
        <f aca="false">IF(NOT(Tasks[[#This Row],[_IsLeaf]]=1),0,IF(N(Tasks[[#This Row],[Actual Finish]])&gt;0,1,MIN(1,N(Tasks[[#This Row],[% Complete]]))))</f>
        <v>0</v>
      </c>
      <c r="BW16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60" s="43" t="n">
        <f aca="false">IF(Tasks[[#This Row],[_LeafWork]]=0,0,Tasks[[#This Row],[_LeafWork]]*IFERROR(INDEX(res_Rate,MATCH(Tasks[[#This Row],[Resource]],res_Name,0)),0))</f>
        <v>0</v>
      </c>
      <c r="BY16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6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6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6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60" s="43" t="n">
        <f aca="false">IF(NOT(Tasks[[#This Row],[_IsLeaf]]=1),0,MAX(_xlfn.MAXIFS(Tasks[_Row],Tasks[Pred1 UID],Tasks[[#This Row],[UID]]),_xlfn.MAXIFS(Tasks[_Row],Tasks[Pred2 UID],Tasks[[#This Row],[UID]])))</f>
        <v>0</v>
      </c>
      <c r="CD16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60" s="87" t="str">
        <f aca="false">IF(NOT(Tasks[[#This Row],[_IsLeaf]]=1),"",MIN(ProjectFinish,IF(N(Tasks[[#This Row],[Deadline]])&gt;0,Tasks[[#This Row],[Deadline]],2958465),Tasks[[#This Row],[_SuccessorFinishLimit]]))</f>
        <v/>
      </c>
      <c r="CF16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6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60" s="86" t="b">
        <f aca="false">AND(Tasks[[#This Row],[_IsLeaf]]=1,Tasks[[#This Row],[_LeafProgress]]&lt;1,N(Tasks[[#This Row],[_LeafTotalSlack]])&lt;=CriticalSlackDays)</f>
        <v>0</v>
      </c>
      <c r="CI16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6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6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6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6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6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6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6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60" s="43" t="n">
        <f aca="false">IF(AND(Tasks[[#This Row],[_IsLeaf]]=1,Tasks[[#This Row],[_LeafWork]]&gt;0),NETWORKDAYS.INTL(ProjectStart,Tasks[[#This Row],[_LeafFcstStart]],WorkWeek,Holidays),0)</f>
        <v>0</v>
      </c>
      <c r="CR16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60" s="43" t="n">
        <f aca="false">IF(AND(Tasks[[#This Row],[_IsLeaf]]=1,Tasks[[#This Row],[_LeafWork]]&gt;0),Tasks[[#This Row],[_LeafWork]]/(Tasks[[#This Row],[_FinishWorkday]]-Tasks[[#This Row],[_StartWorkday]]+1),0)</f>
        <v>0</v>
      </c>
      <c r="CT160" s="43" t="n">
        <f aca="false">Tasks[[#This Row],[_WorkPerWorkday]]*(Tasks[[#This Row],[_StartWorkday]]-1)</f>
        <v>-0</v>
      </c>
      <c r="CU160" s="43" t="n">
        <f aca="false">IF(Tasks[[#This Row],[_IsLeaf]]=1,MAX(N(Tasks[[#This Row],[Duration]]),0.1),0)</f>
        <v>0</v>
      </c>
      <c r="CV160" s="43" t="n">
        <f aca="false">Tasks[[#This Row],[_WeightDur]]*Tasks[[#This Row],[_LeafProgress]]</f>
        <v>0</v>
      </c>
      <c r="CW16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6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6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6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6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60" s="43" t="str">
        <f aca="false">IF(AND(Tasks[[#This Row],[_IsLeaf]]=1,N(Tasks[[#This Row],[Duration]])=0,Tasks[[#This Row],[_LeafProgress]]&lt;1),Tasks[[#This Row],[_LeafFcstFinish]]+Tasks[[#This Row],[_Row]]/100000,"")</f>
        <v/>
      </c>
      <c r="DC16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60" s="43" t="n">
        <f aca="false">IF(NOT(Tasks[[#This Row],[_IsLeaf]]=1),0,IF(Tasks[[#This Row],[Baseline Cost]]="",Tasks[[#This Row],[_LeafCost]],N(Tasks[[#This Row],[Baseline Cost]])))</f>
        <v>0</v>
      </c>
      <c r="DE160" s="43" t="n">
        <f aca="false">Tasks[[#This Row],[_LeafBudget]]*Tasks[[#This Row],[_PlannedPct]]</f>
        <v>0</v>
      </c>
      <c r="DF160" s="43" t="n">
        <f aca="false">Tasks[[#This Row],[_LeafBudget]]*Tasks[[#This Row],[_LeafProgress]]</f>
        <v>0</v>
      </c>
      <c r="DG160" s="43" t="n">
        <f aca="false">IF(NOT(Tasks[[#This Row],[_IsLeaf]]=1),0,IF(Tasks[[#This Row],[Actual Cost]]="",Tasks[[#This Row],[_LeafCost]]*Tasks[[#This Row],[_LeafProgress]],N(Tasks[[#This Row],[Actual Cost]])))</f>
        <v>0</v>
      </c>
      <c r="DH160" s="43" t="str">
        <f aca="false">IF(Tasks[[#This Row],[Task Name]]="","",LEFT(Tasks[[#This Row],[WBS]],FIND(".",Tasks[[#This Row],[WBS]]&amp;".")-1))</f>
        <v/>
      </c>
      <c r="DI160" s="43" t="str">
        <f aca="false">IF(AND(Tasks[[#This Row],[Task Name]]&lt;&gt;"",Tasks[[#This Row],[_Level]]=1),Tasks[[#This Row],[_Row]],"")</f>
        <v/>
      </c>
      <c r="DJ160" s="43" t="str">
        <f aca="false">IF(AND(Tasks[[#This Row],[_IsLeaf]]=1,N(Tasks[[#This Row],[Duration]])=0),Tasks[[#This Row],[Planned Finish]]+Tasks[[#This Row],[_Row]]/100000,"")</f>
        <v/>
      </c>
      <c r="DK16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6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6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60" s="43" t="str">
        <f aca="false">IF(Tasks[[#This Row],[_LeafCritical]],Tasks[[#This Row],[_LeafFcstStart]]+Tasks[[#This Row],[_Row]]/100000,"")</f>
        <v/>
      </c>
      <c r="DO160" s="43" t="n">
        <f aca="false">Tasks[[#This Row],[_LeafWork]]*Tasks[[#This Row],[_LeafProgress]]</f>
        <v>0</v>
      </c>
      <c r="DP16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60" s="43" t="n">
        <f aca="false">IF(Tasks[[#This Row],[_IsLeaf]]=1,N(Tasks[[#This Row],[Story Points]]),0)</f>
        <v>0</v>
      </c>
      <c r="DR160" s="43" t="str">
        <f aca="false">IF(AND(Tasks[[#This Row],[_IsLeaf]]=1,CurrentSprint&lt;&gt;"",Tasks[[#This Row],[Sprint]]=CurrentSprint),Tasks[[#This Row],[_Row]],"")</f>
        <v/>
      </c>
    </row>
    <row r="161" customFormat="false" ht="15" hidden="false" customHeight="false" outlineLevel="0" collapsed="false">
      <c r="A161" s="28" t="str">
        <f aca="false">IF(Tasks[[#This Row],[Task Name]]="","",COUNTA(Tasks[[#Headers],[Task Name]]:Tasks[[#This Row],[Task Name]])-1)</f>
        <v/>
      </c>
      <c r="B161" s="29" t="n">
        <v>156</v>
      </c>
      <c r="C16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61" s="29"/>
      <c r="E161" s="30"/>
      <c r="F161" s="29"/>
      <c r="G161" s="29"/>
      <c r="H161" s="29"/>
      <c r="I161" s="29"/>
      <c r="J161" s="29"/>
      <c r="K161" s="29"/>
      <c r="L161" s="29"/>
      <c r="M161" s="29"/>
      <c r="N161" s="72"/>
      <c r="O161" s="72"/>
      <c r="P161" s="25" t="str">
        <f aca="false">IF(Tasks[[#This Row],[Task Name]]="","",IF(N(Tasks[[#This Row],[Baseline Start]])&gt;0,Tasks[[#This Row],[Baseline Start]],Tasks[[#This Row],[_CalcStart]]))</f>
        <v/>
      </c>
      <c r="Q161" s="25" t="str">
        <f aca="false">IF(Tasks[[#This Row],[Task Name]]="","",IF(N(Tasks[[#This Row],[Baseline Finish]])&gt;0,Tasks[[#This Row],[Baseline Finish]],Tasks[[#This Row],[_CalcFinish]]))</f>
        <v/>
      </c>
      <c r="R161" s="72"/>
      <c r="S161" s="72"/>
      <c r="T16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6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6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6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6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6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6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6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6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6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6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61" s="74"/>
      <c r="AF16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6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61" s="30"/>
      <c r="AI161" s="74"/>
      <c r="AJ16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6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61" s="83"/>
      <c r="AM161" s="29"/>
      <c r="AN16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61" s="84"/>
      <c r="AP16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61" s="30"/>
      <c r="AR161" s="25" t="str">
        <f aca="false">IF(Tasks[[#This Row],[Task Name]]="","",Tasks[[#This Row],[Forecast Start]])</f>
        <v/>
      </c>
      <c r="AS161" s="25" t="str">
        <f aca="false">IF(Tasks[[#This Row],[Task Name]]="","",Tasks[[#This Row],[Forecast Finish]])</f>
        <v/>
      </c>
      <c r="AT16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61" s="81" t="str">
        <f aca="false">IF(Tasks[[#This Row],[Task Name]]="","",Tasks[[#This Row],[Work]])</f>
        <v/>
      </c>
      <c r="AV161" s="82" t="str">
        <f aca="false">IF(Tasks[[#This Row],[Task Name]]="","",Tasks[[#This Row],[Cost]])</f>
        <v/>
      </c>
      <c r="AW161" s="72"/>
      <c r="AX161" s="72"/>
      <c r="AY161" s="29"/>
      <c r="AZ161" s="85"/>
      <c r="BA161" s="83"/>
      <c r="BB161" s="28" t="str">
        <f aca="false">IF(OR(Tasks[[#This Row],[Task Name]]="",Tasks[[#This Row],[Baseline Duration]]=""),"",Tasks[[#This Row],[BL Source Duration]]-N(Tasks[[#This Row],[Baseline Duration]]))</f>
        <v/>
      </c>
      <c r="BC161" s="81" t="str">
        <f aca="false">IF(OR(Tasks[[#This Row],[Task Name]]="",Tasks[[#This Row],[Baseline Work]]=""),"",Tasks[[#This Row],[Work]]-N(Tasks[[#This Row],[Baseline Work]]))</f>
        <v/>
      </c>
      <c r="BD161" s="82" t="str">
        <f aca="false">IF(OR(Tasks[[#This Row],[Task Name]]="",Tasks[[#This Row],[Baseline Cost]]=""),"",Tasks[[#This Row],[Cost]]-N(Tasks[[#This Row],[Baseline Cost]]))</f>
        <v/>
      </c>
      <c r="BE16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6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6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6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61" s="43" t="str">
        <f aca="false">IF(Tasks[[#This Row],[Task Name]]="","",MAX(1,N(Tasks[[#This Row],[Level]])))</f>
        <v/>
      </c>
      <c r="BJ161" s="43" t="n">
        <f aca="false">ROW()-ROW(Tasks[[#Headers],[ID]])</f>
        <v>156</v>
      </c>
      <c r="BK16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61" s="43" t="n">
        <f aca="false">IFERROR(N(INDEX(Tasks[_Level],Tasks[[#This Row],[_Row]]+1)),0)</f>
        <v>0</v>
      </c>
      <c r="BM161" s="86" t="b">
        <f aca="false">AND(Tasks[[#This Row],[Task Name]]&lt;&gt;"",Tasks[[#This Row],[_NextLevel]]&gt;Tasks[[#This Row],[_Level]])</f>
        <v>0</v>
      </c>
      <c r="BN161" s="43" t="n">
        <f aca="false">IF(Tasks[[#This Row],[_IsSummary]],COUNTIF(Tasks[WBS],Tasks[[#This Row],[WBS]]&amp;".*"),0)</f>
        <v>0</v>
      </c>
      <c r="BO161" s="43" t="n">
        <f aca="false">IF(AND(Tasks[[#This Row],[Task Name]]&lt;&gt;"",NOT(Tasks[[#This Row],[_IsSummary]])),1,0)</f>
        <v>0</v>
      </c>
      <c r="BP161" s="43" t="n">
        <f aca="false">IF(N(Tasks[[#This Row],[Pred1 UID]])=0,0,IFERROR(MATCH(Tasks[[#This Row],[Pred1 UID]],Tasks[UID],0),-1))</f>
        <v>0</v>
      </c>
      <c r="BQ161" s="43" t="n">
        <f aca="false">IF(N(Tasks[[#This Row],[Pred2 UID]])=0,0,IFERROR(MATCH(Tasks[[#This Row],[Pred2 UID]],Tasks[UID],0),-1))</f>
        <v>0</v>
      </c>
      <c r="BR16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6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6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6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61" s="43" t="n">
        <f aca="false">IF(NOT(Tasks[[#This Row],[_IsLeaf]]=1),0,IF(N(Tasks[[#This Row],[Actual Finish]])&gt;0,1,MIN(1,N(Tasks[[#This Row],[% Complete]]))))</f>
        <v>0</v>
      </c>
      <c r="BW16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61" s="43" t="n">
        <f aca="false">IF(Tasks[[#This Row],[_LeafWork]]=0,0,Tasks[[#This Row],[_LeafWork]]*IFERROR(INDEX(res_Rate,MATCH(Tasks[[#This Row],[Resource]],res_Name,0)),0))</f>
        <v>0</v>
      </c>
      <c r="BY16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6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6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6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61" s="43" t="n">
        <f aca="false">IF(NOT(Tasks[[#This Row],[_IsLeaf]]=1),0,MAX(_xlfn.MAXIFS(Tasks[_Row],Tasks[Pred1 UID],Tasks[[#This Row],[UID]]),_xlfn.MAXIFS(Tasks[_Row],Tasks[Pred2 UID],Tasks[[#This Row],[UID]])))</f>
        <v>0</v>
      </c>
      <c r="CD16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61" s="87" t="str">
        <f aca="false">IF(NOT(Tasks[[#This Row],[_IsLeaf]]=1),"",MIN(ProjectFinish,IF(N(Tasks[[#This Row],[Deadline]])&gt;0,Tasks[[#This Row],[Deadline]],2958465),Tasks[[#This Row],[_SuccessorFinishLimit]]))</f>
        <v/>
      </c>
      <c r="CF16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6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61" s="86" t="b">
        <f aca="false">AND(Tasks[[#This Row],[_IsLeaf]]=1,Tasks[[#This Row],[_LeafProgress]]&lt;1,N(Tasks[[#This Row],[_LeafTotalSlack]])&lt;=CriticalSlackDays)</f>
        <v>0</v>
      </c>
      <c r="CI16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6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6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6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6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6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6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6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61" s="43" t="n">
        <f aca="false">IF(AND(Tasks[[#This Row],[_IsLeaf]]=1,Tasks[[#This Row],[_LeafWork]]&gt;0),NETWORKDAYS.INTL(ProjectStart,Tasks[[#This Row],[_LeafFcstStart]],WorkWeek,Holidays),0)</f>
        <v>0</v>
      </c>
      <c r="CR16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61" s="43" t="n">
        <f aca="false">IF(AND(Tasks[[#This Row],[_IsLeaf]]=1,Tasks[[#This Row],[_LeafWork]]&gt;0),Tasks[[#This Row],[_LeafWork]]/(Tasks[[#This Row],[_FinishWorkday]]-Tasks[[#This Row],[_StartWorkday]]+1),0)</f>
        <v>0</v>
      </c>
      <c r="CT161" s="43" t="n">
        <f aca="false">Tasks[[#This Row],[_WorkPerWorkday]]*(Tasks[[#This Row],[_StartWorkday]]-1)</f>
        <v>-0</v>
      </c>
      <c r="CU161" s="43" t="n">
        <f aca="false">IF(Tasks[[#This Row],[_IsLeaf]]=1,MAX(N(Tasks[[#This Row],[Duration]]),0.1),0)</f>
        <v>0</v>
      </c>
      <c r="CV161" s="43" t="n">
        <f aca="false">Tasks[[#This Row],[_WeightDur]]*Tasks[[#This Row],[_LeafProgress]]</f>
        <v>0</v>
      </c>
      <c r="CW16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6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6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6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6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61" s="43" t="str">
        <f aca="false">IF(AND(Tasks[[#This Row],[_IsLeaf]]=1,N(Tasks[[#This Row],[Duration]])=0,Tasks[[#This Row],[_LeafProgress]]&lt;1),Tasks[[#This Row],[_LeafFcstFinish]]+Tasks[[#This Row],[_Row]]/100000,"")</f>
        <v/>
      </c>
      <c r="DC16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61" s="43" t="n">
        <f aca="false">IF(NOT(Tasks[[#This Row],[_IsLeaf]]=1),0,IF(Tasks[[#This Row],[Baseline Cost]]="",Tasks[[#This Row],[_LeafCost]],N(Tasks[[#This Row],[Baseline Cost]])))</f>
        <v>0</v>
      </c>
      <c r="DE161" s="43" t="n">
        <f aca="false">Tasks[[#This Row],[_LeafBudget]]*Tasks[[#This Row],[_PlannedPct]]</f>
        <v>0</v>
      </c>
      <c r="DF161" s="43" t="n">
        <f aca="false">Tasks[[#This Row],[_LeafBudget]]*Tasks[[#This Row],[_LeafProgress]]</f>
        <v>0</v>
      </c>
      <c r="DG161" s="43" t="n">
        <f aca="false">IF(NOT(Tasks[[#This Row],[_IsLeaf]]=1),0,IF(Tasks[[#This Row],[Actual Cost]]="",Tasks[[#This Row],[_LeafCost]]*Tasks[[#This Row],[_LeafProgress]],N(Tasks[[#This Row],[Actual Cost]])))</f>
        <v>0</v>
      </c>
      <c r="DH161" s="43" t="str">
        <f aca="false">IF(Tasks[[#This Row],[Task Name]]="","",LEFT(Tasks[[#This Row],[WBS]],FIND(".",Tasks[[#This Row],[WBS]]&amp;".")-1))</f>
        <v/>
      </c>
      <c r="DI161" s="43" t="str">
        <f aca="false">IF(AND(Tasks[[#This Row],[Task Name]]&lt;&gt;"",Tasks[[#This Row],[_Level]]=1),Tasks[[#This Row],[_Row]],"")</f>
        <v/>
      </c>
      <c r="DJ161" s="43" t="str">
        <f aca="false">IF(AND(Tasks[[#This Row],[_IsLeaf]]=1,N(Tasks[[#This Row],[Duration]])=0),Tasks[[#This Row],[Planned Finish]]+Tasks[[#This Row],[_Row]]/100000,"")</f>
        <v/>
      </c>
      <c r="DK16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6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6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61" s="43" t="str">
        <f aca="false">IF(Tasks[[#This Row],[_LeafCritical]],Tasks[[#This Row],[_LeafFcstStart]]+Tasks[[#This Row],[_Row]]/100000,"")</f>
        <v/>
      </c>
      <c r="DO161" s="43" t="n">
        <f aca="false">Tasks[[#This Row],[_LeafWork]]*Tasks[[#This Row],[_LeafProgress]]</f>
        <v>0</v>
      </c>
      <c r="DP16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61" s="43" t="n">
        <f aca="false">IF(Tasks[[#This Row],[_IsLeaf]]=1,N(Tasks[[#This Row],[Story Points]]),0)</f>
        <v>0</v>
      </c>
      <c r="DR161" s="43" t="str">
        <f aca="false">IF(AND(Tasks[[#This Row],[_IsLeaf]]=1,CurrentSprint&lt;&gt;"",Tasks[[#This Row],[Sprint]]=CurrentSprint),Tasks[[#This Row],[_Row]],"")</f>
        <v/>
      </c>
    </row>
    <row r="162" customFormat="false" ht="15" hidden="false" customHeight="false" outlineLevel="0" collapsed="false">
      <c r="A162" s="28" t="str">
        <f aca="false">IF(Tasks[[#This Row],[Task Name]]="","",COUNTA(Tasks[[#Headers],[Task Name]]:Tasks[[#This Row],[Task Name]])-1)</f>
        <v/>
      </c>
      <c r="B162" s="29" t="n">
        <v>157</v>
      </c>
      <c r="C16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62" s="29"/>
      <c r="E162" s="30"/>
      <c r="F162" s="29"/>
      <c r="G162" s="29"/>
      <c r="H162" s="29"/>
      <c r="I162" s="29"/>
      <c r="J162" s="29"/>
      <c r="K162" s="29"/>
      <c r="L162" s="29"/>
      <c r="M162" s="29"/>
      <c r="N162" s="72"/>
      <c r="O162" s="72"/>
      <c r="P162" s="25" t="str">
        <f aca="false">IF(Tasks[[#This Row],[Task Name]]="","",IF(N(Tasks[[#This Row],[Baseline Start]])&gt;0,Tasks[[#This Row],[Baseline Start]],Tasks[[#This Row],[_CalcStart]]))</f>
        <v/>
      </c>
      <c r="Q162" s="25" t="str">
        <f aca="false">IF(Tasks[[#This Row],[Task Name]]="","",IF(N(Tasks[[#This Row],[Baseline Finish]])&gt;0,Tasks[[#This Row],[Baseline Finish]],Tasks[[#This Row],[_CalcFinish]]))</f>
        <v/>
      </c>
      <c r="R162" s="72"/>
      <c r="S162" s="72"/>
      <c r="T16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6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6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6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6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6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6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6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6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6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6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62" s="74"/>
      <c r="AF16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6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62" s="30"/>
      <c r="AI162" s="74"/>
      <c r="AJ16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6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62" s="83"/>
      <c r="AM162" s="29"/>
      <c r="AN16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62" s="84"/>
      <c r="AP16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62" s="30"/>
      <c r="AR162" s="25" t="str">
        <f aca="false">IF(Tasks[[#This Row],[Task Name]]="","",Tasks[[#This Row],[Forecast Start]])</f>
        <v/>
      </c>
      <c r="AS162" s="25" t="str">
        <f aca="false">IF(Tasks[[#This Row],[Task Name]]="","",Tasks[[#This Row],[Forecast Finish]])</f>
        <v/>
      </c>
      <c r="AT16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62" s="81" t="str">
        <f aca="false">IF(Tasks[[#This Row],[Task Name]]="","",Tasks[[#This Row],[Work]])</f>
        <v/>
      </c>
      <c r="AV162" s="82" t="str">
        <f aca="false">IF(Tasks[[#This Row],[Task Name]]="","",Tasks[[#This Row],[Cost]])</f>
        <v/>
      </c>
      <c r="AW162" s="72"/>
      <c r="AX162" s="72"/>
      <c r="AY162" s="29"/>
      <c r="AZ162" s="85"/>
      <c r="BA162" s="83"/>
      <c r="BB162" s="28" t="str">
        <f aca="false">IF(OR(Tasks[[#This Row],[Task Name]]="",Tasks[[#This Row],[Baseline Duration]]=""),"",Tasks[[#This Row],[BL Source Duration]]-N(Tasks[[#This Row],[Baseline Duration]]))</f>
        <v/>
      </c>
      <c r="BC162" s="81" t="str">
        <f aca="false">IF(OR(Tasks[[#This Row],[Task Name]]="",Tasks[[#This Row],[Baseline Work]]=""),"",Tasks[[#This Row],[Work]]-N(Tasks[[#This Row],[Baseline Work]]))</f>
        <v/>
      </c>
      <c r="BD162" s="82" t="str">
        <f aca="false">IF(OR(Tasks[[#This Row],[Task Name]]="",Tasks[[#This Row],[Baseline Cost]]=""),"",Tasks[[#This Row],[Cost]]-N(Tasks[[#This Row],[Baseline Cost]]))</f>
        <v/>
      </c>
      <c r="BE16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6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6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6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62" s="43" t="str">
        <f aca="false">IF(Tasks[[#This Row],[Task Name]]="","",MAX(1,N(Tasks[[#This Row],[Level]])))</f>
        <v/>
      </c>
      <c r="BJ162" s="43" t="n">
        <f aca="false">ROW()-ROW(Tasks[[#Headers],[ID]])</f>
        <v>157</v>
      </c>
      <c r="BK16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62" s="43" t="n">
        <f aca="false">IFERROR(N(INDEX(Tasks[_Level],Tasks[[#This Row],[_Row]]+1)),0)</f>
        <v>0</v>
      </c>
      <c r="BM162" s="86" t="b">
        <f aca="false">AND(Tasks[[#This Row],[Task Name]]&lt;&gt;"",Tasks[[#This Row],[_NextLevel]]&gt;Tasks[[#This Row],[_Level]])</f>
        <v>0</v>
      </c>
      <c r="BN162" s="43" t="n">
        <f aca="false">IF(Tasks[[#This Row],[_IsSummary]],COUNTIF(Tasks[WBS],Tasks[[#This Row],[WBS]]&amp;".*"),0)</f>
        <v>0</v>
      </c>
      <c r="BO162" s="43" t="n">
        <f aca="false">IF(AND(Tasks[[#This Row],[Task Name]]&lt;&gt;"",NOT(Tasks[[#This Row],[_IsSummary]])),1,0)</f>
        <v>0</v>
      </c>
      <c r="BP162" s="43" t="n">
        <f aca="false">IF(N(Tasks[[#This Row],[Pred1 UID]])=0,0,IFERROR(MATCH(Tasks[[#This Row],[Pred1 UID]],Tasks[UID],0),-1))</f>
        <v>0</v>
      </c>
      <c r="BQ162" s="43" t="n">
        <f aca="false">IF(N(Tasks[[#This Row],[Pred2 UID]])=0,0,IFERROR(MATCH(Tasks[[#This Row],[Pred2 UID]],Tasks[UID],0),-1))</f>
        <v>0</v>
      </c>
      <c r="BR16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6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6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6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62" s="43" t="n">
        <f aca="false">IF(NOT(Tasks[[#This Row],[_IsLeaf]]=1),0,IF(N(Tasks[[#This Row],[Actual Finish]])&gt;0,1,MIN(1,N(Tasks[[#This Row],[% Complete]]))))</f>
        <v>0</v>
      </c>
      <c r="BW16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62" s="43" t="n">
        <f aca="false">IF(Tasks[[#This Row],[_LeafWork]]=0,0,Tasks[[#This Row],[_LeafWork]]*IFERROR(INDEX(res_Rate,MATCH(Tasks[[#This Row],[Resource]],res_Name,0)),0))</f>
        <v>0</v>
      </c>
      <c r="BY16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6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6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6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62" s="43" t="n">
        <f aca="false">IF(NOT(Tasks[[#This Row],[_IsLeaf]]=1),0,MAX(_xlfn.MAXIFS(Tasks[_Row],Tasks[Pred1 UID],Tasks[[#This Row],[UID]]),_xlfn.MAXIFS(Tasks[_Row],Tasks[Pred2 UID],Tasks[[#This Row],[UID]])))</f>
        <v>0</v>
      </c>
      <c r="CD16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62" s="87" t="str">
        <f aca="false">IF(NOT(Tasks[[#This Row],[_IsLeaf]]=1),"",MIN(ProjectFinish,IF(N(Tasks[[#This Row],[Deadline]])&gt;0,Tasks[[#This Row],[Deadline]],2958465),Tasks[[#This Row],[_SuccessorFinishLimit]]))</f>
        <v/>
      </c>
      <c r="CF16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6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62" s="86" t="b">
        <f aca="false">AND(Tasks[[#This Row],[_IsLeaf]]=1,Tasks[[#This Row],[_LeafProgress]]&lt;1,N(Tasks[[#This Row],[_LeafTotalSlack]])&lt;=CriticalSlackDays)</f>
        <v>0</v>
      </c>
      <c r="CI16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6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6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6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6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6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6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6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62" s="43" t="n">
        <f aca="false">IF(AND(Tasks[[#This Row],[_IsLeaf]]=1,Tasks[[#This Row],[_LeafWork]]&gt;0),NETWORKDAYS.INTL(ProjectStart,Tasks[[#This Row],[_LeafFcstStart]],WorkWeek,Holidays),0)</f>
        <v>0</v>
      </c>
      <c r="CR16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62" s="43" t="n">
        <f aca="false">IF(AND(Tasks[[#This Row],[_IsLeaf]]=1,Tasks[[#This Row],[_LeafWork]]&gt;0),Tasks[[#This Row],[_LeafWork]]/(Tasks[[#This Row],[_FinishWorkday]]-Tasks[[#This Row],[_StartWorkday]]+1),0)</f>
        <v>0</v>
      </c>
      <c r="CT162" s="43" t="n">
        <f aca="false">Tasks[[#This Row],[_WorkPerWorkday]]*(Tasks[[#This Row],[_StartWorkday]]-1)</f>
        <v>-0</v>
      </c>
      <c r="CU162" s="43" t="n">
        <f aca="false">IF(Tasks[[#This Row],[_IsLeaf]]=1,MAX(N(Tasks[[#This Row],[Duration]]),0.1),0)</f>
        <v>0</v>
      </c>
      <c r="CV162" s="43" t="n">
        <f aca="false">Tasks[[#This Row],[_WeightDur]]*Tasks[[#This Row],[_LeafProgress]]</f>
        <v>0</v>
      </c>
      <c r="CW16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6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6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6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6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62" s="43" t="str">
        <f aca="false">IF(AND(Tasks[[#This Row],[_IsLeaf]]=1,N(Tasks[[#This Row],[Duration]])=0,Tasks[[#This Row],[_LeafProgress]]&lt;1),Tasks[[#This Row],[_LeafFcstFinish]]+Tasks[[#This Row],[_Row]]/100000,"")</f>
        <v/>
      </c>
      <c r="DC16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62" s="43" t="n">
        <f aca="false">IF(NOT(Tasks[[#This Row],[_IsLeaf]]=1),0,IF(Tasks[[#This Row],[Baseline Cost]]="",Tasks[[#This Row],[_LeafCost]],N(Tasks[[#This Row],[Baseline Cost]])))</f>
        <v>0</v>
      </c>
      <c r="DE162" s="43" t="n">
        <f aca="false">Tasks[[#This Row],[_LeafBudget]]*Tasks[[#This Row],[_PlannedPct]]</f>
        <v>0</v>
      </c>
      <c r="DF162" s="43" t="n">
        <f aca="false">Tasks[[#This Row],[_LeafBudget]]*Tasks[[#This Row],[_LeafProgress]]</f>
        <v>0</v>
      </c>
      <c r="DG162" s="43" t="n">
        <f aca="false">IF(NOT(Tasks[[#This Row],[_IsLeaf]]=1),0,IF(Tasks[[#This Row],[Actual Cost]]="",Tasks[[#This Row],[_LeafCost]]*Tasks[[#This Row],[_LeafProgress]],N(Tasks[[#This Row],[Actual Cost]])))</f>
        <v>0</v>
      </c>
      <c r="DH162" s="43" t="str">
        <f aca="false">IF(Tasks[[#This Row],[Task Name]]="","",LEFT(Tasks[[#This Row],[WBS]],FIND(".",Tasks[[#This Row],[WBS]]&amp;".")-1))</f>
        <v/>
      </c>
      <c r="DI162" s="43" t="str">
        <f aca="false">IF(AND(Tasks[[#This Row],[Task Name]]&lt;&gt;"",Tasks[[#This Row],[_Level]]=1),Tasks[[#This Row],[_Row]],"")</f>
        <v/>
      </c>
      <c r="DJ162" s="43" t="str">
        <f aca="false">IF(AND(Tasks[[#This Row],[_IsLeaf]]=1,N(Tasks[[#This Row],[Duration]])=0),Tasks[[#This Row],[Planned Finish]]+Tasks[[#This Row],[_Row]]/100000,"")</f>
        <v/>
      </c>
      <c r="DK16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6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6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62" s="43" t="str">
        <f aca="false">IF(Tasks[[#This Row],[_LeafCritical]],Tasks[[#This Row],[_LeafFcstStart]]+Tasks[[#This Row],[_Row]]/100000,"")</f>
        <v/>
      </c>
      <c r="DO162" s="43" t="n">
        <f aca="false">Tasks[[#This Row],[_LeafWork]]*Tasks[[#This Row],[_LeafProgress]]</f>
        <v>0</v>
      </c>
      <c r="DP16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62" s="43" t="n">
        <f aca="false">IF(Tasks[[#This Row],[_IsLeaf]]=1,N(Tasks[[#This Row],[Story Points]]),0)</f>
        <v>0</v>
      </c>
      <c r="DR162" s="43" t="str">
        <f aca="false">IF(AND(Tasks[[#This Row],[_IsLeaf]]=1,CurrentSprint&lt;&gt;"",Tasks[[#This Row],[Sprint]]=CurrentSprint),Tasks[[#This Row],[_Row]],"")</f>
        <v/>
      </c>
    </row>
    <row r="163" customFormat="false" ht="15" hidden="false" customHeight="false" outlineLevel="0" collapsed="false">
      <c r="A163" s="28" t="str">
        <f aca="false">IF(Tasks[[#This Row],[Task Name]]="","",COUNTA(Tasks[[#Headers],[Task Name]]:Tasks[[#This Row],[Task Name]])-1)</f>
        <v/>
      </c>
      <c r="B163" s="29" t="n">
        <v>158</v>
      </c>
      <c r="C16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63" s="29"/>
      <c r="E163" s="30"/>
      <c r="F163" s="29"/>
      <c r="G163" s="29"/>
      <c r="H163" s="29"/>
      <c r="I163" s="29"/>
      <c r="J163" s="29"/>
      <c r="K163" s="29"/>
      <c r="L163" s="29"/>
      <c r="M163" s="29"/>
      <c r="N163" s="72"/>
      <c r="O163" s="72"/>
      <c r="P163" s="25" t="str">
        <f aca="false">IF(Tasks[[#This Row],[Task Name]]="","",IF(N(Tasks[[#This Row],[Baseline Start]])&gt;0,Tasks[[#This Row],[Baseline Start]],Tasks[[#This Row],[_CalcStart]]))</f>
        <v/>
      </c>
      <c r="Q163" s="25" t="str">
        <f aca="false">IF(Tasks[[#This Row],[Task Name]]="","",IF(N(Tasks[[#This Row],[Baseline Finish]])&gt;0,Tasks[[#This Row],[Baseline Finish]],Tasks[[#This Row],[_CalcFinish]]))</f>
        <v/>
      </c>
      <c r="R163" s="72"/>
      <c r="S163" s="72"/>
      <c r="T16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6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6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6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6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6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6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6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6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6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6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63" s="74"/>
      <c r="AF16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6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63" s="30"/>
      <c r="AI163" s="74"/>
      <c r="AJ16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6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63" s="83"/>
      <c r="AM163" s="29"/>
      <c r="AN16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63" s="84"/>
      <c r="AP16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63" s="30"/>
      <c r="AR163" s="25" t="str">
        <f aca="false">IF(Tasks[[#This Row],[Task Name]]="","",Tasks[[#This Row],[Forecast Start]])</f>
        <v/>
      </c>
      <c r="AS163" s="25" t="str">
        <f aca="false">IF(Tasks[[#This Row],[Task Name]]="","",Tasks[[#This Row],[Forecast Finish]])</f>
        <v/>
      </c>
      <c r="AT16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63" s="81" t="str">
        <f aca="false">IF(Tasks[[#This Row],[Task Name]]="","",Tasks[[#This Row],[Work]])</f>
        <v/>
      </c>
      <c r="AV163" s="82" t="str">
        <f aca="false">IF(Tasks[[#This Row],[Task Name]]="","",Tasks[[#This Row],[Cost]])</f>
        <v/>
      </c>
      <c r="AW163" s="72"/>
      <c r="AX163" s="72"/>
      <c r="AY163" s="29"/>
      <c r="AZ163" s="85"/>
      <c r="BA163" s="83"/>
      <c r="BB163" s="28" t="str">
        <f aca="false">IF(OR(Tasks[[#This Row],[Task Name]]="",Tasks[[#This Row],[Baseline Duration]]=""),"",Tasks[[#This Row],[BL Source Duration]]-N(Tasks[[#This Row],[Baseline Duration]]))</f>
        <v/>
      </c>
      <c r="BC163" s="81" t="str">
        <f aca="false">IF(OR(Tasks[[#This Row],[Task Name]]="",Tasks[[#This Row],[Baseline Work]]=""),"",Tasks[[#This Row],[Work]]-N(Tasks[[#This Row],[Baseline Work]]))</f>
        <v/>
      </c>
      <c r="BD163" s="82" t="str">
        <f aca="false">IF(OR(Tasks[[#This Row],[Task Name]]="",Tasks[[#This Row],[Baseline Cost]]=""),"",Tasks[[#This Row],[Cost]]-N(Tasks[[#This Row],[Baseline Cost]]))</f>
        <v/>
      </c>
      <c r="BE16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6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6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6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63" s="43" t="str">
        <f aca="false">IF(Tasks[[#This Row],[Task Name]]="","",MAX(1,N(Tasks[[#This Row],[Level]])))</f>
        <v/>
      </c>
      <c r="BJ163" s="43" t="n">
        <f aca="false">ROW()-ROW(Tasks[[#Headers],[ID]])</f>
        <v>158</v>
      </c>
      <c r="BK16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63" s="43" t="n">
        <f aca="false">IFERROR(N(INDEX(Tasks[_Level],Tasks[[#This Row],[_Row]]+1)),0)</f>
        <v>0</v>
      </c>
      <c r="BM163" s="86" t="b">
        <f aca="false">AND(Tasks[[#This Row],[Task Name]]&lt;&gt;"",Tasks[[#This Row],[_NextLevel]]&gt;Tasks[[#This Row],[_Level]])</f>
        <v>0</v>
      </c>
      <c r="BN163" s="43" t="n">
        <f aca="false">IF(Tasks[[#This Row],[_IsSummary]],COUNTIF(Tasks[WBS],Tasks[[#This Row],[WBS]]&amp;".*"),0)</f>
        <v>0</v>
      </c>
      <c r="BO163" s="43" t="n">
        <f aca="false">IF(AND(Tasks[[#This Row],[Task Name]]&lt;&gt;"",NOT(Tasks[[#This Row],[_IsSummary]])),1,0)</f>
        <v>0</v>
      </c>
      <c r="BP163" s="43" t="n">
        <f aca="false">IF(N(Tasks[[#This Row],[Pred1 UID]])=0,0,IFERROR(MATCH(Tasks[[#This Row],[Pred1 UID]],Tasks[UID],0),-1))</f>
        <v>0</v>
      </c>
      <c r="BQ163" s="43" t="n">
        <f aca="false">IF(N(Tasks[[#This Row],[Pred2 UID]])=0,0,IFERROR(MATCH(Tasks[[#This Row],[Pred2 UID]],Tasks[UID],0),-1))</f>
        <v>0</v>
      </c>
      <c r="BR16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6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6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6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63" s="43" t="n">
        <f aca="false">IF(NOT(Tasks[[#This Row],[_IsLeaf]]=1),0,IF(N(Tasks[[#This Row],[Actual Finish]])&gt;0,1,MIN(1,N(Tasks[[#This Row],[% Complete]]))))</f>
        <v>0</v>
      </c>
      <c r="BW16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63" s="43" t="n">
        <f aca="false">IF(Tasks[[#This Row],[_LeafWork]]=0,0,Tasks[[#This Row],[_LeafWork]]*IFERROR(INDEX(res_Rate,MATCH(Tasks[[#This Row],[Resource]],res_Name,0)),0))</f>
        <v>0</v>
      </c>
      <c r="BY16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6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6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6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63" s="43" t="n">
        <f aca="false">IF(NOT(Tasks[[#This Row],[_IsLeaf]]=1),0,MAX(_xlfn.MAXIFS(Tasks[_Row],Tasks[Pred1 UID],Tasks[[#This Row],[UID]]),_xlfn.MAXIFS(Tasks[_Row],Tasks[Pred2 UID],Tasks[[#This Row],[UID]])))</f>
        <v>0</v>
      </c>
      <c r="CD16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63" s="87" t="str">
        <f aca="false">IF(NOT(Tasks[[#This Row],[_IsLeaf]]=1),"",MIN(ProjectFinish,IF(N(Tasks[[#This Row],[Deadline]])&gt;0,Tasks[[#This Row],[Deadline]],2958465),Tasks[[#This Row],[_SuccessorFinishLimit]]))</f>
        <v/>
      </c>
      <c r="CF16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6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63" s="86" t="b">
        <f aca="false">AND(Tasks[[#This Row],[_IsLeaf]]=1,Tasks[[#This Row],[_LeafProgress]]&lt;1,N(Tasks[[#This Row],[_LeafTotalSlack]])&lt;=CriticalSlackDays)</f>
        <v>0</v>
      </c>
      <c r="CI16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6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6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6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6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6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6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6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63" s="43" t="n">
        <f aca="false">IF(AND(Tasks[[#This Row],[_IsLeaf]]=1,Tasks[[#This Row],[_LeafWork]]&gt;0),NETWORKDAYS.INTL(ProjectStart,Tasks[[#This Row],[_LeafFcstStart]],WorkWeek,Holidays),0)</f>
        <v>0</v>
      </c>
      <c r="CR16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63" s="43" t="n">
        <f aca="false">IF(AND(Tasks[[#This Row],[_IsLeaf]]=1,Tasks[[#This Row],[_LeafWork]]&gt;0),Tasks[[#This Row],[_LeafWork]]/(Tasks[[#This Row],[_FinishWorkday]]-Tasks[[#This Row],[_StartWorkday]]+1),0)</f>
        <v>0</v>
      </c>
      <c r="CT163" s="43" t="n">
        <f aca="false">Tasks[[#This Row],[_WorkPerWorkday]]*(Tasks[[#This Row],[_StartWorkday]]-1)</f>
        <v>-0</v>
      </c>
      <c r="CU163" s="43" t="n">
        <f aca="false">IF(Tasks[[#This Row],[_IsLeaf]]=1,MAX(N(Tasks[[#This Row],[Duration]]),0.1),0)</f>
        <v>0</v>
      </c>
      <c r="CV163" s="43" t="n">
        <f aca="false">Tasks[[#This Row],[_WeightDur]]*Tasks[[#This Row],[_LeafProgress]]</f>
        <v>0</v>
      </c>
      <c r="CW16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6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6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6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6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63" s="43" t="str">
        <f aca="false">IF(AND(Tasks[[#This Row],[_IsLeaf]]=1,N(Tasks[[#This Row],[Duration]])=0,Tasks[[#This Row],[_LeafProgress]]&lt;1),Tasks[[#This Row],[_LeafFcstFinish]]+Tasks[[#This Row],[_Row]]/100000,"")</f>
        <v/>
      </c>
      <c r="DC16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63" s="43" t="n">
        <f aca="false">IF(NOT(Tasks[[#This Row],[_IsLeaf]]=1),0,IF(Tasks[[#This Row],[Baseline Cost]]="",Tasks[[#This Row],[_LeafCost]],N(Tasks[[#This Row],[Baseline Cost]])))</f>
        <v>0</v>
      </c>
      <c r="DE163" s="43" t="n">
        <f aca="false">Tasks[[#This Row],[_LeafBudget]]*Tasks[[#This Row],[_PlannedPct]]</f>
        <v>0</v>
      </c>
      <c r="DF163" s="43" t="n">
        <f aca="false">Tasks[[#This Row],[_LeafBudget]]*Tasks[[#This Row],[_LeafProgress]]</f>
        <v>0</v>
      </c>
      <c r="DG163" s="43" t="n">
        <f aca="false">IF(NOT(Tasks[[#This Row],[_IsLeaf]]=1),0,IF(Tasks[[#This Row],[Actual Cost]]="",Tasks[[#This Row],[_LeafCost]]*Tasks[[#This Row],[_LeafProgress]],N(Tasks[[#This Row],[Actual Cost]])))</f>
        <v>0</v>
      </c>
      <c r="DH163" s="43" t="str">
        <f aca="false">IF(Tasks[[#This Row],[Task Name]]="","",LEFT(Tasks[[#This Row],[WBS]],FIND(".",Tasks[[#This Row],[WBS]]&amp;".")-1))</f>
        <v/>
      </c>
      <c r="DI163" s="43" t="str">
        <f aca="false">IF(AND(Tasks[[#This Row],[Task Name]]&lt;&gt;"",Tasks[[#This Row],[_Level]]=1),Tasks[[#This Row],[_Row]],"")</f>
        <v/>
      </c>
      <c r="DJ163" s="43" t="str">
        <f aca="false">IF(AND(Tasks[[#This Row],[_IsLeaf]]=1,N(Tasks[[#This Row],[Duration]])=0),Tasks[[#This Row],[Planned Finish]]+Tasks[[#This Row],[_Row]]/100000,"")</f>
        <v/>
      </c>
      <c r="DK16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6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6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63" s="43" t="str">
        <f aca="false">IF(Tasks[[#This Row],[_LeafCritical]],Tasks[[#This Row],[_LeafFcstStart]]+Tasks[[#This Row],[_Row]]/100000,"")</f>
        <v/>
      </c>
      <c r="DO163" s="43" t="n">
        <f aca="false">Tasks[[#This Row],[_LeafWork]]*Tasks[[#This Row],[_LeafProgress]]</f>
        <v>0</v>
      </c>
      <c r="DP16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63" s="43" t="n">
        <f aca="false">IF(Tasks[[#This Row],[_IsLeaf]]=1,N(Tasks[[#This Row],[Story Points]]),0)</f>
        <v>0</v>
      </c>
      <c r="DR163" s="43" t="str">
        <f aca="false">IF(AND(Tasks[[#This Row],[_IsLeaf]]=1,CurrentSprint&lt;&gt;"",Tasks[[#This Row],[Sprint]]=CurrentSprint),Tasks[[#This Row],[_Row]],"")</f>
        <v/>
      </c>
    </row>
    <row r="164" customFormat="false" ht="15" hidden="false" customHeight="false" outlineLevel="0" collapsed="false">
      <c r="A164" s="28" t="str">
        <f aca="false">IF(Tasks[[#This Row],[Task Name]]="","",COUNTA(Tasks[[#Headers],[Task Name]]:Tasks[[#This Row],[Task Name]])-1)</f>
        <v/>
      </c>
      <c r="B164" s="29" t="n">
        <v>159</v>
      </c>
      <c r="C16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64" s="29"/>
      <c r="E164" s="30"/>
      <c r="F164" s="29"/>
      <c r="G164" s="29"/>
      <c r="H164" s="29"/>
      <c r="I164" s="29"/>
      <c r="J164" s="29"/>
      <c r="K164" s="29"/>
      <c r="L164" s="29"/>
      <c r="M164" s="29"/>
      <c r="N164" s="72"/>
      <c r="O164" s="72"/>
      <c r="P164" s="25" t="str">
        <f aca="false">IF(Tasks[[#This Row],[Task Name]]="","",IF(N(Tasks[[#This Row],[Baseline Start]])&gt;0,Tasks[[#This Row],[Baseline Start]],Tasks[[#This Row],[_CalcStart]]))</f>
        <v/>
      </c>
      <c r="Q164" s="25" t="str">
        <f aca="false">IF(Tasks[[#This Row],[Task Name]]="","",IF(N(Tasks[[#This Row],[Baseline Finish]])&gt;0,Tasks[[#This Row],[Baseline Finish]],Tasks[[#This Row],[_CalcFinish]]))</f>
        <v/>
      </c>
      <c r="R164" s="72"/>
      <c r="S164" s="72"/>
      <c r="T16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6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6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6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6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6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6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6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6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6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6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64" s="74"/>
      <c r="AF16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6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64" s="30"/>
      <c r="AI164" s="74"/>
      <c r="AJ16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6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64" s="83"/>
      <c r="AM164" s="29"/>
      <c r="AN16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64" s="84"/>
      <c r="AP16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64" s="30"/>
      <c r="AR164" s="25" t="str">
        <f aca="false">IF(Tasks[[#This Row],[Task Name]]="","",Tasks[[#This Row],[Forecast Start]])</f>
        <v/>
      </c>
      <c r="AS164" s="25" t="str">
        <f aca="false">IF(Tasks[[#This Row],[Task Name]]="","",Tasks[[#This Row],[Forecast Finish]])</f>
        <v/>
      </c>
      <c r="AT16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64" s="81" t="str">
        <f aca="false">IF(Tasks[[#This Row],[Task Name]]="","",Tasks[[#This Row],[Work]])</f>
        <v/>
      </c>
      <c r="AV164" s="82" t="str">
        <f aca="false">IF(Tasks[[#This Row],[Task Name]]="","",Tasks[[#This Row],[Cost]])</f>
        <v/>
      </c>
      <c r="AW164" s="72"/>
      <c r="AX164" s="72"/>
      <c r="AY164" s="29"/>
      <c r="AZ164" s="85"/>
      <c r="BA164" s="83"/>
      <c r="BB164" s="28" t="str">
        <f aca="false">IF(OR(Tasks[[#This Row],[Task Name]]="",Tasks[[#This Row],[Baseline Duration]]=""),"",Tasks[[#This Row],[BL Source Duration]]-N(Tasks[[#This Row],[Baseline Duration]]))</f>
        <v/>
      </c>
      <c r="BC164" s="81" t="str">
        <f aca="false">IF(OR(Tasks[[#This Row],[Task Name]]="",Tasks[[#This Row],[Baseline Work]]=""),"",Tasks[[#This Row],[Work]]-N(Tasks[[#This Row],[Baseline Work]]))</f>
        <v/>
      </c>
      <c r="BD164" s="82" t="str">
        <f aca="false">IF(OR(Tasks[[#This Row],[Task Name]]="",Tasks[[#This Row],[Baseline Cost]]=""),"",Tasks[[#This Row],[Cost]]-N(Tasks[[#This Row],[Baseline Cost]]))</f>
        <v/>
      </c>
      <c r="BE16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6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6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6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64" s="43" t="str">
        <f aca="false">IF(Tasks[[#This Row],[Task Name]]="","",MAX(1,N(Tasks[[#This Row],[Level]])))</f>
        <v/>
      </c>
      <c r="BJ164" s="43" t="n">
        <f aca="false">ROW()-ROW(Tasks[[#Headers],[ID]])</f>
        <v>159</v>
      </c>
      <c r="BK16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64" s="43" t="n">
        <f aca="false">IFERROR(N(INDEX(Tasks[_Level],Tasks[[#This Row],[_Row]]+1)),0)</f>
        <v>0</v>
      </c>
      <c r="BM164" s="86" t="b">
        <f aca="false">AND(Tasks[[#This Row],[Task Name]]&lt;&gt;"",Tasks[[#This Row],[_NextLevel]]&gt;Tasks[[#This Row],[_Level]])</f>
        <v>0</v>
      </c>
      <c r="BN164" s="43" t="n">
        <f aca="false">IF(Tasks[[#This Row],[_IsSummary]],COUNTIF(Tasks[WBS],Tasks[[#This Row],[WBS]]&amp;".*"),0)</f>
        <v>0</v>
      </c>
      <c r="BO164" s="43" t="n">
        <f aca="false">IF(AND(Tasks[[#This Row],[Task Name]]&lt;&gt;"",NOT(Tasks[[#This Row],[_IsSummary]])),1,0)</f>
        <v>0</v>
      </c>
      <c r="BP164" s="43" t="n">
        <f aca="false">IF(N(Tasks[[#This Row],[Pred1 UID]])=0,0,IFERROR(MATCH(Tasks[[#This Row],[Pred1 UID]],Tasks[UID],0),-1))</f>
        <v>0</v>
      </c>
      <c r="BQ164" s="43" t="n">
        <f aca="false">IF(N(Tasks[[#This Row],[Pred2 UID]])=0,0,IFERROR(MATCH(Tasks[[#This Row],[Pred2 UID]],Tasks[UID],0),-1))</f>
        <v>0</v>
      </c>
      <c r="BR16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6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6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6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64" s="43" t="n">
        <f aca="false">IF(NOT(Tasks[[#This Row],[_IsLeaf]]=1),0,IF(N(Tasks[[#This Row],[Actual Finish]])&gt;0,1,MIN(1,N(Tasks[[#This Row],[% Complete]]))))</f>
        <v>0</v>
      </c>
      <c r="BW16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64" s="43" t="n">
        <f aca="false">IF(Tasks[[#This Row],[_LeafWork]]=0,0,Tasks[[#This Row],[_LeafWork]]*IFERROR(INDEX(res_Rate,MATCH(Tasks[[#This Row],[Resource]],res_Name,0)),0))</f>
        <v>0</v>
      </c>
      <c r="BY16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6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6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6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64" s="43" t="n">
        <f aca="false">IF(NOT(Tasks[[#This Row],[_IsLeaf]]=1),0,MAX(_xlfn.MAXIFS(Tasks[_Row],Tasks[Pred1 UID],Tasks[[#This Row],[UID]]),_xlfn.MAXIFS(Tasks[_Row],Tasks[Pred2 UID],Tasks[[#This Row],[UID]])))</f>
        <v>0</v>
      </c>
      <c r="CD16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64" s="87" t="str">
        <f aca="false">IF(NOT(Tasks[[#This Row],[_IsLeaf]]=1),"",MIN(ProjectFinish,IF(N(Tasks[[#This Row],[Deadline]])&gt;0,Tasks[[#This Row],[Deadline]],2958465),Tasks[[#This Row],[_SuccessorFinishLimit]]))</f>
        <v/>
      </c>
      <c r="CF16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6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64" s="86" t="b">
        <f aca="false">AND(Tasks[[#This Row],[_IsLeaf]]=1,Tasks[[#This Row],[_LeafProgress]]&lt;1,N(Tasks[[#This Row],[_LeafTotalSlack]])&lt;=CriticalSlackDays)</f>
        <v>0</v>
      </c>
      <c r="CI16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6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6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6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6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6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6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6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64" s="43" t="n">
        <f aca="false">IF(AND(Tasks[[#This Row],[_IsLeaf]]=1,Tasks[[#This Row],[_LeafWork]]&gt;0),NETWORKDAYS.INTL(ProjectStart,Tasks[[#This Row],[_LeafFcstStart]],WorkWeek,Holidays),0)</f>
        <v>0</v>
      </c>
      <c r="CR16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64" s="43" t="n">
        <f aca="false">IF(AND(Tasks[[#This Row],[_IsLeaf]]=1,Tasks[[#This Row],[_LeafWork]]&gt;0),Tasks[[#This Row],[_LeafWork]]/(Tasks[[#This Row],[_FinishWorkday]]-Tasks[[#This Row],[_StartWorkday]]+1),0)</f>
        <v>0</v>
      </c>
      <c r="CT164" s="43" t="n">
        <f aca="false">Tasks[[#This Row],[_WorkPerWorkday]]*(Tasks[[#This Row],[_StartWorkday]]-1)</f>
        <v>-0</v>
      </c>
      <c r="CU164" s="43" t="n">
        <f aca="false">IF(Tasks[[#This Row],[_IsLeaf]]=1,MAX(N(Tasks[[#This Row],[Duration]]),0.1),0)</f>
        <v>0</v>
      </c>
      <c r="CV164" s="43" t="n">
        <f aca="false">Tasks[[#This Row],[_WeightDur]]*Tasks[[#This Row],[_LeafProgress]]</f>
        <v>0</v>
      </c>
      <c r="CW16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6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6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6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6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64" s="43" t="str">
        <f aca="false">IF(AND(Tasks[[#This Row],[_IsLeaf]]=1,N(Tasks[[#This Row],[Duration]])=0,Tasks[[#This Row],[_LeafProgress]]&lt;1),Tasks[[#This Row],[_LeafFcstFinish]]+Tasks[[#This Row],[_Row]]/100000,"")</f>
        <v/>
      </c>
      <c r="DC16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64" s="43" t="n">
        <f aca="false">IF(NOT(Tasks[[#This Row],[_IsLeaf]]=1),0,IF(Tasks[[#This Row],[Baseline Cost]]="",Tasks[[#This Row],[_LeafCost]],N(Tasks[[#This Row],[Baseline Cost]])))</f>
        <v>0</v>
      </c>
      <c r="DE164" s="43" t="n">
        <f aca="false">Tasks[[#This Row],[_LeafBudget]]*Tasks[[#This Row],[_PlannedPct]]</f>
        <v>0</v>
      </c>
      <c r="DF164" s="43" t="n">
        <f aca="false">Tasks[[#This Row],[_LeafBudget]]*Tasks[[#This Row],[_LeafProgress]]</f>
        <v>0</v>
      </c>
      <c r="DG164" s="43" t="n">
        <f aca="false">IF(NOT(Tasks[[#This Row],[_IsLeaf]]=1),0,IF(Tasks[[#This Row],[Actual Cost]]="",Tasks[[#This Row],[_LeafCost]]*Tasks[[#This Row],[_LeafProgress]],N(Tasks[[#This Row],[Actual Cost]])))</f>
        <v>0</v>
      </c>
      <c r="DH164" s="43" t="str">
        <f aca="false">IF(Tasks[[#This Row],[Task Name]]="","",LEFT(Tasks[[#This Row],[WBS]],FIND(".",Tasks[[#This Row],[WBS]]&amp;".")-1))</f>
        <v/>
      </c>
      <c r="DI164" s="43" t="str">
        <f aca="false">IF(AND(Tasks[[#This Row],[Task Name]]&lt;&gt;"",Tasks[[#This Row],[_Level]]=1),Tasks[[#This Row],[_Row]],"")</f>
        <v/>
      </c>
      <c r="DJ164" s="43" t="str">
        <f aca="false">IF(AND(Tasks[[#This Row],[_IsLeaf]]=1,N(Tasks[[#This Row],[Duration]])=0),Tasks[[#This Row],[Planned Finish]]+Tasks[[#This Row],[_Row]]/100000,"")</f>
        <v/>
      </c>
      <c r="DK16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6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6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64" s="43" t="str">
        <f aca="false">IF(Tasks[[#This Row],[_LeafCritical]],Tasks[[#This Row],[_LeafFcstStart]]+Tasks[[#This Row],[_Row]]/100000,"")</f>
        <v/>
      </c>
      <c r="DO164" s="43" t="n">
        <f aca="false">Tasks[[#This Row],[_LeafWork]]*Tasks[[#This Row],[_LeafProgress]]</f>
        <v>0</v>
      </c>
      <c r="DP16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64" s="43" t="n">
        <f aca="false">IF(Tasks[[#This Row],[_IsLeaf]]=1,N(Tasks[[#This Row],[Story Points]]),0)</f>
        <v>0</v>
      </c>
      <c r="DR164" s="43" t="str">
        <f aca="false">IF(AND(Tasks[[#This Row],[_IsLeaf]]=1,CurrentSprint&lt;&gt;"",Tasks[[#This Row],[Sprint]]=CurrentSprint),Tasks[[#This Row],[_Row]],"")</f>
        <v/>
      </c>
    </row>
    <row r="165" customFormat="false" ht="15" hidden="false" customHeight="false" outlineLevel="0" collapsed="false">
      <c r="A165" s="28" t="str">
        <f aca="false">IF(Tasks[[#This Row],[Task Name]]="","",COUNTA(Tasks[[#Headers],[Task Name]]:Tasks[[#This Row],[Task Name]])-1)</f>
        <v/>
      </c>
      <c r="B165" s="29" t="n">
        <v>160</v>
      </c>
      <c r="C16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65" s="29"/>
      <c r="E165" s="30"/>
      <c r="F165" s="29"/>
      <c r="G165" s="29"/>
      <c r="H165" s="29"/>
      <c r="I165" s="29"/>
      <c r="J165" s="29"/>
      <c r="K165" s="29"/>
      <c r="L165" s="29"/>
      <c r="M165" s="29"/>
      <c r="N165" s="72"/>
      <c r="O165" s="72"/>
      <c r="P165" s="25" t="str">
        <f aca="false">IF(Tasks[[#This Row],[Task Name]]="","",IF(N(Tasks[[#This Row],[Baseline Start]])&gt;0,Tasks[[#This Row],[Baseline Start]],Tasks[[#This Row],[_CalcStart]]))</f>
        <v/>
      </c>
      <c r="Q165" s="25" t="str">
        <f aca="false">IF(Tasks[[#This Row],[Task Name]]="","",IF(N(Tasks[[#This Row],[Baseline Finish]])&gt;0,Tasks[[#This Row],[Baseline Finish]],Tasks[[#This Row],[_CalcFinish]]))</f>
        <v/>
      </c>
      <c r="R165" s="72"/>
      <c r="S165" s="72"/>
      <c r="T16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6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6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6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6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6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6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6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6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6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6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65" s="74"/>
      <c r="AF16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6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65" s="30"/>
      <c r="AI165" s="74"/>
      <c r="AJ16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6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65" s="83"/>
      <c r="AM165" s="29"/>
      <c r="AN16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65" s="84"/>
      <c r="AP16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65" s="30"/>
      <c r="AR165" s="25" t="str">
        <f aca="false">IF(Tasks[[#This Row],[Task Name]]="","",Tasks[[#This Row],[Forecast Start]])</f>
        <v/>
      </c>
      <c r="AS165" s="25" t="str">
        <f aca="false">IF(Tasks[[#This Row],[Task Name]]="","",Tasks[[#This Row],[Forecast Finish]])</f>
        <v/>
      </c>
      <c r="AT16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65" s="81" t="str">
        <f aca="false">IF(Tasks[[#This Row],[Task Name]]="","",Tasks[[#This Row],[Work]])</f>
        <v/>
      </c>
      <c r="AV165" s="82" t="str">
        <f aca="false">IF(Tasks[[#This Row],[Task Name]]="","",Tasks[[#This Row],[Cost]])</f>
        <v/>
      </c>
      <c r="AW165" s="72"/>
      <c r="AX165" s="72"/>
      <c r="AY165" s="29"/>
      <c r="AZ165" s="85"/>
      <c r="BA165" s="83"/>
      <c r="BB165" s="28" t="str">
        <f aca="false">IF(OR(Tasks[[#This Row],[Task Name]]="",Tasks[[#This Row],[Baseline Duration]]=""),"",Tasks[[#This Row],[BL Source Duration]]-N(Tasks[[#This Row],[Baseline Duration]]))</f>
        <v/>
      </c>
      <c r="BC165" s="81" t="str">
        <f aca="false">IF(OR(Tasks[[#This Row],[Task Name]]="",Tasks[[#This Row],[Baseline Work]]=""),"",Tasks[[#This Row],[Work]]-N(Tasks[[#This Row],[Baseline Work]]))</f>
        <v/>
      </c>
      <c r="BD165" s="82" t="str">
        <f aca="false">IF(OR(Tasks[[#This Row],[Task Name]]="",Tasks[[#This Row],[Baseline Cost]]=""),"",Tasks[[#This Row],[Cost]]-N(Tasks[[#This Row],[Baseline Cost]]))</f>
        <v/>
      </c>
      <c r="BE16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6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6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6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65" s="43" t="str">
        <f aca="false">IF(Tasks[[#This Row],[Task Name]]="","",MAX(1,N(Tasks[[#This Row],[Level]])))</f>
        <v/>
      </c>
      <c r="BJ165" s="43" t="n">
        <f aca="false">ROW()-ROW(Tasks[[#Headers],[ID]])</f>
        <v>160</v>
      </c>
      <c r="BK16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65" s="43" t="n">
        <f aca="false">IFERROR(N(INDEX(Tasks[_Level],Tasks[[#This Row],[_Row]]+1)),0)</f>
        <v>0</v>
      </c>
      <c r="BM165" s="86" t="b">
        <f aca="false">AND(Tasks[[#This Row],[Task Name]]&lt;&gt;"",Tasks[[#This Row],[_NextLevel]]&gt;Tasks[[#This Row],[_Level]])</f>
        <v>0</v>
      </c>
      <c r="BN165" s="43" t="n">
        <f aca="false">IF(Tasks[[#This Row],[_IsSummary]],COUNTIF(Tasks[WBS],Tasks[[#This Row],[WBS]]&amp;".*"),0)</f>
        <v>0</v>
      </c>
      <c r="BO165" s="43" t="n">
        <f aca="false">IF(AND(Tasks[[#This Row],[Task Name]]&lt;&gt;"",NOT(Tasks[[#This Row],[_IsSummary]])),1,0)</f>
        <v>0</v>
      </c>
      <c r="BP165" s="43" t="n">
        <f aca="false">IF(N(Tasks[[#This Row],[Pred1 UID]])=0,0,IFERROR(MATCH(Tasks[[#This Row],[Pred1 UID]],Tasks[UID],0),-1))</f>
        <v>0</v>
      </c>
      <c r="BQ165" s="43" t="n">
        <f aca="false">IF(N(Tasks[[#This Row],[Pred2 UID]])=0,0,IFERROR(MATCH(Tasks[[#This Row],[Pred2 UID]],Tasks[UID],0),-1))</f>
        <v>0</v>
      </c>
      <c r="BR16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6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6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6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65" s="43" t="n">
        <f aca="false">IF(NOT(Tasks[[#This Row],[_IsLeaf]]=1),0,IF(N(Tasks[[#This Row],[Actual Finish]])&gt;0,1,MIN(1,N(Tasks[[#This Row],[% Complete]]))))</f>
        <v>0</v>
      </c>
      <c r="BW16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65" s="43" t="n">
        <f aca="false">IF(Tasks[[#This Row],[_LeafWork]]=0,0,Tasks[[#This Row],[_LeafWork]]*IFERROR(INDEX(res_Rate,MATCH(Tasks[[#This Row],[Resource]],res_Name,0)),0))</f>
        <v>0</v>
      </c>
      <c r="BY16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6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6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6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65" s="43" t="n">
        <f aca="false">IF(NOT(Tasks[[#This Row],[_IsLeaf]]=1),0,MAX(_xlfn.MAXIFS(Tasks[_Row],Tasks[Pred1 UID],Tasks[[#This Row],[UID]]),_xlfn.MAXIFS(Tasks[_Row],Tasks[Pred2 UID],Tasks[[#This Row],[UID]])))</f>
        <v>0</v>
      </c>
      <c r="CD16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65" s="87" t="str">
        <f aca="false">IF(NOT(Tasks[[#This Row],[_IsLeaf]]=1),"",MIN(ProjectFinish,IF(N(Tasks[[#This Row],[Deadline]])&gt;0,Tasks[[#This Row],[Deadline]],2958465),Tasks[[#This Row],[_SuccessorFinishLimit]]))</f>
        <v/>
      </c>
      <c r="CF16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6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65" s="86" t="b">
        <f aca="false">AND(Tasks[[#This Row],[_IsLeaf]]=1,Tasks[[#This Row],[_LeafProgress]]&lt;1,N(Tasks[[#This Row],[_LeafTotalSlack]])&lt;=CriticalSlackDays)</f>
        <v>0</v>
      </c>
      <c r="CI16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6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6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6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6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6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6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6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65" s="43" t="n">
        <f aca="false">IF(AND(Tasks[[#This Row],[_IsLeaf]]=1,Tasks[[#This Row],[_LeafWork]]&gt;0),NETWORKDAYS.INTL(ProjectStart,Tasks[[#This Row],[_LeafFcstStart]],WorkWeek,Holidays),0)</f>
        <v>0</v>
      </c>
      <c r="CR16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65" s="43" t="n">
        <f aca="false">IF(AND(Tasks[[#This Row],[_IsLeaf]]=1,Tasks[[#This Row],[_LeafWork]]&gt;0),Tasks[[#This Row],[_LeafWork]]/(Tasks[[#This Row],[_FinishWorkday]]-Tasks[[#This Row],[_StartWorkday]]+1),0)</f>
        <v>0</v>
      </c>
      <c r="CT165" s="43" t="n">
        <f aca="false">Tasks[[#This Row],[_WorkPerWorkday]]*(Tasks[[#This Row],[_StartWorkday]]-1)</f>
        <v>-0</v>
      </c>
      <c r="CU165" s="43" t="n">
        <f aca="false">IF(Tasks[[#This Row],[_IsLeaf]]=1,MAX(N(Tasks[[#This Row],[Duration]]),0.1),0)</f>
        <v>0</v>
      </c>
      <c r="CV165" s="43" t="n">
        <f aca="false">Tasks[[#This Row],[_WeightDur]]*Tasks[[#This Row],[_LeafProgress]]</f>
        <v>0</v>
      </c>
      <c r="CW16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6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6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6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6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65" s="43" t="str">
        <f aca="false">IF(AND(Tasks[[#This Row],[_IsLeaf]]=1,N(Tasks[[#This Row],[Duration]])=0,Tasks[[#This Row],[_LeafProgress]]&lt;1),Tasks[[#This Row],[_LeafFcstFinish]]+Tasks[[#This Row],[_Row]]/100000,"")</f>
        <v/>
      </c>
      <c r="DC16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65" s="43" t="n">
        <f aca="false">IF(NOT(Tasks[[#This Row],[_IsLeaf]]=1),0,IF(Tasks[[#This Row],[Baseline Cost]]="",Tasks[[#This Row],[_LeafCost]],N(Tasks[[#This Row],[Baseline Cost]])))</f>
        <v>0</v>
      </c>
      <c r="DE165" s="43" t="n">
        <f aca="false">Tasks[[#This Row],[_LeafBudget]]*Tasks[[#This Row],[_PlannedPct]]</f>
        <v>0</v>
      </c>
      <c r="DF165" s="43" t="n">
        <f aca="false">Tasks[[#This Row],[_LeafBudget]]*Tasks[[#This Row],[_LeafProgress]]</f>
        <v>0</v>
      </c>
      <c r="DG165" s="43" t="n">
        <f aca="false">IF(NOT(Tasks[[#This Row],[_IsLeaf]]=1),0,IF(Tasks[[#This Row],[Actual Cost]]="",Tasks[[#This Row],[_LeafCost]]*Tasks[[#This Row],[_LeafProgress]],N(Tasks[[#This Row],[Actual Cost]])))</f>
        <v>0</v>
      </c>
      <c r="DH165" s="43" t="str">
        <f aca="false">IF(Tasks[[#This Row],[Task Name]]="","",LEFT(Tasks[[#This Row],[WBS]],FIND(".",Tasks[[#This Row],[WBS]]&amp;".")-1))</f>
        <v/>
      </c>
      <c r="DI165" s="43" t="str">
        <f aca="false">IF(AND(Tasks[[#This Row],[Task Name]]&lt;&gt;"",Tasks[[#This Row],[_Level]]=1),Tasks[[#This Row],[_Row]],"")</f>
        <v/>
      </c>
      <c r="DJ165" s="43" t="str">
        <f aca="false">IF(AND(Tasks[[#This Row],[_IsLeaf]]=1,N(Tasks[[#This Row],[Duration]])=0),Tasks[[#This Row],[Planned Finish]]+Tasks[[#This Row],[_Row]]/100000,"")</f>
        <v/>
      </c>
      <c r="DK16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6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6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65" s="43" t="str">
        <f aca="false">IF(Tasks[[#This Row],[_LeafCritical]],Tasks[[#This Row],[_LeafFcstStart]]+Tasks[[#This Row],[_Row]]/100000,"")</f>
        <v/>
      </c>
      <c r="DO165" s="43" t="n">
        <f aca="false">Tasks[[#This Row],[_LeafWork]]*Tasks[[#This Row],[_LeafProgress]]</f>
        <v>0</v>
      </c>
      <c r="DP16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65" s="43" t="n">
        <f aca="false">IF(Tasks[[#This Row],[_IsLeaf]]=1,N(Tasks[[#This Row],[Story Points]]),0)</f>
        <v>0</v>
      </c>
      <c r="DR165" s="43" t="str">
        <f aca="false">IF(AND(Tasks[[#This Row],[_IsLeaf]]=1,CurrentSprint&lt;&gt;"",Tasks[[#This Row],[Sprint]]=CurrentSprint),Tasks[[#This Row],[_Row]],"")</f>
        <v/>
      </c>
    </row>
    <row r="166" customFormat="false" ht="15" hidden="false" customHeight="false" outlineLevel="0" collapsed="false">
      <c r="A166" s="28" t="str">
        <f aca="false">IF(Tasks[[#This Row],[Task Name]]="","",COUNTA(Tasks[[#Headers],[Task Name]]:Tasks[[#This Row],[Task Name]])-1)</f>
        <v/>
      </c>
      <c r="B166" s="29" t="n">
        <v>161</v>
      </c>
      <c r="C16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66" s="29"/>
      <c r="E166" s="30"/>
      <c r="F166" s="29"/>
      <c r="G166" s="29"/>
      <c r="H166" s="29"/>
      <c r="I166" s="29"/>
      <c r="J166" s="29"/>
      <c r="K166" s="29"/>
      <c r="L166" s="29"/>
      <c r="M166" s="29"/>
      <c r="N166" s="72"/>
      <c r="O166" s="72"/>
      <c r="P166" s="25" t="str">
        <f aca="false">IF(Tasks[[#This Row],[Task Name]]="","",IF(N(Tasks[[#This Row],[Baseline Start]])&gt;0,Tasks[[#This Row],[Baseline Start]],Tasks[[#This Row],[_CalcStart]]))</f>
        <v/>
      </c>
      <c r="Q166" s="25" t="str">
        <f aca="false">IF(Tasks[[#This Row],[Task Name]]="","",IF(N(Tasks[[#This Row],[Baseline Finish]])&gt;0,Tasks[[#This Row],[Baseline Finish]],Tasks[[#This Row],[_CalcFinish]]))</f>
        <v/>
      </c>
      <c r="R166" s="72"/>
      <c r="S166" s="72"/>
      <c r="T16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6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6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6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6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6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6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6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6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6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6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66" s="74"/>
      <c r="AF16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6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66" s="30"/>
      <c r="AI166" s="74"/>
      <c r="AJ16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6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66" s="83"/>
      <c r="AM166" s="29"/>
      <c r="AN16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66" s="84"/>
      <c r="AP16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66" s="30"/>
      <c r="AR166" s="25" t="str">
        <f aca="false">IF(Tasks[[#This Row],[Task Name]]="","",Tasks[[#This Row],[Forecast Start]])</f>
        <v/>
      </c>
      <c r="AS166" s="25" t="str">
        <f aca="false">IF(Tasks[[#This Row],[Task Name]]="","",Tasks[[#This Row],[Forecast Finish]])</f>
        <v/>
      </c>
      <c r="AT16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66" s="81" t="str">
        <f aca="false">IF(Tasks[[#This Row],[Task Name]]="","",Tasks[[#This Row],[Work]])</f>
        <v/>
      </c>
      <c r="AV166" s="82" t="str">
        <f aca="false">IF(Tasks[[#This Row],[Task Name]]="","",Tasks[[#This Row],[Cost]])</f>
        <v/>
      </c>
      <c r="AW166" s="72"/>
      <c r="AX166" s="72"/>
      <c r="AY166" s="29"/>
      <c r="AZ166" s="85"/>
      <c r="BA166" s="83"/>
      <c r="BB166" s="28" t="str">
        <f aca="false">IF(OR(Tasks[[#This Row],[Task Name]]="",Tasks[[#This Row],[Baseline Duration]]=""),"",Tasks[[#This Row],[BL Source Duration]]-N(Tasks[[#This Row],[Baseline Duration]]))</f>
        <v/>
      </c>
      <c r="BC166" s="81" t="str">
        <f aca="false">IF(OR(Tasks[[#This Row],[Task Name]]="",Tasks[[#This Row],[Baseline Work]]=""),"",Tasks[[#This Row],[Work]]-N(Tasks[[#This Row],[Baseline Work]]))</f>
        <v/>
      </c>
      <c r="BD166" s="82" t="str">
        <f aca="false">IF(OR(Tasks[[#This Row],[Task Name]]="",Tasks[[#This Row],[Baseline Cost]]=""),"",Tasks[[#This Row],[Cost]]-N(Tasks[[#This Row],[Baseline Cost]]))</f>
        <v/>
      </c>
      <c r="BE16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6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6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6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66" s="43" t="str">
        <f aca="false">IF(Tasks[[#This Row],[Task Name]]="","",MAX(1,N(Tasks[[#This Row],[Level]])))</f>
        <v/>
      </c>
      <c r="BJ166" s="43" t="n">
        <f aca="false">ROW()-ROW(Tasks[[#Headers],[ID]])</f>
        <v>161</v>
      </c>
      <c r="BK16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66" s="43" t="n">
        <f aca="false">IFERROR(N(INDEX(Tasks[_Level],Tasks[[#This Row],[_Row]]+1)),0)</f>
        <v>0</v>
      </c>
      <c r="BM166" s="86" t="b">
        <f aca="false">AND(Tasks[[#This Row],[Task Name]]&lt;&gt;"",Tasks[[#This Row],[_NextLevel]]&gt;Tasks[[#This Row],[_Level]])</f>
        <v>0</v>
      </c>
      <c r="BN166" s="43" t="n">
        <f aca="false">IF(Tasks[[#This Row],[_IsSummary]],COUNTIF(Tasks[WBS],Tasks[[#This Row],[WBS]]&amp;".*"),0)</f>
        <v>0</v>
      </c>
      <c r="BO166" s="43" t="n">
        <f aca="false">IF(AND(Tasks[[#This Row],[Task Name]]&lt;&gt;"",NOT(Tasks[[#This Row],[_IsSummary]])),1,0)</f>
        <v>0</v>
      </c>
      <c r="BP166" s="43" t="n">
        <f aca="false">IF(N(Tasks[[#This Row],[Pred1 UID]])=0,0,IFERROR(MATCH(Tasks[[#This Row],[Pred1 UID]],Tasks[UID],0),-1))</f>
        <v>0</v>
      </c>
      <c r="BQ166" s="43" t="n">
        <f aca="false">IF(N(Tasks[[#This Row],[Pred2 UID]])=0,0,IFERROR(MATCH(Tasks[[#This Row],[Pred2 UID]],Tasks[UID],0),-1))</f>
        <v>0</v>
      </c>
      <c r="BR16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6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6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6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66" s="43" t="n">
        <f aca="false">IF(NOT(Tasks[[#This Row],[_IsLeaf]]=1),0,IF(N(Tasks[[#This Row],[Actual Finish]])&gt;0,1,MIN(1,N(Tasks[[#This Row],[% Complete]]))))</f>
        <v>0</v>
      </c>
      <c r="BW16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66" s="43" t="n">
        <f aca="false">IF(Tasks[[#This Row],[_LeafWork]]=0,0,Tasks[[#This Row],[_LeafWork]]*IFERROR(INDEX(res_Rate,MATCH(Tasks[[#This Row],[Resource]],res_Name,0)),0))</f>
        <v>0</v>
      </c>
      <c r="BY16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6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6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6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66" s="43" t="n">
        <f aca="false">IF(NOT(Tasks[[#This Row],[_IsLeaf]]=1),0,MAX(_xlfn.MAXIFS(Tasks[_Row],Tasks[Pred1 UID],Tasks[[#This Row],[UID]]),_xlfn.MAXIFS(Tasks[_Row],Tasks[Pred2 UID],Tasks[[#This Row],[UID]])))</f>
        <v>0</v>
      </c>
      <c r="CD16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66" s="87" t="str">
        <f aca="false">IF(NOT(Tasks[[#This Row],[_IsLeaf]]=1),"",MIN(ProjectFinish,IF(N(Tasks[[#This Row],[Deadline]])&gt;0,Tasks[[#This Row],[Deadline]],2958465),Tasks[[#This Row],[_SuccessorFinishLimit]]))</f>
        <v/>
      </c>
      <c r="CF16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6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66" s="86" t="b">
        <f aca="false">AND(Tasks[[#This Row],[_IsLeaf]]=1,Tasks[[#This Row],[_LeafProgress]]&lt;1,N(Tasks[[#This Row],[_LeafTotalSlack]])&lt;=CriticalSlackDays)</f>
        <v>0</v>
      </c>
      <c r="CI16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6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6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6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6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6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6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6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66" s="43" t="n">
        <f aca="false">IF(AND(Tasks[[#This Row],[_IsLeaf]]=1,Tasks[[#This Row],[_LeafWork]]&gt;0),NETWORKDAYS.INTL(ProjectStart,Tasks[[#This Row],[_LeafFcstStart]],WorkWeek,Holidays),0)</f>
        <v>0</v>
      </c>
      <c r="CR16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66" s="43" t="n">
        <f aca="false">IF(AND(Tasks[[#This Row],[_IsLeaf]]=1,Tasks[[#This Row],[_LeafWork]]&gt;0),Tasks[[#This Row],[_LeafWork]]/(Tasks[[#This Row],[_FinishWorkday]]-Tasks[[#This Row],[_StartWorkday]]+1),0)</f>
        <v>0</v>
      </c>
      <c r="CT166" s="43" t="n">
        <f aca="false">Tasks[[#This Row],[_WorkPerWorkday]]*(Tasks[[#This Row],[_StartWorkday]]-1)</f>
        <v>-0</v>
      </c>
      <c r="CU166" s="43" t="n">
        <f aca="false">IF(Tasks[[#This Row],[_IsLeaf]]=1,MAX(N(Tasks[[#This Row],[Duration]]),0.1),0)</f>
        <v>0</v>
      </c>
      <c r="CV166" s="43" t="n">
        <f aca="false">Tasks[[#This Row],[_WeightDur]]*Tasks[[#This Row],[_LeafProgress]]</f>
        <v>0</v>
      </c>
      <c r="CW16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6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6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6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6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66" s="43" t="str">
        <f aca="false">IF(AND(Tasks[[#This Row],[_IsLeaf]]=1,N(Tasks[[#This Row],[Duration]])=0,Tasks[[#This Row],[_LeafProgress]]&lt;1),Tasks[[#This Row],[_LeafFcstFinish]]+Tasks[[#This Row],[_Row]]/100000,"")</f>
        <v/>
      </c>
      <c r="DC16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66" s="43" t="n">
        <f aca="false">IF(NOT(Tasks[[#This Row],[_IsLeaf]]=1),0,IF(Tasks[[#This Row],[Baseline Cost]]="",Tasks[[#This Row],[_LeafCost]],N(Tasks[[#This Row],[Baseline Cost]])))</f>
        <v>0</v>
      </c>
      <c r="DE166" s="43" t="n">
        <f aca="false">Tasks[[#This Row],[_LeafBudget]]*Tasks[[#This Row],[_PlannedPct]]</f>
        <v>0</v>
      </c>
      <c r="DF166" s="43" t="n">
        <f aca="false">Tasks[[#This Row],[_LeafBudget]]*Tasks[[#This Row],[_LeafProgress]]</f>
        <v>0</v>
      </c>
      <c r="DG166" s="43" t="n">
        <f aca="false">IF(NOT(Tasks[[#This Row],[_IsLeaf]]=1),0,IF(Tasks[[#This Row],[Actual Cost]]="",Tasks[[#This Row],[_LeafCost]]*Tasks[[#This Row],[_LeafProgress]],N(Tasks[[#This Row],[Actual Cost]])))</f>
        <v>0</v>
      </c>
      <c r="DH166" s="43" t="str">
        <f aca="false">IF(Tasks[[#This Row],[Task Name]]="","",LEFT(Tasks[[#This Row],[WBS]],FIND(".",Tasks[[#This Row],[WBS]]&amp;".")-1))</f>
        <v/>
      </c>
      <c r="DI166" s="43" t="str">
        <f aca="false">IF(AND(Tasks[[#This Row],[Task Name]]&lt;&gt;"",Tasks[[#This Row],[_Level]]=1),Tasks[[#This Row],[_Row]],"")</f>
        <v/>
      </c>
      <c r="DJ166" s="43" t="str">
        <f aca="false">IF(AND(Tasks[[#This Row],[_IsLeaf]]=1,N(Tasks[[#This Row],[Duration]])=0),Tasks[[#This Row],[Planned Finish]]+Tasks[[#This Row],[_Row]]/100000,"")</f>
        <v/>
      </c>
      <c r="DK16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6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6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66" s="43" t="str">
        <f aca="false">IF(Tasks[[#This Row],[_LeafCritical]],Tasks[[#This Row],[_LeafFcstStart]]+Tasks[[#This Row],[_Row]]/100000,"")</f>
        <v/>
      </c>
      <c r="DO166" s="43" t="n">
        <f aca="false">Tasks[[#This Row],[_LeafWork]]*Tasks[[#This Row],[_LeafProgress]]</f>
        <v>0</v>
      </c>
      <c r="DP16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66" s="43" t="n">
        <f aca="false">IF(Tasks[[#This Row],[_IsLeaf]]=1,N(Tasks[[#This Row],[Story Points]]),0)</f>
        <v>0</v>
      </c>
      <c r="DR166" s="43" t="str">
        <f aca="false">IF(AND(Tasks[[#This Row],[_IsLeaf]]=1,CurrentSprint&lt;&gt;"",Tasks[[#This Row],[Sprint]]=CurrentSprint),Tasks[[#This Row],[_Row]],"")</f>
        <v/>
      </c>
    </row>
    <row r="167" customFormat="false" ht="15" hidden="false" customHeight="false" outlineLevel="0" collapsed="false">
      <c r="A167" s="28" t="str">
        <f aca="false">IF(Tasks[[#This Row],[Task Name]]="","",COUNTA(Tasks[[#Headers],[Task Name]]:Tasks[[#This Row],[Task Name]])-1)</f>
        <v/>
      </c>
      <c r="B167" s="29" t="n">
        <v>162</v>
      </c>
      <c r="C16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67" s="29"/>
      <c r="E167" s="30"/>
      <c r="F167" s="29"/>
      <c r="G167" s="29"/>
      <c r="H167" s="29"/>
      <c r="I167" s="29"/>
      <c r="J167" s="29"/>
      <c r="K167" s="29"/>
      <c r="L167" s="29"/>
      <c r="M167" s="29"/>
      <c r="N167" s="72"/>
      <c r="O167" s="72"/>
      <c r="P167" s="25" t="str">
        <f aca="false">IF(Tasks[[#This Row],[Task Name]]="","",IF(N(Tasks[[#This Row],[Baseline Start]])&gt;0,Tasks[[#This Row],[Baseline Start]],Tasks[[#This Row],[_CalcStart]]))</f>
        <v/>
      </c>
      <c r="Q167" s="25" t="str">
        <f aca="false">IF(Tasks[[#This Row],[Task Name]]="","",IF(N(Tasks[[#This Row],[Baseline Finish]])&gt;0,Tasks[[#This Row],[Baseline Finish]],Tasks[[#This Row],[_CalcFinish]]))</f>
        <v/>
      </c>
      <c r="R167" s="72"/>
      <c r="S167" s="72"/>
      <c r="T16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6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6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6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6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6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6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6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6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6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6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67" s="74"/>
      <c r="AF16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6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67" s="30"/>
      <c r="AI167" s="74"/>
      <c r="AJ16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6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67" s="83"/>
      <c r="AM167" s="29"/>
      <c r="AN16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67" s="84"/>
      <c r="AP16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67" s="30"/>
      <c r="AR167" s="25" t="str">
        <f aca="false">IF(Tasks[[#This Row],[Task Name]]="","",Tasks[[#This Row],[Forecast Start]])</f>
        <v/>
      </c>
      <c r="AS167" s="25" t="str">
        <f aca="false">IF(Tasks[[#This Row],[Task Name]]="","",Tasks[[#This Row],[Forecast Finish]])</f>
        <v/>
      </c>
      <c r="AT16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67" s="81" t="str">
        <f aca="false">IF(Tasks[[#This Row],[Task Name]]="","",Tasks[[#This Row],[Work]])</f>
        <v/>
      </c>
      <c r="AV167" s="82" t="str">
        <f aca="false">IF(Tasks[[#This Row],[Task Name]]="","",Tasks[[#This Row],[Cost]])</f>
        <v/>
      </c>
      <c r="AW167" s="72"/>
      <c r="AX167" s="72"/>
      <c r="AY167" s="29"/>
      <c r="AZ167" s="85"/>
      <c r="BA167" s="83"/>
      <c r="BB167" s="28" t="str">
        <f aca="false">IF(OR(Tasks[[#This Row],[Task Name]]="",Tasks[[#This Row],[Baseline Duration]]=""),"",Tasks[[#This Row],[BL Source Duration]]-N(Tasks[[#This Row],[Baseline Duration]]))</f>
        <v/>
      </c>
      <c r="BC167" s="81" t="str">
        <f aca="false">IF(OR(Tasks[[#This Row],[Task Name]]="",Tasks[[#This Row],[Baseline Work]]=""),"",Tasks[[#This Row],[Work]]-N(Tasks[[#This Row],[Baseline Work]]))</f>
        <v/>
      </c>
      <c r="BD167" s="82" t="str">
        <f aca="false">IF(OR(Tasks[[#This Row],[Task Name]]="",Tasks[[#This Row],[Baseline Cost]]=""),"",Tasks[[#This Row],[Cost]]-N(Tasks[[#This Row],[Baseline Cost]]))</f>
        <v/>
      </c>
      <c r="BE16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6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6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6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67" s="43" t="str">
        <f aca="false">IF(Tasks[[#This Row],[Task Name]]="","",MAX(1,N(Tasks[[#This Row],[Level]])))</f>
        <v/>
      </c>
      <c r="BJ167" s="43" t="n">
        <f aca="false">ROW()-ROW(Tasks[[#Headers],[ID]])</f>
        <v>162</v>
      </c>
      <c r="BK16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67" s="43" t="n">
        <f aca="false">IFERROR(N(INDEX(Tasks[_Level],Tasks[[#This Row],[_Row]]+1)),0)</f>
        <v>0</v>
      </c>
      <c r="BM167" s="86" t="b">
        <f aca="false">AND(Tasks[[#This Row],[Task Name]]&lt;&gt;"",Tasks[[#This Row],[_NextLevel]]&gt;Tasks[[#This Row],[_Level]])</f>
        <v>0</v>
      </c>
      <c r="BN167" s="43" t="n">
        <f aca="false">IF(Tasks[[#This Row],[_IsSummary]],COUNTIF(Tasks[WBS],Tasks[[#This Row],[WBS]]&amp;".*"),0)</f>
        <v>0</v>
      </c>
      <c r="BO167" s="43" t="n">
        <f aca="false">IF(AND(Tasks[[#This Row],[Task Name]]&lt;&gt;"",NOT(Tasks[[#This Row],[_IsSummary]])),1,0)</f>
        <v>0</v>
      </c>
      <c r="BP167" s="43" t="n">
        <f aca="false">IF(N(Tasks[[#This Row],[Pred1 UID]])=0,0,IFERROR(MATCH(Tasks[[#This Row],[Pred1 UID]],Tasks[UID],0),-1))</f>
        <v>0</v>
      </c>
      <c r="BQ167" s="43" t="n">
        <f aca="false">IF(N(Tasks[[#This Row],[Pred2 UID]])=0,0,IFERROR(MATCH(Tasks[[#This Row],[Pred2 UID]],Tasks[UID],0),-1))</f>
        <v>0</v>
      </c>
      <c r="BR16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6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6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6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67" s="43" t="n">
        <f aca="false">IF(NOT(Tasks[[#This Row],[_IsLeaf]]=1),0,IF(N(Tasks[[#This Row],[Actual Finish]])&gt;0,1,MIN(1,N(Tasks[[#This Row],[% Complete]]))))</f>
        <v>0</v>
      </c>
      <c r="BW16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67" s="43" t="n">
        <f aca="false">IF(Tasks[[#This Row],[_LeafWork]]=0,0,Tasks[[#This Row],[_LeafWork]]*IFERROR(INDEX(res_Rate,MATCH(Tasks[[#This Row],[Resource]],res_Name,0)),0))</f>
        <v>0</v>
      </c>
      <c r="BY16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6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6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6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67" s="43" t="n">
        <f aca="false">IF(NOT(Tasks[[#This Row],[_IsLeaf]]=1),0,MAX(_xlfn.MAXIFS(Tasks[_Row],Tasks[Pred1 UID],Tasks[[#This Row],[UID]]),_xlfn.MAXIFS(Tasks[_Row],Tasks[Pred2 UID],Tasks[[#This Row],[UID]])))</f>
        <v>0</v>
      </c>
      <c r="CD16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67" s="87" t="str">
        <f aca="false">IF(NOT(Tasks[[#This Row],[_IsLeaf]]=1),"",MIN(ProjectFinish,IF(N(Tasks[[#This Row],[Deadline]])&gt;0,Tasks[[#This Row],[Deadline]],2958465),Tasks[[#This Row],[_SuccessorFinishLimit]]))</f>
        <v/>
      </c>
      <c r="CF16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6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67" s="86" t="b">
        <f aca="false">AND(Tasks[[#This Row],[_IsLeaf]]=1,Tasks[[#This Row],[_LeafProgress]]&lt;1,N(Tasks[[#This Row],[_LeafTotalSlack]])&lt;=CriticalSlackDays)</f>
        <v>0</v>
      </c>
      <c r="CI16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6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6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6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6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6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6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6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67" s="43" t="n">
        <f aca="false">IF(AND(Tasks[[#This Row],[_IsLeaf]]=1,Tasks[[#This Row],[_LeafWork]]&gt;0),NETWORKDAYS.INTL(ProjectStart,Tasks[[#This Row],[_LeafFcstStart]],WorkWeek,Holidays),0)</f>
        <v>0</v>
      </c>
      <c r="CR16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67" s="43" t="n">
        <f aca="false">IF(AND(Tasks[[#This Row],[_IsLeaf]]=1,Tasks[[#This Row],[_LeafWork]]&gt;0),Tasks[[#This Row],[_LeafWork]]/(Tasks[[#This Row],[_FinishWorkday]]-Tasks[[#This Row],[_StartWorkday]]+1),0)</f>
        <v>0</v>
      </c>
      <c r="CT167" s="43" t="n">
        <f aca="false">Tasks[[#This Row],[_WorkPerWorkday]]*(Tasks[[#This Row],[_StartWorkday]]-1)</f>
        <v>-0</v>
      </c>
      <c r="CU167" s="43" t="n">
        <f aca="false">IF(Tasks[[#This Row],[_IsLeaf]]=1,MAX(N(Tasks[[#This Row],[Duration]]),0.1),0)</f>
        <v>0</v>
      </c>
      <c r="CV167" s="43" t="n">
        <f aca="false">Tasks[[#This Row],[_WeightDur]]*Tasks[[#This Row],[_LeafProgress]]</f>
        <v>0</v>
      </c>
      <c r="CW16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6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6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6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6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67" s="43" t="str">
        <f aca="false">IF(AND(Tasks[[#This Row],[_IsLeaf]]=1,N(Tasks[[#This Row],[Duration]])=0,Tasks[[#This Row],[_LeafProgress]]&lt;1),Tasks[[#This Row],[_LeafFcstFinish]]+Tasks[[#This Row],[_Row]]/100000,"")</f>
        <v/>
      </c>
      <c r="DC16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67" s="43" t="n">
        <f aca="false">IF(NOT(Tasks[[#This Row],[_IsLeaf]]=1),0,IF(Tasks[[#This Row],[Baseline Cost]]="",Tasks[[#This Row],[_LeafCost]],N(Tasks[[#This Row],[Baseline Cost]])))</f>
        <v>0</v>
      </c>
      <c r="DE167" s="43" t="n">
        <f aca="false">Tasks[[#This Row],[_LeafBudget]]*Tasks[[#This Row],[_PlannedPct]]</f>
        <v>0</v>
      </c>
      <c r="DF167" s="43" t="n">
        <f aca="false">Tasks[[#This Row],[_LeafBudget]]*Tasks[[#This Row],[_LeafProgress]]</f>
        <v>0</v>
      </c>
      <c r="DG167" s="43" t="n">
        <f aca="false">IF(NOT(Tasks[[#This Row],[_IsLeaf]]=1),0,IF(Tasks[[#This Row],[Actual Cost]]="",Tasks[[#This Row],[_LeafCost]]*Tasks[[#This Row],[_LeafProgress]],N(Tasks[[#This Row],[Actual Cost]])))</f>
        <v>0</v>
      </c>
      <c r="DH167" s="43" t="str">
        <f aca="false">IF(Tasks[[#This Row],[Task Name]]="","",LEFT(Tasks[[#This Row],[WBS]],FIND(".",Tasks[[#This Row],[WBS]]&amp;".")-1))</f>
        <v/>
      </c>
      <c r="DI167" s="43" t="str">
        <f aca="false">IF(AND(Tasks[[#This Row],[Task Name]]&lt;&gt;"",Tasks[[#This Row],[_Level]]=1),Tasks[[#This Row],[_Row]],"")</f>
        <v/>
      </c>
      <c r="DJ167" s="43" t="str">
        <f aca="false">IF(AND(Tasks[[#This Row],[_IsLeaf]]=1,N(Tasks[[#This Row],[Duration]])=0),Tasks[[#This Row],[Planned Finish]]+Tasks[[#This Row],[_Row]]/100000,"")</f>
        <v/>
      </c>
      <c r="DK16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6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6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67" s="43" t="str">
        <f aca="false">IF(Tasks[[#This Row],[_LeafCritical]],Tasks[[#This Row],[_LeafFcstStart]]+Tasks[[#This Row],[_Row]]/100000,"")</f>
        <v/>
      </c>
      <c r="DO167" s="43" t="n">
        <f aca="false">Tasks[[#This Row],[_LeafWork]]*Tasks[[#This Row],[_LeafProgress]]</f>
        <v>0</v>
      </c>
      <c r="DP16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67" s="43" t="n">
        <f aca="false">IF(Tasks[[#This Row],[_IsLeaf]]=1,N(Tasks[[#This Row],[Story Points]]),0)</f>
        <v>0</v>
      </c>
      <c r="DR167" s="43" t="str">
        <f aca="false">IF(AND(Tasks[[#This Row],[_IsLeaf]]=1,CurrentSprint&lt;&gt;"",Tasks[[#This Row],[Sprint]]=CurrentSprint),Tasks[[#This Row],[_Row]],"")</f>
        <v/>
      </c>
    </row>
    <row r="168" customFormat="false" ht="15" hidden="false" customHeight="false" outlineLevel="0" collapsed="false">
      <c r="A168" s="28" t="str">
        <f aca="false">IF(Tasks[[#This Row],[Task Name]]="","",COUNTA(Tasks[[#Headers],[Task Name]]:Tasks[[#This Row],[Task Name]])-1)</f>
        <v/>
      </c>
      <c r="B168" s="29" t="n">
        <v>163</v>
      </c>
      <c r="C16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68" s="29"/>
      <c r="E168" s="30"/>
      <c r="F168" s="29"/>
      <c r="G168" s="29"/>
      <c r="H168" s="29"/>
      <c r="I168" s="29"/>
      <c r="J168" s="29"/>
      <c r="K168" s="29"/>
      <c r="L168" s="29"/>
      <c r="M168" s="29"/>
      <c r="N168" s="72"/>
      <c r="O168" s="72"/>
      <c r="P168" s="25" t="str">
        <f aca="false">IF(Tasks[[#This Row],[Task Name]]="","",IF(N(Tasks[[#This Row],[Baseline Start]])&gt;0,Tasks[[#This Row],[Baseline Start]],Tasks[[#This Row],[_CalcStart]]))</f>
        <v/>
      </c>
      <c r="Q168" s="25" t="str">
        <f aca="false">IF(Tasks[[#This Row],[Task Name]]="","",IF(N(Tasks[[#This Row],[Baseline Finish]])&gt;0,Tasks[[#This Row],[Baseline Finish]],Tasks[[#This Row],[_CalcFinish]]))</f>
        <v/>
      </c>
      <c r="R168" s="72"/>
      <c r="S168" s="72"/>
      <c r="T16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6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6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6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6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6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6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6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6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6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6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68" s="74"/>
      <c r="AF16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6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68" s="30"/>
      <c r="AI168" s="74"/>
      <c r="AJ16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6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68" s="83"/>
      <c r="AM168" s="29"/>
      <c r="AN16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68" s="84"/>
      <c r="AP16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68" s="30"/>
      <c r="AR168" s="25" t="str">
        <f aca="false">IF(Tasks[[#This Row],[Task Name]]="","",Tasks[[#This Row],[Forecast Start]])</f>
        <v/>
      </c>
      <c r="AS168" s="25" t="str">
        <f aca="false">IF(Tasks[[#This Row],[Task Name]]="","",Tasks[[#This Row],[Forecast Finish]])</f>
        <v/>
      </c>
      <c r="AT16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68" s="81" t="str">
        <f aca="false">IF(Tasks[[#This Row],[Task Name]]="","",Tasks[[#This Row],[Work]])</f>
        <v/>
      </c>
      <c r="AV168" s="82" t="str">
        <f aca="false">IF(Tasks[[#This Row],[Task Name]]="","",Tasks[[#This Row],[Cost]])</f>
        <v/>
      </c>
      <c r="AW168" s="72"/>
      <c r="AX168" s="72"/>
      <c r="AY168" s="29"/>
      <c r="AZ168" s="85"/>
      <c r="BA168" s="83"/>
      <c r="BB168" s="28" t="str">
        <f aca="false">IF(OR(Tasks[[#This Row],[Task Name]]="",Tasks[[#This Row],[Baseline Duration]]=""),"",Tasks[[#This Row],[BL Source Duration]]-N(Tasks[[#This Row],[Baseline Duration]]))</f>
        <v/>
      </c>
      <c r="BC168" s="81" t="str">
        <f aca="false">IF(OR(Tasks[[#This Row],[Task Name]]="",Tasks[[#This Row],[Baseline Work]]=""),"",Tasks[[#This Row],[Work]]-N(Tasks[[#This Row],[Baseline Work]]))</f>
        <v/>
      </c>
      <c r="BD168" s="82" t="str">
        <f aca="false">IF(OR(Tasks[[#This Row],[Task Name]]="",Tasks[[#This Row],[Baseline Cost]]=""),"",Tasks[[#This Row],[Cost]]-N(Tasks[[#This Row],[Baseline Cost]]))</f>
        <v/>
      </c>
      <c r="BE16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6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6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6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68" s="43" t="str">
        <f aca="false">IF(Tasks[[#This Row],[Task Name]]="","",MAX(1,N(Tasks[[#This Row],[Level]])))</f>
        <v/>
      </c>
      <c r="BJ168" s="43" t="n">
        <f aca="false">ROW()-ROW(Tasks[[#Headers],[ID]])</f>
        <v>163</v>
      </c>
      <c r="BK16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68" s="43" t="n">
        <f aca="false">IFERROR(N(INDEX(Tasks[_Level],Tasks[[#This Row],[_Row]]+1)),0)</f>
        <v>0</v>
      </c>
      <c r="BM168" s="86" t="b">
        <f aca="false">AND(Tasks[[#This Row],[Task Name]]&lt;&gt;"",Tasks[[#This Row],[_NextLevel]]&gt;Tasks[[#This Row],[_Level]])</f>
        <v>0</v>
      </c>
      <c r="BN168" s="43" t="n">
        <f aca="false">IF(Tasks[[#This Row],[_IsSummary]],COUNTIF(Tasks[WBS],Tasks[[#This Row],[WBS]]&amp;".*"),0)</f>
        <v>0</v>
      </c>
      <c r="BO168" s="43" t="n">
        <f aca="false">IF(AND(Tasks[[#This Row],[Task Name]]&lt;&gt;"",NOT(Tasks[[#This Row],[_IsSummary]])),1,0)</f>
        <v>0</v>
      </c>
      <c r="BP168" s="43" t="n">
        <f aca="false">IF(N(Tasks[[#This Row],[Pred1 UID]])=0,0,IFERROR(MATCH(Tasks[[#This Row],[Pred1 UID]],Tasks[UID],0),-1))</f>
        <v>0</v>
      </c>
      <c r="BQ168" s="43" t="n">
        <f aca="false">IF(N(Tasks[[#This Row],[Pred2 UID]])=0,0,IFERROR(MATCH(Tasks[[#This Row],[Pred2 UID]],Tasks[UID],0),-1))</f>
        <v>0</v>
      </c>
      <c r="BR16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6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6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6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68" s="43" t="n">
        <f aca="false">IF(NOT(Tasks[[#This Row],[_IsLeaf]]=1),0,IF(N(Tasks[[#This Row],[Actual Finish]])&gt;0,1,MIN(1,N(Tasks[[#This Row],[% Complete]]))))</f>
        <v>0</v>
      </c>
      <c r="BW16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68" s="43" t="n">
        <f aca="false">IF(Tasks[[#This Row],[_LeafWork]]=0,0,Tasks[[#This Row],[_LeafWork]]*IFERROR(INDEX(res_Rate,MATCH(Tasks[[#This Row],[Resource]],res_Name,0)),0))</f>
        <v>0</v>
      </c>
      <c r="BY16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6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6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6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68" s="43" t="n">
        <f aca="false">IF(NOT(Tasks[[#This Row],[_IsLeaf]]=1),0,MAX(_xlfn.MAXIFS(Tasks[_Row],Tasks[Pred1 UID],Tasks[[#This Row],[UID]]),_xlfn.MAXIFS(Tasks[_Row],Tasks[Pred2 UID],Tasks[[#This Row],[UID]])))</f>
        <v>0</v>
      </c>
      <c r="CD16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68" s="87" t="str">
        <f aca="false">IF(NOT(Tasks[[#This Row],[_IsLeaf]]=1),"",MIN(ProjectFinish,IF(N(Tasks[[#This Row],[Deadline]])&gt;0,Tasks[[#This Row],[Deadline]],2958465),Tasks[[#This Row],[_SuccessorFinishLimit]]))</f>
        <v/>
      </c>
      <c r="CF16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6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68" s="86" t="b">
        <f aca="false">AND(Tasks[[#This Row],[_IsLeaf]]=1,Tasks[[#This Row],[_LeafProgress]]&lt;1,N(Tasks[[#This Row],[_LeafTotalSlack]])&lt;=CriticalSlackDays)</f>
        <v>0</v>
      </c>
      <c r="CI16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6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6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6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6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6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6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6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68" s="43" t="n">
        <f aca="false">IF(AND(Tasks[[#This Row],[_IsLeaf]]=1,Tasks[[#This Row],[_LeafWork]]&gt;0),NETWORKDAYS.INTL(ProjectStart,Tasks[[#This Row],[_LeafFcstStart]],WorkWeek,Holidays),0)</f>
        <v>0</v>
      </c>
      <c r="CR16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68" s="43" t="n">
        <f aca="false">IF(AND(Tasks[[#This Row],[_IsLeaf]]=1,Tasks[[#This Row],[_LeafWork]]&gt;0),Tasks[[#This Row],[_LeafWork]]/(Tasks[[#This Row],[_FinishWorkday]]-Tasks[[#This Row],[_StartWorkday]]+1),0)</f>
        <v>0</v>
      </c>
      <c r="CT168" s="43" t="n">
        <f aca="false">Tasks[[#This Row],[_WorkPerWorkday]]*(Tasks[[#This Row],[_StartWorkday]]-1)</f>
        <v>-0</v>
      </c>
      <c r="CU168" s="43" t="n">
        <f aca="false">IF(Tasks[[#This Row],[_IsLeaf]]=1,MAX(N(Tasks[[#This Row],[Duration]]),0.1),0)</f>
        <v>0</v>
      </c>
      <c r="CV168" s="43" t="n">
        <f aca="false">Tasks[[#This Row],[_WeightDur]]*Tasks[[#This Row],[_LeafProgress]]</f>
        <v>0</v>
      </c>
      <c r="CW16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6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6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6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6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68" s="43" t="str">
        <f aca="false">IF(AND(Tasks[[#This Row],[_IsLeaf]]=1,N(Tasks[[#This Row],[Duration]])=0,Tasks[[#This Row],[_LeafProgress]]&lt;1),Tasks[[#This Row],[_LeafFcstFinish]]+Tasks[[#This Row],[_Row]]/100000,"")</f>
        <v/>
      </c>
      <c r="DC16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68" s="43" t="n">
        <f aca="false">IF(NOT(Tasks[[#This Row],[_IsLeaf]]=1),0,IF(Tasks[[#This Row],[Baseline Cost]]="",Tasks[[#This Row],[_LeafCost]],N(Tasks[[#This Row],[Baseline Cost]])))</f>
        <v>0</v>
      </c>
      <c r="DE168" s="43" t="n">
        <f aca="false">Tasks[[#This Row],[_LeafBudget]]*Tasks[[#This Row],[_PlannedPct]]</f>
        <v>0</v>
      </c>
      <c r="DF168" s="43" t="n">
        <f aca="false">Tasks[[#This Row],[_LeafBudget]]*Tasks[[#This Row],[_LeafProgress]]</f>
        <v>0</v>
      </c>
      <c r="DG168" s="43" t="n">
        <f aca="false">IF(NOT(Tasks[[#This Row],[_IsLeaf]]=1),0,IF(Tasks[[#This Row],[Actual Cost]]="",Tasks[[#This Row],[_LeafCost]]*Tasks[[#This Row],[_LeafProgress]],N(Tasks[[#This Row],[Actual Cost]])))</f>
        <v>0</v>
      </c>
      <c r="DH168" s="43" t="str">
        <f aca="false">IF(Tasks[[#This Row],[Task Name]]="","",LEFT(Tasks[[#This Row],[WBS]],FIND(".",Tasks[[#This Row],[WBS]]&amp;".")-1))</f>
        <v/>
      </c>
      <c r="DI168" s="43" t="str">
        <f aca="false">IF(AND(Tasks[[#This Row],[Task Name]]&lt;&gt;"",Tasks[[#This Row],[_Level]]=1),Tasks[[#This Row],[_Row]],"")</f>
        <v/>
      </c>
      <c r="DJ168" s="43" t="str">
        <f aca="false">IF(AND(Tasks[[#This Row],[_IsLeaf]]=1,N(Tasks[[#This Row],[Duration]])=0),Tasks[[#This Row],[Planned Finish]]+Tasks[[#This Row],[_Row]]/100000,"")</f>
        <v/>
      </c>
      <c r="DK16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6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6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68" s="43" t="str">
        <f aca="false">IF(Tasks[[#This Row],[_LeafCritical]],Tasks[[#This Row],[_LeafFcstStart]]+Tasks[[#This Row],[_Row]]/100000,"")</f>
        <v/>
      </c>
      <c r="DO168" s="43" t="n">
        <f aca="false">Tasks[[#This Row],[_LeafWork]]*Tasks[[#This Row],[_LeafProgress]]</f>
        <v>0</v>
      </c>
      <c r="DP16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68" s="43" t="n">
        <f aca="false">IF(Tasks[[#This Row],[_IsLeaf]]=1,N(Tasks[[#This Row],[Story Points]]),0)</f>
        <v>0</v>
      </c>
      <c r="DR168" s="43" t="str">
        <f aca="false">IF(AND(Tasks[[#This Row],[_IsLeaf]]=1,CurrentSprint&lt;&gt;"",Tasks[[#This Row],[Sprint]]=CurrentSprint),Tasks[[#This Row],[_Row]],"")</f>
        <v/>
      </c>
    </row>
    <row r="169" customFormat="false" ht="15" hidden="false" customHeight="false" outlineLevel="0" collapsed="false">
      <c r="A169" s="28" t="str">
        <f aca="false">IF(Tasks[[#This Row],[Task Name]]="","",COUNTA(Tasks[[#Headers],[Task Name]]:Tasks[[#This Row],[Task Name]])-1)</f>
        <v/>
      </c>
      <c r="B169" s="29" t="n">
        <v>164</v>
      </c>
      <c r="C16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69" s="29"/>
      <c r="E169" s="30"/>
      <c r="F169" s="29"/>
      <c r="G169" s="29"/>
      <c r="H169" s="29"/>
      <c r="I169" s="29"/>
      <c r="J169" s="29"/>
      <c r="K169" s="29"/>
      <c r="L169" s="29"/>
      <c r="M169" s="29"/>
      <c r="N169" s="72"/>
      <c r="O169" s="72"/>
      <c r="P169" s="25" t="str">
        <f aca="false">IF(Tasks[[#This Row],[Task Name]]="","",IF(N(Tasks[[#This Row],[Baseline Start]])&gt;0,Tasks[[#This Row],[Baseline Start]],Tasks[[#This Row],[_CalcStart]]))</f>
        <v/>
      </c>
      <c r="Q169" s="25" t="str">
        <f aca="false">IF(Tasks[[#This Row],[Task Name]]="","",IF(N(Tasks[[#This Row],[Baseline Finish]])&gt;0,Tasks[[#This Row],[Baseline Finish]],Tasks[[#This Row],[_CalcFinish]]))</f>
        <v/>
      </c>
      <c r="R169" s="72"/>
      <c r="S169" s="72"/>
      <c r="T16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6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6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6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6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6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6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6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6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6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6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69" s="74"/>
      <c r="AF16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6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69" s="30"/>
      <c r="AI169" s="74"/>
      <c r="AJ16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6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69" s="83"/>
      <c r="AM169" s="29"/>
      <c r="AN16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69" s="84"/>
      <c r="AP16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69" s="30"/>
      <c r="AR169" s="25" t="str">
        <f aca="false">IF(Tasks[[#This Row],[Task Name]]="","",Tasks[[#This Row],[Forecast Start]])</f>
        <v/>
      </c>
      <c r="AS169" s="25" t="str">
        <f aca="false">IF(Tasks[[#This Row],[Task Name]]="","",Tasks[[#This Row],[Forecast Finish]])</f>
        <v/>
      </c>
      <c r="AT16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69" s="81" t="str">
        <f aca="false">IF(Tasks[[#This Row],[Task Name]]="","",Tasks[[#This Row],[Work]])</f>
        <v/>
      </c>
      <c r="AV169" s="82" t="str">
        <f aca="false">IF(Tasks[[#This Row],[Task Name]]="","",Tasks[[#This Row],[Cost]])</f>
        <v/>
      </c>
      <c r="AW169" s="72"/>
      <c r="AX169" s="72"/>
      <c r="AY169" s="29"/>
      <c r="AZ169" s="85"/>
      <c r="BA169" s="83"/>
      <c r="BB169" s="28" t="str">
        <f aca="false">IF(OR(Tasks[[#This Row],[Task Name]]="",Tasks[[#This Row],[Baseline Duration]]=""),"",Tasks[[#This Row],[BL Source Duration]]-N(Tasks[[#This Row],[Baseline Duration]]))</f>
        <v/>
      </c>
      <c r="BC169" s="81" t="str">
        <f aca="false">IF(OR(Tasks[[#This Row],[Task Name]]="",Tasks[[#This Row],[Baseline Work]]=""),"",Tasks[[#This Row],[Work]]-N(Tasks[[#This Row],[Baseline Work]]))</f>
        <v/>
      </c>
      <c r="BD169" s="82" t="str">
        <f aca="false">IF(OR(Tasks[[#This Row],[Task Name]]="",Tasks[[#This Row],[Baseline Cost]]=""),"",Tasks[[#This Row],[Cost]]-N(Tasks[[#This Row],[Baseline Cost]]))</f>
        <v/>
      </c>
      <c r="BE16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6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6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6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69" s="43" t="str">
        <f aca="false">IF(Tasks[[#This Row],[Task Name]]="","",MAX(1,N(Tasks[[#This Row],[Level]])))</f>
        <v/>
      </c>
      <c r="BJ169" s="43" t="n">
        <f aca="false">ROW()-ROW(Tasks[[#Headers],[ID]])</f>
        <v>164</v>
      </c>
      <c r="BK16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69" s="43" t="n">
        <f aca="false">IFERROR(N(INDEX(Tasks[_Level],Tasks[[#This Row],[_Row]]+1)),0)</f>
        <v>0</v>
      </c>
      <c r="BM169" s="86" t="b">
        <f aca="false">AND(Tasks[[#This Row],[Task Name]]&lt;&gt;"",Tasks[[#This Row],[_NextLevel]]&gt;Tasks[[#This Row],[_Level]])</f>
        <v>0</v>
      </c>
      <c r="BN169" s="43" t="n">
        <f aca="false">IF(Tasks[[#This Row],[_IsSummary]],COUNTIF(Tasks[WBS],Tasks[[#This Row],[WBS]]&amp;".*"),0)</f>
        <v>0</v>
      </c>
      <c r="BO169" s="43" t="n">
        <f aca="false">IF(AND(Tasks[[#This Row],[Task Name]]&lt;&gt;"",NOT(Tasks[[#This Row],[_IsSummary]])),1,0)</f>
        <v>0</v>
      </c>
      <c r="BP169" s="43" t="n">
        <f aca="false">IF(N(Tasks[[#This Row],[Pred1 UID]])=0,0,IFERROR(MATCH(Tasks[[#This Row],[Pred1 UID]],Tasks[UID],0),-1))</f>
        <v>0</v>
      </c>
      <c r="BQ169" s="43" t="n">
        <f aca="false">IF(N(Tasks[[#This Row],[Pred2 UID]])=0,0,IFERROR(MATCH(Tasks[[#This Row],[Pred2 UID]],Tasks[UID],0),-1))</f>
        <v>0</v>
      </c>
      <c r="BR16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6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6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6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69" s="43" t="n">
        <f aca="false">IF(NOT(Tasks[[#This Row],[_IsLeaf]]=1),0,IF(N(Tasks[[#This Row],[Actual Finish]])&gt;0,1,MIN(1,N(Tasks[[#This Row],[% Complete]]))))</f>
        <v>0</v>
      </c>
      <c r="BW16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69" s="43" t="n">
        <f aca="false">IF(Tasks[[#This Row],[_LeafWork]]=0,0,Tasks[[#This Row],[_LeafWork]]*IFERROR(INDEX(res_Rate,MATCH(Tasks[[#This Row],[Resource]],res_Name,0)),0))</f>
        <v>0</v>
      </c>
      <c r="BY16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6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6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6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69" s="43" t="n">
        <f aca="false">IF(NOT(Tasks[[#This Row],[_IsLeaf]]=1),0,MAX(_xlfn.MAXIFS(Tasks[_Row],Tasks[Pred1 UID],Tasks[[#This Row],[UID]]),_xlfn.MAXIFS(Tasks[_Row],Tasks[Pred2 UID],Tasks[[#This Row],[UID]])))</f>
        <v>0</v>
      </c>
      <c r="CD16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69" s="87" t="str">
        <f aca="false">IF(NOT(Tasks[[#This Row],[_IsLeaf]]=1),"",MIN(ProjectFinish,IF(N(Tasks[[#This Row],[Deadline]])&gt;0,Tasks[[#This Row],[Deadline]],2958465),Tasks[[#This Row],[_SuccessorFinishLimit]]))</f>
        <v/>
      </c>
      <c r="CF16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6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69" s="86" t="b">
        <f aca="false">AND(Tasks[[#This Row],[_IsLeaf]]=1,Tasks[[#This Row],[_LeafProgress]]&lt;1,N(Tasks[[#This Row],[_LeafTotalSlack]])&lt;=CriticalSlackDays)</f>
        <v>0</v>
      </c>
      <c r="CI16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6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6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6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6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6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6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6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69" s="43" t="n">
        <f aca="false">IF(AND(Tasks[[#This Row],[_IsLeaf]]=1,Tasks[[#This Row],[_LeafWork]]&gt;0),NETWORKDAYS.INTL(ProjectStart,Tasks[[#This Row],[_LeafFcstStart]],WorkWeek,Holidays),0)</f>
        <v>0</v>
      </c>
      <c r="CR16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69" s="43" t="n">
        <f aca="false">IF(AND(Tasks[[#This Row],[_IsLeaf]]=1,Tasks[[#This Row],[_LeafWork]]&gt;0),Tasks[[#This Row],[_LeafWork]]/(Tasks[[#This Row],[_FinishWorkday]]-Tasks[[#This Row],[_StartWorkday]]+1),0)</f>
        <v>0</v>
      </c>
      <c r="CT169" s="43" t="n">
        <f aca="false">Tasks[[#This Row],[_WorkPerWorkday]]*(Tasks[[#This Row],[_StartWorkday]]-1)</f>
        <v>-0</v>
      </c>
      <c r="CU169" s="43" t="n">
        <f aca="false">IF(Tasks[[#This Row],[_IsLeaf]]=1,MAX(N(Tasks[[#This Row],[Duration]]),0.1),0)</f>
        <v>0</v>
      </c>
      <c r="CV169" s="43" t="n">
        <f aca="false">Tasks[[#This Row],[_WeightDur]]*Tasks[[#This Row],[_LeafProgress]]</f>
        <v>0</v>
      </c>
      <c r="CW16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6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6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6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6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69" s="43" t="str">
        <f aca="false">IF(AND(Tasks[[#This Row],[_IsLeaf]]=1,N(Tasks[[#This Row],[Duration]])=0,Tasks[[#This Row],[_LeafProgress]]&lt;1),Tasks[[#This Row],[_LeafFcstFinish]]+Tasks[[#This Row],[_Row]]/100000,"")</f>
        <v/>
      </c>
      <c r="DC16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69" s="43" t="n">
        <f aca="false">IF(NOT(Tasks[[#This Row],[_IsLeaf]]=1),0,IF(Tasks[[#This Row],[Baseline Cost]]="",Tasks[[#This Row],[_LeafCost]],N(Tasks[[#This Row],[Baseline Cost]])))</f>
        <v>0</v>
      </c>
      <c r="DE169" s="43" t="n">
        <f aca="false">Tasks[[#This Row],[_LeafBudget]]*Tasks[[#This Row],[_PlannedPct]]</f>
        <v>0</v>
      </c>
      <c r="DF169" s="43" t="n">
        <f aca="false">Tasks[[#This Row],[_LeafBudget]]*Tasks[[#This Row],[_LeafProgress]]</f>
        <v>0</v>
      </c>
      <c r="DG169" s="43" t="n">
        <f aca="false">IF(NOT(Tasks[[#This Row],[_IsLeaf]]=1),0,IF(Tasks[[#This Row],[Actual Cost]]="",Tasks[[#This Row],[_LeafCost]]*Tasks[[#This Row],[_LeafProgress]],N(Tasks[[#This Row],[Actual Cost]])))</f>
        <v>0</v>
      </c>
      <c r="DH169" s="43" t="str">
        <f aca="false">IF(Tasks[[#This Row],[Task Name]]="","",LEFT(Tasks[[#This Row],[WBS]],FIND(".",Tasks[[#This Row],[WBS]]&amp;".")-1))</f>
        <v/>
      </c>
      <c r="DI169" s="43" t="str">
        <f aca="false">IF(AND(Tasks[[#This Row],[Task Name]]&lt;&gt;"",Tasks[[#This Row],[_Level]]=1),Tasks[[#This Row],[_Row]],"")</f>
        <v/>
      </c>
      <c r="DJ169" s="43" t="str">
        <f aca="false">IF(AND(Tasks[[#This Row],[_IsLeaf]]=1,N(Tasks[[#This Row],[Duration]])=0),Tasks[[#This Row],[Planned Finish]]+Tasks[[#This Row],[_Row]]/100000,"")</f>
        <v/>
      </c>
      <c r="DK16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6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6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69" s="43" t="str">
        <f aca="false">IF(Tasks[[#This Row],[_LeafCritical]],Tasks[[#This Row],[_LeafFcstStart]]+Tasks[[#This Row],[_Row]]/100000,"")</f>
        <v/>
      </c>
      <c r="DO169" s="43" t="n">
        <f aca="false">Tasks[[#This Row],[_LeafWork]]*Tasks[[#This Row],[_LeafProgress]]</f>
        <v>0</v>
      </c>
      <c r="DP16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69" s="43" t="n">
        <f aca="false">IF(Tasks[[#This Row],[_IsLeaf]]=1,N(Tasks[[#This Row],[Story Points]]),0)</f>
        <v>0</v>
      </c>
      <c r="DR169" s="43" t="str">
        <f aca="false">IF(AND(Tasks[[#This Row],[_IsLeaf]]=1,CurrentSprint&lt;&gt;"",Tasks[[#This Row],[Sprint]]=CurrentSprint),Tasks[[#This Row],[_Row]],"")</f>
        <v/>
      </c>
    </row>
    <row r="170" customFormat="false" ht="15" hidden="false" customHeight="false" outlineLevel="0" collapsed="false">
      <c r="A170" s="28" t="str">
        <f aca="false">IF(Tasks[[#This Row],[Task Name]]="","",COUNTA(Tasks[[#Headers],[Task Name]]:Tasks[[#This Row],[Task Name]])-1)</f>
        <v/>
      </c>
      <c r="B170" s="29" t="n">
        <v>165</v>
      </c>
      <c r="C17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70" s="29"/>
      <c r="E170" s="30"/>
      <c r="F170" s="29"/>
      <c r="G170" s="29"/>
      <c r="H170" s="29"/>
      <c r="I170" s="29"/>
      <c r="J170" s="29"/>
      <c r="K170" s="29"/>
      <c r="L170" s="29"/>
      <c r="M170" s="29"/>
      <c r="N170" s="72"/>
      <c r="O170" s="72"/>
      <c r="P170" s="25" t="str">
        <f aca="false">IF(Tasks[[#This Row],[Task Name]]="","",IF(N(Tasks[[#This Row],[Baseline Start]])&gt;0,Tasks[[#This Row],[Baseline Start]],Tasks[[#This Row],[_CalcStart]]))</f>
        <v/>
      </c>
      <c r="Q170" s="25" t="str">
        <f aca="false">IF(Tasks[[#This Row],[Task Name]]="","",IF(N(Tasks[[#This Row],[Baseline Finish]])&gt;0,Tasks[[#This Row],[Baseline Finish]],Tasks[[#This Row],[_CalcFinish]]))</f>
        <v/>
      </c>
      <c r="R170" s="72"/>
      <c r="S170" s="72"/>
      <c r="T17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7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7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7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7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7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7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7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7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7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7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70" s="74"/>
      <c r="AF17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7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70" s="30"/>
      <c r="AI170" s="74"/>
      <c r="AJ17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7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70" s="83"/>
      <c r="AM170" s="29"/>
      <c r="AN17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70" s="84"/>
      <c r="AP17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70" s="30"/>
      <c r="AR170" s="25" t="str">
        <f aca="false">IF(Tasks[[#This Row],[Task Name]]="","",Tasks[[#This Row],[Forecast Start]])</f>
        <v/>
      </c>
      <c r="AS170" s="25" t="str">
        <f aca="false">IF(Tasks[[#This Row],[Task Name]]="","",Tasks[[#This Row],[Forecast Finish]])</f>
        <v/>
      </c>
      <c r="AT17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70" s="81" t="str">
        <f aca="false">IF(Tasks[[#This Row],[Task Name]]="","",Tasks[[#This Row],[Work]])</f>
        <v/>
      </c>
      <c r="AV170" s="82" t="str">
        <f aca="false">IF(Tasks[[#This Row],[Task Name]]="","",Tasks[[#This Row],[Cost]])</f>
        <v/>
      </c>
      <c r="AW170" s="72"/>
      <c r="AX170" s="72"/>
      <c r="AY170" s="29"/>
      <c r="AZ170" s="85"/>
      <c r="BA170" s="83"/>
      <c r="BB170" s="28" t="str">
        <f aca="false">IF(OR(Tasks[[#This Row],[Task Name]]="",Tasks[[#This Row],[Baseline Duration]]=""),"",Tasks[[#This Row],[BL Source Duration]]-N(Tasks[[#This Row],[Baseline Duration]]))</f>
        <v/>
      </c>
      <c r="BC170" s="81" t="str">
        <f aca="false">IF(OR(Tasks[[#This Row],[Task Name]]="",Tasks[[#This Row],[Baseline Work]]=""),"",Tasks[[#This Row],[Work]]-N(Tasks[[#This Row],[Baseline Work]]))</f>
        <v/>
      </c>
      <c r="BD170" s="82" t="str">
        <f aca="false">IF(OR(Tasks[[#This Row],[Task Name]]="",Tasks[[#This Row],[Baseline Cost]]=""),"",Tasks[[#This Row],[Cost]]-N(Tasks[[#This Row],[Baseline Cost]]))</f>
        <v/>
      </c>
      <c r="BE17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7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7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7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70" s="43" t="str">
        <f aca="false">IF(Tasks[[#This Row],[Task Name]]="","",MAX(1,N(Tasks[[#This Row],[Level]])))</f>
        <v/>
      </c>
      <c r="BJ170" s="43" t="n">
        <f aca="false">ROW()-ROW(Tasks[[#Headers],[ID]])</f>
        <v>165</v>
      </c>
      <c r="BK17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70" s="43" t="n">
        <f aca="false">IFERROR(N(INDEX(Tasks[_Level],Tasks[[#This Row],[_Row]]+1)),0)</f>
        <v>0</v>
      </c>
      <c r="BM170" s="86" t="b">
        <f aca="false">AND(Tasks[[#This Row],[Task Name]]&lt;&gt;"",Tasks[[#This Row],[_NextLevel]]&gt;Tasks[[#This Row],[_Level]])</f>
        <v>0</v>
      </c>
      <c r="BN170" s="43" t="n">
        <f aca="false">IF(Tasks[[#This Row],[_IsSummary]],COUNTIF(Tasks[WBS],Tasks[[#This Row],[WBS]]&amp;".*"),0)</f>
        <v>0</v>
      </c>
      <c r="BO170" s="43" t="n">
        <f aca="false">IF(AND(Tasks[[#This Row],[Task Name]]&lt;&gt;"",NOT(Tasks[[#This Row],[_IsSummary]])),1,0)</f>
        <v>0</v>
      </c>
      <c r="BP170" s="43" t="n">
        <f aca="false">IF(N(Tasks[[#This Row],[Pred1 UID]])=0,0,IFERROR(MATCH(Tasks[[#This Row],[Pred1 UID]],Tasks[UID],0),-1))</f>
        <v>0</v>
      </c>
      <c r="BQ170" s="43" t="n">
        <f aca="false">IF(N(Tasks[[#This Row],[Pred2 UID]])=0,0,IFERROR(MATCH(Tasks[[#This Row],[Pred2 UID]],Tasks[UID],0),-1))</f>
        <v>0</v>
      </c>
      <c r="BR17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7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7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7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70" s="43" t="n">
        <f aca="false">IF(NOT(Tasks[[#This Row],[_IsLeaf]]=1),0,IF(N(Tasks[[#This Row],[Actual Finish]])&gt;0,1,MIN(1,N(Tasks[[#This Row],[% Complete]]))))</f>
        <v>0</v>
      </c>
      <c r="BW17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70" s="43" t="n">
        <f aca="false">IF(Tasks[[#This Row],[_LeafWork]]=0,0,Tasks[[#This Row],[_LeafWork]]*IFERROR(INDEX(res_Rate,MATCH(Tasks[[#This Row],[Resource]],res_Name,0)),0))</f>
        <v>0</v>
      </c>
      <c r="BY17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7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7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7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70" s="43" t="n">
        <f aca="false">IF(NOT(Tasks[[#This Row],[_IsLeaf]]=1),0,MAX(_xlfn.MAXIFS(Tasks[_Row],Tasks[Pred1 UID],Tasks[[#This Row],[UID]]),_xlfn.MAXIFS(Tasks[_Row],Tasks[Pred2 UID],Tasks[[#This Row],[UID]])))</f>
        <v>0</v>
      </c>
      <c r="CD17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70" s="87" t="str">
        <f aca="false">IF(NOT(Tasks[[#This Row],[_IsLeaf]]=1),"",MIN(ProjectFinish,IF(N(Tasks[[#This Row],[Deadline]])&gt;0,Tasks[[#This Row],[Deadline]],2958465),Tasks[[#This Row],[_SuccessorFinishLimit]]))</f>
        <v/>
      </c>
      <c r="CF17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7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70" s="86" t="b">
        <f aca="false">AND(Tasks[[#This Row],[_IsLeaf]]=1,Tasks[[#This Row],[_LeafProgress]]&lt;1,N(Tasks[[#This Row],[_LeafTotalSlack]])&lt;=CriticalSlackDays)</f>
        <v>0</v>
      </c>
      <c r="CI17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7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7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7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7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7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7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7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70" s="43" t="n">
        <f aca="false">IF(AND(Tasks[[#This Row],[_IsLeaf]]=1,Tasks[[#This Row],[_LeafWork]]&gt;0),NETWORKDAYS.INTL(ProjectStart,Tasks[[#This Row],[_LeafFcstStart]],WorkWeek,Holidays),0)</f>
        <v>0</v>
      </c>
      <c r="CR17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70" s="43" t="n">
        <f aca="false">IF(AND(Tasks[[#This Row],[_IsLeaf]]=1,Tasks[[#This Row],[_LeafWork]]&gt;0),Tasks[[#This Row],[_LeafWork]]/(Tasks[[#This Row],[_FinishWorkday]]-Tasks[[#This Row],[_StartWorkday]]+1),0)</f>
        <v>0</v>
      </c>
      <c r="CT170" s="43" t="n">
        <f aca="false">Tasks[[#This Row],[_WorkPerWorkday]]*(Tasks[[#This Row],[_StartWorkday]]-1)</f>
        <v>-0</v>
      </c>
      <c r="CU170" s="43" t="n">
        <f aca="false">IF(Tasks[[#This Row],[_IsLeaf]]=1,MAX(N(Tasks[[#This Row],[Duration]]),0.1),0)</f>
        <v>0</v>
      </c>
      <c r="CV170" s="43" t="n">
        <f aca="false">Tasks[[#This Row],[_WeightDur]]*Tasks[[#This Row],[_LeafProgress]]</f>
        <v>0</v>
      </c>
      <c r="CW17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7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7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7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7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70" s="43" t="str">
        <f aca="false">IF(AND(Tasks[[#This Row],[_IsLeaf]]=1,N(Tasks[[#This Row],[Duration]])=0,Tasks[[#This Row],[_LeafProgress]]&lt;1),Tasks[[#This Row],[_LeafFcstFinish]]+Tasks[[#This Row],[_Row]]/100000,"")</f>
        <v/>
      </c>
      <c r="DC17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70" s="43" t="n">
        <f aca="false">IF(NOT(Tasks[[#This Row],[_IsLeaf]]=1),0,IF(Tasks[[#This Row],[Baseline Cost]]="",Tasks[[#This Row],[_LeafCost]],N(Tasks[[#This Row],[Baseline Cost]])))</f>
        <v>0</v>
      </c>
      <c r="DE170" s="43" t="n">
        <f aca="false">Tasks[[#This Row],[_LeafBudget]]*Tasks[[#This Row],[_PlannedPct]]</f>
        <v>0</v>
      </c>
      <c r="DF170" s="43" t="n">
        <f aca="false">Tasks[[#This Row],[_LeafBudget]]*Tasks[[#This Row],[_LeafProgress]]</f>
        <v>0</v>
      </c>
      <c r="DG170" s="43" t="n">
        <f aca="false">IF(NOT(Tasks[[#This Row],[_IsLeaf]]=1),0,IF(Tasks[[#This Row],[Actual Cost]]="",Tasks[[#This Row],[_LeafCost]]*Tasks[[#This Row],[_LeafProgress]],N(Tasks[[#This Row],[Actual Cost]])))</f>
        <v>0</v>
      </c>
      <c r="DH170" s="43" t="str">
        <f aca="false">IF(Tasks[[#This Row],[Task Name]]="","",LEFT(Tasks[[#This Row],[WBS]],FIND(".",Tasks[[#This Row],[WBS]]&amp;".")-1))</f>
        <v/>
      </c>
      <c r="DI170" s="43" t="str">
        <f aca="false">IF(AND(Tasks[[#This Row],[Task Name]]&lt;&gt;"",Tasks[[#This Row],[_Level]]=1),Tasks[[#This Row],[_Row]],"")</f>
        <v/>
      </c>
      <c r="DJ170" s="43" t="str">
        <f aca="false">IF(AND(Tasks[[#This Row],[_IsLeaf]]=1,N(Tasks[[#This Row],[Duration]])=0),Tasks[[#This Row],[Planned Finish]]+Tasks[[#This Row],[_Row]]/100000,"")</f>
        <v/>
      </c>
      <c r="DK17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7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7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70" s="43" t="str">
        <f aca="false">IF(Tasks[[#This Row],[_LeafCritical]],Tasks[[#This Row],[_LeafFcstStart]]+Tasks[[#This Row],[_Row]]/100000,"")</f>
        <v/>
      </c>
      <c r="DO170" s="43" t="n">
        <f aca="false">Tasks[[#This Row],[_LeafWork]]*Tasks[[#This Row],[_LeafProgress]]</f>
        <v>0</v>
      </c>
      <c r="DP17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70" s="43" t="n">
        <f aca="false">IF(Tasks[[#This Row],[_IsLeaf]]=1,N(Tasks[[#This Row],[Story Points]]),0)</f>
        <v>0</v>
      </c>
      <c r="DR170" s="43" t="str">
        <f aca="false">IF(AND(Tasks[[#This Row],[_IsLeaf]]=1,CurrentSprint&lt;&gt;"",Tasks[[#This Row],[Sprint]]=CurrentSprint),Tasks[[#This Row],[_Row]],"")</f>
        <v/>
      </c>
    </row>
    <row r="171" customFormat="false" ht="15" hidden="false" customHeight="false" outlineLevel="0" collapsed="false">
      <c r="A171" s="28" t="str">
        <f aca="false">IF(Tasks[[#This Row],[Task Name]]="","",COUNTA(Tasks[[#Headers],[Task Name]]:Tasks[[#This Row],[Task Name]])-1)</f>
        <v/>
      </c>
      <c r="B171" s="29" t="n">
        <v>166</v>
      </c>
      <c r="C17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71" s="29"/>
      <c r="E171" s="30"/>
      <c r="F171" s="29"/>
      <c r="G171" s="29"/>
      <c r="H171" s="29"/>
      <c r="I171" s="29"/>
      <c r="J171" s="29"/>
      <c r="K171" s="29"/>
      <c r="L171" s="29"/>
      <c r="M171" s="29"/>
      <c r="N171" s="72"/>
      <c r="O171" s="72"/>
      <c r="P171" s="25" t="str">
        <f aca="false">IF(Tasks[[#This Row],[Task Name]]="","",IF(N(Tasks[[#This Row],[Baseline Start]])&gt;0,Tasks[[#This Row],[Baseline Start]],Tasks[[#This Row],[_CalcStart]]))</f>
        <v/>
      </c>
      <c r="Q171" s="25" t="str">
        <f aca="false">IF(Tasks[[#This Row],[Task Name]]="","",IF(N(Tasks[[#This Row],[Baseline Finish]])&gt;0,Tasks[[#This Row],[Baseline Finish]],Tasks[[#This Row],[_CalcFinish]]))</f>
        <v/>
      </c>
      <c r="R171" s="72"/>
      <c r="S171" s="72"/>
      <c r="T17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7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7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7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7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7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7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7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7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7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7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71" s="74"/>
      <c r="AF17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7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71" s="30"/>
      <c r="AI171" s="74"/>
      <c r="AJ17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7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71" s="83"/>
      <c r="AM171" s="29"/>
      <c r="AN17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71" s="84"/>
      <c r="AP17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71" s="30"/>
      <c r="AR171" s="25" t="str">
        <f aca="false">IF(Tasks[[#This Row],[Task Name]]="","",Tasks[[#This Row],[Forecast Start]])</f>
        <v/>
      </c>
      <c r="AS171" s="25" t="str">
        <f aca="false">IF(Tasks[[#This Row],[Task Name]]="","",Tasks[[#This Row],[Forecast Finish]])</f>
        <v/>
      </c>
      <c r="AT17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71" s="81" t="str">
        <f aca="false">IF(Tasks[[#This Row],[Task Name]]="","",Tasks[[#This Row],[Work]])</f>
        <v/>
      </c>
      <c r="AV171" s="82" t="str">
        <f aca="false">IF(Tasks[[#This Row],[Task Name]]="","",Tasks[[#This Row],[Cost]])</f>
        <v/>
      </c>
      <c r="AW171" s="72"/>
      <c r="AX171" s="72"/>
      <c r="AY171" s="29"/>
      <c r="AZ171" s="85"/>
      <c r="BA171" s="83"/>
      <c r="BB171" s="28" t="str">
        <f aca="false">IF(OR(Tasks[[#This Row],[Task Name]]="",Tasks[[#This Row],[Baseline Duration]]=""),"",Tasks[[#This Row],[BL Source Duration]]-N(Tasks[[#This Row],[Baseline Duration]]))</f>
        <v/>
      </c>
      <c r="BC171" s="81" t="str">
        <f aca="false">IF(OR(Tasks[[#This Row],[Task Name]]="",Tasks[[#This Row],[Baseline Work]]=""),"",Tasks[[#This Row],[Work]]-N(Tasks[[#This Row],[Baseline Work]]))</f>
        <v/>
      </c>
      <c r="BD171" s="82" t="str">
        <f aca="false">IF(OR(Tasks[[#This Row],[Task Name]]="",Tasks[[#This Row],[Baseline Cost]]=""),"",Tasks[[#This Row],[Cost]]-N(Tasks[[#This Row],[Baseline Cost]]))</f>
        <v/>
      </c>
      <c r="BE17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7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7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7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71" s="43" t="str">
        <f aca="false">IF(Tasks[[#This Row],[Task Name]]="","",MAX(1,N(Tasks[[#This Row],[Level]])))</f>
        <v/>
      </c>
      <c r="BJ171" s="43" t="n">
        <f aca="false">ROW()-ROW(Tasks[[#Headers],[ID]])</f>
        <v>166</v>
      </c>
      <c r="BK17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71" s="43" t="n">
        <f aca="false">IFERROR(N(INDEX(Tasks[_Level],Tasks[[#This Row],[_Row]]+1)),0)</f>
        <v>0</v>
      </c>
      <c r="BM171" s="86" t="b">
        <f aca="false">AND(Tasks[[#This Row],[Task Name]]&lt;&gt;"",Tasks[[#This Row],[_NextLevel]]&gt;Tasks[[#This Row],[_Level]])</f>
        <v>0</v>
      </c>
      <c r="BN171" s="43" t="n">
        <f aca="false">IF(Tasks[[#This Row],[_IsSummary]],COUNTIF(Tasks[WBS],Tasks[[#This Row],[WBS]]&amp;".*"),0)</f>
        <v>0</v>
      </c>
      <c r="BO171" s="43" t="n">
        <f aca="false">IF(AND(Tasks[[#This Row],[Task Name]]&lt;&gt;"",NOT(Tasks[[#This Row],[_IsSummary]])),1,0)</f>
        <v>0</v>
      </c>
      <c r="BP171" s="43" t="n">
        <f aca="false">IF(N(Tasks[[#This Row],[Pred1 UID]])=0,0,IFERROR(MATCH(Tasks[[#This Row],[Pred1 UID]],Tasks[UID],0),-1))</f>
        <v>0</v>
      </c>
      <c r="BQ171" s="43" t="n">
        <f aca="false">IF(N(Tasks[[#This Row],[Pred2 UID]])=0,0,IFERROR(MATCH(Tasks[[#This Row],[Pred2 UID]],Tasks[UID],0),-1))</f>
        <v>0</v>
      </c>
      <c r="BR17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7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7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7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71" s="43" t="n">
        <f aca="false">IF(NOT(Tasks[[#This Row],[_IsLeaf]]=1),0,IF(N(Tasks[[#This Row],[Actual Finish]])&gt;0,1,MIN(1,N(Tasks[[#This Row],[% Complete]]))))</f>
        <v>0</v>
      </c>
      <c r="BW17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71" s="43" t="n">
        <f aca="false">IF(Tasks[[#This Row],[_LeafWork]]=0,0,Tasks[[#This Row],[_LeafWork]]*IFERROR(INDEX(res_Rate,MATCH(Tasks[[#This Row],[Resource]],res_Name,0)),0))</f>
        <v>0</v>
      </c>
      <c r="BY17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7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7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7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71" s="43" t="n">
        <f aca="false">IF(NOT(Tasks[[#This Row],[_IsLeaf]]=1),0,MAX(_xlfn.MAXIFS(Tasks[_Row],Tasks[Pred1 UID],Tasks[[#This Row],[UID]]),_xlfn.MAXIFS(Tasks[_Row],Tasks[Pred2 UID],Tasks[[#This Row],[UID]])))</f>
        <v>0</v>
      </c>
      <c r="CD17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71" s="87" t="str">
        <f aca="false">IF(NOT(Tasks[[#This Row],[_IsLeaf]]=1),"",MIN(ProjectFinish,IF(N(Tasks[[#This Row],[Deadline]])&gt;0,Tasks[[#This Row],[Deadline]],2958465),Tasks[[#This Row],[_SuccessorFinishLimit]]))</f>
        <v/>
      </c>
      <c r="CF17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7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71" s="86" t="b">
        <f aca="false">AND(Tasks[[#This Row],[_IsLeaf]]=1,Tasks[[#This Row],[_LeafProgress]]&lt;1,N(Tasks[[#This Row],[_LeafTotalSlack]])&lt;=CriticalSlackDays)</f>
        <v>0</v>
      </c>
      <c r="CI17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7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7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7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7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7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7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7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71" s="43" t="n">
        <f aca="false">IF(AND(Tasks[[#This Row],[_IsLeaf]]=1,Tasks[[#This Row],[_LeafWork]]&gt;0),NETWORKDAYS.INTL(ProjectStart,Tasks[[#This Row],[_LeafFcstStart]],WorkWeek,Holidays),0)</f>
        <v>0</v>
      </c>
      <c r="CR17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71" s="43" t="n">
        <f aca="false">IF(AND(Tasks[[#This Row],[_IsLeaf]]=1,Tasks[[#This Row],[_LeafWork]]&gt;0),Tasks[[#This Row],[_LeafWork]]/(Tasks[[#This Row],[_FinishWorkday]]-Tasks[[#This Row],[_StartWorkday]]+1),0)</f>
        <v>0</v>
      </c>
      <c r="CT171" s="43" t="n">
        <f aca="false">Tasks[[#This Row],[_WorkPerWorkday]]*(Tasks[[#This Row],[_StartWorkday]]-1)</f>
        <v>-0</v>
      </c>
      <c r="CU171" s="43" t="n">
        <f aca="false">IF(Tasks[[#This Row],[_IsLeaf]]=1,MAX(N(Tasks[[#This Row],[Duration]]),0.1),0)</f>
        <v>0</v>
      </c>
      <c r="CV171" s="43" t="n">
        <f aca="false">Tasks[[#This Row],[_WeightDur]]*Tasks[[#This Row],[_LeafProgress]]</f>
        <v>0</v>
      </c>
      <c r="CW17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7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7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7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7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71" s="43" t="str">
        <f aca="false">IF(AND(Tasks[[#This Row],[_IsLeaf]]=1,N(Tasks[[#This Row],[Duration]])=0,Tasks[[#This Row],[_LeafProgress]]&lt;1),Tasks[[#This Row],[_LeafFcstFinish]]+Tasks[[#This Row],[_Row]]/100000,"")</f>
        <v/>
      </c>
      <c r="DC17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71" s="43" t="n">
        <f aca="false">IF(NOT(Tasks[[#This Row],[_IsLeaf]]=1),0,IF(Tasks[[#This Row],[Baseline Cost]]="",Tasks[[#This Row],[_LeafCost]],N(Tasks[[#This Row],[Baseline Cost]])))</f>
        <v>0</v>
      </c>
      <c r="DE171" s="43" t="n">
        <f aca="false">Tasks[[#This Row],[_LeafBudget]]*Tasks[[#This Row],[_PlannedPct]]</f>
        <v>0</v>
      </c>
      <c r="DF171" s="43" t="n">
        <f aca="false">Tasks[[#This Row],[_LeafBudget]]*Tasks[[#This Row],[_LeafProgress]]</f>
        <v>0</v>
      </c>
      <c r="DG171" s="43" t="n">
        <f aca="false">IF(NOT(Tasks[[#This Row],[_IsLeaf]]=1),0,IF(Tasks[[#This Row],[Actual Cost]]="",Tasks[[#This Row],[_LeafCost]]*Tasks[[#This Row],[_LeafProgress]],N(Tasks[[#This Row],[Actual Cost]])))</f>
        <v>0</v>
      </c>
      <c r="DH171" s="43" t="str">
        <f aca="false">IF(Tasks[[#This Row],[Task Name]]="","",LEFT(Tasks[[#This Row],[WBS]],FIND(".",Tasks[[#This Row],[WBS]]&amp;".")-1))</f>
        <v/>
      </c>
      <c r="DI171" s="43" t="str">
        <f aca="false">IF(AND(Tasks[[#This Row],[Task Name]]&lt;&gt;"",Tasks[[#This Row],[_Level]]=1),Tasks[[#This Row],[_Row]],"")</f>
        <v/>
      </c>
      <c r="DJ171" s="43" t="str">
        <f aca="false">IF(AND(Tasks[[#This Row],[_IsLeaf]]=1,N(Tasks[[#This Row],[Duration]])=0),Tasks[[#This Row],[Planned Finish]]+Tasks[[#This Row],[_Row]]/100000,"")</f>
        <v/>
      </c>
      <c r="DK17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7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7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71" s="43" t="str">
        <f aca="false">IF(Tasks[[#This Row],[_LeafCritical]],Tasks[[#This Row],[_LeafFcstStart]]+Tasks[[#This Row],[_Row]]/100000,"")</f>
        <v/>
      </c>
      <c r="DO171" s="43" t="n">
        <f aca="false">Tasks[[#This Row],[_LeafWork]]*Tasks[[#This Row],[_LeafProgress]]</f>
        <v>0</v>
      </c>
      <c r="DP17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71" s="43" t="n">
        <f aca="false">IF(Tasks[[#This Row],[_IsLeaf]]=1,N(Tasks[[#This Row],[Story Points]]),0)</f>
        <v>0</v>
      </c>
      <c r="DR171" s="43" t="str">
        <f aca="false">IF(AND(Tasks[[#This Row],[_IsLeaf]]=1,CurrentSprint&lt;&gt;"",Tasks[[#This Row],[Sprint]]=CurrentSprint),Tasks[[#This Row],[_Row]],"")</f>
        <v/>
      </c>
    </row>
    <row r="172" customFormat="false" ht="15" hidden="false" customHeight="false" outlineLevel="0" collapsed="false">
      <c r="A172" s="28" t="str">
        <f aca="false">IF(Tasks[[#This Row],[Task Name]]="","",COUNTA(Tasks[[#Headers],[Task Name]]:Tasks[[#This Row],[Task Name]])-1)</f>
        <v/>
      </c>
      <c r="B172" s="29" t="n">
        <v>167</v>
      </c>
      <c r="C17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72" s="29"/>
      <c r="E172" s="30"/>
      <c r="F172" s="29"/>
      <c r="G172" s="29"/>
      <c r="H172" s="29"/>
      <c r="I172" s="29"/>
      <c r="J172" s="29"/>
      <c r="K172" s="29"/>
      <c r="L172" s="29"/>
      <c r="M172" s="29"/>
      <c r="N172" s="72"/>
      <c r="O172" s="72"/>
      <c r="P172" s="25" t="str">
        <f aca="false">IF(Tasks[[#This Row],[Task Name]]="","",IF(N(Tasks[[#This Row],[Baseline Start]])&gt;0,Tasks[[#This Row],[Baseline Start]],Tasks[[#This Row],[_CalcStart]]))</f>
        <v/>
      </c>
      <c r="Q172" s="25" t="str">
        <f aca="false">IF(Tasks[[#This Row],[Task Name]]="","",IF(N(Tasks[[#This Row],[Baseline Finish]])&gt;0,Tasks[[#This Row],[Baseline Finish]],Tasks[[#This Row],[_CalcFinish]]))</f>
        <v/>
      </c>
      <c r="R172" s="72"/>
      <c r="S172" s="72"/>
      <c r="T17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7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7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7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7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7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7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7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7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7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7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72" s="74"/>
      <c r="AF17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7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72" s="30"/>
      <c r="AI172" s="74"/>
      <c r="AJ17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7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72" s="83"/>
      <c r="AM172" s="29"/>
      <c r="AN17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72" s="84"/>
      <c r="AP17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72" s="30"/>
      <c r="AR172" s="25" t="str">
        <f aca="false">IF(Tasks[[#This Row],[Task Name]]="","",Tasks[[#This Row],[Forecast Start]])</f>
        <v/>
      </c>
      <c r="AS172" s="25" t="str">
        <f aca="false">IF(Tasks[[#This Row],[Task Name]]="","",Tasks[[#This Row],[Forecast Finish]])</f>
        <v/>
      </c>
      <c r="AT17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72" s="81" t="str">
        <f aca="false">IF(Tasks[[#This Row],[Task Name]]="","",Tasks[[#This Row],[Work]])</f>
        <v/>
      </c>
      <c r="AV172" s="82" t="str">
        <f aca="false">IF(Tasks[[#This Row],[Task Name]]="","",Tasks[[#This Row],[Cost]])</f>
        <v/>
      </c>
      <c r="AW172" s="72"/>
      <c r="AX172" s="72"/>
      <c r="AY172" s="29"/>
      <c r="AZ172" s="85"/>
      <c r="BA172" s="83"/>
      <c r="BB172" s="28" t="str">
        <f aca="false">IF(OR(Tasks[[#This Row],[Task Name]]="",Tasks[[#This Row],[Baseline Duration]]=""),"",Tasks[[#This Row],[BL Source Duration]]-N(Tasks[[#This Row],[Baseline Duration]]))</f>
        <v/>
      </c>
      <c r="BC172" s="81" t="str">
        <f aca="false">IF(OR(Tasks[[#This Row],[Task Name]]="",Tasks[[#This Row],[Baseline Work]]=""),"",Tasks[[#This Row],[Work]]-N(Tasks[[#This Row],[Baseline Work]]))</f>
        <v/>
      </c>
      <c r="BD172" s="82" t="str">
        <f aca="false">IF(OR(Tasks[[#This Row],[Task Name]]="",Tasks[[#This Row],[Baseline Cost]]=""),"",Tasks[[#This Row],[Cost]]-N(Tasks[[#This Row],[Baseline Cost]]))</f>
        <v/>
      </c>
      <c r="BE17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7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7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7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72" s="43" t="str">
        <f aca="false">IF(Tasks[[#This Row],[Task Name]]="","",MAX(1,N(Tasks[[#This Row],[Level]])))</f>
        <v/>
      </c>
      <c r="BJ172" s="43" t="n">
        <f aca="false">ROW()-ROW(Tasks[[#Headers],[ID]])</f>
        <v>167</v>
      </c>
      <c r="BK17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72" s="43" t="n">
        <f aca="false">IFERROR(N(INDEX(Tasks[_Level],Tasks[[#This Row],[_Row]]+1)),0)</f>
        <v>0</v>
      </c>
      <c r="BM172" s="86" t="b">
        <f aca="false">AND(Tasks[[#This Row],[Task Name]]&lt;&gt;"",Tasks[[#This Row],[_NextLevel]]&gt;Tasks[[#This Row],[_Level]])</f>
        <v>0</v>
      </c>
      <c r="BN172" s="43" t="n">
        <f aca="false">IF(Tasks[[#This Row],[_IsSummary]],COUNTIF(Tasks[WBS],Tasks[[#This Row],[WBS]]&amp;".*"),0)</f>
        <v>0</v>
      </c>
      <c r="BO172" s="43" t="n">
        <f aca="false">IF(AND(Tasks[[#This Row],[Task Name]]&lt;&gt;"",NOT(Tasks[[#This Row],[_IsSummary]])),1,0)</f>
        <v>0</v>
      </c>
      <c r="BP172" s="43" t="n">
        <f aca="false">IF(N(Tasks[[#This Row],[Pred1 UID]])=0,0,IFERROR(MATCH(Tasks[[#This Row],[Pred1 UID]],Tasks[UID],0),-1))</f>
        <v>0</v>
      </c>
      <c r="BQ172" s="43" t="n">
        <f aca="false">IF(N(Tasks[[#This Row],[Pred2 UID]])=0,0,IFERROR(MATCH(Tasks[[#This Row],[Pred2 UID]],Tasks[UID],0),-1))</f>
        <v>0</v>
      </c>
      <c r="BR17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7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7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7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72" s="43" t="n">
        <f aca="false">IF(NOT(Tasks[[#This Row],[_IsLeaf]]=1),0,IF(N(Tasks[[#This Row],[Actual Finish]])&gt;0,1,MIN(1,N(Tasks[[#This Row],[% Complete]]))))</f>
        <v>0</v>
      </c>
      <c r="BW17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72" s="43" t="n">
        <f aca="false">IF(Tasks[[#This Row],[_LeafWork]]=0,0,Tasks[[#This Row],[_LeafWork]]*IFERROR(INDEX(res_Rate,MATCH(Tasks[[#This Row],[Resource]],res_Name,0)),0))</f>
        <v>0</v>
      </c>
      <c r="BY17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7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7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7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72" s="43" t="n">
        <f aca="false">IF(NOT(Tasks[[#This Row],[_IsLeaf]]=1),0,MAX(_xlfn.MAXIFS(Tasks[_Row],Tasks[Pred1 UID],Tasks[[#This Row],[UID]]),_xlfn.MAXIFS(Tasks[_Row],Tasks[Pred2 UID],Tasks[[#This Row],[UID]])))</f>
        <v>0</v>
      </c>
      <c r="CD17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72" s="87" t="str">
        <f aca="false">IF(NOT(Tasks[[#This Row],[_IsLeaf]]=1),"",MIN(ProjectFinish,IF(N(Tasks[[#This Row],[Deadline]])&gt;0,Tasks[[#This Row],[Deadline]],2958465),Tasks[[#This Row],[_SuccessorFinishLimit]]))</f>
        <v/>
      </c>
      <c r="CF17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7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72" s="86" t="b">
        <f aca="false">AND(Tasks[[#This Row],[_IsLeaf]]=1,Tasks[[#This Row],[_LeafProgress]]&lt;1,N(Tasks[[#This Row],[_LeafTotalSlack]])&lt;=CriticalSlackDays)</f>
        <v>0</v>
      </c>
      <c r="CI17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7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7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7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7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7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7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7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72" s="43" t="n">
        <f aca="false">IF(AND(Tasks[[#This Row],[_IsLeaf]]=1,Tasks[[#This Row],[_LeafWork]]&gt;0),NETWORKDAYS.INTL(ProjectStart,Tasks[[#This Row],[_LeafFcstStart]],WorkWeek,Holidays),0)</f>
        <v>0</v>
      </c>
      <c r="CR17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72" s="43" t="n">
        <f aca="false">IF(AND(Tasks[[#This Row],[_IsLeaf]]=1,Tasks[[#This Row],[_LeafWork]]&gt;0),Tasks[[#This Row],[_LeafWork]]/(Tasks[[#This Row],[_FinishWorkday]]-Tasks[[#This Row],[_StartWorkday]]+1),0)</f>
        <v>0</v>
      </c>
      <c r="CT172" s="43" t="n">
        <f aca="false">Tasks[[#This Row],[_WorkPerWorkday]]*(Tasks[[#This Row],[_StartWorkday]]-1)</f>
        <v>-0</v>
      </c>
      <c r="CU172" s="43" t="n">
        <f aca="false">IF(Tasks[[#This Row],[_IsLeaf]]=1,MAX(N(Tasks[[#This Row],[Duration]]),0.1),0)</f>
        <v>0</v>
      </c>
      <c r="CV172" s="43" t="n">
        <f aca="false">Tasks[[#This Row],[_WeightDur]]*Tasks[[#This Row],[_LeafProgress]]</f>
        <v>0</v>
      </c>
      <c r="CW17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7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7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7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7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72" s="43" t="str">
        <f aca="false">IF(AND(Tasks[[#This Row],[_IsLeaf]]=1,N(Tasks[[#This Row],[Duration]])=0,Tasks[[#This Row],[_LeafProgress]]&lt;1),Tasks[[#This Row],[_LeafFcstFinish]]+Tasks[[#This Row],[_Row]]/100000,"")</f>
        <v/>
      </c>
      <c r="DC17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72" s="43" t="n">
        <f aca="false">IF(NOT(Tasks[[#This Row],[_IsLeaf]]=1),0,IF(Tasks[[#This Row],[Baseline Cost]]="",Tasks[[#This Row],[_LeafCost]],N(Tasks[[#This Row],[Baseline Cost]])))</f>
        <v>0</v>
      </c>
      <c r="DE172" s="43" t="n">
        <f aca="false">Tasks[[#This Row],[_LeafBudget]]*Tasks[[#This Row],[_PlannedPct]]</f>
        <v>0</v>
      </c>
      <c r="DF172" s="43" t="n">
        <f aca="false">Tasks[[#This Row],[_LeafBudget]]*Tasks[[#This Row],[_LeafProgress]]</f>
        <v>0</v>
      </c>
      <c r="DG172" s="43" t="n">
        <f aca="false">IF(NOT(Tasks[[#This Row],[_IsLeaf]]=1),0,IF(Tasks[[#This Row],[Actual Cost]]="",Tasks[[#This Row],[_LeafCost]]*Tasks[[#This Row],[_LeafProgress]],N(Tasks[[#This Row],[Actual Cost]])))</f>
        <v>0</v>
      </c>
      <c r="DH172" s="43" t="str">
        <f aca="false">IF(Tasks[[#This Row],[Task Name]]="","",LEFT(Tasks[[#This Row],[WBS]],FIND(".",Tasks[[#This Row],[WBS]]&amp;".")-1))</f>
        <v/>
      </c>
      <c r="DI172" s="43" t="str">
        <f aca="false">IF(AND(Tasks[[#This Row],[Task Name]]&lt;&gt;"",Tasks[[#This Row],[_Level]]=1),Tasks[[#This Row],[_Row]],"")</f>
        <v/>
      </c>
      <c r="DJ172" s="43" t="str">
        <f aca="false">IF(AND(Tasks[[#This Row],[_IsLeaf]]=1,N(Tasks[[#This Row],[Duration]])=0),Tasks[[#This Row],[Planned Finish]]+Tasks[[#This Row],[_Row]]/100000,"")</f>
        <v/>
      </c>
      <c r="DK17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7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7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72" s="43" t="str">
        <f aca="false">IF(Tasks[[#This Row],[_LeafCritical]],Tasks[[#This Row],[_LeafFcstStart]]+Tasks[[#This Row],[_Row]]/100000,"")</f>
        <v/>
      </c>
      <c r="DO172" s="43" t="n">
        <f aca="false">Tasks[[#This Row],[_LeafWork]]*Tasks[[#This Row],[_LeafProgress]]</f>
        <v>0</v>
      </c>
      <c r="DP17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72" s="43" t="n">
        <f aca="false">IF(Tasks[[#This Row],[_IsLeaf]]=1,N(Tasks[[#This Row],[Story Points]]),0)</f>
        <v>0</v>
      </c>
      <c r="DR172" s="43" t="str">
        <f aca="false">IF(AND(Tasks[[#This Row],[_IsLeaf]]=1,CurrentSprint&lt;&gt;"",Tasks[[#This Row],[Sprint]]=CurrentSprint),Tasks[[#This Row],[_Row]],"")</f>
        <v/>
      </c>
    </row>
    <row r="173" customFormat="false" ht="15" hidden="false" customHeight="false" outlineLevel="0" collapsed="false">
      <c r="A173" s="28" t="str">
        <f aca="false">IF(Tasks[[#This Row],[Task Name]]="","",COUNTA(Tasks[[#Headers],[Task Name]]:Tasks[[#This Row],[Task Name]])-1)</f>
        <v/>
      </c>
      <c r="B173" s="29" t="n">
        <v>168</v>
      </c>
      <c r="C17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73" s="29"/>
      <c r="E173" s="30"/>
      <c r="F173" s="29"/>
      <c r="G173" s="29"/>
      <c r="H173" s="29"/>
      <c r="I173" s="29"/>
      <c r="J173" s="29"/>
      <c r="K173" s="29"/>
      <c r="L173" s="29"/>
      <c r="M173" s="29"/>
      <c r="N173" s="72"/>
      <c r="O173" s="72"/>
      <c r="P173" s="25" t="str">
        <f aca="false">IF(Tasks[[#This Row],[Task Name]]="","",IF(N(Tasks[[#This Row],[Baseline Start]])&gt;0,Tasks[[#This Row],[Baseline Start]],Tasks[[#This Row],[_CalcStart]]))</f>
        <v/>
      </c>
      <c r="Q173" s="25" t="str">
        <f aca="false">IF(Tasks[[#This Row],[Task Name]]="","",IF(N(Tasks[[#This Row],[Baseline Finish]])&gt;0,Tasks[[#This Row],[Baseline Finish]],Tasks[[#This Row],[_CalcFinish]]))</f>
        <v/>
      </c>
      <c r="R173" s="72"/>
      <c r="S173" s="72"/>
      <c r="T17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7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7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7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7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7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7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7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7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7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7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73" s="74"/>
      <c r="AF17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7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73" s="30"/>
      <c r="AI173" s="74"/>
      <c r="AJ17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7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73" s="83"/>
      <c r="AM173" s="29"/>
      <c r="AN17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73" s="84"/>
      <c r="AP17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73" s="30"/>
      <c r="AR173" s="25" t="str">
        <f aca="false">IF(Tasks[[#This Row],[Task Name]]="","",Tasks[[#This Row],[Forecast Start]])</f>
        <v/>
      </c>
      <c r="AS173" s="25" t="str">
        <f aca="false">IF(Tasks[[#This Row],[Task Name]]="","",Tasks[[#This Row],[Forecast Finish]])</f>
        <v/>
      </c>
      <c r="AT17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73" s="81" t="str">
        <f aca="false">IF(Tasks[[#This Row],[Task Name]]="","",Tasks[[#This Row],[Work]])</f>
        <v/>
      </c>
      <c r="AV173" s="82" t="str">
        <f aca="false">IF(Tasks[[#This Row],[Task Name]]="","",Tasks[[#This Row],[Cost]])</f>
        <v/>
      </c>
      <c r="AW173" s="72"/>
      <c r="AX173" s="72"/>
      <c r="AY173" s="29"/>
      <c r="AZ173" s="85"/>
      <c r="BA173" s="83"/>
      <c r="BB173" s="28" t="str">
        <f aca="false">IF(OR(Tasks[[#This Row],[Task Name]]="",Tasks[[#This Row],[Baseline Duration]]=""),"",Tasks[[#This Row],[BL Source Duration]]-N(Tasks[[#This Row],[Baseline Duration]]))</f>
        <v/>
      </c>
      <c r="BC173" s="81" t="str">
        <f aca="false">IF(OR(Tasks[[#This Row],[Task Name]]="",Tasks[[#This Row],[Baseline Work]]=""),"",Tasks[[#This Row],[Work]]-N(Tasks[[#This Row],[Baseline Work]]))</f>
        <v/>
      </c>
      <c r="BD173" s="82" t="str">
        <f aca="false">IF(OR(Tasks[[#This Row],[Task Name]]="",Tasks[[#This Row],[Baseline Cost]]=""),"",Tasks[[#This Row],[Cost]]-N(Tasks[[#This Row],[Baseline Cost]]))</f>
        <v/>
      </c>
      <c r="BE17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7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7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7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73" s="43" t="str">
        <f aca="false">IF(Tasks[[#This Row],[Task Name]]="","",MAX(1,N(Tasks[[#This Row],[Level]])))</f>
        <v/>
      </c>
      <c r="BJ173" s="43" t="n">
        <f aca="false">ROW()-ROW(Tasks[[#Headers],[ID]])</f>
        <v>168</v>
      </c>
      <c r="BK17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73" s="43" t="n">
        <f aca="false">IFERROR(N(INDEX(Tasks[_Level],Tasks[[#This Row],[_Row]]+1)),0)</f>
        <v>0</v>
      </c>
      <c r="BM173" s="86" t="b">
        <f aca="false">AND(Tasks[[#This Row],[Task Name]]&lt;&gt;"",Tasks[[#This Row],[_NextLevel]]&gt;Tasks[[#This Row],[_Level]])</f>
        <v>0</v>
      </c>
      <c r="BN173" s="43" t="n">
        <f aca="false">IF(Tasks[[#This Row],[_IsSummary]],COUNTIF(Tasks[WBS],Tasks[[#This Row],[WBS]]&amp;".*"),0)</f>
        <v>0</v>
      </c>
      <c r="BO173" s="43" t="n">
        <f aca="false">IF(AND(Tasks[[#This Row],[Task Name]]&lt;&gt;"",NOT(Tasks[[#This Row],[_IsSummary]])),1,0)</f>
        <v>0</v>
      </c>
      <c r="BP173" s="43" t="n">
        <f aca="false">IF(N(Tasks[[#This Row],[Pred1 UID]])=0,0,IFERROR(MATCH(Tasks[[#This Row],[Pred1 UID]],Tasks[UID],0),-1))</f>
        <v>0</v>
      </c>
      <c r="BQ173" s="43" t="n">
        <f aca="false">IF(N(Tasks[[#This Row],[Pred2 UID]])=0,0,IFERROR(MATCH(Tasks[[#This Row],[Pred2 UID]],Tasks[UID],0),-1))</f>
        <v>0</v>
      </c>
      <c r="BR17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7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7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7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73" s="43" t="n">
        <f aca="false">IF(NOT(Tasks[[#This Row],[_IsLeaf]]=1),0,IF(N(Tasks[[#This Row],[Actual Finish]])&gt;0,1,MIN(1,N(Tasks[[#This Row],[% Complete]]))))</f>
        <v>0</v>
      </c>
      <c r="BW17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73" s="43" t="n">
        <f aca="false">IF(Tasks[[#This Row],[_LeafWork]]=0,0,Tasks[[#This Row],[_LeafWork]]*IFERROR(INDEX(res_Rate,MATCH(Tasks[[#This Row],[Resource]],res_Name,0)),0))</f>
        <v>0</v>
      </c>
      <c r="BY17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7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7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7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73" s="43" t="n">
        <f aca="false">IF(NOT(Tasks[[#This Row],[_IsLeaf]]=1),0,MAX(_xlfn.MAXIFS(Tasks[_Row],Tasks[Pred1 UID],Tasks[[#This Row],[UID]]),_xlfn.MAXIFS(Tasks[_Row],Tasks[Pred2 UID],Tasks[[#This Row],[UID]])))</f>
        <v>0</v>
      </c>
      <c r="CD17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73" s="87" t="str">
        <f aca="false">IF(NOT(Tasks[[#This Row],[_IsLeaf]]=1),"",MIN(ProjectFinish,IF(N(Tasks[[#This Row],[Deadline]])&gt;0,Tasks[[#This Row],[Deadline]],2958465),Tasks[[#This Row],[_SuccessorFinishLimit]]))</f>
        <v/>
      </c>
      <c r="CF17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7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73" s="86" t="b">
        <f aca="false">AND(Tasks[[#This Row],[_IsLeaf]]=1,Tasks[[#This Row],[_LeafProgress]]&lt;1,N(Tasks[[#This Row],[_LeafTotalSlack]])&lt;=CriticalSlackDays)</f>
        <v>0</v>
      </c>
      <c r="CI17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7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7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7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7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7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7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7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73" s="43" t="n">
        <f aca="false">IF(AND(Tasks[[#This Row],[_IsLeaf]]=1,Tasks[[#This Row],[_LeafWork]]&gt;0),NETWORKDAYS.INTL(ProjectStart,Tasks[[#This Row],[_LeafFcstStart]],WorkWeek,Holidays),0)</f>
        <v>0</v>
      </c>
      <c r="CR17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73" s="43" t="n">
        <f aca="false">IF(AND(Tasks[[#This Row],[_IsLeaf]]=1,Tasks[[#This Row],[_LeafWork]]&gt;0),Tasks[[#This Row],[_LeafWork]]/(Tasks[[#This Row],[_FinishWorkday]]-Tasks[[#This Row],[_StartWorkday]]+1),0)</f>
        <v>0</v>
      </c>
      <c r="CT173" s="43" t="n">
        <f aca="false">Tasks[[#This Row],[_WorkPerWorkday]]*(Tasks[[#This Row],[_StartWorkday]]-1)</f>
        <v>-0</v>
      </c>
      <c r="CU173" s="43" t="n">
        <f aca="false">IF(Tasks[[#This Row],[_IsLeaf]]=1,MAX(N(Tasks[[#This Row],[Duration]]),0.1),0)</f>
        <v>0</v>
      </c>
      <c r="CV173" s="43" t="n">
        <f aca="false">Tasks[[#This Row],[_WeightDur]]*Tasks[[#This Row],[_LeafProgress]]</f>
        <v>0</v>
      </c>
      <c r="CW17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7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7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7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7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73" s="43" t="str">
        <f aca="false">IF(AND(Tasks[[#This Row],[_IsLeaf]]=1,N(Tasks[[#This Row],[Duration]])=0,Tasks[[#This Row],[_LeafProgress]]&lt;1),Tasks[[#This Row],[_LeafFcstFinish]]+Tasks[[#This Row],[_Row]]/100000,"")</f>
        <v/>
      </c>
      <c r="DC17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73" s="43" t="n">
        <f aca="false">IF(NOT(Tasks[[#This Row],[_IsLeaf]]=1),0,IF(Tasks[[#This Row],[Baseline Cost]]="",Tasks[[#This Row],[_LeafCost]],N(Tasks[[#This Row],[Baseline Cost]])))</f>
        <v>0</v>
      </c>
      <c r="DE173" s="43" t="n">
        <f aca="false">Tasks[[#This Row],[_LeafBudget]]*Tasks[[#This Row],[_PlannedPct]]</f>
        <v>0</v>
      </c>
      <c r="DF173" s="43" t="n">
        <f aca="false">Tasks[[#This Row],[_LeafBudget]]*Tasks[[#This Row],[_LeafProgress]]</f>
        <v>0</v>
      </c>
      <c r="DG173" s="43" t="n">
        <f aca="false">IF(NOT(Tasks[[#This Row],[_IsLeaf]]=1),0,IF(Tasks[[#This Row],[Actual Cost]]="",Tasks[[#This Row],[_LeafCost]]*Tasks[[#This Row],[_LeafProgress]],N(Tasks[[#This Row],[Actual Cost]])))</f>
        <v>0</v>
      </c>
      <c r="DH173" s="43" t="str">
        <f aca="false">IF(Tasks[[#This Row],[Task Name]]="","",LEFT(Tasks[[#This Row],[WBS]],FIND(".",Tasks[[#This Row],[WBS]]&amp;".")-1))</f>
        <v/>
      </c>
      <c r="DI173" s="43" t="str">
        <f aca="false">IF(AND(Tasks[[#This Row],[Task Name]]&lt;&gt;"",Tasks[[#This Row],[_Level]]=1),Tasks[[#This Row],[_Row]],"")</f>
        <v/>
      </c>
      <c r="DJ173" s="43" t="str">
        <f aca="false">IF(AND(Tasks[[#This Row],[_IsLeaf]]=1,N(Tasks[[#This Row],[Duration]])=0),Tasks[[#This Row],[Planned Finish]]+Tasks[[#This Row],[_Row]]/100000,"")</f>
        <v/>
      </c>
      <c r="DK17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7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7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73" s="43" t="str">
        <f aca="false">IF(Tasks[[#This Row],[_LeafCritical]],Tasks[[#This Row],[_LeafFcstStart]]+Tasks[[#This Row],[_Row]]/100000,"")</f>
        <v/>
      </c>
      <c r="DO173" s="43" t="n">
        <f aca="false">Tasks[[#This Row],[_LeafWork]]*Tasks[[#This Row],[_LeafProgress]]</f>
        <v>0</v>
      </c>
      <c r="DP17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73" s="43" t="n">
        <f aca="false">IF(Tasks[[#This Row],[_IsLeaf]]=1,N(Tasks[[#This Row],[Story Points]]),0)</f>
        <v>0</v>
      </c>
      <c r="DR173" s="43" t="str">
        <f aca="false">IF(AND(Tasks[[#This Row],[_IsLeaf]]=1,CurrentSprint&lt;&gt;"",Tasks[[#This Row],[Sprint]]=CurrentSprint),Tasks[[#This Row],[_Row]],"")</f>
        <v/>
      </c>
    </row>
    <row r="174" customFormat="false" ht="15" hidden="false" customHeight="false" outlineLevel="0" collapsed="false">
      <c r="A174" s="28" t="str">
        <f aca="false">IF(Tasks[[#This Row],[Task Name]]="","",COUNTA(Tasks[[#Headers],[Task Name]]:Tasks[[#This Row],[Task Name]])-1)</f>
        <v/>
      </c>
      <c r="B174" s="29" t="n">
        <v>169</v>
      </c>
      <c r="C17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74" s="29"/>
      <c r="E174" s="30"/>
      <c r="F174" s="29"/>
      <c r="G174" s="29"/>
      <c r="H174" s="29"/>
      <c r="I174" s="29"/>
      <c r="J174" s="29"/>
      <c r="K174" s="29"/>
      <c r="L174" s="29"/>
      <c r="M174" s="29"/>
      <c r="N174" s="72"/>
      <c r="O174" s="72"/>
      <c r="P174" s="25" t="str">
        <f aca="false">IF(Tasks[[#This Row],[Task Name]]="","",IF(N(Tasks[[#This Row],[Baseline Start]])&gt;0,Tasks[[#This Row],[Baseline Start]],Tasks[[#This Row],[_CalcStart]]))</f>
        <v/>
      </c>
      <c r="Q174" s="25" t="str">
        <f aca="false">IF(Tasks[[#This Row],[Task Name]]="","",IF(N(Tasks[[#This Row],[Baseline Finish]])&gt;0,Tasks[[#This Row],[Baseline Finish]],Tasks[[#This Row],[_CalcFinish]]))</f>
        <v/>
      </c>
      <c r="R174" s="72"/>
      <c r="S174" s="72"/>
      <c r="T17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7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7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7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7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7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7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7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7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7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7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74" s="74"/>
      <c r="AF17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7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74" s="30"/>
      <c r="AI174" s="74"/>
      <c r="AJ17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7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74" s="83"/>
      <c r="AM174" s="29"/>
      <c r="AN17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74" s="84"/>
      <c r="AP17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74" s="30"/>
      <c r="AR174" s="25" t="str">
        <f aca="false">IF(Tasks[[#This Row],[Task Name]]="","",Tasks[[#This Row],[Forecast Start]])</f>
        <v/>
      </c>
      <c r="AS174" s="25" t="str">
        <f aca="false">IF(Tasks[[#This Row],[Task Name]]="","",Tasks[[#This Row],[Forecast Finish]])</f>
        <v/>
      </c>
      <c r="AT17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74" s="81" t="str">
        <f aca="false">IF(Tasks[[#This Row],[Task Name]]="","",Tasks[[#This Row],[Work]])</f>
        <v/>
      </c>
      <c r="AV174" s="82" t="str">
        <f aca="false">IF(Tasks[[#This Row],[Task Name]]="","",Tasks[[#This Row],[Cost]])</f>
        <v/>
      </c>
      <c r="AW174" s="72"/>
      <c r="AX174" s="72"/>
      <c r="AY174" s="29"/>
      <c r="AZ174" s="85"/>
      <c r="BA174" s="83"/>
      <c r="BB174" s="28" t="str">
        <f aca="false">IF(OR(Tasks[[#This Row],[Task Name]]="",Tasks[[#This Row],[Baseline Duration]]=""),"",Tasks[[#This Row],[BL Source Duration]]-N(Tasks[[#This Row],[Baseline Duration]]))</f>
        <v/>
      </c>
      <c r="BC174" s="81" t="str">
        <f aca="false">IF(OR(Tasks[[#This Row],[Task Name]]="",Tasks[[#This Row],[Baseline Work]]=""),"",Tasks[[#This Row],[Work]]-N(Tasks[[#This Row],[Baseline Work]]))</f>
        <v/>
      </c>
      <c r="BD174" s="82" t="str">
        <f aca="false">IF(OR(Tasks[[#This Row],[Task Name]]="",Tasks[[#This Row],[Baseline Cost]]=""),"",Tasks[[#This Row],[Cost]]-N(Tasks[[#This Row],[Baseline Cost]]))</f>
        <v/>
      </c>
      <c r="BE17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7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7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7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74" s="43" t="str">
        <f aca="false">IF(Tasks[[#This Row],[Task Name]]="","",MAX(1,N(Tasks[[#This Row],[Level]])))</f>
        <v/>
      </c>
      <c r="BJ174" s="43" t="n">
        <f aca="false">ROW()-ROW(Tasks[[#Headers],[ID]])</f>
        <v>169</v>
      </c>
      <c r="BK17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74" s="43" t="n">
        <f aca="false">IFERROR(N(INDEX(Tasks[_Level],Tasks[[#This Row],[_Row]]+1)),0)</f>
        <v>0</v>
      </c>
      <c r="BM174" s="86" t="b">
        <f aca="false">AND(Tasks[[#This Row],[Task Name]]&lt;&gt;"",Tasks[[#This Row],[_NextLevel]]&gt;Tasks[[#This Row],[_Level]])</f>
        <v>0</v>
      </c>
      <c r="BN174" s="43" t="n">
        <f aca="false">IF(Tasks[[#This Row],[_IsSummary]],COUNTIF(Tasks[WBS],Tasks[[#This Row],[WBS]]&amp;".*"),0)</f>
        <v>0</v>
      </c>
      <c r="BO174" s="43" t="n">
        <f aca="false">IF(AND(Tasks[[#This Row],[Task Name]]&lt;&gt;"",NOT(Tasks[[#This Row],[_IsSummary]])),1,0)</f>
        <v>0</v>
      </c>
      <c r="BP174" s="43" t="n">
        <f aca="false">IF(N(Tasks[[#This Row],[Pred1 UID]])=0,0,IFERROR(MATCH(Tasks[[#This Row],[Pred1 UID]],Tasks[UID],0),-1))</f>
        <v>0</v>
      </c>
      <c r="BQ174" s="43" t="n">
        <f aca="false">IF(N(Tasks[[#This Row],[Pred2 UID]])=0,0,IFERROR(MATCH(Tasks[[#This Row],[Pred2 UID]],Tasks[UID],0),-1))</f>
        <v>0</v>
      </c>
      <c r="BR17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7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7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7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74" s="43" t="n">
        <f aca="false">IF(NOT(Tasks[[#This Row],[_IsLeaf]]=1),0,IF(N(Tasks[[#This Row],[Actual Finish]])&gt;0,1,MIN(1,N(Tasks[[#This Row],[% Complete]]))))</f>
        <v>0</v>
      </c>
      <c r="BW17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74" s="43" t="n">
        <f aca="false">IF(Tasks[[#This Row],[_LeafWork]]=0,0,Tasks[[#This Row],[_LeafWork]]*IFERROR(INDEX(res_Rate,MATCH(Tasks[[#This Row],[Resource]],res_Name,0)),0))</f>
        <v>0</v>
      </c>
      <c r="BY17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7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7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7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74" s="43" t="n">
        <f aca="false">IF(NOT(Tasks[[#This Row],[_IsLeaf]]=1),0,MAX(_xlfn.MAXIFS(Tasks[_Row],Tasks[Pred1 UID],Tasks[[#This Row],[UID]]),_xlfn.MAXIFS(Tasks[_Row],Tasks[Pred2 UID],Tasks[[#This Row],[UID]])))</f>
        <v>0</v>
      </c>
      <c r="CD17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74" s="87" t="str">
        <f aca="false">IF(NOT(Tasks[[#This Row],[_IsLeaf]]=1),"",MIN(ProjectFinish,IF(N(Tasks[[#This Row],[Deadline]])&gt;0,Tasks[[#This Row],[Deadline]],2958465),Tasks[[#This Row],[_SuccessorFinishLimit]]))</f>
        <v/>
      </c>
      <c r="CF17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7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74" s="86" t="b">
        <f aca="false">AND(Tasks[[#This Row],[_IsLeaf]]=1,Tasks[[#This Row],[_LeafProgress]]&lt;1,N(Tasks[[#This Row],[_LeafTotalSlack]])&lt;=CriticalSlackDays)</f>
        <v>0</v>
      </c>
      <c r="CI17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7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7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7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7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7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7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7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74" s="43" t="n">
        <f aca="false">IF(AND(Tasks[[#This Row],[_IsLeaf]]=1,Tasks[[#This Row],[_LeafWork]]&gt;0),NETWORKDAYS.INTL(ProjectStart,Tasks[[#This Row],[_LeafFcstStart]],WorkWeek,Holidays),0)</f>
        <v>0</v>
      </c>
      <c r="CR17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74" s="43" t="n">
        <f aca="false">IF(AND(Tasks[[#This Row],[_IsLeaf]]=1,Tasks[[#This Row],[_LeafWork]]&gt;0),Tasks[[#This Row],[_LeafWork]]/(Tasks[[#This Row],[_FinishWorkday]]-Tasks[[#This Row],[_StartWorkday]]+1),0)</f>
        <v>0</v>
      </c>
      <c r="CT174" s="43" t="n">
        <f aca="false">Tasks[[#This Row],[_WorkPerWorkday]]*(Tasks[[#This Row],[_StartWorkday]]-1)</f>
        <v>-0</v>
      </c>
      <c r="CU174" s="43" t="n">
        <f aca="false">IF(Tasks[[#This Row],[_IsLeaf]]=1,MAX(N(Tasks[[#This Row],[Duration]]),0.1),0)</f>
        <v>0</v>
      </c>
      <c r="CV174" s="43" t="n">
        <f aca="false">Tasks[[#This Row],[_WeightDur]]*Tasks[[#This Row],[_LeafProgress]]</f>
        <v>0</v>
      </c>
      <c r="CW17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7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7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7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7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74" s="43" t="str">
        <f aca="false">IF(AND(Tasks[[#This Row],[_IsLeaf]]=1,N(Tasks[[#This Row],[Duration]])=0,Tasks[[#This Row],[_LeafProgress]]&lt;1),Tasks[[#This Row],[_LeafFcstFinish]]+Tasks[[#This Row],[_Row]]/100000,"")</f>
        <v/>
      </c>
      <c r="DC17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74" s="43" t="n">
        <f aca="false">IF(NOT(Tasks[[#This Row],[_IsLeaf]]=1),0,IF(Tasks[[#This Row],[Baseline Cost]]="",Tasks[[#This Row],[_LeafCost]],N(Tasks[[#This Row],[Baseline Cost]])))</f>
        <v>0</v>
      </c>
      <c r="DE174" s="43" t="n">
        <f aca="false">Tasks[[#This Row],[_LeafBudget]]*Tasks[[#This Row],[_PlannedPct]]</f>
        <v>0</v>
      </c>
      <c r="DF174" s="43" t="n">
        <f aca="false">Tasks[[#This Row],[_LeafBudget]]*Tasks[[#This Row],[_LeafProgress]]</f>
        <v>0</v>
      </c>
      <c r="DG174" s="43" t="n">
        <f aca="false">IF(NOT(Tasks[[#This Row],[_IsLeaf]]=1),0,IF(Tasks[[#This Row],[Actual Cost]]="",Tasks[[#This Row],[_LeafCost]]*Tasks[[#This Row],[_LeafProgress]],N(Tasks[[#This Row],[Actual Cost]])))</f>
        <v>0</v>
      </c>
      <c r="DH174" s="43" t="str">
        <f aca="false">IF(Tasks[[#This Row],[Task Name]]="","",LEFT(Tasks[[#This Row],[WBS]],FIND(".",Tasks[[#This Row],[WBS]]&amp;".")-1))</f>
        <v/>
      </c>
      <c r="DI174" s="43" t="str">
        <f aca="false">IF(AND(Tasks[[#This Row],[Task Name]]&lt;&gt;"",Tasks[[#This Row],[_Level]]=1),Tasks[[#This Row],[_Row]],"")</f>
        <v/>
      </c>
      <c r="DJ174" s="43" t="str">
        <f aca="false">IF(AND(Tasks[[#This Row],[_IsLeaf]]=1,N(Tasks[[#This Row],[Duration]])=0),Tasks[[#This Row],[Planned Finish]]+Tasks[[#This Row],[_Row]]/100000,"")</f>
        <v/>
      </c>
      <c r="DK17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7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7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74" s="43" t="str">
        <f aca="false">IF(Tasks[[#This Row],[_LeafCritical]],Tasks[[#This Row],[_LeafFcstStart]]+Tasks[[#This Row],[_Row]]/100000,"")</f>
        <v/>
      </c>
      <c r="DO174" s="43" t="n">
        <f aca="false">Tasks[[#This Row],[_LeafWork]]*Tasks[[#This Row],[_LeafProgress]]</f>
        <v>0</v>
      </c>
      <c r="DP17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74" s="43" t="n">
        <f aca="false">IF(Tasks[[#This Row],[_IsLeaf]]=1,N(Tasks[[#This Row],[Story Points]]),0)</f>
        <v>0</v>
      </c>
      <c r="DR174" s="43" t="str">
        <f aca="false">IF(AND(Tasks[[#This Row],[_IsLeaf]]=1,CurrentSprint&lt;&gt;"",Tasks[[#This Row],[Sprint]]=CurrentSprint),Tasks[[#This Row],[_Row]],"")</f>
        <v/>
      </c>
    </row>
    <row r="175" customFormat="false" ht="15" hidden="false" customHeight="false" outlineLevel="0" collapsed="false">
      <c r="A175" s="28" t="str">
        <f aca="false">IF(Tasks[[#This Row],[Task Name]]="","",COUNTA(Tasks[[#Headers],[Task Name]]:Tasks[[#This Row],[Task Name]])-1)</f>
        <v/>
      </c>
      <c r="B175" s="29" t="n">
        <v>170</v>
      </c>
      <c r="C17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75" s="29"/>
      <c r="E175" s="30"/>
      <c r="F175" s="29"/>
      <c r="G175" s="29"/>
      <c r="H175" s="29"/>
      <c r="I175" s="29"/>
      <c r="J175" s="29"/>
      <c r="K175" s="29"/>
      <c r="L175" s="29"/>
      <c r="M175" s="29"/>
      <c r="N175" s="72"/>
      <c r="O175" s="72"/>
      <c r="P175" s="25" t="str">
        <f aca="false">IF(Tasks[[#This Row],[Task Name]]="","",IF(N(Tasks[[#This Row],[Baseline Start]])&gt;0,Tasks[[#This Row],[Baseline Start]],Tasks[[#This Row],[_CalcStart]]))</f>
        <v/>
      </c>
      <c r="Q175" s="25" t="str">
        <f aca="false">IF(Tasks[[#This Row],[Task Name]]="","",IF(N(Tasks[[#This Row],[Baseline Finish]])&gt;0,Tasks[[#This Row],[Baseline Finish]],Tasks[[#This Row],[_CalcFinish]]))</f>
        <v/>
      </c>
      <c r="R175" s="72"/>
      <c r="S175" s="72"/>
      <c r="T17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7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7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7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7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7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7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7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7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7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7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75" s="74"/>
      <c r="AF17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7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75" s="30"/>
      <c r="AI175" s="74"/>
      <c r="AJ17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7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75" s="83"/>
      <c r="AM175" s="29"/>
      <c r="AN17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75" s="84"/>
      <c r="AP17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75" s="30"/>
      <c r="AR175" s="25" t="str">
        <f aca="false">IF(Tasks[[#This Row],[Task Name]]="","",Tasks[[#This Row],[Forecast Start]])</f>
        <v/>
      </c>
      <c r="AS175" s="25" t="str">
        <f aca="false">IF(Tasks[[#This Row],[Task Name]]="","",Tasks[[#This Row],[Forecast Finish]])</f>
        <v/>
      </c>
      <c r="AT17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75" s="81" t="str">
        <f aca="false">IF(Tasks[[#This Row],[Task Name]]="","",Tasks[[#This Row],[Work]])</f>
        <v/>
      </c>
      <c r="AV175" s="82" t="str">
        <f aca="false">IF(Tasks[[#This Row],[Task Name]]="","",Tasks[[#This Row],[Cost]])</f>
        <v/>
      </c>
      <c r="AW175" s="72"/>
      <c r="AX175" s="72"/>
      <c r="AY175" s="29"/>
      <c r="AZ175" s="85"/>
      <c r="BA175" s="83"/>
      <c r="BB175" s="28" t="str">
        <f aca="false">IF(OR(Tasks[[#This Row],[Task Name]]="",Tasks[[#This Row],[Baseline Duration]]=""),"",Tasks[[#This Row],[BL Source Duration]]-N(Tasks[[#This Row],[Baseline Duration]]))</f>
        <v/>
      </c>
      <c r="BC175" s="81" t="str">
        <f aca="false">IF(OR(Tasks[[#This Row],[Task Name]]="",Tasks[[#This Row],[Baseline Work]]=""),"",Tasks[[#This Row],[Work]]-N(Tasks[[#This Row],[Baseline Work]]))</f>
        <v/>
      </c>
      <c r="BD175" s="82" t="str">
        <f aca="false">IF(OR(Tasks[[#This Row],[Task Name]]="",Tasks[[#This Row],[Baseline Cost]]=""),"",Tasks[[#This Row],[Cost]]-N(Tasks[[#This Row],[Baseline Cost]]))</f>
        <v/>
      </c>
      <c r="BE17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7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7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7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75" s="43" t="str">
        <f aca="false">IF(Tasks[[#This Row],[Task Name]]="","",MAX(1,N(Tasks[[#This Row],[Level]])))</f>
        <v/>
      </c>
      <c r="BJ175" s="43" t="n">
        <f aca="false">ROW()-ROW(Tasks[[#Headers],[ID]])</f>
        <v>170</v>
      </c>
      <c r="BK17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75" s="43" t="n">
        <f aca="false">IFERROR(N(INDEX(Tasks[_Level],Tasks[[#This Row],[_Row]]+1)),0)</f>
        <v>0</v>
      </c>
      <c r="BM175" s="86" t="b">
        <f aca="false">AND(Tasks[[#This Row],[Task Name]]&lt;&gt;"",Tasks[[#This Row],[_NextLevel]]&gt;Tasks[[#This Row],[_Level]])</f>
        <v>0</v>
      </c>
      <c r="BN175" s="43" t="n">
        <f aca="false">IF(Tasks[[#This Row],[_IsSummary]],COUNTIF(Tasks[WBS],Tasks[[#This Row],[WBS]]&amp;".*"),0)</f>
        <v>0</v>
      </c>
      <c r="BO175" s="43" t="n">
        <f aca="false">IF(AND(Tasks[[#This Row],[Task Name]]&lt;&gt;"",NOT(Tasks[[#This Row],[_IsSummary]])),1,0)</f>
        <v>0</v>
      </c>
      <c r="BP175" s="43" t="n">
        <f aca="false">IF(N(Tasks[[#This Row],[Pred1 UID]])=0,0,IFERROR(MATCH(Tasks[[#This Row],[Pred1 UID]],Tasks[UID],0),-1))</f>
        <v>0</v>
      </c>
      <c r="BQ175" s="43" t="n">
        <f aca="false">IF(N(Tasks[[#This Row],[Pred2 UID]])=0,0,IFERROR(MATCH(Tasks[[#This Row],[Pred2 UID]],Tasks[UID],0),-1))</f>
        <v>0</v>
      </c>
      <c r="BR17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7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7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7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75" s="43" t="n">
        <f aca="false">IF(NOT(Tasks[[#This Row],[_IsLeaf]]=1),0,IF(N(Tasks[[#This Row],[Actual Finish]])&gt;0,1,MIN(1,N(Tasks[[#This Row],[% Complete]]))))</f>
        <v>0</v>
      </c>
      <c r="BW17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75" s="43" t="n">
        <f aca="false">IF(Tasks[[#This Row],[_LeafWork]]=0,0,Tasks[[#This Row],[_LeafWork]]*IFERROR(INDEX(res_Rate,MATCH(Tasks[[#This Row],[Resource]],res_Name,0)),0))</f>
        <v>0</v>
      </c>
      <c r="BY17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7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7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7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75" s="43" t="n">
        <f aca="false">IF(NOT(Tasks[[#This Row],[_IsLeaf]]=1),0,MAX(_xlfn.MAXIFS(Tasks[_Row],Tasks[Pred1 UID],Tasks[[#This Row],[UID]]),_xlfn.MAXIFS(Tasks[_Row],Tasks[Pred2 UID],Tasks[[#This Row],[UID]])))</f>
        <v>0</v>
      </c>
      <c r="CD17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75" s="87" t="str">
        <f aca="false">IF(NOT(Tasks[[#This Row],[_IsLeaf]]=1),"",MIN(ProjectFinish,IF(N(Tasks[[#This Row],[Deadline]])&gt;0,Tasks[[#This Row],[Deadline]],2958465),Tasks[[#This Row],[_SuccessorFinishLimit]]))</f>
        <v/>
      </c>
      <c r="CF17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7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75" s="86" t="b">
        <f aca="false">AND(Tasks[[#This Row],[_IsLeaf]]=1,Tasks[[#This Row],[_LeafProgress]]&lt;1,N(Tasks[[#This Row],[_LeafTotalSlack]])&lt;=CriticalSlackDays)</f>
        <v>0</v>
      </c>
      <c r="CI17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7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7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7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7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7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7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7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75" s="43" t="n">
        <f aca="false">IF(AND(Tasks[[#This Row],[_IsLeaf]]=1,Tasks[[#This Row],[_LeafWork]]&gt;0),NETWORKDAYS.INTL(ProjectStart,Tasks[[#This Row],[_LeafFcstStart]],WorkWeek,Holidays),0)</f>
        <v>0</v>
      </c>
      <c r="CR17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75" s="43" t="n">
        <f aca="false">IF(AND(Tasks[[#This Row],[_IsLeaf]]=1,Tasks[[#This Row],[_LeafWork]]&gt;0),Tasks[[#This Row],[_LeafWork]]/(Tasks[[#This Row],[_FinishWorkday]]-Tasks[[#This Row],[_StartWorkday]]+1),0)</f>
        <v>0</v>
      </c>
      <c r="CT175" s="43" t="n">
        <f aca="false">Tasks[[#This Row],[_WorkPerWorkday]]*(Tasks[[#This Row],[_StartWorkday]]-1)</f>
        <v>-0</v>
      </c>
      <c r="CU175" s="43" t="n">
        <f aca="false">IF(Tasks[[#This Row],[_IsLeaf]]=1,MAX(N(Tasks[[#This Row],[Duration]]),0.1),0)</f>
        <v>0</v>
      </c>
      <c r="CV175" s="43" t="n">
        <f aca="false">Tasks[[#This Row],[_WeightDur]]*Tasks[[#This Row],[_LeafProgress]]</f>
        <v>0</v>
      </c>
      <c r="CW17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7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7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7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7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75" s="43" t="str">
        <f aca="false">IF(AND(Tasks[[#This Row],[_IsLeaf]]=1,N(Tasks[[#This Row],[Duration]])=0,Tasks[[#This Row],[_LeafProgress]]&lt;1),Tasks[[#This Row],[_LeafFcstFinish]]+Tasks[[#This Row],[_Row]]/100000,"")</f>
        <v/>
      </c>
      <c r="DC17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75" s="43" t="n">
        <f aca="false">IF(NOT(Tasks[[#This Row],[_IsLeaf]]=1),0,IF(Tasks[[#This Row],[Baseline Cost]]="",Tasks[[#This Row],[_LeafCost]],N(Tasks[[#This Row],[Baseline Cost]])))</f>
        <v>0</v>
      </c>
      <c r="DE175" s="43" t="n">
        <f aca="false">Tasks[[#This Row],[_LeafBudget]]*Tasks[[#This Row],[_PlannedPct]]</f>
        <v>0</v>
      </c>
      <c r="DF175" s="43" t="n">
        <f aca="false">Tasks[[#This Row],[_LeafBudget]]*Tasks[[#This Row],[_LeafProgress]]</f>
        <v>0</v>
      </c>
      <c r="DG175" s="43" t="n">
        <f aca="false">IF(NOT(Tasks[[#This Row],[_IsLeaf]]=1),0,IF(Tasks[[#This Row],[Actual Cost]]="",Tasks[[#This Row],[_LeafCost]]*Tasks[[#This Row],[_LeafProgress]],N(Tasks[[#This Row],[Actual Cost]])))</f>
        <v>0</v>
      </c>
      <c r="DH175" s="43" t="str">
        <f aca="false">IF(Tasks[[#This Row],[Task Name]]="","",LEFT(Tasks[[#This Row],[WBS]],FIND(".",Tasks[[#This Row],[WBS]]&amp;".")-1))</f>
        <v/>
      </c>
      <c r="DI175" s="43" t="str">
        <f aca="false">IF(AND(Tasks[[#This Row],[Task Name]]&lt;&gt;"",Tasks[[#This Row],[_Level]]=1),Tasks[[#This Row],[_Row]],"")</f>
        <v/>
      </c>
      <c r="DJ175" s="43" t="str">
        <f aca="false">IF(AND(Tasks[[#This Row],[_IsLeaf]]=1,N(Tasks[[#This Row],[Duration]])=0),Tasks[[#This Row],[Planned Finish]]+Tasks[[#This Row],[_Row]]/100000,"")</f>
        <v/>
      </c>
      <c r="DK17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7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7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75" s="43" t="str">
        <f aca="false">IF(Tasks[[#This Row],[_LeafCritical]],Tasks[[#This Row],[_LeafFcstStart]]+Tasks[[#This Row],[_Row]]/100000,"")</f>
        <v/>
      </c>
      <c r="DO175" s="43" t="n">
        <f aca="false">Tasks[[#This Row],[_LeafWork]]*Tasks[[#This Row],[_LeafProgress]]</f>
        <v>0</v>
      </c>
      <c r="DP17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75" s="43" t="n">
        <f aca="false">IF(Tasks[[#This Row],[_IsLeaf]]=1,N(Tasks[[#This Row],[Story Points]]),0)</f>
        <v>0</v>
      </c>
      <c r="DR175" s="43" t="str">
        <f aca="false">IF(AND(Tasks[[#This Row],[_IsLeaf]]=1,CurrentSprint&lt;&gt;"",Tasks[[#This Row],[Sprint]]=CurrentSprint),Tasks[[#This Row],[_Row]],"")</f>
        <v/>
      </c>
    </row>
    <row r="176" customFormat="false" ht="15" hidden="false" customHeight="false" outlineLevel="0" collapsed="false">
      <c r="A176" s="28" t="str">
        <f aca="false">IF(Tasks[[#This Row],[Task Name]]="","",COUNTA(Tasks[[#Headers],[Task Name]]:Tasks[[#This Row],[Task Name]])-1)</f>
        <v/>
      </c>
      <c r="B176" s="29" t="n">
        <v>171</v>
      </c>
      <c r="C17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76" s="29"/>
      <c r="E176" s="30"/>
      <c r="F176" s="29"/>
      <c r="G176" s="29"/>
      <c r="H176" s="29"/>
      <c r="I176" s="29"/>
      <c r="J176" s="29"/>
      <c r="K176" s="29"/>
      <c r="L176" s="29"/>
      <c r="M176" s="29"/>
      <c r="N176" s="72"/>
      <c r="O176" s="72"/>
      <c r="P176" s="25" t="str">
        <f aca="false">IF(Tasks[[#This Row],[Task Name]]="","",IF(N(Tasks[[#This Row],[Baseline Start]])&gt;0,Tasks[[#This Row],[Baseline Start]],Tasks[[#This Row],[_CalcStart]]))</f>
        <v/>
      </c>
      <c r="Q176" s="25" t="str">
        <f aca="false">IF(Tasks[[#This Row],[Task Name]]="","",IF(N(Tasks[[#This Row],[Baseline Finish]])&gt;0,Tasks[[#This Row],[Baseline Finish]],Tasks[[#This Row],[_CalcFinish]]))</f>
        <v/>
      </c>
      <c r="R176" s="72"/>
      <c r="S176" s="72"/>
      <c r="T17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7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7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7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7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7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7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7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7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7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7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76" s="74"/>
      <c r="AF17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7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76" s="30"/>
      <c r="AI176" s="74"/>
      <c r="AJ17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7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76" s="83"/>
      <c r="AM176" s="29"/>
      <c r="AN17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76" s="84"/>
      <c r="AP17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76" s="30"/>
      <c r="AR176" s="25" t="str">
        <f aca="false">IF(Tasks[[#This Row],[Task Name]]="","",Tasks[[#This Row],[Forecast Start]])</f>
        <v/>
      </c>
      <c r="AS176" s="25" t="str">
        <f aca="false">IF(Tasks[[#This Row],[Task Name]]="","",Tasks[[#This Row],[Forecast Finish]])</f>
        <v/>
      </c>
      <c r="AT17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76" s="81" t="str">
        <f aca="false">IF(Tasks[[#This Row],[Task Name]]="","",Tasks[[#This Row],[Work]])</f>
        <v/>
      </c>
      <c r="AV176" s="82" t="str">
        <f aca="false">IF(Tasks[[#This Row],[Task Name]]="","",Tasks[[#This Row],[Cost]])</f>
        <v/>
      </c>
      <c r="AW176" s="72"/>
      <c r="AX176" s="72"/>
      <c r="AY176" s="29"/>
      <c r="AZ176" s="85"/>
      <c r="BA176" s="83"/>
      <c r="BB176" s="28" t="str">
        <f aca="false">IF(OR(Tasks[[#This Row],[Task Name]]="",Tasks[[#This Row],[Baseline Duration]]=""),"",Tasks[[#This Row],[BL Source Duration]]-N(Tasks[[#This Row],[Baseline Duration]]))</f>
        <v/>
      </c>
      <c r="BC176" s="81" t="str">
        <f aca="false">IF(OR(Tasks[[#This Row],[Task Name]]="",Tasks[[#This Row],[Baseline Work]]=""),"",Tasks[[#This Row],[Work]]-N(Tasks[[#This Row],[Baseline Work]]))</f>
        <v/>
      </c>
      <c r="BD176" s="82" t="str">
        <f aca="false">IF(OR(Tasks[[#This Row],[Task Name]]="",Tasks[[#This Row],[Baseline Cost]]=""),"",Tasks[[#This Row],[Cost]]-N(Tasks[[#This Row],[Baseline Cost]]))</f>
        <v/>
      </c>
      <c r="BE17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7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7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7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76" s="43" t="str">
        <f aca="false">IF(Tasks[[#This Row],[Task Name]]="","",MAX(1,N(Tasks[[#This Row],[Level]])))</f>
        <v/>
      </c>
      <c r="BJ176" s="43" t="n">
        <f aca="false">ROW()-ROW(Tasks[[#Headers],[ID]])</f>
        <v>171</v>
      </c>
      <c r="BK17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76" s="43" t="n">
        <f aca="false">IFERROR(N(INDEX(Tasks[_Level],Tasks[[#This Row],[_Row]]+1)),0)</f>
        <v>0</v>
      </c>
      <c r="BM176" s="86" t="b">
        <f aca="false">AND(Tasks[[#This Row],[Task Name]]&lt;&gt;"",Tasks[[#This Row],[_NextLevel]]&gt;Tasks[[#This Row],[_Level]])</f>
        <v>0</v>
      </c>
      <c r="BN176" s="43" t="n">
        <f aca="false">IF(Tasks[[#This Row],[_IsSummary]],COUNTIF(Tasks[WBS],Tasks[[#This Row],[WBS]]&amp;".*"),0)</f>
        <v>0</v>
      </c>
      <c r="BO176" s="43" t="n">
        <f aca="false">IF(AND(Tasks[[#This Row],[Task Name]]&lt;&gt;"",NOT(Tasks[[#This Row],[_IsSummary]])),1,0)</f>
        <v>0</v>
      </c>
      <c r="BP176" s="43" t="n">
        <f aca="false">IF(N(Tasks[[#This Row],[Pred1 UID]])=0,0,IFERROR(MATCH(Tasks[[#This Row],[Pred1 UID]],Tasks[UID],0),-1))</f>
        <v>0</v>
      </c>
      <c r="BQ176" s="43" t="n">
        <f aca="false">IF(N(Tasks[[#This Row],[Pred2 UID]])=0,0,IFERROR(MATCH(Tasks[[#This Row],[Pred2 UID]],Tasks[UID],0),-1))</f>
        <v>0</v>
      </c>
      <c r="BR17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7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7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7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76" s="43" t="n">
        <f aca="false">IF(NOT(Tasks[[#This Row],[_IsLeaf]]=1),0,IF(N(Tasks[[#This Row],[Actual Finish]])&gt;0,1,MIN(1,N(Tasks[[#This Row],[% Complete]]))))</f>
        <v>0</v>
      </c>
      <c r="BW17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76" s="43" t="n">
        <f aca="false">IF(Tasks[[#This Row],[_LeafWork]]=0,0,Tasks[[#This Row],[_LeafWork]]*IFERROR(INDEX(res_Rate,MATCH(Tasks[[#This Row],[Resource]],res_Name,0)),0))</f>
        <v>0</v>
      </c>
      <c r="BY17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7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7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7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76" s="43" t="n">
        <f aca="false">IF(NOT(Tasks[[#This Row],[_IsLeaf]]=1),0,MAX(_xlfn.MAXIFS(Tasks[_Row],Tasks[Pred1 UID],Tasks[[#This Row],[UID]]),_xlfn.MAXIFS(Tasks[_Row],Tasks[Pred2 UID],Tasks[[#This Row],[UID]])))</f>
        <v>0</v>
      </c>
      <c r="CD17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76" s="87" t="str">
        <f aca="false">IF(NOT(Tasks[[#This Row],[_IsLeaf]]=1),"",MIN(ProjectFinish,IF(N(Tasks[[#This Row],[Deadline]])&gt;0,Tasks[[#This Row],[Deadline]],2958465),Tasks[[#This Row],[_SuccessorFinishLimit]]))</f>
        <v/>
      </c>
      <c r="CF17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7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76" s="86" t="b">
        <f aca="false">AND(Tasks[[#This Row],[_IsLeaf]]=1,Tasks[[#This Row],[_LeafProgress]]&lt;1,N(Tasks[[#This Row],[_LeafTotalSlack]])&lt;=CriticalSlackDays)</f>
        <v>0</v>
      </c>
      <c r="CI17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7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7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7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7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7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7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7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76" s="43" t="n">
        <f aca="false">IF(AND(Tasks[[#This Row],[_IsLeaf]]=1,Tasks[[#This Row],[_LeafWork]]&gt;0),NETWORKDAYS.INTL(ProjectStart,Tasks[[#This Row],[_LeafFcstStart]],WorkWeek,Holidays),0)</f>
        <v>0</v>
      </c>
      <c r="CR17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76" s="43" t="n">
        <f aca="false">IF(AND(Tasks[[#This Row],[_IsLeaf]]=1,Tasks[[#This Row],[_LeafWork]]&gt;0),Tasks[[#This Row],[_LeafWork]]/(Tasks[[#This Row],[_FinishWorkday]]-Tasks[[#This Row],[_StartWorkday]]+1),0)</f>
        <v>0</v>
      </c>
      <c r="CT176" s="43" t="n">
        <f aca="false">Tasks[[#This Row],[_WorkPerWorkday]]*(Tasks[[#This Row],[_StartWorkday]]-1)</f>
        <v>-0</v>
      </c>
      <c r="CU176" s="43" t="n">
        <f aca="false">IF(Tasks[[#This Row],[_IsLeaf]]=1,MAX(N(Tasks[[#This Row],[Duration]]),0.1),0)</f>
        <v>0</v>
      </c>
      <c r="CV176" s="43" t="n">
        <f aca="false">Tasks[[#This Row],[_WeightDur]]*Tasks[[#This Row],[_LeafProgress]]</f>
        <v>0</v>
      </c>
      <c r="CW17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7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7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7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7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76" s="43" t="str">
        <f aca="false">IF(AND(Tasks[[#This Row],[_IsLeaf]]=1,N(Tasks[[#This Row],[Duration]])=0,Tasks[[#This Row],[_LeafProgress]]&lt;1),Tasks[[#This Row],[_LeafFcstFinish]]+Tasks[[#This Row],[_Row]]/100000,"")</f>
        <v/>
      </c>
      <c r="DC17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76" s="43" t="n">
        <f aca="false">IF(NOT(Tasks[[#This Row],[_IsLeaf]]=1),0,IF(Tasks[[#This Row],[Baseline Cost]]="",Tasks[[#This Row],[_LeafCost]],N(Tasks[[#This Row],[Baseline Cost]])))</f>
        <v>0</v>
      </c>
      <c r="DE176" s="43" t="n">
        <f aca="false">Tasks[[#This Row],[_LeafBudget]]*Tasks[[#This Row],[_PlannedPct]]</f>
        <v>0</v>
      </c>
      <c r="DF176" s="43" t="n">
        <f aca="false">Tasks[[#This Row],[_LeafBudget]]*Tasks[[#This Row],[_LeafProgress]]</f>
        <v>0</v>
      </c>
      <c r="DG176" s="43" t="n">
        <f aca="false">IF(NOT(Tasks[[#This Row],[_IsLeaf]]=1),0,IF(Tasks[[#This Row],[Actual Cost]]="",Tasks[[#This Row],[_LeafCost]]*Tasks[[#This Row],[_LeafProgress]],N(Tasks[[#This Row],[Actual Cost]])))</f>
        <v>0</v>
      </c>
      <c r="DH176" s="43" t="str">
        <f aca="false">IF(Tasks[[#This Row],[Task Name]]="","",LEFT(Tasks[[#This Row],[WBS]],FIND(".",Tasks[[#This Row],[WBS]]&amp;".")-1))</f>
        <v/>
      </c>
      <c r="DI176" s="43" t="str">
        <f aca="false">IF(AND(Tasks[[#This Row],[Task Name]]&lt;&gt;"",Tasks[[#This Row],[_Level]]=1),Tasks[[#This Row],[_Row]],"")</f>
        <v/>
      </c>
      <c r="DJ176" s="43" t="str">
        <f aca="false">IF(AND(Tasks[[#This Row],[_IsLeaf]]=1,N(Tasks[[#This Row],[Duration]])=0),Tasks[[#This Row],[Planned Finish]]+Tasks[[#This Row],[_Row]]/100000,"")</f>
        <v/>
      </c>
      <c r="DK17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7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7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76" s="43" t="str">
        <f aca="false">IF(Tasks[[#This Row],[_LeafCritical]],Tasks[[#This Row],[_LeafFcstStart]]+Tasks[[#This Row],[_Row]]/100000,"")</f>
        <v/>
      </c>
      <c r="DO176" s="43" t="n">
        <f aca="false">Tasks[[#This Row],[_LeafWork]]*Tasks[[#This Row],[_LeafProgress]]</f>
        <v>0</v>
      </c>
      <c r="DP17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76" s="43" t="n">
        <f aca="false">IF(Tasks[[#This Row],[_IsLeaf]]=1,N(Tasks[[#This Row],[Story Points]]),0)</f>
        <v>0</v>
      </c>
      <c r="DR176" s="43" t="str">
        <f aca="false">IF(AND(Tasks[[#This Row],[_IsLeaf]]=1,CurrentSprint&lt;&gt;"",Tasks[[#This Row],[Sprint]]=CurrentSprint),Tasks[[#This Row],[_Row]],"")</f>
        <v/>
      </c>
    </row>
    <row r="177" customFormat="false" ht="15" hidden="false" customHeight="false" outlineLevel="0" collapsed="false">
      <c r="A177" s="28" t="str">
        <f aca="false">IF(Tasks[[#This Row],[Task Name]]="","",COUNTA(Tasks[[#Headers],[Task Name]]:Tasks[[#This Row],[Task Name]])-1)</f>
        <v/>
      </c>
      <c r="B177" s="29" t="n">
        <v>172</v>
      </c>
      <c r="C17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77" s="29"/>
      <c r="E177" s="30"/>
      <c r="F177" s="29"/>
      <c r="G177" s="29"/>
      <c r="H177" s="29"/>
      <c r="I177" s="29"/>
      <c r="J177" s="29"/>
      <c r="K177" s="29"/>
      <c r="L177" s="29"/>
      <c r="M177" s="29"/>
      <c r="N177" s="72"/>
      <c r="O177" s="72"/>
      <c r="P177" s="25" t="str">
        <f aca="false">IF(Tasks[[#This Row],[Task Name]]="","",IF(N(Tasks[[#This Row],[Baseline Start]])&gt;0,Tasks[[#This Row],[Baseline Start]],Tasks[[#This Row],[_CalcStart]]))</f>
        <v/>
      </c>
      <c r="Q177" s="25" t="str">
        <f aca="false">IF(Tasks[[#This Row],[Task Name]]="","",IF(N(Tasks[[#This Row],[Baseline Finish]])&gt;0,Tasks[[#This Row],[Baseline Finish]],Tasks[[#This Row],[_CalcFinish]]))</f>
        <v/>
      </c>
      <c r="R177" s="72"/>
      <c r="S177" s="72"/>
      <c r="T17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7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7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7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7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7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7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7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7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7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7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77" s="74"/>
      <c r="AF17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7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77" s="30"/>
      <c r="AI177" s="74"/>
      <c r="AJ17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7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77" s="83"/>
      <c r="AM177" s="29"/>
      <c r="AN17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77" s="84"/>
      <c r="AP17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77" s="30"/>
      <c r="AR177" s="25" t="str">
        <f aca="false">IF(Tasks[[#This Row],[Task Name]]="","",Tasks[[#This Row],[Forecast Start]])</f>
        <v/>
      </c>
      <c r="AS177" s="25" t="str">
        <f aca="false">IF(Tasks[[#This Row],[Task Name]]="","",Tasks[[#This Row],[Forecast Finish]])</f>
        <v/>
      </c>
      <c r="AT17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77" s="81" t="str">
        <f aca="false">IF(Tasks[[#This Row],[Task Name]]="","",Tasks[[#This Row],[Work]])</f>
        <v/>
      </c>
      <c r="AV177" s="82" t="str">
        <f aca="false">IF(Tasks[[#This Row],[Task Name]]="","",Tasks[[#This Row],[Cost]])</f>
        <v/>
      </c>
      <c r="AW177" s="72"/>
      <c r="AX177" s="72"/>
      <c r="AY177" s="29"/>
      <c r="AZ177" s="85"/>
      <c r="BA177" s="83"/>
      <c r="BB177" s="28" t="str">
        <f aca="false">IF(OR(Tasks[[#This Row],[Task Name]]="",Tasks[[#This Row],[Baseline Duration]]=""),"",Tasks[[#This Row],[BL Source Duration]]-N(Tasks[[#This Row],[Baseline Duration]]))</f>
        <v/>
      </c>
      <c r="BC177" s="81" t="str">
        <f aca="false">IF(OR(Tasks[[#This Row],[Task Name]]="",Tasks[[#This Row],[Baseline Work]]=""),"",Tasks[[#This Row],[Work]]-N(Tasks[[#This Row],[Baseline Work]]))</f>
        <v/>
      </c>
      <c r="BD177" s="82" t="str">
        <f aca="false">IF(OR(Tasks[[#This Row],[Task Name]]="",Tasks[[#This Row],[Baseline Cost]]=""),"",Tasks[[#This Row],[Cost]]-N(Tasks[[#This Row],[Baseline Cost]]))</f>
        <v/>
      </c>
      <c r="BE17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7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7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7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77" s="43" t="str">
        <f aca="false">IF(Tasks[[#This Row],[Task Name]]="","",MAX(1,N(Tasks[[#This Row],[Level]])))</f>
        <v/>
      </c>
      <c r="BJ177" s="43" t="n">
        <f aca="false">ROW()-ROW(Tasks[[#Headers],[ID]])</f>
        <v>172</v>
      </c>
      <c r="BK17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77" s="43" t="n">
        <f aca="false">IFERROR(N(INDEX(Tasks[_Level],Tasks[[#This Row],[_Row]]+1)),0)</f>
        <v>0</v>
      </c>
      <c r="BM177" s="86" t="b">
        <f aca="false">AND(Tasks[[#This Row],[Task Name]]&lt;&gt;"",Tasks[[#This Row],[_NextLevel]]&gt;Tasks[[#This Row],[_Level]])</f>
        <v>0</v>
      </c>
      <c r="BN177" s="43" t="n">
        <f aca="false">IF(Tasks[[#This Row],[_IsSummary]],COUNTIF(Tasks[WBS],Tasks[[#This Row],[WBS]]&amp;".*"),0)</f>
        <v>0</v>
      </c>
      <c r="BO177" s="43" t="n">
        <f aca="false">IF(AND(Tasks[[#This Row],[Task Name]]&lt;&gt;"",NOT(Tasks[[#This Row],[_IsSummary]])),1,0)</f>
        <v>0</v>
      </c>
      <c r="BP177" s="43" t="n">
        <f aca="false">IF(N(Tasks[[#This Row],[Pred1 UID]])=0,0,IFERROR(MATCH(Tasks[[#This Row],[Pred1 UID]],Tasks[UID],0),-1))</f>
        <v>0</v>
      </c>
      <c r="BQ177" s="43" t="n">
        <f aca="false">IF(N(Tasks[[#This Row],[Pred2 UID]])=0,0,IFERROR(MATCH(Tasks[[#This Row],[Pred2 UID]],Tasks[UID],0),-1))</f>
        <v>0</v>
      </c>
      <c r="BR17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7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7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7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77" s="43" t="n">
        <f aca="false">IF(NOT(Tasks[[#This Row],[_IsLeaf]]=1),0,IF(N(Tasks[[#This Row],[Actual Finish]])&gt;0,1,MIN(1,N(Tasks[[#This Row],[% Complete]]))))</f>
        <v>0</v>
      </c>
      <c r="BW17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77" s="43" t="n">
        <f aca="false">IF(Tasks[[#This Row],[_LeafWork]]=0,0,Tasks[[#This Row],[_LeafWork]]*IFERROR(INDEX(res_Rate,MATCH(Tasks[[#This Row],[Resource]],res_Name,0)),0))</f>
        <v>0</v>
      </c>
      <c r="BY17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7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7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7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77" s="43" t="n">
        <f aca="false">IF(NOT(Tasks[[#This Row],[_IsLeaf]]=1),0,MAX(_xlfn.MAXIFS(Tasks[_Row],Tasks[Pred1 UID],Tasks[[#This Row],[UID]]),_xlfn.MAXIFS(Tasks[_Row],Tasks[Pred2 UID],Tasks[[#This Row],[UID]])))</f>
        <v>0</v>
      </c>
      <c r="CD17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77" s="87" t="str">
        <f aca="false">IF(NOT(Tasks[[#This Row],[_IsLeaf]]=1),"",MIN(ProjectFinish,IF(N(Tasks[[#This Row],[Deadline]])&gt;0,Tasks[[#This Row],[Deadline]],2958465),Tasks[[#This Row],[_SuccessorFinishLimit]]))</f>
        <v/>
      </c>
      <c r="CF17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7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77" s="86" t="b">
        <f aca="false">AND(Tasks[[#This Row],[_IsLeaf]]=1,Tasks[[#This Row],[_LeafProgress]]&lt;1,N(Tasks[[#This Row],[_LeafTotalSlack]])&lt;=CriticalSlackDays)</f>
        <v>0</v>
      </c>
      <c r="CI17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7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7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7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7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7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7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7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77" s="43" t="n">
        <f aca="false">IF(AND(Tasks[[#This Row],[_IsLeaf]]=1,Tasks[[#This Row],[_LeafWork]]&gt;0),NETWORKDAYS.INTL(ProjectStart,Tasks[[#This Row],[_LeafFcstStart]],WorkWeek,Holidays),0)</f>
        <v>0</v>
      </c>
      <c r="CR17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77" s="43" t="n">
        <f aca="false">IF(AND(Tasks[[#This Row],[_IsLeaf]]=1,Tasks[[#This Row],[_LeafWork]]&gt;0),Tasks[[#This Row],[_LeafWork]]/(Tasks[[#This Row],[_FinishWorkday]]-Tasks[[#This Row],[_StartWorkday]]+1),0)</f>
        <v>0</v>
      </c>
      <c r="CT177" s="43" t="n">
        <f aca="false">Tasks[[#This Row],[_WorkPerWorkday]]*(Tasks[[#This Row],[_StartWorkday]]-1)</f>
        <v>-0</v>
      </c>
      <c r="CU177" s="43" t="n">
        <f aca="false">IF(Tasks[[#This Row],[_IsLeaf]]=1,MAX(N(Tasks[[#This Row],[Duration]]),0.1),0)</f>
        <v>0</v>
      </c>
      <c r="CV177" s="43" t="n">
        <f aca="false">Tasks[[#This Row],[_WeightDur]]*Tasks[[#This Row],[_LeafProgress]]</f>
        <v>0</v>
      </c>
      <c r="CW17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7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7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7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7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77" s="43" t="str">
        <f aca="false">IF(AND(Tasks[[#This Row],[_IsLeaf]]=1,N(Tasks[[#This Row],[Duration]])=0,Tasks[[#This Row],[_LeafProgress]]&lt;1),Tasks[[#This Row],[_LeafFcstFinish]]+Tasks[[#This Row],[_Row]]/100000,"")</f>
        <v/>
      </c>
      <c r="DC17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77" s="43" t="n">
        <f aca="false">IF(NOT(Tasks[[#This Row],[_IsLeaf]]=1),0,IF(Tasks[[#This Row],[Baseline Cost]]="",Tasks[[#This Row],[_LeafCost]],N(Tasks[[#This Row],[Baseline Cost]])))</f>
        <v>0</v>
      </c>
      <c r="DE177" s="43" t="n">
        <f aca="false">Tasks[[#This Row],[_LeafBudget]]*Tasks[[#This Row],[_PlannedPct]]</f>
        <v>0</v>
      </c>
      <c r="DF177" s="43" t="n">
        <f aca="false">Tasks[[#This Row],[_LeafBudget]]*Tasks[[#This Row],[_LeafProgress]]</f>
        <v>0</v>
      </c>
      <c r="DG177" s="43" t="n">
        <f aca="false">IF(NOT(Tasks[[#This Row],[_IsLeaf]]=1),0,IF(Tasks[[#This Row],[Actual Cost]]="",Tasks[[#This Row],[_LeafCost]]*Tasks[[#This Row],[_LeafProgress]],N(Tasks[[#This Row],[Actual Cost]])))</f>
        <v>0</v>
      </c>
      <c r="DH177" s="43" t="str">
        <f aca="false">IF(Tasks[[#This Row],[Task Name]]="","",LEFT(Tasks[[#This Row],[WBS]],FIND(".",Tasks[[#This Row],[WBS]]&amp;".")-1))</f>
        <v/>
      </c>
      <c r="DI177" s="43" t="str">
        <f aca="false">IF(AND(Tasks[[#This Row],[Task Name]]&lt;&gt;"",Tasks[[#This Row],[_Level]]=1),Tasks[[#This Row],[_Row]],"")</f>
        <v/>
      </c>
      <c r="DJ177" s="43" t="str">
        <f aca="false">IF(AND(Tasks[[#This Row],[_IsLeaf]]=1,N(Tasks[[#This Row],[Duration]])=0),Tasks[[#This Row],[Planned Finish]]+Tasks[[#This Row],[_Row]]/100000,"")</f>
        <v/>
      </c>
      <c r="DK17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7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7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77" s="43" t="str">
        <f aca="false">IF(Tasks[[#This Row],[_LeafCritical]],Tasks[[#This Row],[_LeafFcstStart]]+Tasks[[#This Row],[_Row]]/100000,"")</f>
        <v/>
      </c>
      <c r="DO177" s="43" t="n">
        <f aca="false">Tasks[[#This Row],[_LeafWork]]*Tasks[[#This Row],[_LeafProgress]]</f>
        <v>0</v>
      </c>
      <c r="DP17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77" s="43" t="n">
        <f aca="false">IF(Tasks[[#This Row],[_IsLeaf]]=1,N(Tasks[[#This Row],[Story Points]]),0)</f>
        <v>0</v>
      </c>
      <c r="DR177" s="43" t="str">
        <f aca="false">IF(AND(Tasks[[#This Row],[_IsLeaf]]=1,CurrentSprint&lt;&gt;"",Tasks[[#This Row],[Sprint]]=CurrentSprint),Tasks[[#This Row],[_Row]],"")</f>
        <v/>
      </c>
    </row>
    <row r="178" customFormat="false" ht="15" hidden="false" customHeight="false" outlineLevel="0" collapsed="false">
      <c r="A178" s="28" t="str">
        <f aca="false">IF(Tasks[[#This Row],[Task Name]]="","",COUNTA(Tasks[[#Headers],[Task Name]]:Tasks[[#This Row],[Task Name]])-1)</f>
        <v/>
      </c>
      <c r="B178" s="29" t="n">
        <v>173</v>
      </c>
      <c r="C17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78" s="29"/>
      <c r="E178" s="30"/>
      <c r="F178" s="29"/>
      <c r="G178" s="29"/>
      <c r="H178" s="29"/>
      <c r="I178" s="29"/>
      <c r="J178" s="29"/>
      <c r="K178" s="29"/>
      <c r="L178" s="29"/>
      <c r="M178" s="29"/>
      <c r="N178" s="72"/>
      <c r="O178" s="72"/>
      <c r="P178" s="25" t="str">
        <f aca="false">IF(Tasks[[#This Row],[Task Name]]="","",IF(N(Tasks[[#This Row],[Baseline Start]])&gt;0,Tasks[[#This Row],[Baseline Start]],Tasks[[#This Row],[_CalcStart]]))</f>
        <v/>
      </c>
      <c r="Q178" s="25" t="str">
        <f aca="false">IF(Tasks[[#This Row],[Task Name]]="","",IF(N(Tasks[[#This Row],[Baseline Finish]])&gt;0,Tasks[[#This Row],[Baseline Finish]],Tasks[[#This Row],[_CalcFinish]]))</f>
        <v/>
      </c>
      <c r="R178" s="72"/>
      <c r="S178" s="72"/>
      <c r="T17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7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7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7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7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7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7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7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7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7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7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78" s="74"/>
      <c r="AF17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7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78" s="30"/>
      <c r="AI178" s="74"/>
      <c r="AJ17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7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78" s="83"/>
      <c r="AM178" s="29"/>
      <c r="AN17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78" s="84"/>
      <c r="AP17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78" s="30"/>
      <c r="AR178" s="25" t="str">
        <f aca="false">IF(Tasks[[#This Row],[Task Name]]="","",Tasks[[#This Row],[Forecast Start]])</f>
        <v/>
      </c>
      <c r="AS178" s="25" t="str">
        <f aca="false">IF(Tasks[[#This Row],[Task Name]]="","",Tasks[[#This Row],[Forecast Finish]])</f>
        <v/>
      </c>
      <c r="AT17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78" s="81" t="str">
        <f aca="false">IF(Tasks[[#This Row],[Task Name]]="","",Tasks[[#This Row],[Work]])</f>
        <v/>
      </c>
      <c r="AV178" s="82" t="str">
        <f aca="false">IF(Tasks[[#This Row],[Task Name]]="","",Tasks[[#This Row],[Cost]])</f>
        <v/>
      </c>
      <c r="AW178" s="72"/>
      <c r="AX178" s="72"/>
      <c r="AY178" s="29"/>
      <c r="AZ178" s="85"/>
      <c r="BA178" s="83"/>
      <c r="BB178" s="28" t="str">
        <f aca="false">IF(OR(Tasks[[#This Row],[Task Name]]="",Tasks[[#This Row],[Baseline Duration]]=""),"",Tasks[[#This Row],[BL Source Duration]]-N(Tasks[[#This Row],[Baseline Duration]]))</f>
        <v/>
      </c>
      <c r="BC178" s="81" t="str">
        <f aca="false">IF(OR(Tasks[[#This Row],[Task Name]]="",Tasks[[#This Row],[Baseline Work]]=""),"",Tasks[[#This Row],[Work]]-N(Tasks[[#This Row],[Baseline Work]]))</f>
        <v/>
      </c>
      <c r="BD178" s="82" t="str">
        <f aca="false">IF(OR(Tasks[[#This Row],[Task Name]]="",Tasks[[#This Row],[Baseline Cost]]=""),"",Tasks[[#This Row],[Cost]]-N(Tasks[[#This Row],[Baseline Cost]]))</f>
        <v/>
      </c>
      <c r="BE17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7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7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7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78" s="43" t="str">
        <f aca="false">IF(Tasks[[#This Row],[Task Name]]="","",MAX(1,N(Tasks[[#This Row],[Level]])))</f>
        <v/>
      </c>
      <c r="BJ178" s="43" t="n">
        <f aca="false">ROW()-ROW(Tasks[[#Headers],[ID]])</f>
        <v>173</v>
      </c>
      <c r="BK17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78" s="43" t="n">
        <f aca="false">IFERROR(N(INDEX(Tasks[_Level],Tasks[[#This Row],[_Row]]+1)),0)</f>
        <v>0</v>
      </c>
      <c r="BM178" s="86" t="b">
        <f aca="false">AND(Tasks[[#This Row],[Task Name]]&lt;&gt;"",Tasks[[#This Row],[_NextLevel]]&gt;Tasks[[#This Row],[_Level]])</f>
        <v>0</v>
      </c>
      <c r="BN178" s="43" t="n">
        <f aca="false">IF(Tasks[[#This Row],[_IsSummary]],COUNTIF(Tasks[WBS],Tasks[[#This Row],[WBS]]&amp;".*"),0)</f>
        <v>0</v>
      </c>
      <c r="BO178" s="43" t="n">
        <f aca="false">IF(AND(Tasks[[#This Row],[Task Name]]&lt;&gt;"",NOT(Tasks[[#This Row],[_IsSummary]])),1,0)</f>
        <v>0</v>
      </c>
      <c r="BP178" s="43" t="n">
        <f aca="false">IF(N(Tasks[[#This Row],[Pred1 UID]])=0,0,IFERROR(MATCH(Tasks[[#This Row],[Pred1 UID]],Tasks[UID],0),-1))</f>
        <v>0</v>
      </c>
      <c r="BQ178" s="43" t="n">
        <f aca="false">IF(N(Tasks[[#This Row],[Pred2 UID]])=0,0,IFERROR(MATCH(Tasks[[#This Row],[Pred2 UID]],Tasks[UID],0),-1))</f>
        <v>0</v>
      </c>
      <c r="BR17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7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7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7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78" s="43" t="n">
        <f aca="false">IF(NOT(Tasks[[#This Row],[_IsLeaf]]=1),0,IF(N(Tasks[[#This Row],[Actual Finish]])&gt;0,1,MIN(1,N(Tasks[[#This Row],[% Complete]]))))</f>
        <v>0</v>
      </c>
      <c r="BW17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78" s="43" t="n">
        <f aca="false">IF(Tasks[[#This Row],[_LeafWork]]=0,0,Tasks[[#This Row],[_LeafWork]]*IFERROR(INDEX(res_Rate,MATCH(Tasks[[#This Row],[Resource]],res_Name,0)),0))</f>
        <v>0</v>
      </c>
      <c r="BY17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7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7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7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78" s="43" t="n">
        <f aca="false">IF(NOT(Tasks[[#This Row],[_IsLeaf]]=1),0,MAX(_xlfn.MAXIFS(Tasks[_Row],Tasks[Pred1 UID],Tasks[[#This Row],[UID]]),_xlfn.MAXIFS(Tasks[_Row],Tasks[Pred2 UID],Tasks[[#This Row],[UID]])))</f>
        <v>0</v>
      </c>
      <c r="CD17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78" s="87" t="str">
        <f aca="false">IF(NOT(Tasks[[#This Row],[_IsLeaf]]=1),"",MIN(ProjectFinish,IF(N(Tasks[[#This Row],[Deadline]])&gt;0,Tasks[[#This Row],[Deadline]],2958465),Tasks[[#This Row],[_SuccessorFinishLimit]]))</f>
        <v/>
      </c>
      <c r="CF17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7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78" s="86" t="b">
        <f aca="false">AND(Tasks[[#This Row],[_IsLeaf]]=1,Tasks[[#This Row],[_LeafProgress]]&lt;1,N(Tasks[[#This Row],[_LeafTotalSlack]])&lt;=CriticalSlackDays)</f>
        <v>0</v>
      </c>
      <c r="CI17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7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7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7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7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7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7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7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78" s="43" t="n">
        <f aca="false">IF(AND(Tasks[[#This Row],[_IsLeaf]]=1,Tasks[[#This Row],[_LeafWork]]&gt;0),NETWORKDAYS.INTL(ProjectStart,Tasks[[#This Row],[_LeafFcstStart]],WorkWeek,Holidays),0)</f>
        <v>0</v>
      </c>
      <c r="CR17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78" s="43" t="n">
        <f aca="false">IF(AND(Tasks[[#This Row],[_IsLeaf]]=1,Tasks[[#This Row],[_LeafWork]]&gt;0),Tasks[[#This Row],[_LeafWork]]/(Tasks[[#This Row],[_FinishWorkday]]-Tasks[[#This Row],[_StartWorkday]]+1),0)</f>
        <v>0</v>
      </c>
      <c r="CT178" s="43" t="n">
        <f aca="false">Tasks[[#This Row],[_WorkPerWorkday]]*(Tasks[[#This Row],[_StartWorkday]]-1)</f>
        <v>-0</v>
      </c>
      <c r="CU178" s="43" t="n">
        <f aca="false">IF(Tasks[[#This Row],[_IsLeaf]]=1,MAX(N(Tasks[[#This Row],[Duration]]),0.1),0)</f>
        <v>0</v>
      </c>
      <c r="CV178" s="43" t="n">
        <f aca="false">Tasks[[#This Row],[_WeightDur]]*Tasks[[#This Row],[_LeafProgress]]</f>
        <v>0</v>
      </c>
      <c r="CW17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7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7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7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7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78" s="43" t="str">
        <f aca="false">IF(AND(Tasks[[#This Row],[_IsLeaf]]=1,N(Tasks[[#This Row],[Duration]])=0,Tasks[[#This Row],[_LeafProgress]]&lt;1),Tasks[[#This Row],[_LeafFcstFinish]]+Tasks[[#This Row],[_Row]]/100000,"")</f>
        <v/>
      </c>
      <c r="DC17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78" s="43" t="n">
        <f aca="false">IF(NOT(Tasks[[#This Row],[_IsLeaf]]=1),0,IF(Tasks[[#This Row],[Baseline Cost]]="",Tasks[[#This Row],[_LeafCost]],N(Tasks[[#This Row],[Baseline Cost]])))</f>
        <v>0</v>
      </c>
      <c r="DE178" s="43" t="n">
        <f aca="false">Tasks[[#This Row],[_LeafBudget]]*Tasks[[#This Row],[_PlannedPct]]</f>
        <v>0</v>
      </c>
      <c r="DF178" s="43" t="n">
        <f aca="false">Tasks[[#This Row],[_LeafBudget]]*Tasks[[#This Row],[_LeafProgress]]</f>
        <v>0</v>
      </c>
      <c r="DG178" s="43" t="n">
        <f aca="false">IF(NOT(Tasks[[#This Row],[_IsLeaf]]=1),0,IF(Tasks[[#This Row],[Actual Cost]]="",Tasks[[#This Row],[_LeafCost]]*Tasks[[#This Row],[_LeafProgress]],N(Tasks[[#This Row],[Actual Cost]])))</f>
        <v>0</v>
      </c>
      <c r="DH178" s="43" t="str">
        <f aca="false">IF(Tasks[[#This Row],[Task Name]]="","",LEFT(Tasks[[#This Row],[WBS]],FIND(".",Tasks[[#This Row],[WBS]]&amp;".")-1))</f>
        <v/>
      </c>
      <c r="DI178" s="43" t="str">
        <f aca="false">IF(AND(Tasks[[#This Row],[Task Name]]&lt;&gt;"",Tasks[[#This Row],[_Level]]=1),Tasks[[#This Row],[_Row]],"")</f>
        <v/>
      </c>
      <c r="DJ178" s="43" t="str">
        <f aca="false">IF(AND(Tasks[[#This Row],[_IsLeaf]]=1,N(Tasks[[#This Row],[Duration]])=0),Tasks[[#This Row],[Planned Finish]]+Tasks[[#This Row],[_Row]]/100000,"")</f>
        <v/>
      </c>
      <c r="DK17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7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7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78" s="43" t="str">
        <f aca="false">IF(Tasks[[#This Row],[_LeafCritical]],Tasks[[#This Row],[_LeafFcstStart]]+Tasks[[#This Row],[_Row]]/100000,"")</f>
        <v/>
      </c>
      <c r="DO178" s="43" t="n">
        <f aca="false">Tasks[[#This Row],[_LeafWork]]*Tasks[[#This Row],[_LeafProgress]]</f>
        <v>0</v>
      </c>
      <c r="DP17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78" s="43" t="n">
        <f aca="false">IF(Tasks[[#This Row],[_IsLeaf]]=1,N(Tasks[[#This Row],[Story Points]]),0)</f>
        <v>0</v>
      </c>
      <c r="DR178" s="43" t="str">
        <f aca="false">IF(AND(Tasks[[#This Row],[_IsLeaf]]=1,CurrentSprint&lt;&gt;"",Tasks[[#This Row],[Sprint]]=CurrentSprint),Tasks[[#This Row],[_Row]],"")</f>
        <v/>
      </c>
    </row>
    <row r="179" customFormat="false" ht="15" hidden="false" customHeight="false" outlineLevel="0" collapsed="false">
      <c r="A179" s="28" t="str">
        <f aca="false">IF(Tasks[[#This Row],[Task Name]]="","",COUNTA(Tasks[[#Headers],[Task Name]]:Tasks[[#This Row],[Task Name]])-1)</f>
        <v/>
      </c>
      <c r="B179" s="29" t="n">
        <v>174</v>
      </c>
      <c r="C17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79" s="29"/>
      <c r="E179" s="30"/>
      <c r="F179" s="29"/>
      <c r="G179" s="29"/>
      <c r="H179" s="29"/>
      <c r="I179" s="29"/>
      <c r="J179" s="29"/>
      <c r="K179" s="29"/>
      <c r="L179" s="29"/>
      <c r="M179" s="29"/>
      <c r="N179" s="72"/>
      <c r="O179" s="72"/>
      <c r="P179" s="25" t="str">
        <f aca="false">IF(Tasks[[#This Row],[Task Name]]="","",IF(N(Tasks[[#This Row],[Baseline Start]])&gt;0,Tasks[[#This Row],[Baseline Start]],Tasks[[#This Row],[_CalcStart]]))</f>
        <v/>
      </c>
      <c r="Q179" s="25" t="str">
        <f aca="false">IF(Tasks[[#This Row],[Task Name]]="","",IF(N(Tasks[[#This Row],[Baseline Finish]])&gt;0,Tasks[[#This Row],[Baseline Finish]],Tasks[[#This Row],[_CalcFinish]]))</f>
        <v/>
      </c>
      <c r="R179" s="72"/>
      <c r="S179" s="72"/>
      <c r="T17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7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7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7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7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7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7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7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7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7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7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79" s="74"/>
      <c r="AF17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7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79" s="30"/>
      <c r="AI179" s="74"/>
      <c r="AJ17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7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79" s="83"/>
      <c r="AM179" s="29"/>
      <c r="AN17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79" s="84"/>
      <c r="AP17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79" s="30"/>
      <c r="AR179" s="25" t="str">
        <f aca="false">IF(Tasks[[#This Row],[Task Name]]="","",Tasks[[#This Row],[Forecast Start]])</f>
        <v/>
      </c>
      <c r="AS179" s="25" t="str">
        <f aca="false">IF(Tasks[[#This Row],[Task Name]]="","",Tasks[[#This Row],[Forecast Finish]])</f>
        <v/>
      </c>
      <c r="AT17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79" s="81" t="str">
        <f aca="false">IF(Tasks[[#This Row],[Task Name]]="","",Tasks[[#This Row],[Work]])</f>
        <v/>
      </c>
      <c r="AV179" s="82" t="str">
        <f aca="false">IF(Tasks[[#This Row],[Task Name]]="","",Tasks[[#This Row],[Cost]])</f>
        <v/>
      </c>
      <c r="AW179" s="72"/>
      <c r="AX179" s="72"/>
      <c r="AY179" s="29"/>
      <c r="AZ179" s="85"/>
      <c r="BA179" s="83"/>
      <c r="BB179" s="28" t="str">
        <f aca="false">IF(OR(Tasks[[#This Row],[Task Name]]="",Tasks[[#This Row],[Baseline Duration]]=""),"",Tasks[[#This Row],[BL Source Duration]]-N(Tasks[[#This Row],[Baseline Duration]]))</f>
        <v/>
      </c>
      <c r="BC179" s="81" t="str">
        <f aca="false">IF(OR(Tasks[[#This Row],[Task Name]]="",Tasks[[#This Row],[Baseline Work]]=""),"",Tasks[[#This Row],[Work]]-N(Tasks[[#This Row],[Baseline Work]]))</f>
        <v/>
      </c>
      <c r="BD179" s="82" t="str">
        <f aca="false">IF(OR(Tasks[[#This Row],[Task Name]]="",Tasks[[#This Row],[Baseline Cost]]=""),"",Tasks[[#This Row],[Cost]]-N(Tasks[[#This Row],[Baseline Cost]]))</f>
        <v/>
      </c>
      <c r="BE17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7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7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7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79" s="43" t="str">
        <f aca="false">IF(Tasks[[#This Row],[Task Name]]="","",MAX(1,N(Tasks[[#This Row],[Level]])))</f>
        <v/>
      </c>
      <c r="BJ179" s="43" t="n">
        <f aca="false">ROW()-ROW(Tasks[[#Headers],[ID]])</f>
        <v>174</v>
      </c>
      <c r="BK17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79" s="43" t="n">
        <f aca="false">IFERROR(N(INDEX(Tasks[_Level],Tasks[[#This Row],[_Row]]+1)),0)</f>
        <v>0</v>
      </c>
      <c r="BM179" s="86" t="b">
        <f aca="false">AND(Tasks[[#This Row],[Task Name]]&lt;&gt;"",Tasks[[#This Row],[_NextLevel]]&gt;Tasks[[#This Row],[_Level]])</f>
        <v>0</v>
      </c>
      <c r="BN179" s="43" t="n">
        <f aca="false">IF(Tasks[[#This Row],[_IsSummary]],COUNTIF(Tasks[WBS],Tasks[[#This Row],[WBS]]&amp;".*"),0)</f>
        <v>0</v>
      </c>
      <c r="BO179" s="43" t="n">
        <f aca="false">IF(AND(Tasks[[#This Row],[Task Name]]&lt;&gt;"",NOT(Tasks[[#This Row],[_IsSummary]])),1,0)</f>
        <v>0</v>
      </c>
      <c r="BP179" s="43" t="n">
        <f aca="false">IF(N(Tasks[[#This Row],[Pred1 UID]])=0,0,IFERROR(MATCH(Tasks[[#This Row],[Pred1 UID]],Tasks[UID],0),-1))</f>
        <v>0</v>
      </c>
      <c r="BQ179" s="43" t="n">
        <f aca="false">IF(N(Tasks[[#This Row],[Pred2 UID]])=0,0,IFERROR(MATCH(Tasks[[#This Row],[Pred2 UID]],Tasks[UID],0),-1))</f>
        <v>0</v>
      </c>
      <c r="BR17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7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7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7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79" s="43" t="n">
        <f aca="false">IF(NOT(Tasks[[#This Row],[_IsLeaf]]=1),0,IF(N(Tasks[[#This Row],[Actual Finish]])&gt;0,1,MIN(1,N(Tasks[[#This Row],[% Complete]]))))</f>
        <v>0</v>
      </c>
      <c r="BW17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79" s="43" t="n">
        <f aca="false">IF(Tasks[[#This Row],[_LeafWork]]=0,0,Tasks[[#This Row],[_LeafWork]]*IFERROR(INDEX(res_Rate,MATCH(Tasks[[#This Row],[Resource]],res_Name,0)),0))</f>
        <v>0</v>
      </c>
      <c r="BY17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7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7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7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79" s="43" t="n">
        <f aca="false">IF(NOT(Tasks[[#This Row],[_IsLeaf]]=1),0,MAX(_xlfn.MAXIFS(Tasks[_Row],Tasks[Pred1 UID],Tasks[[#This Row],[UID]]),_xlfn.MAXIFS(Tasks[_Row],Tasks[Pred2 UID],Tasks[[#This Row],[UID]])))</f>
        <v>0</v>
      </c>
      <c r="CD17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79" s="87" t="str">
        <f aca="false">IF(NOT(Tasks[[#This Row],[_IsLeaf]]=1),"",MIN(ProjectFinish,IF(N(Tasks[[#This Row],[Deadline]])&gt;0,Tasks[[#This Row],[Deadline]],2958465),Tasks[[#This Row],[_SuccessorFinishLimit]]))</f>
        <v/>
      </c>
      <c r="CF17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7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79" s="86" t="b">
        <f aca="false">AND(Tasks[[#This Row],[_IsLeaf]]=1,Tasks[[#This Row],[_LeafProgress]]&lt;1,N(Tasks[[#This Row],[_LeafTotalSlack]])&lt;=CriticalSlackDays)</f>
        <v>0</v>
      </c>
      <c r="CI17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7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7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7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7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7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7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7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79" s="43" t="n">
        <f aca="false">IF(AND(Tasks[[#This Row],[_IsLeaf]]=1,Tasks[[#This Row],[_LeafWork]]&gt;0),NETWORKDAYS.INTL(ProjectStart,Tasks[[#This Row],[_LeafFcstStart]],WorkWeek,Holidays),0)</f>
        <v>0</v>
      </c>
      <c r="CR17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79" s="43" t="n">
        <f aca="false">IF(AND(Tasks[[#This Row],[_IsLeaf]]=1,Tasks[[#This Row],[_LeafWork]]&gt;0),Tasks[[#This Row],[_LeafWork]]/(Tasks[[#This Row],[_FinishWorkday]]-Tasks[[#This Row],[_StartWorkday]]+1),0)</f>
        <v>0</v>
      </c>
      <c r="CT179" s="43" t="n">
        <f aca="false">Tasks[[#This Row],[_WorkPerWorkday]]*(Tasks[[#This Row],[_StartWorkday]]-1)</f>
        <v>-0</v>
      </c>
      <c r="CU179" s="43" t="n">
        <f aca="false">IF(Tasks[[#This Row],[_IsLeaf]]=1,MAX(N(Tasks[[#This Row],[Duration]]),0.1),0)</f>
        <v>0</v>
      </c>
      <c r="CV179" s="43" t="n">
        <f aca="false">Tasks[[#This Row],[_WeightDur]]*Tasks[[#This Row],[_LeafProgress]]</f>
        <v>0</v>
      </c>
      <c r="CW17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7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7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7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7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79" s="43" t="str">
        <f aca="false">IF(AND(Tasks[[#This Row],[_IsLeaf]]=1,N(Tasks[[#This Row],[Duration]])=0,Tasks[[#This Row],[_LeafProgress]]&lt;1),Tasks[[#This Row],[_LeafFcstFinish]]+Tasks[[#This Row],[_Row]]/100000,"")</f>
        <v/>
      </c>
      <c r="DC17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79" s="43" t="n">
        <f aca="false">IF(NOT(Tasks[[#This Row],[_IsLeaf]]=1),0,IF(Tasks[[#This Row],[Baseline Cost]]="",Tasks[[#This Row],[_LeafCost]],N(Tasks[[#This Row],[Baseline Cost]])))</f>
        <v>0</v>
      </c>
      <c r="DE179" s="43" t="n">
        <f aca="false">Tasks[[#This Row],[_LeafBudget]]*Tasks[[#This Row],[_PlannedPct]]</f>
        <v>0</v>
      </c>
      <c r="DF179" s="43" t="n">
        <f aca="false">Tasks[[#This Row],[_LeafBudget]]*Tasks[[#This Row],[_LeafProgress]]</f>
        <v>0</v>
      </c>
      <c r="DG179" s="43" t="n">
        <f aca="false">IF(NOT(Tasks[[#This Row],[_IsLeaf]]=1),0,IF(Tasks[[#This Row],[Actual Cost]]="",Tasks[[#This Row],[_LeafCost]]*Tasks[[#This Row],[_LeafProgress]],N(Tasks[[#This Row],[Actual Cost]])))</f>
        <v>0</v>
      </c>
      <c r="DH179" s="43" t="str">
        <f aca="false">IF(Tasks[[#This Row],[Task Name]]="","",LEFT(Tasks[[#This Row],[WBS]],FIND(".",Tasks[[#This Row],[WBS]]&amp;".")-1))</f>
        <v/>
      </c>
      <c r="DI179" s="43" t="str">
        <f aca="false">IF(AND(Tasks[[#This Row],[Task Name]]&lt;&gt;"",Tasks[[#This Row],[_Level]]=1),Tasks[[#This Row],[_Row]],"")</f>
        <v/>
      </c>
      <c r="DJ179" s="43" t="str">
        <f aca="false">IF(AND(Tasks[[#This Row],[_IsLeaf]]=1,N(Tasks[[#This Row],[Duration]])=0),Tasks[[#This Row],[Planned Finish]]+Tasks[[#This Row],[_Row]]/100000,"")</f>
        <v/>
      </c>
      <c r="DK17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7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7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79" s="43" t="str">
        <f aca="false">IF(Tasks[[#This Row],[_LeafCritical]],Tasks[[#This Row],[_LeafFcstStart]]+Tasks[[#This Row],[_Row]]/100000,"")</f>
        <v/>
      </c>
      <c r="DO179" s="43" t="n">
        <f aca="false">Tasks[[#This Row],[_LeafWork]]*Tasks[[#This Row],[_LeafProgress]]</f>
        <v>0</v>
      </c>
      <c r="DP17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79" s="43" t="n">
        <f aca="false">IF(Tasks[[#This Row],[_IsLeaf]]=1,N(Tasks[[#This Row],[Story Points]]),0)</f>
        <v>0</v>
      </c>
      <c r="DR179" s="43" t="str">
        <f aca="false">IF(AND(Tasks[[#This Row],[_IsLeaf]]=1,CurrentSprint&lt;&gt;"",Tasks[[#This Row],[Sprint]]=CurrentSprint),Tasks[[#This Row],[_Row]],"")</f>
        <v/>
      </c>
    </row>
    <row r="180" customFormat="false" ht="15" hidden="false" customHeight="false" outlineLevel="0" collapsed="false">
      <c r="A180" s="28" t="str">
        <f aca="false">IF(Tasks[[#This Row],[Task Name]]="","",COUNTA(Tasks[[#Headers],[Task Name]]:Tasks[[#This Row],[Task Name]])-1)</f>
        <v/>
      </c>
      <c r="B180" s="29" t="n">
        <v>175</v>
      </c>
      <c r="C18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80" s="29"/>
      <c r="E180" s="30"/>
      <c r="F180" s="29"/>
      <c r="G180" s="29"/>
      <c r="H180" s="29"/>
      <c r="I180" s="29"/>
      <c r="J180" s="29"/>
      <c r="K180" s="29"/>
      <c r="L180" s="29"/>
      <c r="M180" s="29"/>
      <c r="N180" s="72"/>
      <c r="O180" s="72"/>
      <c r="P180" s="25" t="str">
        <f aca="false">IF(Tasks[[#This Row],[Task Name]]="","",IF(N(Tasks[[#This Row],[Baseline Start]])&gt;0,Tasks[[#This Row],[Baseline Start]],Tasks[[#This Row],[_CalcStart]]))</f>
        <v/>
      </c>
      <c r="Q180" s="25" t="str">
        <f aca="false">IF(Tasks[[#This Row],[Task Name]]="","",IF(N(Tasks[[#This Row],[Baseline Finish]])&gt;0,Tasks[[#This Row],[Baseline Finish]],Tasks[[#This Row],[_CalcFinish]]))</f>
        <v/>
      </c>
      <c r="R180" s="72"/>
      <c r="S180" s="72"/>
      <c r="T18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8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8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8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8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8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8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8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8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8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8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80" s="74"/>
      <c r="AF18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8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80" s="30"/>
      <c r="AI180" s="74"/>
      <c r="AJ18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8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80" s="83"/>
      <c r="AM180" s="29"/>
      <c r="AN18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80" s="84"/>
      <c r="AP18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80" s="30"/>
      <c r="AR180" s="25" t="str">
        <f aca="false">IF(Tasks[[#This Row],[Task Name]]="","",Tasks[[#This Row],[Forecast Start]])</f>
        <v/>
      </c>
      <c r="AS180" s="25" t="str">
        <f aca="false">IF(Tasks[[#This Row],[Task Name]]="","",Tasks[[#This Row],[Forecast Finish]])</f>
        <v/>
      </c>
      <c r="AT18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80" s="81" t="str">
        <f aca="false">IF(Tasks[[#This Row],[Task Name]]="","",Tasks[[#This Row],[Work]])</f>
        <v/>
      </c>
      <c r="AV180" s="82" t="str">
        <f aca="false">IF(Tasks[[#This Row],[Task Name]]="","",Tasks[[#This Row],[Cost]])</f>
        <v/>
      </c>
      <c r="AW180" s="72"/>
      <c r="AX180" s="72"/>
      <c r="AY180" s="29"/>
      <c r="AZ180" s="85"/>
      <c r="BA180" s="83"/>
      <c r="BB180" s="28" t="str">
        <f aca="false">IF(OR(Tasks[[#This Row],[Task Name]]="",Tasks[[#This Row],[Baseline Duration]]=""),"",Tasks[[#This Row],[BL Source Duration]]-N(Tasks[[#This Row],[Baseline Duration]]))</f>
        <v/>
      </c>
      <c r="BC180" s="81" t="str">
        <f aca="false">IF(OR(Tasks[[#This Row],[Task Name]]="",Tasks[[#This Row],[Baseline Work]]=""),"",Tasks[[#This Row],[Work]]-N(Tasks[[#This Row],[Baseline Work]]))</f>
        <v/>
      </c>
      <c r="BD180" s="82" t="str">
        <f aca="false">IF(OR(Tasks[[#This Row],[Task Name]]="",Tasks[[#This Row],[Baseline Cost]]=""),"",Tasks[[#This Row],[Cost]]-N(Tasks[[#This Row],[Baseline Cost]]))</f>
        <v/>
      </c>
      <c r="BE18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8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8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8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80" s="43" t="str">
        <f aca="false">IF(Tasks[[#This Row],[Task Name]]="","",MAX(1,N(Tasks[[#This Row],[Level]])))</f>
        <v/>
      </c>
      <c r="BJ180" s="43" t="n">
        <f aca="false">ROW()-ROW(Tasks[[#Headers],[ID]])</f>
        <v>175</v>
      </c>
      <c r="BK18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80" s="43" t="n">
        <f aca="false">IFERROR(N(INDEX(Tasks[_Level],Tasks[[#This Row],[_Row]]+1)),0)</f>
        <v>0</v>
      </c>
      <c r="BM180" s="86" t="b">
        <f aca="false">AND(Tasks[[#This Row],[Task Name]]&lt;&gt;"",Tasks[[#This Row],[_NextLevel]]&gt;Tasks[[#This Row],[_Level]])</f>
        <v>0</v>
      </c>
      <c r="BN180" s="43" t="n">
        <f aca="false">IF(Tasks[[#This Row],[_IsSummary]],COUNTIF(Tasks[WBS],Tasks[[#This Row],[WBS]]&amp;".*"),0)</f>
        <v>0</v>
      </c>
      <c r="BO180" s="43" t="n">
        <f aca="false">IF(AND(Tasks[[#This Row],[Task Name]]&lt;&gt;"",NOT(Tasks[[#This Row],[_IsSummary]])),1,0)</f>
        <v>0</v>
      </c>
      <c r="BP180" s="43" t="n">
        <f aca="false">IF(N(Tasks[[#This Row],[Pred1 UID]])=0,0,IFERROR(MATCH(Tasks[[#This Row],[Pred1 UID]],Tasks[UID],0),-1))</f>
        <v>0</v>
      </c>
      <c r="BQ180" s="43" t="n">
        <f aca="false">IF(N(Tasks[[#This Row],[Pred2 UID]])=0,0,IFERROR(MATCH(Tasks[[#This Row],[Pred2 UID]],Tasks[UID],0),-1))</f>
        <v>0</v>
      </c>
      <c r="BR18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8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8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8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80" s="43" t="n">
        <f aca="false">IF(NOT(Tasks[[#This Row],[_IsLeaf]]=1),0,IF(N(Tasks[[#This Row],[Actual Finish]])&gt;0,1,MIN(1,N(Tasks[[#This Row],[% Complete]]))))</f>
        <v>0</v>
      </c>
      <c r="BW18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80" s="43" t="n">
        <f aca="false">IF(Tasks[[#This Row],[_LeafWork]]=0,0,Tasks[[#This Row],[_LeafWork]]*IFERROR(INDEX(res_Rate,MATCH(Tasks[[#This Row],[Resource]],res_Name,0)),0))</f>
        <v>0</v>
      </c>
      <c r="BY18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8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8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8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80" s="43" t="n">
        <f aca="false">IF(NOT(Tasks[[#This Row],[_IsLeaf]]=1),0,MAX(_xlfn.MAXIFS(Tasks[_Row],Tasks[Pred1 UID],Tasks[[#This Row],[UID]]),_xlfn.MAXIFS(Tasks[_Row],Tasks[Pred2 UID],Tasks[[#This Row],[UID]])))</f>
        <v>0</v>
      </c>
      <c r="CD18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80" s="87" t="str">
        <f aca="false">IF(NOT(Tasks[[#This Row],[_IsLeaf]]=1),"",MIN(ProjectFinish,IF(N(Tasks[[#This Row],[Deadline]])&gt;0,Tasks[[#This Row],[Deadline]],2958465),Tasks[[#This Row],[_SuccessorFinishLimit]]))</f>
        <v/>
      </c>
      <c r="CF18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8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80" s="86" t="b">
        <f aca="false">AND(Tasks[[#This Row],[_IsLeaf]]=1,Tasks[[#This Row],[_LeafProgress]]&lt;1,N(Tasks[[#This Row],[_LeafTotalSlack]])&lt;=CriticalSlackDays)</f>
        <v>0</v>
      </c>
      <c r="CI18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8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8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8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8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8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8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8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80" s="43" t="n">
        <f aca="false">IF(AND(Tasks[[#This Row],[_IsLeaf]]=1,Tasks[[#This Row],[_LeafWork]]&gt;0),NETWORKDAYS.INTL(ProjectStart,Tasks[[#This Row],[_LeafFcstStart]],WorkWeek,Holidays),0)</f>
        <v>0</v>
      </c>
      <c r="CR18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80" s="43" t="n">
        <f aca="false">IF(AND(Tasks[[#This Row],[_IsLeaf]]=1,Tasks[[#This Row],[_LeafWork]]&gt;0),Tasks[[#This Row],[_LeafWork]]/(Tasks[[#This Row],[_FinishWorkday]]-Tasks[[#This Row],[_StartWorkday]]+1),0)</f>
        <v>0</v>
      </c>
      <c r="CT180" s="43" t="n">
        <f aca="false">Tasks[[#This Row],[_WorkPerWorkday]]*(Tasks[[#This Row],[_StartWorkday]]-1)</f>
        <v>-0</v>
      </c>
      <c r="CU180" s="43" t="n">
        <f aca="false">IF(Tasks[[#This Row],[_IsLeaf]]=1,MAX(N(Tasks[[#This Row],[Duration]]),0.1),0)</f>
        <v>0</v>
      </c>
      <c r="CV180" s="43" t="n">
        <f aca="false">Tasks[[#This Row],[_WeightDur]]*Tasks[[#This Row],[_LeafProgress]]</f>
        <v>0</v>
      </c>
      <c r="CW18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8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8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8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8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80" s="43" t="str">
        <f aca="false">IF(AND(Tasks[[#This Row],[_IsLeaf]]=1,N(Tasks[[#This Row],[Duration]])=0,Tasks[[#This Row],[_LeafProgress]]&lt;1),Tasks[[#This Row],[_LeafFcstFinish]]+Tasks[[#This Row],[_Row]]/100000,"")</f>
        <v/>
      </c>
      <c r="DC18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80" s="43" t="n">
        <f aca="false">IF(NOT(Tasks[[#This Row],[_IsLeaf]]=1),0,IF(Tasks[[#This Row],[Baseline Cost]]="",Tasks[[#This Row],[_LeafCost]],N(Tasks[[#This Row],[Baseline Cost]])))</f>
        <v>0</v>
      </c>
      <c r="DE180" s="43" t="n">
        <f aca="false">Tasks[[#This Row],[_LeafBudget]]*Tasks[[#This Row],[_PlannedPct]]</f>
        <v>0</v>
      </c>
      <c r="DF180" s="43" t="n">
        <f aca="false">Tasks[[#This Row],[_LeafBudget]]*Tasks[[#This Row],[_LeafProgress]]</f>
        <v>0</v>
      </c>
      <c r="DG180" s="43" t="n">
        <f aca="false">IF(NOT(Tasks[[#This Row],[_IsLeaf]]=1),0,IF(Tasks[[#This Row],[Actual Cost]]="",Tasks[[#This Row],[_LeafCost]]*Tasks[[#This Row],[_LeafProgress]],N(Tasks[[#This Row],[Actual Cost]])))</f>
        <v>0</v>
      </c>
      <c r="DH180" s="43" t="str">
        <f aca="false">IF(Tasks[[#This Row],[Task Name]]="","",LEFT(Tasks[[#This Row],[WBS]],FIND(".",Tasks[[#This Row],[WBS]]&amp;".")-1))</f>
        <v/>
      </c>
      <c r="DI180" s="43" t="str">
        <f aca="false">IF(AND(Tasks[[#This Row],[Task Name]]&lt;&gt;"",Tasks[[#This Row],[_Level]]=1),Tasks[[#This Row],[_Row]],"")</f>
        <v/>
      </c>
      <c r="DJ180" s="43" t="str">
        <f aca="false">IF(AND(Tasks[[#This Row],[_IsLeaf]]=1,N(Tasks[[#This Row],[Duration]])=0),Tasks[[#This Row],[Planned Finish]]+Tasks[[#This Row],[_Row]]/100000,"")</f>
        <v/>
      </c>
      <c r="DK18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8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8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80" s="43" t="str">
        <f aca="false">IF(Tasks[[#This Row],[_LeafCritical]],Tasks[[#This Row],[_LeafFcstStart]]+Tasks[[#This Row],[_Row]]/100000,"")</f>
        <v/>
      </c>
      <c r="DO180" s="43" t="n">
        <f aca="false">Tasks[[#This Row],[_LeafWork]]*Tasks[[#This Row],[_LeafProgress]]</f>
        <v>0</v>
      </c>
      <c r="DP18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80" s="43" t="n">
        <f aca="false">IF(Tasks[[#This Row],[_IsLeaf]]=1,N(Tasks[[#This Row],[Story Points]]),0)</f>
        <v>0</v>
      </c>
      <c r="DR180" s="43" t="str">
        <f aca="false">IF(AND(Tasks[[#This Row],[_IsLeaf]]=1,CurrentSprint&lt;&gt;"",Tasks[[#This Row],[Sprint]]=CurrentSprint),Tasks[[#This Row],[_Row]],"")</f>
        <v/>
      </c>
    </row>
    <row r="181" customFormat="false" ht="15" hidden="false" customHeight="false" outlineLevel="0" collapsed="false">
      <c r="A181" s="28" t="str">
        <f aca="false">IF(Tasks[[#This Row],[Task Name]]="","",COUNTA(Tasks[[#Headers],[Task Name]]:Tasks[[#This Row],[Task Name]])-1)</f>
        <v/>
      </c>
      <c r="B181" s="29" t="n">
        <v>176</v>
      </c>
      <c r="C18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81" s="29"/>
      <c r="E181" s="30"/>
      <c r="F181" s="29"/>
      <c r="G181" s="29"/>
      <c r="H181" s="29"/>
      <c r="I181" s="29"/>
      <c r="J181" s="29"/>
      <c r="K181" s="29"/>
      <c r="L181" s="29"/>
      <c r="M181" s="29"/>
      <c r="N181" s="72"/>
      <c r="O181" s="72"/>
      <c r="P181" s="25" t="str">
        <f aca="false">IF(Tasks[[#This Row],[Task Name]]="","",IF(N(Tasks[[#This Row],[Baseline Start]])&gt;0,Tasks[[#This Row],[Baseline Start]],Tasks[[#This Row],[_CalcStart]]))</f>
        <v/>
      </c>
      <c r="Q181" s="25" t="str">
        <f aca="false">IF(Tasks[[#This Row],[Task Name]]="","",IF(N(Tasks[[#This Row],[Baseline Finish]])&gt;0,Tasks[[#This Row],[Baseline Finish]],Tasks[[#This Row],[_CalcFinish]]))</f>
        <v/>
      </c>
      <c r="R181" s="72"/>
      <c r="S181" s="72"/>
      <c r="T18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8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8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8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8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8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8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8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8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8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8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81" s="74"/>
      <c r="AF18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8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81" s="30"/>
      <c r="AI181" s="74"/>
      <c r="AJ18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8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81" s="83"/>
      <c r="AM181" s="29"/>
      <c r="AN18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81" s="84"/>
      <c r="AP18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81" s="30"/>
      <c r="AR181" s="25" t="str">
        <f aca="false">IF(Tasks[[#This Row],[Task Name]]="","",Tasks[[#This Row],[Forecast Start]])</f>
        <v/>
      </c>
      <c r="AS181" s="25" t="str">
        <f aca="false">IF(Tasks[[#This Row],[Task Name]]="","",Tasks[[#This Row],[Forecast Finish]])</f>
        <v/>
      </c>
      <c r="AT18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81" s="81" t="str">
        <f aca="false">IF(Tasks[[#This Row],[Task Name]]="","",Tasks[[#This Row],[Work]])</f>
        <v/>
      </c>
      <c r="AV181" s="82" t="str">
        <f aca="false">IF(Tasks[[#This Row],[Task Name]]="","",Tasks[[#This Row],[Cost]])</f>
        <v/>
      </c>
      <c r="AW181" s="72"/>
      <c r="AX181" s="72"/>
      <c r="AY181" s="29"/>
      <c r="AZ181" s="85"/>
      <c r="BA181" s="83"/>
      <c r="BB181" s="28" t="str">
        <f aca="false">IF(OR(Tasks[[#This Row],[Task Name]]="",Tasks[[#This Row],[Baseline Duration]]=""),"",Tasks[[#This Row],[BL Source Duration]]-N(Tasks[[#This Row],[Baseline Duration]]))</f>
        <v/>
      </c>
      <c r="BC181" s="81" t="str">
        <f aca="false">IF(OR(Tasks[[#This Row],[Task Name]]="",Tasks[[#This Row],[Baseline Work]]=""),"",Tasks[[#This Row],[Work]]-N(Tasks[[#This Row],[Baseline Work]]))</f>
        <v/>
      </c>
      <c r="BD181" s="82" t="str">
        <f aca="false">IF(OR(Tasks[[#This Row],[Task Name]]="",Tasks[[#This Row],[Baseline Cost]]=""),"",Tasks[[#This Row],[Cost]]-N(Tasks[[#This Row],[Baseline Cost]]))</f>
        <v/>
      </c>
      <c r="BE18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8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8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8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81" s="43" t="str">
        <f aca="false">IF(Tasks[[#This Row],[Task Name]]="","",MAX(1,N(Tasks[[#This Row],[Level]])))</f>
        <v/>
      </c>
      <c r="BJ181" s="43" t="n">
        <f aca="false">ROW()-ROW(Tasks[[#Headers],[ID]])</f>
        <v>176</v>
      </c>
      <c r="BK18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81" s="43" t="n">
        <f aca="false">IFERROR(N(INDEX(Tasks[_Level],Tasks[[#This Row],[_Row]]+1)),0)</f>
        <v>0</v>
      </c>
      <c r="BM181" s="86" t="b">
        <f aca="false">AND(Tasks[[#This Row],[Task Name]]&lt;&gt;"",Tasks[[#This Row],[_NextLevel]]&gt;Tasks[[#This Row],[_Level]])</f>
        <v>0</v>
      </c>
      <c r="BN181" s="43" t="n">
        <f aca="false">IF(Tasks[[#This Row],[_IsSummary]],COUNTIF(Tasks[WBS],Tasks[[#This Row],[WBS]]&amp;".*"),0)</f>
        <v>0</v>
      </c>
      <c r="BO181" s="43" t="n">
        <f aca="false">IF(AND(Tasks[[#This Row],[Task Name]]&lt;&gt;"",NOT(Tasks[[#This Row],[_IsSummary]])),1,0)</f>
        <v>0</v>
      </c>
      <c r="BP181" s="43" t="n">
        <f aca="false">IF(N(Tasks[[#This Row],[Pred1 UID]])=0,0,IFERROR(MATCH(Tasks[[#This Row],[Pred1 UID]],Tasks[UID],0),-1))</f>
        <v>0</v>
      </c>
      <c r="BQ181" s="43" t="n">
        <f aca="false">IF(N(Tasks[[#This Row],[Pred2 UID]])=0,0,IFERROR(MATCH(Tasks[[#This Row],[Pred2 UID]],Tasks[UID],0),-1))</f>
        <v>0</v>
      </c>
      <c r="BR18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8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8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8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81" s="43" t="n">
        <f aca="false">IF(NOT(Tasks[[#This Row],[_IsLeaf]]=1),0,IF(N(Tasks[[#This Row],[Actual Finish]])&gt;0,1,MIN(1,N(Tasks[[#This Row],[% Complete]]))))</f>
        <v>0</v>
      </c>
      <c r="BW18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81" s="43" t="n">
        <f aca="false">IF(Tasks[[#This Row],[_LeafWork]]=0,0,Tasks[[#This Row],[_LeafWork]]*IFERROR(INDEX(res_Rate,MATCH(Tasks[[#This Row],[Resource]],res_Name,0)),0))</f>
        <v>0</v>
      </c>
      <c r="BY18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8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8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8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81" s="43" t="n">
        <f aca="false">IF(NOT(Tasks[[#This Row],[_IsLeaf]]=1),0,MAX(_xlfn.MAXIFS(Tasks[_Row],Tasks[Pred1 UID],Tasks[[#This Row],[UID]]),_xlfn.MAXIFS(Tasks[_Row],Tasks[Pred2 UID],Tasks[[#This Row],[UID]])))</f>
        <v>0</v>
      </c>
      <c r="CD18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81" s="87" t="str">
        <f aca="false">IF(NOT(Tasks[[#This Row],[_IsLeaf]]=1),"",MIN(ProjectFinish,IF(N(Tasks[[#This Row],[Deadline]])&gt;0,Tasks[[#This Row],[Deadline]],2958465),Tasks[[#This Row],[_SuccessorFinishLimit]]))</f>
        <v/>
      </c>
      <c r="CF18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8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81" s="86" t="b">
        <f aca="false">AND(Tasks[[#This Row],[_IsLeaf]]=1,Tasks[[#This Row],[_LeafProgress]]&lt;1,N(Tasks[[#This Row],[_LeafTotalSlack]])&lt;=CriticalSlackDays)</f>
        <v>0</v>
      </c>
      <c r="CI18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8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8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8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8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8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8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8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81" s="43" t="n">
        <f aca="false">IF(AND(Tasks[[#This Row],[_IsLeaf]]=1,Tasks[[#This Row],[_LeafWork]]&gt;0),NETWORKDAYS.INTL(ProjectStart,Tasks[[#This Row],[_LeafFcstStart]],WorkWeek,Holidays),0)</f>
        <v>0</v>
      </c>
      <c r="CR18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81" s="43" t="n">
        <f aca="false">IF(AND(Tasks[[#This Row],[_IsLeaf]]=1,Tasks[[#This Row],[_LeafWork]]&gt;0),Tasks[[#This Row],[_LeafWork]]/(Tasks[[#This Row],[_FinishWorkday]]-Tasks[[#This Row],[_StartWorkday]]+1),0)</f>
        <v>0</v>
      </c>
      <c r="CT181" s="43" t="n">
        <f aca="false">Tasks[[#This Row],[_WorkPerWorkday]]*(Tasks[[#This Row],[_StartWorkday]]-1)</f>
        <v>-0</v>
      </c>
      <c r="CU181" s="43" t="n">
        <f aca="false">IF(Tasks[[#This Row],[_IsLeaf]]=1,MAX(N(Tasks[[#This Row],[Duration]]),0.1),0)</f>
        <v>0</v>
      </c>
      <c r="CV181" s="43" t="n">
        <f aca="false">Tasks[[#This Row],[_WeightDur]]*Tasks[[#This Row],[_LeafProgress]]</f>
        <v>0</v>
      </c>
      <c r="CW18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8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8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8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8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81" s="43" t="str">
        <f aca="false">IF(AND(Tasks[[#This Row],[_IsLeaf]]=1,N(Tasks[[#This Row],[Duration]])=0,Tasks[[#This Row],[_LeafProgress]]&lt;1),Tasks[[#This Row],[_LeafFcstFinish]]+Tasks[[#This Row],[_Row]]/100000,"")</f>
        <v/>
      </c>
      <c r="DC18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81" s="43" t="n">
        <f aca="false">IF(NOT(Tasks[[#This Row],[_IsLeaf]]=1),0,IF(Tasks[[#This Row],[Baseline Cost]]="",Tasks[[#This Row],[_LeafCost]],N(Tasks[[#This Row],[Baseline Cost]])))</f>
        <v>0</v>
      </c>
      <c r="DE181" s="43" t="n">
        <f aca="false">Tasks[[#This Row],[_LeafBudget]]*Tasks[[#This Row],[_PlannedPct]]</f>
        <v>0</v>
      </c>
      <c r="DF181" s="43" t="n">
        <f aca="false">Tasks[[#This Row],[_LeafBudget]]*Tasks[[#This Row],[_LeafProgress]]</f>
        <v>0</v>
      </c>
      <c r="DG181" s="43" t="n">
        <f aca="false">IF(NOT(Tasks[[#This Row],[_IsLeaf]]=1),0,IF(Tasks[[#This Row],[Actual Cost]]="",Tasks[[#This Row],[_LeafCost]]*Tasks[[#This Row],[_LeafProgress]],N(Tasks[[#This Row],[Actual Cost]])))</f>
        <v>0</v>
      </c>
      <c r="DH181" s="43" t="str">
        <f aca="false">IF(Tasks[[#This Row],[Task Name]]="","",LEFT(Tasks[[#This Row],[WBS]],FIND(".",Tasks[[#This Row],[WBS]]&amp;".")-1))</f>
        <v/>
      </c>
      <c r="DI181" s="43" t="str">
        <f aca="false">IF(AND(Tasks[[#This Row],[Task Name]]&lt;&gt;"",Tasks[[#This Row],[_Level]]=1),Tasks[[#This Row],[_Row]],"")</f>
        <v/>
      </c>
      <c r="DJ181" s="43" t="str">
        <f aca="false">IF(AND(Tasks[[#This Row],[_IsLeaf]]=1,N(Tasks[[#This Row],[Duration]])=0),Tasks[[#This Row],[Planned Finish]]+Tasks[[#This Row],[_Row]]/100000,"")</f>
        <v/>
      </c>
      <c r="DK18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8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8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81" s="43" t="str">
        <f aca="false">IF(Tasks[[#This Row],[_LeafCritical]],Tasks[[#This Row],[_LeafFcstStart]]+Tasks[[#This Row],[_Row]]/100000,"")</f>
        <v/>
      </c>
      <c r="DO181" s="43" t="n">
        <f aca="false">Tasks[[#This Row],[_LeafWork]]*Tasks[[#This Row],[_LeafProgress]]</f>
        <v>0</v>
      </c>
      <c r="DP18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81" s="43" t="n">
        <f aca="false">IF(Tasks[[#This Row],[_IsLeaf]]=1,N(Tasks[[#This Row],[Story Points]]),0)</f>
        <v>0</v>
      </c>
      <c r="DR181" s="43" t="str">
        <f aca="false">IF(AND(Tasks[[#This Row],[_IsLeaf]]=1,CurrentSprint&lt;&gt;"",Tasks[[#This Row],[Sprint]]=CurrentSprint),Tasks[[#This Row],[_Row]],"")</f>
        <v/>
      </c>
    </row>
    <row r="182" customFormat="false" ht="15" hidden="false" customHeight="false" outlineLevel="0" collapsed="false">
      <c r="A182" s="28" t="str">
        <f aca="false">IF(Tasks[[#This Row],[Task Name]]="","",COUNTA(Tasks[[#Headers],[Task Name]]:Tasks[[#This Row],[Task Name]])-1)</f>
        <v/>
      </c>
      <c r="B182" s="29" t="n">
        <v>177</v>
      </c>
      <c r="C18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82" s="29"/>
      <c r="E182" s="30"/>
      <c r="F182" s="29"/>
      <c r="G182" s="29"/>
      <c r="H182" s="29"/>
      <c r="I182" s="29"/>
      <c r="J182" s="29"/>
      <c r="K182" s="29"/>
      <c r="L182" s="29"/>
      <c r="M182" s="29"/>
      <c r="N182" s="72"/>
      <c r="O182" s="72"/>
      <c r="P182" s="25" t="str">
        <f aca="false">IF(Tasks[[#This Row],[Task Name]]="","",IF(N(Tasks[[#This Row],[Baseline Start]])&gt;0,Tasks[[#This Row],[Baseline Start]],Tasks[[#This Row],[_CalcStart]]))</f>
        <v/>
      </c>
      <c r="Q182" s="25" t="str">
        <f aca="false">IF(Tasks[[#This Row],[Task Name]]="","",IF(N(Tasks[[#This Row],[Baseline Finish]])&gt;0,Tasks[[#This Row],[Baseline Finish]],Tasks[[#This Row],[_CalcFinish]]))</f>
        <v/>
      </c>
      <c r="R182" s="72"/>
      <c r="S182" s="72"/>
      <c r="T18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8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8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8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8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8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8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8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8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8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8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82" s="74"/>
      <c r="AF18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8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82" s="30"/>
      <c r="AI182" s="74"/>
      <c r="AJ18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8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82" s="83"/>
      <c r="AM182" s="29"/>
      <c r="AN18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82" s="84"/>
      <c r="AP18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82" s="30"/>
      <c r="AR182" s="25" t="str">
        <f aca="false">IF(Tasks[[#This Row],[Task Name]]="","",Tasks[[#This Row],[Forecast Start]])</f>
        <v/>
      </c>
      <c r="AS182" s="25" t="str">
        <f aca="false">IF(Tasks[[#This Row],[Task Name]]="","",Tasks[[#This Row],[Forecast Finish]])</f>
        <v/>
      </c>
      <c r="AT18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82" s="81" t="str">
        <f aca="false">IF(Tasks[[#This Row],[Task Name]]="","",Tasks[[#This Row],[Work]])</f>
        <v/>
      </c>
      <c r="AV182" s="82" t="str">
        <f aca="false">IF(Tasks[[#This Row],[Task Name]]="","",Tasks[[#This Row],[Cost]])</f>
        <v/>
      </c>
      <c r="AW182" s="72"/>
      <c r="AX182" s="72"/>
      <c r="AY182" s="29"/>
      <c r="AZ182" s="85"/>
      <c r="BA182" s="83"/>
      <c r="BB182" s="28" t="str">
        <f aca="false">IF(OR(Tasks[[#This Row],[Task Name]]="",Tasks[[#This Row],[Baseline Duration]]=""),"",Tasks[[#This Row],[BL Source Duration]]-N(Tasks[[#This Row],[Baseline Duration]]))</f>
        <v/>
      </c>
      <c r="BC182" s="81" t="str">
        <f aca="false">IF(OR(Tasks[[#This Row],[Task Name]]="",Tasks[[#This Row],[Baseline Work]]=""),"",Tasks[[#This Row],[Work]]-N(Tasks[[#This Row],[Baseline Work]]))</f>
        <v/>
      </c>
      <c r="BD182" s="82" t="str">
        <f aca="false">IF(OR(Tasks[[#This Row],[Task Name]]="",Tasks[[#This Row],[Baseline Cost]]=""),"",Tasks[[#This Row],[Cost]]-N(Tasks[[#This Row],[Baseline Cost]]))</f>
        <v/>
      </c>
      <c r="BE18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8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8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8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82" s="43" t="str">
        <f aca="false">IF(Tasks[[#This Row],[Task Name]]="","",MAX(1,N(Tasks[[#This Row],[Level]])))</f>
        <v/>
      </c>
      <c r="BJ182" s="43" t="n">
        <f aca="false">ROW()-ROW(Tasks[[#Headers],[ID]])</f>
        <v>177</v>
      </c>
      <c r="BK18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82" s="43" t="n">
        <f aca="false">IFERROR(N(INDEX(Tasks[_Level],Tasks[[#This Row],[_Row]]+1)),0)</f>
        <v>0</v>
      </c>
      <c r="BM182" s="86" t="b">
        <f aca="false">AND(Tasks[[#This Row],[Task Name]]&lt;&gt;"",Tasks[[#This Row],[_NextLevel]]&gt;Tasks[[#This Row],[_Level]])</f>
        <v>0</v>
      </c>
      <c r="BN182" s="43" t="n">
        <f aca="false">IF(Tasks[[#This Row],[_IsSummary]],COUNTIF(Tasks[WBS],Tasks[[#This Row],[WBS]]&amp;".*"),0)</f>
        <v>0</v>
      </c>
      <c r="BO182" s="43" t="n">
        <f aca="false">IF(AND(Tasks[[#This Row],[Task Name]]&lt;&gt;"",NOT(Tasks[[#This Row],[_IsSummary]])),1,0)</f>
        <v>0</v>
      </c>
      <c r="BP182" s="43" t="n">
        <f aca="false">IF(N(Tasks[[#This Row],[Pred1 UID]])=0,0,IFERROR(MATCH(Tasks[[#This Row],[Pred1 UID]],Tasks[UID],0),-1))</f>
        <v>0</v>
      </c>
      <c r="BQ182" s="43" t="n">
        <f aca="false">IF(N(Tasks[[#This Row],[Pred2 UID]])=0,0,IFERROR(MATCH(Tasks[[#This Row],[Pred2 UID]],Tasks[UID],0),-1))</f>
        <v>0</v>
      </c>
      <c r="BR18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8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8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8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82" s="43" t="n">
        <f aca="false">IF(NOT(Tasks[[#This Row],[_IsLeaf]]=1),0,IF(N(Tasks[[#This Row],[Actual Finish]])&gt;0,1,MIN(1,N(Tasks[[#This Row],[% Complete]]))))</f>
        <v>0</v>
      </c>
      <c r="BW18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82" s="43" t="n">
        <f aca="false">IF(Tasks[[#This Row],[_LeafWork]]=0,0,Tasks[[#This Row],[_LeafWork]]*IFERROR(INDEX(res_Rate,MATCH(Tasks[[#This Row],[Resource]],res_Name,0)),0))</f>
        <v>0</v>
      </c>
      <c r="BY18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8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8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8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82" s="43" t="n">
        <f aca="false">IF(NOT(Tasks[[#This Row],[_IsLeaf]]=1),0,MAX(_xlfn.MAXIFS(Tasks[_Row],Tasks[Pred1 UID],Tasks[[#This Row],[UID]]),_xlfn.MAXIFS(Tasks[_Row],Tasks[Pred2 UID],Tasks[[#This Row],[UID]])))</f>
        <v>0</v>
      </c>
      <c r="CD18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82" s="87" t="str">
        <f aca="false">IF(NOT(Tasks[[#This Row],[_IsLeaf]]=1),"",MIN(ProjectFinish,IF(N(Tasks[[#This Row],[Deadline]])&gt;0,Tasks[[#This Row],[Deadline]],2958465),Tasks[[#This Row],[_SuccessorFinishLimit]]))</f>
        <v/>
      </c>
      <c r="CF18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8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82" s="86" t="b">
        <f aca="false">AND(Tasks[[#This Row],[_IsLeaf]]=1,Tasks[[#This Row],[_LeafProgress]]&lt;1,N(Tasks[[#This Row],[_LeafTotalSlack]])&lt;=CriticalSlackDays)</f>
        <v>0</v>
      </c>
      <c r="CI18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8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8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8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8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8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8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8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82" s="43" t="n">
        <f aca="false">IF(AND(Tasks[[#This Row],[_IsLeaf]]=1,Tasks[[#This Row],[_LeafWork]]&gt;0),NETWORKDAYS.INTL(ProjectStart,Tasks[[#This Row],[_LeafFcstStart]],WorkWeek,Holidays),0)</f>
        <v>0</v>
      </c>
      <c r="CR18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82" s="43" t="n">
        <f aca="false">IF(AND(Tasks[[#This Row],[_IsLeaf]]=1,Tasks[[#This Row],[_LeafWork]]&gt;0),Tasks[[#This Row],[_LeafWork]]/(Tasks[[#This Row],[_FinishWorkday]]-Tasks[[#This Row],[_StartWorkday]]+1),0)</f>
        <v>0</v>
      </c>
      <c r="CT182" s="43" t="n">
        <f aca="false">Tasks[[#This Row],[_WorkPerWorkday]]*(Tasks[[#This Row],[_StartWorkday]]-1)</f>
        <v>-0</v>
      </c>
      <c r="CU182" s="43" t="n">
        <f aca="false">IF(Tasks[[#This Row],[_IsLeaf]]=1,MAX(N(Tasks[[#This Row],[Duration]]),0.1),0)</f>
        <v>0</v>
      </c>
      <c r="CV182" s="43" t="n">
        <f aca="false">Tasks[[#This Row],[_WeightDur]]*Tasks[[#This Row],[_LeafProgress]]</f>
        <v>0</v>
      </c>
      <c r="CW18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8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8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8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8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82" s="43" t="str">
        <f aca="false">IF(AND(Tasks[[#This Row],[_IsLeaf]]=1,N(Tasks[[#This Row],[Duration]])=0,Tasks[[#This Row],[_LeafProgress]]&lt;1),Tasks[[#This Row],[_LeafFcstFinish]]+Tasks[[#This Row],[_Row]]/100000,"")</f>
        <v/>
      </c>
      <c r="DC18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82" s="43" t="n">
        <f aca="false">IF(NOT(Tasks[[#This Row],[_IsLeaf]]=1),0,IF(Tasks[[#This Row],[Baseline Cost]]="",Tasks[[#This Row],[_LeafCost]],N(Tasks[[#This Row],[Baseline Cost]])))</f>
        <v>0</v>
      </c>
      <c r="DE182" s="43" t="n">
        <f aca="false">Tasks[[#This Row],[_LeafBudget]]*Tasks[[#This Row],[_PlannedPct]]</f>
        <v>0</v>
      </c>
      <c r="DF182" s="43" t="n">
        <f aca="false">Tasks[[#This Row],[_LeafBudget]]*Tasks[[#This Row],[_LeafProgress]]</f>
        <v>0</v>
      </c>
      <c r="DG182" s="43" t="n">
        <f aca="false">IF(NOT(Tasks[[#This Row],[_IsLeaf]]=1),0,IF(Tasks[[#This Row],[Actual Cost]]="",Tasks[[#This Row],[_LeafCost]]*Tasks[[#This Row],[_LeafProgress]],N(Tasks[[#This Row],[Actual Cost]])))</f>
        <v>0</v>
      </c>
      <c r="DH182" s="43" t="str">
        <f aca="false">IF(Tasks[[#This Row],[Task Name]]="","",LEFT(Tasks[[#This Row],[WBS]],FIND(".",Tasks[[#This Row],[WBS]]&amp;".")-1))</f>
        <v/>
      </c>
      <c r="DI182" s="43" t="str">
        <f aca="false">IF(AND(Tasks[[#This Row],[Task Name]]&lt;&gt;"",Tasks[[#This Row],[_Level]]=1),Tasks[[#This Row],[_Row]],"")</f>
        <v/>
      </c>
      <c r="DJ182" s="43" t="str">
        <f aca="false">IF(AND(Tasks[[#This Row],[_IsLeaf]]=1,N(Tasks[[#This Row],[Duration]])=0),Tasks[[#This Row],[Planned Finish]]+Tasks[[#This Row],[_Row]]/100000,"")</f>
        <v/>
      </c>
      <c r="DK18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8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8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82" s="43" t="str">
        <f aca="false">IF(Tasks[[#This Row],[_LeafCritical]],Tasks[[#This Row],[_LeafFcstStart]]+Tasks[[#This Row],[_Row]]/100000,"")</f>
        <v/>
      </c>
      <c r="DO182" s="43" t="n">
        <f aca="false">Tasks[[#This Row],[_LeafWork]]*Tasks[[#This Row],[_LeafProgress]]</f>
        <v>0</v>
      </c>
      <c r="DP18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82" s="43" t="n">
        <f aca="false">IF(Tasks[[#This Row],[_IsLeaf]]=1,N(Tasks[[#This Row],[Story Points]]),0)</f>
        <v>0</v>
      </c>
      <c r="DR182" s="43" t="str">
        <f aca="false">IF(AND(Tasks[[#This Row],[_IsLeaf]]=1,CurrentSprint&lt;&gt;"",Tasks[[#This Row],[Sprint]]=CurrentSprint),Tasks[[#This Row],[_Row]],"")</f>
        <v/>
      </c>
    </row>
    <row r="183" customFormat="false" ht="15" hidden="false" customHeight="false" outlineLevel="0" collapsed="false">
      <c r="A183" s="28" t="str">
        <f aca="false">IF(Tasks[[#This Row],[Task Name]]="","",COUNTA(Tasks[[#Headers],[Task Name]]:Tasks[[#This Row],[Task Name]])-1)</f>
        <v/>
      </c>
      <c r="B183" s="29" t="n">
        <v>178</v>
      </c>
      <c r="C18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83" s="29"/>
      <c r="E183" s="30"/>
      <c r="F183" s="29"/>
      <c r="G183" s="29"/>
      <c r="H183" s="29"/>
      <c r="I183" s="29"/>
      <c r="J183" s="29"/>
      <c r="K183" s="29"/>
      <c r="L183" s="29"/>
      <c r="M183" s="29"/>
      <c r="N183" s="72"/>
      <c r="O183" s="72"/>
      <c r="P183" s="25" t="str">
        <f aca="false">IF(Tasks[[#This Row],[Task Name]]="","",IF(N(Tasks[[#This Row],[Baseline Start]])&gt;0,Tasks[[#This Row],[Baseline Start]],Tasks[[#This Row],[_CalcStart]]))</f>
        <v/>
      </c>
      <c r="Q183" s="25" t="str">
        <f aca="false">IF(Tasks[[#This Row],[Task Name]]="","",IF(N(Tasks[[#This Row],[Baseline Finish]])&gt;0,Tasks[[#This Row],[Baseline Finish]],Tasks[[#This Row],[_CalcFinish]]))</f>
        <v/>
      </c>
      <c r="R183" s="72"/>
      <c r="S183" s="72"/>
      <c r="T18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8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8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8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8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8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8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8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8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8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8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83" s="74"/>
      <c r="AF18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8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83" s="30"/>
      <c r="AI183" s="74"/>
      <c r="AJ18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8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83" s="83"/>
      <c r="AM183" s="29"/>
      <c r="AN18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83" s="84"/>
      <c r="AP18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83" s="30"/>
      <c r="AR183" s="25" t="str">
        <f aca="false">IF(Tasks[[#This Row],[Task Name]]="","",Tasks[[#This Row],[Forecast Start]])</f>
        <v/>
      </c>
      <c r="AS183" s="25" t="str">
        <f aca="false">IF(Tasks[[#This Row],[Task Name]]="","",Tasks[[#This Row],[Forecast Finish]])</f>
        <v/>
      </c>
      <c r="AT18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83" s="81" t="str">
        <f aca="false">IF(Tasks[[#This Row],[Task Name]]="","",Tasks[[#This Row],[Work]])</f>
        <v/>
      </c>
      <c r="AV183" s="82" t="str">
        <f aca="false">IF(Tasks[[#This Row],[Task Name]]="","",Tasks[[#This Row],[Cost]])</f>
        <v/>
      </c>
      <c r="AW183" s="72"/>
      <c r="AX183" s="72"/>
      <c r="AY183" s="29"/>
      <c r="AZ183" s="85"/>
      <c r="BA183" s="83"/>
      <c r="BB183" s="28" t="str">
        <f aca="false">IF(OR(Tasks[[#This Row],[Task Name]]="",Tasks[[#This Row],[Baseline Duration]]=""),"",Tasks[[#This Row],[BL Source Duration]]-N(Tasks[[#This Row],[Baseline Duration]]))</f>
        <v/>
      </c>
      <c r="BC183" s="81" t="str">
        <f aca="false">IF(OR(Tasks[[#This Row],[Task Name]]="",Tasks[[#This Row],[Baseline Work]]=""),"",Tasks[[#This Row],[Work]]-N(Tasks[[#This Row],[Baseline Work]]))</f>
        <v/>
      </c>
      <c r="BD183" s="82" t="str">
        <f aca="false">IF(OR(Tasks[[#This Row],[Task Name]]="",Tasks[[#This Row],[Baseline Cost]]=""),"",Tasks[[#This Row],[Cost]]-N(Tasks[[#This Row],[Baseline Cost]]))</f>
        <v/>
      </c>
      <c r="BE18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8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8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8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83" s="43" t="str">
        <f aca="false">IF(Tasks[[#This Row],[Task Name]]="","",MAX(1,N(Tasks[[#This Row],[Level]])))</f>
        <v/>
      </c>
      <c r="BJ183" s="43" t="n">
        <f aca="false">ROW()-ROW(Tasks[[#Headers],[ID]])</f>
        <v>178</v>
      </c>
      <c r="BK18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83" s="43" t="n">
        <f aca="false">IFERROR(N(INDEX(Tasks[_Level],Tasks[[#This Row],[_Row]]+1)),0)</f>
        <v>0</v>
      </c>
      <c r="BM183" s="86" t="b">
        <f aca="false">AND(Tasks[[#This Row],[Task Name]]&lt;&gt;"",Tasks[[#This Row],[_NextLevel]]&gt;Tasks[[#This Row],[_Level]])</f>
        <v>0</v>
      </c>
      <c r="BN183" s="43" t="n">
        <f aca="false">IF(Tasks[[#This Row],[_IsSummary]],COUNTIF(Tasks[WBS],Tasks[[#This Row],[WBS]]&amp;".*"),0)</f>
        <v>0</v>
      </c>
      <c r="BO183" s="43" t="n">
        <f aca="false">IF(AND(Tasks[[#This Row],[Task Name]]&lt;&gt;"",NOT(Tasks[[#This Row],[_IsSummary]])),1,0)</f>
        <v>0</v>
      </c>
      <c r="BP183" s="43" t="n">
        <f aca="false">IF(N(Tasks[[#This Row],[Pred1 UID]])=0,0,IFERROR(MATCH(Tasks[[#This Row],[Pred1 UID]],Tasks[UID],0),-1))</f>
        <v>0</v>
      </c>
      <c r="BQ183" s="43" t="n">
        <f aca="false">IF(N(Tasks[[#This Row],[Pred2 UID]])=0,0,IFERROR(MATCH(Tasks[[#This Row],[Pred2 UID]],Tasks[UID],0),-1))</f>
        <v>0</v>
      </c>
      <c r="BR18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8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8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8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83" s="43" t="n">
        <f aca="false">IF(NOT(Tasks[[#This Row],[_IsLeaf]]=1),0,IF(N(Tasks[[#This Row],[Actual Finish]])&gt;0,1,MIN(1,N(Tasks[[#This Row],[% Complete]]))))</f>
        <v>0</v>
      </c>
      <c r="BW18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83" s="43" t="n">
        <f aca="false">IF(Tasks[[#This Row],[_LeafWork]]=0,0,Tasks[[#This Row],[_LeafWork]]*IFERROR(INDEX(res_Rate,MATCH(Tasks[[#This Row],[Resource]],res_Name,0)),0))</f>
        <v>0</v>
      </c>
      <c r="BY18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8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8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8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83" s="43" t="n">
        <f aca="false">IF(NOT(Tasks[[#This Row],[_IsLeaf]]=1),0,MAX(_xlfn.MAXIFS(Tasks[_Row],Tasks[Pred1 UID],Tasks[[#This Row],[UID]]),_xlfn.MAXIFS(Tasks[_Row],Tasks[Pred2 UID],Tasks[[#This Row],[UID]])))</f>
        <v>0</v>
      </c>
      <c r="CD18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83" s="87" t="str">
        <f aca="false">IF(NOT(Tasks[[#This Row],[_IsLeaf]]=1),"",MIN(ProjectFinish,IF(N(Tasks[[#This Row],[Deadline]])&gt;0,Tasks[[#This Row],[Deadline]],2958465),Tasks[[#This Row],[_SuccessorFinishLimit]]))</f>
        <v/>
      </c>
      <c r="CF18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8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83" s="86" t="b">
        <f aca="false">AND(Tasks[[#This Row],[_IsLeaf]]=1,Tasks[[#This Row],[_LeafProgress]]&lt;1,N(Tasks[[#This Row],[_LeafTotalSlack]])&lt;=CriticalSlackDays)</f>
        <v>0</v>
      </c>
      <c r="CI18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8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8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8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8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8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8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8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83" s="43" t="n">
        <f aca="false">IF(AND(Tasks[[#This Row],[_IsLeaf]]=1,Tasks[[#This Row],[_LeafWork]]&gt;0),NETWORKDAYS.INTL(ProjectStart,Tasks[[#This Row],[_LeafFcstStart]],WorkWeek,Holidays),0)</f>
        <v>0</v>
      </c>
      <c r="CR18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83" s="43" t="n">
        <f aca="false">IF(AND(Tasks[[#This Row],[_IsLeaf]]=1,Tasks[[#This Row],[_LeafWork]]&gt;0),Tasks[[#This Row],[_LeafWork]]/(Tasks[[#This Row],[_FinishWorkday]]-Tasks[[#This Row],[_StartWorkday]]+1),0)</f>
        <v>0</v>
      </c>
      <c r="CT183" s="43" t="n">
        <f aca="false">Tasks[[#This Row],[_WorkPerWorkday]]*(Tasks[[#This Row],[_StartWorkday]]-1)</f>
        <v>-0</v>
      </c>
      <c r="CU183" s="43" t="n">
        <f aca="false">IF(Tasks[[#This Row],[_IsLeaf]]=1,MAX(N(Tasks[[#This Row],[Duration]]),0.1),0)</f>
        <v>0</v>
      </c>
      <c r="CV183" s="43" t="n">
        <f aca="false">Tasks[[#This Row],[_WeightDur]]*Tasks[[#This Row],[_LeafProgress]]</f>
        <v>0</v>
      </c>
      <c r="CW18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8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8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8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8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83" s="43" t="str">
        <f aca="false">IF(AND(Tasks[[#This Row],[_IsLeaf]]=1,N(Tasks[[#This Row],[Duration]])=0,Tasks[[#This Row],[_LeafProgress]]&lt;1),Tasks[[#This Row],[_LeafFcstFinish]]+Tasks[[#This Row],[_Row]]/100000,"")</f>
        <v/>
      </c>
      <c r="DC18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83" s="43" t="n">
        <f aca="false">IF(NOT(Tasks[[#This Row],[_IsLeaf]]=1),0,IF(Tasks[[#This Row],[Baseline Cost]]="",Tasks[[#This Row],[_LeafCost]],N(Tasks[[#This Row],[Baseline Cost]])))</f>
        <v>0</v>
      </c>
      <c r="DE183" s="43" t="n">
        <f aca="false">Tasks[[#This Row],[_LeafBudget]]*Tasks[[#This Row],[_PlannedPct]]</f>
        <v>0</v>
      </c>
      <c r="DF183" s="43" t="n">
        <f aca="false">Tasks[[#This Row],[_LeafBudget]]*Tasks[[#This Row],[_LeafProgress]]</f>
        <v>0</v>
      </c>
      <c r="DG183" s="43" t="n">
        <f aca="false">IF(NOT(Tasks[[#This Row],[_IsLeaf]]=1),0,IF(Tasks[[#This Row],[Actual Cost]]="",Tasks[[#This Row],[_LeafCost]]*Tasks[[#This Row],[_LeafProgress]],N(Tasks[[#This Row],[Actual Cost]])))</f>
        <v>0</v>
      </c>
      <c r="DH183" s="43" t="str">
        <f aca="false">IF(Tasks[[#This Row],[Task Name]]="","",LEFT(Tasks[[#This Row],[WBS]],FIND(".",Tasks[[#This Row],[WBS]]&amp;".")-1))</f>
        <v/>
      </c>
      <c r="DI183" s="43" t="str">
        <f aca="false">IF(AND(Tasks[[#This Row],[Task Name]]&lt;&gt;"",Tasks[[#This Row],[_Level]]=1),Tasks[[#This Row],[_Row]],"")</f>
        <v/>
      </c>
      <c r="DJ183" s="43" t="str">
        <f aca="false">IF(AND(Tasks[[#This Row],[_IsLeaf]]=1,N(Tasks[[#This Row],[Duration]])=0),Tasks[[#This Row],[Planned Finish]]+Tasks[[#This Row],[_Row]]/100000,"")</f>
        <v/>
      </c>
      <c r="DK18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8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8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83" s="43" t="str">
        <f aca="false">IF(Tasks[[#This Row],[_LeafCritical]],Tasks[[#This Row],[_LeafFcstStart]]+Tasks[[#This Row],[_Row]]/100000,"")</f>
        <v/>
      </c>
      <c r="DO183" s="43" t="n">
        <f aca="false">Tasks[[#This Row],[_LeafWork]]*Tasks[[#This Row],[_LeafProgress]]</f>
        <v>0</v>
      </c>
      <c r="DP18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83" s="43" t="n">
        <f aca="false">IF(Tasks[[#This Row],[_IsLeaf]]=1,N(Tasks[[#This Row],[Story Points]]),0)</f>
        <v>0</v>
      </c>
      <c r="DR183" s="43" t="str">
        <f aca="false">IF(AND(Tasks[[#This Row],[_IsLeaf]]=1,CurrentSprint&lt;&gt;"",Tasks[[#This Row],[Sprint]]=CurrentSprint),Tasks[[#This Row],[_Row]],"")</f>
        <v/>
      </c>
    </row>
    <row r="184" customFormat="false" ht="15" hidden="false" customHeight="false" outlineLevel="0" collapsed="false">
      <c r="A184" s="28" t="str">
        <f aca="false">IF(Tasks[[#This Row],[Task Name]]="","",COUNTA(Tasks[[#Headers],[Task Name]]:Tasks[[#This Row],[Task Name]])-1)</f>
        <v/>
      </c>
      <c r="B184" s="29" t="n">
        <v>179</v>
      </c>
      <c r="C18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84" s="29"/>
      <c r="E184" s="30"/>
      <c r="F184" s="29"/>
      <c r="G184" s="29"/>
      <c r="H184" s="29"/>
      <c r="I184" s="29"/>
      <c r="J184" s="29"/>
      <c r="K184" s="29"/>
      <c r="L184" s="29"/>
      <c r="M184" s="29"/>
      <c r="N184" s="72"/>
      <c r="O184" s="72"/>
      <c r="P184" s="25" t="str">
        <f aca="false">IF(Tasks[[#This Row],[Task Name]]="","",IF(N(Tasks[[#This Row],[Baseline Start]])&gt;0,Tasks[[#This Row],[Baseline Start]],Tasks[[#This Row],[_CalcStart]]))</f>
        <v/>
      </c>
      <c r="Q184" s="25" t="str">
        <f aca="false">IF(Tasks[[#This Row],[Task Name]]="","",IF(N(Tasks[[#This Row],[Baseline Finish]])&gt;0,Tasks[[#This Row],[Baseline Finish]],Tasks[[#This Row],[_CalcFinish]]))</f>
        <v/>
      </c>
      <c r="R184" s="72"/>
      <c r="S184" s="72"/>
      <c r="T18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8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8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8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8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8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8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8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8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8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8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84" s="74"/>
      <c r="AF18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8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84" s="30"/>
      <c r="AI184" s="74"/>
      <c r="AJ18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8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84" s="83"/>
      <c r="AM184" s="29"/>
      <c r="AN18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84" s="84"/>
      <c r="AP18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84" s="30"/>
      <c r="AR184" s="25" t="str">
        <f aca="false">IF(Tasks[[#This Row],[Task Name]]="","",Tasks[[#This Row],[Forecast Start]])</f>
        <v/>
      </c>
      <c r="AS184" s="25" t="str">
        <f aca="false">IF(Tasks[[#This Row],[Task Name]]="","",Tasks[[#This Row],[Forecast Finish]])</f>
        <v/>
      </c>
      <c r="AT18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84" s="81" t="str">
        <f aca="false">IF(Tasks[[#This Row],[Task Name]]="","",Tasks[[#This Row],[Work]])</f>
        <v/>
      </c>
      <c r="AV184" s="82" t="str">
        <f aca="false">IF(Tasks[[#This Row],[Task Name]]="","",Tasks[[#This Row],[Cost]])</f>
        <v/>
      </c>
      <c r="AW184" s="72"/>
      <c r="AX184" s="72"/>
      <c r="AY184" s="29"/>
      <c r="AZ184" s="85"/>
      <c r="BA184" s="83"/>
      <c r="BB184" s="28" t="str">
        <f aca="false">IF(OR(Tasks[[#This Row],[Task Name]]="",Tasks[[#This Row],[Baseline Duration]]=""),"",Tasks[[#This Row],[BL Source Duration]]-N(Tasks[[#This Row],[Baseline Duration]]))</f>
        <v/>
      </c>
      <c r="BC184" s="81" t="str">
        <f aca="false">IF(OR(Tasks[[#This Row],[Task Name]]="",Tasks[[#This Row],[Baseline Work]]=""),"",Tasks[[#This Row],[Work]]-N(Tasks[[#This Row],[Baseline Work]]))</f>
        <v/>
      </c>
      <c r="BD184" s="82" t="str">
        <f aca="false">IF(OR(Tasks[[#This Row],[Task Name]]="",Tasks[[#This Row],[Baseline Cost]]=""),"",Tasks[[#This Row],[Cost]]-N(Tasks[[#This Row],[Baseline Cost]]))</f>
        <v/>
      </c>
      <c r="BE18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8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8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8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84" s="43" t="str">
        <f aca="false">IF(Tasks[[#This Row],[Task Name]]="","",MAX(1,N(Tasks[[#This Row],[Level]])))</f>
        <v/>
      </c>
      <c r="BJ184" s="43" t="n">
        <f aca="false">ROW()-ROW(Tasks[[#Headers],[ID]])</f>
        <v>179</v>
      </c>
      <c r="BK18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84" s="43" t="n">
        <f aca="false">IFERROR(N(INDEX(Tasks[_Level],Tasks[[#This Row],[_Row]]+1)),0)</f>
        <v>0</v>
      </c>
      <c r="BM184" s="86" t="b">
        <f aca="false">AND(Tasks[[#This Row],[Task Name]]&lt;&gt;"",Tasks[[#This Row],[_NextLevel]]&gt;Tasks[[#This Row],[_Level]])</f>
        <v>0</v>
      </c>
      <c r="BN184" s="43" t="n">
        <f aca="false">IF(Tasks[[#This Row],[_IsSummary]],COUNTIF(Tasks[WBS],Tasks[[#This Row],[WBS]]&amp;".*"),0)</f>
        <v>0</v>
      </c>
      <c r="BO184" s="43" t="n">
        <f aca="false">IF(AND(Tasks[[#This Row],[Task Name]]&lt;&gt;"",NOT(Tasks[[#This Row],[_IsSummary]])),1,0)</f>
        <v>0</v>
      </c>
      <c r="BP184" s="43" t="n">
        <f aca="false">IF(N(Tasks[[#This Row],[Pred1 UID]])=0,0,IFERROR(MATCH(Tasks[[#This Row],[Pred1 UID]],Tasks[UID],0),-1))</f>
        <v>0</v>
      </c>
      <c r="BQ184" s="43" t="n">
        <f aca="false">IF(N(Tasks[[#This Row],[Pred2 UID]])=0,0,IFERROR(MATCH(Tasks[[#This Row],[Pred2 UID]],Tasks[UID],0),-1))</f>
        <v>0</v>
      </c>
      <c r="BR18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8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8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8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84" s="43" t="n">
        <f aca="false">IF(NOT(Tasks[[#This Row],[_IsLeaf]]=1),0,IF(N(Tasks[[#This Row],[Actual Finish]])&gt;0,1,MIN(1,N(Tasks[[#This Row],[% Complete]]))))</f>
        <v>0</v>
      </c>
      <c r="BW18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84" s="43" t="n">
        <f aca="false">IF(Tasks[[#This Row],[_LeafWork]]=0,0,Tasks[[#This Row],[_LeafWork]]*IFERROR(INDEX(res_Rate,MATCH(Tasks[[#This Row],[Resource]],res_Name,0)),0))</f>
        <v>0</v>
      </c>
      <c r="BY18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8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8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8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84" s="43" t="n">
        <f aca="false">IF(NOT(Tasks[[#This Row],[_IsLeaf]]=1),0,MAX(_xlfn.MAXIFS(Tasks[_Row],Tasks[Pred1 UID],Tasks[[#This Row],[UID]]),_xlfn.MAXIFS(Tasks[_Row],Tasks[Pred2 UID],Tasks[[#This Row],[UID]])))</f>
        <v>0</v>
      </c>
      <c r="CD18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84" s="87" t="str">
        <f aca="false">IF(NOT(Tasks[[#This Row],[_IsLeaf]]=1),"",MIN(ProjectFinish,IF(N(Tasks[[#This Row],[Deadline]])&gt;0,Tasks[[#This Row],[Deadline]],2958465),Tasks[[#This Row],[_SuccessorFinishLimit]]))</f>
        <v/>
      </c>
      <c r="CF18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8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84" s="86" t="b">
        <f aca="false">AND(Tasks[[#This Row],[_IsLeaf]]=1,Tasks[[#This Row],[_LeafProgress]]&lt;1,N(Tasks[[#This Row],[_LeafTotalSlack]])&lt;=CriticalSlackDays)</f>
        <v>0</v>
      </c>
      <c r="CI18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8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8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8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8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8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8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8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84" s="43" t="n">
        <f aca="false">IF(AND(Tasks[[#This Row],[_IsLeaf]]=1,Tasks[[#This Row],[_LeafWork]]&gt;0),NETWORKDAYS.INTL(ProjectStart,Tasks[[#This Row],[_LeafFcstStart]],WorkWeek,Holidays),0)</f>
        <v>0</v>
      </c>
      <c r="CR18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84" s="43" t="n">
        <f aca="false">IF(AND(Tasks[[#This Row],[_IsLeaf]]=1,Tasks[[#This Row],[_LeafWork]]&gt;0),Tasks[[#This Row],[_LeafWork]]/(Tasks[[#This Row],[_FinishWorkday]]-Tasks[[#This Row],[_StartWorkday]]+1),0)</f>
        <v>0</v>
      </c>
      <c r="CT184" s="43" t="n">
        <f aca="false">Tasks[[#This Row],[_WorkPerWorkday]]*(Tasks[[#This Row],[_StartWorkday]]-1)</f>
        <v>-0</v>
      </c>
      <c r="CU184" s="43" t="n">
        <f aca="false">IF(Tasks[[#This Row],[_IsLeaf]]=1,MAX(N(Tasks[[#This Row],[Duration]]),0.1),0)</f>
        <v>0</v>
      </c>
      <c r="CV184" s="43" t="n">
        <f aca="false">Tasks[[#This Row],[_WeightDur]]*Tasks[[#This Row],[_LeafProgress]]</f>
        <v>0</v>
      </c>
      <c r="CW18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8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8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8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8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84" s="43" t="str">
        <f aca="false">IF(AND(Tasks[[#This Row],[_IsLeaf]]=1,N(Tasks[[#This Row],[Duration]])=0,Tasks[[#This Row],[_LeafProgress]]&lt;1),Tasks[[#This Row],[_LeafFcstFinish]]+Tasks[[#This Row],[_Row]]/100000,"")</f>
        <v/>
      </c>
      <c r="DC18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84" s="43" t="n">
        <f aca="false">IF(NOT(Tasks[[#This Row],[_IsLeaf]]=1),0,IF(Tasks[[#This Row],[Baseline Cost]]="",Tasks[[#This Row],[_LeafCost]],N(Tasks[[#This Row],[Baseline Cost]])))</f>
        <v>0</v>
      </c>
      <c r="DE184" s="43" t="n">
        <f aca="false">Tasks[[#This Row],[_LeafBudget]]*Tasks[[#This Row],[_PlannedPct]]</f>
        <v>0</v>
      </c>
      <c r="DF184" s="43" t="n">
        <f aca="false">Tasks[[#This Row],[_LeafBudget]]*Tasks[[#This Row],[_LeafProgress]]</f>
        <v>0</v>
      </c>
      <c r="DG184" s="43" t="n">
        <f aca="false">IF(NOT(Tasks[[#This Row],[_IsLeaf]]=1),0,IF(Tasks[[#This Row],[Actual Cost]]="",Tasks[[#This Row],[_LeafCost]]*Tasks[[#This Row],[_LeafProgress]],N(Tasks[[#This Row],[Actual Cost]])))</f>
        <v>0</v>
      </c>
      <c r="DH184" s="43" t="str">
        <f aca="false">IF(Tasks[[#This Row],[Task Name]]="","",LEFT(Tasks[[#This Row],[WBS]],FIND(".",Tasks[[#This Row],[WBS]]&amp;".")-1))</f>
        <v/>
      </c>
      <c r="DI184" s="43" t="str">
        <f aca="false">IF(AND(Tasks[[#This Row],[Task Name]]&lt;&gt;"",Tasks[[#This Row],[_Level]]=1),Tasks[[#This Row],[_Row]],"")</f>
        <v/>
      </c>
      <c r="DJ184" s="43" t="str">
        <f aca="false">IF(AND(Tasks[[#This Row],[_IsLeaf]]=1,N(Tasks[[#This Row],[Duration]])=0),Tasks[[#This Row],[Planned Finish]]+Tasks[[#This Row],[_Row]]/100000,"")</f>
        <v/>
      </c>
      <c r="DK18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8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8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84" s="43" t="str">
        <f aca="false">IF(Tasks[[#This Row],[_LeafCritical]],Tasks[[#This Row],[_LeafFcstStart]]+Tasks[[#This Row],[_Row]]/100000,"")</f>
        <v/>
      </c>
      <c r="DO184" s="43" t="n">
        <f aca="false">Tasks[[#This Row],[_LeafWork]]*Tasks[[#This Row],[_LeafProgress]]</f>
        <v>0</v>
      </c>
      <c r="DP18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84" s="43" t="n">
        <f aca="false">IF(Tasks[[#This Row],[_IsLeaf]]=1,N(Tasks[[#This Row],[Story Points]]),0)</f>
        <v>0</v>
      </c>
      <c r="DR184" s="43" t="str">
        <f aca="false">IF(AND(Tasks[[#This Row],[_IsLeaf]]=1,CurrentSprint&lt;&gt;"",Tasks[[#This Row],[Sprint]]=CurrentSprint),Tasks[[#This Row],[_Row]],"")</f>
        <v/>
      </c>
    </row>
    <row r="185" customFormat="false" ht="15" hidden="false" customHeight="false" outlineLevel="0" collapsed="false">
      <c r="A185" s="28" t="str">
        <f aca="false">IF(Tasks[[#This Row],[Task Name]]="","",COUNTA(Tasks[[#Headers],[Task Name]]:Tasks[[#This Row],[Task Name]])-1)</f>
        <v/>
      </c>
      <c r="B185" s="29" t="n">
        <v>180</v>
      </c>
      <c r="C18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85" s="29"/>
      <c r="E185" s="30"/>
      <c r="F185" s="29"/>
      <c r="G185" s="29"/>
      <c r="H185" s="29"/>
      <c r="I185" s="29"/>
      <c r="J185" s="29"/>
      <c r="K185" s="29"/>
      <c r="L185" s="29"/>
      <c r="M185" s="29"/>
      <c r="N185" s="72"/>
      <c r="O185" s="72"/>
      <c r="P185" s="25" t="str">
        <f aca="false">IF(Tasks[[#This Row],[Task Name]]="","",IF(N(Tasks[[#This Row],[Baseline Start]])&gt;0,Tasks[[#This Row],[Baseline Start]],Tasks[[#This Row],[_CalcStart]]))</f>
        <v/>
      </c>
      <c r="Q185" s="25" t="str">
        <f aca="false">IF(Tasks[[#This Row],[Task Name]]="","",IF(N(Tasks[[#This Row],[Baseline Finish]])&gt;0,Tasks[[#This Row],[Baseline Finish]],Tasks[[#This Row],[_CalcFinish]]))</f>
        <v/>
      </c>
      <c r="R185" s="72"/>
      <c r="S185" s="72"/>
      <c r="T18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8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8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8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8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8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8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8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8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8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8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85" s="74"/>
      <c r="AF18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8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85" s="30"/>
      <c r="AI185" s="74"/>
      <c r="AJ18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8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85" s="83"/>
      <c r="AM185" s="29"/>
      <c r="AN18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85" s="84"/>
      <c r="AP18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85" s="30"/>
      <c r="AR185" s="25" t="str">
        <f aca="false">IF(Tasks[[#This Row],[Task Name]]="","",Tasks[[#This Row],[Forecast Start]])</f>
        <v/>
      </c>
      <c r="AS185" s="25" t="str">
        <f aca="false">IF(Tasks[[#This Row],[Task Name]]="","",Tasks[[#This Row],[Forecast Finish]])</f>
        <v/>
      </c>
      <c r="AT18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85" s="81" t="str">
        <f aca="false">IF(Tasks[[#This Row],[Task Name]]="","",Tasks[[#This Row],[Work]])</f>
        <v/>
      </c>
      <c r="AV185" s="82" t="str">
        <f aca="false">IF(Tasks[[#This Row],[Task Name]]="","",Tasks[[#This Row],[Cost]])</f>
        <v/>
      </c>
      <c r="AW185" s="72"/>
      <c r="AX185" s="72"/>
      <c r="AY185" s="29"/>
      <c r="AZ185" s="85"/>
      <c r="BA185" s="83"/>
      <c r="BB185" s="28" t="str">
        <f aca="false">IF(OR(Tasks[[#This Row],[Task Name]]="",Tasks[[#This Row],[Baseline Duration]]=""),"",Tasks[[#This Row],[BL Source Duration]]-N(Tasks[[#This Row],[Baseline Duration]]))</f>
        <v/>
      </c>
      <c r="BC185" s="81" t="str">
        <f aca="false">IF(OR(Tasks[[#This Row],[Task Name]]="",Tasks[[#This Row],[Baseline Work]]=""),"",Tasks[[#This Row],[Work]]-N(Tasks[[#This Row],[Baseline Work]]))</f>
        <v/>
      </c>
      <c r="BD185" s="82" t="str">
        <f aca="false">IF(OR(Tasks[[#This Row],[Task Name]]="",Tasks[[#This Row],[Baseline Cost]]=""),"",Tasks[[#This Row],[Cost]]-N(Tasks[[#This Row],[Baseline Cost]]))</f>
        <v/>
      </c>
      <c r="BE18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8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8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8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85" s="43" t="str">
        <f aca="false">IF(Tasks[[#This Row],[Task Name]]="","",MAX(1,N(Tasks[[#This Row],[Level]])))</f>
        <v/>
      </c>
      <c r="BJ185" s="43" t="n">
        <f aca="false">ROW()-ROW(Tasks[[#Headers],[ID]])</f>
        <v>180</v>
      </c>
      <c r="BK18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85" s="43" t="n">
        <f aca="false">IFERROR(N(INDEX(Tasks[_Level],Tasks[[#This Row],[_Row]]+1)),0)</f>
        <v>0</v>
      </c>
      <c r="BM185" s="86" t="b">
        <f aca="false">AND(Tasks[[#This Row],[Task Name]]&lt;&gt;"",Tasks[[#This Row],[_NextLevel]]&gt;Tasks[[#This Row],[_Level]])</f>
        <v>0</v>
      </c>
      <c r="BN185" s="43" t="n">
        <f aca="false">IF(Tasks[[#This Row],[_IsSummary]],COUNTIF(Tasks[WBS],Tasks[[#This Row],[WBS]]&amp;".*"),0)</f>
        <v>0</v>
      </c>
      <c r="BO185" s="43" t="n">
        <f aca="false">IF(AND(Tasks[[#This Row],[Task Name]]&lt;&gt;"",NOT(Tasks[[#This Row],[_IsSummary]])),1,0)</f>
        <v>0</v>
      </c>
      <c r="BP185" s="43" t="n">
        <f aca="false">IF(N(Tasks[[#This Row],[Pred1 UID]])=0,0,IFERROR(MATCH(Tasks[[#This Row],[Pred1 UID]],Tasks[UID],0),-1))</f>
        <v>0</v>
      </c>
      <c r="BQ185" s="43" t="n">
        <f aca="false">IF(N(Tasks[[#This Row],[Pred2 UID]])=0,0,IFERROR(MATCH(Tasks[[#This Row],[Pred2 UID]],Tasks[UID],0),-1))</f>
        <v>0</v>
      </c>
      <c r="BR18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8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8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8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85" s="43" t="n">
        <f aca="false">IF(NOT(Tasks[[#This Row],[_IsLeaf]]=1),0,IF(N(Tasks[[#This Row],[Actual Finish]])&gt;0,1,MIN(1,N(Tasks[[#This Row],[% Complete]]))))</f>
        <v>0</v>
      </c>
      <c r="BW18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85" s="43" t="n">
        <f aca="false">IF(Tasks[[#This Row],[_LeafWork]]=0,0,Tasks[[#This Row],[_LeafWork]]*IFERROR(INDEX(res_Rate,MATCH(Tasks[[#This Row],[Resource]],res_Name,0)),0))</f>
        <v>0</v>
      </c>
      <c r="BY18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8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8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8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85" s="43" t="n">
        <f aca="false">IF(NOT(Tasks[[#This Row],[_IsLeaf]]=1),0,MAX(_xlfn.MAXIFS(Tasks[_Row],Tasks[Pred1 UID],Tasks[[#This Row],[UID]]),_xlfn.MAXIFS(Tasks[_Row],Tasks[Pred2 UID],Tasks[[#This Row],[UID]])))</f>
        <v>0</v>
      </c>
      <c r="CD18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85" s="87" t="str">
        <f aca="false">IF(NOT(Tasks[[#This Row],[_IsLeaf]]=1),"",MIN(ProjectFinish,IF(N(Tasks[[#This Row],[Deadline]])&gt;0,Tasks[[#This Row],[Deadline]],2958465),Tasks[[#This Row],[_SuccessorFinishLimit]]))</f>
        <v/>
      </c>
      <c r="CF18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8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85" s="86" t="b">
        <f aca="false">AND(Tasks[[#This Row],[_IsLeaf]]=1,Tasks[[#This Row],[_LeafProgress]]&lt;1,N(Tasks[[#This Row],[_LeafTotalSlack]])&lt;=CriticalSlackDays)</f>
        <v>0</v>
      </c>
      <c r="CI18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8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8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8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8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8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8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8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85" s="43" t="n">
        <f aca="false">IF(AND(Tasks[[#This Row],[_IsLeaf]]=1,Tasks[[#This Row],[_LeafWork]]&gt;0),NETWORKDAYS.INTL(ProjectStart,Tasks[[#This Row],[_LeafFcstStart]],WorkWeek,Holidays),0)</f>
        <v>0</v>
      </c>
      <c r="CR18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85" s="43" t="n">
        <f aca="false">IF(AND(Tasks[[#This Row],[_IsLeaf]]=1,Tasks[[#This Row],[_LeafWork]]&gt;0),Tasks[[#This Row],[_LeafWork]]/(Tasks[[#This Row],[_FinishWorkday]]-Tasks[[#This Row],[_StartWorkday]]+1),0)</f>
        <v>0</v>
      </c>
      <c r="CT185" s="43" t="n">
        <f aca="false">Tasks[[#This Row],[_WorkPerWorkday]]*(Tasks[[#This Row],[_StartWorkday]]-1)</f>
        <v>-0</v>
      </c>
      <c r="CU185" s="43" t="n">
        <f aca="false">IF(Tasks[[#This Row],[_IsLeaf]]=1,MAX(N(Tasks[[#This Row],[Duration]]),0.1),0)</f>
        <v>0</v>
      </c>
      <c r="CV185" s="43" t="n">
        <f aca="false">Tasks[[#This Row],[_WeightDur]]*Tasks[[#This Row],[_LeafProgress]]</f>
        <v>0</v>
      </c>
      <c r="CW18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8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8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8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8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85" s="43" t="str">
        <f aca="false">IF(AND(Tasks[[#This Row],[_IsLeaf]]=1,N(Tasks[[#This Row],[Duration]])=0,Tasks[[#This Row],[_LeafProgress]]&lt;1),Tasks[[#This Row],[_LeafFcstFinish]]+Tasks[[#This Row],[_Row]]/100000,"")</f>
        <v/>
      </c>
      <c r="DC18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85" s="43" t="n">
        <f aca="false">IF(NOT(Tasks[[#This Row],[_IsLeaf]]=1),0,IF(Tasks[[#This Row],[Baseline Cost]]="",Tasks[[#This Row],[_LeafCost]],N(Tasks[[#This Row],[Baseline Cost]])))</f>
        <v>0</v>
      </c>
      <c r="DE185" s="43" t="n">
        <f aca="false">Tasks[[#This Row],[_LeafBudget]]*Tasks[[#This Row],[_PlannedPct]]</f>
        <v>0</v>
      </c>
      <c r="DF185" s="43" t="n">
        <f aca="false">Tasks[[#This Row],[_LeafBudget]]*Tasks[[#This Row],[_LeafProgress]]</f>
        <v>0</v>
      </c>
      <c r="DG185" s="43" t="n">
        <f aca="false">IF(NOT(Tasks[[#This Row],[_IsLeaf]]=1),0,IF(Tasks[[#This Row],[Actual Cost]]="",Tasks[[#This Row],[_LeafCost]]*Tasks[[#This Row],[_LeafProgress]],N(Tasks[[#This Row],[Actual Cost]])))</f>
        <v>0</v>
      </c>
      <c r="DH185" s="43" t="str">
        <f aca="false">IF(Tasks[[#This Row],[Task Name]]="","",LEFT(Tasks[[#This Row],[WBS]],FIND(".",Tasks[[#This Row],[WBS]]&amp;".")-1))</f>
        <v/>
      </c>
      <c r="DI185" s="43" t="str">
        <f aca="false">IF(AND(Tasks[[#This Row],[Task Name]]&lt;&gt;"",Tasks[[#This Row],[_Level]]=1),Tasks[[#This Row],[_Row]],"")</f>
        <v/>
      </c>
      <c r="DJ185" s="43" t="str">
        <f aca="false">IF(AND(Tasks[[#This Row],[_IsLeaf]]=1,N(Tasks[[#This Row],[Duration]])=0),Tasks[[#This Row],[Planned Finish]]+Tasks[[#This Row],[_Row]]/100000,"")</f>
        <v/>
      </c>
      <c r="DK18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8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8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85" s="43" t="str">
        <f aca="false">IF(Tasks[[#This Row],[_LeafCritical]],Tasks[[#This Row],[_LeafFcstStart]]+Tasks[[#This Row],[_Row]]/100000,"")</f>
        <v/>
      </c>
      <c r="DO185" s="43" t="n">
        <f aca="false">Tasks[[#This Row],[_LeafWork]]*Tasks[[#This Row],[_LeafProgress]]</f>
        <v>0</v>
      </c>
      <c r="DP18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85" s="43" t="n">
        <f aca="false">IF(Tasks[[#This Row],[_IsLeaf]]=1,N(Tasks[[#This Row],[Story Points]]),0)</f>
        <v>0</v>
      </c>
      <c r="DR185" s="43" t="str">
        <f aca="false">IF(AND(Tasks[[#This Row],[_IsLeaf]]=1,CurrentSprint&lt;&gt;"",Tasks[[#This Row],[Sprint]]=CurrentSprint),Tasks[[#This Row],[_Row]],"")</f>
        <v/>
      </c>
    </row>
    <row r="186" customFormat="false" ht="15" hidden="false" customHeight="false" outlineLevel="0" collapsed="false">
      <c r="A186" s="28" t="str">
        <f aca="false">IF(Tasks[[#This Row],[Task Name]]="","",COUNTA(Tasks[[#Headers],[Task Name]]:Tasks[[#This Row],[Task Name]])-1)</f>
        <v/>
      </c>
      <c r="B186" s="29" t="n">
        <v>181</v>
      </c>
      <c r="C18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86" s="29"/>
      <c r="E186" s="30"/>
      <c r="F186" s="29"/>
      <c r="G186" s="29"/>
      <c r="H186" s="29"/>
      <c r="I186" s="29"/>
      <c r="J186" s="29"/>
      <c r="K186" s="29"/>
      <c r="L186" s="29"/>
      <c r="M186" s="29"/>
      <c r="N186" s="72"/>
      <c r="O186" s="72"/>
      <c r="P186" s="25" t="str">
        <f aca="false">IF(Tasks[[#This Row],[Task Name]]="","",IF(N(Tasks[[#This Row],[Baseline Start]])&gt;0,Tasks[[#This Row],[Baseline Start]],Tasks[[#This Row],[_CalcStart]]))</f>
        <v/>
      </c>
      <c r="Q186" s="25" t="str">
        <f aca="false">IF(Tasks[[#This Row],[Task Name]]="","",IF(N(Tasks[[#This Row],[Baseline Finish]])&gt;0,Tasks[[#This Row],[Baseline Finish]],Tasks[[#This Row],[_CalcFinish]]))</f>
        <v/>
      </c>
      <c r="R186" s="72"/>
      <c r="S186" s="72"/>
      <c r="T18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8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8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8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8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8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8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8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8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8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8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86" s="74"/>
      <c r="AF18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8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86" s="30"/>
      <c r="AI186" s="74"/>
      <c r="AJ18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8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86" s="83"/>
      <c r="AM186" s="29"/>
      <c r="AN18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86" s="84"/>
      <c r="AP18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86" s="30"/>
      <c r="AR186" s="25" t="str">
        <f aca="false">IF(Tasks[[#This Row],[Task Name]]="","",Tasks[[#This Row],[Forecast Start]])</f>
        <v/>
      </c>
      <c r="AS186" s="25" t="str">
        <f aca="false">IF(Tasks[[#This Row],[Task Name]]="","",Tasks[[#This Row],[Forecast Finish]])</f>
        <v/>
      </c>
      <c r="AT18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86" s="81" t="str">
        <f aca="false">IF(Tasks[[#This Row],[Task Name]]="","",Tasks[[#This Row],[Work]])</f>
        <v/>
      </c>
      <c r="AV186" s="82" t="str">
        <f aca="false">IF(Tasks[[#This Row],[Task Name]]="","",Tasks[[#This Row],[Cost]])</f>
        <v/>
      </c>
      <c r="AW186" s="72"/>
      <c r="AX186" s="72"/>
      <c r="AY186" s="29"/>
      <c r="AZ186" s="85"/>
      <c r="BA186" s="83"/>
      <c r="BB186" s="28" t="str">
        <f aca="false">IF(OR(Tasks[[#This Row],[Task Name]]="",Tasks[[#This Row],[Baseline Duration]]=""),"",Tasks[[#This Row],[BL Source Duration]]-N(Tasks[[#This Row],[Baseline Duration]]))</f>
        <v/>
      </c>
      <c r="BC186" s="81" t="str">
        <f aca="false">IF(OR(Tasks[[#This Row],[Task Name]]="",Tasks[[#This Row],[Baseline Work]]=""),"",Tasks[[#This Row],[Work]]-N(Tasks[[#This Row],[Baseline Work]]))</f>
        <v/>
      </c>
      <c r="BD186" s="82" t="str">
        <f aca="false">IF(OR(Tasks[[#This Row],[Task Name]]="",Tasks[[#This Row],[Baseline Cost]]=""),"",Tasks[[#This Row],[Cost]]-N(Tasks[[#This Row],[Baseline Cost]]))</f>
        <v/>
      </c>
      <c r="BE18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8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8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8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86" s="43" t="str">
        <f aca="false">IF(Tasks[[#This Row],[Task Name]]="","",MAX(1,N(Tasks[[#This Row],[Level]])))</f>
        <v/>
      </c>
      <c r="BJ186" s="43" t="n">
        <f aca="false">ROW()-ROW(Tasks[[#Headers],[ID]])</f>
        <v>181</v>
      </c>
      <c r="BK18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86" s="43" t="n">
        <f aca="false">IFERROR(N(INDEX(Tasks[_Level],Tasks[[#This Row],[_Row]]+1)),0)</f>
        <v>0</v>
      </c>
      <c r="BM186" s="86" t="b">
        <f aca="false">AND(Tasks[[#This Row],[Task Name]]&lt;&gt;"",Tasks[[#This Row],[_NextLevel]]&gt;Tasks[[#This Row],[_Level]])</f>
        <v>0</v>
      </c>
      <c r="BN186" s="43" t="n">
        <f aca="false">IF(Tasks[[#This Row],[_IsSummary]],COUNTIF(Tasks[WBS],Tasks[[#This Row],[WBS]]&amp;".*"),0)</f>
        <v>0</v>
      </c>
      <c r="BO186" s="43" t="n">
        <f aca="false">IF(AND(Tasks[[#This Row],[Task Name]]&lt;&gt;"",NOT(Tasks[[#This Row],[_IsSummary]])),1,0)</f>
        <v>0</v>
      </c>
      <c r="BP186" s="43" t="n">
        <f aca="false">IF(N(Tasks[[#This Row],[Pred1 UID]])=0,0,IFERROR(MATCH(Tasks[[#This Row],[Pred1 UID]],Tasks[UID],0),-1))</f>
        <v>0</v>
      </c>
      <c r="BQ186" s="43" t="n">
        <f aca="false">IF(N(Tasks[[#This Row],[Pred2 UID]])=0,0,IFERROR(MATCH(Tasks[[#This Row],[Pred2 UID]],Tasks[UID],0),-1))</f>
        <v>0</v>
      </c>
      <c r="BR18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8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8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8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86" s="43" t="n">
        <f aca="false">IF(NOT(Tasks[[#This Row],[_IsLeaf]]=1),0,IF(N(Tasks[[#This Row],[Actual Finish]])&gt;0,1,MIN(1,N(Tasks[[#This Row],[% Complete]]))))</f>
        <v>0</v>
      </c>
      <c r="BW18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86" s="43" t="n">
        <f aca="false">IF(Tasks[[#This Row],[_LeafWork]]=0,0,Tasks[[#This Row],[_LeafWork]]*IFERROR(INDEX(res_Rate,MATCH(Tasks[[#This Row],[Resource]],res_Name,0)),0))</f>
        <v>0</v>
      </c>
      <c r="BY18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8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8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8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86" s="43" t="n">
        <f aca="false">IF(NOT(Tasks[[#This Row],[_IsLeaf]]=1),0,MAX(_xlfn.MAXIFS(Tasks[_Row],Tasks[Pred1 UID],Tasks[[#This Row],[UID]]),_xlfn.MAXIFS(Tasks[_Row],Tasks[Pred2 UID],Tasks[[#This Row],[UID]])))</f>
        <v>0</v>
      </c>
      <c r="CD18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86" s="87" t="str">
        <f aca="false">IF(NOT(Tasks[[#This Row],[_IsLeaf]]=1),"",MIN(ProjectFinish,IF(N(Tasks[[#This Row],[Deadline]])&gt;0,Tasks[[#This Row],[Deadline]],2958465),Tasks[[#This Row],[_SuccessorFinishLimit]]))</f>
        <v/>
      </c>
      <c r="CF18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8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86" s="86" t="b">
        <f aca="false">AND(Tasks[[#This Row],[_IsLeaf]]=1,Tasks[[#This Row],[_LeafProgress]]&lt;1,N(Tasks[[#This Row],[_LeafTotalSlack]])&lt;=CriticalSlackDays)</f>
        <v>0</v>
      </c>
      <c r="CI18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8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8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8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8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8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8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8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86" s="43" t="n">
        <f aca="false">IF(AND(Tasks[[#This Row],[_IsLeaf]]=1,Tasks[[#This Row],[_LeafWork]]&gt;0),NETWORKDAYS.INTL(ProjectStart,Tasks[[#This Row],[_LeafFcstStart]],WorkWeek,Holidays),0)</f>
        <v>0</v>
      </c>
      <c r="CR18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86" s="43" t="n">
        <f aca="false">IF(AND(Tasks[[#This Row],[_IsLeaf]]=1,Tasks[[#This Row],[_LeafWork]]&gt;0),Tasks[[#This Row],[_LeafWork]]/(Tasks[[#This Row],[_FinishWorkday]]-Tasks[[#This Row],[_StartWorkday]]+1),0)</f>
        <v>0</v>
      </c>
      <c r="CT186" s="43" t="n">
        <f aca="false">Tasks[[#This Row],[_WorkPerWorkday]]*(Tasks[[#This Row],[_StartWorkday]]-1)</f>
        <v>-0</v>
      </c>
      <c r="CU186" s="43" t="n">
        <f aca="false">IF(Tasks[[#This Row],[_IsLeaf]]=1,MAX(N(Tasks[[#This Row],[Duration]]),0.1),0)</f>
        <v>0</v>
      </c>
      <c r="CV186" s="43" t="n">
        <f aca="false">Tasks[[#This Row],[_WeightDur]]*Tasks[[#This Row],[_LeafProgress]]</f>
        <v>0</v>
      </c>
      <c r="CW18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8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8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8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8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86" s="43" t="str">
        <f aca="false">IF(AND(Tasks[[#This Row],[_IsLeaf]]=1,N(Tasks[[#This Row],[Duration]])=0,Tasks[[#This Row],[_LeafProgress]]&lt;1),Tasks[[#This Row],[_LeafFcstFinish]]+Tasks[[#This Row],[_Row]]/100000,"")</f>
        <v/>
      </c>
      <c r="DC18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86" s="43" t="n">
        <f aca="false">IF(NOT(Tasks[[#This Row],[_IsLeaf]]=1),0,IF(Tasks[[#This Row],[Baseline Cost]]="",Tasks[[#This Row],[_LeafCost]],N(Tasks[[#This Row],[Baseline Cost]])))</f>
        <v>0</v>
      </c>
      <c r="DE186" s="43" t="n">
        <f aca="false">Tasks[[#This Row],[_LeafBudget]]*Tasks[[#This Row],[_PlannedPct]]</f>
        <v>0</v>
      </c>
      <c r="DF186" s="43" t="n">
        <f aca="false">Tasks[[#This Row],[_LeafBudget]]*Tasks[[#This Row],[_LeafProgress]]</f>
        <v>0</v>
      </c>
      <c r="DG186" s="43" t="n">
        <f aca="false">IF(NOT(Tasks[[#This Row],[_IsLeaf]]=1),0,IF(Tasks[[#This Row],[Actual Cost]]="",Tasks[[#This Row],[_LeafCost]]*Tasks[[#This Row],[_LeafProgress]],N(Tasks[[#This Row],[Actual Cost]])))</f>
        <v>0</v>
      </c>
      <c r="DH186" s="43" t="str">
        <f aca="false">IF(Tasks[[#This Row],[Task Name]]="","",LEFT(Tasks[[#This Row],[WBS]],FIND(".",Tasks[[#This Row],[WBS]]&amp;".")-1))</f>
        <v/>
      </c>
      <c r="DI186" s="43" t="str">
        <f aca="false">IF(AND(Tasks[[#This Row],[Task Name]]&lt;&gt;"",Tasks[[#This Row],[_Level]]=1),Tasks[[#This Row],[_Row]],"")</f>
        <v/>
      </c>
      <c r="DJ186" s="43" t="str">
        <f aca="false">IF(AND(Tasks[[#This Row],[_IsLeaf]]=1,N(Tasks[[#This Row],[Duration]])=0),Tasks[[#This Row],[Planned Finish]]+Tasks[[#This Row],[_Row]]/100000,"")</f>
        <v/>
      </c>
      <c r="DK18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8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8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86" s="43" t="str">
        <f aca="false">IF(Tasks[[#This Row],[_LeafCritical]],Tasks[[#This Row],[_LeafFcstStart]]+Tasks[[#This Row],[_Row]]/100000,"")</f>
        <v/>
      </c>
      <c r="DO186" s="43" t="n">
        <f aca="false">Tasks[[#This Row],[_LeafWork]]*Tasks[[#This Row],[_LeafProgress]]</f>
        <v>0</v>
      </c>
      <c r="DP18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86" s="43" t="n">
        <f aca="false">IF(Tasks[[#This Row],[_IsLeaf]]=1,N(Tasks[[#This Row],[Story Points]]),0)</f>
        <v>0</v>
      </c>
      <c r="DR186" s="43" t="str">
        <f aca="false">IF(AND(Tasks[[#This Row],[_IsLeaf]]=1,CurrentSprint&lt;&gt;"",Tasks[[#This Row],[Sprint]]=CurrentSprint),Tasks[[#This Row],[_Row]],"")</f>
        <v/>
      </c>
    </row>
    <row r="187" customFormat="false" ht="15" hidden="false" customHeight="false" outlineLevel="0" collapsed="false">
      <c r="A187" s="28" t="str">
        <f aca="false">IF(Tasks[[#This Row],[Task Name]]="","",COUNTA(Tasks[[#Headers],[Task Name]]:Tasks[[#This Row],[Task Name]])-1)</f>
        <v/>
      </c>
      <c r="B187" s="29" t="n">
        <v>182</v>
      </c>
      <c r="C18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87" s="29"/>
      <c r="E187" s="30"/>
      <c r="F187" s="29"/>
      <c r="G187" s="29"/>
      <c r="H187" s="29"/>
      <c r="I187" s="29"/>
      <c r="J187" s="29"/>
      <c r="K187" s="29"/>
      <c r="L187" s="29"/>
      <c r="M187" s="29"/>
      <c r="N187" s="72"/>
      <c r="O187" s="72"/>
      <c r="P187" s="25" t="str">
        <f aca="false">IF(Tasks[[#This Row],[Task Name]]="","",IF(N(Tasks[[#This Row],[Baseline Start]])&gt;0,Tasks[[#This Row],[Baseline Start]],Tasks[[#This Row],[_CalcStart]]))</f>
        <v/>
      </c>
      <c r="Q187" s="25" t="str">
        <f aca="false">IF(Tasks[[#This Row],[Task Name]]="","",IF(N(Tasks[[#This Row],[Baseline Finish]])&gt;0,Tasks[[#This Row],[Baseline Finish]],Tasks[[#This Row],[_CalcFinish]]))</f>
        <v/>
      </c>
      <c r="R187" s="72"/>
      <c r="S187" s="72"/>
      <c r="T18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8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8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8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8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8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8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8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8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8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8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87" s="74"/>
      <c r="AF18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8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87" s="30"/>
      <c r="AI187" s="74"/>
      <c r="AJ18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8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87" s="83"/>
      <c r="AM187" s="29"/>
      <c r="AN18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87" s="84"/>
      <c r="AP18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87" s="30"/>
      <c r="AR187" s="25" t="str">
        <f aca="false">IF(Tasks[[#This Row],[Task Name]]="","",Tasks[[#This Row],[Forecast Start]])</f>
        <v/>
      </c>
      <c r="AS187" s="25" t="str">
        <f aca="false">IF(Tasks[[#This Row],[Task Name]]="","",Tasks[[#This Row],[Forecast Finish]])</f>
        <v/>
      </c>
      <c r="AT18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87" s="81" t="str">
        <f aca="false">IF(Tasks[[#This Row],[Task Name]]="","",Tasks[[#This Row],[Work]])</f>
        <v/>
      </c>
      <c r="AV187" s="82" t="str">
        <f aca="false">IF(Tasks[[#This Row],[Task Name]]="","",Tasks[[#This Row],[Cost]])</f>
        <v/>
      </c>
      <c r="AW187" s="72"/>
      <c r="AX187" s="72"/>
      <c r="AY187" s="29"/>
      <c r="AZ187" s="85"/>
      <c r="BA187" s="83"/>
      <c r="BB187" s="28" t="str">
        <f aca="false">IF(OR(Tasks[[#This Row],[Task Name]]="",Tasks[[#This Row],[Baseline Duration]]=""),"",Tasks[[#This Row],[BL Source Duration]]-N(Tasks[[#This Row],[Baseline Duration]]))</f>
        <v/>
      </c>
      <c r="BC187" s="81" t="str">
        <f aca="false">IF(OR(Tasks[[#This Row],[Task Name]]="",Tasks[[#This Row],[Baseline Work]]=""),"",Tasks[[#This Row],[Work]]-N(Tasks[[#This Row],[Baseline Work]]))</f>
        <v/>
      </c>
      <c r="BD187" s="82" t="str">
        <f aca="false">IF(OR(Tasks[[#This Row],[Task Name]]="",Tasks[[#This Row],[Baseline Cost]]=""),"",Tasks[[#This Row],[Cost]]-N(Tasks[[#This Row],[Baseline Cost]]))</f>
        <v/>
      </c>
      <c r="BE18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8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8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8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87" s="43" t="str">
        <f aca="false">IF(Tasks[[#This Row],[Task Name]]="","",MAX(1,N(Tasks[[#This Row],[Level]])))</f>
        <v/>
      </c>
      <c r="BJ187" s="43" t="n">
        <f aca="false">ROW()-ROW(Tasks[[#Headers],[ID]])</f>
        <v>182</v>
      </c>
      <c r="BK18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87" s="43" t="n">
        <f aca="false">IFERROR(N(INDEX(Tasks[_Level],Tasks[[#This Row],[_Row]]+1)),0)</f>
        <v>0</v>
      </c>
      <c r="BM187" s="86" t="b">
        <f aca="false">AND(Tasks[[#This Row],[Task Name]]&lt;&gt;"",Tasks[[#This Row],[_NextLevel]]&gt;Tasks[[#This Row],[_Level]])</f>
        <v>0</v>
      </c>
      <c r="BN187" s="43" t="n">
        <f aca="false">IF(Tasks[[#This Row],[_IsSummary]],COUNTIF(Tasks[WBS],Tasks[[#This Row],[WBS]]&amp;".*"),0)</f>
        <v>0</v>
      </c>
      <c r="BO187" s="43" t="n">
        <f aca="false">IF(AND(Tasks[[#This Row],[Task Name]]&lt;&gt;"",NOT(Tasks[[#This Row],[_IsSummary]])),1,0)</f>
        <v>0</v>
      </c>
      <c r="BP187" s="43" t="n">
        <f aca="false">IF(N(Tasks[[#This Row],[Pred1 UID]])=0,0,IFERROR(MATCH(Tasks[[#This Row],[Pred1 UID]],Tasks[UID],0),-1))</f>
        <v>0</v>
      </c>
      <c r="BQ187" s="43" t="n">
        <f aca="false">IF(N(Tasks[[#This Row],[Pred2 UID]])=0,0,IFERROR(MATCH(Tasks[[#This Row],[Pred2 UID]],Tasks[UID],0),-1))</f>
        <v>0</v>
      </c>
      <c r="BR18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8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8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8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87" s="43" t="n">
        <f aca="false">IF(NOT(Tasks[[#This Row],[_IsLeaf]]=1),0,IF(N(Tasks[[#This Row],[Actual Finish]])&gt;0,1,MIN(1,N(Tasks[[#This Row],[% Complete]]))))</f>
        <v>0</v>
      </c>
      <c r="BW18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87" s="43" t="n">
        <f aca="false">IF(Tasks[[#This Row],[_LeafWork]]=0,0,Tasks[[#This Row],[_LeafWork]]*IFERROR(INDEX(res_Rate,MATCH(Tasks[[#This Row],[Resource]],res_Name,0)),0))</f>
        <v>0</v>
      </c>
      <c r="BY18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8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8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8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87" s="43" t="n">
        <f aca="false">IF(NOT(Tasks[[#This Row],[_IsLeaf]]=1),0,MAX(_xlfn.MAXIFS(Tasks[_Row],Tasks[Pred1 UID],Tasks[[#This Row],[UID]]),_xlfn.MAXIFS(Tasks[_Row],Tasks[Pred2 UID],Tasks[[#This Row],[UID]])))</f>
        <v>0</v>
      </c>
      <c r="CD18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87" s="87" t="str">
        <f aca="false">IF(NOT(Tasks[[#This Row],[_IsLeaf]]=1),"",MIN(ProjectFinish,IF(N(Tasks[[#This Row],[Deadline]])&gt;0,Tasks[[#This Row],[Deadline]],2958465),Tasks[[#This Row],[_SuccessorFinishLimit]]))</f>
        <v/>
      </c>
      <c r="CF18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8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87" s="86" t="b">
        <f aca="false">AND(Tasks[[#This Row],[_IsLeaf]]=1,Tasks[[#This Row],[_LeafProgress]]&lt;1,N(Tasks[[#This Row],[_LeafTotalSlack]])&lt;=CriticalSlackDays)</f>
        <v>0</v>
      </c>
      <c r="CI18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8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8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8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8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8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8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8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87" s="43" t="n">
        <f aca="false">IF(AND(Tasks[[#This Row],[_IsLeaf]]=1,Tasks[[#This Row],[_LeafWork]]&gt;0),NETWORKDAYS.INTL(ProjectStart,Tasks[[#This Row],[_LeafFcstStart]],WorkWeek,Holidays),0)</f>
        <v>0</v>
      </c>
      <c r="CR18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87" s="43" t="n">
        <f aca="false">IF(AND(Tasks[[#This Row],[_IsLeaf]]=1,Tasks[[#This Row],[_LeafWork]]&gt;0),Tasks[[#This Row],[_LeafWork]]/(Tasks[[#This Row],[_FinishWorkday]]-Tasks[[#This Row],[_StartWorkday]]+1),0)</f>
        <v>0</v>
      </c>
      <c r="CT187" s="43" t="n">
        <f aca="false">Tasks[[#This Row],[_WorkPerWorkday]]*(Tasks[[#This Row],[_StartWorkday]]-1)</f>
        <v>-0</v>
      </c>
      <c r="CU187" s="43" t="n">
        <f aca="false">IF(Tasks[[#This Row],[_IsLeaf]]=1,MAX(N(Tasks[[#This Row],[Duration]]),0.1),0)</f>
        <v>0</v>
      </c>
      <c r="CV187" s="43" t="n">
        <f aca="false">Tasks[[#This Row],[_WeightDur]]*Tasks[[#This Row],[_LeafProgress]]</f>
        <v>0</v>
      </c>
      <c r="CW18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8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8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8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8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87" s="43" t="str">
        <f aca="false">IF(AND(Tasks[[#This Row],[_IsLeaf]]=1,N(Tasks[[#This Row],[Duration]])=0,Tasks[[#This Row],[_LeafProgress]]&lt;1),Tasks[[#This Row],[_LeafFcstFinish]]+Tasks[[#This Row],[_Row]]/100000,"")</f>
        <v/>
      </c>
      <c r="DC18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87" s="43" t="n">
        <f aca="false">IF(NOT(Tasks[[#This Row],[_IsLeaf]]=1),0,IF(Tasks[[#This Row],[Baseline Cost]]="",Tasks[[#This Row],[_LeafCost]],N(Tasks[[#This Row],[Baseline Cost]])))</f>
        <v>0</v>
      </c>
      <c r="DE187" s="43" t="n">
        <f aca="false">Tasks[[#This Row],[_LeafBudget]]*Tasks[[#This Row],[_PlannedPct]]</f>
        <v>0</v>
      </c>
      <c r="DF187" s="43" t="n">
        <f aca="false">Tasks[[#This Row],[_LeafBudget]]*Tasks[[#This Row],[_LeafProgress]]</f>
        <v>0</v>
      </c>
      <c r="DG187" s="43" t="n">
        <f aca="false">IF(NOT(Tasks[[#This Row],[_IsLeaf]]=1),0,IF(Tasks[[#This Row],[Actual Cost]]="",Tasks[[#This Row],[_LeafCost]]*Tasks[[#This Row],[_LeafProgress]],N(Tasks[[#This Row],[Actual Cost]])))</f>
        <v>0</v>
      </c>
      <c r="DH187" s="43" t="str">
        <f aca="false">IF(Tasks[[#This Row],[Task Name]]="","",LEFT(Tasks[[#This Row],[WBS]],FIND(".",Tasks[[#This Row],[WBS]]&amp;".")-1))</f>
        <v/>
      </c>
      <c r="DI187" s="43" t="str">
        <f aca="false">IF(AND(Tasks[[#This Row],[Task Name]]&lt;&gt;"",Tasks[[#This Row],[_Level]]=1),Tasks[[#This Row],[_Row]],"")</f>
        <v/>
      </c>
      <c r="DJ187" s="43" t="str">
        <f aca="false">IF(AND(Tasks[[#This Row],[_IsLeaf]]=1,N(Tasks[[#This Row],[Duration]])=0),Tasks[[#This Row],[Planned Finish]]+Tasks[[#This Row],[_Row]]/100000,"")</f>
        <v/>
      </c>
      <c r="DK18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8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8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87" s="43" t="str">
        <f aca="false">IF(Tasks[[#This Row],[_LeafCritical]],Tasks[[#This Row],[_LeafFcstStart]]+Tasks[[#This Row],[_Row]]/100000,"")</f>
        <v/>
      </c>
      <c r="DO187" s="43" t="n">
        <f aca="false">Tasks[[#This Row],[_LeafWork]]*Tasks[[#This Row],[_LeafProgress]]</f>
        <v>0</v>
      </c>
      <c r="DP18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87" s="43" t="n">
        <f aca="false">IF(Tasks[[#This Row],[_IsLeaf]]=1,N(Tasks[[#This Row],[Story Points]]),0)</f>
        <v>0</v>
      </c>
      <c r="DR187" s="43" t="str">
        <f aca="false">IF(AND(Tasks[[#This Row],[_IsLeaf]]=1,CurrentSprint&lt;&gt;"",Tasks[[#This Row],[Sprint]]=CurrentSprint),Tasks[[#This Row],[_Row]],"")</f>
        <v/>
      </c>
    </row>
    <row r="188" customFormat="false" ht="15" hidden="false" customHeight="false" outlineLevel="0" collapsed="false">
      <c r="A188" s="28" t="str">
        <f aca="false">IF(Tasks[[#This Row],[Task Name]]="","",COUNTA(Tasks[[#Headers],[Task Name]]:Tasks[[#This Row],[Task Name]])-1)</f>
        <v/>
      </c>
      <c r="B188" s="29" t="n">
        <v>183</v>
      </c>
      <c r="C18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88" s="29"/>
      <c r="E188" s="30"/>
      <c r="F188" s="29"/>
      <c r="G188" s="29"/>
      <c r="H188" s="29"/>
      <c r="I188" s="29"/>
      <c r="J188" s="29"/>
      <c r="K188" s="29"/>
      <c r="L188" s="29"/>
      <c r="M188" s="29"/>
      <c r="N188" s="72"/>
      <c r="O188" s="72"/>
      <c r="P188" s="25" t="str">
        <f aca="false">IF(Tasks[[#This Row],[Task Name]]="","",IF(N(Tasks[[#This Row],[Baseline Start]])&gt;0,Tasks[[#This Row],[Baseline Start]],Tasks[[#This Row],[_CalcStart]]))</f>
        <v/>
      </c>
      <c r="Q188" s="25" t="str">
        <f aca="false">IF(Tasks[[#This Row],[Task Name]]="","",IF(N(Tasks[[#This Row],[Baseline Finish]])&gt;0,Tasks[[#This Row],[Baseline Finish]],Tasks[[#This Row],[_CalcFinish]]))</f>
        <v/>
      </c>
      <c r="R188" s="72"/>
      <c r="S188" s="72"/>
      <c r="T18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8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8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8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8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8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8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8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8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8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8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88" s="74"/>
      <c r="AF18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8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88" s="30"/>
      <c r="AI188" s="74"/>
      <c r="AJ18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8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88" s="83"/>
      <c r="AM188" s="29"/>
      <c r="AN18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88" s="84"/>
      <c r="AP18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88" s="30"/>
      <c r="AR188" s="25" t="str">
        <f aca="false">IF(Tasks[[#This Row],[Task Name]]="","",Tasks[[#This Row],[Forecast Start]])</f>
        <v/>
      </c>
      <c r="AS188" s="25" t="str">
        <f aca="false">IF(Tasks[[#This Row],[Task Name]]="","",Tasks[[#This Row],[Forecast Finish]])</f>
        <v/>
      </c>
      <c r="AT18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88" s="81" t="str">
        <f aca="false">IF(Tasks[[#This Row],[Task Name]]="","",Tasks[[#This Row],[Work]])</f>
        <v/>
      </c>
      <c r="AV188" s="82" t="str">
        <f aca="false">IF(Tasks[[#This Row],[Task Name]]="","",Tasks[[#This Row],[Cost]])</f>
        <v/>
      </c>
      <c r="AW188" s="72"/>
      <c r="AX188" s="72"/>
      <c r="AY188" s="29"/>
      <c r="AZ188" s="85"/>
      <c r="BA188" s="83"/>
      <c r="BB188" s="28" t="str">
        <f aca="false">IF(OR(Tasks[[#This Row],[Task Name]]="",Tasks[[#This Row],[Baseline Duration]]=""),"",Tasks[[#This Row],[BL Source Duration]]-N(Tasks[[#This Row],[Baseline Duration]]))</f>
        <v/>
      </c>
      <c r="BC188" s="81" t="str">
        <f aca="false">IF(OR(Tasks[[#This Row],[Task Name]]="",Tasks[[#This Row],[Baseline Work]]=""),"",Tasks[[#This Row],[Work]]-N(Tasks[[#This Row],[Baseline Work]]))</f>
        <v/>
      </c>
      <c r="BD188" s="82" t="str">
        <f aca="false">IF(OR(Tasks[[#This Row],[Task Name]]="",Tasks[[#This Row],[Baseline Cost]]=""),"",Tasks[[#This Row],[Cost]]-N(Tasks[[#This Row],[Baseline Cost]]))</f>
        <v/>
      </c>
      <c r="BE18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8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8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8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88" s="43" t="str">
        <f aca="false">IF(Tasks[[#This Row],[Task Name]]="","",MAX(1,N(Tasks[[#This Row],[Level]])))</f>
        <v/>
      </c>
      <c r="BJ188" s="43" t="n">
        <f aca="false">ROW()-ROW(Tasks[[#Headers],[ID]])</f>
        <v>183</v>
      </c>
      <c r="BK18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88" s="43" t="n">
        <f aca="false">IFERROR(N(INDEX(Tasks[_Level],Tasks[[#This Row],[_Row]]+1)),0)</f>
        <v>0</v>
      </c>
      <c r="BM188" s="86" t="b">
        <f aca="false">AND(Tasks[[#This Row],[Task Name]]&lt;&gt;"",Tasks[[#This Row],[_NextLevel]]&gt;Tasks[[#This Row],[_Level]])</f>
        <v>0</v>
      </c>
      <c r="BN188" s="43" t="n">
        <f aca="false">IF(Tasks[[#This Row],[_IsSummary]],COUNTIF(Tasks[WBS],Tasks[[#This Row],[WBS]]&amp;".*"),0)</f>
        <v>0</v>
      </c>
      <c r="BO188" s="43" t="n">
        <f aca="false">IF(AND(Tasks[[#This Row],[Task Name]]&lt;&gt;"",NOT(Tasks[[#This Row],[_IsSummary]])),1,0)</f>
        <v>0</v>
      </c>
      <c r="BP188" s="43" t="n">
        <f aca="false">IF(N(Tasks[[#This Row],[Pred1 UID]])=0,0,IFERROR(MATCH(Tasks[[#This Row],[Pred1 UID]],Tasks[UID],0),-1))</f>
        <v>0</v>
      </c>
      <c r="BQ188" s="43" t="n">
        <f aca="false">IF(N(Tasks[[#This Row],[Pred2 UID]])=0,0,IFERROR(MATCH(Tasks[[#This Row],[Pred2 UID]],Tasks[UID],0),-1))</f>
        <v>0</v>
      </c>
      <c r="BR18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8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8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8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88" s="43" t="n">
        <f aca="false">IF(NOT(Tasks[[#This Row],[_IsLeaf]]=1),0,IF(N(Tasks[[#This Row],[Actual Finish]])&gt;0,1,MIN(1,N(Tasks[[#This Row],[% Complete]]))))</f>
        <v>0</v>
      </c>
      <c r="BW18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88" s="43" t="n">
        <f aca="false">IF(Tasks[[#This Row],[_LeafWork]]=0,0,Tasks[[#This Row],[_LeafWork]]*IFERROR(INDEX(res_Rate,MATCH(Tasks[[#This Row],[Resource]],res_Name,0)),0))</f>
        <v>0</v>
      </c>
      <c r="BY18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8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8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8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88" s="43" t="n">
        <f aca="false">IF(NOT(Tasks[[#This Row],[_IsLeaf]]=1),0,MAX(_xlfn.MAXIFS(Tasks[_Row],Tasks[Pred1 UID],Tasks[[#This Row],[UID]]),_xlfn.MAXIFS(Tasks[_Row],Tasks[Pred2 UID],Tasks[[#This Row],[UID]])))</f>
        <v>0</v>
      </c>
      <c r="CD18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88" s="87" t="str">
        <f aca="false">IF(NOT(Tasks[[#This Row],[_IsLeaf]]=1),"",MIN(ProjectFinish,IF(N(Tasks[[#This Row],[Deadline]])&gt;0,Tasks[[#This Row],[Deadline]],2958465),Tasks[[#This Row],[_SuccessorFinishLimit]]))</f>
        <v/>
      </c>
      <c r="CF18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8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88" s="86" t="b">
        <f aca="false">AND(Tasks[[#This Row],[_IsLeaf]]=1,Tasks[[#This Row],[_LeafProgress]]&lt;1,N(Tasks[[#This Row],[_LeafTotalSlack]])&lt;=CriticalSlackDays)</f>
        <v>0</v>
      </c>
      <c r="CI18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8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8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8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8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8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8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8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88" s="43" t="n">
        <f aca="false">IF(AND(Tasks[[#This Row],[_IsLeaf]]=1,Tasks[[#This Row],[_LeafWork]]&gt;0),NETWORKDAYS.INTL(ProjectStart,Tasks[[#This Row],[_LeafFcstStart]],WorkWeek,Holidays),0)</f>
        <v>0</v>
      </c>
      <c r="CR18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88" s="43" t="n">
        <f aca="false">IF(AND(Tasks[[#This Row],[_IsLeaf]]=1,Tasks[[#This Row],[_LeafWork]]&gt;0),Tasks[[#This Row],[_LeafWork]]/(Tasks[[#This Row],[_FinishWorkday]]-Tasks[[#This Row],[_StartWorkday]]+1),0)</f>
        <v>0</v>
      </c>
      <c r="CT188" s="43" t="n">
        <f aca="false">Tasks[[#This Row],[_WorkPerWorkday]]*(Tasks[[#This Row],[_StartWorkday]]-1)</f>
        <v>-0</v>
      </c>
      <c r="CU188" s="43" t="n">
        <f aca="false">IF(Tasks[[#This Row],[_IsLeaf]]=1,MAX(N(Tasks[[#This Row],[Duration]]),0.1),0)</f>
        <v>0</v>
      </c>
      <c r="CV188" s="43" t="n">
        <f aca="false">Tasks[[#This Row],[_WeightDur]]*Tasks[[#This Row],[_LeafProgress]]</f>
        <v>0</v>
      </c>
      <c r="CW18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8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8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8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8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88" s="43" t="str">
        <f aca="false">IF(AND(Tasks[[#This Row],[_IsLeaf]]=1,N(Tasks[[#This Row],[Duration]])=0,Tasks[[#This Row],[_LeafProgress]]&lt;1),Tasks[[#This Row],[_LeafFcstFinish]]+Tasks[[#This Row],[_Row]]/100000,"")</f>
        <v/>
      </c>
      <c r="DC18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88" s="43" t="n">
        <f aca="false">IF(NOT(Tasks[[#This Row],[_IsLeaf]]=1),0,IF(Tasks[[#This Row],[Baseline Cost]]="",Tasks[[#This Row],[_LeafCost]],N(Tasks[[#This Row],[Baseline Cost]])))</f>
        <v>0</v>
      </c>
      <c r="DE188" s="43" t="n">
        <f aca="false">Tasks[[#This Row],[_LeafBudget]]*Tasks[[#This Row],[_PlannedPct]]</f>
        <v>0</v>
      </c>
      <c r="DF188" s="43" t="n">
        <f aca="false">Tasks[[#This Row],[_LeafBudget]]*Tasks[[#This Row],[_LeafProgress]]</f>
        <v>0</v>
      </c>
      <c r="DG188" s="43" t="n">
        <f aca="false">IF(NOT(Tasks[[#This Row],[_IsLeaf]]=1),0,IF(Tasks[[#This Row],[Actual Cost]]="",Tasks[[#This Row],[_LeafCost]]*Tasks[[#This Row],[_LeafProgress]],N(Tasks[[#This Row],[Actual Cost]])))</f>
        <v>0</v>
      </c>
      <c r="DH188" s="43" t="str">
        <f aca="false">IF(Tasks[[#This Row],[Task Name]]="","",LEFT(Tasks[[#This Row],[WBS]],FIND(".",Tasks[[#This Row],[WBS]]&amp;".")-1))</f>
        <v/>
      </c>
      <c r="DI188" s="43" t="str">
        <f aca="false">IF(AND(Tasks[[#This Row],[Task Name]]&lt;&gt;"",Tasks[[#This Row],[_Level]]=1),Tasks[[#This Row],[_Row]],"")</f>
        <v/>
      </c>
      <c r="DJ188" s="43" t="str">
        <f aca="false">IF(AND(Tasks[[#This Row],[_IsLeaf]]=1,N(Tasks[[#This Row],[Duration]])=0),Tasks[[#This Row],[Planned Finish]]+Tasks[[#This Row],[_Row]]/100000,"")</f>
        <v/>
      </c>
      <c r="DK18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8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8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88" s="43" t="str">
        <f aca="false">IF(Tasks[[#This Row],[_LeafCritical]],Tasks[[#This Row],[_LeafFcstStart]]+Tasks[[#This Row],[_Row]]/100000,"")</f>
        <v/>
      </c>
      <c r="DO188" s="43" t="n">
        <f aca="false">Tasks[[#This Row],[_LeafWork]]*Tasks[[#This Row],[_LeafProgress]]</f>
        <v>0</v>
      </c>
      <c r="DP18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88" s="43" t="n">
        <f aca="false">IF(Tasks[[#This Row],[_IsLeaf]]=1,N(Tasks[[#This Row],[Story Points]]),0)</f>
        <v>0</v>
      </c>
      <c r="DR188" s="43" t="str">
        <f aca="false">IF(AND(Tasks[[#This Row],[_IsLeaf]]=1,CurrentSprint&lt;&gt;"",Tasks[[#This Row],[Sprint]]=CurrentSprint),Tasks[[#This Row],[_Row]],"")</f>
        <v/>
      </c>
    </row>
    <row r="189" customFormat="false" ht="15" hidden="false" customHeight="false" outlineLevel="0" collapsed="false">
      <c r="A189" s="28" t="str">
        <f aca="false">IF(Tasks[[#This Row],[Task Name]]="","",COUNTA(Tasks[[#Headers],[Task Name]]:Tasks[[#This Row],[Task Name]])-1)</f>
        <v/>
      </c>
      <c r="B189" s="29" t="n">
        <v>184</v>
      </c>
      <c r="C18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89" s="29"/>
      <c r="E189" s="30"/>
      <c r="F189" s="29"/>
      <c r="G189" s="29"/>
      <c r="H189" s="29"/>
      <c r="I189" s="29"/>
      <c r="J189" s="29"/>
      <c r="K189" s="29"/>
      <c r="L189" s="29"/>
      <c r="M189" s="29"/>
      <c r="N189" s="72"/>
      <c r="O189" s="72"/>
      <c r="P189" s="25" t="str">
        <f aca="false">IF(Tasks[[#This Row],[Task Name]]="","",IF(N(Tasks[[#This Row],[Baseline Start]])&gt;0,Tasks[[#This Row],[Baseline Start]],Tasks[[#This Row],[_CalcStart]]))</f>
        <v/>
      </c>
      <c r="Q189" s="25" t="str">
        <f aca="false">IF(Tasks[[#This Row],[Task Name]]="","",IF(N(Tasks[[#This Row],[Baseline Finish]])&gt;0,Tasks[[#This Row],[Baseline Finish]],Tasks[[#This Row],[_CalcFinish]]))</f>
        <v/>
      </c>
      <c r="R189" s="72"/>
      <c r="S189" s="72"/>
      <c r="T18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8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8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8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8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8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8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8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8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8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8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89" s="74"/>
      <c r="AF18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8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89" s="30"/>
      <c r="AI189" s="74"/>
      <c r="AJ18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8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89" s="83"/>
      <c r="AM189" s="29"/>
      <c r="AN18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89" s="84"/>
      <c r="AP18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89" s="30"/>
      <c r="AR189" s="25" t="str">
        <f aca="false">IF(Tasks[[#This Row],[Task Name]]="","",Tasks[[#This Row],[Forecast Start]])</f>
        <v/>
      </c>
      <c r="AS189" s="25" t="str">
        <f aca="false">IF(Tasks[[#This Row],[Task Name]]="","",Tasks[[#This Row],[Forecast Finish]])</f>
        <v/>
      </c>
      <c r="AT18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89" s="81" t="str">
        <f aca="false">IF(Tasks[[#This Row],[Task Name]]="","",Tasks[[#This Row],[Work]])</f>
        <v/>
      </c>
      <c r="AV189" s="82" t="str">
        <f aca="false">IF(Tasks[[#This Row],[Task Name]]="","",Tasks[[#This Row],[Cost]])</f>
        <v/>
      </c>
      <c r="AW189" s="72"/>
      <c r="AX189" s="72"/>
      <c r="AY189" s="29"/>
      <c r="AZ189" s="85"/>
      <c r="BA189" s="83"/>
      <c r="BB189" s="28" t="str">
        <f aca="false">IF(OR(Tasks[[#This Row],[Task Name]]="",Tasks[[#This Row],[Baseline Duration]]=""),"",Tasks[[#This Row],[BL Source Duration]]-N(Tasks[[#This Row],[Baseline Duration]]))</f>
        <v/>
      </c>
      <c r="BC189" s="81" t="str">
        <f aca="false">IF(OR(Tasks[[#This Row],[Task Name]]="",Tasks[[#This Row],[Baseline Work]]=""),"",Tasks[[#This Row],[Work]]-N(Tasks[[#This Row],[Baseline Work]]))</f>
        <v/>
      </c>
      <c r="BD189" s="82" t="str">
        <f aca="false">IF(OR(Tasks[[#This Row],[Task Name]]="",Tasks[[#This Row],[Baseline Cost]]=""),"",Tasks[[#This Row],[Cost]]-N(Tasks[[#This Row],[Baseline Cost]]))</f>
        <v/>
      </c>
      <c r="BE18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8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8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8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89" s="43" t="str">
        <f aca="false">IF(Tasks[[#This Row],[Task Name]]="","",MAX(1,N(Tasks[[#This Row],[Level]])))</f>
        <v/>
      </c>
      <c r="BJ189" s="43" t="n">
        <f aca="false">ROW()-ROW(Tasks[[#Headers],[ID]])</f>
        <v>184</v>
      </c>
      <c r="BK18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89" s="43" t="n">
        <f aca="false">IFERROR(N(INDEX(Tasks[_Level],Tasks[[#This Row],[_Row]]+1)),0)</f>
        <v>0</v>
      </c>
      <c r="BM189" s="86" t="b">
        <f aca="false">AND(Tasks[[#This Row],[Task Name]]&lt;&gt;"",Tasks[[#This Row],[_NextLevel]]&gt;Tasks[[#This Row],[_Level]])</f>
        <v>0</v>
      </c>
      <c r="BN189" s="43" t="n">
        <f aca="false">IF(Tasks[[#This Row],[_IsSummary]],COUNTIF(Tasks[WBS],Tasks[[#This Row],[WBS]]&amp;".*"),0)</f>
        <v>0</v>
      </c>
      <c r="BO189" s="43" t="n">
        <f aca="false">IF(AND(Tasks[[#This Row],[Task Name]]&lt;&gt;"",NOT(Tasks[[#This Row],[_IsSummary]])),1,0)</f>
        <v>0</v>
      </c>
      <c r="BP189" s="43" t="n">
        <f aca="false">IF(N(Tasks[[#This Row],[Pred1 UID]])=0,0,IFERROR(MATCH(Tasks[[#This Row],[Pred1 UID]],Tasks[UID],0),-1))</f>
        <v>0</v>
      </c>
      <c r="BQ189" s="43" t="n">
        <f aca="false">IF(N(Tasks[[#This Row],[Pred2 UID]])=0,0,IFERROR(MATCH(Tasks[[#This Row],[Pred2 UID]],Tasks[UID],0),-1))</f>
        <v>0</v>
      </c>
      <c r="BR18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8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8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8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89" s="43" t="n">
        <f aca="false">IF(NOT(Tasks[[#This Row],[_IsLeaf]]=1),0,IF(N(Tasks[[#This Row],[Actual Finish]])&gt;0,1,MIN(1,N(Tasks[[#This Row],[% Complete]]))))</f>
        <v>0</v>
      </c>
      <c r="BW18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89" s="43" t="n">
        <f aca="false">IF(Tasks[[#This Row],[_LeafWork]]=0,0,Tasks[[#This Row],[_LeafWork]]*IFERROR(INDEX(res_Rate,MATCH(Tasks[[#This Row],[Resource]],res_Name,0)),0))</f>
        <v>0</v>
      </c>
      <c r="BY18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8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8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8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89" s="43" t="n">
        <f aca="false">IF(NOT(Tasks[[#This Row],[_IsLeaf]]=1),0,MAX(_xlfn.MAXIFS(Tasks[_Row],Tasks[Pred1 UID],Tasks[[#This Row],[UID]]),_xlfn.MAXIFS(Tasks[_Row],Tasks[Pred2 UID],Tasks[[#This Row],[UID]])))</f>
        <v>0</v>
      </c>
      <c r="CD18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89" s="87" t="str">
        <f aca="false">IF(NOT(Tasks[[#This Row],[_IsLeaf]]=1),"",MIN(ProjectFinish,IF(N(Tasks[[#This Row],[Deadline]])&gt;0,Tasks[[#This Row],[Deadline]],2958465),Tasks[[#This Row],[_SuccessorFinishLimit]]))</f>
        <v/>
      </c>
      <c r="CF18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8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89" s="86" t="b">
        <f aca="false">AND(Tasks[[#This Row],[_IsLeaf]]=1,Tasks[[#This Row],[_LeafProgress]]&lt;1,N(Tasks[[#This Row],[_LeafTotalSlack]])&lt;=CriticalSlackDays)</f>
        <v>0</v>
      </c>
      <c r="CI18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8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8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8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8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8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8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8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89" s="43" t="n">
        <f aca="false">IF(AND(Tasks[[#This Row],[_IsLeaf]]=1,Tasks[[#This Row],[_LeafWork]]&gt;0),NETWORKDAYS.INTL(ProjectStart,Tasks[[#This Row],[_LeafFcstStart]],WorkWeek,Holidays),0)</f>
        <v>0</v>
      </c>
      <c r="CR18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89" s="43" t="n">
        <f aca="false">IF(AND(Tasks[[#This Row],[_IsLeaf]]=1,Tasks[[#This Row],[_LeafWork]]&gt;0),Tasks[[#This Row],[_LeafWork]]/(Tasks[[#This Row],[_FinishWorkday]]-Tasks[[#This Row],[_StartWorkday]]+1),0)</f>
        <v>0</v>
      </c>
      <c r="CT189" s="43" t="n">
        <f aca="false">Tasks[[#This Row],[_WorkPerWorkday]]*(Tasks[[#This Row],[_StartWorkday]]-1)</f>
        <v>-0</v>
      </c>
      <c r="CU189" s="43" t="n">
        <f aca="false">IF(Tasks[[#This Row],[_IsLeaf]]=1,MAX(N(Tasks[[#This Row],[Duration]]),0.1),0)</f>
        <v>0</v>
      </c>
      <c r="CV189" s="43" t="n">
        <f aca="false">Tasks[[#This Row],[_WeightDur]]*Tasks[[#This Row],[_LeafProgress]]</f>
        <v>0</v>
      </c>
      <c r="CW18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8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8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8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8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89" s="43" t="str">
        <f aca="false">IF(AND(Tasks[[#This Row],[_IsLeaf]]=1,N(Tasks[[#This Row],[Duration]])=0,Tasks[[#This Row],[_LeafProgress]]&lt;1),Tasks[[#This Row],[_LeafFcstFinish]]+Tasks[[#This Row],[_Row]]/100000,"")</f>
        <v/>
      </c>
      <c r="DC18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89" s="43" t="n">
        <f aca="false">IF(NOT(Tasks[[#This Row],[_IsLeaf]]=1),0,IF(Tasks[[#This Row],[Baseline Cost]]="",Tasks[[#This Row],[_LeafCost]],N(Tasks[[#This Row],[Baseline Cost]])))</f>
        <v>0</v>
      </c>
      <c r="DE189" s="43" t="n">
        <f aca="false">Tasks[[#This Row],[_LeafBudget]]*Tasks[[#This Row],[_PlannedPct]]</f>
        <v>0</v>
      </c>
      <c r="DF189" s="43" t="n">
        <f aca="false">Tasks[[#This Row],[_LeafBudget]]*Tasks[[#This Row],[_LeafProgress]]</f>
        <v>0</v>
      </c>
      <c r="DG189" s="43" t="n">
        <f aca="false">IF(NOT(Tasks[[#This Row],[_IsLeaf]]=1),0,IF(Tasks[[#This Row],[Actual Cost]]="",Tasks[[#This Row],[_LeafCost]]*Tasks[[#This Row],[_LeafProgress]],N(Tasks[[#This Row],[Actual Cost]])))</f>
        <v>0</v>
      </c>
      <c r="DH189" s="43" t="str">
        <f aca="false">IF(Tasks[[#This Row],[Task Name]]="","",LEFT(Tasks[[#This Row],[WBS]],FIND(".",Tasks[[#This Row],[WBS]]&amp;".")-1))</f>
        <v/>
      </c>
      <c r="DI189" s="43" t="str">
        <f aca="false">IF(AND(Tasks[[#This Row],[Task Name]]&lt;&gt;"",Tasks[[#This Row],[_Level]]=1),Tasks[[#This Row],[_Row]],"")</f>
        <v/>
      </c>
      <c r="DJ189" s="43" t="str">
        <f aca="false">IF(AND(Tasks[[#This Row],[_IsLeaf]]=1,N(Tasks[[#This Row],[Duration]])=0),Tasks[[#This Row],[Planned Finish]]+Tasks[[#This Row],[_Row]]/100000,"")</f>
        <v/>
      </c>
      <c r="DK18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8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8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89" s="43" t="str">
        <f aca="false">IF(Tasks[[#This Row],[_LeafCritical]],Tasks[[#This Row],[_LeafFcstStart]]+Tasks[[#This Row],[_Row]]/100000,"")</f>
        <v/>
      </c>
      <c r="DO189" s="43" t="n">
        <f aca="false">Tasks[[#This Row],[_LeafWork]]*Tasks[[#This Row],[_LeafProgress]]</f>
        <v>0</v>
      </c>
      <c r="DP18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89" s="43" t="n">
        <f aca="false">IF(Tasks[[#This Row],[_IsLeaf]]=1,N(Tasks[[#This Row],[Story Points]]),0)</f>
        <v>0</v>
      </c>
      <c r="DR189" s="43" t="str">
        <f aca="false">IF(AND(Tasks[[#This Row],[_IsLeaf]]=1,CurrentSprint&lt;&gt;"",Tasks[[#This Row],[Sprint]]=CurrentSprint),Tasks[[#This Row],[_Row]],"")</f>
        <v/>
      </c>
    </row>
    <row r="190" customFormat="false" ht="15" hidden="false" customHeight="false" outlineLevel="0" collapsed="false">
      <c r="A190" s="28" t="str">
        <f aca="false">IF(Tasks[[#This Row],[Task Name]]="","",COUNTA(Tasks[[#Headers],[Task Name]]:Tasks[[#This Row],[Task Name]])-1)</f>
        <v/>
      </c>
      <c r="B190" s="29" t="n">
        <v>185</v>
      </c>
      <c r="C19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90" s="29"/>
      <c r="E190" s="30"/>
      <c r="F190" s="29"/>
      <c r="G190" s="29"/>
      <c r="H190" s="29"/>
      <c r="I190" s="29"/>
      <c r="J190" s="29"/>
      <c r="K190" s="29"/>
      <c r="L190" s="29"/>
      <c r="M190" s="29"/>
      <c r="N190" s="72"/>
      <c r="O190" s="72"/>
      <c r="P190" s="25" t="str">
        <f aca="false">IF(Tasks[[#This Row],[Task Name]]="","",IF(N(Tasks[[#This Row],[Baseline Start]])&gt;0,Tasks[[#This Row],[Baseline Start]],Tasks[[#This Row],[_CalcStart]]))</f>
        <v/>
      </c>
      <c r="Q190" s="25" t="str">
        <f aca="false">IF(Tasks[[#This Row],[Task Name]]="","",IF(N(Tasks[[#This Row],[Baseline Finish]])&gt;0,Tasks[[#This Row],[Baseline Finish]],Tasks[[#This Row],[_CalcFinish]]))</f>
        <v/>
      </c>
      <c r="R190" s="72"/>
      <c r="S190" s="72"/>
      <c r="T19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9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9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9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9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9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9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9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9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9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9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90" s="74"/>
      <c r="AF19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9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90" s="30"/>
      <c r="AI190" s="74"/>
      <c r="AJ19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9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90" s="83"/>
      <c r="AM190" s="29"/>
      <c r="AN19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90" s="84"/>
      <c r="AP19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90" s="30"/>
      <c r="AR190" s="25" t="str">
        <f aca="false">IF(Tasks[[#This Row],[Task Name]]="","",Tasks[[#This Row],[Forecast Start]])</f>
        <v/>
      </c>
      <c r="AS190" s="25" t="str">
        <f aca="false">IF(Tasks[[#This Row],[Task Name]]="","",Tasks[[#This Row],[Forecast Finish]])</f>
        <v/>
      </c>
      <c r="AT19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90" s="81" t="str">
        <f aca="false">IF(Tasks[[#This Row],[Task Name]]="","",Tasks[[#This Row],[Work]])</f>
        <v/>
      </c>
      <c r="AV190" s="82" t="str">
        <f aca="false">IF(Tasks[[#This Row],[Task Name]]="","",Tasks[[#This Row],[Cost]])</f>
        <v/>
      </c>
      <c r="AW190" s="72"/>
      <c r="AX190" s="72"/>
      <c r="AY190" s="29"/>
      <c r="AZ190" s="85"/>
      <c r="BA190" s="83"/>
      <c r="BB190" s="28" t="str">
        <f aca="false">IF(OR(Tasks[[#This Row],[Task Name]]="",Tasks[[#This Row],[Baseline Duration]]=""),"",Tasks[[#This Row],[BL Source Duration]]-N(Tasks[[#This Row],[Baseline Duration]]))</f>
        <v/>
      </c>
      <c r="BC190" s="81" t="str">
        <f aca="false">IF(OR(Tasks[[#This Row],[Task Name]]="",Tasks[[#This Row],[Baseline Work]]=""),"",Tasks[[#This Row],[Work]]-N(Tasks[[#This Row],[Baseline Work]]))</f>
        <v/>
      </c>
      <c r="BD190" s="82" t="str">
        <f aca="false">IF(OR(Tasks[[#This Row],[Task Name]]="",Tasks[[#This Row],[Baseline Cost]]=""),"",Tasks[[#This Row],[Cost]]-N(Tasks[[#This Row],[Baseline Cost]]))</f>
        <v/>
      </c>
      <c r="BE19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9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9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9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90" s="43" t="str">
        <f aca="false">IF(Tasks[[#This Row],[Task Name]]="","",MAX(1,N(Tasks[[#This Row],[Level]])))</f>
        <v/>
      </c>
      <c r="BJ190" s="43" t="n">
        <f aca="false">ROW()-ROW(Tasks[[#Headers],[ID]])</f>
        <v>185</v>
      </c>
      <c r="BK19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90" s="43" t="n">
        <f aca="false">IFERROR(N(INDEX(Tasks[_Level],Tasks[[#This Row],[_Row]]+1)),0)</f>
        <v>0</v>
      </c>
      <c r="BM190" s="86" t="b">
        <f aca="false">AND(Tasks[[#This Row],[Task Name]]&lt;&gt;"",Tasks[[#This Row],[_NextLevel]]&gt;Tasks[[#This Row],[_Level]])</f>
        <v>0</v>
      </c>
      <c r="BN190" s="43" t="n">
        <f aca="false">IF(Tasks[[#This Row],[_IsSummary]],COUNTIF(Tasks[WBS],Tasks[[#This Row],[WBS]]&amp;".*"),0)</f>
        <v>0</v>
      </c>
      <c r="BO190" s="43" t="n">
        <f aca="false">IF(AND(Tasks[[#This Row],[Task Name]]&lt;&gt;"",NOT(Tasks[[#This Row],[_IsSummary]])),1,0)</f>
        <v>0</v>
      </c>
      <c r="BP190" s="43" t="n">
        <f aca="false">IF(N(Tasks[[#This Row],[Pred1 UID]])=0,0,IFERROR(MATCH(Tasks[[#This Row],[Pred1 UID]],Tasks[UID],0),-1))</f>
        <v>0</v>
      </c>
      <c r="BQ190" s="43" t="n">
        <f aca="false">IF(N(Tasks[[#This Row],[Pred2 UID]])=0,0,IFERROR(MATCH(Tasks[[#This Row],[Pred2 UID]],Tasks[UID],0),-1))</f>
        <v>0</v>
      </c>
      <c r="BR19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9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9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9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90" s="43" t="n">
        <f aca="false">IF(NOT(Tasks[[#This Row],[_IsLeaf]]=1),0,IF(N(Tasks[[#This Row],[Actual Finish]])&gt;0,1,MIN(1,N(Tasks[[#This Row],[% Complete]]))))</f>
        <v>0</v>
      </c>
      <c r="BW19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90" s="43" t="n">
        <f aca="false">IF(Tasks[[#This Row],[_LeafWork]]=0,0,Tasks[[#This Row],[_LeafWork]]*IFERROR(INDEX(res_Rate,MATCH(Tasks[[#This Row],[Resource]],res_Name,0)),0))</f>
        <v>0</v>
      </c>
      <c r="BY19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9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9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9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90" s="43" t="n">
        <f aca="false">IF(NOT(Tasks[[#This Row],[_IsLeaf]]=1),0,MAX(_xlfn.MAXIFS(Tasks[_Row],Tasks[Pred1 UID],Tasks[[#This Row],[UID]]),_xlfn.MAXIFS(Tasks[_Row],Tasks[Pred2 UID],Tasks[[#This Row],[UID]])))</f>
        <v>0</v>
      </c>
      <c r="CD19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90" s="87" t="str">
        <f aca="false">IF(NOT(Tasks[[#This Row],[_IsLeaf]]=1),"",MIN(ProjectFinish,IF(N(Tasks[[#This Row],[Deadline]])&gt;0,Tasks[[#This Row],[Deadline]],2958465),Tasks[[#This Row],[_SuccessorFinishLimit]]))</f>
        <v/>
      </c>
      <c r="CF19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9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90" s="86" t="b">
        <f aca="false">AND(Tasks[[#This Row],[_IsLeaf]]=1,Tasks[[#This Row],[_LeafProgress]]&lt;1,N(Tasks[[#This Row],[_LeafTotalSlack]])&lt;=CriticalSlackDays)</f>
        <v>0</v>
      </c>
      <c r="CI19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9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9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9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9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9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9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9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90" s="43" t="n">
        <f aca="false">IF(AND(Tasks[[#This Row],[_IsLeaf]]=1,Tasks[[#This Row],[_LeafWork]]&gt;0),NETWORKDAYS.INTL(ProjectStart,Tasks[[#This Row],[_LeafFcstStart]],WorkWeek,Holidays),0)</f>
        <v>0</v>
      </c>
      <c r="CR19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90" s="43" t="n">
        <f aca="false">IF(AND(Tasks[[#This Row],[_IsLeaf]]=1,Tasks[[#This Row],[_LeafWork]]&gt;0),Tasks[[#This Row],[_LeafWork]]/(Tasks[[#This Row],[_FinishWorkday]]-Tasks[[#This Row],[_StartWorkday]]+1),0)</f>
        <v>0</v>
      </c>
      <c r="CT190" s="43" t="n">
        <f aca="false">Tasks[[#This Row],[_WorkPerWorkday]]*(Tasks[[#This Row],[_StartWorkday]]-1)</f>
        <v>-0</v>
      </c>
      <c r="CU190" s="43" t="n">
        <f aca="false">IF(Tasks[[#This Row],[_IsLeaf]]=1,MAX(N(Tasks[[#This Row],[Duration]]),0.1),0)</f>
        <v>0</v>
      </c>
      <c r="CV190" s="43" t="n">
        <f aca="false">Tasks[[#This Row],[_WeightDur]]*Tasks[[#This Row],[_LeafProgress]]</f>
        <v>0</v>
      </c>
      <c r="CW19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9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9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9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9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90" s="43" t="str">
        <f aca="false">IF(AND(Tasks[[#This Row],[_IsLeaf]]=1,N(Tasks[[#This Row],[Duration]])=0,Tasks[[#This Row],[_LeafProgress]]&lt;1),Tasks[[#This Row],[_LeafFcstFinish]]+Tasks[[#This Row],[_Row]]/100000,"")</f>
        <v/>
      </c>
      <c r="DC19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90" s="43" t="n">
        <f aca="false">IF(NOT(Tasks[[#This Row],[_IsLeaf]]=1),0,IF(Tasks[[#This Row],[Baseline Cost]]="",Tasks[[#This Row],[_LeafCost]],N(Tasks[[#This Row],[Baseline Cost]])))</f>
        <v>0</v>
      </c>
      <c r="DE190" s="43" t="n">
        <f aca="false">Tasks[[#This Row],[_LeafBudget]]*Tasks[[#This Row],[_PlannedPct]]</f>
        <v>0</v>
      </c>
      <c r="DF190" s="43" t="n">
        <f aca="false">Tasks[[#This Row],[_LeafBudget]]*Tasks[[#This Row],[_LeafProgress]]</f>
        <v>0</v>
      </c>
      <c r="DG190" s="43" t="n">
        <f aca="false">IF(NOT(Tasks[[#This Row],[_IsLeaf]]=1),0,IF(Tasks[[#This Row],[Actual Cost]]="",Tasks[[#This Row],[_LeafCost]]*Tasks[[#This Row],[_LeafProgress]],N(Tasks[[#This Row],[Actual Cost]])))</f>
        <v>0</v>
      </c>
      <c r="DH190" s="43" t="str">
        <f aca="false">IF(Tasks[[#This Row],[Task Name]]="","",LEFT(Tasks[[#This Row],[WBS]],FIND(".",Tasks[[#This Row],[WBS]]&amp;".")-1))</f>
        <v/>
      </c>
      <c r="DI190" s="43" t="str">
        <f aca="false">IF(AND(Tasks[[#This Row],[Task Name]]&lt;&gt;"",Tasks[[#This Row],[_Level]]=1),Tasks[[#This Row],[_Row]],"")</f>
        <v/>
      </c>
      <c r="DJ190" s="43" t="str">
        <f aca="false">IF(AND(Tasks[[#This Row],[_IsLeaf]]=1,N(Tasks[[#This Row],[Duration]])=0),Tasks[[#This Row],[Planned Finish]]+Tasks[[#This Row],[_Row]]/100000,"")</f>
        <v/>
      </c>
      <c r="DK19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9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9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90" s="43" t="str">
        <f aca="false">IF(Tasks[[#This Row],[_LeafCritical]],Tasks[[#This Row],[_LeafFcstStart]]+Tasks[[#This Row],[_Row]]/100000,"")</f>
        <v/>
      </c>
      <c r="DO190" s="43" t="n">
        <f aca="false">Tasks[[#This Row],[_LeafWork]]*Tasks[[#This Row],[_LeafProgress]]</f>
        <v>0</v>
      </c>
      <c r="DP19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90" s="43" t="n">
        <f aca="false">IF(Tasks[[#This Row],[_IsLeaf]]=1,N(Tasks[[#This Row],[Story Points]]),0)</f>
        <v>0</v>
      </c>
      <c r="DR190" s="43" t="str">
        <f aca="false">IF(AND(Tasks[[#This Row],[_IsLeaf]]=1,CurrentSprint&lt;&gt;"",Tasks[[#This Row],[Sprint]]=CurrentSprint),Tasks[[#This Row],[_Row]],"")</f>
        <v/>
      </c>
    </row>
    <row r="191" customFormat="false" ht="15" hidden="false" customHeight="false" outlineLevel="0" collapsed="false">
      <c r="A191" s="28" t="str">
        <f aca="false">IF(Tasks[[#This Row],[Task Name]]="","",COUNTA(Tasks[[#Headers],[Task Name]]:Tasks[[#This Row],[Task Name]])-1)</f>
        <v/>
      </c>
      <c r="B191" s="29" t="n">
        <v>186</v>
      </c>
      <c r="C19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91" s="29"/>
      <c r="E191" s="30"/>
      <c r="F191" s="29"/>
      <c r="G191" s="29"/>
      <c r="H191" s="29"/>
      <c r="I191" s="29"/>
      <c r="J191" s="29"/>
      <c r="K191" s="29"/>
      <c r="L191" s="29"/>
      <c r="M191" s="29"/>
      <c r="N191" s="72"/>
      <c r="O191" s="72"/>
      <c r="P191" s="25" t="str">
        <f aca="false">IF(Tasks[[#This Row],[Task Name]]="","",IF(N(Tasks[[#This Row],[Baseline Start]])&gt;0,Tasks[[#This Row],[Baseline Start]],Tasks[[#This Row],[_CalcStart]]))</f>
        <v/>
      </c>
      <c r="Q191" s="25" t="str">
        <f aca="false">IF(Tasks[[#This Row],[Task Name]]="","",IF(N(Tasks[[#This Row],[Baseline Finish]])&gt;0,Tasks[[#This Row],[Baseline Finish]],Tasks[[#This Row],[_CalcFinish]]))</f>
        <v/>
      </c>
      <c r="R191" s="72"/>
      <c r="S191" s="72"/>
      <c r="T19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9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9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9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9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9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9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9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9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9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9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91" s="74"/>
      <c r="AF19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9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91" s="30"/>
      <c r="AI191" s="74"/>
      <c r="AJ19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9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91" s="83"/>
      <c r="AM191" s="29"/>
      <c r="AN19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91" s="84"/>
      <c r="AP19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91" s="30"/>
      <c r="AR191" s="25" t="str">
        <f aca="false">IF(Tasks[[#This Row],[Task Name]]="","",Tasks[[#This Row],[Forecast Start]])</f>
        <v/>
      </c>
      <c r="AS191" s="25" t="str">
        <f aca="false">IF(Tasks[[#This Row],[Task Name]]="","",Tasks[[#This Row],[Forecast Finish]])</f>
        <v/>
      </c>
      <c r="AT19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91" s="81" t="str">
        <f aca="false">IF(Tasks[[#This Row],[Task Name]]="","",Tasks[[#This Row],[Work]])</f>
        <v/>
      </c>
      <c r="AV191" s="82" t="str">
        <f aca="false">IF(Tasks[[#This Row],[Task Name]]="","",Tasks[[#This Row],[Cost]])</f>
        <v/>
      </c>
      <c r="AW191" s="72"/>
      <c r="AX191" s="72"/>
      <c r="AY191" s="29"/>
      <c r="AZ191" s="85"/>
      <c r="BA191" s="83"/>
      <c r="BB191" s="28" t="str">
        <f aca="false">IF(OR(Tasks[[#This Row],[Task Name]]="",Tasks[[#This Row],[Baseline Duration]]=""),"",Tasks[[#This Row],[BL Source Duration]]-N(Tasks[[#This Row],[Baseline Duration]]))</f>
        <v/>
      </c>
      <c r="BC191" s="81" t="str">
        <f aca="false">IF(OR(Tasks[[#This Row],[Task Name]]="",Tasks[[#This Row],[Baseline Work]]=""),"",Tasks[[#This Row],[Work]]-N(Tasks[[#This Row],[Baseline Work]]))</f>
        <v/>
      </c>
      <c r="BD191" s="82" t="str">
        <f aca="false">IF(OR(Tasks[[#This Row],[Task Name]]="",Tasks[[#This Row],[Baseline Cost]]=""),"",Tasks[[#This Row],[Cost]]-N(Tasks[[#This Row],[Baseline Cost]]))</f>
        <v/>
      </c>
      <c r="BE19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9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9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9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91" s="43" t="str">
        <f aca="false">IF(Tasks[[#This Row],[Task Name]]="","",MAX(1,N(Tasks[[#This Row],[Level]])))</f>
        <v/>
      </c>
      <c r="BJ191" s="43" t="n">
        <f aca="false">ROW()-ROW(Tasks[[#Headers],[ID]])</f>
        <v>186</v>
      </c>
      <c r="BK19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91" s="43" t="n">
        <f aca="false">IFERROR(N(INDEX(Tasks[_Level],Tasks[[#This Row],[_Row]]+1)),0)</f>
        <v>0</v>
      </c>
      <c r="BM191" s="86" t="b">
        <f aca="false">AND(Tasks[[#This Row],[Task Name]]&lt;&gt;"",Tasks[[#This Row],[_NextLevel]]&gt;Tasks[[#This Row],[_Level]])</f>
        <v>0</v>
      </c>
      <c r="BN191" s="43" t="n">
        <f aca="false">IF(Tasks[[#This Row],[_IsSummary]],COUNTIF(Tasks[WBS],Tasks[[#This Row],[WBS]]&amp;".*"),0)</f>
        <v>0</v>
      </c>
      <c r="BO191" s="43" t="n">
        <f aca="false">IF(AND(Tasks[[#This Row],[Task Name]]&lt;&gt;"",NOT(Tasks[[#This Row],[_IsSummary]])),1,0)</f>
        <v>0</v>
      </c>
      <c r="BP191" s="43" t="n">
        <f aca="false">IF(N(Tasks[[#This Row],[Pred1 UID]])=0,0,IFERROR(MATCH(Tasks[[#This Row],[Pred1 UID]],Tasks[UID],0),-1))</f>
        <v>0</v>
      </c>
      <c r="BQ191" s="43" t="n">
        <f aca="false">IF(N(Tasks[[#This Row],[Pred2 UID]])=0,0,IFERROR(MATCH(Tasks[[#This Row],[Pred2 UID]],Tasks[UID],0),-1))</f>
        <v>0</v>
      </c>
      <c r="BR19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9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9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9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91" s="43" t="n">
        <f aca="false">IF(NOT(Tasks[[#This Row],[_IsLeaf]]=1),0,IF(N(Tasks[[#This Row],[Actual Finish]])&gt;0,1,MIN(1,N(Tasks[[#This Row],[% Complete]]))))</f>
        <v>0</v>
      </c>
      <c r="BW19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91" s="43" t="n">
        <f aca="false">IF(Tasks[[#This Row],[_LeafWork]]=0,0,Tasks[[#This Row],[_LeafWork]]*IFERROR(INDEX(res_Rate,MATCH(Tasks[[#This Row],[Resource]],res_Name,0)),0))</f>
        <v>0</v>
      </c>
      <c r="BY19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9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9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9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91" s="43" t="n">
        <f aca="false">IF(NOT(Tasks[[#This Row],[_IsLeaf]]=1),0,MAX(_xlfn.MAXIFS(Tasks[_Row],Tasks[Pred1 UID],Tasks[[#This Row],[UID]]),_xlfn.MAXIFS(Tasks[_Row],Tasks[Pred2 UID],Tasks[[#This Row],[UID]])))</f>
        <v>0</v>
      </c>
      <c r="CD19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91" s="87" t="str">
        <f aca="false">IF(NOT(Tasks[[#This Row],[_IsLeaf]]=1),"",MIN(ProjectFinish,IF(N(Tasks[[#This Row],[Deadline]])&gt;0,Tasks[[#This Row],[Deadline]],2958465),Tasks[[#This Row],[_SuccessorFinishLimit]]))</f>
        <v/>
      </c>
      <c r="CF19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9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91" s="86" t="b">
        <f aca="false">AND(Tasks[[#This Row],[_IsLeaf]]=1,Tasks[[#This Row],[_LeafProgress]]&lt;1,N(Tasks[[#This Row],[_LeafTotalSlack]])&lt;=CriticalSlackDays)</f>
        <v>0</v>
      </c>
      <c r="CI19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9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9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9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9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9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9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9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91" s="43" t="n">
        <f aca="false">IF(AND(Tasks[[#This Row],[_IsLeaf]]=1,Tasks[[#This Row],[_LeafWork]]&gt;0),NETWORKDAYS.INTL(ProjectStart,Tasks[[#This Row],[_LeafFcstStart]],WorkWeek,Holidays),0)</f>
        <v>0</v>
      </c>
      <c r="CR19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91" s="43" t="n">
        <f aca="false">IF(AND(Tasks[[#This Row],[_IsLeaf]]=1,Tasks[[#This Row],[_LeafWork]]&gt;0),Tasks[[#This Row],[_LeafWork]]/(Tasks[[#This Row],[_FinishWorkday]]-Tasks[[#This Row],[_StartWorkday]]+1),0)</f>
        <v>0</v>
      </c>
      <c r="CT191" s="43" t="n">
        <f aca="false">Tasks[[#This Row],[_WorkPerWorkday]]*(Tasks[[#This Row],[_StartWorkday]]-1)</f>
        <v>-0</v>
      </c>
      <c r="CU191" s="43" t="n">
        <f aca="false">IF(Tasks[[#This Row],[_IsLeaf]]=1,MAX(N(Tasks[[#This Row],[Duration]]),0.1),0)</f>
        <v>0</v>
      </c>
      <c r="CV191" s="43" t="n">
        <f aca="false">Tasks[[#This Row],[_WeightDur]]*Tasks[[#This Row],[_LeafProgress]]</f>
        <v>0</v>
      </c>
      <c r="CW19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9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9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9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9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91" s="43" t="str">
        <f aca="false">IF(AND(Tasks[[#This Row],[_IsLeaf]]=1,N(Tasks[[#This Row],[Duration]])=0,Tasks[[#This Row],[_LeafProgress]]&lt;1),Tasks[[#This Row],[_LeafFcstFinish]]+Tasks[[#This Row],[_Row]]/100000,"")</f>
        <v/>
      </c>
      <c r="DC19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91" s="43" t="n">
        <f aca="false">IF(NOT(Tasks[[#This Row],[_IsLeaf]]=1),0,IF(Tasks[[#This Row],[Baseline Cost]]="",Tasks[[#This Row],[_LeafCost]],N(Tasks[[#This Row],[Baseline Cost]])))</f>
        <v>0</v>
      </c>
      <c r="DE191" s="43" t="n">
        <f aca="false">Tasks[[#This Row],[_LeafBudget]]*Tasks[[#This Row],[_PlannedPct]]</f>
        <v>0</v>
      </c>
      <c r="DF191" s="43" t="n">
        <f aca="false">Tasks[[#This Row],[_LeafBudget]]*Tasks[[#This Row],[_LeafProgress]]</f>
        <v>0</v>
      </c>
      <c r="DG191" s="43" t="n">
        <f aca="false">IF(NOT(Tasks[[#This Row],[_IsLeaf]]=1),0,IF(Tasks[[#This Row],[Actual Cost]]="",Tasks[[#This Row],[_LeafCost]]*Tasks[[#This Row],[_LeafProgress]],N(Tasks[[#This Row],[Actual Cost]])))</f>
        <v>0</v>
      </c>
      <c r="DH191" s="43" t="str">
        <f aca="false">IF(Tasks[[#This Row],[Task Name]]="","",LEFT(Tasks[[#This Row],[WBS]],FIND(".",Tasks[[#This Row],[WBS]]&amp;".")-1))</f>
        <v/>
      </c>
      <c r="DI191" s="43" t="str">
        <f aca="false">IF(AND(Tasks[[#This Row],[Task Name]]&lt;&gt;"",Tasks[[#This Row],[_Level]]=1),Tasks[[#This Row],[_Row]],"")</f>
        <v/>
      </c>
      <c r="DJ191" s="43" t="str">
        <f aca="false">IF(AND(Tasks[[#This Row],[_IsLeaf]]=1,N(Tasks[[#This Row],[Duration]])=0),Tasks[[#This Row],[Planned Finish]]+Tasks[[#This Row],[_Row]]/100000,"")</f>
        <v/>
      </c>
      <c r="DK19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9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9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91" s="43" t="str">
        <f aca="false">IF(Tasks[[#This Row],[_LeafCritical]],Tasks[[#This Row],[_LeafFcstStart]]+Tasks[[#This Row],[_Row]]/100000,"")</f>
        <v/>
      </c>
      <c r="DO191" s="43" t="n">
        <f aca="false">Tasks[[#This Row],[_LeafWork]]*Tasks[[#This Row],[_LeafProgress]]</f>
        <v>0</v>
      </c>
      <c r="DP19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91" s="43" t="n">
        <f aca="false">IF(Tasks[[#This Row],[_IsLeaf]]=1,N(Tasks[[#This Row],[Story Points]]),0)</f>
        <v>0</v>
      </c>
      <c r="DR191" s="43" t="str">
        <f aca="false">IF(AND(Tasks[[#This Row],[_IsLeaf]]=1,CurrentSprint&lt;&gt;"",Tasks[[#This Row],[Sprint]]=CurrentSprint),Tasks[[#This Row],[_Row]],"")</f>
        <v/>
      </c>
    </row>
    <row r="192" customFormat="false" ht="15" hidden="false" customHeight="false" outlineLevel="0" collapsed="false">
      <c r="A192" s="28" t="str">
        <f aca="false">IF(Tasks[[#This Row],[Task Name]]="","",COUNTA(Tasks[[#Headers],[Task Name]]:Tasks[[#This Row],[Task Name]])-1)</f>
        <v/>
      </c>
      <c r="B192" s="29" t="n">
        <v>187</v>
      </c>
      <c r="C19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92" s="29"/>
      <c r="E192" s="30"/>
      <c r="F192" s="29"/>
      <c r="G192" s="29"/>
      <c r="H192" s="29"/>
      <c r="I192" s="29"/>
      <c r="J192" s="29"/>
      <c r="K192" s="29"/>
      <c r="L192" s="29"/>
      <c r="M192" s="29"/>
      <c r="N192" s="72"/>
      <c r="O192" s="72"/>
      <c r="P192" s="25" t="str">
        <f aca="false">IF(Tasks[[#This Row],[Task Name]]="","",IF(N(Tasks[[#This Row],[Baseline Start]])&gt;0,Tasks[[#This Row],[Baseline Start]],Tasks[[#This Row],[_CalcStart]]))</f>
        <v/>
      </c>
      <c r="Q192" s="25" t="str">
        <f aca="false">IF(Tasks[[#This Row],[Task Name]]="","",IF(N(Tasks[[#This Row],[Baseline Finish]])&gt;0,Tasks[[#This Row],[Baseline Finish]],Tasks[[#This Row],[_CalcFinish]]))</f>
        <v/>
      </c>
      <c r="R192" s="72"/>
      <c r="S192" s="72"/>
      <c r="T19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9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9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9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9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9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9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9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9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9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9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92" s="74"/>
      <c r="AF19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9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92" s="30"/>
      <c r="AI192" s="74"/>
      <c r="AJ19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9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92" s="83"/>
      <c r="AM192" s="29"/>
      <c r="AN19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92" s="84"/>
      <c r="AP19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92" s="30"/>
      <c r="AR192" s="25" t="str">
        <f aca="false">IF(Tasks[[#This Row],[Task Name]]="","",Tasks[[#This Row],[Forecast Start]])</f>
        <v/>
      </c>
      <c r="AS192" s="25" t="str">
        <f aca="false">IF(Tasks[[#This Row],[Task Name]]="","",Tasks[[#This Row],[Forecast Finish]])</f>
        <v/>
      </c>
      <c r="AT19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92" s="81" t="str">
        <f aca="false">IF(Tasks[[#This Row],[Task Name]]="","",Tasks[[#This Row],[Work]])</f>
        <v/>
      </c>
      <c r="AV192" s="82" t="str">
        <f aca="false">IF(Tasks[[#This Row],[Task Name]]="","",Tasks[[#This Row],[Cost]])</f>
        <v/>
      </c>
      <c r="AW192" s="72"/>
      <c r="AX192" s="72"/>
      <c r="AY192" s="29"/>
      <c r="AZ192" s="85"/>
      <c r="BA192" s="83"/>
      <c r="BB192" s="28" t="str">
        <f aca="false">IF(OR(Tasks[[#This Row],[Task Name]]="",Tasks[[#This Row],[Baseline Duration]]=""),"",Tasks[[#This Row],[BL Source Duration]]-N(Tasks[[#This Row],[Baseline Duration]]))</f>
        <v/>
      </c>
      <c r="BC192" s="81" t="str">
        <f aca="false">IF(OR(Tasks[[#This Row],[Task Name]]="",Tasks[[#This Row],[Baseline Work]]=""),"",Tasks[[#This Row],[Work]]-N(Tasks[[#This Row],[Baseline Work]]))</f>
        <v/>
      </c>
      <c r="BD192" s="82" t="str">
        <f aca="false">IF(OR(Tasks[[#This Row],[Task Name]]="",Tasks[[#This Row],[Baseline Cost]]=""),"",Tasks[[#This Row],[Cost]]-N(Tasks[[#This Row],[Baseline Cost]]))</f>
        <v/>
      </c>
      <c r="BE19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9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9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9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92" s="43" t="str">
        <f aca="false">IF(Tasks[[#This Row],[Task Name]]="","",MAX(1,N(Tasks[[#This Row],[Level]])))</f>
        <v/>
      </c>
      <c r="BJ192" s="43" t="n">
        <f aca="false">ROW()-ROW(Tasks[[#Headers],[ID]])</f>
        <v>187</v>
      </c>
      <c r="BK19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92" s="43" t="n">
        <f aca="false">IFERROR(N(INDEX(Tasks[_Level],Tasks[[#This Row],[_Row]]+1)),0)</f>
        <v>0</v>
      </c>
      <c r="BM192" s="86" t="b">
        <f aca="false">AND(Tasks[[#This Row],[Task Name]]&lt;&gt;"",Tasks[[#This Row],[_NextLevel]]&gt;Tasks[[#This Row],[_Level]])</f>
        <v>0</v>
      </c>
      <c r="BN192" s="43" t="n">
        <f aca="false">IF(Tasks[[#This Row],[_IsSummary]],COUNTIF(Tasks[WBS],Tasks[[#This Row],[WBS]]&amp;".*"),0)</f>
        <v>0</v>
      </c>
      <c r="BO192" s="43" t="n">
        <f aca="false">IF(AND(Tasks[[#This Row],[Task Name]]&lt;&gt;"",NOT(Tasks[[#This Row],[_IsSummary]])),1,0)</f>
        <v>0</v>
      </c>
      <c r="BP192" s="43" t="n">
        <f aca="false">IF(N(Tasks[[#This Row],[Pred1 UID]])=0,0,IFERROR(MATCH(Tasks[[#This Row],[Pred1 UID]],Tasks[UID],0),-1))</f>
        <v>0</v>
      </c>
      <c r="BQ192" s="43" t="n">
        <f aca="false">IF(N(Tasks[[#This Row],[Pred2 UID]])=0,0,IFERROR(MATCH(Tasks[[#This Row],[Pred2 UID]],Tasks[UID],0),-1))</f>
        <v>0</v>
      </c>
      <c r="BR19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9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9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9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92" s="43" t="n">
        <f aca="false">IF(NOT(Tasks[[#This Row],[_IsLeaf]]=1),0,IF(N(Tasks[[#This Row],[Actual Finish]])&gt;0,1,MIN(1,N(Tasks[[#This Row],[% Complete]]))))</f>
        <v>0</v>
      </c>
      <c r="BW19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92" s="43" t="n">
        <f aca="false">IF(Tasks[[#This Row],[_LeafWork]]=0,0,Tasks[[#This Row],[_LeafWork]]*IFERROR(INDEX(res_Rate,MATCH(Tasks[[#This Row],[Resource]],res_Name,0)),0))</f>
        <v>0</v>
      </c>
      <c r="BY19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9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9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9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92" s="43" t="n">
        <f aca="false">IF(NOT(Tasks[[#This Row],[_IsLeaf]]=1),0,MAX(_xlfn.MAXIFS(Tasks[_Row],Tasks[Pred1 UID],Tasks[[#This Row],[UID]]),_xlfn.MAXIFS(Tasks[_Row],Tasks[Pred2 UID],Tasks[[#This Row],[UID]])))</f>
        <v>0</v>
      </c>
      <c r="CD19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92" s="87" t="str">
        <f aca="false">IF(NOT(Tasks[[#This Row],[_IsLeaf]]=1),"",MIN(ProjectFinish,IF(N(Tasks[[#This Row],[Deadline]])&gt;0,Tasks[[#This Row],[Deadline]],2958465),Tasks[[#This Row],[_SuccessorFinishLimit]]))</f>
        <v/>
      </c>
      <c r="CF19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9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92" s="86" t="b">
        <f aca="false">AND(Tasks[[#This Row],[_IsLeaf]]=1,Tasks[[#This Row],[_LeafProgress]]&lt;1,N(Tasks[[#This Row],[_LeafTotalSlack]])&lt;=CriticalSlackDays)</f>
        <v>0</v>
      </c>
      <c r="CI19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9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9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9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9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9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9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9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92" s="43" t="n">
        <f aca="false">IF(AND(Tasks[[#This Row],[_IsLeaf]]=1,Tasks[[#This Row],[_LeafWork]]&gt;0),NETWORKDAYS.INTL(ProjectStart,Tasks[[#This Row],[_LeafFcstStart]],WorkWeek,Holidays),0)</f>
        <v>0</v>
      </c>
      <c r="CR19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92" s="43" t="n">
        <f aca="false">IF(AND(Tasks[[#This Row],[_IsLeaf]]=1,Tasks[[#This Row],[_LeafWork]]&gt;0),Tasks[[#This Row],[_LeafWork]]/(Tasks[[#This Row],[_FinishWorkday]]-Tasks[[#This Row],[_StartWorkday]]+1),0)</f>
        <v>0</v>
      </c>
      <c r="CT192" s="43" t="n">
        <f aca="false">Tasks[[#This Row],[_WorkPerWorkday]]*(Tasks[[#This Row],[_StartWorkday]]-1)</f>
        <v>-0</v>
      </c>
      <c r="CU192" s="43" t="n">
        <f aca="false">IF(Tasks[[#This Row],[_IsLeaf]]=1,MAX(N(Tasks[[#This Row],[Duration]]),0.1),0)</f>
        <v>0</v>
      </c>
      <c r="CV192" s="43" t="n">
        <f aca="false">Tasks[[#This Row],[_WeightDur]]*Tasks[[#This Row],[_LeafProgress]]</f>
        <v>0</v>
      </c>
      <c r="CW19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9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9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9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9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92" s="43" t="str">
        <f aca="false">IF(AND(Tasks[[#This Row],[_IsLeaf]]=1,N(Tasks[[#This Row],[Duration]])=0,Tasks[[#This Row],[_LeafProgress]]&lt;1),Tasks[[#This Row],[_LeafFcstFinish]]+Tasks[[#This Row],[_Row]]/100000,"")</f>
        <v/>
      </c>
      <c r="DC19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92" s="43" t="n">
        <f aca="false">IF(NOT(Tasks[[#This Row],[_IsLeaf]]=1),0,IF(Tasks[[#This Row],[Baseline Cost]]="",Tasks[[#This Row],[_LeafCost]],N(Tasks[[#This Row],[Baseline Cost]])))</f>
        <v>0</v>
      </c>
      <c r="DE192" s="43" t="n">
        <f aca="false">Tasks[[#This Row],[_LeafBudget]]*Tasks[[#This Row],[_PlannedPct]]</f>
        <v>0</v>
      </c>
      <c r="DF192" s="43" t="n">
        <f aca="false">Tasks[[#This Row],[_LeafBudget]]*Tasks[[#This Row],[_LeafProgress]]</f>
        <v>0</v>
      </c>
      <c r="DG192" s="43" t="n">
        <f aca="false">IF(NOT(Tasks[[#This Row],[_IsLeaf]]=1),0,IF(Tasks[[#This Row],[Actual Cost]]="",Tasks[[#This Row],[_LeafCost]]*Tasks[[#This Row],[_LeafProgress]],N(Tasks[[#This Row],[Actual Cost]])))</f>
        <v>0</v>
      </c>
      <c r="DH192" s="43" t="str">
        <f aca="false">IF(Tasks[[#This Row],[Task Name]]="","",LEFT(Tasks[[#This Row],[WBS]],FIND(".",Tasks[[#This Row],[WBS]]&amp;".")-1))</f>
        <v/>
      </c>
      <c r="DI192" s="43" t="str">
        <f aca="false">IF(AND(Tasks[[#This Row],[Task Name]]&lt;&gt;"",Tasks[[#This Row],[_Level]]=1),Tasks[[#This Row],[_Row]],"")</f>
        <v/>
      </c>
      <c r="DJ192" s="43" t="str">
        <f aca="false">IF(AND(Tasks[[#This Row],[_IsLeaf]]=1,N(Tasks[[#This Row],[Duration]])=0),Tasks[[#This Row],[Planned Finish]]+Tasks[[#This Row],[_Row]]/100000,"")</f>
        <v/>
      </c>
      <c r="DK19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9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9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92" s="43" t="str">
        <f aca="false">IF(Tasks[[#This Row],[_LeafCritical]],Tasks[[#This Row],[_LeafFcstStart]]+Tasks[[#This Row],[_Row]]/100000,"")</f>
        <v/>
      </c>
      <c r="DO192" s="43" t="n">
        <f aca="false">Tasks[[#This Row],[_LeafWork]]*Tasks[[#This Row],[_LeafProgress]]</f>
        <v>0</v>
      </c>
      <c r="DP19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92" s="43" t="n">
        <f aca="false">IF(Tasks[[#This Row],[_IsLeaf]]=1,N(Tasks[[#This Row],[Story Points]]),0)</f>
        <v>0</v>
      </c>
      <c r="DR192" s="43" t="str">
        <f aca="false">IF(AND(Tasks[[#This Row],[_IsLeaf]]=1,CurrentSprint&lt;&gt;"",Tasks[[#This Row],[Sprint]]=CurrentSprint),Tasks[[#This Row],[_Row]],"")</f>
        <v/>
      </c>
    </row>
    <row r="193" customFormat="false" ht="15" hidden="false" customHeight="false" outlineLevel="0" collapsed="false">
      <c r="A193" s="28" t="str">
        <f aca="false">IF(Tasks[[#This Row],[Task Name]]="","",COUNTA(Tasks[[#Headers],[Task Name]]:Tasks[[#This Row],[Task Name]])-1)</f>
        <v/>
      </c>
      <c r="B193" s="29" t="n">
        <v>188</v>
      </c>
      <c r="C19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93" s="29"/>
      <c r="E193" s="30"/>
      <c r="F193" s="29"/>
      <c r="G193" s="29"/>
      <c r="H193" s="29"/>
      <c r="I193" s="29"/>
      <c r="J193" s="29"/>
      <c r="K193" s="29"/>
      <c r="L193" s="29"/>
      <c r="M193" s="29"/>
      <c r="N193" s="72"/>
      <c r="O193" s="72"/>
      <c r="P193" s="25" t="str">
        <f aca="false">IF(Tasks[[#This Row],[Task Name]]="","",IF(N(Tasks[[#This Row],[Baseline Start]])&gt;0,Tasks[[#This Row],[Baseline Start]],Tasks[[#This Row],[_CalcStart]]))</f>
        <v/>
      </c>
      <c r="Q193" s="25" t="str">
        <f aca="false">IF(Tasks[[#This Row],[Task Name]]="","",IF(N(Tasks[[#This Row],[Baseline Finish]])&gt;0,Tasks[[#This Row],[Baseline Finish]],Tasks[[#This Row],[_CalcFinish]]))</f>
        <v/>
      </c>
      <c r="R193" s="72"/>
      <c r="S193" s="72"/>
      <c r="T19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9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9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9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9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9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9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9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9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9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9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93" s="74"/>
      <c r="AF19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9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93" s="30"/>
      <c r="AI193" s="74"/>
      <c r="AJ19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9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93" s="83"/>
      <c r="AM193" s="29"/>
      <c r="AN19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93" s="84"/>
      <c r="AP19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93" s="30"/>
      <c r="AR193" s="25" t="str">
        <f aca="false">IF(Tasks[[#This Row],[Task Name]]="","",Tasks[[#This Row],[Forecast Start]])</f>
        <v/>
      </c>
      <c r="AS193" s="25" t="str">
        <f aca="false">IF(Tasks[[#This Row],[Task Name]]="","",Tasks[[#This Row],[Forecast Finish]])</f>
        <v/>
      </c>
      <c r="AT19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93" s="81" t="str">
        <f aca="false">IF(Tasks[[#This Row],[Task Name]]="","",Tasks[[#This Row],[Work]])</f>
        <v/>
      </c>
      <c r="AV193" s="82" t="str">
        <f aca="false">IF(Tasks[[#This Row],[Task Name]]="","",Tasks[[#This Row],[Cost]])</f>
        <v/>
      </c>
      <c r="AW193" s="72"/>
      <c r="AX193" s="72"/>
      <c r="AY193" s="29"/>
      <c r="AZ193" s="85"/>
      <c r="BA193" s="83"/>
      <c r="BB193" s="28" t="str">
        <f aca="false">IF(OR(Tasks[[#This Row],[Task Name]]="",Tasks[[#This Row],[Baseline Duration]]=""),"",Tasks[[#This Row],[BL Source Duration]]-N(Tasks[[#This Row],[Baseline Duration]]))</f>
        <v/>
      </c>
      <c r="BC193" s="81" t="str">
        <f aca="false">IF(OR(Tasks[[#This Row],[Task Name]]="",Tasks[[#This Row],[Baseline Work]]=""),"",Tasks[[#This Row],[Work]]-N(Tasks[[#This Row],[Baseline Work]]))</f>
        <v/>
      </c>
      <c r="BD193" s="82" t="str">
        <f aca="false">IF(OR(Tasks[[#This Row],[Task Name]]="",Tasks[[#This Row],[Baseline Cost]]=""),"",Tasks[[#This Row],[Cost]]-N(Tasks[[#This Row],[Baseline Cost]]))</f>
        <v/>
      </c>
      <c r="BE19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9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9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9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93" s="43" t="str">
        <f aca="false">IF(Tasks[[#This Row],[Task Name]]="","",MAX(1,N(Tasks[[#This Row],[Level]])))</f>
        <v/>
      </c>
      <c r="BJ193" s="43" t="n">
        <f aca="false">ROW()-ROW(Tasks[[#Headers],[ID]])</f>
        <v>188</v>
      </c>
      <c r="BK19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93" s="43" t="n">
        <f aca="false">IFERROR(N(INDEX(Tasks[_Level],Tasks[[#This Row],[_Row]]+1)),0)</f>
        <v>0</v>
      </c>
      <c r="BM193" s="86" t="b">
        <f aca="false">AND(Tasks[[#This Row],[Task Name]]&lt;&gt;"",Tasks[[#This Row],[_NextLevel]]&gt;Tasks[[#This Row],[_Level]])</f>
        <v>0</v>
      </c>
      <c r="BN193" s="43" t="n">
        <f aca="false">IF(Tasks[[#This Row],[_IsSummary]],COUNTIF(Tasks[WBS],Tasks[[#This Row],[WBS]]&amp;".*"),0)</f>
        <v>0</v>
      </c>
      <c r="BO193" s="43" t="n">
        <f aca="false">IF(AND(Tasks[[#This Row],[Task Name]]&lt;&gt;"",NOT(Tasks[[#This Row],[_IsSummary]])),1,0)</f>
        <v>0</v>
      </c>
      <c r="BP193" s="43" t="n">
        <f aca="false">IF(N(Tasks[[#This Row],[Pred1 UID]])=0,0,IFERROR(MATCH(Tasks[[#This Row],[Pred1 UID]],Tasks[UID],0),-1))</f>
        <v>0</v>
      </c>
      <c r="BQ193" s="43" t="n">
        <f aca="false">IF(N(Tasks[[#This Row],[Pred2 UID]])=0,0,IFERROR(MATCH(Tasks[[#This Row],[Pred2 UID]],Tasks[UID],0),-1))</f>
        <v>0</v>
      </c>
      <c r="BR19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9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9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9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93" s="43" t="n">
        <f aca="false">IF(NOT(Tasks[[#This Row],[_IsLeaf]]=1),0,IF(N(Tasks[[#This Row],[Actual Finish]])&gt;0,1,MIN(1,N(Tasks[[#This Row],[% Complete]]))))</f>
        <v>0</v>
      </c>
      <c r="BW19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93" s="43" t="n">
        <f aca="false">IF(Tasks[[#This Row],[_LeafWork]]=0,0,Tasks[[#This Row],[_LeafWork]]*IFERROR(INDEX(res_Rate,MATCH(Tasks[[#This Row],[Resource]],res_Name,0)),0))</f>
        <v>0</v>
      </c>
      <c r="BY19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9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9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9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93" s="43" t="n">
        <f aca="false">IF(NOT(Tasks[[#This Row],[_IsLeaf]]=1),0,MAX(_xlfn.MAXIFS(Tasks[_Row],Tasks[Pred1 UID],Tasks[[#This Row],[UID]]),_xlfn.MAXIFS(Tasks[_Row],Tasks[Pred2 UID],Tasks[[#This Row],[UID]])))</f>
        <v>0</v>
      </c>
      <c r="CD19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93" s="87" t="str">
        <f aca="false">IF(NOT(Tasks[[#This Row],[_IsLeaf]]=1),"",MIN(ProjectFinish,IF(N(Tasks[[#This Row],[Deadline]])&gt;0,Tasks[[#This Row],[Deadline]],2958465),Tasks[[#This Row],[_SuccessorFinishLimit]]))</f>
        <v/>
      </c>
      <c r="CF19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9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93" s="86" t="b">
        <f aca="false">AND(Tasks[[#This Row],[_IsLeaf]]=1,Tasks[[#This Row],[_LeafProgress]]&lt;1,N(Tasks[[#This Row],[_LeafTotalSlack]])&lt;=CriticalSlackDays)</f>
        <v>0</v>
      </c>
      <c r="CI19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9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9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9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9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9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9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9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93" s="43" t="n">
        <f aca="false">IF(AND(Tasks[[#This Row],[_IsLeaf]]=1,Tasks[[#This Row],[_LeafWork]]&gt;0),NETWORKDAYS.INTL(ProjectStart,Tasks[[#This Row],[_LeafFcstStart]],WorkWeek,Holidays),0)</f>
        <v>0</v>
      </c>
      <c r="CR19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93" s="43" t="n">
        <f aca="false">IF(AND(Tasks[[#This Row],[_IsLeaf]]=1,Tasks[[#This Row],[_LeafWork]]&gt;0),Tasks[[#This Row],[_LeafWork]]/(Tasks[[#This Row],[_FinishWorkday]]-Tasks[[#This Row],[_StartWorkday]]+1),0)</f>
        <v>0</v>
      </c>
      <c r="CT193" s="43" t="n">
        <f aca="false">Tasks[[#This Row],[_WorkPerWorkday]]*(Tasks[[#This Row],[_StartWorkday]]-1)</f>
        <v>-0</v>
      </c>
      <c r="CU193" s="43" t="n">
        <f aca="false">IF(Tasks[[#This Row],[_IsLeaf]]=1,MAX(N(Tasks[[#This Row],[Duration]]),0.1),0)</f>
        <v>0</v>
      </c>
      <c r="CV193" s="43" t="n">
        <f aca="false">Tasks[[#This Row],[_WeightDur]]*Tasks[[#This Row],[_LeafProgress]]</f>
        <v>0</v>
      </c>
      <c r="CW19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9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9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9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9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93" s="43" t="str">
        <f aca="false">IF(AND(Tasks[[#This Row],[_IsLeaf]]=1,N(Tasks[[#This Row],[Duration]])=0,Tasks[[#This Row],[_LeafProgress]]&lt;1),Tasks[[#This Row],[_LeafFcstFinish]]+Tasks[[#This Row],[_Row]]/100000,"")</f>
        <v/>
      </c>
      <c r="DC19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93" s="43" t="n">
        <f aca="false">IF(NOT(Tasks[[#This Row],[_IsLeaf]]=1),0,IF(Tasks[[#This Row],[Baseline Cost]]="",Tasks[[#This Row],[_LeafCost]],N(Tasks[[#This Row],[Baseline Cost]])))</f>
        <v>0</v>
      </c>
      <c r="DE193" s="43" t="n">
        <f aca="false">Tasks[[#This Row],[_LeafBudget]]*Tasks[[#This Row],[_PlannedPct]]</f>
        <v>0</v>
      </c>
      <c r="DF193" s="43" t="n">
        <f aca="false">Tasks[[#This Row],[_LeafBudget]]*Tasks[[#This Row],[_LeafProgress]]</f>
        <v>0</v>
      </c>
      <c r="DG193" s="43" t="n">
        <f aca="false">IF(NOT(Tasks[[#This Row],[_IsLeaf]]=1),0,IF(Tasks[[#This Row],[Actual Cost]]="",Tasks[[#This Row],[_LeafCost]]*Tasks[[#This Row],[_LeafProgress]],N(Tasks[[#This Row],[Actual Cost]])))</f>
        <v>0</v>
      </c>
      <c r="DH193" s="43" t="str">
        <f aca="false">IF(Tasks[[#This Row],[Task Name]]="","",LEFT(Tasks[[#This Row],[WBS]],FIND(".",Tasks[[#This Row],[WBS]]&amp;".")-1))</f>
        <v/>
      </c>
      <c r="DI193" s="43" t="str">
        <f aca="false">IF(AND(Tasks[[#This Row],[Task Name]]&lt;&gt;"",Tasks[[#This Row],[_Level]]=1),Tasks[[#This Row],[_Row]],"")</f>
        <v/>
      </c>
      <c r="DJ193" s="43" t="str">
        <f aca="false">IF(AND(Tasks[[#This Row],[_IsLeaf]]=1,N(Tasks[[#This Row],[Duration]])=0),Tasks[[#This Row],[Planned Finish]]+Tasks[[#This Row],[_Row]]/100000,"")</f>
        <v/>
      </c>
      <c r="DK19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9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9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93" s="43" t="str">
        <f aca="false">IF(Tasks[[#This Row],[_LeafCritical]],Tasks[[#This Row],[_LeafFcstStart]]+Tasks[[#This Row],[_Row]]/100000,"")</f>
        <v/>
      </c>
      <c r="DO193" s="43" t="n">
        <f aca="false">Tasks[[#This Row],[_LeafWork]]*Tasks[[#This Row],[_LeafProgress]]</f>
        <v>0</v>
      </c>
      <c r="DP19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93" s="43" t="n">
        <f aca="false">IF(Tasks[[#This Row],[_IsLeaf]]=1,N(Tasks[[#This Row],[Story Points]]),0)</f>
        <v>0</v>
      </c>
      <c r="DR193" s="43" t="str">
        <f aca="false">IF(AND(Tasks[[#This Row],[_IsLeaf]]=1,CurrentSprint&lt;&gt;"",Tasks[[#This Row],[Sprint]]=CurrentSprint),Tasks[[#This Row],[_Row]],"")</f>
        <v/>
      </c>
    </row>
    <row r="194" customFormat="false" ht="15" hidden="false" customHeight="false" outlineLevel="0" collapsed="false">
      <c r="A194" s="28" t="str">
        <f aca="false">IF(Tasks[[#This Row],[Task Name]]="","",COUNTA(Tasks[[#Headers],[Task Name]]:Tasks[[#This Row],[Task Name]])-1)</f>
        <v/>
      </c>
      <c r="B194" s="29" t="n">
        <v>189</v>
      </c>
      <c r="C19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94" s="29"/>
      <c r="E194" s="30"/>
      <c r="F194" s="29"/>
      <c r="G194" s="29"/>
      <c r="H194" s="29"/>
      <c r="I194" s="29"/>
      <c r="J194" s="29"/>
      <c r="K194" s="29"/>
      <c r="L194" s="29"/>
      <c r="M194" s="29"/>
      <c r="N194" s="72"/>
      <c r="O194" s="72"/>
      <c r="P194" s="25" t="str">
        <f aca="false">IF(Tasks[[#This Row],[Task Name]]="","",IF(N(Tasks[[#This Row],[Baseline Start]])&gt;0,Tasks[[#This Row],[Baseline Start]],Tasks[[#This Row],[_CalcStart]]))</f>
        <v/>
      </c>
      <c r="Q194" s="25" t="str">
        <f aca="false">IF(Tasks[[#This Row],[Task Name]]="","",IF(N(Tasks[[#This Row],[Baseline Finish]])&gt;0,Tasks[[#This Row],[Baseline Finish]],Tasks[[#This Row],[_CalcFinish]]))</f>
        <v/>
      </c>
      <c r="R194" s="72"/>
      <c r="S194" s="72"/>
      <c r="T19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9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9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9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9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9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9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9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9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9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9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94" s="74"/>
      <c r="AF19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9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94" s="30"/>
      <c r="AI194" s="74"/>
      <c r="AJ19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9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94" s="83"/>
      <c r="AM194" s="29"/>
      <c r="AN19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94" s="84"/>
      <c r="AP19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94" s="30"/>
      <c r="AR194" s="25" t="str">
        <f aca="false">IF(Tasks[[#This Row],[Task Name]]="","",Tasks[[#This Row],[Forecast Start]])</f>
        <v/>
      </c>
      <c r="AS194" s="25" t="str">
        <f aca="false">IF(Tasks[[#This Row],[Task Name]]="","",Tasks[[#This Row],[Forecast Finish]])</f>
        <v/>
      </c>
      <c r="AT19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94" s="81" t="str">
        <f aca="false">IF(Tasks[[#This Row],[Task Name]]="","",Tasks[[#This Row],[Work]])</f>
        <v/>
      </c>
      <c r="AV194" s="82" t="str">
        <f aca="false">IF(Tasks[[#This Row],[Task Name]]="","",Tasks[[#This Row],[Cost]])</f>
        <v/>
      </c>
      <c r="AW194" s="72"/>
      <c r="AX194" s="72"/>
      <c r="AY194" s="29"/>
      <c r="AZ194" s="85"/>
      <c r="BA194" s="83"/>
      <c r="BB194" s="28" t="str">
        <f aca="false">IF(OR(Tasks[[#This Row],[Task Name]]="",Tasks[[#This Row],[Baseline Duration]]=""),"",Tasks[[#This Row],[BL Source Duration]]-N(Tasks[[#This Row],[Baseline Duration]]))</f>
        <v/>
      </c>
      <c r="BC194" s="81" t="str">
        <f aca="false">IF(OR(Tasks[[#This Row],[Task Name]]="",Tasks[[#This Row],[Baseline Work]]=""),"",Tasks[[#This Row],[Work]]-N(Tasks[[#This Row],[Baseline Work]]))</f>
        <v/>
      </c>
      <c r="BD194" s="82" t="str">
        <f aca="false">IF(OR(Tasks[[#This Row],[Task Name]]="",Tasks[[#This Row],[Baseline Cost]]=""),"",Tasks[[#This Row],[Cost]]-N(Tasks[[#This Row],[Baseline Cost]]))</f>
        <v/>
      </c>
      <c r="BE19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9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9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9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94" s="43" t="str">
        <f aca="false">IF(Tasks[[#This Row],[Task Name]]="","",MAX(1,N(Tasks[[#This Row],[Level]])))</f>
        <v/>
      </c>
      <c r="BJ194" s="43" t="n">
        <f aca="false">ROW()-ROW(Tasks[[#Headers],[ID]])</f>
        <v>189</v>
      </c>
      <c r="BK19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94" s="43" t="n">
        <f aca="false">IFERROR(N(INDEX(Tasks[_Level],Tasks[[#This Row],[_Row]]+1)),0)</f>
        <v>0</v>
      </c>
      <c r="BM194" s="86" t="b">
        <f aca="false">AND(Tasks[[#This Row],[Task Name]]&lt;&gt;"",Tasks[[#This Row],[_NextLevel]]&gt;Tasks[[#This Row],[_Level]])</f>
        <v>0</v>
      </c>
      <c r="BN194" s="43" t="n">
        <f aca="false">IF(Tasks[[#This Row],[_IsSummary]],COUNTIF(Tasks[WBS],Tasks[[#This Row],[WBS]]&amp;".*"),0)</f>
        <v>0</v>
      </c>
      <c r="BO194" s="43" t="n">
        <f aca="false">IF(AND(Tasks[[#This Row],[Task Name]]&lt;&gt;"",NOT(Tasks[[#This Row],[_IsSummary]])),1,0)</f>
        <v>0</v>
      </c>
      <c r="BP194" s="43" t="n">
        <f aca="false">IF(N(Tasks[[#This Row],[Pred1 UID]])=0,0,IFERROR(MATCH(Tasks[[#This Row],[Pred1 UID]],Tasks[UID],0),-1))</f>
        <v>0</v>
      </c>
      <c r="BQ194" s="43" t="n">
        <f aca="false">IF(N(Tasks[[#This Row],[Pred2 UID]])=0,0,IFERROR(MATCH(Tasks[[#This Row],[Pred2 UID]],Tasks[UID],0),-1))</f>
        <v>0</v>
      </c>
      <c r="BR19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9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9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9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94" s="43" t="n">
        <f aca="false">IF(NOT(Tasks[[#This Row],[_IsLeaf]]=1),0,IF(N(Tasks[[#This Row],[Actual Finish]])&gt;0,1,MIN(1,N(Tasks[[#This Row],[% Complete]]))))</f>
        <v>0</v>
      </c>
      <c r="BW19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94" s="43" t="n">
        <f aca="false">IF(Tasks[[#This Row],[_LeafWork]]=0,0,Tasks[[#This Row],[_LeafWork]]*IFERROR(INDEX(res_Rate,MATCH(Tasks[[#This Row],[Resource]],res_Name,0)),0))</f>
        <v>0</v>
      </c>
      <c r="BY19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9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9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9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94" s="43" t="n">
        <f aca="false">IF(NOT(Tasks[[#This Row],[_IsLeaf]]=1),0,MAX(_xlfn.MAXIFS(Tasks[_Row],Tasks[Pred1 UID],Tasks[[#This Row],[UID]]),_xlfn.MAXIFS(Tasks[_Row],Tasks[Pred2 UID],Tasks[[#This Row],[UID]])))</f>
        <v>0</v>
      </c>
      <c r="CD19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94" s="87" t="str">
        <f aca="false">IF(NOT(Tasks[[#This Row],[_IsLeaf]]=1),"",MIN(ProjectFinish,IF(N(Tasks[[#This Row],[Deadline]])&gt;0,Tasks[[#This Row],[Deadline]],2958465),Tasks[[#This Row],[_SuccessorFinishLimit]]))</f>
        <v/>
      </c>
      <c r="CF19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9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94" s="86" t="b">
        <f aca="false">AND(Tasks[[#This Row],[_IsLeaf]]=1,Tasks[[#This Row],[_LeafProgress]]&lt;1,N(Tasks[[#This Row],[_LeafTotalSlack]])&lt;=CriticalSlackDays)</f>
        <v>0</v>
      </c>
      <c r="CI19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9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9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9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9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9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9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9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94" s="43" t="n">
        <f aca="false">IF(AND(Tasks[[#This Row],[_IsLeaf]]=1,Tasks[[#This Row],[_LeafWork]]&gt;0),NETWORKDAYS.INTL(ProjectStart,Tasks[[#This Row],[_LeafFcstStart]],WorkWeek,Holidays),0)</f>
        <v>0</v>
      </c>
      <c r="CR19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94" s="43" t="n">
        <f aca="false">IF(AND(Tasks[[#This Row],[_IsLeaf]]=1,Tasks[[#This Row],[_LeafWork]]&gt;0),Tasks[[#This Row],[_LeafWork]]/(Tasks[[#This Row],[_FinishWorkday]]-Tasks[[#This Row],[_StartWorkday]]+1),0)</f>
        <v>0</v>
      </c>
      <c r="CT194" s="43" t="n">
        <f aca="false">Tasks[[#This Row],[_WorkPerWorkday]]*(Tasks[[#This Row],[_StartWorkday]]-1)</f>
        <v>-0</v>
      </c>
      <c r="CU194" s="43" t="n">
        <f aca="false">IF(Tasks[[#This Row],[_IsLeaf]]=1,MAX(N(Tasks[[#This Row],[Duration]]),0.1),0)</f>
        <v>0</v>
      </c>
      <c r="CV194" s="43" t="n">
        <f aca="false">Tasks[[#This Row],[_WeightDur]]*Tasks[[#This Row],[_LeafProgress]]</f>
        <v>0</v>
      </c>
      <c r="CW19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9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9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9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9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94" s="43" t="str">
        <f aca="false">IF(AND(Tasks[[#This Row],[_IsLeaf]]=1,N(Tasks[[#This Row],[Duration]])=0,Tasks[[#This Row],[_LeafProgress]]&lt;1),Tasks[[#This Row],[_LeafFcstFinish]]+Tasks[[#This Row],[_Row]]/100000,"")</f>
        <v/>
      </c>
      <c r="DC19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94" s="43" t="n">
        <f aca="false">IF(NOT(Tasks[[#This Row],[_IsLeaf]]=1),0,IF(Tasks[[#This Row],[Baseline Cost]]="",Tasks[[#This Row],[_LeafCost]],N(Tasks[[#This Row],[Baseline Cost]])))</f>
        <v>0</v>
      </c>
      <c r="DE194" s="43" t="n">
        <f aca="false">Tasks[[#This Row],[_LeafBudget]]*Tasks[[#This Row],[_PlannedPct]]</f>
        <v>0</v>
      </c>
      <c r="DF194" s="43" t="n">
        <f aca="false">Tasks[[#This Row],[_LeafBudget]]*Tasks[[#This Row],[_LeafProgress]]</f>
        <v>0</v>
      </c>
      <c r="DG194" s="43" t="n">
        <f aca="false">IF(NOT(Tasks[[#This Row],[_IsLeaf]]=1),0,IF(Tasks[[#This Row],[Actual Cost]]="",Tasks[[#This Row],[_LeafCost]]*Tasks[[#This Row],[_LeafProgress]],N(Tasks[[#This Row],[Actual Cost]])))</f>
        <v>0</v>
      </c>
      <c r="DH194" s="43" t="str">
        <f aca="false">IF(Tasks[[#This Row],[Task Name]]="","",LEFT(Tasks[[#This Row],[WBS]],FIND(".",Tasks[[#This Row],[WBS]]&amp;".")-1))</f>
        <v/>
      </c>
      <c r="DI194" s="43" t="str">
        <f aca="false">IF(AND(Tasks[[#This Row],[Task Name]]&lt;&gt;"",Tasks[[#This Row],[_Level]]=1),Tasks[[#This Row],[_Row]],"")</f>
        <v/>
      </c>
      <c r="DJ194" s="43" t="str">
        <f aca="false">IF(AND(Tasks[[#This Row],[_IsLeaf]]=1,N(Tasks[[#This Row],[Duration]])=0),Tasks[[#This Row],[Planned Finish]]+Tasks[[#This Row],[_Row]]/100000,"")</f>
        <v/>
      </c>
      <c r="DK19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9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9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94" s="43" t="str">
        <f aca="false">IF(Tasks[[#This Row],[_LeafCritical]],Tasks[[#This Row],[_LeafFcstStart]]+Tasks[[#This Row],[_Row]]/100000,"")</f>
        <v/>
      </c>
      <c r="DO194" s="43" t="n">
        <f aca="false">Tasks[[#This Row],[_LeafWork]]*Tasks[[#This Row],[_LeafProgress]]</f>
        <v>0</v>
      </c>
      <c r="DP19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94" s="43" t="n">
        <f aca="false">IF(Tasks[[#This Row],[_IsLeaf]]=1,N(Tasks[[#This Row],[Story Points]]),0)</f>
        <v>0</v>
      </c>
      <c r="DR194" s="43" t="str">
        <f aca="false">IF(AND(Tasks[[#This Row],[_IsLeaf]]=1,CurrentSprint&lt;&gt;"",Tasks[[#This Row],[Sprint]]=CurrentSprint),Tasks[[#This Row],[_Row]],"")</f>
        <v/>
      </c>
    </row>
    <row r="195" customFormat="false" ht="15" hidden="false" customHeight="false" outlineLevel="0" collapsed="false">
      <c r="A195" s="28" t="str">
        <f aca="false">IF(Tasks[[#This Row],[Task Name]]="","",COUNTA(Tasks[[#Headers],[Task Name]]:Tasks[[#This Row],[Task Name]])-1)</f>
        <v/>
      </c>
      <c r="B195" s="29" t="n">
        <v>190</v>
      </c>
      <c r="C19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95" s="29"/>
      <c r="E195" s="30"/>
      <c r="F195" s="29"/>
      <c r="G195" s="29"/>
      <c r="H195" s="29"/>
      <c r="I195" s="29"/>
      <c r="J195" s="29"/>
      <c r="K195" s="29"/>
      <c r="L195" s="29"/>
      <c r="M195" s="29"/>
      <c r="N195" s="72"/>
      <c r="O195" s="72"/>
      <c r="P195" s="25" t="str">
        <f aca="false">IF(Tasks[[#This Row],[Task Name]]="","",IF(N(Tasks[[#This Row],[Baseline Start]])&gt;0,Tasks[[#This Row],[Baseline Start]],Tasks[[#This Row],[_CalcStart]]))</f>
        <v/>
      </c>
      <c r="Q195" s="25" t="str">
        <f aca="false">IF(Tasks[[#This Row],[Task Name]]="","",IF(N(Tasks[[#This Row],[Baseline Finish]])&gt;0,Tasks[[#This Row],[Baseline Finish]],Tasks[[#This Row],[_CalcFinish]]))</f>
        <v/>
      </c>
      <c r="R195" s="72"/>
      <c r="S195" s="72"/>
      <c r="T19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9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9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9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9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9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9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9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9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9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9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95" s="74"/>
      <c r="AF19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9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95" s="30"/>
      <c r="AI195" s="74"/>
      <c r="AJ19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9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95" s="83"/>
      <c r="AM195" s="29"/>
      <c r="AN19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95" s="84"/>
      <c r="AP19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95" s="30"/>
      <c r="AR195" s="25" t="str">
        <f aca="false">IF(Tasks[[#This Row],[Task Name]]="","",Tasks[[#This Row],[Forecast Start]])</f>
        <v/>
      </c>
      <c r="AS195" s="25" t="str">
        <f aca="false">IF(Tasks[[#This Row],[Task Name]]="","",Tasks[[#This Row],[Forecast Finish]])</f>
        <v/>
      </c>
      <c r="AT19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95" s="81" t="str">
        <f aca="false">IF(Tasks[[#This Row],[Task Name]]="","",Tasks[[#This Row],[Work]])</f>
        <v/>
      </c>
      <c r="AV195" s="82" t="str">
        <f aca="false">IF(Tasks[[#This Row],[Task Name]]="","",Tasks[[#This Row],[Cost]])</f>
        <v/>
      </c>
      <c r="AW195" s="72"/>
      <c r="AX195" s="72"/>
      <c r="AY195" s="29"/>
      <c r="AZ195" s="85"/>
      <c r="BA195" s="83"/>
      <c r="BB195" s="28" t="str">
        <f aca="false">IF(OR(Tasks[[#This Row],[Task Name]]="",Tasks[[#This Row],[Baseline Duration]]=""),"",Tasks[[#This Row],[BL Source Duration]]-N(Tasks[[#This Row],[Baseline Duration]]))</f>
        <v/>
      </c>
      <c r="BC195" s="81" t="str">
        <f aca="false">IF(OR(Tasks[[#This Row],[Task Name]]="",Tasks[[#This Row],[Baseline Work]]=""),"",Tasks[[#This Row],[Work]]-N(Tasks[[#This Row],[Baseline Work]]))</f>
        <v/>
      </c>
      <c r="BD195" s="82" t="str">
        <f aca="false">IF(OR(Tasks[[#This Row],[Task Name]]="",Tasks[[#This Row],[Baseline Cost]]=""),"",Tasks[[#This Row],[Cost]]-N(Tasks[[#This Row],[Baseline Cost]]))</f>
        <v/>
      </c>
      <c r="BE19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9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9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9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95" s="43" t="str">
        <f aca="false">IF(Tasks[[#This Row],[Task Name]]="","",MAX(1,N(Tasks[[#This Row],[Level]])))</f>
        <v/>
      </c>
      <c r="BJ195" s="43" t="n">
        <f aca="false">ROW()-ROW(Tasks[[#Headers],[ID]])</f>
        <v>190</v>
      </c>
      <c r="BK19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95" s="43" t="n">
        <f aca="false">IFERROR(N(INDEX(Tasks[_Level],Tasks[[#This Row],[_Row]]+1)),0)</f>
        <v>0</v>
      </c>
      <c r="BM195" s="86" t="b">
        <f aca="false">AND(Tasks[[#This Row],[Task Name]]&lt;&gt;"",Tasks[[#This Row],[_NextLevel]]&gt;Tasks[[#This Row],[_Level]])</f>
        <v>0</v>
      </c>
      <c r="BN195" s="43" t="n">
        <f aca="false">IF(Tasks[[#This Row],[_IsSummary]],COUNTIF(Tasks[WBS],Tasks[[#This Row],[WBS]]&amp;".*"),0)</f>
        <v>0</v>
      </c>
      <c r="BO195" s="43" t="n">
        <f aca="false">IF(AND(Tasks[[#This Row],[Task Name]]&lt;&gt;"",NOT(Tasks[[#This Row],[_IsSummary]])),1,0)</f>
        <v>0</v>
      </c>
      <c r="BP195" s="43" t="n">
        <f aca="false">IF(N(Tasks[[#This Row],[Pred1 UID]])=0,0,IFERROR(MATCH(Tasks[[#This Row],[Pred1 UID]],Tasks[UID],0),-1))</f>
        <v>0</v>
      </c>
      <c r="BQ195" s="43" t="n">
        <f aca="false">IF(N(Tasks[[#This Row],[Pred2 UID]])=0,0,IFERROR(MATCH(Tasks[[#This Row],[Pred2 UID]],Tasks[UID],0),-1))</f>
        <v>0</v>
      </c>
      <c r="BR19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9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9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9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95" s="43" t="n">
        <f aca="false">IF(NOT(Tasks[[#This Row],[_IsLeaf]]=1),0,IF(N(Tasks[[#This Row],[Actual Finish]])&gt;0,1,MIN(1,N(Tasks[[#This Row],[% Complete]]))))</f>
        <v>0</v>
      </c>
      <c r="BW19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95" s="43" t="n">
        <f aca="false">IF(Tasks[[#This Row],[_LeafWork]]=0,0,Tasks[[#This Row],[_LeafWork]]*IFERROR(INDEX(res_Rate,MATCH(Tasks[[#This Row],[Resource]],res_Name,0)),0))</f>
        <v>0</v>
      </c>
      <c r="BY19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9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9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9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95" s="43" t="n">
        <f aca="false">IF(NOT(Tasks[[#This Row],[_IsLeaf]]=1),0,MAX(_xlfn.MAXIFS(Tasks[_Row],Tasks[Pred1 UID],Tasks[[#This Row],[UID]]),_xlfn.MAXIFS(Tasks[_Row],Tasks[Pred2 UID],Tasks[[#This Row],[UID]])))</f>
        <v>0</v>
      </c>
      <c r="CD19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95" s="87" t="str">
        <f aca="false">IF(NOT(Tasks[[#This Row],[_IsLeaf]]=1),"",MIN(ProjectFinish,IF(N(Tasks[[#This Row],[Deadline]])&gt;0,Tasks[[#This Row],[Deadline]],2958465),Tasks[[#This Row],[_SuccessorFinishLimit]]))</f>
        <v/>
      </c>
      <c r="CF19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9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95" s="86" t="b">
        <f aca="false">AND(Tasks[[#This Row],[_IsLeaf]]=1,Tasks[[#This Row],[_LeafProgress]]&lt;1,N(Tasks[[#This Row],[_LeafTotalSlack]])&lt;=CriticalSlackDays)</f>
        <v>0</v>
      </c>
      <c r="CI19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9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9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9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9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9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9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9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95" s="43" t="n">
        <f aca="false">IF(AND(Tasks[[#This Row],[_IsLeaf]]=1,Tasks[[#This Row],[_LeafWork]]&gt;0),NETWORKDAYS.INTL(ProjectStart,Tasks[[#This Row],[_LeafFcstStart]],WorkWeek,Holidays),0)</f>
        <v>0</v>
      </c>
      <c r="CR19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95" s="43" t="n">
        <f aca="false">IF(AND(Tasks[[#This Row],[_IsLeaf]]=1,Tasks[[#This Row],[_LeafWork]]&gt;0),Tasks[[#This Row],[_LeafWork]]/(Tasks[[#This Row],[_FinishWorkday]]-Tasks[[#This Row],[_StartWorkday]]+1),0)</f>
        <v>0</v>
      </c>
      <c r="CT195" s="43" t="n">
        <f aca="false">Tasks[[#This Row],[_WorkPerWorkday]]*(Tasks[[#This Row],[_StartWorkday]]-1)</f>
        <v>-0</v>
      </c>
      <c r="CU195" s="43" t="n">
        <f aca="false">IF(Tasks[[#This Row],[_IsLeaf]]=1,MAX(N(Tasks[[#This Row],[Duration]]),0.1),0)</f>
        <v>0</v>
      </c>
      <c r="CV195" s="43" t="n">
        <f aca="false">Tasks[[#This Row],[_WeightDur]]*Tasks[[#This Row],[_LeafProgress]]</f>
        <v>0</v>
      </c>
      <c r="CW19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9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9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9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9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95" s="43" t="str">
        <f aca="false">IF(AND(Tasks[[#This Row],[_IsLeaf]]=1,N(Tasks[[#This Row],[Duration]])=0,Tasks[[#This Row],[_LeafProgress]]&lt;1),Tasks[[#This Row],[_LeafFcstFinish]]+Tasks[[#This Row],[_Row]]/100000,"")</f>
        <v/>
      </c>
      <c r="DC19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95" s="43" t="n">
        <f aca="false">IF(NOT(Tasks[[#This Row],[_IsLeaf]]=1),0,IF(Tasks[[#This Row],[Baseline Cost]]="",Tasks[[#This Row],[_LeafCost]],N(Tasks[[#This Row],[Baseline Cost]])))</f>
        <v>0</v>
      </c>
      <c r="DE195" s="43" t="n">
        <f aca="false">Tasks[[#This Row],[_LeafBudget]]*Tasks[[#This Row],[_PlannedPct]]</f>
        <v>0</v>
      </c>
      <c r="DF195" s="43" t="n">
        <f aca="false">Tasks[[#This Row],[_LeafBudget]]*Tasks[[#This Row],[_LeafProgress]]</f>
        <v>0</v>
      </c>
      <c r="DG195" s="43" t="n">
        <f aca="false">IF(NOT(Tasks[[#This Row],[_IsLeaf]]=1),0,IF(Tasks[[#This Row],[Actual Cost]]="",Tasks[[#This Row],[_LeafCost]]*Tasks[[#This Row],[_LeafProgress]],N(Tasks[[#This Row],[Actual Cost]])))</f>
        <v>0</v>
      </c>
      <c r="DH195" s="43" t="str">
        <f aca="false">IF(Tasks[[#This Row],[Task Name]]="","",LEFT(Tasks[[#This Row],[WBS]],FIND(".",Tasks[[#This Row],[WBS]]&amp;".")-1))</f>
        <v/>
      </c>
      <c r="DI195" s="43" t="str">
        <f aca="false">IF(AND(Tasks[[#This Row],[Task Name]]&lt;&gt;"",Tasks[[#This Row],[_Level]]=1),Tasks[[#This Row],[_Row]],"")</f>
        <v/>
      </c>
      <c r="DJ195" s="43" t="str">
        <f aca="false">IF(AND(Tasks[[#This Row],[_IsLeaf]]=1,N(Tasks[[#This Row],[Duration]])=0),Tasks[[#This Row],[Planned Finish]]+Tasks[[#This Row],[_Row]]/100000,"")</f>
        <v/>
      </c>
      <c r="DK19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9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9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95" s="43" t="str">
        <f aca="false">IF(Tasks[[#This Row],[_LeafCritical]],Tasks[[#This Row],[_LeafFcstStart]]+Tasks[[#This Row],[_Row]]/100000,"")</f>
        <v/>
      </c>
      <c r="DO195" s="43" t="n">
        <f aca="false">Tasks[[#This Row],[_LeafWork]]*Tasks[[#This Row],[_LeafProgress]]</f>
        <v>0</v>
      </c>
      <c r="DP19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95" s="43" t="n">
        <f aca="false">IF(Tasks[[#This Row],[_IsLeaf]]=1,N(Tasks[[#This Row],[Story Points]]),0)</f>
        <v>0</v>
      </c>
      <c r="DR195" s="43" t="str">
        <f aca="false">IF(AND(Tasks[[#This Row],[_IsLeaf]]=1,CurrentSprint&lt;&gt;"",Tasks[[#This Row],[Sprint]]=CurrentSprint),Tasks[[#This Row],[_Row]],"")</f>
        <v/>
      </c>
    </row>
    <row r="196" customFormat="false" ht="15" hidden="false" customHeight="false" outlineLevel="0" collapsed="false">
      <c r="A196" s="28" t="str">
        <f aca="false">IF(Tasks[[#This Row],[Task Name]]="","",COUNTA(Tasks[[#Headers],[Task Name]]:Tasks[[#This Row],[Task Name]])-1)</f>
        <v/>
      </c>
      <c r="B196" s="29" t="n">
        <v>191</v>
      </c>
      <c r="C196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96" s="29"/>
      <c r="E196" s="30"/>
      <c r="F196" s="29"/>
      <c r="G196" s="29"/>
      <c r="H196" s="29"/>
      <c r="I196" s="29"/>
      <c r="J196" s="29"/>
      <c r="K196" s="29"/>
      <c r="L196" s="29"/>
      <c r="M196" s="29"/>
      <c r="N196" s="72"/>
      <c r="O196" s="72"/>
      <c r="P196" s="25" t="str">
        <f aca="false">IF(Tasks[[#This Row],[Task Name]]="","",IF(N(Tasks[[#This Row],[Baseline Start]])&gt;0,Tasks[[#This Row],[Baseline Start]],Tasks[[#This Row],[_CalcStart]]))</f>
        <v/>
      </c>
      <c r="Q196" s="25" t="str">
        <f aca="false">IF(Tasks[[#This Row],[Task Name]]="","",IF(N(Tasks[[#This Row],[Baseline Finish]])&gt;0,Tasks[[#This Row],[Baseline Finish]],Tasks[[#This Row],[_CalcFinish]]))</f>
        <v/>
      </c>
      <c r="R196" s="72"/>
      <c r="S196" s="72"/>
      <c r="T196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96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96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96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96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96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96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96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96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96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96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96" s="74"/>
      <c r="AF196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96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96" s="30"/>
      <c r="AI196" s="74"/>
      <c r="AJ196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96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96" s="83"/>
      <c r="AM196" s="29"/>
      <c r="AN196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96" s="84"/>
      <c r="AP196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96" s="30"/>
      <c r="AR196" s="25" t="str">
        <f aca="false">IF(Tasks[[#This Row],[Task Name]]="","",Tasks[[#This Row],[Forecast Start]])</f>
        <v/>
      </c>
      <c r="AS196" s="25" t="str">
        <f aca="false">IF(Tasks[[#This Row],[Task Name]]="","",Tasks[[#This Row],[Forecast Finish]])</f>
        <v/>
      </c>
      <c r="AT196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96" s="81" t="str">
        <f aca="false">IF(Tasks[[#This Row],[Task Name]]="","",Tasks[[#This Row],[Work]])</f>
        <v/>
      </c>
      <c r="AV196" s="82" t="str">
        <f aca="false">IF(Tasks[[#This Row],[Task Name]]="","",Tasks[[#This Row],[Cost]])</f>
        <v/>
      </c>
      <c r="AW196" s="72"/>
      <c r="AX196" s="72"/>
      <c r="AY196" s="29"/>
      <c r="AZ196" s="85"/>
      <c r="BA196" s="83"/>
      <c r="BB196" s="28" t="str">
        <f aca="false">IF(OR(Tasks[[#This Row],[Task Name]]="",Tasks[[#This Row],[Baseline Duration]]=""),"",Tasks[[#This Row],[BL Source Duration]]-N(Tasks[[#This Row],[Baseline Duration]]))</f>
        <v/>
      </c>
      <c r="BC196" s="81" t="str">
        <f aca="false">IF(OR(Tasks[[#This Row],[Task Name]]="",Tasks[[#This Row],[Baseline Work]]=""),"",Tasks[[#This Row],[Work]]-N(Tasks[[#This Row],[Baseline Work]]))</f>
        <v/>
      </c>
      <c r="BD196" s="82" t="str">
        <f aca="false">IF(OR(Tasks[[#This Row],[Task Name]]="",Tasks[[#This Row],[Baseline Cost]]=""),"",Tasks[[#This Row],[Cost]]-N(Tasks[[#This Row],[Baseline Cost]]))</f>
        <v/>
      </c>
      <c r="BE196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96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96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96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96" s="43" t="str">
        <f aca="false">IF(Tasks[[#This Row],[Task Name]]="","",MAX(1,N(Tasks[[#This Row],[Level]])))</f>
        <v/>
      </c>
      <c r="BJ196" s="43" t="n">
        <f aca="false">ROW()-ROW(Tasks[[#Headers],[ID]])</f>
        <v>191</v>
      </c>
      <c r="BK196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96" s="43" t="n">
        <f aca="false">IFERROR(N(INDEX(Tasks[_Level],Tasks[[#This Row],[_Row]]+1)),0)</f>
        <v>0</v>
      </c>
      <c r="BM196" s="86" t="b">
        <f aca="false">AND(Tasks[[#This Row],[Task Name]]&lt;&gt;"",Tasks[[#This Row],[_NextLevel]]&gt;Tasks[[#This Row],[_Level]])</f>
        <v>0</v>
      </c>
      <c r="BN196" s="43" t="n">
        <f aca="false">IF(Tasks[[#This Row],[_IsSummary]],COUNTIF(Tasks[WBS],Tasks[[#This Row],[WBS]]&amp;".*"),0)</f>
        <v>0</v>
      </c>
      <c r="BO196" s="43" t="n">
        <f aca="false">IF(AND(Tasks[[#This Row],[Task Name]]&lt;&gt;"",NOT(Tasks[[#This Row],[_IsSummary]])),1,0)</f>
        <v>0</v>
      </c>
      <c r="BP196" s="43" t="n">
        <f aca="false">IF(N(Tasks[[#This Row],[Pred1 UID]])=0,0,IFERROR(MATCH(Tasks[[#This Row],[Pred1 UID]],Tasks[UID],0),-1))</f>
        <v>0</v>
      </c>
      <c r="BQ196" s="43" t="n">
        <f aca="false">IF(N(Tasks[[#This Row],[Pred2 UID]])=0,0,IFERROR(MATCH(Tasks[[#This Row],[Pred2 UID]],Tasks[UID],0),-1))</f>
        <v>0</v>
      </c>
      <c r="BR196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96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96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96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96" s="43" t="n">
        <f aca="false">IF(NOT(Tasks[[#This Row],[_IsLeaf]]=1),0,IF(N(Tasks[[#This Row],[Actual Finish]])&gt;0,1,MIN(1,N(Tasks[[#This Row],[% Complete]]))))</f>
        <v>0</v>
      </c>
      <c r="BW196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96" s="43" t="n">
        <f aca="false">IF(Tasks[[#This Row],[_LeafWork]]=0,0,Tasks[[#This Row],[_LeafWork]]*IFERROR(INDEX(res_Rate,MATCH(Tasks[[#This Row],[Resource]],res_Name,0)),0))</f>
        <v>0</v>
      </c>
      <c r="BY196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96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96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96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96" s="43" t="n">
        <f aca="false">IF(NOT(Tasks[[#This Row],[_IsLeaf]]=1),0,MAX(_xlfn.MAXIFS(Tasks[_Row],Tasks[Pred1 UID],Tasks[[#This Row],[UID]]),_xlfn.MAXIFS(Tasks[_Row],Tasks[Pred2 UID],Tasks[[#This Row],[UID]])))</f>
        <v>0</v>
      </c>
      <c r="CD196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96" s="87" t="str">
        <f aca="false">IF(NOT(Tasks[[#This Row],[_IsLeaf]]=1),"",MIN(ProjectFinish,IF(N(Tasks[[#This Row],[Deadline]])&gt;0,Tasks[[#This Row],[Deadline]],2958465),Tasks[[#This Row],[_SuccessorFinishLimit]]))</f>
        <v/>
      </c>
      <c r="CF196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96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96" s="86" t="b">
        <f aca="false">AND(Tasks[[#This Row],[_IsLeaf]]=1,Tasks[[#This Row],[_LeafProgress]]&lt;1,N(Tasks[[#This Row],[_LeafTotalSlack]])&lt;=CriticalSlackDays)</f>
        <v>0</v>
      </c>
      <c r="CI196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96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96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96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9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9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96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96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96" s="43" t="n">
        <f aca="false">IF(AND(Tasks[[#This Row],[_IsLeaf]]=1,Tasks[[#This Row],[_LeafWork]]&gt;0),NETWORKDAYS.INTL(ProjectStart,Tasks[[#This Row],[_LeafFcstStart]],WorkWeek,Holidays),0)</f>
        <v>0</v>
      </c>
      <c r="CR196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96" s="43" t="n">
        <f aca="false">IF(AND(Tasks[[#This Row],[_IsLeaf]]=1,Tasks[[#This Row],[_LeafWork]]&gt;0),Tasks[[#This Row],[_LeafWork]]/(Tasks[[#This Row],[_FinishWorkday]]-Tasks[[#This Row],[_StartWorkday]]+1),0)</f>
        <v>0</v>
      </c>
      <c r="CT196" s="43" t="n">
        <f aca="false">Tasks[[#This Row],[_WorkPerWorkday]]*(Tasks[[#This Row],[_StartWorkday]]-1)</f>
        <v>-0</v>
      </c>
      <c r="CU196" s="43" t="n">
        <f aca="false">IF(Tasks[[#This Row],[_IsLeaf]]=1,MAX(N(Tasks[[#This Row],[Duration]]),0.1),0)</f>
        <v>0</v>
      </c>
      <c r="CV196" s="43" t="n">
        <f aca="false">Tasks[[#This Row],[_WeightDur]]*Tasks[[#This Row],[_LeafProgress]]</f>
        <v>0</v>
      </c>
      <c r="CW196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96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96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96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96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96" s="43" t="str">
        <f aca="false">IF(AND(Tasks[[#This Row],[_IsLeaf]]=1,N(Tasks[[#This Row],[Duration]])=0,Tasks[[#This Row],[_LeafProgress]]&lt;1),Tasks[[#This Row],[_LeafFcstFinish]]+Tasks[[#This Row],[_Row]]/100000,"")</f>
        <v/>
      </c>
      <c r="DC196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96" s="43" t="n">
        <f aca="false">IF(NOT(Tasks[[#This Row],[_IsLeaf]]=1),0,IF(Tasks[[#This Row],[Baseline Cost]]="",Tasks[[#This Row],[_LeafCost]],N(Tasks[[#This Row],[Baseline Cost]])))</f>
        <v>0</v>
      </c>
      <c r="DE196" s="43" t="n">
        <f aca="false">Tasks[[#This Row],[_LeafBudget]]*Tasks[[#This Row],[_PlannedPct]]</f>
        <v>0</v>
      </c>
      <c r="DF196" s="43" t="n">
        <f aca="false">Tasks[[#This Row],[_LeafBudget]]*Tasks[[#This Row],[_LeafProgress]]</f>
        <v>0</v>
      </c>
      <c r="DG196" s="43" t="n">
        <f aca="false">IF(NOT(Tasks[[#This Row],[_IsLeaf]]=1),0,IF(Tasks[[#This Row],[Actual Cost]]="",Tasks[[#This Row],[_LeafCost]]*Tasks[[#This Row],[_LeafProgress]],N(Tasks[[#This Row],[Actual Cost]])))</f>
        <v>0</v>
      </c>
      <c r="DH196" s="43" t="str">
        <f aca="false">IF(Tasks[[#This Row],[Task Name]]="","",LEFT(Tasks[[#This Row],[WBS]],FIND(".",Tasks[[#This Row],[WBS]]&amp;".")-1))</f>
        <v/>
      </c>
      <c r="DI196" s="43" t="str">
        <f aca="false">IF(AND(Tasks[[#This Row],[Task Name]]&lt;&gt;"",Tasks[[#This Row],[_Level]]=1),Tasks[[#This Row],[_Row]],"")</f>
        <v/>
      </c>
      <c r="DJ196" s="43" t="str">
        <f aca="false">IF(AND(Tasks[[#This Row],[_IsLeaf]]=1,N(Tasks[[#This Row],[Duration]])=0),Tasks[[#This Row],[Planned Finish]]+Tasks[[#This Row],[_Row]]/100000,"")</f>
        <v/>
      </c>
      <c r="DK196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96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96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96" s="43" t="str">
        <f aca="false">IF(Tasks[[#This Row],[_LeafCritical]],Tasks[[#This Row],[_LeafFcstStart]]+Tasks[[#This Row],[_Row]]/100000,"")</f>
        <v/>
      </c>
      <c r="DO196" s="43" t="n">
        <f aca="false">Tasks[[#This Row],[_LeafWork]]*Tasks[[#This Row],[_LeafProgress]]</f>
        <v>0</v>
      </c>
      <c r="DP196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96" s="43" t="n">
        <f aca="false">IF(Tasks[[#This Row],[_IsLeaf]]=1,N(Tasks[[#This Row],[Story Points]]),0)</f>
        <v>0</v>
      </c>
      <c r="DR196" s="43" t="str">
        <f aca="false">IF(AND(Tasks[[#This Row],[_IsLeaf]]=1,CurrentSprint&lt;&gt;"",Tasks[[#This Row],[Sprint]]=CurrentSprint),Tasks[[#This Row],[_Row]],"")</f>
        <v/>
      </c>
    </row>
    <row r="197" customFormat="false" ht="15" hidden="false" customHeight="false" outlineLevel="0" collapsed="false">
      <c r="A197" s="28" t="str">
        <f aca="false">IF(Tasks[[#This Row],[Task Name]]="","",COUNTA(Tasks[[#Headers],[Task Name]]:Tasks[[#This Row],[Task Name]])-1)</f>
        <v/>
      </c>
      <c r="B197" s="29" t="n">
        <v>192</v>
      </c>
      <c r="C197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97" s="29"/>
      <c r="E197" s="30"/>
      <c r="F197" s="29"/>
      <c r="G197" s="29"/>
      <c r="H197" s="29"/>
      <c r="I197" s="29"/>
      <c r="J197" s="29"/>
      <c r="K197" s="29"/>
      <c r="L197" s="29"/>
      <c r="M197" s="29"/>
      <c r="N197" s="72"/>
      <c r="O197" s="72"/>
      <c r="P197" s="25" t="str">
        <f aca="false">IF(Tasks[[#This Row],[Task Name]]="","",IF(N(Tasks[[#This Row],[Baseline Start]])&gt;0,Tasks[[#This Row],[Baseline Start]],Tasks[[#This Row],[_CalcStart]]))</f>
        <v/>
      </c>
      <c r="Q197" s="25" t="str">
        <f aca="false">IF(Tasks[[#This Row],[Task Name]]="","",IF(N(Tasks[[#This Row],[Baseline Finish]])&gt;0,Tasks[[#This Row],[Baseline Finish]],Tasks[[#This Row],[_CalcFinish]]))</f>
        <v/>
      </c>
      <c r="R197" s="72"/>
      <c r="S197" s="72"/>
      <c r="T197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97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97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97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97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97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97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97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97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97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97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97" s="74"/>
      <c r="AF197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97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97" s="30"/>
      <c r="AI197" s="74"/>
      <c r="AJ197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97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97" s="83"/>
      <c r="AM197" s="29"/>
      <c r="AN197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97" s="84"/>
      <c r="AP197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97" s="30"/>
      <c r="AR197" s="25" t="str">
        <f aca="false">IF(Tasks[[#This Row],[Task Name]]="","",Tasks[[#This Row],[Forecast Start]])</f>
        <v/>
      </c>
      <c r="AS197" s="25" t="str">
        <f aca="false">IF(Tasks[[#This Row],[Task Name]]="","",Tasks[[#This Row],[Forecast Finish]])</f>
        <v/>
      </c>
      <c r="AT197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97" s="81" t="str">
        <f aca="false">IF(Tasks[[#This Row],[Task Name]]="","",Tasks[[#This Row],[Work]])</f>
        <v/>
      </c>
      <c r="AV197" s="82" t="str">
        <f aca="false">IF(Tasks[[#This Row],[Task Name]]="","",Tasks[[#This Row],[Cost]])</f>
        <v/>
      </c>
      <c r="AW197" s="72"/>
      <c r="AX197" s="72"/>
      <c r="AY197" s="29"/>
      <c r="AZ197" s="85"/>
      <c r="BA197" s="83"/>
      <c r="BB197" s="28" t="str">
        <f aca="false">IF(OR(Tasks[[#This Row],[Task Name]]="",Tasks[[#This Row],[Baseline Duration]]=""),"",Tasks[[#This Row],[BL Source Duration]]-N(Tasks[[#This Row],[Baseline Duration]]))</f>
        <v/>
      </c>
      <c r="BC197" s="81" t="str">
        <f aca="false">IF(OR(Tasks[[#This Row],[Task Name]]="",Tasks[[#This Row],[Baseline Work]]=""),"",Tasks[[#This Row],[Work]]-N(Tasks[[#This Row],[Baseline Work]]))</f>
        <v/>
      </c>
      <c r="BD197" s="82" t="str">
        <f aca="false">IF(OR(Tasks[[#This Row],[Task Name]]="",Tasks[[#This Row],[Baseline Cost]]=""),"",Tasks[[#This Row],[Cost]]-N(Tasks[[#This Row],[Baseline Cost]]))</f>
        <v/>
      </c>
      <c r="BE197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97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97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97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97" s="43" t="str">
        <f aca="false">IF(Tasks[[#This Row],[Task Name]]="","",MAX(1,N(Tasks[[#This Row],[Level]])))</f>
        <v/>
      </c>
      <c r="BJ197" s="43" t="n">
        <f aca="false">ROW()-ROW(Tasks[[#Headers],[ID]])</f>
        <v>192</v>
      </c>
      <c r="BK197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97" s="43" t="n">
        <f aca="false">IFERROR(N(INDEX(Tasks[_Level],Tasks[[#This Row],[_Row]]+1)),0)</f>
        <v>0</v>
      </c>
      <c r="BM197" s="86" t="b">
        <f aca="false">AND(Tasks[[#This Row],[Task Name]]&lt;&gt;"",Tasks[[#This Row],[_NextLevel]]&gt;Tasks[[#This Row],[_Level]])</f>
        <v>0</v>
      </c>
      <c r="BN197" s="43" t="n">
        <f aca="false">IF(Tasks[[#This Row],[_IsSummary]],COUNTIF(Tasks[WBS],Tasks[[#This Row],[WBS]]&amp;".*"),0)</f>
        <v>0</v>
      </c>
      <c r="BO197" s="43" t="n">
        <f aca="false">IF(AND(Tasks[[#This Row],[Task Name]]&lt;&gt;"",NOT(Tasks[[#This Row],[_IsSummary]])),1,0)</f>
        <v>0</v>
      </c>
      <c r="BP197" s="43" t="n">
        <f aca="false">IF(N(Tasks[[#This Row],[Pred1 UID]])=0,0,IFERROR(MATCH(Tasks[[#This Row],[Pred1 UID]],Tasks[UID],0),-1))</f>
        <v>0</v>
      </c>
      <c r="BQ197" s="43" t="n">
        <f aca="false">IF(N(Tasks[[#This Row],[Pred2 UID]])=0,0,IFERROR(MATCH(Tasks[[#This Row],[Pred2 UID]],Tasks[UID],0),-1))</f>
        <v>0</v>
      </c>
      <c r="BR197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97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97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97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97" s="43" t="n">
        <f aca="false">IF(NOT(Tasks[[#This Row],[_IsLeaf]]=1),0,IF(N(Tasks[[#This Row],[Actual Finish]])&gt;0,1,MIN(1,N(Tasks[[#This Row],[% Complete]]))))</f>
        <v>0</v>
      </c>
      <c r="BW197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97" s="43" t="n">
        <f aca="false">IF(Tasks[[#This Row],[_LeafWork]]=0,0,Tasks[[#This Row],[_LeafWork]]*IFERROR(INDEX(res_Rate,MATCH(Tasks[[#This Row],[Resource]],res_Name,0)),0))</f>
        <v>0</v>
      </c>
      <c r="BY197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97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97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97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97" s="43" t="n">
        <f aca="false">IF(NOT(Tasks[[#This Row],[_IsLeaf]]=1),0,MAX(_xlfn.MAXIFS(Tasks[_Row],Tasks[Pred1 UID],Tasks[[#This Row],[UID]]),_xlfn.MAXIFS(Tasks[_Row],Tasks[Pred2 UID],Tasks[[#This Row],[UID]])))</f>
        <v>0</v>
      </c>
      <c r="CD197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97" s="87" t="str">
        <f aca="false">IF(NOT(Tasks[[#This Row],[_IsLeaf]]=1),"",MIN(ProjectFinish,IF(N(Tasks[[#This Row],[Deadline]])&gt;0,Tasks[[#This Row],[Deadline]],2958465),Tasks[[#This Row],[_SuccessorFinishLimit]]))</f>
        <v/>
      </c>
      <c r="CF197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97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97" s="86" t="b">
        <f aca="false">AND(Tasks[[#This Row],[_IsLeaf]]=1,Tasks[[#This Row],[_LeafProgress]]&lt;1,N(Tasks[[#This Row],[_LeafTotalSlack]])&lt;=CriticalSlackDays)</f>
        <v>0</v>
      </c>
      <c r="CI197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97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97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97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9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9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97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97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97" s="43" t="n">
        <f aca="false">IF(AND(Tasks[[#This Row],[_IsLeaf]]=1,Tasks[[#This Row],[_LeafWork]]&gt;0),NETWORKDAYS.INTL(ProjectStart,Tasks[[#This Row],[_LeafFcstStart]],WorkWeek,Holidays),0)</f>
        <v>0</v>
      </c>
      <c r="CR197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97" s="43" t="n">
        <f aca="false">IF(AND(Tasks[[#This Row],[_IsLeaf]]=1,Tasks[[#This Row],[_LeafWork]]&gt;0),Tasks[[#This Row],[_LeafWork]]/(Tasks[[#This Row],[_FinishWorkday]]-Tasks[[#This Row],[_StartWorkday]]+1),0)</f>
        <v>0</v>
      </c>
      <c r="CT197" s="43" t="n">
        <f aca="false">Tasks[[#This Row],[_WorkPerWorkday]]*(Tasks[[#This Row],[_StartWorkday]]-1)</f>
        <v>-0</v>
      </c>
      <c r="CU197" s="43" t="n">
        <f aca="false">IF(Tasks[[#This Row],[_IsLeaf]]=1,MAX(N(Tasks[[#This Row],[Duration]]),0.1),0)</f>
        <v>0</v>
      </c>
      <c r="CV197" s="43" t="n">
        <f aca="false">Tasks[[#This Row],[_WeightDur]]*Tasks[[#This Row],[_LeafProgress]]</f>
        <v>0</v>
      </c>
      <c r="CW197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97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97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97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97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97" s="43" t="str">
        <f aca="false">IF(AND(Tasks[[#This Row],[_IsLeaf]]=1,N(Tasks[[#This Row],[Duration]])=0,Tasks[[#This Row],[_LeafProgress]]&lt;1),Tasks[[#This Row],[_LeafFcstFinish]]+Tasks[[#This Row],[_Row]]/100000,"")</f>
        <v/>
      </c>
      <c r="DC197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97" s="43" t="n">
        <f aca="false">IF(NOT(Tasks[[#This Row],[_IsLeaf]]=1),0,IF(Tasks[[#This Row],[Baseline Cost]]="",Tasks[[#This Row],[_LeafCost]],N(Tasks[[#This Row],[Baseline Cost]])))</f>
        <v>0</v>
      </c>
      <c r="DE197" s="43" t="n">
        <f aca="false">Tasks[[#This Row],[_LeafBudget]]*Tasks[[#This Row],[_PlannedPct]]</f>
        <v>0</v>
      </c>
      <c r="DF197" s="43" t="n">
        <f aca="false">Tasks[[#This Row],[_LeafBudget]]*Tasks[[#This Row],[_LeafProgress]]</f>
        <v>0</v>
      </c>
      <c r="DG197" s="43" t="n">
        <f aca="false">IF(NOT(Tasks[[#This Row],[_IsLeaf]]=1),0,IF(Tasks[[#This Row],[Actual Cost]]="",Tasks[[#This Row],[_LeafCost]]*Tasks[[#This Row],[_LeafProgress]],N(Tasks[[#This Row],[Actual Cost]])))</f>
        <v>0</v>
      </c>
      <c r="DH197" s="43" t="str">
        <f aca="false">IF(Tasks[[#This Row],[Task Name]]="","",LEFT(Tasks[[#This Row],[WBS]],FIND(".",Tasks[[#This Row],[WBS]]&amp;".")-1))</f>
        <v/>
      </c>
      <c r="DI197" s="43" t="str">
        <f aca="false">IF(AND(Tasks[[#This Row],[Task Name]]&lt;&gt;"",Tasks[[#This Row],[_Level]]=1),Tasks[[#This Row],[_Row]],"")</f>
        <v/>
      </c>
      <c r="DJ197" s="43" t="str">
        <f aca="false">IF(AND(Tasks[[#This Row],[_IsLeaf]]=1,N(Tasks[[#This Row],[Duration]])=0),Tasks[[#This Row],[Planned Finish]]+Tasks[[#This Row],[_Row]]/100000,"")</f>
        <v/>
      </c>
      <c r="DK197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97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97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97" s="43" t="str">
        <f aca="false">IF(Tasks[[#This Row],[_LeafCritical]],Tasks[[#This Row],[_LeafFcstStart]]+Tasks[[#This Row],[_Row]]/100000,"")</f>
        <v/>
      </c>
      <c r="DO197" s="43" t="n">
        <f aca="false">Tasks[[#This Row],[_LeafWork]]*Tasks[[#This Row],[_LeafProgress]]</f>
        <v>0</v>
      </c>
      <c r="DP197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97" s="43" t="n">
        <f aca="false">IF(Tasks[[#This Row],[_IsLeaf]]=1,N(Tasks[[#This Row],[Story Points]]),0)</f>
        <v>0</v>
      </c>
      <c r="DR197" s="43" t="str">
        <f aca="false">IF(AND(Tasks[[#This Row],[_IsLeaf]]=1,CurrentSprint&lt;&gt;"",Tasks[[#This Row],[Sprint]]=CurrentSprint),Tasks[[#This Row],[_Row]],"")</f>
        <v/>
      </c>
    </row>
    <row r="198" customFormat="false" ht="15" hidden="false" customHeight="false" outlineLevel="0" collapsed="false">
      <c r="A198" s="28" t="str">
        <f aca="false">IF(Tasks[[#This Row],[Task Name]]="","",COUNTA(Tasks[[#Headers],[Task Name]]:Tasks[[#This Row],[Task Name]])-1)</f>
        <v/>
      </c>
      <c r="B198" s="29" t="n">
        <v>193</v>
      </c>
      <c r="C198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98" s="29"/>
      <c r="E198" s="30"/>
      <c r="F198" s="29"/>
      <c r="G198" s="29"/>
      <c r="H198" s="29"/>
      <c r="I198" s="29"/>
      <c r="J198" s="29"/>
      <c r="K198" s="29"/>
      <c r="L198" s="29"/>
      <c r="M198" s="29"/>
      <c r="N198" s="72"/>
      <c r="O198" s="72"/>
      <c r="P198" s="25" t="str">
        <f aca="false">IF(Tasks[[#This Row],[Task Name]]="","",IF(N(Tasks[[#This Row],[Baseline Start]])&gt;0,Tasks[[#This Row],[Baseline Start]],Tasks[[#This Row],[_CalcStart]]))</f>
        <v/>
      </c>
      <c r="Q198" s="25" t="str">
        <f aca="false">IF(Tasks[[#This Row],[Task Name]]="","",IF(N(Tasks[[#This Row],[Baseline Finish]])&gt;0,Tasks[[#This Row],[Baseline Finish]],Tasks[[#This Row],[_CalcFinish]]))</f>
        <v/>
      </c>
      <c r="R198" s="72"/>
      <c r="S198" s="72"/>
      <c r="T198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98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98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98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98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98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98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98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98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98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98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98" s="74"/>
      <c r="AF198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98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98" s="30"/>
      <c r="AI198" s="74"/>
      <c r="AJ198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98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98" s="83"/>
      <c r="AM198" s="29"/>
      <c r="AN198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98" s="84"/>
      <c r="AP198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98" s="30"/>
      <c r="AR198" s="25" t="str">
        <f aca="false">IF(Tasks[[#This Row],[Task Name]]="","",Tasks[[#This Row],[Forecast Start]])</f>
        <v/>
      </c>
      <c r="AS198" s="25" t="str">
        <f aca="false">IF(Tasks[[#This Row],[Task Name]]="","",Tasks[[#This Row],[Forecast Finish]])</f>
        <v/>
      </c>
      <c r="AT198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98" s="81" t="str">
        <f aca="false">IF(Tasks[[#This Row],[Task Name]]="","",Tasks[[#This Row],[Work]])</f>
        <v/>
      </c>
      <c r="AV198" s="82" t="str">
        <f aca="false">IF(Tasks[[#This Row],[Task Name]]="","",Tasks[[#This Row],[Cost]])</f>
        <v/>
      </c>
      <c r="AW198" s="72"/>
      <c r="AX198" s="72"/>
      <c r="AY198" s="29"/>
      <c r="AZ198" s="85"/>
      <c r="BA198" s="83"/>
      <c r="BB198" s="28" t="str">
        <f aca="false">IF(OR(Tasks[[#This Row],[Task Name]]="",Tasks[[#This Row],[Baseline Duration]]=""),"",Tasks[[#This Row],[BL Source Duration]]-N(Tasks[[#This Row],[Baseline Duration]]))</f>
        <v/>
      </c>
      <c r="BC198" s="81" t="str">
        <f aca="false">IF(OR(Tasks[[#This Row],[Task Name]]="",Tasks[[#This Row],[Baseline Work]]=""),"",Tasks[[#This Row],[Work]]-N(Tasks[[#This Row],[Baseline Work]]))</f>
        <v/>
      </c>
      <c r="BD198" s="82" t="str">
        <f aca="false">IF(OR(Tasks[[#This Row],[Task Name]]="",Tasks[[#This Row],[Baseline Cost]]=""),"",Tasks[[#This Row],[Cost]]-N(Tasks[[#This Row],[Baseline Cost]]))</f>
        <v/>
      </c>
      <c r="BE198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98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98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98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98" s="43" t="str">
        <f aca="false">IF(Tasks[[#This Row],[Task Name]]="","",MAX(1,N(Tasks[[#This Row],[Level]])))</f>
        <v/>
      </c>
      <c r="BJ198" s="43" t="n">
        <f aca="false">ROW()-ROW(Tasks[[#Headers],[ID]])</f>
        <v>193</v>
      </c>
      <c r="BK198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98" s="43" t="n">
        <f aca="false">IFERROR(N(INDEX(Tasks[_Level],Tasks[[#This Row],[_Row]]+1)),0)</f>
        <v>0</v>
      </c>
      <c r="BM198" s="86" t="b">
        <f aca="false">AND(Tasks[[#This Row],[Task Name]]&lt;&gt;"",Tasks[[#This Row],[_NextLevel]]&gt;Tasks[[#This Row],[_Level]])</f>
        <v>0</v>
      </c>
      <c r="BN198" s="43" t="n">
        <f aca="false">IF(Tasks[[#This Row],[_IsSummary]],COUNTIF(Tasks[WBS],Tasks[[#This Row],[WBS]]&amp;".*"),0)</f>
        <v>0</v>
      </c>
      <c r="BO198" s="43" t="n">
        <f aca="false">IF(AND(Tasks[[#This Row],[Task Name]]&lt;&gt;"",NOT(Tasks[[#This Row],[_IsSummary]])),1,0)</f>
        <v>0</v>
      </c>
      <c r="BP198" s="43" t="n">
        <f aca="false">IF(N(Tasks[[#This Row],[Pred1 UID]])=0,0,IFERROR(MATCH(Tasks[[#This Row],[Pred1 UID]],Tasks[UID],0),-1))</f>
        <v>0</v>
      </c>
      <c r="BQ198" s="43" t="n">
        <f aca="false">IF(N(Tasks[[#This Row],[Pred2 UID]])=0,0,IFERROR(MATCH(Tasks[[#This Row],[Pred2 UID]],Tasks[UID],0),-1))</f>
        <v>0</v>
      </c>
      <c r="BR198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98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98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98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98" s="43" t="n">
        <f aca="false">IF(NOT(Tasks[[#This Row],[_IsLeaf]]=1),0,IF(N(Tasks[[#This Row],[Actual Finish]])&gt;0,1,MIN(1,N(Tasks[[#This Row],[% Complete]]))))</f>
        <v>0</v>
      </c>
      <c r="BW198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98" s="43" t="n">
        <f aca="false">IF(Tasks[[#This Row],[_LeafWork]]=0,0,Tasks[[#This Row],[_LeafWork]]*IFERROR(INDEX(res_Rate,MATCH(Tasks[[#This Row],[Resource]],res_Name,0)),0))</f>
        <v>0</v>
      </c>
      <c r="BY198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98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98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98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98" s="43" t="n">
        <f aca="false">IF(NOT(Tasks[[#This Row],[_IsLeaf]]=1),0,MAX(_xlfn.MAXIFS(Tasks[_Row],Tasks[Pred1 UID],Tasks[[#This Row],[UID]]),_xlfn.MAXIFS(Tasks[_Row],Tasks[Pred2 UID],Tasks[[#This Row],[UID]])))</f>
        <v>0</v>
      </c>
      <c r="CD198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98" s="87" t="str">
        <f aca="false">IF(NOT(Tasks[[#This Row],[_IsLeaf]]=1),"",MIN(ProjectFinish,IF(N(Tasks[[#This Row],[Deadline]])&gt;0,Tasks[[#This Row],[Deadline]],2958465),Tasks[[#This Row],[_SuccessorFinishLimit]]))</f>
        <v/>
      </c>
      <c r="CF198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98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98" s="86" t="b">
        <f aca="false">AND(Tasks[[#This Row],[_IsLeaf]]=1,Tasks[[#This Row],[_LeafProgress]]&lt;1,N(Tasks[[#This Row],[_LeafTotalSlack]])&lt;=CriticalSlackDays)</f>
        <v>0</v>
      </c>
      <c r="CI198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98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98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98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9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9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98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98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98" s="43" t="n">
        <f aca="false">IF(AND(Tasks[[#This Row],[_IsLeaf]]=1,Tasks[[#This Row],[_LeafWork]]&gt;0),NETWORKDAYS.INTL(ProjectStart,Tasks[[#This Row],[_LeafFcstStart]],WorkWeek,Holidays),0)</f>
        <v>0</v>
      </c>
      <c r="CR198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98" s="43" t="n">
        <f aca="false">IF(AND(Tasks[[#This Row],[_IsLeaf]]=1,Tasks[[#This Row],[_LeafWork]]&gt;0),Tasks[[#This Row],[_LeafWork]]/(Tasks[[#This Row],[_FinishWorkday]]-Tasks[[#This Row],[_StartWorkday]]+1),0)</f>
        <v>0</v>
      </c>
      <c r="CT198" s="43" t="n">
        <f aca="false">Tasks[[#This Row],[_WorkPerWorkday]]*(Tasks[[#This Row],[_StartWorkday]]-1)</f>
        <v>-0</v>
      </c>
      <c r="CU198" s="43" t="n">
        <f aca="false">IF(Tasks[[#This Row],[_IsLeaf]]=1,MAX(N(Tasks[[#This Row],[Duration]]),0.1),0)</f>
        <v>0</v>
      </c>
      <c r="CV198" s="43" t="n">
        <f aca="false">Tasks[[#This Row],[_WeightDur]]*Tasks[[#This Row],[_LeafProgress]]</f>
        <v>0</v>
      </c>
      <c r="CW198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98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98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98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98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98" s="43" t="str">
        <f aca="false">IF(AND(Tasks[[#This Row],[_IsLeaf]]=1,N(Tasks[[#This Row],[Duration]])=0,Tasks[[#This Row],[_LeafProgress]]&lt;1),Tasks[[#This Row],[_LeafFcstFinish]]+Tasks[[#This Row],[_Row]]/100000,"")</f>
        <v/>
      </c>
      <c r="DC198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98" s="43" t="n">
        <f aca="false">IF(NOT(Tasks[[#This Row],[_IsLeaf]]=1),0,IF(Tasks[[#This Row],[Baseline Cost]]="",Tasks[[#This Row],[_LeafCost]],N(Tasks[[#This Row],[Baseline Cost]])))</f>
        <v>0</v>
      </c>
      <c r="DE198" s="43" t="n">
        <f aca="false">Tasks[[#This Row],[_LeafBudget]]*Tasks[[#This Row],[_PlannedPct]]</f>
        <v>0</v>
      </c>
      <c r="DF198" s="43" t="n">
        <f aca="false">Tasks[[#This Row],[_LeafBudget]]*Tasks[[#This Row],[_LeafProgress]]</f>
        <v>0</v>
      </c>
      <c r="DG198" s="43" t="n">
        <f aca="false">IF(NOT(Tasks[[#This Row],[_IsLeaf]]=1),0,IF(Tasks[[#This Row],[Actual Cost]]="",Tasks[[#This Row],[_LeafCost]]*Tasks[[#This Row],[_LeafProgress]],N(Tasks[[#This Row],[Actual Cost]])))</f>
        <v>0</v>
      </c>
      <c r="DH198" s="43" t="str">
        <f aca="false">IF(Tasks[[#This Row],[Task Name]]="","",LEFT(Tasks[[#This Row],[WBS]],FIND(".",Tasks[[#This Row],[WBS]]&amp;".")-1))</f>
        <v/>
      </c>
      <c r="DI198" s="43" t="str">
        <f aca="false">IF(AND(Tasks[[#This Row],[Task Name]]&lt;&gt;"",Tasks[[#This Row],[_Level]]=1),Tasks[[#This Row],[_Row]],"")</f>
        <v/>
      </c>
      <c r="DJ198" s="43" t="str">
        <f aca="false">IF(AND(Tasks[[#This Row],[_IsLeaf]]=1,N(Tasks[[#This Row],[Duration]])=0),Tasks[[#This Row],[Planned Finish]]+Tasks[[#This Row],[_Row]]/100000,"")</f>
        <v/>
      </c>
      <c r="DK198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98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98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98" s="43" t="str">
        <f aca="false">IF(Tasks[[#This Row],[_LeafCritical]],Tasks[[#This Row],[_LeafFcstStart]]+Tasks[[#This Row],[_Row]]/100000,"")</f>
        <v/>
      </c>
      <c r="DO198" s="43" t="n">
        <f aca="false">Tasks[[#This Row],[_LeafWork]]*Tasks[[#This Row],[_LeafProgress]]</f>
        <v>0</v>
      </c>
      <c r="DP198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98" s="43" t="n">
        <f aca="false">IF(Tasks[[#This Row],[_IsLeaf]]=1,N(Tasks[[#This Row],[Story Points]]),0)</f>
        <v>0</v>
      </c>
      <c r="DR198" s="43" t="str">
        <f aca="false">IF(AND(Tasks[[#This Row],[_IsLeaf]]=1,CurrentSprint&lt;&gt;"",Tasks[[#This Row],[Sprint]]=CurrentSprint),Tasks[[#This Row],[_Row]],"")</f>
        <v/>
      </c>
    </row>
    <row r="199" customFormat="false" ht="15" hidden="false" customHeight="false" outlineLevel="0" collapsed="false">
      <c r="A199" s="28" t="str">
        <f aca="false">IF(Tasks[[#This Row],[Task Name]]="","",COUNTA(Tasks[[#Headers],[Task Name]]:Tasks[[#This Row],[Task Name]])-1)</f>
        <v/>
      </c>
      <c r="B199" s="29" t="n">
        <v>194</v>
      </c>
      <c r="C199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199" s="29"/>
      <c r="E199" s="30"/>
      <c r="F199" s="29"/>
      <c r="G199" s="29"/>
      <c r="H199" s="29"/>
      <c r="I199" s="29"/>
      <c r="J199" s="29"/>
      <c r="K199" s="29"/>
      <c r="L199" s="29"/>
      <c r="M199" s="29"/>
      <c r="N199" s="72"/>
      <c r="O199" s="72"/>
      <c r="P199" s="25" t="str">
        <f aca="false">IF(Tasks[[#This Row],[Task Name]]="","",IF(N(Tasks[[#This Row],[Baseline Start]])&gt;0,Tasks[[#This Row],[Baseline Start]],Tasks[[#This Row],[_CalcStart]]))</f>
        <v/>
      </c>
      <c r="Q199" s="25" t="str">
        <f aca="false">IF(Tasks[[#This Row],[Task Name]]="","",IF(N(Tasks[[#This Row],[Baseline Finish]])&gt;0,Tasks[[#This Row],[Baseline Finish]],Tasks[[#This Row],[_CalcFinish]]))</f>
        <v/>
      </c>
      <c r="R199" s="72"/>
      <c r="S199" s="72"/>
      <c r="T199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199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199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199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199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199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199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199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199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199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199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199" s="74"/>
      <c r="AF199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199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199" s="30"/>
      <c r="AI199" s="74"/>
      <c r="AJ199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199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199" s="83"/>
      <c r="AM199" s="29"/>
      <c r="AN199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199" s="84"/>
      <c r="AP199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199" s="30"/>
      <c r="AR199" s="25" t="str">
        <f aca="false">IF(Tasks[[#This Row],[Task Name]]="","",Tasks[[#This Row],[Forecast Start]])</f>
        <v/>
      </c>
      <c r="AS199" s="25" t="str">
        <f aca="false">IF(Tasks[[#This Row],[Task Name]]="","",Tasks[[#This Row],[Forecast Finish]])</f>
        <v/>
      </c>
      <c r="AT199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199" s="81" t="str">
        <f aca="false">IF(Tasks[[#This Row],[Task Name]]="","",Tasks[[#This Row],[Work]])</f>
        <v/>
      </c>
      <c r="AV199" s="82" t="str">
        <f aca="false">IF(Tasks[[#This Row],[Task Name]]="","",Tasks[[#This Row],[Cost]])</f>
        <v/>
      </c>
      <c r="AW199" s="72"/>
      <c r="AX199" s="72"/>
      <c r="AY199" s="29"/>
      <c r="AZ199" s="85"/>
      <c r="BA199" s="83"/>
      <c r="BB199" s="28" t="str">
        <f aca="false">IF(OR(Tasks[[#This Row],[Task Name]]="",Tasks[[#This Row],[Baseline Duration]]=""),"",Tasks[[#This Row],[BL Source Duration]]-N(Tasks[[#This Row],[Baseline Duration]]))</f>
        <v/>
      </c>
      <c r="BC199" s="81" t="str">
        <f aca="false">IF(OR(Tasks[[#This Row],[Task Name]]="",Tasks[[#This Row],[Baseline Work]]=""),"",Tasks[[#This Row],[Work]]-N(Tasks[[#This Row],[Baseline Work]]))</f>
        <v/>
      </c>
      <c r="BD199" s="82" t="str">
        <f aca="false">IF(OR(Tasks[[#This Row],[Task Name]]="",Tasks[[#This Row],[Baseline Cost]]=""),"",Tasks[[#This Row],[Cost]]-N(Tasks[[#This Row],[Baseline Cost]]))</f>
        <v/>
      </c>
      <c r="BE199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199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199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199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199" s="43" t="str">
        <f aca="false">IF(Tasks[[#This Row],[Task Name]]="","",MAX(1,N(Tasks[[#This Row],[Level]])))</f>
        <v/>
      </c>
      <c r="BJ199" s="43" t="n">
        <f aca="false">ROW()-ROW(Tasks[[#Headers],[ID]])</f>
        <v>194</v>
      </c>
      <c r="BK199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199" s="43" t="n">
        <f aca="false">IFERROR(N(INDEX(Tasks[_Level],Tasks[[#This Row],[_Row]]+1)),0)</f>
        <v>0</v>
      </c>
      <c r="BM199" s="86" t="b">
        <f aca="false">AND(Tasks[[#This Row],[Task Name]]&lt;&gt;"",Tasks[[#This Row],[_NextLevel]]&gt;Tasks[[#This Row],[_Level]])</f>
        <v>0</v>
      </c>
      <c r="BN199" s="43" t="n">
        <f aca="false">IF(Tasks[[#This Row],[_IsSummary]],COUNTIF(Tasks[WBS],Tasks[[#This Row],[WBS]]&amp;".*"),0)</f>
        <v>0</v>
      </c>
      <c r="BO199" s="43" t="n">
        <f aca="false">IF(AND(Tasks[[#This Row],[Task Name]]&lt;&gt;"",NOT(Tasks[[#This Row],[_IsSummary]])),1,0)</f>
        <v>0</v>
      </c>
      <c r="BP199" s="43" t="n">
        <f aca="false">IF(N(Tasks[[#This Row],[Pred1 UID]])=0,0,IFERROR(MATCH(Tasks[[#This Row],[Pred1 UID]],Tasks[UID],0),-1))</f>
        <v>0</v>
      </c>
      <c r="BQ199" s="43" t="n">
        <f aca="false">IF(N(Tasks[[#This Row],[Pred2 UID]])=0,0,IFERROR(MATCH(Tasks[[#This Row],[Pred2 UID]],Tasks[UID],0),-1))</f>
        <v>0</v>
      </c>
      <c r="BR199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199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199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199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199" s="43" t="n">
        <f aca="false">IF(NOT(Tasks[[#This Row],[_IsLeaf]]=1),0,IF(N(Tasks[[#This Row],[Actual Finish]])&gt;0,1,MIN(1,N(Tasks[[#This Row],[% Complete]]))))</f>
        <v>0</v>
      </c>
      <c r="BW199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199" s="43" t="n">
        <f aca="false">IF(Tasks[[#This Row],[_LeafWork]]=0,0,Tasks[[#This Row],[_LeafWork]]*IFERROR(INDEX(res_Rate,MATCH(Tasks[[#This Row],[Resource]],res_Name,0)),0))</f>
        <v>0</v>
      </c>
      <c r="BY199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199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199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199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199" s="43" t="n">
        <f aca="false">IF(NOT(Tasks[[#This Row],[_IsLeaf]]=1),0,MAX(_xlfn.MAXIFS(Tasks[_Row],Tasks[Pred1 UID],Tasks[[#This Row],[UID]]),_xlfn.MAXIFS(Tasks[_Row],Tasks[Pred2 UID],Tasks[[#This Row],[UID]])))</f>
        <v>0</v>
      </c>
      <c r="CD199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199" s="87" t="str">
        <f aca="false">IF(NOT(Tasks[[#This Row],[_IsLeaf]]=1),"",MIN(ProjectFinish,IF(N(Tasks[[#This Row],[Deadline]])&gt;0,Tasks[[#This Row],[Deadline]],2958465),Tasks[[#This Row],[_SuccessorFinishLimit]]))</f>
        <v/>
      </c>
      <c r="CF199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199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199" s="86" t="b">
        <f aca="false">AND(Tasks[[#This Row],[_IsLeaf]]=1,Tasks[[#This Row],[_LeafProgress]]&lt;1,N(Tasks[[#This Row],[_LeafTotalSlack]])&lt;=CriticalSlackDays)</f>
        <v>0</v>
      </c>
      <c r="CI199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199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199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199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19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19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199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199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199" s="43" t="n">
        <f aca="false">IF(AND(Tasks[[#This Row],[_IsLeaf]]=1,Tasks[[#This Row],[_LeafWork]]&gt;0),NETWORKDAYS.INTL(ProjectStart,Tasks[[#This Row],[_LeafFcstStart]],WorkWeek,Holidays),0)</f>
        <v>0</v>
      </c>
      <c r="CR199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199" s="43" t="n">
        <f aca="false">IF(AND(Tasks[[#This Row],[_IsLeaf]]=1,Tasks[[#This Row],[_LeafWork]]&gt;0),Tasks[[#This Row],[_LeafWork]]/(Tasks[[#This Row],[_FinishWorkday]]-Tasks[[#This Row],[_StartWorkday]]+1),0)</f>
        <v>0</v>
      </c>
      <c r="CT199" s="43" t="n">
        <f aca="false">Tasks[[#This Row],[_WorkPerWorkday]]*(Tasks[[#This Row],[_StartWorkday]]-1)</f>
        <v>-0</v>
      </c>
      <c r="CU199" s="43" t="n">
        <f aca="false">IF(Tasks[[#This Row],[_IsLeaf]]=1,MAX(N(Tasks[[#This Row],[Duration]]),0.1),0)</f>
        <v>0</v>
      </c>
      <c r="CV199" s="43" t="n">
        <f aca="false">Tasks[[#This Row],[_WeightDur]]*Tasks[[#This Row],[_LeafProgress]]</f>
        <v>0</v>
      </c>
      <c r="CW199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199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199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199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199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199" s="43" t="str">
        <f aca="false">IF(AND(Tasks[[#This Row],[_IsLeaf]]=1,N(Tasks[[#This Row],[Duration]])=0,Tasks[[#This Row],[_LeafProgress]]&lt;1),Tasks[[#This Row],[_LeafFcstFinish]]+Tasks[[#This Row],[_Row]]/100000,"")</f>
        <v/>
      </c>
      <c r="DC199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199" s="43" t="n">
        <f aca="false">IF(NOT(Tasks[[#This Row],[_IsLeaf]]=1),0,IF(Tasks[[#This Row],[Baseline Cost]]="",Tasks[[#This Row],[_LeafCost]],N(Tasks[[#This Row],[Baseline Cost]])))</f>
        <v>0</v>
      </c>
      <c r="DE199" s="43" t="n">
        <f aca="false">Tasks[[#This Row],[_LeafBudget]]*Tasks[[#This Row],[_PlannedPct]]</f>
        <v>0</v>
      </c>
      <c r="DF199" s="43" t="n">
        <f aca="false">Tasks[[#This Row],[_LeafBudget]]*Tasks[[#This Row],[_LeafProgress]]</f>
        <v>0</v>
      </c>
      <c r="DG199" s="43" t="n">
        <f aca="false">IF(NOT(Tasks[[#This Row],[_IsLeaf]]=1),0,IF(Tasks[[#This Row],[Actual Cost]]="",Tasks[[#This Row],[_LeafCost]]*Tasks[[#This Row],[_LeafProgress]],N(Tasks[[#This Row],[Actual Cost]])))</f>
        <v>0</v>
      </c>
      <c r="DH199" s="43" t="str">
        <f aca="false">IF(Tasks[[#This Row],[Task Name]]="","",LEFT(Tasks[[#This Row],[WBS]],FIND(".",Tasks[[#This Row],[WBS]]&amp;".")-1))</f>
        <v/>
      </c>
      <c r="DI199" s="43" t="str">
        <f aca="false">IF(AND(Tasks[[#This Row],[Task Name]]&lt;&gt;"",Tasks[[#This Row],[_Level]]=1),Tasks[[#This Row],[_Row]],"")</f>
        <v/>
      </c>
      <c r="DJ199" s="43" t="str">
        <f aca="false">IF(AND(Tasks[[#This Row],[_IsLeaf]]=1,N(Tasks[[#This Row],[Duration]])=0),Tasks[[#This Row],[Planned Finish]]+Tasks[[#This Row],[_Row]]/100000,"")</f>
        <v/>
      </c>
      <c r="DK199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199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199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199" s="43" t="str">
        <f aca="false">IF(Tasks[[#This Row],[_LeafCritical]],Tasks[[#This Row],[_LeafFcstStart]]+Tasks[[#This Row],[_Row]]/100000,"")</f>
        <v/>
      </c>
      <c r="DO199" s="43" t="n">
        <f aca="false">Tasks[[#This Row],[_LeafWork]]*Tasks[[#This Row],[_LeafProgress]]</f>
        <v>0</v>
      </c>
      <c r="DP199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199" s="43" t="n">
        <f aca="false">IF(Tasks[[#This Row],[_IsLeaf]]=1,N(Tasks[[#This Row],[Story Points]]),0)</f>
        <v>0</v>
      </c>
      <c r="DR199" s="43" t="str">
        <f aca="false">IF(AND(Tasks[[#This Row],[_IsLeaf]]=1,CurrentSprint&lt;&gt;"",Tasks[[#This Row],[Sprint]]=CurrentSprint),Tasks[[#This Row],[_Row]],"")</f>
        <v/>
      </c>
    </row>
    <row r="200" customFormat="false" ht="15" hidden="false" customHeight="false" outlineLevel="0" collapsed="false">
      <c r="A200" s="28" t="str">
        <f aca="false">IF(Tasks[[#This Row],[Task Name]]="","",COUNTA(Tasks[[#Headers],[Task Name]]:Tasks[[#This Row],[Task Name]])-1)</f>
        <v/>
      </c>
      <c r="B200" s="29" t="n">
        <v>195</v>
      </c>
      <c r="C200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200" s="29"/>
      <c r="E200" s="30"/>
      <c r="F200" s="29"/>
      <c r="G200" s="29"/>
      <c r="H200" s="29"/>
      <c r="I200" s="29"/>
      <c r="J200" s="29"/>
      <c r="K200" s="29"/>
      <c r="L200" s="29"/>
      <c r="M200" s="29"/>
      <c r="N200" s="72"/>
      <c r="O200" s="72"/>
      <c r="P200" s="25" t="str">
        <f aca="false">IF(Tasks[[#This Row],[Task Name]]="","",IF(N(Tasks[[#This Row],[Baseline Start]])&gt;0,Tasks[[#This Row],[Baseline Start]],Tasks[[#This Row],[_CalcStart]]))</f>
        <v/>
      </c>
      <c r="Q200" s="25" t="str">
        <f aca="false">IF(Tasks[[#This Row],[Task Name]]="","",IF(N(Tasks[[#This Row],[Baseline Finish]])&gt;0,Tasks[[#This Row],[Baseline Finish]],Tasks[[#This Row],[_CalcFinish]]))</f>
        <v/>
      </c>
      <c r="R200" s="72"/>
      <c r="S200" s="72"/>
      <c r="T200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200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200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200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200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200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200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200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200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200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00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00" s="74"/>
      <c r="AF200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200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200" s="30"/>
      <c r="AI200" s="74"/>
      <c r="AJ200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200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200" s="83"/>
      <c r="AM200" s="29"/>
      <c r="AN200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200" s="84"/>
      <c r="AP200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200" s="30"/>
      <c r="AR200" s="25" t="str">
        <f aca="false">IF(Tasks[[#This Row],[Task Name]]="","",Tasks[[#This Row],[Forecast Start]])</f>
        <v/>
      </c>
      <c r="AS200" s="25" t="str">
        <f aca="false">IF(Tasks[[#This Row],[Task Name]]="","",Tasks[[#This Row],[Forecast Finish]])</f>
        <v/>
      </c>
      <c r="AT200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200" s="81" t="str">
        <f aca="false">IF(Tasks[[#This Row],[Task Name]]="","",Tasks[[#This Row],[Work]])</f>
        <v/>
      </c>
      <c r="AV200" s="82" t="str">
        <f aca="false">IF(Tasks[[#This Row],[Task Name]]="","",Tasks[[#This Row],[Cost]])</f>
        <v/>
      </c>
      <c r="AW200" s="72"/>
      <c r="AX200" s="72"/>
      <c r="AY200" s="29"/>
      <c r="AZ200" s="85"/>
      <c r="BA200" s="83"/>
      <c r="BB200" s="28" t="str">
        <f aca="false">IF(OR(Tasks[[#This Row],[Task Name]]="",Tasks[[#This Row],[Baseline Duration]]=""),"",Tasks[[#This Row],[BL Source Duration]]-N(Tasks[[#This Row],[Baseline Duration]]))</f>
        <v/>
      </c>
      <c r="BC200" s="81" t="str">
        <f aca="false">IF(OR(Tasks[[#This Row],[Task Name]]="",Tasks[[#This Row],[Baseline Work]]=""),"",Tasks[[#This Row],[Work]]-N(Tasks[[#This Row],[Baseline Work]]))</f>
        <v/>
      </c>
      <c r="BD200" s="82" t="str">
        <f aca="false">IF(OR(Tasks[[#This Row],[Task Name]]="",Tasks[[#This Row],[Baseline Cost]]=""),"",Tasks[[#This Row],[Cost]]-N(Tasks[[#This Row],[Baseline Cost]]))</f>
        <v/>
      </c>
      <c r="BE200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200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200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200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200" s="43" t="str">
        <f aca="false">IF(Tasks[[#This Row],[Task Name]]="","",MAX(1,N(Tasks[[#This Row],[Level]])))</f>
        <v/>
      </c>
      <c r="BJ200" s="43" t="n">
        <f aca="false">ROW()-ROW(Tasks[[#Headers],[ID]])</f>
        <v>195</v>
      </c>
      <c r="BK200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200" s="43" t="n">
        <f aca="false">IFERROR(N(INDEX(Tasks[_Level],Tasks[[#This Row],[_Row]]+1)),0)</f>
        <v>0</v>
      </c>
      <c r="BM200" s="86" t="b">
        <f aca="false">AND(Tasks[[#This Row],[Task Name]]&lt;&gt;"",Tasks[[#This Row],[_NextLevel]]&gt;Tasks[[#This Row],[_Level]])</f>
        <v>0</v>
      </c>
      <c r="BN200" s="43" t="n">
        <f aca="false">IF(Tasks[[#This Row],[_IsSummary]],COUNTIF(Tasks[WBS],Tasks[[#This Row],[WBS]]&amp;".*"),0)</f>
        <v>0</v>
      </c>
      <c r="BO200" s="43" t="n">
        <f aca="false">IF(AND(Tasks[[#This Row],[Task Name]]&lt;&gt;"",NOT(Tasks[[#This Row],[_IsSummary]])),1,0)</f>
        <v>0</v>
      </c>
      <c r="BP200" s="43" t="n">
        <f aca="false">IF(N(Tasks[[#This Row],[Pred1 UID]])=0,0,IFERROR(MATCH(Tasks[[#This Row],[Pred1 UID]],Tasks[UID],0),-1))</f>
        <v>0</v>
      </c>
      <c r="BQ200" s="43" t="n">
        <f aca="false">IF(N(Tasks[[#This Row],[Pred2 UID]])=0,0,IFERROR(MATCH(Tasks[[#This Row],[Pred2 UID]],Tasks[UID],0),-1))</f>
        <v>0</v>
      </c>
      <c r="BR200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200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200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200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200" s="43" t="n">
        <f aca="false">IF(NOT(Tasks[[#This Row],[_IsLeaf]]=1),0,IF(N(Tasks[[#This Row],[Actual Finish]])&gt;0,1,MIN(1,N(Tasks[[#This Row],[% Complete]]))))</f>
        <v>0</v>
      </c>
      <c r="BW200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200" s="43" t="n">
        <f aca="false">IF(Tasks[[#This Row],[_LeafWork]]=0,0,Tasks[[#This Row],[_LeafWork]]*IFERROR(INDEX(res_Rate,MATCH(Tasks[[#This Row],[Resource]],res_Name,0)),0))</f>
        <v>0</v>
      </c>
      <c r="BY200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200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00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200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00" s="43" t="n">
        <f aca="false">IF(NOT(Tasks[[#This Row],[_IsLeaf]]=1),0,MAX(_xlfn.MAXIFS(Tasks[_Row],Tasks[Pred1 UID],Tasks[[#This Row],[UID]]),_xlfn.MAXIFS(Tasks[_Row],Tasks[Pred2 UID],Tasks[[#This Row],[UID]])))</f>
        <v>0</v>
      </c>
      <c r="CD200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200" s="87" t="str">
        <f aca="false">IF(NOT(Tasks[[#This Row],[_IsLeaf]]=1),"",MIN(ProjectFinish,IF(N(Tasks[[#This Row],[Deadline]])&gt;0,Tasks[[#This Row],[Deadline]],2958465),Tasks[[#This Row],[_SuccessorFinishLimit]]))</f>
        <v/>
      </c>
      <c r="CF200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200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200" s="86" t="b">
        <f aca="false">AND(Tasks[[#This Row],[_IsLeaf]]=1,Tasks[[#This Row],[_LeafProgress]]&lt;1,N(Tasks[[#This Row],[_LeafTotalSlack]])&lt;=CriticalSlackDays)</f>
        <v>0</v>
      </c>
      <c r="CI200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200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200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00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0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20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00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200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00" s="43" t="n">
        <f aca="false">IF(AND(Tasks[[#This Row],[_IsLeaf]]=1,Tasks[[#This Row],[_LeafWork]]&gt;0),NETWORKDAYS.INTL(ProjectStart,Tasks[[#This Row],[_LeafFcstStart]],WorkWeek,Holidays),0)</f>
        <v>0</v>
      </c>
      <c r="CR200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200" s="43" t="n">
        <f aca="false">IF(AND(Tasks[[#This Row],[_IsLeaf]]=1,Tasks[[#This Row],[_LeafWork]]&gt;0),Tasks[[#This Row],[_LeafWork]]/(Tasks[[#This Row],[_FinishWorkday]]-Tasks[[#This Row],[_StartWorkday]]+1),0)</f>
        <v>0</v>
      </c>
      <c r="CT200" s="43" t="n">
        <f aca="false">Tasks[[#This Row],[_WorkPerWorkday]]*(Tasks[[#This Row],[_StartWorkday]]-1)</f>
        <v>-0</v>
      </c>
      <c r="CU200" s="43" t="n">
        <f aca="false">IF(Tasks[[#This Row],[_IsLeaf]]=1,MAX(N(Tasks[[#This Row],[Duration]]),0.1),0)</f>
        <v>0</v>
      </c>
      <c r="CV200" s="43" t="n">
        <f aca="false">Tasks[[#This Row],[_WeightDur]]*Tasks[[#This Row],[_LeafProgress]]</f>
        <v>0</v>
      </c>
      <c r="CW200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200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00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200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00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200" s="43" t="str">
        <f aca="false">IF(AND(Tasks[[#This Row],[_IsLeaf]]=1,N(Tasks[[#This Row],[Duration]])=0,Tasks[[#This Row],[_LeafProgress]]&lt;1),Tasks[[#This Row],[_LeafFcstFinish]]+Tasks[[#This Row],[_Row]]/100000,"")</f>
        <v/>
      </c>
      <c r="DC200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00" s="43" t="n">
        <f aca="false">IF(NOT(Tasks[[#This Row],[_IsLeaf]]=1),0,IF(Tasks[[#This Row],[Baseline Cost]]="",Tasks[[#This Row],[_LeafCost]],N(Tasks[[#This Row],[Baseline Cost]])))</f>
        <v>0</v>
      </c>
      <c r="DE200" s="43" t="n">
        <f aca="false">Tasks[[#This Row],[_LeafBudget]]*Tasks[[#This Row],[_PlannedPct]]</f>
        <v>0</v>
      </c>
      <c r="DF200" s="43" t="n">
        <f aca="false">Tasks[[#This Row],[_LeafBudget]]*Tasks[[#This Row],[_LeafProgress]]</f>
        <v>0</v>
      </c>
      <c r="DG200" s="43" t="n">
        <f aca="false">IF(NOT(Tasks[[#This Row],[_IsLeaf]]=1),0,IF(Tasks[[#This Row],[Actual Cost]]="",Tasks[[#This Row],[_LeafCost]]*Tasks[[#This Row],[_LeafProgress]],N(Tasks[[#This Row],[Actual Cost]])))</f>
        <v>0</v>
      </c>
      <c r="DH200" s="43" t="str">
        <f aca="false">IF(Tasks[[#This Row],[Task Name]]="","",LEFT(Tasks[[#This Row],[WBS]],FIND(".",Tasks[[#This Row],[WBS]]&amp;".")-1))</f>
        <v/>
      </c>
      <c r="DI200" s="43" t="str">
        <f aca="false">IF(AND(Tasks[[#This Row],[Task Name]]&lt;&gt;"",Tasks[[#This Row],[_Level]]=1),Tasks[[#This Row],[_Row]],"")</f>
        <v/>
      </c>
      <c r="DJ200" s="43" t="str">
        <f aca="false">IF(AND(Tasks[[#This Row],[_IsLeaf]]=1,N(Tasks[[#This Row],[Duration]])=0),Tasks[[#This Row],[Planned Finish]]+Tasks[[#This Row],[_Row]]/100000,"")</f>
        <v/>
      </c>
      <c r="DK200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200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00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00" s="43" t="str">
        <f aca="false">IF(Tasks[[#This Row],[_LeafCritical]],Tasks[[#This Row],[_LeafFcstStart]]+Tasks[[#This Row],[_Row]]/100000,"")</f>
        <v/>
      </c>
      <c r="DO200" s="43" t="n">
        <f aca="false">Tasks[[#This Row],[_LeafWork]]*Tasks[[#This Row],[_LeafProgress]]</f>
        <v>0</v>
      </c>
      <c r="DP200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00" s="43" t="n">
        <f aca="false">IF(Tasks[[#This Row],[_IsLeaf]]=1,N(Tasks[[#This Row],[Story Points]]),0)</f>
        <v>0</v>
      </c>
      <c r="DR200" s="43" t="str">
        <f aca="false">IF(AND(Tasks[[#This Row],[_IsLeaf]]=1,CurrentSprint&lt;&gt;"",Tasks[[#This Row],[Sprint]]=CurrentSprint),Tasks[[#This Row],[_Row]],"")</f>
        <v/>
      </c>
    </row>
    <row r="201" customFormat="false" ht="15" hidden="false" customHeight="false" outlineLevel="0" collapsed="false">
      <c r="A201" s="28" t="str">
        <f aca="false">IF(Tasks[[#This Row],[Task Name]]="","",COUNTA(Tasks[[#Headers],[Task Name]]:Tasks[[#This Row],[Task Name]])-1)</f>
        <v/>
      </c>
      <c r="B201" s="29" t="n">
        <v>196</v>
      </c>
      <c r="C201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201" s="29"/>
      <c r="E201" s="30"/>
      <c r="F201" s="29"/>
      <c r="G201" s="29"/>
      <c r="H201" s="29"/>
      <c r="I201" s="29"/>
      <c r="J201" s="29"/>
      <c r="K201" s="29"/>
      <c r="L201" s="29"/>
      <c r="M201" s="29"/>
      <c r="N201" s="72"/>
      <c r="O201" s="72"/>
      <c r="P201" s="25" t="str">
        <f aca="false">IF(Tasks[[#This Row],[Task Name]]="","",IF(N(Tasks[[#This Row],[Baseline Start]])&gt;0,Tasks[[#This Row],[Baseline Start]],Tasks[[#This Row],[_CalcStart]]))</f>
        <v/>
      </c>
      <c r="Q201" s="25" t="str">
        <f aca="false">IF(Tasks[[#This Row],[Task Name]]="","",IF(N(Tasks[[#This Row],[Baseline Finish]])&gt;0,Tasks[[#This Row],[Baseline Finish]],Tasks[[#This Row],[_CalcFinish]]))</f>
        <v/>
      </c>
      <c r="R201" s="72"/>
      <c r="S201" s="72"/>
      <c r="T201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201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201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201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201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201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201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201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201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201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01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01" s="74"/>
      <c r="AF201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201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201" s="30"/>
      <c r="AI201" s="74"/>
      <c r="AJ201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201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201" s="83"/>
      <c r="AM201" s="29"/>
      <c r="AN201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201" s="84"/>
      <c r="AP201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201" s="30"/>
      <c r="AR201" s="25" t="str">
        <f aca="false">IF(Tasks[[#This Row],[Task Name]]="","",Tasks[[#This Row],[Forecast Start]])</f>
        <v/>
      </c>
      <c r="AS201" s="25" t="str">
        <f aca="false">IF(Tasks[[#This Row],[Task Name]]="","",Tasks[[#This Row],[Forecast Finish]])</f>
        <v/>
      </c>
      <c r="AT201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201" s="81" t="str">
        <f aca="false">IF(Tasks[[#This Row],[Task Name]]="","",Tasks[[#This Row],[Work]])</f>
        <v/>
      </c>
      <c r="AV201" s="82" t="str">
        <f aca="false">IF(Tasks[[#This Row],[Task Name]]="","",Tasks[[#This Row],[Cost]])</f>
        <v/>
      </c>
      <c r="AW201" s="72"/>
      <c r="AX201" s="72"/>
      <c r="AY201" s="29"/>
      <c r="AZ201" s="85"/>
      <c r="BA201" s="83"/>
      <c r="BB201" s="28" t="str">
        <f aca="false">IF(OR(Tasks[[#This Row],[Task Name]]="",Tasks[[#This Row],[Baseline Duration]]=""),"",Tasks[[#This Row],[BL Source Duration]]-N(Tasks[[#This Row],[Baseline Duration]]))</f>
        <v/>
      </c>
      <c r="BC201" s="81" t="str">
        <f aca="false">IF(OR(Tasks[[#This Row],[Task Name]]="",Tasks[[#This Row],[Baseline Work]]=""),"",Tasks[[#This Row],[Work]]-N(Tasks[[#This Row],[Baseline Work]]))</f>
        <v/>
      </c>
      <c r="BD201" s="82" t="str">
        <f aca="false">IF(OR(Tasks[[#This Row],[Task Name]]="",Tasks[[#This Row],[Baseline Cost]]=""),"",Tasks[[#This Row],[Cost]]-N(Tasks[[#This Row],[Baseline Cost]]))</f>
        <v/>
      </c>
      <c r="BE201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201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201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201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201" s="43" t="str">
        <f aca="false">IF(Tasks[[#This Row],[Task Name]]="","",MAX(1,N(Tasks[[#This Row],[Level]])))</f>
        <v/>
      </c>
      <c r="BJ201" s="43" t="n">
        <f aca="false">ROW()-ROW(Tasks[[#Headers],[ID]])</f>
        <v>196</v>
      </c>
      <c r="BK201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201" s="43" t="n">
        <f aca="false">IFERROR(N(INDEX(Tasks[_Level],Tasks[[#This Row],[_Row]]+1)),0)</f>
        <v>0</v>
      </c>
      <c r="BM201" s="86" t="b">
        <f aca="false">AND(Tasks[[#This Row],[Task Name]]&lt;&gt;"",Tasks[[#This Row],[_NextLevel]]&gt;Tasks[[#This Row],[_Level]])</f>
        <v>0</v>
      </c>
      <c r="BN201" s="43" t="n">
        <f aca="false">IF(Tasks[[#This Row],[_IsSummary]],COUNTIF(Tasks[WBS],Tasks[[#This Row],[WBS]]&amp;".*"),0)</f>
        <v>0</v>
      </c>
      <c r="BO201" s="43" t="n">
        <f aca="false">IF(AND(Tasks[[#This Row],[Task Name]]&lt;&gt;"",NOT(Tasks[[#This Row],[_IsSummary]])),1,0)</f>
        <v>0</v>
      </c>
      <c r="BP201" s="43" t="n">
        <f aca="false">IF(N(Tasks[[#This Row],[Pred1 UID]])=0,0,IFERROR(MATCH(Tasks[[#This Row],[Pred1 UID]],Tasks[UID],0),-1))</f>
        <v>0</v>
      </c>
      <c r="BQ201" s="43" t="n">
        <f aca="false">IF(N(Tasks[[#This Row],[Pred2 UID]])=0,0,IFERROR(MATCH(Tasks[[#This Row],[Pred2 UID]],Tasks[UID],0),-1))</f>
        <v>0</v>
      </c>
      <c r="BR201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201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201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201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201" s="43" t="n">
        <f aca="false">IF(NOT(Tasks[[#This Row],[_IsLeaf]]=1),0,IF(N(Tasks[[#This Row],[Actual Finish]])&gt;0,1,MIN(1,N(Tasks[[#This Row],[% Complete]]))))</f>
        <v>0</v>
      </c>
      <c r="BW201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201" s="43" t="n">
        <f aca="false">IF(Tasks[[#This Row],[_LeafWork]]=0,0,Tasks[[#This Row],[_LeafWork]]*IFERROR(INDEX(res_Rate,MATCH(Tasks[[#This Row],[Resource]],res_Name,0)),0))</f>
        <v>0</v>
      </c>
      <c r="BY201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201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01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201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01" s="43" t="n">
        <f aca="false">IF(NOT(Tasks[[#This Row],[_IsLeaf]]=1),0,MAX(_xlfn.MAXIFS(Tasks[_Row],Tasks[Pred1 UID],Tasks[[#This Row],[UID]]),_xlfn.MAXIFS(Tasks[_Row],Tasks[Pred2 UID],Tasks[[#This Row],[UID]])))</f>
        <v>0</v>
      </c>
      <c r="CD201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201" s="87" t="str">
        <f aca="false">IF(NOT(Tasks[[#This Row],[_IsLeaf]]=1),"",MIN(ProjectFinish,IF(N(Tasks[[#This Row],[Deadline]])&gt;0,Tasks[[#This Row],[Deadline]],2958465),Tasks[[#This Row],[_SuccessorFinishLimit]]))</f>
        <v/>
      </c>
      <c r="CF201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201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201" s="86" t="b">
        <f aca="false">AND(Tasks[[#This Row],[_IsLeaf]]=1,Tasks[[#This Row],[_LeafProgress]]&lt;1,N(Tasks[[#This Row],[_LeafTotalSlack]])&lt;=CriticalSlackDays)</f>
        <v>0</v>
      </c>
      <c r="CI201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201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201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01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0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20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01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201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01" s="43" t="n">
        <f aca="false">IF(AND(Tasks[[#This Row],[_IsLeaf]]=1,Tasks[[#This Row],[_LeafWork]]&gt;0),NETWORKDAYS.INTL(ProjectStart,Tasks[[#This Row],[_LeafFcstStart]],WorkWeek,Holidays),0)</f>
        <v>0</v>
      </c>
      <c r="CR201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201" s="43" t="n">
        <f aca="false">IF(AND(Tasks[[#This Row],[_IsLeaf]]=1,Tasks[[#This Row],[_LeafWork]]&gt;0),Tasks[[#This Row],[_LeafWork]]/(Tasks[[#This Row],[_FinishWorkday]]-Tasks[[#This Row],[_StartWorkday]]+1),0)</f>
        <v>0</v>
      </c>
      <c r="CT201" s="43" t="n">
        <f aca="false">Tasks[[#This Row],[_WorkPerWorkday]]*(Tasks[[#This Row],[_StartWorkday]]-1)</f>
        <v>-0</v>
      </c>
      <c r="CU201" s="43" t="n">
        <f aca="false">IF(Tasks[[#This Row],[_IsLeaf]]=1,MAX(N(Tasks[[#This Row],[Duration]]),0.1),0)</f>
        <v>0</v>
      </c>
      <c r="CV201" s="43" t="n">
        <f aca="false">Tasks[[#This Row],[_WeightDur]]*Tasks[[#This Row],[_LeafProgress]]</f>
        <v>0</v>
      </c>
      <c r="CW201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201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01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201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01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201" s="43" t="str">
        <f aca="false">IF(AND(Tasks[[#This Row],[_IsLeaf]]=1,N(Tasks[[#This Row],[Duration]])=0,Tasks[[#This Row],[_LeafProgress]]&lt;1),Tasks[[#This Row],[_LeafFcstFinish]]+Tasks[[#This Row],[_Row]]/100000,"")</f>
        <v/>
      </c>
      <c r="DC201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01" s="43" t="n">
        <f aca="false">IF(NOT(Tasks[[#This Row],[_IsLeaf]]=1),0,IF(Tasks[[#This Row],[Baseline Cost]]="",Tasks[[#This Row],[_LeafCost]],N(Tasks[[#This Row],[Baseline Cost]])))</f>
        <v>0</v>
      </c>
      <c r="DE201" s="43" t="n">
        <f aca="false">Tasks[[#This Row],[_LeafBudget]]*Tasks[[#This Row],[_PlannedPct]]</f>
        <v>0</v>
      </c>
      <c r="DF201" s="43" t="n">
        <f aca="false">Tasks[[#This Row],[_LeafBudget]]*Tasks[[#This Row],[_LeafProgress]]</f>
        <v>0</v>
      </c>
      <c r="DG201" s="43" t="n">
        <f aca="false">IF(NOT(Tasks[[#This Row],[_IsLeaf]]=1),0,IF(Tasks[[#This Row],[Actual Cost]]="",Tasks[[#This Row],[_LeafCost]]*Tasks[[#This Row],[_LeafProgress]],N(Tasks[[#This Row],[Actual Cost]])))</f>
        <v>0</v>
      </c>
      <c r="DH201" s="43" t="str">
        <f aca="false">IF(Tasks[[#This Row],[Task Name]]="","",LEFT(Tasks[[#This Row],[WBS]],FIND(".",Tasks[[#This Row],[WBS]]&amp;".")-1))</f>
        <v/>
      </c>
      <c r="DI201" s="43" t="str">
        <f aca="false">IF(AND(Tasks[[#This Row],[Task Name]]&lt;&gt;"",Tasks[[#This Row],[_Level]]=1),Tasks[[#This Row],[_Row]],"")</f>
        <v/>
      </c>
      <c r="DJ201" s="43" t="str">
        <f aca="false">IF(AND(Tasks[[#This Row],[_IsLeaf]]=1,N(Tasks[[#This Row],[Duration]])=0),Tasks[[#This Row],[Planned Finish]]+Tasks[[#This Row],[_Row]]/100000,"")</f>
        <v/>
      </c>
      <c r="DK201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201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01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01" s="43" t="str">
        <f aca="false">IF(Tasks[[#This Row],[_LeafCritical]],Tasks[[#This Row],[_LeafFcstStart]]+Tasks[[#This Row],[_Row]]/100000,"")</f>
        <v/>
      </c>
      <c r="DO201" s="43" t="n">
        <f aca="false">Tasks[[#This Row],[_LeafWork]]*Tasks[[#This Row],[_LeafProgress]]</f>
        <v>0</v>
      </c>
      <c r="DP201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01" s="43" t="n">
        <f aca="false">IF(Tasks[[#This Row],[_IsLeaf]]=1,N(Tasks[[#This Row],[Story Points]]),0)</f>
        <v>0</v>
      </c>
      <c r="DR201" s="43" t="str">
        <f aca="false">IF(AND(Tasks[[#This Row],[_IsLeaf]]=1,CurrentSprint&lt;&gt;"",Tasks[[#This Row],[Sprint]]=CurrentSprint),Tasks[[#This Row],[_Row]],"")</f>
        <v/>
      </c>
    </row>
    <row r="202" customFormat="false" ht="15" hidden="false" customHeight="false" outlineLevel="0" collapsed="false">
      <c r="A202" s="28" t="str">
        <f aca="false">IF(Tasks[[#This Row],[Task Name]]="","",COUNTA(Tasks[[#Headers],[Task Name]]:Tasks[[#This Row],[Task Name]])-1)</f>
        <v/>
      </c>
      <c r="B202" s="29" t="n">
        <v>197</v>
      </c>
      <c r="C202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202" s="29"/>
      <c r="E202" s="30"/>
      <c r="F202" s="29"/>
      <c r="G202" s="29"/>
      <c r="H202" s="29"/>
      <c r="I202" s="29"/>
      <c r="J202" s="29"/>
      <c r="K202" s="29"/>
      <c r="L202" s="29"/>
      <c r="M202" s="29"/>
      <c r="N202" s="72"/>
      <c r="O202" s="72"/>
      <c r="P202" s="25" t="str">
        <f aca="false">IF(Tasks[[#This Row],[Task Name]]="","",IF(N(Tasks[[#This Row],[Baseline Start]])&gt;0,Tasks[[#This Row],[Baseline Start]],Tasks[[#This Row],[_CalcStart]]))</f>
        <v/>
      </c>
      <c r="Q202" s="25" t="str">
        <f aca="false">IF(Tasks[[#This Row],[Task Name]]="","",IF(N(Tasks[[#This Row],[Baseline Finish]])&gt;0,Tasks[[#This Row],[Baseline Finish]],Tasks[[#This Row],[_CalcFinish]]))</f>
        <v/>
      </c>
      <c r="R202" s="72"/>
      <c r="S202" s="72"/>
      <c r="T202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202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202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202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202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202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202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202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202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202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02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02" s="74"/>
      <c r="AF202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202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202" s="30"/>
      <c r="AI202" s="74"/>
      <c r="AJ202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202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202" s="83"/>
      <c r="AM202" s="29"/>
      <c r="AN202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202" s="84"/>
      <c r="AP202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202" s="30"/>
      <c r="AR202" s="25" t="str">
        <f aca="false">IF(Tasks[[#This Row],[Task Name]]="","",Tasks[[#This Row],[Forecast Start]])</f>
        <v/>
      </c>
      <c r="AS202" s="25" t="str">
        <f aca="false">IF(Tasks[[#This Row],[Task Name]]="","",Tasks[[#This Row],[Forecast Finish]])</f>
        <v/>
      </c>
      <c r="AT202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202" s="81" t="str">
        <f aca="false">IF(Tasks[[#This Row],[Task Name]]="","",Tasks[[#This Row],[Work]])</f>
        <v/>
      </c>
      <c r="AV202" s="82" t="str">
        <f aca="false">IF(Tasks[[#This Row],[Task Name]]="","",Tasks[[#This Row],[Cost]])</f>
        <v/>
      </c>
      <c r="AW202" s="72"/>
      <c r="AX202" s="72"/>
      <c r="AY202" s="29"/>
      <c r="AZ202" s="85"/>
      <c r="BA202" s="83"/>
      <c r="BB202" s="28" t="str">
        <f aca="false">IF(OR(Tasks[[#This Row],[Task Name]]="",Tasks[[#This Row],[Baseline Duration]]=""),"",Tasks[[#This Row],[BL Source Duration]]-N(Tasks[[#This Row],[Baseline Duration]]))</f>
        <v/>
      </c>
      <c r="BC202" s="81" t="str">
        <f aca="false">IF(OR(Tasks[[#This Row],[Task Name]]="",Tasks[[#This Row],[Baseline Work]]=""),"",Tasks[[#This Row],[Work]]-N(Tasks[[#This Row],[Baseline Work]]))</f>
        <v/>
      </c>
      <c r="BD202" s="82" t="str">
        <f aca="false">IF(OR(Tasks[[#This Row],[Task Name]]="",Tasks[[#This Row],[Baseline Cost]]=""),"",Tasks[[#This Row],[Cost]]-N(Tasks[[#This Row],[Baseline Cost]]))</f>
        <v/>
      </c>
      <c r="BE202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202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202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202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202" s="43" t="str">
        <f aca="false">IF(Tasks[[#This Row],[Task Name]]="","",MAX(1,N(Tasks[[#This Row],[Level]])))</f>
        <v/>
      </c>
      <c r="BJ202" s="43" t="n">
        <f aca="false">ROW()-ROW(Tasks[[#Headers],[ID]])</f>
        <v>197</v>
      </c>
      <c r="BK202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202" s="43" t="n">
        <f aca="false">IFERROR(N(INDEX(Tasks[_Level],Tasks[[#This Row],[_Row]]+1)),0)</f>
        <v>0</v>
      </c>
      <c r="BM202" s="86" t="b">
        <f aca="false">AND(Tasks[[#This Row],[Task Name]]&lt;&gt;"",Tasks[[#This Row],[_NextLevel]]&gt;Tasks[[#This Row],[_Level]])</f>
        <v>0</v>
      </c>
      <c r="BN202" s="43" t="n">
        <f aca="false">IF(Tasks[[#This Row],[_IsSummary]],COUNTIF(Tasks[WBS],Tasks[[#This Row],[WBS]]&amp;".*"),0)</f>
        <v>0</v>
      </c>
      <c r="BO202" s="43" t="n">
        <f aca="false">IF(AND(Tasks[[#This Row],[Task Name]]&lt;&gt;"",NOT(Tasks[[#This Row],[_IsSummary]])),1,0)</f>
        <v>0</v>
      </c>
      <c r="BP202" s="43" t="n">
        <f aca="false">IF(N(Tasks[[#This Row],[Pred1 UID]])=0,0,IFERROR(MATCH(Tasks[[#This Row],[Pred1 UID]],Tasks[UID],0),-1))</f>
        <v>0</v>
      </c>
      <c r="BQ202" s="43" t="n">
        <f aca="false">IF(N(Tasks[[#This Row],[Pred2 UID]])=0,0,IFERROR(MATCH(Tasks[[#This Row],[Pred2 UID]],Tasks[UID],0),-1))</f>
        <v>0</v>
      </c>
      <c r="BR202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202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202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202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202" s="43" t="n">
        <f aca="false">IF(NOT(Tasks[[#This Row],[_IsLeaf]]=1),0,IF(N(Tasks[[#This Row],[Actual Finish]])&gt;0,1,MIN(1,N(Tasks[[#This Row],[% Complete]]))))</f>
        <v>0</v>
      </c>
      <c r="BW202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202" s="43" t="n">
        <f aca="false">IF(Tasks[[#This Row],[_LeafWork]]=0,0,Tasks[[#This Row],[_LeafWork]]*IFERROR(INDEX(res_Rate,MATCH(Tasks[[#This Row],[Resource]],res_Name,0)),0))</f>
        <v>0</v>
      </c>
      <c r="BY202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202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02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202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02" s="43" t="n">
        <f aca="false">IF(NOT(Tasks[[#This Row],[_IsLeaf]]=1),0,MAX(_xlfn.MAXIFS(Tasks[_Row],Tasks[Pred1 UID],Tasks[[#This Row],[UID]]),_xlfn.MAXIFS(Tasks[_Row],Tasks[Pred2 UID],Tasks[[#This Row],[UID]])))</f>
        <v>0</v>
      </c>
      <c r="CD202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202" s="87" t="str">
        <f aca="false">IF(NOT(Tasks[[#This Row],[_IsLeaf]]=1),"",MIN(ProjectFinish,IF(N(Tasks[[#This Row],[Deadline]])&gt;0,Tasks[[#This Row],[Deadline]],2958465),Tasks[[#This Row],[_SuccessorFinishLimit]]))</f>
        <v/>
      </c>
      <c r="CF202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202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202" s="86" t="b">
        <f aca="false">AND(Tasks[[#This Row],[_IsLeaf]]=1,Tasks[[#This Row],[_LeafProgress]]&lt;1,N(Tasks[[#This Row],[_LeafTotalSlack]])&lt;=CriticalSlackDays)</f>
        <v>0</v>
      </c>
      <c r="CI202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202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202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02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0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20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02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202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02" s="43" t="n">
        <f aca="false">IF(AND(Tasks[[#This Row],[_IsLeaf]]=1,Tasks[[#This Row],[_LeafWork]]&gt;0),NETWORKDAYS.INTL(ProjectStart,Tasks[[#This Row],[_LeafFcstStart]],WorkWeek,Holidays),0)</f>
        <v>0</v>
      </c>
      <c r="CR202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202" s="43" t="n">
        <f aca="false">IF(AND(Tasks[[#This Row],[_IsLeaf]]=1,Tasks[[#This Row],[_LeafWork]]&gt;0),Tasks[[#This Row],[_LeafWork]]/(Tasks[[#This Row],[_FinishWorkday]]-Tasks[[#This Row],[_StartWorkday]]+1),0)</f>
        <v>0</v>
      </c>
      <c r="CT202" s="43" t="n">
        <f aca="false">Tasks[[#This Row],[_WorkPerWorkday]]*(Tasks[[#This Row],[_StartWorkday]]-1)</f>
        <v>-0</v>
      </c>
      <c r="CU202" s="43" t="n">
        <f aca="false">IF(Tasks[[#This Row],[_IsLeaf]]=1,MAX(N(Tasks[[#This Row],[Duration]]),0.1),0)</f>
        <v>0</v>
      </c>
      <c r="CV202" s="43" t="n">
        <f aca="false">Tasks[[#This Row],[_WeightDur]]*Tasks[[#This Row],[_LeafProgress]]</f>
        <v>0</v>
      </c>
      <c r="CW202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202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02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202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02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202" s="43" t="str">
        <f aca="false">IF(AND(Tasks[[#This Row],[_IsLeaf]]=1,N(Tasks[[#This Row],[Duration]])=0,Tasks[[#This Row],[_LeafProgress]]&lt;1),Tasks[[#This Row],[_LeafFcstFinish]]+Tasks[[#This Row],[_Row]]/100000,"")</f>
        <v/>
      </c>
      <c r="DC202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02" s="43" t="n">
        <f aca="false">IF(NOT(Tasks[[#This Row],[_IsLeaf]]=1),0,IF(Tasks[[#This Row],[Baseline Cost]]="",Tasks[[#This Row],[_LeafCost]],N(Tasks[[#This Row],[Baseline Cost]])))</f>
        <v>0</v>
      </c>
      <c r="DE202" s="43" t="n">
        <f aca="false">Tasks[[#This Row],[_LeafBudget]]*Tasks[[#This Row],[_PlannedPct]]</f>
        <v>0</v>
      </c>
      <c r="DF202" s="43" t="n">
        <f aca="false">Tasks[[#This Row],[_LeafBudget]]*Tasks[[#This Row],[_LeafProgress]]</f>
        <v>0</v>
      </c>
      <c r="DG202" s="43" t="n">
        <f aca="false">IF(NOT(Tasks[[#This Row],[_IsLeaf]]=1),0,IF(Tasks[[#This Row],[Actual Cost]]="",Tasks[[#This Row],[_LeafCost]]*Tasks[[#This Row],[_LeafProgress]],N(Tasks[[#This Row],[Actual Cost]])))</f>
        <v>0</v>
      </c>
      <c r="DH202" s="43" t="str">
        <f aca="false">IF(Tasks[[#This Row],[Task Name]]="","",LEFT(Tasks[[#This Row],[WBS]],FIND(".",Tasks[[#This Row],[WBS]]&amp;".")-1))</f>
        <v/>
      </c>
      <c r="DI202" s="43" t="str">
        <f aca="false">IF(AND(Tasks[[#This Row],[Task Name]]&lt;&gt;"",Tasks[[#This Row],[_Level]]=1),Tasks[[#This Row],[_Row]],"")</f>
        <v/>
      </c>
      <c r="DJ202" s="43" t="str">
        <f aca="false">IF(AND(Tasks[[#This Row],[_IsLeaf]]=1,N(Tasks[[#This Row],[Duration]])=0),Tasks[[#This Row],[Planned Finish]]+Tasks[[#This Row],[_Row]]/100000,"")</f>
        <v/>
      </c>
      <c r="DK202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202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02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02" s="43" t="str">
        <f aca="false">IF(Tasks[[#This Row],[_LeafCritical]],Tasks[[#This Row],[_LeafFcstStart]]+Tasks[[#This Row],[_Row]]/100000,"")</f>
        <v/>
      </c>
      <c r="DO202" s="43" t="n">
        <f aca="false">Tasks[[#This Row],[_LeafWork]]*Tasks[[#This Row],[_LeafProgress]]</f>
        <v>0</v>
      </c>
      <c r="DP202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02" s="43" t="n">
        <f aca="false">IF(Tasks[[#This Row],[_IsLeaf]]=1,N(Tasks[[#This Row],[Story Points]]),0)</f>
        <v>0</v>
      </c>
      <c r="DR202" s="43" t="str">
        <f aca="false">IF(AND(Tasks[[#This Row],[_IsLeaf]]=1,CurrentSprint&lt;&gt;"",Tasks[[#This Row],[Sprint]]=CurrentSprint),Tasks[[#This Row],[_Row]],"")</f>
        <v/>
      </c>
    </row>
    <row r="203" customFormat="false" ht="15" hidden="false" customHeight="false" outlineLevel="0" collapsed="false">
      <c r="A203" s="28" t="str">
        <f aca="false">IF(Tasks[[#This Row],[Task Name]]="","",COUNTA(Tasks[[#Headers],[Task Name]]:Tasks[[#This Row],[Task Name]])-1)</f>
        <v/>
      </c>
      <c r="B203" s="29" t="n">
        <v>198</v>
      </c>
      <c r="C203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203" s="29"/>
      <c r="E203" s="30"/>
      <c r="F203" s="29"/>
      <c r="G203" s="29"/>
      <c r="H203" s="29"/>
      <c r="I203" s="29"/>
      <c r="J203" s="29"/>
      <c r="K203" s="29"/>
      <c r="L203" s="29"/>
      <c r="M203" s="29"/>
      <c r="N203" s="72"/>
      <c r="O203" s="72"/>
      <c r="P203" s="25" t="str">
        <f aca="false">IF(Tasks[[#This Row],[Task Name]]="","",IF(N(Tasks[[#This Row],[Baseline Start]])&gt;0,Tasks[[#This Row],[Baseline Start]],Tasks[[#This Row],[_CalcStart]]))</f>
        <v/>
      </c>
      <c r="Q203" s="25" t="str">
        <f aca="false">IF(Tasks[[#This Row],[Task Name]]="","",IF(N(Tasks[[#This Row],[Baseline Finish]])&gt;0,Tasks[[#This Row],[Baseline Finish]],Tasks[[#This Row],[_CalcFinish]]))</f>
        <v/>
      </c>
      <c r="R203" s="72"/>
      <c r="S203" s="72"/>
      <c r="T203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203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203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203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203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203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203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203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203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203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03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03" s="74"/>
      <c r="AF203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203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203" s="30"/>
      <c r="AI203" s="74"/>
      <c r="AJ203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203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203" s="83"/>
      <c r="AM203" s="29"/>
      <c r="AN203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203" s="84"/>
      <c r="AP203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203" s="30"/>
      <c r="AR203" s="25" t="str">
        <f aca="false">IF(Tasks[[#This Row],[Task Name]]="","",Tasks[[#This Row],[Forecast Start]])</f>
        <v/>
      </c>
      <c r="AS203" s="25" t="str">
        <f aca="false">IF(Tasks[[#This Row],[Task Name]]="","",Tasks[[#This Row],[Forecast Finish]])</f>
        <v/>
      </c>
      <c r="AT203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203" s="81" t="str">
        <f aca="false">IF(Tasks[[#This Row],[Task Name]]="","",Tasks[[#This Row],[Work]])</f>
        <v/>
      </c>
      <c r="AV203" s="82" t="str">
        <f aca="false">IF(Tasks[[#This Row],[Task Name]]="","",Tasks[[#This Row],[Cost]])</f>
        <v/>
      </c>
      <c r="AW203" s="72"/>
      <c r="AX203" s="72"/>
      <c r="AY203" s="29"/>
      <c r="AZ203" s="85"/>
      <c r="BA203" s="83"/>
      <c r="BB203" s="28" t="str">
        <f aca="false">IF(OR(Tasks[[#This Row],[Task Name]]="",Tasks[[#This Row],[Baseline Duration]]=""),"",Tasks[[#This Row],[BL Source Duration]]-N(Tasks[[#This Row],[Baseline Duration]]))</f>
        <v/>
      </c>
      <c r="BC203" s="81" t="str">
        <f aca="false">IF(OR(Tasks[[#This Row],[Task Name]]="",Tasks[[#This Row],[Baseline Work]]=""),"",Tasks[[#This Row],[Work]]-N(Tasks[[#This Row],[Baseline Work]]))</f>
        <v/>
      </c>
      <c r="BD203" s="82" t="str">
        <f aca="false">IF(OR(Tasks[[#This Row],[Task Name]]="",Tasks[[#This Row],[Baseline Cost]]=""),"",Tasks[[#This Row],[Cost]]-N(Tasks[[#This Row],[Baseline Cost]]))</f>
        <v/>
      </c>
      <c r="BE203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203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203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203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203" s="43" t="str">
        <f aca="false">IF(Tasks[[#This Row],[Task Name]]="","",MAX(1,N(Tasks[[#This Row],[Level]])))</f>
        <v/>
      </c>
      <c r="BJ203" s="43" t="n">
        <f aca="false">ROW()-ROW(Tasks[[#Headers],[ID]])</f>
        <v>198</v>
      </c>
      <c r="BK203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203" s="43" t="n">
        <f aca="false">IFERROR(N(INDEX(Tasks[_Level],Tasks[[#This Row],[_Row]]+1)),0)</f>
        <v>0</v>
      </c>
      <c r="BM203" s="86" t="b">
        <f aca="false">AND(Tasks[[#This Row],[Task Name]]&lt;&gt;"",Tasks[[#This Row],[_NextLevel]]&gt;Tasks[[#This Row],[_Level]])</f>
        <v>0</v>
      </c>
      <c r="BN203" s="43" t="n">
        <f aca="false">IF(Tasks[[#This Row],[_IsSummary]],COUNTIF(Tasks[WBS],Tasks[[#This Row],[WBS]]&amp;".*"),0)</f>
        <v>0</v>
      </c>
      <c r="BO203" s="43" t="n">
        <f aca="false">IF(AND(Tasks[[#This Row],[Task Name]]&lt;&gt;"",NOT(Tasks[[#This Row],[_IsSummary]])),1,0)</f>
        <v>0</v>
      </c>
      <c r="BP203" s="43" t="n">
        <f aca="false">IF(N(Tasks[[#This Row],[Pred1 UID]])=0,0,IFERROR(MATCH(Tasks[[#This Row],[Pred1 UID]],Tasks[UID],0),-1))</f>
        <v>0</v>
      </c>
      <c r="BQ203" s="43" t="n">
        <f aca="false">IF(N(Tasks[[#This Row],[Pred2 UID]])=0,0,IFERROR(MATCH(Tasks[[#This Row],[Pred2 UID]],Tasks[UID],0),-1))</f>
        <v>0</v>
      </c>
      <c r="BR203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203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203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203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203" s="43" t="n">
        <f aca="false">IF(NOT(Tasks[[#This Row],[_IsLeaf]]=1),0,IF(N(Tasks[[#This Row],[Actual Finish]])&gt;0,1,MIN(1,N(Tasks[[#This Row],[% Complete]]))))</f>
        <v>0</v>
      </c>
      <c r="BW203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203" s="43" t="n">
        <f aca="false">IF(Tasks[[#This Row],[_LeafWork]]=0,0,Tasks[[#This Row],[_LeafWork]]*IFERROR(INDEX(res_Rate,MATCH(Tasks[[#This Row],[Resource]],res_Name,0)),0))</f>
        <v>0</v>
      </c>
      <c r="BY203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203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03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203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03" s="43" t="n">
        <f aca="false">IF(NOT(Tasks[[#This Row],[_IsLeaf]]=1),0,MAX(_xlfn.MAXIFS(Tasks[_Row],Tasks[Pred1 UID],Tasks[[#This Row],[UID]]),_xlfn.MAXIFS(Tasks[_Row],Tasks[Pred2 UID],Tasks[[#This Row],[UID]])))</f>
        <v>0</v>
      </c>
      <c r="CD203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203" s="87" t="str">
        <f aca="false">IF(NOT(Tasks[[#This Row],[_IsLeaf]]=1),"",MIN(ProjectFinish,IF(N(Tasks[[#This Row],[Deadline]])&gt;0,Tasks[[#This Row],[Deadline]],2958465),Tasks[[#This Row],[_SuccessorFinishLimit]]))</f>
        <v/>
      </c>
      <c r="CF203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203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203" s="86" t="b">
        <f aca="false">AND(Tasks[[#This Row],[_IsLeaf]]=1,Tasks[[#This Row],[_LeafProgress]]&lt;1,N(Tasks[[#This Row],[_LeafTotalSlack]])&lt;=CriticalSlackDays)</f>
        <v>0</v>
      </c>
      <c r="CI203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203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203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03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0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20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03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203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03" s="43" t="n">
        <f aca="false">IF(AND(Tasks[[#This Row],[_IsLeaf]]=1,Tasks[[#This Row],[_LeafWork]]&gt;0),NETWORKDAYS.INTL(ProjectStart,Tasks[[#This Row],[_LeafFcstStart]],WorkWeek,Holidays),0)</f>
        <v>0</v>
      </c>
      <c r="CR203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203" s="43" t="n">
        <f aca="false">IF(AND(Tasks[[#This Row],[_IsLeaf]]=1,Tasks[[#This Row],[_LeafWork]]&gt;0),Tasks[[#This Row],[_LeafWork]]/(Tasks[[#This Row],[_FinishWorkday]]-Tasks[[#This Row],[_StartWorkday]]+1),0)</f>
        <v>0</v>
      </c>
      <c r="CT203" s="43" t="n">
        <f aca="false">Tasks[[#This Row],[_WorkPerWorkday]]*(Tasks[[#This Row],[_StartWorkday]]-1)</f>
        <v>-0</v>
      </c>
      <c r="CU203" s="43" t="n">
        <f aca="false">IF(Tasks[[#This Row],[_IsLeaf]]=1,MAX(N(Tasks[[#This Row],[Duration]]),0.1),0)</f>
        <v>0</v>
      </c>
      <c r="CV203" s="43" t="n">
        <f aca="false">Tasks[[#This Row],[_WeightDur]]*Tasks[[#This Row],[_LeafProgress]]</f>
        <v>0</v>
      </c>
      <c r="CW203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203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03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203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03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203" s="43" t="str">
        <f aca="false">IF(AND(Tasks[[#This Row],[_IsLeaf]]=1,N(Tasks[[#This Row],[Duration]])=0,Tasks[[#This Row],[_LeafProgress]]&lt;1),Tasks[[#This Row],[_LeafFcstFinish]]+Tasks[[#This Row],[_Row]]/100000,"")</f>
        <v/>
      </c>
      <c r="DC203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03" s="43" t="n">
        <f aca="false">IF(NOT(Tasks[[#This Row],[_IsLeaf]]=1),0,IF(Tasks[[#This Row],[Baseline Cost]]="",Tasks[[#This Row],[_LeafCost]],N(Tasks[[#This Row],[Baseline Cost]])))</f>
        <v>0</v>
      </c>
      <c r="DE203" s="43" t="n">
        <f aca="false">Tasks[[#This Row],[_LeafBudget]]*Tasks[[#This Row],[_PlannedPct]]</f>
        <v>0</v>
      </c>
      <c r="DF203" s="43" t="n">
        <f aca="false">Tasks[[#This Row],[_LeafBudget]]*Tasks[[#This Row],[_LeafProgress]]</f>
        <v>0</v>
      </c>
      <c r="DG203" s="43" t="n">
        <f aca="false">IF(NOT(Tasks[[#This Row],[_IsLeaf]]=1),0,IF(Tasks[[#This Row],[Actual Cost]]="",Tasks[[#This Row],[_LeafCost]]*Tasks[[#This Row],[_LeafProgress]],N(Tasks[[#This Row],[Actual Cost]])))</f>
        <v>0</v>
      </c>
      <c r="DH203" s="43" t="str">
        <f aca="false">IF(Tasks[[#This Row],[Task Name]]="","",LEFT(Tasks[[#This Row],[WBS]],FIND(".",Tasks[[#This Row],[WBS]]&amp;".")-1))</f>
        <v/>
      </c>
      <c r="DI203" s="43" t="str">
        <f aca="false">IF(AND(Tasks[[#This Row],[Task Name]]&lt;&gt;"",Tasks[[#This Row],[_Level]]=1),Tasks[[#This Row],[_Row]],"")</f>
        <v/>
      </c>
      <c r="DJ203" s="43" t="str">
        <f aca="false">IF(AND(Tasks[[#This Row],[_IsLeaf]]=1,N(Tasks[[#This Row],[Duration]])=0),Tasks[[#This Row],[Planned Finish]]+Tasks[[#This Row],[_Row]]/100000,"")</f>
        <v/>
      </c>
      <c r="DK203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203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03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03" s="43" t="str">
        <f aca="false">IF(Tasks[[#This Row],[_LeafCritical]],Tasks[[#This Row],[_LeafFcstStart]]+Tasks[[#This Row],[_Row]]/100000,"")</f>
        <v/>
      </c>
      <c r="DO203" s="43" t="n">
        <f aca="false">Tasks[[#This Row],[_LeafWork]]*Tasks[[#This Row],[_LeafProgress]]</f>
        <v>0</v>
      </c>
      <c r="DP203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03" s="43" t="n">
        <f aca="false">IF(Tasks[[#This Row],[_IsLeaf]]=1,N(Tasks[[#This Row],[Story Points]]),0)</f>
        <v>0</v>
      </c>
      <c r="DR203" s="43" t="str">
        <f aca="false">IF(AND(Tasks[[#This Row],[_IsLeaf]]=1,CurrentSprint&lt;&gt;"",Tasks[[#This Row],[Sprint]]=CurrentSprint),Tasks[[#This Row],[_Row]],"")</f>
        <v/>
      </c>
    </row>
    <row r="204" customFormat="false" ht="15" hidden="false" customHeight="false" outlineLevel="0" collapsed="false">
      <c r="A204" s="28" t="str">
        <f aca="false">IF(Tasks[[#This Row],[Task Name]]="","",COUNTA(Tasks[[#Headers],[Task Name]]:Tasks[[#This Row],[Task Name]])-1)</f>
        <v/>
      </c>
      <c r="B204" s="29" t="n">
        <v>199</v>
      </c>
      <c r="C204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204" s="29"/>
      <c r="E204" s="30"/>
      <c r="F204" s="29"/>
      <c r="G204" s="29"/>
      <c r="H204" s="29"/>
      <c r="I204" s="29"/>
      <c r="J204" s="29"/>
      <c r="K204" s="29"/>
      <c r="L204" s="29"/>
      <c r="M204" s="29"/>
      <c r="N204" s="72"/>
      <c r="O204" s="72"/>
      <c r="P204" s="25" t="str">
        <f aca="false">IF(Tasks[[#This Row],[Task Name]]="","",IF(N(Tasks[[#This Row],[Baseline Start]])&gt;0,Tasks[[#This Row],[Baseline Start]],Tasks[[#This Row],[_CalcStart]]))</f>
        <v/>
      </c>
      <c r="Q204" s="25" t="str">
        <f aca="false">IF(Tasks[[#This Row],[Task Name]]="","",IF(N(Tasks[[#This Row],[Baseline Finish]])&gt;0,Tasks[[#This Row],[Baseline Finish]],Tasks[[#This Row],[_CalcFinish]]))</f>
        <v/>
      </c>
      <c r="R204" s="72"/>
      <c r="S204" s="72"/>
      <c r="T204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204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204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204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204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204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204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204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204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204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04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04" s="74"/>
      <c r="AF204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204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204" s="30"/>
      <c r="AI204" s="74"/>
      <c r="AJ204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204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204" s="83"/>
      <c r="AM204" s="29"/>
      <c r="AN204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204" s="84"/>
      <c r="AP204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204" s="30"/>
      <c r="AR204" s="25" t="str">
        <f aca="false">IF(Tasks[[#This Row],[Task Name]]="","",Tasks[[#This Row],[Forecast Start]])</f>
        <v/>
      </c>
      <c r="AS204" s="25" t="str">
        <f aca="false">IF(Tasks[[#This Row],[Task Name]]="","",Tasks[[#This Row],[Forecast Finish]])</f>
        <v/>
      </c>
      <c r="AT204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204" s="81" t="str">
        <f aca="false">IF(Tasks[[#This Row],[Task Name]]="","",Tasks[[#This Row],[Work]])</f>
        <v/>
      </c>
      <c r="AV204" s="82" t="str">
        <f aca="false">IF(Tasks[[#This Row],[Task Name]]="","",Tasks[[#This Row],[Cost]])</f>
        <v/>
      </c>
      <c r="AW204" s="72"/>
      <c r="AX204" s="72"/>
      <c r="AY204" s="29"/>
      <c r="AZ204" s="85"/>
      <c r="BA204" s="83"/>
      <c r="BB204" s="28" t="str">
        <f aca="false">IF(OR(Tasks[[#This Row],[Task Name]]="",Tasks[[#This Row],[Baseline Duration]]=""),"",Tasks[[#This Row],[BL Source Duration]]-N(Tasks[[#This Row],[Baseline Duration]]))</f>
        <v/>
      </c>
      <c r="BC204" s="81" t="str">
        <f aca="false">IF(OR(Tasks[[#This Row],[Task Name]]="",Tasks[[#This Row],[Baseline Work]]=""),"",Tasks[[#This Row],[Work]]-N(Tasks[[#This Row],[Baseline Work]]))</f>
        <v/>
      </c>
      <c r="BD204" s="82" t="str">
        <f aca="false">IF(OR(Tasks[[#This Row],[Task Name]]="",Tasks[[#This Row],[Baseline Cost]]=""),"",Tasks[[#This Row],[Cost]]-N(Tasks[[#This Row],[Baseline Cost]]))</f>
        <v/>
      </c>
      <c r="BE204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204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204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204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204" s="43" t="str">
        <f aca="false">IF(Tasks[[#This Row],[Task Name]]="","",MAX(1,N(Tasks[[#This Row],[Level]])))</f>
        <v/>
      </c>
      <c r="BJ204" s="43" t="n">
        <f aca="false">ROW()-ROW(Tasks[[#Headers],[ID]])</f>
        <v>199</v>
      </c>
      <c r="BK204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204" s="43" t="n">
        <f aca="false">IFERROR(N(INDEX(Tasks[_Level],Tasks[[#This Row],[_Row]]+1)),0)</f>
        <v>0</v>
      </c>
      <c r="BM204" s="86" t="b">
        <f aca="false">AND(Tasks[[#This Row],[Task Name]]&lt;&gt;"",Tasks[[#This Row],[_NextLevel]]&gt;Tasks[[#This Row],[_Level]])</f>
        <v>0</v>
      </c>
      <c r="BN204" s="43" t="n">
        <f aca="false">IF(Tasks[[#This Row],[_IsSummary]],COUNTIF(Tasks[WBS],Tasks[[#This Row],[WBS]]&amp;".*"),0)</f>
        <v>0</v>
      </c>
      <c r="BO204" s="43" t="n">
        <f aca="false">IF(AND(Tasks[[#This Row],[Task Name]]&lt;&gt;"",NOT(Tasks[[#This Row],[_IsSummary]])),1,0)</f>
        <v>0</v>
      </c>
      <c r="BP204" s="43" t="n">
        <f aca="false">IF(N(Tasks[[#This Row],[Pred1 UID]])=0,0,IFERROR(MATCH(Tasks[[#This Row],[Pred1 UID]],Tasks[UID],0),-1))</f>
        <v>0</v>
      </c>
      <c r="BQ204" s="43" t="n">
        <f aca="false">IF(N(Tasks[[#This Row],[Pred2 UID]])=0,0,IFERROR(MATCH(Tasks[[#This Row],[Pred2 UID]],Tasks[UID],0),-1))</f>
        <v>0</v>
      </c>
      <c r="BR204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204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204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204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204" s="43" t="n">
        <f aca="false">IF(NOT(Tasks[[#This Row],[_IsLeaf]]=1),0,IF(N(Tasks[[#This Row],[Actual Finish]])&gt;0,1,MIN(1,N(Tasks[[#This Row],[% Complete]]))))</f>
        <v>0</v>
      </c>
      <c r="BW204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204" s="43" t="n">
        <f aca="false">IF(Tasks[[#This Row],[_LeafWork]]=0,0,Tasks[[#This Row],[_LeafWork]]*IFERROR(INDEX(res_Rate,MATCH(Tasks[[#This Row],[Resource]],res_Name,0)),0))</f>
        <v>0</v>
      </c>
      <c r="BY204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204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04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204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04" s="43" t="n">
        <f aca="false">IF(NOT(Tasks[[#This Row],[_IsLeaf]]=1),0,MAX(_xlfn.MAXIFS(Tasks[_Row],Tasks[Pred1 UID],Tasks[[#This Row],[UID]]),_xlfn.MAXIFS(Tasks[_Row],Tasks[Pred2 UID],Tasks[[#This Row],[UID]])))</f>
        <v>0</v>
      </c>
      <c r="CD204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204" s="87" t="str">
        <f aca="false">IF(NOT(Tasks[[#This Row],[_IsLeaf]]=1),"",MIN(ProjectFinish,IF(N(Tasks[[#This Row],[Deadline]])&gt;0,Tasks[[#This Row],[Deadline]],2958465),Tasks[[#This Row],[_SuccessorFinishLimit]]))</f>
        <v/>
      </c>
      <c r="CF204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204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204" s="86" t="b">
        <f aca="false">AND(Tasks[[#This Row],[_IsLeaf]]=1,Tasks[[#This Row],[_LeafProgress]]&lt;1,N(Tasks[[#This Row],[_LeafTotalSlack]])&lt;=CriticalSlackDays)</f>
        <v>0</v>
      </c>
      <c r="CI204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204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204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04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0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20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04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204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04" s="43" t="n">
        <f aca="false">IF(AND(Tasks[[#This Row],[_IsLeaf]]=1,Tasks[[#This Row],[_LeafWork]]&gt;0),NETWORKDAYS.INTL(ProjectStart,Tasks[[#This Row],[_LeafFcstStart]],WorkWeek,Holidays),0)</f>
        <v>0</v>
      </c>
      <c r="CR204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204" s="43" t="n">
        <f aca="false">IF(AND(Tasks[[#This Row],[_IsLeaf]]=1,Tasks[[#This Row],[_LeafWork]]&gt;0),Tasks[[#This Row],[_LeafWork]]/(Tasks[[#This Row],[_FinishWorkday]]-Tasks[[#This Row],[_StartWorkday]]+1),0)</f>
        <v>0</v>
      </c>
      <c r="CT204" s="43" t="n">
        <f aca="false">Tasks[[#This Row],[_WorkPerWorkday]]*(Tasks[[#This Row],[_StartWorkday]]-1)</f>
        <v>-0</v>
      </c>
      <c r="CU204" s="43" t="n">
        <f aca="false">IF(Tasks[[#This Row],[_IsLeaf]]=1,MAX(N(Tasks[[#This Row],[Duration]]),0.1),0)</f>
        <v>0</v>
      </c>
      <c r="CV204" s="43" t="n">
        <f aca="false">Tasks[[#This Row],[_WeightDur]]*Tasks[[#This Row],[_LeafProgress]]</f>
        <v>0</v>
      </c>
      <c r="CW204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204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04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204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04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204" s="43" t="str">
        <f aca="false">IF(AND(Tasks[[#This Row],[_IsLeaf]]=1,N(Tasks[[#This Row],[Duration]])=0,Tasks[[#This Row],[_LeafProgress]]&lt;1),Tasks[[#This Row],[_LeafFcstFinish]]+Tasks[[#This Row],[_Row]]/100000,"")</f>
        <v/>
      </c>
      <c r="DC204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04" s="43" t="n">
        <f aca="false">IF(NOT(Tasks[[#This Row],[_IsLeaf]]=1),0,IF(Tasks[[#This Row],[Baseline Cost]]="",Tasks[[#This Row],[_LeafCost]],N(Tasks[[#This Row],[Baseline Cost]])))</f>
        <v>0</v>
      </c>
      <c r="DE204" s="43" t="n">
        <f aca="false">Tasks[[#This Row],[_LeafBudget]]*Tasks[[#This Row],[_PlannedPct]]</f>
        <v>0</v>
      </c>
      <c r="DF204" s="43" t="n">
        <f aca="false">Tasks[[#This Row],[_LeafBudget]]*Tasks[[#This Row],[_LeafProgress]]</f>
        <v>0</v>
      </c>
      <c r="DG204" s="43" t="n">
        <f aca="false">IF(NOT(Tasks[[#This Row],[_IsLeaf]]=1),0,IF(Tasks[[#This Row],[Actual Cost]]="",Tasks[[#This Row],[_LeafCost]]*Tasks[[#This Row],[_LeafProgress]],N(Tasks[[#This Row],[Actual Cost]])))</f>
        <v>0</v>
      </c>
      <c r="DH204" s="43" t="str">
        <f aca="false">IF(Tasks[[#This Row],[Task Name]]="","",LEFT(Tasks[[#This Row],[WBS]],FIND(".",Tasks[[#This Row],[WBS]]&amp;".")-1))</f>
        <v/>
      </c>
      <c r="DI204" s="43" t="str">
        <f aca="false">IF(AND(Tasks[[#This Row],[Task Name]]&lt;&gt;"",Tasks[[#This Row],[_Level]]=1),Tasks[[#This Row],[_Row]],"")</f>
        <v/>
      </c>
      <c r="DJ204" s="43" t="str">
        <f aca="false">IF(AND(Tasks[[#This Row],[_IsLeaf]]=1,N(Tasks[[#This Row],[Duration]])=0),Tasks[[#This Row],[Planned Finish]]+Tasks[[#This Row],[_Row]]/100000,"")</f>
        <v/>
      </c>
      <c r="DK204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204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04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04" s="43" t="str">
        <f aca="false">IF(Tasks[[#This Row],[_LeafCritical]],Tasks[[#This Row],[_LeafFcstStart]]+Tasks[[#This Row],[_Row]]/100000,"")</f>
        <v/>
      </c>
      <c r="DO204" s="43" t="n">
        <f aca="false">Tasks[[#This Row],[_LeafWork]]*Tasks[[#This Row],[_LeafProgress]]</f>
        <v>0</v>
      </c>
      <c r="DP204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04" s="43" t="n">
        <f aca="false">IF(Tasks[[#This Row],[_IsLeaf]]=1,N(Tasks[[#This Row],[Story Points]]),0)</f>
        <v>0</v>
      </c>
      <c r="DR204" s="43" t="str">
        <f aca="false">IF(AND(Tasks[[#This Row],[_IsLeaf]]=1,CurrentSprint&lt;&gt;"",Tasks[[#This Row],[Sprint]]=CurrentSprint),Tasks[[#This Row],[_Row]],"")</f>
        <v/>
      </c>
    </row>
    <row r="205" customFormat="false" ht="15" hidden="false" customHeight="false" outlineLevel="0" collapsed="false">
      <c r="A205" s="28" t="str">
        <f aca="false">IF(Tasks[[#This Row],[Task Name]]="","",COUNTA(Tasks[[#Headers],[Task Name]]:Tasks[[#This Row],[Task Name]])-1)</f>
        <v/>
      </c>
      <c r="B205" s="29" t="n">
        <v>200</v>
      </c>
      <c r="C205" s="28" t="str">
        <f aca="false">IF(Tasks[[#This Row],[Task Name]]="","",IF(Tasks[[#This Row],[_Level]]=1,COUNTIF(Tasks[[#Headers],[_Level]]:Tasks[[#This Row],[_Level]],1)&amp;"",IF(Tasks[[#This Row],[_ParentRow]]=0,"?",OFFSET(Tasks[[#Headers],[WBS]],Tasks[[#This Row],[_ParentRow]]-ROW(Tasks[[#Headers],[WBS]]),0)&amp;"."&amp;COUNTIF(INDEX(Tasks[_Level],Tasks[[#This Row],[_ParentRow]]-ROW(Tasks[[#Headers],[_Level]])+1):Tasks[[#This Row],[_Level]],Tasks[[#This Row],[_Level]]))))</f>
        <v/>
      </c>
      <c r="D205" s="29"/>
      <c r="E205" s="30"/>
      <c r="F205" s="29"/>
      <c r="G205" s="29"/>
      <c r="H205" s="29"/>
      <c r="I205" s="29"/>
      <c r="J205" s="29"/>
      <c r="K205" s="29"/>
      <c r="L205" s="29"/>
      <c r="M205" s="29"/>
      <c r="N205" s="72"/>
      <c r="O205" s="72"/>
      <c r="P205" s="25" t="str">
        <f aca="false">IF(Tasks[[#This Row],[Task Name]]="","",IF(N(Tasks[[#This Row],[Baseline Start]])&gt;0,Tasks[[#This Row],[Baseline Start]],Tasks[[#This Row],[_CalcStart]]))</f>
        <v/>
      </c>
      <c r="Q205" s="25" t="str">
        <f aca="false">IF(Tasks[[#This Row],[Task Name]]="","",IF(N(Tasks[[#This Row],[Baseline Finish]])&gt;0,Tasks[[#This Row],[Baseline Finish]],Tasks[[#This Row],[_CalcFinish]]))</f>
        <v/>
      </c>
      <c r="R205" s="72"/>
      <c r="S205" s="72"/>
      <c r="T205" s="25" t="str">
        <f aca="false">IF(Tasks[[#This Row],[Task Name]]="","",IF(Tasks[[#This Row],[_IsSummary]],MIN(INDEX(Tasks[_LeafFcstStart],Tasks[[#This Row],[_Row]]+1):INDEX(Tasks[_LeafFcstStart],Tasks[[#This Row],[_Row]]+Tasks[[#This Row],[_Descendants]])),Tasks[[#This Row],[_LeafFcstStart]]))</f>
        <v/>
      </c>
      <c r="U205" s="25" t="str">
        <f aca="false">IF(Tasks[[#This Row],[Task Name]]="","",IF(Tasks[[#This Row],[_IsSummary]],MAX(INDEX(Tasks[_LeafFcstFinish],Tasks[[#This Row],[_Row]]+1):INDEX(Tasks[_LeafFcstFinish],Tasks[[#This Row],[_Row]]+Tasks[[#This Row],[_Descendants]])),Tasks[[#This Row],[_LeafFcstFinish]]))</f>
        <v/>
      </c>
      <c r="V205" s="50" t="str">
        <f aca="false">IF(Tasks[[#This Row],[Task Name]]="","",IF(Tasks[[#This Row],[Forecast Start]]&gt;=Tasks[[#This Row],[Planned Start]],NETWORKDAYS.INTL(Tasks[[#This Row],[Planned Start]],Tasks[[#This Row],[Forecast Start]],WorkWeek,Holidays)-1,1-NETWORKDAYS.INTL(Tasks[[#This Row],[Forecast Start]],Tasks[[#This Row],[Planned Start]],WorkWeek,Holidays)))</f>
        <v/>
      </c>
      <c r="W205" s="50" t="str">
        <f aca="false">IF(Tasks[[#This Row],[Task Name]]="","",IF(Tasks[[#This Row],[Forecast Finish]]&gt;=Tasks[[#This Row],[Planned Finish]],NETWORKDAYS.INTL(Tasks[[#This Row],[Planned Finish]],Tasks[[#This Row],[Forecast Finish]],WorkWeek,Holidays)-1,1-NETWORKDAYS.INTL(Tasks[[#This Row],[Forecast Finish]],Tasks[[#This Row],[Planned Finish]],WorkWeek,Holidays)))</f>
        <v/>
      </c>
      <c r="X205" s="25" t="str">
        <f aca="false">IF(Tasks[[#This Row],[Task Name]]="","",IF(Tasks[[#This Row],[_IsSummary]],MIN(INDEX(Tasks[_LeafLateStart],Tasks[[#This Row],[_Row]]+1):INDEX(Tasks[_LeafLateStart],Tasks[[#This Row],[_Row]]+Tasks[[#This Row],[_Descendants]])),Tasks[[#This Row],[_LeafLateStart]]))</f>
        <v/>
      </c>
      <c r="Y205" s="25" t="str">
        <f aca="false">IF(Tasks[[#This Row],[Task Name]]="","",IF(Tasks[[#This Row],[_IsSummary]],MAX(INDEX(Tasks[_LeafLateFinish],Tasks[[#This Row],[_Row]]+1):INDEX(Tasks[_LeafLateFinish],Tasks[[#This Row],[_Row]]+Tasks[[#This Row],[_Descendants]])),Tasks[[#This Row],[_LeafLateFinish]]))</f>
        <v/>
      </c>
      <c r="Z205" s="50" t="str">
        <f aca="false">IF(Tasks[[#This Row],[Task Name]]="","",IF(Tasks[[#This Row],[_IsSummary]],MIN(INDEX(Tasks[_LeafTotalSlack],Tasks[[#This Row],[_Row]]+1):INDEX(Tasks[_LeafTotalSlack],Tasks[[#This Row],[_Row]]+Tasks[[#This Row],[_Descendants]])),Tasks[[#This Row],[_LeafTotalSlack]]))</f>
        <v/>
      </c>
      <c r="AA205" s="28" t="str">
        <f aca="false">IF(NOT(Tasks[[#This Row],[_IsLeaf]]=1),"",IF(MAX(IF(Tasks[[#This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Row],[UID]])))=0,Tasks[[#This Row],[_LeafTotalSlack]],MIN(Tasks[[#This Row],[_LeafTotalSlack]],100000-MAX(IF(Tasks[[#This Row],[_LastSuccessorRow]]&lt;=Tasks[[#This Row],[_Row]],0,_xlfn.MAXIFS(OFFSET(Tasks[[#Headers],[_Pred1SlackKey]],Tasks[[#This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Row],[_Row]],0,_xlfn.MAXIFS(OFFSET(Tasks[[#Headers],[_Pred2SlackKey]],Tasks[[#This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Row],[UID]]))))))</f>
        <v/>
      </c>
      <c r="AB205" s="28" t="str">
        <f aca="false">IF(Tasks[[#This Row],[Task Name]]="","",IF(IF(Tasks[[#This Row],[_IsSummary]],COUNTIF(INDEX(Tasks[_LeafCritical],Tasks[[#This Row],[_Row]]+1):INDEX(Tasks[_LeafCritical],Tasks[[#This Row],[_Row]]+Tasks[[#This Row],[_Descendants]]),TRUE())&gt;0,Tasks[[#This Row],[_LeafCritical]]),"Yes",""))</f>
        <v/>
      </c>
      <c r="AC205" s="28" t="str">
        <f aca="false">IF(OR(Tasks[[#This Row],[Task Name]]="",N(Tasks[[#This Row],[Deadline]])=0),"",IF(Tasks[[#This Row],[Forecast Finish]]&gt;Tasks[[#This Row],[Deadline]],"Late by "&amp;(IF(Tasks[[#This Row],[Forecast Finish]]&gt;=Tasks[[#This Row],[Deadline]],NETWORKDAYS.INTL(Tasks[[#This Row],[Deadline]],Tasks[[#This Row],[Forecast Finish]],WorkWeek,Holidays)-1,1-NETWORKDAYS.INTL(Tasks[[#This Row],[Forecast Finish]],Tasks[[#This Row],[Deadline]],WorkWeek,Holidays)))&amp;"d","OK"))</f>
        <v/>
      </c>
      <c r="AD205" s="24" t="str">
        <f aca="false">IF(Tasks[[#This Row],[Task Name]]="","",TRIM(IF(Tasks[[#This Row],[_Pred1Problem]]&lt;&gt;"","Pred 1: "&amp;Tasks[[#This Row],[_Pred1Problem]]&amp;". ","")&amp;IF(Tasks[[#This Row],[_Pred2Problem]]&lt;&gt;"","Pred 2: "&amp;Tasks[[#This Row],[_Pred2Problem]]&amp;".","")))</f>
        <v/>
      </c>
      <c r="AE205" s="74"/>
      <c r="AF205" s="80" t="str">
        <f aca="false">IF(Tasks[[#This Row],[Task Name]]="","",IF(Tasks[[#This Row],[_IsSummary]],IFERROR(SUM(INDEX(Tasks[_WeightDone],Tasks[[#This Row],[_Row]]+1):INDEX(Tasks[_WeightDone],Tasks[[#This Row],[_Row]]+Tasks[[#This Row],[_Descendants]]))/SUM(INDEX(Tasks[_WeightDur],Tasks[[#This Row],[_Row]]+1):INDEX(Tasks[_WeightDur],Tasks[[#This Row],[_Row]]+Tasks[[#This Row],[_Descendants]])),0),Tasks[[#This Row],[_LeafProgress]]))</f>
        <v/>
      </c>
      <c r="AG205" s="28" t="str">
        <f aca="false">IF(Tasks[[#This Row],[Task Name]]="","",IF(Tasks[[#This Row],[Progress]]&gt;=1,"Complete",IF(OR(N(Tasks[[#This Row],[Actual Start]])&gt;0,Tasks[[#This Row],[Progress]]&gt;0),IF(Tasks[[#This Row],[Finish Var]]&gt;0,"Behind","In Progress"),IF(Tasks[[#This Row],[Planned Start]]&lt;StatusDate,"Late Start","Not Started"))))</f>
        <v/>
      </c>
      <c r="AH205" s="30"/>
      <c r="AI205" s="74"/>
      <c r="AJ205" s="81" t="str">
        <f aca="false">IF(Tasks[[#This Row],[Task Name]]="","",IF(Tasks[[#This Row],[_IsSummary]],SUM(INDEX(Tasks[_LeafWork],Tasks[[#This Row],[_Row]]+1):INDEX(Tasks[_LeafWork],Tasks[[#This Row],[_Row]]+Tasks[[#This Row],[_Descendants]])),Tasks[[#This Row],[_LeafWork]]))</f>
        <v/>
      </c>
      <c r="AK205" s="82" t="str">
        <f aca="false">IF(Tasks[[#This Row],[Task Name]]="","",IF(Tasks[[#This Row],[_IsSummary]],SUM(INDEX(Tasks[_LeafCost],Tasks[[#This Row],[_Row]]+1):INDEX(Tasks[_LeafCost],Tasks[[#This Row],[_Row]]+Tasks[[#This Row],[_Descendants]])),Tasks[[#This Row],[_LeafCost]]))</f>
        <v/>
      </c>
      <c r="AL205" s="83"/>
      <c r="AM205" s="29"/>
      <c r="AN205" s="28" t="str">
        <f aca="false">IF(OR(Tasks[[#This Row],[Task Name]]="",Tasks[[#This Row],[_IsSummary]]),"",IF(Tasks[[#This Row],[Planned Sprint]]&lt;&gt;"",Tasks[[#This Row],[Planned Sprint]],IF(OR(Tasks[[#This Row],[Forecast Start]]&lt;Sprint1Start,Tasks[[#This Row],[Forecast Start]]&gt;SprintLastEnd),"Backlog",INDEX(spr_Name,MATCH(Tasks[[#This Row],[Forecast Start]],spr_Start,1)))))</f>
        <v/>
      </c>
      <c r="AO205" s="84"/>
      <c r="AP205" s="24" t="str">
        <f aca="false">IF(Tasks[[#This Row],[Task Name]]="","",Tasks[[#This Row],[_Pred1IDText]]&amp;IF(AND(Tasks[[#This Row],[_Pred1IDText]]&lt;&gt;"",Tasks[[#This Row],[_Pred2IDText]]&lt;&gt;""),",","")&amp;Tasks[[#This Row],[_Pred2IDText]])</f>
        <v/>
      </c>
      <c r="AQ205" s="30"/>
      <c r="AR205" s="25" t="str">
        <f aca="false">IF(Tasks[[#This Row],[Task Name]]="","",Tasks[[#This Row],[Forecast Start]])</f>
        <v/>
      </c>
      <c r="AS205" s="25" t="str">
        <f aca="false">IF(Tasks[[#This Row],[Task Name]]="","",Tasks[[#This Row],[Forecast Finish]])</f>
        <v/>
      </c>
      <c r="AT205" s="28" t="str">
        <f aca="false">IF(Tasks[[#This Row],[Task Name]]="","",IF(Tasks[[#This Row],[_IsSummary]],NETWORKDAYS.INTL(Tasks[[#This Row],[Forecast Start]],Tasks[[#This Row],[Forecast Finish]],WorkWeek,Holidays),N(Tasks[[#This Row],[Duration]])))</f>
        <v/>
      </c>
      <c r="AU205" s="81" t="str">
        <f aca="false">IF(Tasks[[#This Row],[Task Name]]="","",Tasks[[#This Row],[Work]])</f>
        <v/>
      </c>
      <c r="AV205" s="82" t="str">
        <f aca="false">IF(Tasks[[#This Row],[Task Name]]="","",Tasks[[#This Row],[Cost]])</f>
        <v/>
      </c>
      <c r="AW205" s="72"/>
      <c r="AX205" s="72"/>
      <c r="AY205" s="29"/>
      <c r="AZ205" s="85"/>
      <c r="BA205" s="83"/>
      <c r="BB205" s="28" t="str">
        <f aca="false">IF(OR(Tasks[[#This Row],[Task Name]]="",Tasks[[#This Row],[Baseline Duration]]=""),"",Tasks[[#This Row],[BL Source Duration]]-N(Tasks[[#This Row],[Baseline Duration]]))</f>
        <v/>
      </c>
      <c r="BC205" s="81" t="str">
        <f aca="false">IF(OR(Tasks[[#This Row],[Task Name]]="",Tasks[[#This Row],[Baseline Work]]=""),"",Tasks[[#This Row],[Work]]-N(Tasks[[#This Row],[Baseline Work]]))</f>
        <v/>
      </c>
      <c r="BD205" s="82" t="str">
        <f aca="false">IF(OR(Tasks[[#This Row],[Task Name]]="",Tasks[[#This Row],[Baseline Cost]]=""),"",Tasks[[#This Row],[Cost]]-N(Tasks[[#This Row],[Baseline Cost]]))</f>
        <v/>
      </c>
      <c r="BE205" s="82" t="str">
        <f aca="false">IF(Tasks[[#This Row],[Task Name]]="","",IF(Tasks[[#This Row],[_IsSummary]],SUM(INDEX(Tasks[_LeafBudget],Tasks[[#This Row],[_Row]]+1):INDEX(Tasks[_LeafBudget],Tasks[[#This Row],[_Row]]+Tasks[[#This Row],[_Descendants]])),Tasks[[#This Row],[_LeafBudget]]))</f>
        <v/>
      </c>
      <c r="BF205" s="82" t="str">
        <f aca="false">IF(Tasks[[#This Row],[Task Name]]="","",IF(Tasks[[#This Row],[_IsSummary]],SUM(INDEX(Tasks[_LeafPV],Tasks[[#This Row],[_Row]]+1):INDEX(Tasks[_LeafPV],Tasks[[#This Row],[_Row]]+Tasks[[#This Row],[_Descendants]])),Tasks[[#This Row],[_LeafPV]]))</f>
        <v/>
      </c>
      <c r="BG205" s="82" t="str">
        <f aca="false">IF(Tasks[[#This Row],[Task Name]]="","",IF(Tasks[[#This Row],[_IsSummary]],SUM(INDEX(Tasks[_LeafEV],Tasks[[#This Row],[_Row]]+1):INDEX(Tasks[_LeafEV],Tasks[[#This Row],[_Row]]+Tasks[[#This Row],[_Descendants]])),Tasks[[#This Row],[_LeafEV]]))</f>
        <v/>
      </c>
      <c r="BH205" s="82" t="str">
        <f aca="false">IF(Tasks[[#This Row],[Task Name]]="","",IF(Tasks[[#This Row],[_IsSummary]],SUM(INDEX(Tasks[_LeafAC],Tasks[[#This Row],[_Row]]+1):INDEX(Tasks[_LeafAC],Tasks[[#This Row],[_Row]]+Tasks[[#This Row],[_Descendants]])),Tasks[[#This Row],[_LeafAC]]))</f>
        <v/>
      </c>
      <c r="BI205" s="43" t="str">
        <f aca="false">IF(Tasks[[#This Row],[Task Name]]="","",MAX(1,N(Tasks[[#This Row],[Level]])))</f>
        <v/>
      </c>
      <c r="BJ205" s="43" t="n">
        <f aca="false">ROW()-ROW(Tasks[[#Headers],[ID]])</f>
        <v>200</v>
      </c>
      <c r="BK205" s="43" t="n">
        <f aca="false">IF(OR(Tasks[[#This Row],[Task Name]]="",Tasks[[#This Row],[_Level]]&lt;=1),0,IFERROR(LOOKUP(2,1/(Tasks[[#Headers],[_Level]]:Tasks[[#This Row],[_Level]]=Tasks[[#This Row],[_Level]]-1),ROW(Tasks[[#Headers],[_Level]]:Tasks[[#This Row],[_Level]])),0))</f>
        <v>0</v>
      </c>
      <c r="BL205" s="43" t="n">
        <f aca="false">IFERROR(N(INDEX(Tasks[_Level],Tasks[[#This Row],[_Row]]+1)),0)</f>
        <v>0</v>
      </c>
      <c r="BM205" s="86" t="b">
        <f aca="false">AND(Tasks[[#This Row],[Task Name]]&lt;&gt;"",Tasks[[#This Row],[_NextLevel]]&gt;Tasks[[#This Row],[_Level]])</f>
        <v>0</v>
      </c>
      <c r="BN205" s="43" t="n">
        <f aca="false">IF(Tasks[[#This Row],[_IsSummary]],COUNTIF(Tasks[WBS],Tasks[[#This Row],[WBS]]&amp;".*"),0)</f>
        <v>0</v>
      </c>
      <c r="BO205" s="43" t="n">
        <f aca="false">IF(AND(Tasks[[#This Row],[Task Name]]&lt;&gt;"",NOT(Tasks[[#This Row],[_IsSummary]])),1,0)</f>
        <v>0</v>
      </c>
      <c r="BP205" s="43" t="n">
        <f aca="false">IF(N(Tasks[[#This Row],[Pred1 UID]])=0,0,IFERROR(MATCH(Tasks[[#This Row],[Pred1 UID]],Tasks[UID],0),-1))</f>
        <v>0</v>
      </c>
      <c r="BQ205" s="43" t="n">
        <f aca="false">IF(N(Tasks[[#This Row],[Pred2 UID]])=0,0,IFERROR(MATCH(Tasks[[#This Row],[Pred2 UID]],Tasks[UID],0),-1))</f>
        <v>0</v>
      </c>
      <c r="BR205" s="87" t="str">
        <f aca="false">IF(NOT(Tasks[[#This Row],[_IsLeaf]]=1),"",IF(Tasks[[#This Row],[Mode]]="Manual",IF(N(Tasks[[#This Row],[Start No Earlier Than]])&gt;0,Tasks[[#This Row],[Start No Earlier Than]],ProjectStart),WORKDAY.INTL(MAX(ProjectStart,N(Tasks[[#This Row],[Start No Earlier Than]]),Tasks[[#This Row],[_Pred1PlanDriver]],Tasks[[#This Row],[_Pred2PlanDriver]])-1,1,WorkWeek,Holidays)))</f>
        <v/>
      </c>
      <c r="BS205" s="87" t="str">
        <f aca="false">IF(NOT(Tasks[[#This Row],[_IsLeaf]]=1),"",IF(N(Tasks[[#This Row],[Duration]])&lt;=0,Tasks[[#This Row],[_LeafCalcStart]],WORKDAY.INTL(Tasks[[#This Row],[_LeafCalcStart]],Tasks[[#This Row],[Duration]]-1,WorkWeek,Holidays)))</f>
        <v/>
      </c>
      <c r="BT205" s="87" t="str">
        <f aca="false">IF(NOT(Tasks[[#This Row],[_IsLeaf]]=1),"",IF(N(Tasks[[#This Row],[Actual Start]])&gt;0,Tasks[[#This Row],[Actual Start]],IF(Tasks[[#This Row],[Mode]]="Manual",IF(N(Tasks[[#This Row],[Start No Earlier Than]])&gt;0,Tasks[[#This Row],[Start No Earlier Than]],ProjectStart),WORKDAY.INTL(MAX(ProjectStart,N(Tasks[[#This Row],[Start No Earlier Than]]),Tasks[[#This Row],[_Pred1FcstDriver]],Tasks[[#This Row],[_Pred2FcstDriver]],IF(RescheduleAfterStatus="Yes",StatusDate,0))-1,1,WorkWeek,Holidays))))</f>
        <v/>
      </c>
      <c r="BU205" s="87" t="str">
        <f aca="false">IF(NOT(Tasks[[#This Row],[_IsLeaf]]=1),"",IF(N(Tasks[[#This Row],[Actual Finish]])&gt;0,Tasks[[#This Row],[Actual Finish]],IF(N(Tasks[[#This Row],[Duration]])&lt;=0,Tasks[[#This Row],[_LeafFcstStart]],IF(AND(N(Tasks[[#This Row],[Actual Start]])&gt;0,RescheduleAfterStatus="Yes"),MAX(WORKDAY.INTL(Tasks[[#This Row],[_LeafFcstStart]],Tasks[[#This Row],[Duration]]-1,WorkWeek,Holidays),WORKDAY.INTL(StatusWorkday,MAX(0,ROUNDUP(Tasks[[#This Row],[Duration]]*(1-MIN(1,N(Tasks[[#This Row],[% Complete]]))),0)-1),WorkWeek,Holidays)),WORKDAY.INTL(Tasks[[#This Row],[_LeafFcstStart]],Tasks[[#This Row],[Duration]]-1,WorkWeek,Holidays)))))</f>
        <v/>
      </c>
      <c r="BV205" s="43" t="n">
        <f aca="false">IF(NOT(Tasks[[#This Row],[_IsLeaf]]=1),0,IF(N(Tasks[[#This Row],[Actual Finish]])&gt;0,1,MIN(1,N(Tasks[[#This Row],[% Complete]]))))</f>
        <v>0</v>
      </c>
      <c r="BW205" s="43" t="n">
        <f aca="false">IF(OR(NOT(Tasks[[#This Row],[_IsLeaf]]=1),Tasks[[#This Row],[Resource]]=""),0,N(Tasks[[#This Row],[Duration]])*HoursPerDay*IF(Tasks[[#This Row],[Units]]="",DefaultUnits,Tasks[[#This Row],[Units]]))</f>
        <v>0</v>
      </c>
      <c r="BX205" s="43" t="n">
        <f aca="false">IF(Tasks[[#This Row],[_LeafWork]]=0,0,Tasks[[#This Row],[_LeafWork]]*IFERROR(INDEX(res_Rate,MATCH(Tasks[[#This Row],[Resource]],res_Name,0)),0))</f>
        <v>0</v>
      </c>
      <c r="BY205" s="43" t="str">
        <f aca="false">IF(AND(Tasks[[#This Row],[_IsLeaf]]=1,Tasks[[#This Row],[_Pred1Pos]]&gt;0,Tasks[[#This Row],[_Pred1Problem]]=""),2958465-IF(IF(Tasks[[#This Row],[Pred1 Type]]="","FS",Tasks[[#This Row],[Pred1 Type]])="FS",WORKDAY.INTL(Tasks[[#This Row],[_LeafLateStart]],-(IF(N(Tasks[[#This Row],[Duration]])=0,0,1)+N(Tasks[[#This Row],[Pred1 Lag]])),WorkWeek,Holidays),IF(IF(Tasks[[#This Row],[Pred1 Type]]="","FS",Tasks[[#This Row],[Pred1 Type]])="FF",WORKDAY.INTL(Tasks[[#This Row],[_LeafLateFinish]],-N(Tasks[[#This Row],[Pred1 Lag]]),WorkWeek,Holidays),IF(N(INDEX(Tasks[Duration],Tasks[[#This Row],[_Pred1Pos]]))&lt;=0,WORKDAY.INTL(IF(IF(Tasks[[#This Row],[Pred1 Type]]="","FS",Tasks[[#This Row],[Pred1 Type]])="SS",Tasks[[#This Row],[_LeafLateStart]],Tasks[[#This Row],[_LeafLateFinish]]),-N(Tasks[[#This Row],[Pred1 Lag]]),WorkWeek,Holidays),WORKDAY.INTL(WORKDAY.INTL(IF(IF(Tasks[[#This Row],[Pred1 Type]]="","FS",Tasks[[#This Row],[Pred1 Type]])="SS",Tasks[[#This Row],[_LeafLateStart]],Tasks[[#This Row],[_LeafLateFinish]]),-N(Tasks[[#This Row],[Pred1 Lag]]),WorkWeek,Holidays),N(INDEX(Tasks[Duration],Tasks[[#This Row],[_Pred1Pos]]))-1,WorkWeek,Holidays)))),"")</f>
        <v/>
      </c>
      <c r="BZ205" s="43" t="str">
        <f aca="false">IF(AND(Tasks[[#This Row],[_IsLeaf]]=1,Tasks[[#This Row],[_Pred2Pos]]&gt;0,Tasks[[#This Row],[_Pred2Problem]]=""),2958465-IF(IF(Tasks[[#This Row],[Pred2 Type]]="","FS",Tasks[[#This Row],[Pred2 Type]])="FS",WORKDAY.INTL(Tasks[[#This Row],[_LeafLateStart]],-(IF(N(Tasks[[#This Row],[Duration]])=0,0,1)+N(Tasks[[#This Row],[Pred2 Lag]])),WorkWeek,Holidays),IF(IF(Tasks[[#This Row],[Pred2 Type]]="","FS",Tasks[[#This Row],[Pred2 Type]])="FF",WORKDAY.INTL(Tasks[[#This Row],[_LeafLateFinish]],-N(Tasks[[#This Row],[Pred2 Lag]]),WorkWeek,Holidays),IF(N(INDEX(Tasks[Duration],Tasks[[#This Row],[_Pred2Pos]]))&lt;=0,WORKDAY.INTL(IF(IF(Tasks[[#This Row],[Pred2 Type]]="","FS",Tasks[[#This Row],[Pred2 Type]])="SS",Tasks[[#This Row],[_LeafLateStart]],Tasks[[#This Row],[_LeafLateFinish]]),-N(Tasks[[#This Row],[Pred2 Lag]]),WorkWeek,Holidays),WORKDAY.INTL(WORKDAY.INTL(IF(IF(Tasks[[#This Row],[Pred2 Type]]="","FS",Tasks[[#This Row],[Pred2 Type]])="SS",Tasks[[#This Row],[_LeafLateStart]],Tasks[[#This Row],[_LeafLateFinish]]),-N(Tasks[[#This Row],[Pred2 Lag]]),WorkWeek,Holidays),N(INDEX(Tasks[Duration],Tasks[[#This Row],[_Pred2Pos]]))-1,WorkWeek,Holidays)))),"")</f>
        <v/>
      </c>
      <c r="CA205" s="43" t="str">
        <f aca="false">IF(AND(Tasks[[#This Row],[_IsLeaf]]=1,Tasks[[#This Row],[_Pred1Pos]]&gt;0,Tasks[[#This Row],[_Pred1Problem]]=""),100000-IF(Tasks[[#This Row],[_LeafFcstStart]]&gt;=Tasks[[#This Row],[_Pred1FcstDriver]],NETWORKDAYS.INTL(Tasks[[#This Row],[_Pred1FcstDriver]],Tasks[[#This Row],[_LeafFcstStart]],WorkWeek,Holidays)-1,1-NETWORKDAYS.INTL(Tasks[[#This Row],[_LeafFcstStart]],Tasks[[#This Row],[_Pred1FcstDriver]],WorkWeek,Holidays)),"")</f>
        <v/>
      </c>
      <c r="CB205" s="43" t="str">
        <f aca="false">IF(AND(Tasks[[#This Row],[_IsLeaf]]=1,Tasks[[#This Row],[_Pred2Pos]]&gt;0,Tasks[[#This Row],[_Pred2Problem]]=""),100000-IF(Tasks[[#This Row],[_LeafFcstStart]]&gt;=Tasks[[#This Row],[_Pred2FcstDriver]],NETWORKDAYS.INTL(Tasks[[#This Row],[_Pred2FcstDriver]],Tasks[[#This Row],[_LeafFcstStart]],WorkWeek,Holidays)-1,1-NETWORKDAYS.INTL(Tasks[[#This Row],[_LeafFcstStart]],Tasks[[#This Row],[_Pred2FcstDriver]],WorkWeek,Holidays)),"")</f>
        <v/>
      </c>
      <c r="CC205" s="43" t="n">
        <f aca="false">IF(NOT(Tasks[[#This Row],[_IsLeaf]]=1),0,MAX(_xlfn.MAXIFS(Tasks[_Row],Tasks[Pred1 UID],Tasks[[#This Row],[UID]]),_xlfn.MAXIFS(Tasks[_Row],Tasks[Pred2 UID],Tasks[[#This Row],[UID]])))</f>
        <v>0</v>
      </c>
      <c r="CD205" s="87" t="str">
        <f aca="false">IF(NOT(Tasks[[#This Row],[_IsLeaf]]=1),"",2958465-MAX(IF(Tasks[[#This Row],[_LastSuccessorRow]]&lt;=Tasks[[#This Row],[_Row]],0,_xlfn.MAXIFS(OFFSET(Tasks[[#Headers],[_Pred1FinishKey]],Tasks[[#This Row],[_Row]]+1,0,MAX(1,Tasks[[#This Row],[_LastSuccessorRow]]-Tasks[[#This Row],[_Row]]),1),OFFSET(Tasks[[#Headers],[Pred1 UID]],Tasks[[#This Row],[_Row]]+1,0,MAX(1,Tasks[[#This Row],[_LastSuccessorRow]]-Tasks[[#This Row],[_Row]]),1),Tasks[[#This Row],[UID]])),IF(Tasks[[#This Row],[_LastSuccessorRow]]&lt;=Tasks[[#This Row],[_Row]],0,_xlfn.MAXIFS(OFFSET(Tasks[[#Headers],[_Pred2FinishKey]],Tasks[[#This Row],[_Row]]+1,0,MAX(1,Tasks[[#This Row],[_LastSuccessorRow]]-Tasks[[#This Row],[_Row]]),1),OFFSET(Tasks[[#Headers],[Pred2 UID]],Tasks[[#This Row],[_Row]]+1,0,MAX(1,Tasks[[#This Row],[_LastSuccessorRow]]-Tasks[[#This Row],[_Row]]),1),Tasks[[#This Row],[UID]]))))</f>
        <v/>
      </c>
      <c r="CE205" s="87" t="str">
        <f aca="false">IF(NOT(Tasks[[#This Row],[_IsLeaf]]=1),"",MIN(ProjectFinish,IF(N(Tasks[[#This Row],[Deadline]])&gt;0,Tasks[[#This Row],[Deadline]],2958465),Tasks[[#This Row],[_SuccessorFinishLimit]]))</f>
        <v/>
      </c>
      <c r="CF205" s="87" t="str">
        <f aca="false">IF(NOT(Tasks[[#This Row],[_IsLeaf]]=1),"",IF(N(Tasks[[#This Row],[Duration]])&lt;=0,Tasks[[#This Row],[_LeafLateFinish]],WORKDAY.INTL(Tasks[[#This Row],[_LeafLateFinish]],-(Tasks[[#This Row],[Duration]]-1),WorkWeek,Holidays)))</f>
        <v/>
      </c>
      <c r="CG205" s="43" t="str">
        <f aca="false">IF(NOT(Tasks[[#This Row],[_IsLeaf]]=1),"",IF(Tasks[[#This Row],[_LeafLateFinish]]&gt;=Tasks[[#This Row],[_LeafFcstFinish]],NETWORKDAYS.INTL(Tasks[[#This Row],[_LeafFcstFinish]],Tasks[[#This Row],[_LeafLateFinish]],WorkWeek,Holidays)-1,1-NETWORKDAYS.INTL(Tasks[[#This Row],[_LeafLateFinish]],Tasks[[#This Row],[_LeafFcstFinish]],WorkWeek,Holidays)))</f>
        <v/>
      </c>
      <c r="CH205" s="86" t="b">
        <f aca="false">AND(Tasks[[#This Row],[_IsLeaf]]=1,Tasks[[#This Row],[_LeafProgress]]&lt;1,N(Tasks[[#This Row],[_LeafTotalSlack]])&lt;=CriticalSlackDays)</f>
        <v>0</v>
      </c>
      <c r="CI205" s="87" t="str">
        <f aca="false">IF(Tasks[[#This Row],[Task Name]]="","",IF(Tasks[[#This Row],[_IsSummary]],MIN(INDEX(Tasks[_LeafCalcStart],Tasks[[#This Row],[_Row]]+1):INDEX(Tasks[_LeafCalcStart],Tasks[[#This Row],[_Row]]+Tasks[[#This Row],[_Descendants]])),Tasks[[#This Row],[_LeafCalcStart]]))</f>
        <v/>
      </c>
      <c r="CJ205" s="87" t="str">
        <f aca="false">IF(Tasks[[#This Row],[Task Name]]="","",IF(Tasks[[#This Row],[_IsSummary]],MAX(INDEX(Tasks[_LeafCalcFinish],Tasks[[#This Row],[_Row]]+1):INDEX(Tasks[_LeafCalcFinish],Tasks[[#This Row],[_Row]]+Tasks[[#This Row],[_Descendants]])),Tasks[[#This Row],[_LeafCalcFinish]]))</f>
        <v/>
      </c>
      <c r="CK205" s="43" t="str">
        <f aca="false">IF(OR(N(Tasks[[#This Row],[Pred1 UID]])=0,Tasks[[#This Row],[Task Name]]=""),"",IF(Tasks[[#This Row],[_IsSummary]],"ignored: summary tasks roll up",IF(Tasks[[#This Row],[Pred1 UID]]=Tasks[[#This Row],[UID]],"links to itself",IF(Tasks[[#This Row],[_Pred1Pos]]&lt;0,"UID "&amp;Tasks[[#This Row],[Pred1 UID]]&amp;" not found",IF(INDEX(Tasks[Task Name],Tasks[[#This Row],[_Pred1Pos]])="","UID "&amp;Tasks[[#This Row],[Pred1 UID]]&amp;" is an empty row",IF(Tasks[[#This Row],[_Pred1Pos]]&gt;Tasks[[#This Row],[_Row]],"UID "&amp;Tasks[[#This Row],[Pred1 UID]]&amp;" is below this task: move it above",IF(INDEX(Tasks[_IsSummary],Tasks[[#This Row],[_Pred1Pos]]),"UID "&amp;Tasks[[#This Row],[Pred1 UID]]&amp;" is a summary: link to one of its tasks","")))))))</f>
        <v/>
      </c>
      <c r="CL205" s="43" t="str">
        <f aca="false">IF(OR(N(Tasks[[#This Row],[Pred2 UID]])=0,Tasks[[#This Row],[Task Name]]=""),"",IF(Tasks[[#This Row],[_IsSummary]],"ignored: summary tasks roll up",IF(Tasks[[#This Row],[Pred2 UID]]=Tasks[[#This Row],[UID]],"links to itself",IF(Tasks[[#This Row],[_Pred2Pos]]&lt;0,"UID "&amp;Tasks[[#This Row],[Pred2 UID]]&amp;" not found",IF(INDEX(Tasks[Task Name],Tasks[[#This Row],[_Pred2Pos]])="","UID "&amp;Tasks[[#This Row],[Pred2 UID]]&amp;" is an empty row",IF(Tasks[[#This Row],[_Pred2Pos]]&gt;Tasks[[#This Row],[_Row]],"UID "&amp;Tasks[[#This Row],[Pred2 UID]]&amp;" is below this task: move it above",IF(INDEX(Tasks[_IsSummary],Tasks[[#This Row],[_Pred2Pos]]),"UID "&amp;Tasks[[#This Row],[Pred2 UID]]&amp;" is a summary: link to one of its tasks","")))))))</f>
        <v/>
      </c>
      <c r="CM20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Type]]),{"FS","SS","FF","SF"},0),WORKDAY.INTL(OFFSET(Tasks[[#Headers],[_LeafCalcFinish]],Tasks[[#This Row],[_Pred1Pos]],0),IF(N(Tasks[[#This Row],[Duration]])=0,0,1)+N(Tasks[[#This Row],[Pred1 Lag]]),WorkWeek,Holidays),WORKDAY.INTL(OFFSET(Tasks[[#Headers],[_LeafCalcStart]],Tasks[[#This Row],[_Pred1Pos]],0),N(Tasks[[#This Row],[Pred1 Lag]]),WorkWeek,Holidays),WORKDAY.INTL(WORKDAY.INTL(OFFSET(Tasks[[#Headers],[_LeafCalcFinish]],Tasks[[#This Row],[_Pred1Pos]],0),N(Tasks[[#This Row],[Pred1 Lag]]),WorkWeek,Holidays),-MAX(0,N(Tasks[[#This Row],[Duration]])-1),WorkWeek,Holidays),WORKDAY.INTL(WORKDAY.INTL(OFFSET(Tasks[[#Headers],[_LeafCalcStart]],Tasks[[#This Row],[_Pred1Pos]],0),N(Tasks[[#This Row],[Pred1 Lag]]),WorkWeek,Holidays),-MAX(0,N(Tasks[[#This Row],[Duration]])-1),WorkWeek,Holidays)),0))</f>
        <v>0</v>
      </c>
      <c r="CN20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Type]]),{"FS","SS","FF","SF"},0),WORKDAY.INTL(OFFSET(Tasks[[#Headers],[_LeafCalcFinish]],Tasks[[#This Row],[_Pred2Pos]],0),IF(N(Tasks[[#This Row],[Duration]])=0,0,1)+N(Tasks[[#This Row],[Pred2 Lag]]),WorkWeek,Holidays),WORKDAY.INTL(OFFSET(Tasks[[#Headers],[_LeafCalcStart]],Tasks[[#This Row],[_Pred2Pos]],0),N(Tasks[[#This Row],[Pred2 Lag]]),WorkWeek,Holidays),WORKDAY.INTL(WORKDAY.INTL(OFFSET(Tasks[[#Headers],[_LeafCalcFinish]],Tasks[[#This Row],[_Pred2Pos]],0),N(Tasks[[#This Row],[Pred2 Lag]]),WorkWeek,Holidays),-MAX(0,N(Tasks[[#This Row],[Duration]])-1),WorkWeek,Holidays),WORKDAY.INTL(WORKDAY.INTL(OFFSET(Tasks[[#Headers],[_LeafCalcStart]],Tasks[[#This Row],[_Pred2Pos]],0),N(Tasks[[#This Row],[Pred2 Lag]]),WorkWeek,Holidays),-MAX(0,N(Tasks[[#This Row],[Duration]])-1),WorkWeek,Holidays)),0))</f>
        <v>0</v>
      </c>
      <c r="CO205" s="87" t="n">
        <f aca="false">IF(OR(Tasks[[#This Row],[_Pred1Pos]]&lt;=0,Tasks[[#This Row],[_Pred1Problem]]&lt;&gt;"",Tasks[[#This Row],[_IsSummary]],Tasks[[#This Row],[Task Name]]=""),0,IFERROR(CHOOSE(MATCH(IF(Tasks[[#This Row],[Pred1 Type]]="","FS",Tasks[[#This Row],[Pred1 Type]]),{"FS","SS","FF","SF"},0),WORKDAY.INTL(OFFSET(Tasks[[#Headers],[_LeafFcstFinish]],Tasks[[#This Row],[_Pred1Pos]],0),IF(N(Tasks[[#This Row],[Duration]])=0,0,1)+N(Tasks[[#This Row],[Pred1 Lag]]),WorkWeek,Holidays),WORKDAY.INTL(OFFSET(Tasks[[#Headers],[_LeafFcstStart]],Tasks[[#This Row],[_Pred1Pos]],0),N(Tasks[[#This Row],[Pred1 Lag]]),WorkWeek,Holidays),WORKDAY.INTL(WORKDAY.INTL(OFFSET(Tasks[[#Headers],[_LeafFcstFinish]],Tasks[[#This Row],[_Pred1Pos]],0),N(Tasks[[#This Row],[Pred1 Lag]]),WorkWeek,Holidays),-MAX(0,N(Tasks[[#This Row],[Duration]])-1),WorkWeek,Holidays),WORKDAY.INTL(WORKDAY.INTL(OFFSET(Tasks[[#Headers],[_LeafFcstStart]],Tasks[[#This Row],[_Pred1Pos]],0),N(Tasks[[#This Row],[Pred1 Lag]]),WorkWeek,Holidays),-MAX(0,N(Tasks[[#This Row],[Duration]])-1),WorkWeek,Holidays)),0))</f>
        <v>0</v>
      </c>
      <c r="CP205" s="87" t="n">
        <f aca="false">IF(OR(Tasks[[#This Row],[_Pred2Pos]]&lt;=0,Tasks[[#This Row],[_Pred2Problem]]&lt;&gt;"",Tasks[[#This Row],[_IsSummary]],Tasks[[#This Row],[Task Name]]=""),0,IFERROR(CHOOSE(MATCH(IF(Tasks[[#This Row],[Pred2 Type]]="","FS",Tasks[[#This Row],[Pred2 Type]]),{"FS","SS","FF","SF"},0),WORKDAY.INTL(OFFSET(Tasks[[#Headers],[_LeafFcstFinish]],Tasks[[#This Row],[_Pred2Pos]],0),IF(N(Tasks[[#This Row],[Duration]])=0,0,1)+N(Tasks[[#This Row],[Pred2 Lag]]),WorkWeek,Holidays),WORKDAY.INTL(OFFSET(Tasks[[#Headers],[_LeafFcstStart]],Tasks[[#This Row],[_Pred2Pos]],0),N(Tasks[[#This Row],[Pred2 Lag]]),WorkWeek,Holidays),WORKDAY.INTL(WORKDAY.INTL(OFFSET(Tasks[[#Headers],[_LeafFcstFinish]],Tasks[[#This Row],[_Pred2Pos]],0),N(Tasks[[#This Row],[Pred2 Lag]]),WorkWeek,Holidays),-MAX(0,N(Tasks[[#This Row],[Duration]])-1),WorkWeek,Holidays),WORKDAY.INTL(WORKDAY.INTL(OFFSET(Tasks[[#Headers],[_LeafFcstStart]],Tasks[[#This Row],[_Pred2Pos]],0),N(Tasks[[#This Row],[Pred2 Lag]]),WorkWeek,Holidays),-MAX(0,N(Tasks[[#This Row],[Duration]])-1),WorkWeek,Holidays)),0))</f>
        <v>0</v>
      </c>
      <c r="CQ205" s="43" t="n">
        <f aca="false">IF(AND(Tasks[[#This Row],[_IsLeaf]]=1,Tasks[[#This Row],[_LeafWork]]&gt;0),NETWORKDAYS.INTL(ProjectStart,Tasks[[#This Row],[_LeafFcstStart]],WorkWeek,Holidays),0)</f>
        <v>0</v>
      </c>
      <c r="CR205" s="43" t="n">
        <f aca="false">IF(AND(Tasks[[#This Row],[_IsLeaf]]=1,Tasks[[#This Row],[_LeafWork]]&gt;0),MAX(Tasks[[#This Row],[_StartWorkday]],NETWORKDAYS.INTL(ProjectStart,Tasks[[#This Row],[_LeafFcstFinish]],WorkWeek,Holidays)),0)</f>
        <v>0</v>
      </c>
      <c r="CS205" s="43" t="n">
        <f aca="false">IF(AND(Tasks[[#This Row],[_IsLeaf]]=1,Tasks[[#This Row],[_LeafWork]]&gt;0),Tasks[[#This Row],[_LeafWork]]/(Tasks[[#This Row],[_FinishWorkday]]-Tasks[[#This Row],[_StartWorkday]]+1),0)</f>
        <v>0</v>
      </c>
      <c r="CT205" s="43" t="n">
        <f aca="false">Tasks[[#This Row],[_WorkPerWorkday]]*(Tasks[[#This Row],[_StartWorkday]]-1)</f>
        <v>-0</v>
      </c>
      <c r="CU205" s="43" t="n">
        <f aca="false">IF(Tasks[[#This Row],[_IsLeaf]]=1,MAX(N(Tasks[[#This Row],[Duration]]),0.1),0)</f>
        <v>0</v>
      </c>
      <c r="CV205" s="43" t="n">
        <f aca="false">Tasks[[#This Row],[_WeightDur]]*Tasks[[#This Row],[_LeafProgress]]</f>
        <v>0</v>
      </c>
      <c r="CW205" s="43" t="str">
        <f aca="false">IF(OR(N(Tasks[[#This Row],[Pred1 UID]])=0,Tasks[[#This Row],[_Pred1Problem]]&lt;&gt;""),"",INDEX(Tasks[ID],Tasks[[#This Row],[_Pred1Pos]])&amp;IF(AND(IF(Tasks[[#This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X205" s="43" t="str">
        <f aca="false">IF(OR(N(Tasks[[#This Row],[Pred2 UID]])=0,Tasks[[#This Row],[_Pred2Problem]]&lt;&gt;""),"",INDEX(Tasks[ID],Tasks[[#This Row],[_Pred2Pos]])&amp;IF(AND(IF(Tasks[[#This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CY205" s="43" t="str">
        <f aca="false">IF(OR(N(Tasks[[#This Row],[Pred1 UID]])=0,Tasks[[#This Row],[_Pred1Problem]]&lt;&gt;""),"",Tasks[[#This Row],[Pred1 UID]]&amp;IF(AND(IF(Tasks[[#This Row],[Pred1 Type]]="","FS",Tasks[[#This Row],[Pred1 Type]])="FS",N(Tasks[[#This Row],[Pred1 Lag]])=0),"",IF(Tasks[[#This Row],[Pred1 Type]]="","FS",Tasks[[#This Row],[Pred1 Type]])&amp;IF(N(Tasks[[#This Row],[Pred1 Lag]])=0,"",IF(N(Tasks[[#This Row],[Pred1 Lag]])&gt;0,"+","")&amp;N(Tasks[[#This Row],[Pred1 Lag]])&amp;"d")))</f>
        <v/>
      </c>
      <c r="CZ205" s="43" t="str">
        <f aca="false">IF(OR(N(Tasks[[#This Row],[Pred2 UID]])=0,Tasks[[#This Row],[_Pred2Problem]]&lt;&gt;""),"",Tasks[[#This Row],[Pred2 UID]]&amp;IF(AND(IF(Tasks[[#This Row],[Pred2 Type]]="","FS",Tasks[[#This Row],[Pred2 Type]])="FS",N(Tasks[[#This Row],[Pred2 Lag]])=0),"",IF(Tasks[[#This Row],[Pred2 Type]]="","FS",Tasks[[#This Row],[Pred2 Type]])&amp;IF(N(Tasks[[#This Row],[Pred2 Lag]])=0,"",IF(N(Tasks[[#This Row],[Pred2 Lag]])&gt;0,"+","")&amp;N(Tasks[[#This Row],[Pred2 Lag]])&amp;"d")))</f>
        <v/>
      </c>
      <c r="DA205" s="43" t="str">
        <f aca="false">IF(Tasks[[#This Row],[Task Name]]="","",Tasks[[#This Row],[_Pred1UIDText]]&amp;IF(AND(Tasks[[#This Row],[_Pred1UIDText]]&lt;&gt;"",Tasks[[#This Row],[_Pred2UIDText]]&lt;&gt;""),",","")&amp;Tasks[[#This Row],[_Pred2UIDText]])</f>
        <v/>
      </c>
      <c r="DB205" s="43" t="str">
        <f aca="false">IF(AND(Tasks[[#This Row],[_IsLeaf]]=1,N(Tasks[[#This Row],[Duration]])=0,Tasks[[#This Row],[_LeafProgress]]&lt;1),Tasks[[#This Row],[_LeafFcstFinish]]+Tasks[[#This Row],[_Row]]/100000,"")</f>
        <v/>
      </c>
      <c r="DC205" s="43" t="n">
        <f aca="false">IF(NOT(Tasks[[#This Row],[_IsLeaf]]=1),0,IF(Tasks[[#This Row],[Planned Finish]]&lt;StatusDate,1,IF(Tasks[[#This Row],[Planned Start]]&gt;=StatusDate,0,IFERROR(MIN(1,NETWORKDAYS.INTL(Tasks[[#This Row],[Planned Start]],StatusDate-1,WorkWeek,Holidays)/NETWORKDAYS.INTL(Tasks[[#This Row],[Planned Start]],Tasks[[#This Row],[Planned Finish]],WorkWeek,Holidays)),0))))</f>
        <v>0</v>
      </c>
      <c r="DD205" s="43" t="n">
        <f aca="false">IF(NOT(Tasks[[#This Row],[_IsLeaf]]=1),0,IF(Tasks[[#This Row],[Baseline Cost]]="",Tasks[[#This Row],[_LeafCost]],N(Tasks[[#This Row],[Baseline Cost]])))</f>
        <v>0</v>
      </c>
      <c r="DE205" s="43" t="n">
        <f aca="false">Tasks[[#This Row],[_LeafBudget]]*Tasks[[#This Row],[_PlannedPct]]</f>
        <v>0</v>
      </c>
      <c r="DF205" s="43" t="n">
        <f aca="false">Tasks[[#This Row],[_LeafBudget]]*Tasks[[#This Row],[_LeafProgress]]</f>
        <v>0</v>
      </c>
      <c r="DG205" s="43" t="n">
        <f aca="false">IF(NOT(Tasks[[#This Row],[_IsLeaf]]=1),0,IF(Tasks[[#This Row],[Actual Cost]]="",Tasks[[#This Row],[_LeafCost]]*Tasks[[#This Row],[_LeafProgress]],N(Tasks[[#This Row],[Actual Cost]])))</f>
        <v>0</v>
      </c>
      <c r="DH205" s="43" t="str">
        <f aca="false">IF(Tasks[[#This Row],[Task Name]]="","",LEFT(Tasks[[#This Row],[WBS]],FIND(".",Tasks[[#This Row],[WBS]]&amp;".")-1))</f>
        <v/>
      </c>
      <c r="DI205" s="43" t="str">
        <f aca="false">IF(AND(Tasks[[#This Row],[Task Name]]&lt;&gt;"",Tasks[[#This Row],[_Level]]=1),Tasks[[#This Row],[_Row]],"")</f>
        <v/>
      </c>
      <c r="DJ205" s="43" t="str">
        <f aca="false">IF(AND(Tasks[[#This Row],[_IsLeaf]]=1,N(Tasks[[#This Row],[Duration]])=0),Tasks[[#This Row],[Planned Finish]]+Tasks[[#This Row],[_Row]]/100000,"")</f>
        <v/>
      </c>
      <c r="DK205" s="43" t="str">
        <f aca="false">IF(AND(Tasks[[#This Row],[_IsLeaf]]=1,Tasks[[#This Row],[_LeafProgress]]&lt;1,OR(N(Tasks[[#This Row],[Finish Var]])&gt;0,Tasks[[#This Row],[Status]]="Late Start")),MAX(0,Tasks[[#This Row],[Finish Var]])+1-Tasks[[#This Row],[_Row]]/1000000,"")</f>
        <v/>
      </c>
      <c r="DL205" s="43" t="str">
        <f aca="false">IF(AND(Tasks[[#This Row],[_IsLeaf]]=1,N(Tasks[[#This Row],[Actual Start]])=0,Tasks[[#This Row],[_LeafFcstStart]]&gt;=StatusDate,Tasks[[#This Row],[_LeafFcstStart]]&lt;=LookaheadEnd),Tasks[[#This Row],[_LeafFcstStart]]+Tasks[[#This Row],[_Row]]/100000,"")</f>
        <v/>
      </c>
      <c r="DM205" s="43" t="str">
        <f aca="false">IF(AND(Tasks[[#This Row],[_IsLeaf]]=1,Tasks[[#This Row],[_LeafProgress]]&lt;1,Tasks[[#This Row],[_LeafFcstFinish]]&gt;=StatusDate,Tasks[[#This Row],[_LeafFcstFinish]]&lt;=LookaheadEnd),Tasks[[#This Row],[_LeafFcstFinish]]+Tasks[[#This Row],[_Row]]/100000,"")</f>
        <v/>
      </c>
      <c r="DN205" s="43" t="str">
        <f aca="false">IF(Tasks[[#This Row],[_LeafCritical]],Tasks[[#This Row],[_LeafFcstStart]]+Tasks[[#This Row],[_Row]]/100000,"")</f>
        <v/>
      </c>
      <c r="DO205" s="43" t="n">
        <f aca="false">Tasks[[#This Row],[_LeafWork]]*Tasks[[#This Row],[_LeafProgress]]</f>
        <v>0</v>
      </c>
      <c r="DP205" s="87" t="str">
        <f aca="false">IF(AND(Tasks[[#This Row],[_IsLeaf]]=1,Tasks[[#This Row],[_LeafProgress]]&gt;=1),IF(N(Tasks[[#This Row],[Actual Finish]])&gt;0,Tasks[[#This Row],[Actual Finish]],Tasks[[#This Row],[_LeafFcstFinish]]),"")</f>
        <v/>
      </c>
      <c r="DQ205" s="43" t="n">
        <f aca="false">IF(Tasks[[#This Row],[_IsLeaf]]=1,N(Tasks[[#This Row],[Story Points]]),0)</f>
        <v>0</v>
      </c>
      <c r="DR205" s="43" t="str">
        <f aca="false">IF(AND(Tasks[[#This Row],[_IsLeaf]]=1,CurrentSprint&lt;&gt;"",Tasks[[#This Row],[Sprint]]=CurrentSprint),Tasks[[#This Row],[_Row]],"")</f>
        <v/>
      </c>
    </row>
  </sheetData>
  <conditionalFormatting sqref="A6:BH205">
    <cfRule type="expression" priority="2" aboveAverage="0" equalAverage="0" bottom="0" percent="0" rank="0" text="" dxfId="31">
      <formula>$BM6=1</formula>
    </cfRule>
  </conditionalFormatting>
  <conditionalFormatting sqref="G6:G205">
    <cfRule type="expression" priority="3" aboveAverage="0" equalAverage="0" bottom="0" percent="0" rank="0" text="" dxfId="32">
      <formula>$BM6=1</formula>
    </cfRule>
  </conditionalFormatting>
  <conditionalFormatting sqref="H6:H205">
    <cfRule type="expression" priority="4" aboveAverage="0" equalAverage="0" bottom="0" percent="0" rank="0" text="" dxfId="32">
      <formula>$BM6=1</formula>
    </cfRule>
  </conditionalFormatting>
  <conditionalFormatting sqref="I6:I205">
    <cfRule type="expression" priority="5" aboveAverage="0" equalAverage="0" bottom="0" percent="0" rank="0" text="" dxfId="32">
      <formula>$BM6=1</formula>
    </cfRule>
  </conditionalFormatting>
  <conditionalFormatting sqref="J6:J205">
    <cfRule type="expression" priority="6" aboveAverage="0" equalAverage="0" bottom="0" percent="0" rank="0" text="" dxfId="32">
      <formula>$BM6=1</formula>
    </cfRule>
  </conditionalFormatting>
  <conditionalFormatting sqref="K6:K205">
    <cfRule type="expression" priority="7" aboveAverage="0" equalAverage="0" bottom="0" percent="0" rank="0" text="" dxfId="32">
      <formula>$BM6=1</formula>
    </cfRule>
  </conditionalFormatting>
  <conditionalFormatting sqref="L6:L205">
    <cfRule type="expression" priority="8" aboveAverage="0" equalAverage="0" bottom="0" percent="0" rank="0" text="" dxfId="32">
      <formula>$BM6=1</formula>
    </cfRule>
  </conditionalFormatting>
  <conditionalFormatting sqref="M6:M205">
    <cfRule type="expression" priority="9" aboveAverage="0" equalAverage="0" bottom="0" percent="0" rank="0" text="" dxfId="32">
      <formula>$BM6=1</formula>
    </cfRule>
  </conditionalFormatting>
  <conditionalFormatting sqref="N6:N205">
    <cfRule type="expression" priority="10" aboveAverage="0" equalAverage="0" bottom="0" percent="0" rank="0" text="" dxfId="32">
      <formula>$BM6=1</formula>
    </cfRule>
  </conditionalFormatting>
  <conditionalFormatting sqref="R6:R205">
    <cfRule type="expression" priority="11" aboveAverage="0" equalAverage="0" bottom="0" percent="0" rank="0" text="" dxfId="32">
      <formula>$BM6=1</formula>
    </cfRule>
  </conditionalFormatting>
  <conditionalFormatting sqref="S6:S205">
    <cfRule type="expression" priority="12" aboveAverage="0" equalAverage="0" bottom="0" percent="0" rank="0" text="" dxfId="32">
      <formula>$BM6=1</formula>
    </cfRule>
  </conditionalFormatting>
  <conditionalFormatting sqref="AE6:AE205">
    <cfRule type="expression" priority="13" aboveAverage="0" equalAverage="0" bottom="0" percent="0" rank="0" text="" dxfId="32">
      <formula>$BM6=1</formula>
    </cfRule>
  </conditionalFormatting>
  <conditionalFormatting sqref="AH6:AH205">
    <cfRule type="expression" priority="14" aboveAverage="0" equalAverage="0" bottom="0" percent="0" rank="0" text="" dxfId="32">
      <formula>$BM6=1</formula>
    </cfRule>
  </conditionalFormatting>
  <conditionalFormatting sqref="AI6:AI205">
    <cfRule type="expression" priority="15" aboveAverage="0" equalAverage="0" bottom="0" percent="0" rank="0" text="" dxfId="32">
      <formula>$BM6=1</formula>
    </cfRule>
  </conditionalFormatting>
  <conditionalFormatting sqref="AL6:AL205">
    <cfRule type="expression" priority="16" aboveAverage="0" equalAverage="0" bottom="0" percent="0" rank="0" text="" dxfId="32">
      <formula>$BM6=1</formula>
    </cfRule>
  </conditionalFormatting>
  <conditionalFormatting sqref="AM6:AM205">
    <cfRule type="expression" priority="17" aboveAverage="0" equalAverage="0" bottom="0" percent="0" rank="0" text="" dxfId="32">
      <formula>$BM6=1</formula>
    </cfRule>
  </conditionalFormatting>
  <conditionalFormatting sqref="AO6:AO205">
    <cfRule type="expression" priority="18" aboveAverage="0" equalAverage="0" bottom="0" percent="0" rank="0" text="" dxfId="32">
      <formula>$BM6=1</formula>
    </cfRule>
  </conditionalFormatting>
  <conditionalFormatting sqref="AG6:AG205">
    <cfRule type="expression" priority="19" aboveAverage="0" equalAverage="0" bottom="0" percent="0" rank="0" text="" dxfId="12">
      <formula>$AG6="Complete"</formula>
    </cfRule>
    <cfRule type="expression" priority="20" aboveAverage="0" equalAverage="0" bottom="0" percent="0" rank="0" text="" dxfId="33">
      <formula>$AG6="In Progress"</formula>
    </cfRule>
    <cfRule type="expression" priority="21" aboveAverage="0" equalAverage="0" bottom="0" percent="0" rank="0" text="" dxfId="24">
      <formula>$AG6="Behind"</formula>
    </cfRule>
    <cfRule type="expression" priority="22" aboveAverage="0" equalAverage="0" bottom="0" percent="0" rank="0" text="" dxfId="34">
      <formula>$AG6="Late Start"</formula>
    </cfRule>
    <cfRule type="expression" priority="23" aboveAverage="0" equalAverage="0" bottom="0" percent="0" rank="0" text="" dxfId="35">
      <formula>$AG6="Not Started"</formula>
    </cfRule>
  </conditionalFormatting>
  <conditionalFormatting sqref="V6:V205">
    <cfRule type="expression" priority="24" aboveAverage="0" equalAverage="0" bottom="0" percent="0" rank="0" text="" dxfId="24">
      <formula>AND(ISNUMBER($V6),$V6&gt;0)</formula>
    </cfRule>
    <cfRule type="expression" priority="25" aboveAverage="0" equalAverage="0" bottom="0" percent="0" rank="0" text="" dxfId="12">
      <formula>AND(ISNUMBER($V6),$V6&lt;0)</formula>
    </cfRule>
  </conditionalFormatting>
  <conditionalFormatting sqref="W6:W205">
    <cfRule type="expression" priority="26" aboveAverage="0" equalAverage="0" bottom="0" percent="0" rank="0" text="" dxfId="24">
      <formula>AND(ISNUMBER($W6),$W6&gt;0)</formula>
    </cfRule>
    <cfRule type="expression" priority="27" aboveAverage="0" equalAverage="0" bottom="0" percent="0" rank="0" text="" dxfId="12">
      <formula>AND(ISNUMBER($W6),$W6&lt;0)</formula>
    </cfRule>
  </conditionalFormatting>
  <conditionalFormatting sqref="BB6:BB205">
    <cfRule type="expression" priority="28" aboveAverage="0" equalAverage="0" bottom="0" percent="0" rank="0" text="" dxfId="24">
      <formula>AND(ISNUMBER($BB6),$BB6&gt;0)</formula>
    </cfRule>
    <cfRule type="expression" priority="29" aboveAverage="0" equalAverage="0" bottom="0" percent="0" rank="0" text="" dxfId="12">
      <formula>AND(ISNUMBER($BB6),$BB6&lt;0)</formula>
    </cfRule>
  </conditionalFormatting>
  <conditionalFormatting sqref="BC6:BC205">
    <cfRule type="expression" priority="30" aboveAverage="0" equalAverage="0" bottom="0" percent="0" rank="0" text="" dxfId="24">
      <formula>AND(ISNUMBER($BC6),$BC6&gt;0)</formula>
    </cfRule>
    <cfRule type="expression" priority="31" aboveAverage="0" equalAverage="0" bottom="0" percent="0" rank="0" text="" dxfId="12">
      <formula>AND(ISNUMBER($BC6),$BC6&lt;0)</formula>
    </cfRule>
  </conditionalFormatting>
  <conditionalFormatting sqref="BD6:BD205">
    <cfRule type="expression" priority="32" aboveAverage="0" equalAverage="0" bottom="0" percent="0" rank="0" text="" dxfId="24">
      <formula>AND(ISNUMBER($BD6),$BD6&gt;0)</formula>
    </cfRule>
    <cfRule type="expression" priority="33" aboveAverage="0" equalAverage="0" bottom="0" percent="0" rank="0" text="" dxfId="12">
      <formula>AND(ISNUMBER($BD6),$BD6&lt;0)</formula>
    </cfRule>
  </conditionalFormatting>
  <conditionalFormatting sqref="E6:E205">
    <cfRule type="expression" priority="34" aboveAverage="0" equalAverage="0" bottom="0" percent="0" rank="0" text="" dxfId="36">
      <formula>AND($BO6=1,N($G6)=0)</formula>
    </cfRule>
  </conditionalFormatting>
  <conditionalFormatting sqref="C6:C205">
    <cfRule type="expression" priority="35" aboveAverage="0" equalAverage="0" bottom="0" percent="0" rank="0" text="" dxfId="37">
      <formula>$C6="?"</formula>
    </cfRule>
  </conditionalFormatting>
  <conditionalFormatting sqref="B6:B205">
    <cfRule type="expression" priority="36" aboveAverage="0" equalAverage="0" bottom="0" percent="0" rank="0" text="" dxfId="15">
      <formula>OR(AND($E6&lt;&gt;"",$B6=""),AND($B6&lt;&gt;"",COUNTIF(tsk_UID,$B6)&gt;1))</formula>
    </cfRule>
  </conditionalFormatting>
  <conditionalFormatting sqref="AD6:AD205">
    <cfRule type="expression" priority="37" aboveAverage="0" equalAverage="0" bottom="0" percent="0" rank="0" text="" dxfId="38">
      <formula>$AD6&lt;&gt;""</formula>
    </cfRule>
  </conditionalFormatting>
  <conditionalFormatting sqref="AC6:AC205">
    <cfRule type="expression" priority="38" aboveAverage="0" equalAverage="0" bottom="0" percent="0" rank="0" text="" dxfId="24">
      <formula>LEFT($AC6,4)="Late"</formula>
    </cfRule>
    <cfRule type="expression" priority="39" aboveAverage="0" equalAverage="0" bottom="0" percent="0" rank="0" text="" dxfId="12">
      <formula>$AC6="OK"</formula>
    </cfRule>
  </conditionalFormatting>
  <conditionalFormatting sqref="AB6:AB205">
    <cfRule type="expression" priority="40" aboveAverage="0" equalAverage="0" bottom="0" percent="0" rank="0" text="" dxfId="25">
      <formula>$AB6="Yes"</formula>
    </cfRule>
  </conditionalFormatting>
  <conditionalFormatting sqref="Z6:Z205">
    <cfRule type="expression" priority="41" aboveAverage="0" equalAverage="0" bottom="0" percent="0" rank="0" text="" dxfId="24">
      <formula>AND(ISNUMBER($Z6),$Z6&lt;0)</formula>
    </cfRule>
  </conditionalFormatting>
  <conditionalFormatting sqref="AA6:AA205">
    <cfRule type="expression" priority="42" aboveAverage="0" equalAverage="0" bottom="0" percent="0" rank="0" text="" dxfId="24">
      <formula>AND(ISNUMBER($AA6),$AA6&lt;0)</formula>
    </cfRule>
  </conditionalFormatting>
  <dataValidations count="13">
    <dataValidation allowBlank="false" error="UID must be a whole number; give each task a different one (see Settings &gt; NextFreeUID)." errorStyle="stop" errorTitle="UID" operator="greaterThanOrEqual" showDropDown="false" showErrorMessage="true" showInputMessage="false" sqref="B6:B205" type="whole">
      <formula1>1</formula1>
      <formula2>0</formula2>
    </dataValidation>
    <dataValidation allowBlank="false" error="Outline level must be 1-9 and at most 1 more than the row above." errorStyle="stop" errorTitle="Level" operator="between" showDropDown="false" showErrorMessage="true" showInputMessage="false" sqref="D6:D205" type="whole">
      <formula1>1</formula1>
      <formula2>9</formula2>
    </dataValidation>
    <dataValidation allowBlank="false" errorStyle="stop" operator="between" showDropDown="false" showErrorMessage="false" showInputMessage="false" sqref="F6:F205" type="list">
      <formula1>L_Mode</formula1>
      <formula2>0</formula2>
    </dataValidation>
    <dataValidation allowBlank="false" error="Duration is in working days (0 = milestone)." errorStyle="stop" operator="greaterThanOrEqual" showDropDown="false" showErrorMessage="true" showInputMessage="false" sqref="G6:G205" type="decimal">
      <formula1>0</formula1>
      <formula2>0</formula2>
    </dataValidation>
    <dataValidation allowBlank="false" error="Enter the UID of another task. Problems are explained in the Link Check column." errorStyle="stop" operator="greaterThanOrEqual" showDropDown="false" showErrorMessage="true" showInputMessage="false" sqref="H6:H205 K6:K205" type="whole">
      <formula1>1</formula1>
      <formula2>0</formula2>
    </dataValidation>
    <dataValidation allowBlank="false" errorStyle="stop" operator="between" showDropDown="false" showErrorMessage="false" showInputMessage="false" sqref="I6:I205 L6:L205" type="list">
      <formula1>L_DepType</formula1>
      <formula2>0</formula2>
    </dataValidation>
    <dataValidation allowBlank="false" errorStyle="stop" operator="between" showDropDown="false" showErrorMessage="false" showInputMessage="false" sqref="J6:J205 M6:M205" type="whole">
      <formula1>-365</formula1>
      <formula2>365</formula2>
    </dataValidation>
    <dataValidation allowBlank="false" errorStyle="stop" operator="greaterThan" showDropDown="false" showErrorMessage="false" showInputMessage="false" sqref="N6:O205 R6:S205" type="date">
      <formula1>1</formula1>
      <formula2>0</formula2>
    </dataValidation>
    <dataValidation allowBlank="false" error="Enter 0% - 100%." errorStyle="stop" operator="between" showDropDown="false" showErrorMessage="true" showInputMessage="false" sqref="AE6:AE205" type="decimal">
      <formula1>0</formula1>
      <formula2>1</formula2>
    </dataValidation>
    <dataValidation allowBlank="false" errorStyle="stop" operator="between" showDropDown="false" showErrorMessage="false" showInputMessage="false" sqref="AH6:AH205" type="list">
      <formula1>res_Name</formula1>
      <formula2>0</formula2>
    </dataValidation>
    <dataValidation allowBlank="false" errorStyle="stop" operator="between" showDropDown="false" showErrorMessage="false" showInputMessage="false" sqref="AI6:AI205" type="decimal">
      <formula1>0</formula1>
      <formula2>10</formula2>
    </dataValidation>
    <dataValidation allowBlank="false" errorStyle="stop" operator="greaterThanOrEqual" showDropDown="false" showErrorMessage="false" showInputMessage="false" sqref="AL6:AL205 AO6:AO205" type="decimal">
      <formula1>0</formula1>
      <formula2>0</formula2>
    </dataValidation>
    <dataValidation allowBlank="false" errorStyle="stop" operator="between" showDropDown="false" showErrorMessage="false" showInputMessage="false" sqref="AM6:AM205" type="list">
      <formula1>spr_Name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1:FP2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2" ySplit="5" topLeftCell="W6" activePane="bottomRight" state="frozen"/>
      <selection pane="topLeft" activeCell="A1" activeCellId="0" sqref="A1"/>
      <selection pane="topRight" activeCell="W1" activeCellId="0" sqref="W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5"/>
    <col collapsed="false" customWidth="true" hidden="false" outlineLevel="0" max="8" min="5" style="0" width="10"/>
    <col collapsed="false" customWidth="true" hidden="false" outlineLevel="0" max="9" min="9" style="0" width="6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true" outlineLevel="1" max="21" min="12" style="0" width="5"/>
    <col collapsed="false" customWidth="true" hidden="false" outlineLevel="0" max="22" min="22" style="0" width="1"/>
    <col collapsed="false" customWidth="true" hidden="false" outlineLevel="0" max="172" min="23" style="0" width="2.9"/>
  </cols>
  <sheetData>
    <row r="1" customFormat="false" ht="19.7" hidden="false" customHeight="false" outlineLevel="0" collapsed="false">
      <c r="A1" s="26" t="str">
        <f aca="false">ProjectName&amp;"  -  Gantt Chart"</f>
        <v>Customer Portal Implementation  -  Gantt Chart</v>
      </c>
      <c r="W1" s="89"/>
      <c r="X1" s="90" t="s">
        <v>511</v>
      </c>
      <c r="AI1" s="91"/>
      <c r="AJ1" s="90" t="s">
        <v>512</v>
      </c>
      <c r="AU1" s="92"/>
      <c r="AV1" s="90" t="s">
        <v>513</v>
      </c>
      <c r="BG1" s="93"/>
      <c r="BH1" s="90" t="s">
        <v>514</v>
      </c>
      <c r="BS1" s="94"/>
      <c r="BT1" s="90" t="s">
        <v>515</v>
      </c>
    </row>
    <row r="2" customFormat="false" ht="15" hidden="false" customHeight="false" outlineLevel="0" collapsed="false">
      <c r="A2" s="95" t="str">
        <f aca="false">"Status date: "&amp;TEXT(StatusDate,"ddd dd-mmm-yyyy")&amp;"   |   Forecast finish: "&amp;TEXT(MAX(tsk_FcFinish),"dd-mmm-yyyy")&amp;"   |   Planned finish: "&amp;TEXT(MAX(tsk_PlanFinish),"dd-mmm-yyyy")&amp;IF(COUNTA(tsk_Name)&gt;ROWS(GanttView[ID]),"   |   Showing the first "&amp;ROWS(GanttView[ID])&amp;" tasks","")</f>
        <v>Status date: Sun 25-Oct-2026   |   Forecast finish: 06-Jan-2027   |   Planned finish: 06-Jan-2027</v>
      </c>
      <c r="W2" s="96"/>
      <c r="X2" s="90" t="s">
        <v>516</v>
      </c>
      <c r="AI2" s="97"/>
      <c r="AJ2" s="90" t="s">
        <v>517</v>
      </c>
      <c r="AU2" s="98"/>
      <c r="AV2" s="90" t="s">
        <v>185</v>
      </c>
      <c r="BG2" s="99"/>
      <c r="BH2" s="90" t="s">
        <v>247</v>
      </c>
      <c r="BS2" s="100"/>
      <c r="BT2" s="90" t="s">
        <v>518</v>
      </c>
    </row>
    <row r="3" customFormat="false" ht="15" hidden="false" customHeight="false" outlineLevel="0" collapsed="false">
      <c r="A3" s="8" t="s">
        <v>519</v>
      </c>
      <c r="W3" s="101" t="str">
        <f aca="false">IF(GanttPeriod=1,LEFT(TEXT(GanttStart+(COLUMN()-COLUMN(gantt_Origin)-1)*GanttPeriod,"ddd"),1),"")</f>
        <v>M</v>
      </c>
      <c r="X3" s="101" t="str">
        <f aca="false">IF(GanttPeriod=1,LEFT(TEXT(GanttStart+(COLUMN()-COLUMN(gantt_Origin)-1)*GanttPeriod,"ddd"),1),"")</f>
        <v>T</v>
      </c>
      <c r="Y3" s="101" t="str">
        <f aca="false">IF(GanttPeriod=1,LEFT(TEXT(GanttStart+(COLUMN()-COLUMN(gantt_Origin)-1)*GanttPeriod,"ddd"),1),"")</f>
        <v>W</v>
      </c>
      <c r="Z3" s="101" t="str">
        <f aca="false">IF(GanttPeriod=1,LEFT(TEXT(GanttStart+(COLUMN()-COLUMN(gantt_Origin)-1)*GanttPeriod,"ddd"),1),"")</f>
        <v>T</v>
      </c>
      <c r="AA3" s="101" t="str">
        <f aca="false">IF(GanttPeriod=1,LEFT(TEXT(GanttStart+(COLUMN()-COLUMN(gantt_Origin)-1)*GanttPeriod,"ddd"),1),"")</f>
        <v>F</v>
      </c>
      <c r="AB3" s="101" t="str">
        <f aca="false">IF(GanttPeriod=1,LEFT(TEXT(GanttStart+(COLUMN()-COLUMN(gantt_Origin)-1)*GanttPeriod,"ddd"),1),"")</f>
        <v>S</v>
      </c>
      <c r="AC3" s="101" t="str">
        <f aca="false">IF(GanttPeriod=1,LEFT(TEXT(GanttStart+(COLUMN()-COLUMN(gantt_Origin)-1)*GanttPeriod,"ddd"),1),"")</f>
        <v>S</v>
      </c>
      <c r="AD3" s="101" t="str">
        <f aca="false">IF(GanttPeriod=1,LEFT(TEXT(GanttStart+(COLUMN()-COLUMN(gantt_Origin)-1)*GanttPeriod,"ddd"),1),"")</f>
        <v>M</v>
      </c>
      <c r="AE3" s="101" t="str">
        <f aca="false">IF(GanttPeriod=1,LEFT(TEXT(GanttStart+(COLUMN()-COLUMN(gantt_Origin)-1)*GanttPeriod,"ddd"),1),"")</f>
        <v>T</v>
      </c>
      <c r="AF3" s="101" t="str">
        <f aca="false">IF(GanttPeriod=1,LEFT(TEXT(GanttStart+(COLUMN()-COLUMN(gantt_Origin)-1)*GanttPeriod,"ddd"),1),"")</f>
        <v>W</v>
      </c>
      <c r="AG3" s="101" t="str">
        <f aca="false">IF(GanttPeriod=1,LEFT(TEXT(GanttStart+(COLUMN()-COLUMN(gantt_Origin)-1)*GanttPeriod,"ddd"),1),"")</f>
        <v>T</v>
      </c>
      <c r="AH3" s="101" t="str">
        <f aca="false">IF(GanttPeriod=1,LEFT(TEXT(GanttStart+(COLUMN()-COLUMN(gantt_Origin)-1)*GanttPeriod,"ddd"),1),"")</f>
        <v>F</v>
      </c>
      <c r="AI3" s="101" t="str">
        <f aca="false">IF(GanttPeriod=1,LEFT(TEXT(GanttStart+(COLUMN()-COLUMN(gantt_Origin)-1)*GanttPeriod,"ddd"),1),"")</f>
        <v>S</v>
      </c>
      <c r="AJ3" s="101" t="str">
        <f aca="false">IF(GanttPeriod=1,LEFT(TEXT(GanttStart+(COLUMN()-COLUMN(gantt_Origin)-1)*GanttPeriod,"ddd"),1),"")</f>
        <v>S</v>
      </c>
      <c r="AK3" s="101" t="str">
        <f aca="false">IF(GanttPeriod=1,LEFT(TEXT(GanttStart+(COLUMN()-COLUMN(gantt_Origin)-1)*GanttPeriod,"ddd"),1),"")</f>
        <v>M</v>
      </c>
      <c r="AL3" s="101" t="str">
        <f aca="false">IF(GanttPeriod=1,LEFT(TEXT(GanttStart+(COLUMN()-COLUMN(gantt_Origin)-1)*GanttPeriod,"ddd"),1),"")</f>
        <v>T</v>
      </c>
      <c r="AM3" s="101" t="str">
        <f aca="false">IF(GanttPeriod=1,LEFT(TEXT(GanttStart+(COLUMN()-COLUMN(gantt_Origin)-1)*GanttPeriod,"ddd"),1),"")</f>
        <v>W</v>
      </c>
      <c r="AN3" s="101" t="str">
        <f aca="false">IF(GanttPeriod=1,LEFT(TEXT(GanttStart+(COLUMN()-COLUMN(gantt_Origin)-1)*GanttPeriod,"ddd"),1),"")</f>
        <v>T</v>
      </c>
      <c r="AO3" s="101" t="str">
        <f aca="false">IF(GanttPeriod=1,LEFT(TEXT(GanttStart+(COLUMN()-COLUMN(gantt_Origin)-1)*GanttPeriod,"ddd"),1),"")</f>
        <v>F</v>
      </c>
      <c r="AP3" s="101" t="str">
        <f aca="false">IF(GanttPeriod=1,LEFT(TEXT(GanttStart+(COLUMN()-COLUMN(gantt_Origin)-1)*GanttPeriod,"ddd"),1),"")</f>
        <v>S</v>
      </c>
      <c r="AQ3" s="101" t="str">
        <f aca="false">IF(GanttPeriod=1,LEFT(TEXT(GanttStart+(COLUMN()-COLUMN(gantt_Origin)-1)*GanttPeriod,"ddd"),1),"")</f>
        <v>S</v>
      </c>
      <c r="AR3" s="101" t="str">
        <f aca="false">IF(GanttPeriod=1,LEFT(TEXT(GanttStart+(COLUMN()-COLUMN(gantt_Origin)-1)*GanttPeriod,"ddd"),1),"")</f>
        <v>M</v>
      </c>
      <c r="AS3" s="101" t="str">
        <f aca="false">IF(GanttPeriod=1,LEFT(TEXT(GanttStart+(COLUMN()-COLUMN(gantt_Origin)-1)*GanttPeriod,"ddd"),1),"")</f>
        <v>T</v>
      </c>
      <c r="AT3" s="101" t="str">
        <f aca="false">IF(GanttPeriod=1,LEFT(TEXT(GanttStart+(COLUMN()-COLUMN(gantt_Origin)-1)*GanttPeriod,"ddd"),1),"")</f>
        <v>W</v>
      </c>
      <c r="AU3" s="101" t="str">
        <f aca="false">IF(GanttPeriod=1,LEFT(TEXT(GanttStart+(COLUMN()-COLUMN(gantt_Origin)-1)*GanttPeriod,"ddd"),1),"")</f>
        <v>T</v>
      </c>
      <c r="AV3" s="101" t="str">
        <f aca="false">IF(GanttPeriod=1,LEFT(TEXT(GanttStart+(COLUMN()-COLUMN(gantt_Origin)-1)*GanttPeriod,"ddd"),1),"")</f>
        <v>F</v>
      </c>
      <c r="AW3" s="101" t="str">
        <f aca="false">IF(GanttPeriod=1,LEFT(TEXT(GanttStart+(COLUMN()-COLUMN(gantt_Origin)-1)*GanttPeriod,"ddd"),1),"")</f>
        <v>S</v>
      </c>
      <c r="AX3" s="101" t="str">
        <f aca="false">IF(GanttPeriod=1,LEFT(TEXT(GanttStart+(COLUMN()-COLUMN(gantt_Origin)-1)*GanttPeriod,"ddd"),1),"")</f>
        <v>S</v>
      </c>
      <c r="AY3" s="101" t="str">
        <f aca="false">IF(GanttPeriod=1,LEFT(TEXT(GanttStart+(COLUMN()-COLUMN(gantt_Origin)-1)*GanttPeriod,"ddd"),1),"")</f>
        <v>M</v>
      </c>
      <c r="AZ3" s="101" t="str">
        <f aca="false">IF(GanttPeriod=1,LEFT(TEXT(GanttStart+(COLUMN()-COLUMN(gantt_Origin)-1)*GanttPeriod,"ddd"),1),"")</f>
        <v>T</v>
      </c>
      <c r="BA3" s="101" t="str">
        <f aca="false">IF(GanttPeriod=1,LEFT(TEXT(GanttStart+(COLUMN()-COLUMN(gantt_Origin)-1)*GanttPeriod,"ddd"),1),"")</f>
        <v>W</v>
      </c>
      <c r="BB3" s="101" t="str">
        <f aca="false">IF(GanttPeriod=1,LEFT(TEXT(GanttStart+(COLUMN()-COLUMN(gantt_Origin)-1)*GanttPeriod,"ddd"),1),"")</f>
        <v>T</v>
      </c>
      <c r="BC3" s="101" t="str">
        <f aca="false">IF(GanttPeriod=1,LEFT(TEXT(GanttStart+(COLUMN()-COLUMN(gantt_Origin)-1)*GanttPeriod,"ddd"),1),"")</f>
        <v>F</v>
      </c>
      <c r="BD3" s="101" t="str">
        <f aca="false">IF(GanttPeriod=1,LEFT(TEXT(GanttStart+(COLUMN()-COLUMN(gantt_Origin)-1)*GanttPeriod,"ddd"),1),"")</f>
        <v>S</v>
      </c>
      <c r="BE3" s="101" t="str">
        <f aca="false">IF(GanttPeriod=1,LEFT(TEXT(GanttStart+(COLUMN()-COLUMN(gantt_Origin)-1)*GanttPeriod,"ddd"),1),"")</f>
        <v>S</v>
      </c>
      <c r="BF3" s="101" t="str">
        <f aca="false">IF(GanttPeriod=1,LEFT(TEXT(GanttStart+(COLUMN()-COLUMN(gantt_Origin)-1)*GanttPeriod,"ddd"),1),"")</f>
        <v>M</v>
      </c>
      <c r="BG3" s="101" t="str">
        <f aca="false">IF(GanttPeriod=1,LEFT(TEXT(GanttStart+(COLUMN()-COLUMN(gantt_Origin)-1)*GanttPeriod,"ddd"),1),"")</f>
        <v>T</v>
      </c>
      <c r="BH3" s="101" t="str">
        <f aca="false">IF(GanttPeriod=1,LEFT(TEXT(GanttStart+(COLUMN()-COLUMN(gantt_Origin)-1)*GanttPeriod,"ddd"),1),"")</f>
        <v>W</v>
      </c>
      <c r="BI3" s="101" t="str">
        <f aca="false">IF(GanttPeriod=1,LEFT(TEXT(GanttStart+(COLUMN()-COLUMN(gantt_Origin)-1)*GanttPeriod,"ddd"),1),"")</f>
        <v>T</v>
      </c>
      <c r="BJ3" s="101" t="str">
        <f aca="false">IF(GanttPeriod=1,LEFT(TEXT(GanttStart+(COLUMN()-COLUMN(gantt_Origin)-1)*GanttPeriod,"ddd"),1),"")</f>
        <v>F</v>
      </c>
      <c r="BK3" s="101" t="str">
        <f aca="false">IF(GanttPeriod=1,LEFT(TEXT(GanttStart+(COLUMN()-COLUMN(gantt_Origin)-1)*GanttPeriod,"ddd"),1),"")</f>
        <v>S</v>
      </c>
      <c r="BL3" s="101" t="str">
        <f aca="false">IF(GanttPeriod=1,LEFT(TEXT(GanttStart+(COLUMN()-COLUMN(gantt_Origin)-1)*GanttPeriod,"ddd"),1),"")</f>
        <v>S</v>
      </c>
      <c r="BM3" s="101" t="str">
        <f aca="false">IF(GanttPeriod=1,LEFT(TEXT(GanttStart+(COLUMN()-COLUMN(gantt_Origin)-1)*GanttPeriod,"ddd"),1),"")</f>
        <v>M</v>
      </c>
      <c r="BN3" s="101" t="str">
        <f aca="false">IF(GanttPeriod=1,LEFT(TEXT(GanttStart+(COLUMN()-COLUMN(gantt_Origin)-1)*GanttPeriod,"ddd"),1),"")</f>
        <v>T</v>
      </c>
      <c r="BO3" s="101" t="str">
        <f aca="false">IF(GanttPeriod=1,LEFT(TEXT(GanttStart+(COLUMN()-COLUMN(gantt_Origin)-1)*GanttPeriod,"ddd"),1),"")</f>
        <v>W</v>
      </c>
      <c r="BP3" s="101" t="str">
        <f aca="false">IF(GanttPeriod=1,LEFT(TEXT(GanttStart+(COLUMN()-COLUMN(gantt_Origin)-1)*GanttPeriod,"ddd"),1),"")</f>
        <v>T</v>
      </c>
      <c r="BQ3" s="101" t="str">
        <f aca="false">IF(GanttPeriod=1,LEFT(TEXT(GanttStart+(COLUMN()-COLUMN(gantt_Origin)-1)*GanttPeriod,"ddd"),1),"")</f>
        <v>F</v>
      </c>
      <c r="BR3" s="101" t="str">
        <f aca="false">IF(GanttPeriod=1,LEFT(TEXT(GanttStart+(COLUMN()-COLUMN(gantt_Origin)-1)*GanttPeriod,"ddd"),1),"")</f>
        <v>S</v>
      </c>
      <c r="BS3" s="101" t="str">
        <f aca="false">IF(GanttPeriod=1,LEFT(TEXT(GanttStart+(COLUMN()-COLUMN(gantt_Origin)-1)*GanttPeriod,"ddd"),1),"")</f>
        <v>S</v>
      </c>
      <c r="BT3" s="101" t="str">
        <f aca="false">IF(GanttPeriod=1,LEFT(TEXT(GanttStart+(COLUMN()-COLUMN(gantt_Origin)-1)*GanttPeriod,"ddd"),1),"")</f>
        <v>M</v>
      </c>
      <c r="BU3" s="101" t="str">
        <f aca="false">IF(GanttPeriod=1,LEFT(TEXT(GanttStart+(COLUMN()-COLUMN(gantt_Origin)-1)*GanttPeriod,"ddd"),1),"")</f>
        <v>T</v>
      </c>
      <c r="BV3" s="101" t="str">
        <f aca="false">IF(GanttPeriod=1,LEFT(TEXT(GanttStart+(COLUMN()-COLUMN(gantt_Origin)-1)*GanttPeriod,"ddd"),1),"")</f>
        <v>W</v>
      </c>
      <c r="BW3" s="101" t="str">
        <f aca="false">IF(GanttPeriod=1,LEFT(TEXT(GanttStart+(COLUMN()-COLUMN(gantt_Origin)-1)*GanttPeriod,"ddd"),1),"")</f>
        <v>T</v>
      </c>
      <c r="BX3" s="101" t="str">
        <f aca="false">IF(GanttPeriod=1,LEFT(TEXT(GanttStart+(COLUMN()-COLUMN(gantt_Origin)-1)*GanttPeriod,"ddd"),1),"")</f>
        <v>F</v>
      </c>
      <c r="BY3" s="101" t="str">
        <f aca="false">IF(GanttPeriod=1,LEFT(TEXT(GanttStart+(COLUMN()-COLUMN(gantt_Origin)-1)*GanttPeriod,"ddd"),1),"")</f>
        <v>S</v>
      </c>
      <c r="BZ3" s="101" t="str">
        <f aca="false">IF(GanttPeriod=1,LEFT(TEXT(GanttStart+(COLUMN()-COLUMN(gantt_Origin)-1)*GanttPeriod,"ddd"),1),"")</f>
        <v>S</v>
      </c>
      <c r="CA3" s="101" t="str">
        <f aca="false">IF(GanttPeriod=1,LEFT(TEXT(GanttStart+(COLUMN()-COLUMN(gantt_Origin)-1)*GanttPeriod,"ddd"),1),"")</f>
        <v>M</v>
      </c>
      <c r="CB3" s="101" t="str">
        <f aca="false">IF(GanttPeriod=1,LEFT(TEXT(GanttStart+(COLUMN()-COLUMN(gantt_Origin)-1)*GanttPeriod,"ddd"),1),"")</f>
        <v>T</v>
      </c>
      <c r="CC3" s="101" t="str">
        <f aca="false">IF(GanttPeriod=1,LEFT(TEXT(GanttStart+(COLUMN()-COLUMN(gantt_Origin)-1)*GanttPeriod,"ddd"),1),"")</f>
        <v>W</v>
      </c>
      <c r="CD3" s="101" t="str">
        <f aca="false">IF(GanttPeriod=1,LEFT(TEXT(GanttStart+(COLUMN()-COLUMN(gantt_Origin)-1)*GanttPeriod,"ddd"),1),"")</f>
        <v>T</v>
      </c>
      <c r="CE3" s="101" t="str">
        <f aca="false">IF(GanttPeriod=1,LEFT(TEXT(GanttStart+(COLUMN()-COLUMN(gantt_Origin)-1)*GanttPeriod,"ddd"),1),"")</f>
        <v>F</v>
      </c>
      <c r="CF3" s="101" t="str">
        <f aca="false">IF(GanttPeriod=1,LEFT(TEXT(GanttStart+(COLUMN()-COLUMN(gantt_Origin)-1)*GanttPeriod,"ddd"),1),"")</f>
        <v>S</v>
      </c>
      <c r="CG3" s="101" t="str">
        <f aca="false">IF(GanttPeriod=1,LEFT(TEXT(GanttStart+(COLUMN()-COLUMN(gantt_Origin)-1)*GanttPeriod,"ddd"),1),"")</f>
        <v>S</v>
      </c>
      <c r="CH3" s="101" t="str">
        <f aca="false">IF(GanttPeriod=1,LEFT(TEXT(GanttStart+(COLUMN()-COLUMN(gantt_Origin)-1)*GanttPeriod,"ddd"),1),"")</f>
        <v>M</v>
      </c>
      <c r="CI3" s="101" t="str">
        <f aca="false">IF(GanttPeriod=1,LEFT(TEXT(GanttStart+(COLUMN()-COLUMN(gantt_Origin)-1)*GanttPeriod,"ddd"),1),"")</f>
        <v>T</v>
      </c>
      <c r="CJ3" s="101" t="str">
        <f aca="false">IF(GanttPeriod=1,LEFT(TEXT(GanttStart+(COLUMN()-COLUMN(gantt_Origin)-1)*GanttPeriod,"ddd"),1),"")</f>
        <v>W</v>
      </c>
      <c r="CK3" s="101" t="str">
        <f aca="false">IF(GanttPeriod=1,LEFT(TEXT(GanttStart+(COLUMN()-COLUMN(gantt_Origin)-1)*GanttPeriod,"ddd"),1),"")</f>
        <v>T</v>
      </c>
      <c r="CL3" s="101" t="str">
        <f aca="false">IF(GanttPeriod=1,LEFT(TEXT(GanttStart+(COLUMN()-COLUMN(gantt_Origin)-1)*GanttPeriod,"ddd"),1),"")</f>
        <v>F</v>
      </c>
      <c r="CM3" s="101" t="str">
        <f aca="false">IF(GanttPeriod=1,LEFT(TEXT(GanttStart+(COLUMN()-COLUMN(gantt_Origin)-1)*GanttPeriod,"ddd"),1),"")</f>
        <v>S</v>
      </c>
      <c r="CN3" s="101" t="str">
        <f aca="false">IF(GanttPeriod=1,LEFT(TEXT(GanttStart+(COLUMN()-COLUMN(gantt_Origin)-1)*GanttPeriod,"ddd"),1),"")</f>
        <v>S</v>
      </c>
      <c r="CO3" s="101" t="str">
        <f aca="false">IF(GanttPeriod=1,LEFT(TEXT(GanttStart+(COLUMN()-COLUMN(gantt_Origin)-1)*GanttPeriod,"ddd"),1),"")</f>
        <v>M</v>
      </c>
      <c r="CP3" s="101" t="str">
        <f aca="false">IF(GanttPeriod=1,LEFT(TEXT(GanttStart+(COLUMN()-COLUMN(gantt_Origin)-1)*GanttPeriod,"ddd"),1),"")</f>
        <v>T</v>
      </c>
      <c r="CQ3" s="101" t="str">
        <f aca="false">IF(GanttPeriod=1,LEFT(TEXT(GanttStart+(COLUMN()-COLUMN(gantt_Origin)-1)*GanttPeriod,"ddd"),1),"")</f>
        <v>W</v>
      </c>
      <c r="CR3" s="101" t="str">
        <f aca="false">IF(GanttPeriod=1,LEFT(TEXT(GanttStart+(COLUMN()-COLUMN(gantt_Origin)-1)*GanttPeriod,"ddd"),1),"")</f>
        <v>T</v>
      </c>
      <c r="CS3" s="101" t="str">
        <f aca="false">IF(GanttPeriod=1,LEFT(TEXT(GanttStart+(COLUMN()-COLUMN(gantt_Origin)-1)*GanttPeriod,"ddd"),1),"")</f>
        <v>F</v>
      </c>
      <c r="CT3" s="101" t="str">
        <f aca="false">IF(GanttPeriod=1,LEFT(TEXT(GanttStart+(COLUMN()-COLUMN(gantt_Origin)-1)*GanttPeriod,"ddd"),1),"")</f>
        <v>S</v>
      </c>
      <c r="CU3" s="101" t="str">
        <f aca="false">IF(GanttPeriod=1,LEFT(TEXT(GanttStart+(COLUMN()-COLUMN(gantt_Origin)-1)*GanttPeriod,"ddd"),1),"")</f>
        <v>S</v>
      </c>
      <c r="CV3" s="101" t="str">
        <f aca="false">IF(GanttPeriod=1,LEFT(TEXT(GanttStart+(COLUMN()-COLUMN(gantt_Origin)-1)*GanttPeriod,"ddd"),1),"")</f>
        <v>M</v>
      </c>
      <c r="CW3" s="101" t="str">
        <f aca="false">IF(GanttPeriod=1,LEFT(TEXT(GanttStart+(COLUMN()-COLUMN(gantt_Origin)-1)*GanttPeriod,"ddd"),1),"")</f>
        <v>T</v>
      </c>
      <c r="CX3" s="101" t="str">
        <f aca="false">IF(GanttPeriod=1,LEFT(TEXT(GanttStart+(COLUMN()-COLUMN(gantt_Origin)-1)*GanttPeriod,"ddd"),1),"")</f>
        <v>W</v>
      </c>
      <c r="CY3" s="101" t="str">
        <f aca="false">IF(GanttPeriod=1,LEFT(TEXT(GanttStart+(COLUMN()-COLUMN(gantt_Origin)-1)*GanttPeriod,"ddd"),1),"")</f>
        <v>T</v>
      </c>
      <c r="CZ3" s="101" t="str">
        <f aca="false">IF(GanttPeriod=1,LEFT(TEXT(GanttStart+(COLUMN()-COLUMN(gantt_Origin)-1)*GanttPeriod,"ddd"),1),"")</f>
        <v>F</v>
      </c>
      <c r="DA3" s="101" t="str">
        <f aca="false">IF(GanttPeriod=1,LEFT(TEXT(GanttStart+(COLUMN()-COLUMN(gantt_Origin)-1)*GanttPeriod,"ddd"),1),"")</f>
        <v>S</v>
      </c>
      <c r="DB3" s="101" t="str">
        <f aca="false">IF(GanttPeriod=1,LEFT(TEXT(GanttStart+(COLUMN()-COLUMN(gantt_Origin)-1)*GanttPeriod,"ddd"),1),"")</f>
        <v>S</v>
      </c>
      <c r="DC3" s="101" t="str">
        <f aca="false">IF(GanttPeriod=1,LEFT(TEXT(GanttStart+(COLUMN()-COLUMN(gantt_Origin)-1)*GanttPeriod,"ddd"),1),"")</f>
        <v>M</v>
      </c>
      <c r="DD3" s="101" t="str">
        <f aca="false">IF(GanttPeriod=1,LEFT(TEXT(GanttStart+(COLUMN()-COLUMN(gantt_Origin)-1)*GanttPeriod,"ddd"),1),"")</f>
        <v>T</v>
      </c>
      <c r="DE3" s="101" t="str">
        <f aca="false">IF(GanttPeriod=1,LEFT(TEXT(GanttStart+(COLUMN()-COLUMN(gantt_Origin)-1)*GanttPeriod,"ddd"),1),"")</f>
        <v>W</v>
      </c>
      <c r="DF3" s="101" t="str">
        <f aca="false">IF(GanttPeriod=1,LEFT(TEXT(GanttStart+(COLUMN()-COLUMN(gantt_Origin)-1)*GanttPeriod,"ddd"),1),"")</f>
        <v>T</v>
      </c>
      <c r="DG3" s="101" t="str">
        <f aca="false">IF(GanttPeriod=1,LEFT(TEXT(GanttStart+(COLUMN()-COLUMN(gantt_Origin)-1)*GanttPeriod,"ddd"),1),"")</f>
        <v>F</v>
      </c>
      <c r="DH3" s="101" t="str">
        <f aca="false">IF(GanttPeriod=1,LEFT(TEXT(GanttStart+(COLUMN()-COLUMN(gantt_Origin)-1)*GanttPeriod,"ddd"),1),"")</f>
        <v>S</v>
      </c>
      <c r="DI3" s="101" t="str">
        <f aca="false">IF(GanttPeriod=1,LEFT(TEXT(GanttStart+(COLUMN()-COLUMN(gantt_Origin)-1)*GanttPeriod,"ddd"),1),"")</f>
        <v>S</v>
      </c>
      <c r="DJ3" s="101" t="str">
        <f aca="false">IF(GanttPeriod=1,LEFT(TEXT(GanttStart+(COLUMN()-COLUMN(gantt_Origin)-1)*GanttPeriod,"ddd"),1),"")</f>
        <v>M</v>
      </c>
      <c r="DK3" s="101" t="str">
        <f aca="false">IF(GanttPeriod=1,LEFT(TEXT(GanttStart+(COLUMN()-COLUMN(gantt_Origin)-1)*GanttPeriod,"ddd"),1),"")</f>
        <v>T</v>
      </c>
      <c r="DL3" s="101" t="str">
        <f aca="false">IF(GanttPeriod=1,LEFT(TEXT(GanttStart+(COLUMN()-COLUMN(gantt_Origin)-1)*GanttPeriod,"ddd"),1),"")</f>
        <v>W</v>
      </c>
      <c r="DM3" s="101" t="str">
        <f aca="false">IF(GanttPeriod=1,LEFT(TEXT(GanttStart+(COLUMN()-COLUMN(gantt_Origin)-1)*GanttPeriod,"ddd"),1),"")</f>
        <v>T</v>
      </c>
      <c r="DN3" s="101" t="str">
        <f aca="false">IF(GanttPeriod=1,LEFT(TEXT(GanttStart+(COLUMN()-COLUMN(gantt_Origin)-1)*GanttPeriod,"ddd"),1),"")</f>
        <v>F</v>
      </c>
      <c r="DO3" s="101" t="str">
        <f aca="false">IF(GanttPeriod=1,LEFT(TEXT(GanttStart+(COLUMN()-COLUMN(gantt_Origin)-1)*GanttPeriod,"ddd"),1),"")</f>
        <v>S</v>
      </c>
      <c r="DP3" s="101" t="str">
        <f aca="false">IF(GanttPeriod=1,LEFT(TEXT(GanttStart+(COLUMN()-COLUMN(gantt_Origin)-1)*GanttPeriod,"ddd"),1),"")</f>
        <v>S</v>
      </c>
      <c r="DQ3" s="101" t="str">
        <f aca="false">IF(GanttPeriod=1,LEFT(TEXT(GanttStart+(COLUMN()-COLUMN(gantt_Origin)-1)*GanttPeriod,"ddd"),1),"")</f>
        <v>M</v>
      </c>
      <c r="DR3" s="101" t="str">
        <f aca="false">IF(GanttPeriod=1,LEFT(TEXT(GanttStart+(COLUMN()-COLUMN(gantt_Origin)-1)*GanttPeriod,"ddd"),1),"")</f>
        <v>T</v>
      </c>
      <c r="DS3" s="101" t="str">
        <f aca="false">IF(GanttPeriod=1,LEFT(TEXT(GanttStart+(COLUMN()-COLUMN(gantt_Origin)-1)*GanttPeriod,"ddd"),1),"")</f>
        <v>W</v>
      </c>
      <c r="DT3" s="101" t="str">
        <f aca="false">IF(GanttPeriod=1,LEFT(TEXT(GanttStart+(COLUMN()-COLUMN(gantt_Origin)-1)*GanttPeriod,"ddd"),1),"")</f>
        <v>T</v>
      </c>
      <c r="DU3" s="101" t="str">
        <f aca="false">IF(GanttPeriod=1,LEFT(TEXT(GanttStart+(COLUMN()-COLUMN(gantt_Origin)-1)*GanttPeriod,"ddd"),1),"")</f>
        <v>F</v>
      </c>
      <c r="DV3" s="101" t="str">
        <f aca="false">IF(GanttPeriod=1,LEFT(TEXT(GanttStart+(COLUMN()-COLUMN(gantt_Origin)-1)*GanttPeriod,"ddd"),1),"")</f>
        <v>S</v>
      </c>
      <c r="DW3" s="101" t="str">
        <f aca="false">IF(GanttPeriod=1,LEFT(TEXT(GanttStart+(COLUMN()-COLUMN(gantt_Origin)-1)*GanttPeriod,"ddd"),1),"")</f>
        <v>S</v>
      </c>
      <c r="DX3" s="101" t="str">
        <f aca="false">IF(GanttPeriod=1,LEFT(TEXT(GanttStart+(COLUMN()-COLUMN(gantt_Origin)-1)*GanttPeriod,"ddd"),1),"")</f>
        <v>M</v>
      </c>
      <c r="DY3" s="101" t="str">
        <f aca="false">IF(GanttPeriod=1,LEFT(TEXT(GanttStart+(COLUMN()-COLUMN(gantt_Origin)-1)*GanttPeriod,"ddd"),1),"")</f>
        <v>T</v>
      </c>
      <c r="DZ3" s="101" t="str">
        <f aca="false">IF(GanttPeriod=1,LEFT(TEXT(GanttStart+(COLUMN()-COLUMN(gantt_Origin)-1)*GanttPeriod,"ddd"),1),"")</f>
        <v>W</v>
      </c>
      <c r="EA3" s="101" t="str">
        <f aca="false">IF(GanttPeriod=1,LEFT(TEXT(GanttStart+(COLUMN()-COLUMN(gantt_Origin)-1)*GanttPeriod,"ddd"),1),"")</f>
        <v>T</v>
      </c>
      <c r="EB3" s="101" t="str">
        <f aca="false">IF(GanttPeriod=1,LEFT(TEXT(GanttStart+(COLUMN()-COLUMN(gantt_Origin)-1)*GanttPeriod,"ddd"),1),"")</f>
        <v>F</v>
      </c>
      <c r="EC3" s="101" t="str">
        <f aca="false">IF(GanttPeriod=1,LEFT(TEXT(GanttStart+(COLUMN()-COLUMN(gantt_Origin)-1)*GanttPeriod,"ddd"),1),"")</f>
        <v>S</v>
      </c>
      <c r="ED3" s="101" t="str">
        <f aca="false">IF(GanttPeriod=1,LEFT(TEXT(GanttStart+(COLUMN()-COLUMN(gantt_Origin)-1)*GanttPeriod,"ddd"),1),"")</f>
        <v>S</v>
      </c>
      <c r="EE3" s="101" t="str">
        <f aca="false">IF(GanttPeriod=1,LEFT(TEXT(GanttStart+(COLUMN()-COLUMN(gantt_Origin)-1)*GanttPeriod,"ddd"),1),"")</f>
        <v>M</v>
      </c>
      <c r="EF3" s="101" t="str">
        <f aca="false">IF(GanttPeriod=1,LEFT(TEXT(GanttStart+(COLUMN()-COLUMN(gantt_Origin)-1)*GanttPeriod,"ddd"),1),"")</f>
        <v>T</v>
      </c>
      <c r="EG3" s="101" t="str">
        <f aca="false">IF(GanttPeriod=1,LEFT(TEXT(GanttStart+(COLUMN()-COLUMN(gantt_Origin)-1)*GanttPeriod,"ddd"),1),"")</f>
        <v>W</v>
      </c>
      <c r="EH3" s="101" t="str">
        <f aca="false">IF(GanttPeriod=1,LEFT(TEXT(GanttStart+(COLUMN()-COLUMN(gantt_Origin)-1)*GanttPeriod,"ddd"),1),"")</f>
        <v>T</v>
      </c>
      <c r="EI3" s="101" t="str">
        <f aca="false">IF(GanttPeriod=1,LEFT(TEXT(GanttStart+(COLUMN()-COLUMN(gantt_Origin)-1)*GanttPeriod,"ddd"),1),"")</f>
        <v>F</v>
      </c>
      <c r="EJ3" s="101" t="str">
        <f aca="false">IF(GanttPeriod=1,LEFT(TEXT(GanttStart+(COLUMN()-COLUMN(gantt_Origin)-1)*GanttPeriod,"ddd"),1),"")</f>
        <v>S</v>
      </c>
      <c r="EK3" s="101" t="str">
        <f aca="false">IF(GanttPeriod=1,LEFT(TEXT(GanttStart+(COLUMN()-COLUMN(gantt_Origin)-1)*GanttPeriod,"ddd"),1),"")</f>
        <v>S</v>
      </c>
      <c r="EL3" s="101" t="str">
        <f aca="false">IF(GanttPeriod=1,LEFT(TEXT(GanttStart+(COLUMN()-COLUMN(gantt_Origin)-1)*GanttPeriod,"ddd"),1),"")</f>
        <v>M</v>
      </c>
      <c r="EM3" s="101" t="str">
        <f aca="false">IF(GanttPeriod=1,LEFT(TEXT(GanttStart+(COLUMN()-COLUMN(gantt_Origin)-1)*GanttPeriod,"ddd"),1),"")</f>
        <v>T</v>
      </c>
      <c r="EN3" s="101" t="str">
        <f aca="false">IF(GanttPeriod=1,LEFT(TEXT(GanttStart+(COLUMN()-COLUMN(gantt_Origin)-1)*GanttPeriod,"ddd"),1),"")</f>
        <v>W</v>
      </c>
      <c r="EO3" s="101" t="str">
        <f aca="false">IF(GanttPeriod=1,LEFT(TEXT(GanttStart+(COLUMN()-COLUMN(gantt_Origin)-1)*GanttPeriod,"ddd"),1),"")</f>
        <v>T</v>
      </c>
      <c r="EP3" s="101" t="str">
        <f aca="false">IF(GanttPeriod=1,LEFT(TEXT(GanttStart+(COLUMN()-COLUMN(gantt_Origin)-1)*GanttPeriod,"ddd"),1),"")</f>
        <v>F</v>
      </c>
      <c r="EQ3" s="101" t="str">
        <f aca="false">IF(GanttPeriod=1,LEFT(TEXT(GanttStart+(COLUMN()-COLUMN(gantt_Origin)-1)*GanttPeriod,"ddd"),1),"")</f>
        <v>S</v>
      </c>
      <c r="ER3" s="101" t="str">
        <f aca="false">IF(GanttPeriod=1,LEFT(TEXT(GanttStart+(COLUMN()-COLUMN(gantt_Origin)-1)*GanttPeriod,"ddd"),1),"")</f>
        <v>S</v>
      </c>
      <c r="ES3" s="101" t="str">
        <f aca="false">IF(GanttPeriod=1,LEFT(TEXT(GanttStart+(COLUMN()-COLUMN(gantt_Origin)-1)*GanttPeriod,"ddd"),1),"")</f>
        <v>M</v>
      </c>
      <c r="ET3" s="101" t="str">
        <f aca="false">IF(GanttPeriod=1,LEFT(TEXT(GanttStart+(COLUMN()-COLUMN(gantt_Origin)-1)*GanttPeriod,"ddd"),1),"")</f>
        <v>T</v>
      </c>
      <c r="EU3" s="101" t="str">
        <f aca="false">IF(GanttPeriod=1,LEFT(TEXT(GanttStart+(COLUMN()-COLUMN(gantt_Origin)-1)*GanttPeriod,"ddd"),1),"")</f>
        <v>W</v>
      </c>
      <c r="EV3" s="101" t="str">
        <f aca="false">IF(GanttPeriod=1,LEFT(TEXT(GanttStart+(COLUMN()-COLUMN(gantt_Origin)-1)*GanttPeriod,"ddd"),1),"")</f>
        <v>T</v>
      </c>
      <c r="EW3" s="101" t="str">
        <f aca="false">IF(GanttPeriod=1,LEFT(TEXT(GanttStart+(COLUMN()-COLUMN(gantt_Origin)-1)*GanttPeriod,"ddd"),1),"")</f>
        <v>F</v>
      </c>
      <c r="EX3" s="101" t="str">
        <f aca="false">IF(GanttPeriod=1,LEFT(TEXT(GanttStart+(COLUMN()-COLUMN(gantt_Origin)-1)*GanttPeriod,"ddd"),1),"")</f>
        <v>S</v>
      </c>
      <c r="EY3" s="101" t="str">
        <f aca="false">IF(GanttPeriod=1,LEFT(TEXT(GanttStart+(COLUMN()-COLUMN(gantt_Origin)-1)*GanttPeriod,"ddd"),1),"")</f>
        <v>S</v>
      </c>
      <c r="EZ3" s="101" t="str">
        <f aca="false">IF(GanttPeriod=1,LEFT(TEXT(GanttStart+(COLUMN()-COLUMN(gantt_Origin)-1)*GanttPeriod,"ddd"),1),"")</f>
        <v>M</v>
      </c>
      <c r="FA3" s="101" t="str">
        <f aca="false">IF(GanttPeriod=1,LEFT(TEXT(GanttStart+(COLUMN()-COLUMN(gantt_Origin)-1)*GanttPeriod,"ddd"),1),"")</f>
        <v>T</v>
      </c>
      <c r="FB3" s="101" t="str">
        <f aca="false">IF(GanttPeriod=1,LEFT(TEXT(GanttStart+(COLUMN()-COLUMN(gantt_Origin)-1)*GanttPeriod,"ddd"),1),"")</f>
        <v>W</v>
      </c>
      <c r="FC3" s="101" t="str">
        <f aca="false">IF(GanttPeriod=1,LEFT(TEXT(GanttStart+(COLUMN()-COLUMN(gantt_Origin)-1)*GanttPeriod,"ddd"),1),"")</f>
        <v>T</v>
      </c>
      <c r="FD3" s="101" t="str">
        <f aca="false">IF(GanttPeriod=1,LEFT(TEXT(GanttStart+(COLUMN()-COLUMN(gantt_Origin)-1)*GanttPeriod,"ddd"),1),"")</f>
        <v>F</v>
      </c>
      <c r="FE3" s="101" t="str">
        <f aca="false">IF(GanttPeriod=1,LEFT(TEXT(GanttStart+(COLUMN()-COLUMN(gantt_Origin)-1)*GanttPeriod,"ddd"),1),"")</f>
        <v>S</v>
      </c>
      <c r="FF3" s="101" t="str">
        <f aca="false">IF(GanttPeriod=1,LEFT(TEXT(GanttStart+(COLUMN()-COLUMN(gantt_Origin)-1)*GanttPeriod,"ddd"),1),"")</f>
        <v>S</v>
      </c>
      <c r="FG3" s="101" t="str">
        <f aca="false">IF(GanttPeriod=1,LEFT(TEXT(GanttStart+(COLUMN()-COLUMN(gantt_Origin)-1)*GanttPeriod,"ddd"),1),"")</f>
        <v>M</v>
      </c>
      <c r="FH3" s="101" t="str">
        <f aca="false">IF(GanttPeriod=1,LEFT(TEXT(GanttStart+(COLUMN()-COLUMN(gantt_Origin)-1)*GanttPeriod,"ddd"),1),"")</f>
        <v>T</v>
      </c>
      <c r="FI3" s="101" t="str">
        <f aca="false">IF(GanttPeriod=1,LEFT(TEXT(GanttStart+(COLUMN()-COLUMN(gantt_Origin)-1)*GanttPeriod,"ddd"),1),"")</f>
        <v>W</v>
      </c>
      <c r="FJ3" s="101" t="str">
        <f aca="false">IF(GanttPeriod=1,LEFT(TEXT(GanttStart+(COLUMN()-COLUMN(gantt_Origin)-1)*GanttPeriod,"ddd"),1),"")</f>
        <v>T</v>
      </c>
      <c r="FK3" s="101" t="str">
        <f aca="false">IF(GanttPeriod=1,LEFT(TEXT(GanttStart+(COLUMN()-COLUMN(gantt_Origin)-1)*GanttPeriod,"ddd"),1),"")</f>
        <v>F</v>
      </c>
      <c r="FL3" s="101" t="str">
        <f aca="false">IF(GanttPeriod=1,LEFT(TEXT(GanttStart+(COLUMN()-COLUMN(gantt_Origin)-1)*GanttPeriod,"ddd"),1),"")</f>
        <v>S</v>
      </c>
      <c r="FM3" s="101" t="str">
        <f aca="false">IF(GanttPeriod=1,LEFT(TEXT(GanttStart+(COLUMN()-COLUMN(gantt_Origin)-1)*GanttPeriod,"ddd"),1),"")</f>
        <v>S</v>
      </c>
      <c r="FN3" s="101" t="str">
        <f aca="false">IF(GanttPeriod=1,LEFT(TEXT(GanttStart+(COLUMN()-COLUMN(gantt_Origin)-1)*GanttPeriod,"ddd"),1),"")</f>
        <v>M</v>
      </c>
      <c r="FO3" s="101" t="str">
        <f aca="false">IF(GanttPeriod=1,LEFT(TEXT(GanttStart+(COLUMN()-COLUMN(gantt_Origin)-1)*GanttPeriod,"ddd"),1),"")</f>
        <v>T</v>
      </c>
      <c r="FP3" s="101" t="str">
        <f aca="false">IF(GanttPeriod=1,LEFT(TEXT(GanttStart+(COLUMN()-COLUMN(gantt_Origin)-1)*GanttPeriod,"ddd"),1),"")</f>
        <v>W</v>
      </c>
    </row>
    <row r="4" customFormat="false" ht="15" hidden="false" customHeight="false" outlineLevel="0" collapsed="false">
      <c r="W4" s="102" t="str">
        <f aca="false">IF(OR(COLUMN()-COLUMN(gantt_Origin)=1,DAY(GanttStart+(COLUMN()-COLUMN(gantt_Origin)-1)*GanttPeriod)&lt;=GanttPeriod),TEXT(GanttStart+(COLUMN()-COLUMN(gantt_Origin)-1)*GanttPeriod,"mmm yy"),"")</f>
        <v>Sep 26</v>
      </c>
      <c r="X4" s="102" t="str">
        <f aca="false">IF(OR(COLUMN()-COLUMN(gantt_Origin)=1,DAY(GanttStart+(COLUMN()-COLUMN(gantt_Origin)-1)*GanttPeriod)&lt;=GanttPeriod),TEXT(GanttStart+(COLUMN()-COLUMN(gantt_Origin)-1)*GanttPeriod,"mmm yy"),"")</f>
        <v/>
      </c>
      <c r="Y4" s="102" t="str">
        <f aca="false">IF(OR(COLUMN()-COLUMN(gantt_Origin)=1,DAY(GanttStart+(COLUMN()-COLUMN(gantt_Origin)-1)*GanttPeriod)&lt;=GanttPeriod),TEXT(GanttStart+(COLUMN()-COLUMN(gantt_Origin)-1)*GanttPeriod,"mmm yy"),"")</f>
        <v/>
      </c>
      <c r="Z4" s="102" t="str">
        <f aca="false">IF(OR(COLUMN()-COLUMN(gantt_Origin)=1,DAY(GanttStart+(COLUMN()-COLUMN(gantt_Origin)-1)*GanttPeriod)&lt;=GanttPeriod),TEXT(GanttStart+(COLUMN()-COLUMN(gantt_Origin)-1)*GanttPeriod,"mmm yy"),"")</f>
        <v/>
      </c>
      <c r="AA4" s="102" t="str">
        <f aca="false">IF(OR(COLUMN()-COLUMN(gantt_Origin)=1,DAY(GanttStart+(COLUMN()-COLUMN(gantt_Origin)-1)*GanttPeriod)&lt;=GanttPeriod),TEXT(GanttStart+(COLUMN()-COLUMN(gantt_Origin)-1)*GanttPeriod,"mmm yy"),"")</f>
        <v/>
      </c>
      <c r="AB4" s="102" t="str">
        <f aca="false">IF(OR(COLUMN()-COLUMN(gantt_Origin)=1,DAY(GanttStart+(COLUMN()-COLUMN(gantt_Origin)-1)*GanttPeriod)&lt;=GanttPeriod),TEXT(GanttStart+(COLUMN()-COLUMN(gantt_Origin)-1)*GanttPeriod,"mmm yy"),"")</f>
        <v/>
      </c>
      <c r="AC4" s="102" t="str">
        <f aca="false">IF(OR(COLUMN()-COLUMN(gantt_Origin)=1,DAY(GanttStart+(COLUMN()-COLUMN(gantt_Origin)-1)*GanttPeriod)&lt;=GanttPeriod),TEXT(GanttStart+(COLUMN()-COLUMN(gantt_Origin)-1)*GanttPeriod,"mmm yy"),"")</f>
        <v/>
      </c>
      <c r="AD4" s="102" t="str">
        <f aca="false">IF(OR(COLUMN()-COLUMN(gantt_Origin)=1,DAY(GanttStart+(COLUMN()-COLUMN(gantt_Origin)-1)*GanttPeriod)&lt;=GanttPeriod),TEXT(GanttStart+(COLUMN()-COLUMN(gantt_Origin)-1)*GanttPeriod,"mmm yy"),"")</f>
        <v/>
      </c>
      <c r="AE4" s="102" t="str">
        <f aca="false">IF(OR(COLUMN()-COLUMN(gantt_Origin)=1,DAY(GanttStart+(COLUMN()-COLUMN(gantt_Origin)-1)*GanttPeriod)&lt;=GanttPeriod),TEXT(GanttStart+(COLUMN()-COLUMN(gantt_Origin)-1)*GanttPeriod,"mmm yy"),"")</f>
        <v/>
      </c>
      <c r="AF4" s="102" t="str">
        <f aca="false">IF(OR(COLUMN()-COLUMN(gantt_Origin)=1,DAY(GanttStart+(COLUMN()-COLUMN(gantt_Origin)-1)*GanttPeriod)&lt;=GanttPeriod),TEXT(GanttStart+(COLUMN()-COLUMN(gantt_Origin)-1)*GanttPeriod,"mmm yy"),"")</f>
        <v/>
      </c>
      <c r="AG4" s="102" t="str">
        <f aca="false">IF(OR(COLUMN()-COLUMN(gantt_Origin)=1,DAY(GanttStart+(COLUMN()-COLUMN(gantt_Origin)-1)*GanttPeriod)&lt;=GanttPeriod),TEXT(GanttStart+(COLUMN()-COLUMN(gantt_Origin)-1)*GanttPeriod,"mmm yy"),"")</f>
        <v/>
      </c>
      <c r="AH4" s="102" t="str">
        <f aca="false">IF(OR(COLUMN()-COLUMN(gantt_Origin)=1,DAY(GanttStart+(COLUMN()-COLUMN(gantt_Origin)-1)*GanttPeriod)&lt;=GanttPeriod),TEXT(GanttStart+(COLUMN()-COLUMN(gantt_Origin)-1)*GanttPeriod,"mmm yy"),"")</f>
        <v/>
      </c>
      <c r="AI4" s="102" t="str">
        <f aca="false">IF(OR(COLUMN()-COLUMN(gantt_Origin)=1,DAY(GanttStart+(COLUMN()-COLUMN(gantt_Origin)-1)*GanttPeriod)&lt;=GanttPeriod),TEXT(GanttStart+(COLUMN()-COLUMN(gantt_Origin)-1)*GanttPeriod,"mmm yy"),"")</f>
        <v/>
      </c>
      <c r="AJ4" s="102" t="str">
        <f aca="false">IF(OR(COLUMN()-COLUMN(gantt_Origin)=1,DAY(GanttStart+(COLUMN()-COLUMN(gantt_Origin)-1)*GanttPeriod)&lt;=GanttPeriod),TEXT(GanttStart+(COLUMN()-COLUMN(gantt_Origin)-1)*GanttPeriod,"mmm yy"),"")</f>
        <v/>
      </c>
      <c r="AK4" s="102" t="str">
        <f aca="false">IF(OR(COLUMN()-COLUMN(gantt_Origin)=1,DAY(GanttStart+(COLUMN()-COLUMN(gantt_Origin)-1)*GanttPeriod)&lt;=GanttPeriod),TEXT(GanttStart+(COLUMN()-COLUMN(gantt_Origin)-1)*GanttPeriod,"mmm yy"),"")</f>
        <v/>
      </c>
      <c r="AL4" s="102" t="str">
        <f aca="false">IF(OR(COLUMN()-COLUMN(gantt_Origin)=1,DAY(GanttStart+(COLUMN()-COLUMN(gantt_Origin)-1)*GanttPeriod)&lt;=GanttPeriod),TEXT(GanttStart+(COLUMN()-COLUMN(gantt_Origin)-1)*GanttPeriod,"mmm yy"),"")</f>
        <v/>
      </c>
      <c r="AM4" s="102" t="str">
        <f aca="false">IF(OR(COLUMN()-COLUMN(gantt_Origin)=1,DAY(GanttStart+(COLUMN()-COLUMN(gantt_Origin)-1)*GanttPeriod)&lt;=GanttPeriod),TEXT(GanttStart+(COLUMN()-COLUMN(gantt_Origin)-1)*GanttPeriod,"mmm yy"),"")</f>
        <v/>
      </c>
      <c r="AN4" s="102" t="str">
        <f aca="false">IF(OR(COLUMN()-COLUMN(gantt_Origin)=1,DAY(GanttStart+(COLUMN()-COLUMN(gantt_Origin)-1)*GanttPeriod)&lt;=GanttPeriod),TEXT(GanttStart+(COLUMN()-COLUMN(gantt_Origin)-1)*GanttPeriod,"mmm yy"),"")</f>
        <v/>
      </c>
      <c r="AO4" s="102" t="str">
        <f aca="false">IF(OR(COLUMN()-COLUMN(gantt_Origin)=1,DAY(GanttStart+(COLUMN()-COLUMN(gantt_Origin)-1)*GanttPeriod)&lt;=GanttPeriod),TEXT(GanttStart+(COLUMN()-COLUMN(gantt_Origin)-1)*GanttPeriod,"mmm yy"),"")</f>
        <v/>
      </c>
      <c r="AP4" s="102" t="str">
        <f aca="false">IF(OR(COLUMN()-COLUMN(gantt_Origin)=1,DAY(GanttStart+(COLUMN()-COLUMN(gantt_Origin)-1)*GanttPeriod)&lt;=GanttPeriod),TEXT(GanttStart+(COLUMN()-COLUMN(gantt_Origin)-1)*GanttPeriod,"mmm yy"),"")</f>
        <v/>
      </c>
      <c r="AQ4" s="102" t="str">
        <f aca="false">IF(OR(COLUMN()-COLUMN(gantt_Origin)=1,DAY(GanttStart+(COLUMN()-COLUMN(gantt_Origin)-1)*GanttPeriod)&lt;=GanttPeriod),TEXT(GanttStart+(COLUMN()-COLUMN(gantt_Origin)-1)*GanttPeriod,"mmm yy"),"")</f>
        <v/>
      </c>
      <c r="AR4" s="102" t="str">
        <f aca="false">IF(OR(COLUMN()-COLUMN(gantt_Origin)=1,DAY(GanttStart+(COLUMN()-COLUMN(gantt_Origin)-1)*GanttPeriod)&lt;=GanttPeriod),TEXT(GanttStart+(COLUMN()-COLUMN(gantt_Origin)-1)*GanttPeriod,"mmm yy"),"")</f>
        <v/>
      </c>
      <c r="AS4" s="102" t="str">
        <f aca="false">IF(OR(COLUMN()-COLUMN(gantt_Origin)=1,DAY(GanttStart+(COLUMN()-COLUMN(gantt_Origin)-1)*GanttPeriod)&lt;=GanttPeriod),TEXT(GanttStart+(COLUMN()-COLUMN(gantt_Origin)-1)*GanttPeriod,"mmm yy"),"")</f>
        <v/>
      </c>
      <c r="AT4" s="102" t="str">
        <f aca="false">IF(OR(COLUMN()-COLUMN(gantt_Origin)=1,DAY(GanttStart+(COLUMN()-COLUMN(gantt_Origin)-1)*GanttPeriod)&lt;=GanttPeriod),TEXT(GanttStart+(COLUMN()-COLUMN(gantt_Origin)-1)*GanttPeriod,"mmm yy"),"")</f>
        <v/>
      </c>
      <c r="AU4" s="102" t="str">
        <f aca="false">IF(OR(COLUMN()-COLUMN(gantt_Origin)=1,DAY(GanttStart+(COLUMN()-COLUMN(gantt_Origin)-1)*GanttPeriod)&lt;=GanttPeriod),TEXT(GanttStart+(COLUMN()-COLUMN(gantt_Origin)-1)*GanttPeriod,"mmm yy"),"")</f>
        <v>Oct 26</v>
      </c>
      <c r="AV4" s="102" t="str">
        <f aca="false">IF(OR(COLUMN()-COLUMN(gantt_Origin)=1,DAY(GanttStart+(COLUMN()-COLUMN(gantt_Origin)-1)*GanttPeriod)&lt;=GanttPeriod),TEXT(GanttStart+(COLUMN()-COLUMN(gantt_Origin)-1)*GanttPeriod,"mmm yy"),"")</f>
        <v/>
      </c>
      <c r="AW4" s="102" t="str">
        <f aca="false">IF(OR(COLUMN()-COLUMN(gantt_Origin)=1,DAY(GanttStart+(COLUMN()-COLUMN(gantt_Origin)-1)*GanttPeriod)&lt;=GanttPeriod),TEXT(GanttStart+(COLUMN()-COLUMN(gantt_Origin)-1)*GanttPeriod,"mmm yy"),"")</f>
        <v/>
      </c>
      <c r="AX4" s="102" t="str">
        <f aca="false">IF(OR(COLUMN()-COLUMN(gantt_Origin)=1,DAY(GanttStart+(COLUMN()-COLUMN(gantt_Origin)-1)*GanttPeriod)&lt;=GanttPeriod),TEXT(GanttStart+(COLUMN()-COLUMN(gantt_Origin)-1)*GanttPeriod,"mmm yy"),"")</f>
        <v/>
      </c>
      <c r="AY4" s="102" t="str">
        <f aca="false">IF(OR(COLUMN()-COLUMN(gantt_Origin)=1,DAY(GanttStart+(COLUMN()-COLUMN(gantt_Origin)-1)*GanttPeriod)&lt;=GanttPeriod),TEXT(GanttStart+(COLUMN()-COLUMN(gantt_Origin)-1)*GanttPeriod,"mmm yy"),"")</f>
        <v/>
      </c>
      <c r="AZ4" s="102" t="str">
        <f aca="false">IF(OR(COLUMN()-COLUMN(gantt_Origin)=1,DAY(GanttStart+(COLUMN()-COLUMN(gantt_Origin)-1)*GanttPeriod)&lt;=GanttPeriod),TEXT(GanttStart+(COLUMN()-COLUMN(gantt_Origin)-1)*GanttPeriod,"mmm yy"),"")</f>
        <v/>
      </c>
      <c r="BA4" s="102" t="str">
        <f aca="false">IF(OR(COLUMN()-COLUMN(gantt_Origin)=1,DAY(GanttStart+(COLUMN()-COLUMN(gantt_Origin)-1)*GanttPeriod)&lt;=GanttPeriod),TEXT(GanttStart+(COLUMN()-COLUMN(gantt_Origin)-1)*GanttPeriod,"mmm yy"),"")</f>
        <v/>
      </c>
      <c r="BB4" s="102" t="str">
        <f aca="false">IF(OR(COLUMN()-COLUMN(gantt_Origin)=1,DAY(GanttStart+(COLUMN()-COLUMN(gantt_Origin)-1)*GanttPeriod)&lt;=GanttPeriod),TEXT(GanttStart+(COLUMN()-COLUMN(gantt_Origin)-1)*GanttPeriod,"mmm yy"),"")</f>
        <v/>
      </c>
      <c r="BC4" s="102" t="str">
        <f aca="false">IF(OR(COLUMN()-COLUMN(gantt_Origin)=1,DAY(GanttStart+(COLUMN()-COLUMN(gantt_Origin)-1)*GanttPeriod)&lt;=GanttPeriod),TEXT(GanttStart+(COLUMN()-COLUMN(gantt_Origin)-1)*GanttPeriod,"mmm yy"),"")</f>
        <v/>
      </c>
      <c r="BD4" s="102" t="str">
        <f aca="false">IF(OR(COLUMN()-COLUMN(gantt_Origin)=1,DAY(GanttStart+(COLUMN()-COLUMN(gantt_Origin)-1)*GanttPeriod)&lt;=GanttPeriod),TEXT(GanttStart+(COLUMN()-COLUMN(gantt_Origin)-1)*GanttPeriod,"mmm yy"),"")</f>
        <v/>
      </c>
      <c r="BE4" s="102" t="str">
        <f aca="false">IF(OR(COLUMN()-COLUMN(gantt_Origin)=1,DAY(GanttStart+(COLUMN()-COLUMN(gantt_Origin)-1)*GanttPeriod)&lt;=GanttPeriod),TEXT(GanttStart+(COLUMN()-COLUMN(gantt_Origin)-1)*GanttPeriod,"mmm yy"),"")</f>
        <v/>
      </c>
      <c r="BF4" s="102" t="str">
        <f aca="false">IF(OR(COLUMN()-COLUMN(gantt_Origin)=1,DAY(GanttStart+(COLUMN()-COLUMN(gantt_Origin)-1)*GanttPeriod)&lt;=GanttPeriod),TEXT(GanttStart+(COLUMN()-COLUMN(gantt_Origin)-1)*GanttPeriod,"mmm yy"),"")</f>
        <v/>
      </c>
      <c r="BG4" s="102" t="str">
        <f aca="false">IF(OR(COLUMN()-COLUMN(gantt_Origin)=1,DAY(GanttStart+(COLUMN()-COLUMN(gantt_Origin)-1)*GanttPeriod)&lt;=GanttPeriod),TEXT(GanttStart+(COLUMN()-COLUMN(gantt_Origin)-1)*GanttPeriod,"mmm yy"),"")</f>
        <v/>
      </c>
      <c r="BH4" s="102" t="str">
        <f aca="false">IF(OR(COLUMN()-COLUMN(gantt_Origin)=1,DAY(GanttStart+(COLUMN()-COLUMN(gantt_Origin)-1)*GanttPeriod)&lt;=GanttPeriod),TEXT(GanttStart+(COLUMN()-COLUMN(gantt_Origin)-1)*GanttPeriod,"mmm yy"),"")</f>
        <v/>
      </c>
      <c r="BI4" s="102" t="str">
        <f aca="false">IF(OR(COLUMN()-COLUMN(gantt_Origin)=1,DAY(GanttStart+(COLUMN()-COLUMN(gantt_Origin)-1)*GanttPeriod)&lt;=GanttPeriod),TEXT(GanttStart+(COLUMN()-COLUMN(gantt_Origin)-1)*GanttPeriod,"mmm yy"),"")</f>
        <v/>
      </c>
      <c r="BJ4" s="102" t="str">
        <f aca="false">IF(OR(COLUMN()-COLUMN(gantt_Origin)=1,DAY(GanttStart+(COLUMN()-COLUMN(gantt_Origin)-1)*GanttPeriod)&lt;=GanttPeriod),TEXT(GanttStart+(COLUMN()-COLUMN(gantt_Origin)-1)*GanttPeriod,"mmm yy"),"")</f>
        <v/>
      </c>
      <c r="BK4" s="102" t="str">
        <f aca="false">IF(OR(COLUMN()-COLUMN(gantt_Origin)=1,DAY(GanttStart+(COLUMN()-COLUMN(gantt_Origin)-1)*GanttPeriod)&lt;=GanttPeriod),TEXT(GanttStart+(COLUMN()-COLUMN(gantt_Origin)-1)*GanttPeriod,"mmm yy"),"")</f>
        <v/>
      </c>
      <c r="BL4" s="102" t="str">
        <f aca="false">IF(OR(COLUMN()-COLUMN(gantt_Origin)=1,DAY(GanttStart+(COLUMN()-COLUMN(gantt_Origin)-1)*GanttPeriod)&lt;=GanttPeriod),TEXT(GanttStart+(COLUMN()-COLUMN(gantt_Origin)-1)*GanttPeriod,"mmm yy"),"")</f>
        <v/>
      </c>
      <c r="BM4" s="102" t="str">
        <f aca="false">IF(OR(COLUMN()-COLUMN(gantt_Origin)=1,DAY(GanttStart+(COLUMN()-COLUMN(gantt_Origin)-1)*GanttPeriod)&lt;=GanttPeriod),TEXT(GanttStart+(COLUMN()-COLUMN(gantt_Origin)-1)*GanttPeriod,"mmm yy"),"")</f>
        <v/>
      </c>
      <c r="BN4" s="102" t="str">
        <f aca="false">IF(OR(COLUMN()-COLUMN(gantt_Origin)=1,DAY(GanttStart+(COLUMN()-COLUMN(gantt_Origin)-1)*GanttPeriod)&lt;=GanttPeriod),TEXT(GanttStart+(COLUMN()-COLUMN(gantt_Origin)-1)*GanttPeriod,"mmm yy"),"")</f>
        <v/>
      </c>
      <c r="BO4" s="102" t="str">
        <f aca="false">IF(OR(COLUMN()-COLUMN(gantt_Origin)=1,DAY(GanttStart+(COLUMN()-COLUMN(gantt_Origin)-1)*GanttPeriod)&lt;=GanttPeriod),TEXT(GanttStart+(COLUMN()-COLUMN(gantt_Origin)-1)*GanttPeriod,"mmm yy"),"")</f>
        <v/>
      </c>
      <c r="BP4" s="102" t="str">
        <f aca="false">IF(OR(COLUMN()-COLUMN(gantt_Origin)=1,DAY(GanttStart+(COLUMN()-COLUMN(gantt_Origin)-1)*GanttPeriod)&lt;=GanttPeriod),TEXT(GanttStart+(COLUMN()-COLUMN(gantt_Origin)-1)*GanttPeriod,"mmm yy"),"")</f>
        <v/>
      </c>
      <c r="BQ4" s="102" t="str">
        <f aca="false">IF(OR(COLUMN()-COLUMN(gantt_Origin)=1,DAY(GanttStart+(COLUMN()-COLUMN(gantt_Origin)-1)*GanttPeriod)&lt;=GanttPeriod),TEXT(GanttStart+(COLUMN()-COLUMN(gantt_Origin)-1)*GanttPeriod,"mmm yy"),"")</f>
        <v/>
      </c>
      <c r="BR4" s="102" t="str">
        <f aca="false">IF(OR(COLUMN()-COLUMN(gantt_Origin)=1,DAY(GanttStart+(COLUMN()-COLUMN(gantt_Origin)-1)*GanttPeriod)&lt;=GanttPeriod),TEXT(GanttStart+(COLUMN()-COLUMN(gantt_Origin)-1)*GanttPeriod,"mmm yy"),"")</f>
        <v/>
      </c>
      <c r="BS4" s="102" t="str">
        <f aca="false">IF(OR(COLUMN()-COLUMN(gantt_Origin)=1,DAY(GanttStart+(COLUMN()-COLUMN(gantt_Origin)-1)*GanttPeriod)&lt;=GanttPeriod),TEXT(GanttStart+(COLUMN()-COLUMN(gantt_Origin)-1)*GanttPeriod,"mmm yy"),"")</f>
        <v/>
      </c>
      <c r="BT4" s="102" t="str">
        <f aca="false">IF(OR(COLUMN()-COLUMN(gantt_Origin)=1,DAY(GanttStart+(COLUMN()-COLUMN(gantt_Origin)-1)*GanttPeriod)&lt;=GanttPeriod),TEXT(GanttStart+(COLUMN()-COLUMN(gantt_Origin)-1)*GanttPeriod,"mmm yy"),"")</f>
        <v/>
      </c>
      <c r="BU4" s="102" t="str">
        <f aca="false">IF(OR(COLUMN()-COLUMN(gantt_Origin)=1,DAY(GanttStart+(COLUMN()-COLUMN(gantt_Origin)-1)*GanttPeriod)&lt;=GanttPeriod),TEXT(GanttStart+(COLUMN()-COLUMN(gantt_Origin)-1)*GanttPeriod,"mmm yy"),"")</f>
        <v/>
      </c>
      <c r="BV4" s="102" t="str">
        <f aca="false">IF(OR(COLUMN()-COLUMN(gantt_Origin)=1,DAY(GanttStart+(COLUMN()-COLUMN(gantt_Origin)-1)*GanttPeriod)&lt;=GanttPeriod),TEXT(GanttStart+(COLUMN()-COLUMN(gantt_Origin)-1)*GanttPeriod,"mmm yy"),"")</f>
        <v/>
      </c>
      <c r="BW4" s="102" t="str">
        <f aca="false">IF(OR(COLUMN()-COLUMN(gantt_Origin)=1,DAY(GanttStart+(COLUMN()-COLUMN(gantt_Origin)-1)*GanttPeriod)&lt;=GanttPeriod),TEXT(GanttStart+(COLUMN()-COLUMN(gantt_Origin)-1)*GanttPeriod,"mmm yy"),"")</f>
        <v/>
      </c>
      <c r="BX4" s="102" t="str">
        <f aca="false">IF(OR(COLUMN()-COLUMN(gantt_Origin)=1,DAY(GanttStart+(COLUMN()-COLUMN(gantt_Origin)-1)*GanttPeriod)&lt;=GanttPeriod),TEXT(GanttStart+(COLUMN()-COLUMN(gantt_Origin)-1)*GanttPeriod,"mmm yy"),"")</f>
        <v/>
      </c>
      <c r="BY4" s="102" t="str">
        <f aca="false">IF(OR(COLUMN()-COLUMN(gantt_Origin)=1,DAY(GanttStart+(COLUMN()-COLUMN(gantt_Origin)-1)*GanttPeriod)&lt;=GanttPeriod),TEXT(GanttStart+(COLUMN()-COLUMN(gantt_Origin)-1)*GanttPeriod,"mmm yy"),"")</f>
        <v/>
      </c>
      <c r="BZ4" s="102" t="str">
        <f aca="false">IF(OR(COLUMN()-COLUMN(gantt_Origin)=1,DAY(GanttStart+(COLUMN()-COLUMN(gantt_Origin)-1)*GanttPeriod)&lt;=GanttPeriod),TEXT(GanttStart+(COLUMN()-COLUMN(gantt_Origin)-1)*GanttPeriod,"mmm yy"),"")</f>
        <v>Nov 26</v>
      </c>
      <c r="CA4" s="102" t="str">
        <f aca="false">IF(OR(COLUMN()-COLUMN(gantt_Origin)=1,DAY(GanttStart+(COLUMN()-COLUMN(gantt_Origin)-1)*GanttPeriod)&lt;=GanttPeriod),TEXT(GanttStart+(COLUMN()-COLUMN(gantt_Origin)-1)*GanttPeriod,"mmm yy"),"")</f>
        <v/>
      </c>
      <c r="CB4" s="102" t="str">
        <f aca="false">IF(OR(COLUMN()-COLUMN(gantt_Origin)=1,DAY(GanttStart+(COLUMN()-COLUMN(gantt_Origin)-1)*GanttPeriod)&lt;=GanttPeriod),TEXT(GanttStart+(COLUMN()-COLUMN(gantt_Origin)-1)*GanttPeriod,"mmm yy"),"")</f>
        <v/>
      </c>
      <c r="CC4" s="102" t="str">
        <f aca="false">IF(OR(COLUMN()-COLUMN(gantt_Origin)=1,DAY(GanttStart+(COLUMN()-COLUMN(gantt_Origin)-1)*GanttPeriod)&lt;=GanttPeriod),TEXT(GanttStart+(COLUMN()-COLUMN(gantt_Origin)-1)*GanttPeriod,"mmm yy"),"")</f>
        <v/>
      </c>
      <c r="CD4" s="102" t="str">
        <f aca="false">IF(OR(COLUMN()-COLUMN(gantt_Origin)=1,DAY(GanttStart+(COLUMN()-COLUMN(gantt_Origin)-1)*GanttPeriod)&lt;=GanttPeriod),TEXT(GanttStart+(COLUMN()-COLUMN(gantt_Origin)-1)*GanttPeriod,"mmm yy"),"")</f>
        <v/>
      </c>
      <c r="CE4" s="102" t="str">
        <f aca="false">IF(OR(COLUMN()-COLUMN(gantt_Origin)=1,DAY(GanttStart+(COLUMN()-COLUMN(gantt_Origin)-1)*GanttPeriod)&lt;=GanttPeriod),TEXT(GanttStart+(COLUMN()-COLUMN(gantt_Origin)-1)*GanttPeriod,"mmm yy"),"")</f>
        <v/>
      </c>
      <c r="CF4" s="102" t="str">
        <f aca="false">IF(OR(COLUMN()-COLUMN(gantt_Origin)=1,DAY(GanttStart+(COLUMN()-COLUMN(gantt_Origin)-1)*GanttPeriod)&lt;=GanttPeriod),TEXT(GanttStart+(COLUMN()-COLUMN(gantt_Origin)-1)*GanttPeriod,"mmm yy"),"")</f>
        <v/>
      </c>
      <c r="CG4" s="102" t="str">
        <f aca="false">IF(OR(COLUMN()-COLUMN(gantt_Origin)=1,DAY(GanttStart+(COLUMN()-COLUMN(gantt_Origin)-1)*GanttPeriod)&lt;=GanttPeriod),TEXT(GanttStart+(COLUMN()-COLUMN(gantt_Origin)-1)*GanttPeriod,"mmm yy"),"")</f>
        <v/>
      </c>
      <c r="CH4" s="102" t="str">
        <f aca="false">IF(OR(COLUMN()-COLUMN(gantt_Origin)=1,DAY(GanttStart+(COLUMN()-COLUMN(gantt_Origin)-1)*GanttPeriod)&lt;=GanttPeriod),TEXT(GanttStart+(COLUMN()-COLUMN(gantt_Origin)-1)*GanttPeriod,"mmm yy"),"")</f>
        <v/>
      </c>
      <c r="CI4" s="102" t="str">
        <f aca="false">IF(OR(COLUMN()-COLUMN(gantt_Origin)=1,DAY(GanttStart+(COLUMN()-COLUMN(gantt_Origin)-1)*GanttPeriod)&lt;=GanttPeriod),TEXT(GanttStart+(COLUMN()-COLUMN(gantt_Origin)-1)*GanttPeriod,"mmm yy"),"")</f>
        <v/>
      </c>
      <c r="CJ4" s="102" t="str">
        <f aca="false">IF(OR(COLUMN()-COLUMN(gantt_Origin)=1,DAY(GanttStart+(COLUMN()-COLUMN(gantt_Origin)-1)*GanttPeriod)&lt;=GanttPeriod),TEXT(GanttStart+(COLUMN()-COLUMN(gantt_Origin)-1)*GanttPeriod,"mmm yy"),"")</f>
        <v/>
      </c>
      <c r="CK4" s="102" t="str">
        <f aca="false">IF(OR(COLUMN()-COLUMN(gantt_Origin)=1,DAY(GanttStart+(COLUMN()-COLUMN(gantt_Origin)-1)*GanttPeriod)&lt;=GanttPeriod),TEXT(GanttStart+(COLUMN()-COLUMN(gantt_Origin)-1)*GanttPeriod,"mmm yy"),"")</f>
        <v/>
      </c>
      <c r="CL4" s="102" t="str">
        <f aca="false">IF(OR(COLUMN()-COLUMN(gantt_Origin)=1,DAY(GanttStart+(COLUMN()-COLUMN(gantt_Origin)-1)*GanttPeriod)&lt;=GanttPeriod),TEXT(GanttStart+(COLUMN()-COLUMN(gantt_Origin)-1)*GanttPeriod,"mmm yy"),"")</f>
        <v/>
      </c>
      <c r="CM4" s="102" t="str">
        <f aca="false">IF(OR(COLUMN()-COLUMN(gantt_Origin)=1,DAY(GanttStart+(COLUMN()-COLUMN(gantt_Origin)-1)*GanttPeriod)&lt;=GanttPeriod),TEXT(GanttStart+(COLUMN()-COLUMN(gantt_Origin)-1)*GanttPeriod,"mmm yy"),"")</f>
        <v/>
      </c>
      <c r="CN4" s="102" t="str">
        <f aca="false">IF(OR(COLUMN()-COLUMN(gantt_Origin)=1,DAY(GanttStart+(COLUMN()-COLUMN(gantt_Origin)-1)*GanttPeriod)&lt;=GanttPeriod),TEXT(GanttStart+(COLUMN()-COLUMN(gantt_Origin)-1)*GanttPeriod,"mmm yy"),"")</f>
        <v/>
      </c>
      <c r="CO4" s="102" t="str">
        <f aca="false">IF(OR(COLUMN()-COLUMN(gantt_Origin)=1,DAY(GanttStart+(COLUMN()-COLUMN(gantt_Origin)-1)*GanttPeriod)&lt;=GanttPeriod),TEXT(GanttStart+(COLUMN()-COLUMN(gantt_Origin)-1)*GanttPeriod,"mmm yy"),"")</f>
        <v/>
      </c>
      <c r="CP4" s="102" t="str">
        <f aca="false">IF(OR(COLUMN()-COLUMN(gantt_Origin)=1,DAY(GanttStart+(COLUMN()-COLUMN(gantt_Origin)-1)*GanttPeriod)&lt;=GanttPeriod),TEXT(GanttStart+(COLUMN()-COLUMN(gantt_Origin)-1)*GanttPeriod,"mmm yy"),"")</f>
        <v/>
      </c>
      <c r="CQ4" s="102" t="str">
        <f aca="false">IF(OR(COLUMN()-COLUMN(gantt_Origin)=1,DAY(GanttStart+(COLUMN()-COLUMN(gantt_Origin)-1)*GanttPeriod)&lt;=GanttPeriod),TEXT(GanttStart+(COLUMN()-COLUMN(gantt_Origin)-1)*GanttPeriod,"mmm yy"),"")</f>
        <v/>
      </c>
      <c r="CR4" s="102" t="str">
        <f aca="false">IF(OR(COLUMN()-COLUMN(gantt_Origin)=1,DAY(GanttStart+(COLUMN()-COLUMN(gantt_Origin)-1)*GanttPeriod)&lt;=GanttPeriod),TEXT(GanttStart+(COLUMN()-COLUMN(gantt_Origin)-1)*GanttPeriod,"mmm yy"),"")</f>
        <v/>
      </c>
      <c r="CS4" s="102" t="str">
        <f aca="false">IF(OR(COLUMN()-COLUMN(gantt_Origin)=1,DAY(GanttStart+(COLUMN()-COLUMN(gantt_Origin)-1)*GanttPeriod)&lt;=GanttPeriod),TEXT(GanttStart+(COLUMN()-COLUMN(gantt_Origin)-1)*GanttPeriod,"mmm yy"),"")</f>
        <v/>
      </c>
      <c r="CT4" s="102" t="str">
        <f aca="false">IF(OR(COLUMN()-COLUMN(gantt_Origin)=1,DAY(GanttStart+(COLUMN()-COLUMN(gantt_Origin)-1)*GanttPeriod)&lt;=GanttPeriod),TEXT(GanttStart+(COLUMN()-COLUMN(gantt_Origin)-1)*GanttPeriod,"mmm yy"),"")</f>
        <v/>
      </c>
      <c r="CU4" s="102" t="str">
        <f aca="false">IF(OR(COLUMN()-COLUMN(gantt_Origin)=1,DAY(GanttStart+(COLUMN()-COLUMN(gantt_Origin)-1)*GanttPeriod)&lt;=GanttPeriod),TEXT(GanttStart+(COLUMN()-COLUMN(gantt_Origin)-1)*GanttPeriod,"mmm yy"),"")</f>
        <v/>
      </c>
      <c r="CV4" s="102" t="str">
        <f aca="false">IF(OR(COLUMN()-COLUMN(gantt_Origin)=1,DAY(GanttStart+(COLUMN()-COLUMN(gantt_Origin)-1)*GanttPeriod)&lt;=GanttPeriod),TEXT(GanttStart+(COLUMN()-COLUMN(gantt_Origin)-1)*GanttPeriod,"mmm yy"),"")</f>
        <v/>
      </c>
      <c r="CW4" s="102" t="str">
        <f aca="false">IF(OR(COLUMN()-COLUMN(gantt_Origin)=1,DAY(GanttStart+(COLUMN()-COLUMN(gantt_Origin)-1)*GanttPeriod)&lt;=GanttPeriod),TEXT(GanttStart+(COLUMN()-COLUMN(gantt_Origin)-1)*GanttPeriod,"mmm yy"),"")</f>
        <v/>
      </c>
      <c r="CX4" s="102" t="str">
        <f aca="false">IF(OR(COLUMN()-COLUMN(gantt_Origin)=1,DAY(GanttStart+(COLUMN()-COLUMN(gantt_Origin)-1)*GanttPeriod)&lt;=GanttPeriod),TEXT(GanttStart+(COLUMN()-COLUMN(gantt_Origin)-1)*GanttPeriod,"mmm yy"),"")</f>
        <v/>
      </c>
      <c r="CY4" s="102" t="str">
        <f aca="false">IF(OR(COLUMN()-COLUMN(gantt_Origin)=1,DAY(GanttStart+(COLUMN()-COLUMN(gantt_Origin)-1)*GanttPeriod)&lt;=GanttPeriod),TEXT(GanttStart+(COLUMN()-COLUMN(gantt_Origin)-1)*GanttPeriod,"mmm yy"),"")</f>
        <v/>
      </c>
      <c r="CZ4" s="102" t="str">
        <f aca="false">IF(OR(COLUMN()-COLUMN(gantt_Origin)=1,DAY(GanttStart+(COLUMN()-COLUMN(gantt_Origin)-1)*GanttPeriod)&lt;=GanttPeriod),TEXT(GanttStart+(COLUMN()-COLUMN(gantt_Origin)-1)*GanttPeriod,"mmm yy"),"")</f>
        <v/>
      </c>
      <c r="DA4" s="102" t="str">
        <f aca="false">IF(OR(COLUMN()-COLUMN(gantt_Origin)=1,DAY(GanttStart+(COLUMN()-COLUMN(gantt_Origin)-1)*GanttPeriod)&lt;=GanttPeriod),TEXT(GanttStart+(COLUMN()-COLUMN(gantt_Origin)-1)*GanttPeriod,"mmm yy"),"")</f>
        <v/>
      </c>
      <c r="DB4" s="102" t="str">
        <f aca="false">IF(OR(COLUMN()-COLUMN(gantt_Origin)=1,DAY(GanttStart+(COLUMN()-COLUMN(gantt_Origin)-1)*GanttPeriod)&lt;=GanttPeriod),TEXT(GanttStart+(COLUMN()-COLUMN(gantt_Origin)-1)*GanttPeriod,"mmm yy"),"")</f>
        <v/>
      </c>
      <c r="DC4" s="102" t="str">
        <f aca="false">IF(OR(COLUMN()-COLUMN(gantt_Origin)=1,DAY(GanttStart+(COLUMN()-COLUMN(gantt_Origin)-1)*GanttPeriod)&lt;=GanttPeriod),TEXT(GanttStart+(COLUMN()-COLUMN(gantt_Origin)-1)*GanttPeriod,"mmm yy"),"")</f>
        <v/>
      </c>
      <c r="DD4" s="102" t="str">
        <f aca="false">IF(OR(COLUMN()-COLUMN(gantt_Origin)=1,DAY(GanttStart+(COLUMN()-COLUMN(gantt_Origin)-1)*GanttPeriod)&lt;=GanttPeriod),TEXT(GanttStart+(COLUMN()-COLUMN(gantt_Origin)-1)*GanttPeriod,"mmm yy"),"")</f>
        <v>Dec 26</v>
      </c>
      <c r="DE4" s="102" t="str">
        <f aca="false">IF(OR(COLUMN()-COLUMN(gantt_Origin)=1,DAY(GanttStart+(COLUMN()-COLUMN(gantt_Origin)-1)*GanttPeriod)&lt;=GanttPeriod),TEXT(GanttStart+(COLUMN()-COLUMN(gantt_Origin)-1)*GanttPeriod,"mmm yy"),"")</f>
        <v/>
      </c>
      <c r="DF4" s="102" t="str">
        <f aca="false">IF(OR(COLUMN()-COLUMN(gantt_Origin)=1,DAY(GanttStart+(COLUMN()-COLUMN(gantt_Origin)-1)*GanttPeriod)&lt;=GanttPeriod),TEXT(GanttStart+(COLUMN()-COLUMN(gantt_Origin)-1)*GanttPeriod,"mmm yy"),"")</f>
        <v/>
      </c>
      <c r="DG4" s="102" t="str">
        <f aca="false">IF(OR(COLUMN()-COLUMN(gantt_Origin)=1,DAY(GanttStart+(COLUMN()-COLUMN(gantt_Origin)-1)*GanttPeriod)&lt;=GanttPeriod),TEXT(GanttStart+(COLUMN()-COLUMN(gantt_Origin)-1)*GanttPeriod,"mmm yy"),"")</f>
        <v/>
      </c>
      <c r="DH4" s="102" t="str">
        <f aca="false">IF(OR(COLUMN()-COLUMN(gantt_Origin)=1,DAY(GanttStart+(COLUMN()-COLUMN(gantt_Origin)-1)*GanttPeriod)&lt;=GanttPeriod),TEXT(GanttStart+(COLUMN()-COLUMN(gantt_Origin)-1)*GanttPeriod,"mmm yy"),"")</f>
        <v/>
      </c>
      <c r="DI4" s="102" t="str">
        <f aca="false">IF(OR(COLUMN()-COLUMN(gantt_Origin)=1,DAY(GanttStart+(COLUMN()-COLUMN(gantt_Origin)-1)*GanttPeriod)&lt;=GanttPeriod),TEXT(GanttStart+(COLUMN()-COLUMN(gantt_Origin)-1)*GanttPeriod,"mmm yy"),"")</f>
        <v/>
      </c>
      <c r="DJ4" s="102" t="str">
        <f aca="false">IF(OR(COLUMN()-COLUMN(gantt_Origin)=1,DAY(GanttStart+(COLUMN()-COLUMN(gantt_Origin)-1)*GanttPeriod)&lt;=GanttPeriod),TEXT(GanttStart+(COLUMN()-COLUMN(gantt_Origin)-1)*GanttPeriod,"mmm yy"),"")</f>
        <v/>
      </c>
      <c r="DK4" s="102" t="str">
        <f aca="false">IF(OR(COLUMN()-COLUMN(gantt_Origin)=1,DAY(GanttStart+(COLUMN()-COLUMN(gantt_Origin)-1)*GanttPeriod)&lt;=GanttPeriod),TEXT(GanttStart+(COLUMN()-COLUMN(gantt_Origin)-1)*GanttPeriod,"mmm yy"),"")</f>
        <v/>
      </c>
      <c r="DL4" s="102" t="str">
        <f aca="false">IF(OR(COLUMN()-COLUMN(gantt_Origin)=1,DAY(GanttStart+(COLUMN()-COLUMN(gantt_Origin)-1)*GanttPeriod)&lt;=GanttPeriod),TEXT(GanttStart+(COLUMN()-COLUMN(gantt_Origin)-1)*GanttPeriod,"mmm yy"),"")</f>
        <v/>
      </c>
      <c r="DM4" s="102" t="str">
        <f aca="false">IF(OR(COLUMN()-COLUMN(gantt_Origin)=1,DAY(GanttStart+(COLUMN()-COLUMN(gantt_Origin)-1)*GanttPeriod)&lt;=GanttPeriod),TEXT(GanttStart+(COLUMN()-COLUMN(gantt_Origin)-1)*GanttPeriod,"mmm yy"),"")</f>
        <v/>
      </c>
      <c r="DN4" s="102" t="str">
        <f aca="false">IF(OR(COLUMN()-COLUMN(gantt_Origin)=1,DAY(GanttStart+(COLUMN()-COLUMN(gantt_Origin)-1)*GanttPeriod)&lt;=GanttPeriod),TEXT(GanttStart+(COLUMN()-COLUMN(gantt_Origin)-1)*GanttPeriod,"mmm yy"),"")</f>
        <v/>
      </c>
      <c r="DO4" s="102" t="str">
        <f aca="false">IF(OR(COLUMN()-COLUMN(gantt_Origin)=1,DAY(GanttStart+(COLUMN()-COLUMN(gantt_Origin)-1)*GanttPeriod)&lt;=GanttPeriod),TEXT(GanttStart+(COLUMN()-COLUMN(gantt_Origin)-1)*GanttPeriod,"mmm yy"),"")</f>
        <v/>
      </c>
      <c r="DP4" s="102" t="str">
        <f aca="false">IF(OR(COLUMN()-COLUMN(gantt_Origin)=1,DAY(GanttStart+(COLUMN()-COLUMN(gantt_Origin)-1)*GanttPeriod)&lt;=GanttPeriod),TEXT(GanttStart+(COLUMN()-COLUMN(gantt_Origin)-1)*GanttPeriod,"mmm yy"),"")</f>
        <v/>
      </c>
      <c r="DQ4" s="102" t="str">
        <f aca="false">IF(OR(COLUMN()-COLUMN(gantt_Origin)=1,DAY(GanttStart+(COLUMN()-COLUMN(gantt_Origin)-1)*GanttPeriod)&lt;=GanttPeriod),TEXT(GanttStart+(COLUMN()-COLUMN(gantt_Origin)-1)*GanttPeriod,"mmm yy"),"")</f>
        <v/>
      </c>
      <c r="DR4" s="102" t="str">
        <f aca="false">IF(OR(COLUMN()-COLUMN(gantt_Origin)=1,DAY(GanttStart+(COLUMN()-COLUMN(gantt_Origin)-1)*GanttPeriod)&lt;=GanttPeriod),TEXT(GanttStart+(COLUMN()-COLUMN(gantt_Origin)-1)*GanttPeriod,"mmm yy"),"")</f>
        <v/>
      </c>
      <c r="DS4" s="102" t="str">
        <f aca="false">IF(OR(COLUMN()-COLUMN(gantt_Origin)=1,DAY(GanttStart+(COLUMN()-COLUMN(gantt_Origin)-1)*GanttPeriod)&lt;=GanttPeriod),TEXT(GanttStart+(COLUMN()-COLUMN(gantt_Origin)-1)*GanttPeriod,"mmm yy"),"")</f>
        <v/>
      </c>
      <c r="DT4" s="102" t="str">
        <f aca="false">IF(OR(COLUMN()-COLUMN(gantt_Origin)=1,DAY(GanttStart+(COLUMN()-COLUMN(gantt_Origin)-1)*GanttPeriod)&lt;=GanttPeriod),TEXT(GanttStart+(COLUMN()-COLUMN(gantt_Origin)-1)*GanttPeriod,"mmm yy"),"")</f>
        <v/>
      </c>
      <c r="DU4" s="102" t="str">
        <f aca="false">IF(OR(COLUMN()-COLUMN(gantt_Origin)=1,DAY(GanttStart+(COLUMN()-COLUMN(gantt_Origin)-1)*GanttPeriod)&lt;=GanttPeriod),TEXT(GanttStart+(COLUMN()-COLUMN(gantt_Origin)-1)*GanttPeriod,"mmm yy"),"")</f>
        <v/>
      </c>
      <c r="DV4" s="102" t="str">
        <f aca="false">IF(OR(COLUMN()-COLUMN(gantt_Origin)=1,DAY(GanttStart+(COLUMN()-COLUMN(gantt_Origin)-1)*GanttPeriod)&lt;=GanttPeriod),TEXT(GanttStart+(COLUMN()-COLUMN(gantt_Origin)-1)*GanttPeriod,"mmm yy"),"")</f>
        <v/>
      </c>
      <c r="DW4" s="102" t="str">
        <f aca="false">IF(OR(COLUMN()-COLUMN(gantt_Origin)=1,DAY(GanttStart+(COLUMN()-COLUMN(gantt_Origin)-1)*GanttPeriod)&lt;=GanttPeriod),TEXT(GanttStart+(COLUMN()-COLUMN(gantt_Origin)-1)*GanttPeriod,"mmm yy"),"")</f>
        <v/>
      </c>
      <c r="DX4" s="102" t="str">
        <f aca="false">IF(OR(COLUMN()-COLUMN(gantt_Origin)=1,DAY(GanttStart+(COLUMN()-COLUMN(gantt_Origin)-1)*GanttPeriod)&lt;=GanttPeriod),TEXT(GanttStart+(COLUMN()-COLUMN(gantt_Origin)-1)*GanttPeriod,"mmm yy"),"")</f>
        <v/>
      </c>
      <c r="DY4" s="102" t="str">
        <f aca="false">IF(OR(COLUMN()-COLUMN(gantt_Origin)=1,DAY(GanttStart+(COLUMN()-COLUMN(gantt_Origin)-1)*GanttPeriod)&lt;=GanttPeriod),TEXT(GanttStart+(COLUMN()-COLUMN(gantt_Origin)-1)*GanttPeriod,"mmm yy"),"")</f>
        <v/>
      </c>
      <c r="DZ4" s="102" t="str">
        <f aca="false">IF(OR(COLUMN()-COLUMN(gantt_Origin)=1,DAY(GanttStart+(COLUMN()-COLUMN(gantt_Origin)-1)*GanttPeriod)&lt;=GanttPeriod),TEXT(GanttStart+(COLUMN()-COLUMN(gantt_Origin)-1)*GanttPeriod,"mmm yy"),"")</f>
        <v/>
      </c>
      <c r="EA4" s="102" t="str">
        <f aca="false">IF(OR(COLUMN()-COLUMN(gantt_Origin)=1,DAY(GanttStart+(COLUMN()-COLUMN(gantt_Origin)-1)*GanttPeriod)&lt;=GanttPeriod),TEXT(GanttStart+(COLUMN()-COLUMN(gantt_Origin)-1)*GanttPeriod,"mmm yy"),"")</f>
        <v/>
      </c>
      <c r="EB4" s="102" t="str">
        <f aca="false">IF(OR(COLUMN()-COLUMN(gantt_Origin)=1,DAY(GanttStart+(COLUMN()-COLUMN(gantt_Origin)-1)*GanttPeriod)&lt;=GanttPeriod),TEXT(GanttStart+(COLUMN()-COLUMN(gantt_Origin)-1)*GanttPeriod,"mmm yy"),"")</f>
        <v/>
      </c>
      <c r="EC4" s="102" t="str">
        <f aca="false">IF(OR(COLUMN()-COLUMN(gantt_Origin)=1,DAY(GanttStart+(COLUMN()-COLUMN(gantt_Origin)-1)*GanttPeriod)&lt;=GanttPeriod),TEXT(GanttStart+(COLUMN()-COLUMN(gantt_Origin)-1)*GanttPeriod,"mmm yy"),"")</f>
        <v/>
      </c>
      <c r="ED4" s="102" t="str">
        <f aca="false">IF(OR(COLUMN()-COLUMN(gantt_Origin)=1,DAY(GanttStart+(COLUMN()-COLUMN(gantt_Origin)-1)*GanttPeriod)&lt;=GanttPeriod),TEXT(GanttStart+(COLUMN()-COLUMN(gantt_Origin)-1)*GanttPeriod,"mmm yy"),"")</f>
        <v/>
      </c>
      <c r="EE4" s="102" t="str">
        <f aca="false">IF(OR(COLUMN()-COLUMN(gantt_Origin)=1,DAY(GanttStart+(COLUMN()-COLUMN(gantt_Origin)-1)*GanttPeriod)&lt;=GanttPeriod),TEXT(GanttStart+(COLUMN()-COLUMN(gantt_Origin)-1)*GanttPeriod,"mmm yy"),"")</f>
        <v/>
      </c>
      <c r="EF4" s="102" t="str">
        <f aca="false">IF(OR(COLUMN()-COLUMN(gantt_Origin)=1,DAY(GanttStart+(COLUMN()-COLUMN(gantt_Origin)-1)*GanttPeriod)&lt;=GanttPeriod),TEXT(GanttStart+(COLUMN()-COLUMN(gantt_Origin)-1)*GanttPeriod,"mmm yy"),"")</f>
        <v/>
      </c>
      <c r="EG4" s="102" t="str">
        <f aca="false">IF(OR(COLUMN()-COLUMN(gantt_Origin)=1,DAY(GanttStart+(COLUMN()-COLUMN(gantt_Origin)-1)*GanttPeriod)&lt;=GanttPeriod),TEXT(GanttStart+(COLUMN()-COLUMN(gantt_Origin)-1)*GanttPeriod,"mmm yy"),"")</f>
        <v/>
      </c>
      <c r="EH4" s="102" t="str">
        <f aca="false">IF(OR(COLUMN()-COLUMN(gantt_Origin)=1,DAY(GanttStart+(COLUMN()-COLUMN(gantt_Origin)-1)*GanttPeriod)&lt;=GanttPeriod),TEXT(GanttStart+(COLUMN()-COLUMN(gantt_Origin)-1)*GanttPeriod,"mmm yy"),"")</f>
        <v/>
      </c>
      <c r="EI4" s="102" t="str">
        <f aca="false">IF(OR(COLUMN()-COLUMN(gantt_Origin)=1,DAY(GanttStart+(COLUMN()-COLUMN(gantt_Origin)-1)*GanttPeriod)&lt;=GanttPeriod),TEXT(GanttStart+(COLUMN()-COLUMN(gantt_Origin)-1)*GanttPeriod,"mmm yy"),"")</f>
        <v>Jan 27</v>
      </c>
      <c r="EJ4" s="102" t="str">
        <f aca="false">IF(OR(COLUMN()-COLUMN(gantt_Origin)=1,DAY(GanttStart+(COLUMN()-COLUMN(gantt_Origin)-1)*GanttPeriod)&lt;=GanttPeriod),TEXT(GanttStart+(COLUMN()-COLUMN(gantt_Origin)-1)*GanttPeriod,"mmm yy"),"")</f>
        <v/>
      </c>
      <c r="EK4" s="102" t="str">
        <f aca="false">IF(OR(COLUMN()-COLUMN(gantt_Origin)=1,DAY(GanttStart+(COLUMN()-COLUMN(gantt_Origin)-1)*GanttPeriod)&lt;=GanttPeriod),TEXT(GanttStart+(COLUMN()-COLUMN(gantt_Origin)-1)*GanttPeriod,"mmm yy"),"")</f>
        <v/>
      </c>
      <c r="EL4" s="102" t="str">
        <f aca="false">IF(OR(COLUMN()-COLUMN(gantt_Origin)=1,DAY(GanttStart+(COLUMN()-COLUMN(gantt_Origin)-1)*GanttPeriod)&lt;=GanttPeriod),TEXT(GanttStart+(COLUMN()-COLUMN(gantt_Origin)-1)*GanttPeriod,"mmm yy"),"")</f>
        <v/>
      </c>
      <c r="EM4" s="102" t="str">
        <f aca="false">IF(OR(COLUMN()-COLUMN(gantt_Origin)=1,DAY(GanttStart+(COLUMN()-COLUMN(gantt_Origin)-1)*GanttPeriod)&lt;=GanttPeriod),TEXT(GanttStart+(COLUMN()-COLUMN(gantt_Origin)-1)*GanttPeriod,"mmm yy"),"")</f>
        <v/>
      </c>
      <c r="EN4" s="102" t="str">
        <f aca="false">IF(OR(COLUMN()-COLUMN(gantt_Origin)=1,DAY(GanttStart+(COLUMN()-COLUMN(gantt_Origin)-1)*GanttPeriod)&lt;=GanttPeriod),TEXT(GanttStart+(COLUMN()-COLUMN(gantt_Origin)-1)*GanttPeriod,"mmm yy"),"")</f>
        <v/>
      </c>
      <c r="EO4" s="102" t="str">
        <f aca="false">IF(OR(COLUMN()-COLUMN(gantt_Origin)=1,DAY(GanttStart+(COLUMN()-COLUMN(gantt_Origin)-1)*GanttPeriod)&lt;=GanttPeriod),TEXT(GanttStart+(COLUMN()-COLUMN(gantt_Origin)-1)*GanttPeriod,"mmm yy"),"")</f>
        <v/>
      </c>
      <c r="EP4" s="102" t="str">
        <f aca="false">IF(OR(COLUMN()-COLUMN(gantt_Origin)=1,DAY(GanttStart+(COLUMN()-COLUMN(gantt_Origin)-1)*GanttPeriod)&lt;=GanttPeriod),TEXT(GanttStart+(COLUMN()-COLUMN(gantt_Origin)-1)*GanttPeriod,"mmm yy"),"")</f>
        <v/>
      </c>
      <c r="EQ4" s="102" t="str">
        <f aca="false">IF(OR(COLUMN()-COLUMN(gantt_Origin)=1,DAY(GanttStart+(COLUMN()-COLUMN(gantt_Origin)-1)*GanttPeriod)&lt;=GanttPeriod),TEXT(GanttStart+(COLUMN()-COLUMN(gantt_Origin)-1)*GanttPeriod,"mmm yy"),"")</f>
        <v/>
      </c>
      <c r="ER4" s="102" t="str">
        <f aca="false">IF(OR(COLUMN()-COLUMN(gantt_Origin)=1,DAY(GanttStart+(COLUMN()-COLUMN(gantt_Origin)-1)*GanttPeriod)&lt;=GanttPeriod),TEXT(GanttStart+(COLUMN()-COLUMN(gantt_Origin)-1)*GanttPeriod,"mmm yy"),"")</f>
        <v/>
      </c>
      <c r="ES4" s="102" t="str">
        <f aca="false">IF(OR(COLUMN()-COLUMN(gantt_Origin)=1,DAY(GanttStart+(COLUMN()-COLUMN(gantt_Origin)-1)*GanttPeriod)&lt;=GanttPeriod),TEXT(GanttStart+(COLUMN()-COLUMN(gantt_Origin)-1)*GanttPeriod,"mmm yy"),"")</f>
        <v/>
      </c>
      <c r="ET4" s="102" t="str">
        <f aca="false">IF(OR(COLUMN()-COLUMN(gantt_Origin)=1,DAY(GanttStart+(COLUMN()-COLUMN(gantt_Origin)-1)*GanttPeriod)&lt;=GanttPeriod),TEXT(GanttStart+(COLUMN()-COLUMN(gantt_Origin)-1)*GanttPeriod,"mmm yy"),"")</f>
        <v/>
      </c>
      <c r="EU4" s="102" t="str">
        <f aca="false">IF(OR(COLUMN()-COLUMN(gantt_Origin)=1,DAY(GanttStart+(COLUMN()-COLUMN(gantt_Origin)-1)*GanttPeriod)&lt;=GanttPeriod),TEXT(GanttStart+(COLUMN()-COLUMN(gantt_Origin)-1)*GanttPeriod,"mmm yy"),"")</f>
        <v/>
      </c>
      <c r="EV4" s="102" t="str">
        <f aca="false">IF(OR(COLUMN()-COLUMN(gantt_Origin)=1,DAY(GanttStart+(COLUMN()-COLUMN(gantt_Origin)-1)*GanttPeriod)&lt;=GanttPeriod),TEXT(GanttStart+(COLUMN()-COLUMN(gantt_Origin)-1)*GanttPeriod,"mmm yy"),"")</f>
        <v/>
      </c>
      <c r="EW4" s="102" t="str">
        <f aca="false">IF(OR(COLUMN()-COLUMN(gantt_Origin)=1,DAY(GanttStart+(COLUMN()-COLUMN(gantt_Origin)-1)*GanttPeriod)&lt;=GanttPeriod),TEXT(GanttStart+(COLUMN()-COLUMN(gantt_Origin)-1)*GanttPeriod,"mmm yy"),"")</f>
        <v/>
      </c>
      <c r="EX4" s="102" t="str">
        <f aca="false">IF(OR(COLUMN()-COLUMN(gantt_Origin)=1,DAY(GanttStart+(COLUMN()-COLUMN(gantt_Origin)-1)*GanttPeriod)&lt;=GanttPeriod),TEXT(GanttStart+(COLUMN()-COLUMN(gantt_Origin)-1)*GanttPeriod,"mmm yy"),"")</f>
        <v/>
      </c>
      <c r="EY4" s="102" t="str">
        <f aca="false">IF(OR(COLUMN()-COLUMN(gantt_Origin)=1,DAY(GanttStart+(COLUMN()-COLUMN(gantt_Origin)-1)*GanttPeriod)&lt;=GanttPeriod),TEXT(GanttStart+(COLUMN()-COLUMN(gantt_Origin)-1)*GanttPeriod,"mmm yy"),"")</f>
        <v/>
      </c>
      <c r="EZ4" s="102" t="str">
        <f aca="false">IF(OR(COLUMN()-COLUMN(gantt_Origin)=1,DAY(GanttStart+(COLUMN()-COLUMN(gantt_Origin)-1)*GanttPeriod)&lt;=GanttPeriod),TEXT(GanttStart+(COLUMN()-COLUMN(gantt_Origin)-1)*GanttPeriod,"mmm yy"),"")</f>
        <v/>
      </c>
      <c r="FA4" s="102" t="str">
        <f aca="false">IF(OR(COLUMN()-COLUMN(gantt_Origin)=1,DAY(GanttStart+(COLUMN()-COLUMN(gantt_Origin)-1)*GanttPeriod)&lt;=GanttPeriod),TEXT(GanttStart+(COLUMN()-COLUMN(gantt_Origin)-1)*GanttPeriod,"mmm yy"),"")</f>
        <v/>
      </c>
      <c r="FB4" s="102" t="str">
        <f aca="false">IF(OR(COLUMN()-COLUMN(gantt_Origin)=1,DAY(GanttStart+(COLUMN()-COLUMN(gantt_Origin)-1)*GanttPeriod)&lt;=GanttPeriod),TEXT(GanttStart+(COLUMN()-COLUMN(gantt_Origin)-1)*GanttPeriod,"mmm yy"),"")</f>
        <v/>
      </c>
      <c r="FC4" s="102" t="str">
        <f aca="false">IF(OR(COLUMN()-COLUMN(gantt_Origin)=1,DAY(GanttStart+(COLUMN()-COLUMN(gantt_Origin)-1)*GanttPeriod)&lt;=GanttPeriod),TEXT(GanttStart+(COLUMN()-COLUMN(gantt_Origin)-1)*GanttPeriod,"mmm yy"),"")</f>
        <v/>
      </c>
      <c r="FD4" s="102" t="str">
        <f aca="false">IF(OR(COLUMN()-COLUMN(gantt_Origin)=1,DAY(GanttStart+(COLUMN()-COLUMN(gantt_Origin)-1)*GanttPeriod)&lt;=GanttPeriod),TEXT(GanttStart+(COLUMN()-COLUMN(gantt_Origin)-1)*GanttPeriod,"mmm yy"),"")</f>
        <v/>
      </c>
      <c r="FE4" s="102" t="str">
        <f aca="false">IF(OR(COLUMN()-COLUMN(gantt_Origin)=1,DAY(GanttStart+(COLUMN()-COLUMN(gantt_Origin)-1)*GanttPeriod)&lt;=GanttPeriod),TEXT(GanttStart+(COLUMN()-COLUMN(gantt_Origin)-1)*GanttPeriod,"mmm yy"),"")</f>
        <v/>
      </c>
      <c r="FF4" s="102" t="str">
        <f aca="false">IF(OR(COLUMN()-COLUMN(gantt_Origin)=1,DAY(GanttStart+(COLUMN()-COLUMN(gantt_Origin)-1)*GanttPeriod)&lt;=GanttPeriod),TEXT(GanttStart+(COLUMN()-COLUMN(gantt_Origin)-1)*GanttPeriod,"mmm yy"),"")</f>
        <v/>
      </c>
      <c r="FG4" s="102" t="str">
        <f aca="false">IF(OR(COLUMN()-COLUMN(gantt_Origin)=1,DAY(GanttStart+(COLUMN()-COLUMN(gantt_Origin)-1)*GanttPeriod)&lt;=GanttPeriod),TEXT(GanttStart+(COLUMN()-COLUMN(gantt_Origin)-1)*GanttPeriod,"mmm yy"),"")</f>
        <v/>
      </c>
      <c r="FH4" s="102" t="str">
        <f aca="false">IF(OR(COLUMN()-COLUMN(gantt_Origin)=1,DAY(GanttStart+(COLUMN()-COLUMN(gantt_Origin)-1)*GanttPeriod)&lt;=GanttPeriod),TEXT(GanttStart+(COLUMN()-COLUMN(gantt_Origin)-1)*GanttPeriod,"mmm yy"),"")</f>
        <v/>
      </c>
      <c r="FI4" s="102" t="str">
        <f aca="false">IF(OR(COLUMN()-COLUMN(gantt_Origin)=1,DAY(GanttStart+(COLUMN()-COLUMN(gantt_Origin)-1)*GanttPeriod)&lt;=GanttPeriod),TEXT(GanttStart+(COLUMN()-COLUMN(gantt_Origin)-1)*GanttPeriod,"mmm yy"),"")</f>
        <v/>
      </c>
      <c r="FJ4" s="102" t="str">
        <f aca="false">IF(OR(COLUMN()-COLUMN(gantt_Origin)=1,DAY(GanttStart+(COLUMN()-COLUMN(gantt_Origin)-1)*GanttPeriod)&lt;=GanttPeriod),TEXT(GanttStart+(COLUMN()-COLUMN(gantt_Origin)-1)*GanttPeriod,"mmm yy"),"")</f>
        <v/>
      </c>
      <c r="FK4" s="102" t="str">
        <f aca="false">IF(OR(COLUMN()-COLUMN(gantt_Origin)=1,DAY(GanttStart+(COLUMN()-COLUMN(gantt_Origin)-1)*GanttPeriod)&lt;=GanttPeriod),TEXT(GanttStart+(COLUMN()-COLUMN(gantt_Origin)-1)*GanttPeriod,"mmm yy"),"")</f>
        <v/>
      </c>
      <c r="FL4" s="102" t="str">
        <f aca="false">IF(OR(COLUMN()-COLUMN(gantt_Origin)=1,DAY(GanttStart+(COLUMN()-COLUMN(gantt_Origin)-1)*GanttPeriod)&lt;=GanttPeriod),TEXT(GanttStart+(COLUMN()-COLUMN(gantt_Origin)-1)*GanttPeriod,"mmm yy"),"")</f>
        <v/>
      </c>
      <c r="FM4" s="102" t="str">
        <f aca="false">IF(OR(COLUMN()-COLUMN(gantt_Origin)=1,DAY(GanttStart+(COLUMN()-COLUMN(gantt_Origin)-1)*GanttPeriod)&lt;=GanttPeriod),TEXT(GanttStart+(COLUMN()-COLUMN(gantt_Origin)-1)*GanttPeriod,"mmm yy"),"")</f>
        <v/>
      </c>
      <c r="FN4" s="102" t="str">
        <f aca="false">IF(OR(COLUMN()-COLUMN(gantt_Origin)=1,DAY(GanttStart+(COLUMN()-COLUMN(gantt_Origin)-1)*GanttPeriod)&lt;=GanttPeriod),TEXT(GanttStart+(COLUMN()-COLUMN(gantt_Origin)-1)*GanttPeriod,"mmm yy"),"")</f>
        <v>Feb 27</v>
      </c>
      <c r="FO4" s="102" t="str">
        <f aca="false">IF(OR(COLUMN()-COLUMN(gantt_Origin)=1,DAY(GanttStart+(COLUMN()-COLUMN(gantt_Origin)-1)*GanttPeriod)&lt;=GanttPeriod),TEXT(GanttStart+(COLUMN()-COLUMN(gantt_Origin)-1)*GanttPeriod,"mmm yy"),"")</f>
        <v/>
      </c>
      <c r="FP4" s="102" t="str">
        <f aca="false">IF(OR(COLUMN()-COLUMN(gantt_Origin)=1,DAY(GanttStart+(COLUMN()-COLUMN(gantt_Origin)-1)*GanttPeriod)&lt;=GanttPeriod),TEXT(GanttStart+(COLUMN()-COLUMN(gantt_Origin)-1)*GanttPeriod,"mmm yy"),"")</f>
        <v/>
      </c>
    </row>
    <row r="5" customFormat="false" ht="30" hidden="false" customHeight="true" outlineLevel="0" collapsed="false">
      <c r="A5" s="9" t="s">
        <v>361</v>
      </c>
      <c r="B5" s="9" t="s">
        <v>169</v>
      </c>
      <c r="C5" s="9" t="s">
        <v>187</v>
      </c>
      <c r="D5" s="9" t="s">
        <v>520</v>
      </c>
      <c r="E5" s="9" t="s">
        <v>372</v>
      </c>
      <c r="F5" s="9" t="s">
        <v>171</v>
      </c>
      <c r="G5" s="9" t="s">
        <v>190</v>
      </c>
      <c r="H5" s="9" t="s">
        <v>172</v>
      </c>
      <c r="I5" s="9" t="s">
        <v>521</v>
      </c>
      <c r="J5" s="9" t="s">
        <v>188</v>
      </c>
      <c r="K5" s="9" t="s">
        <v>81</v>
      </c>
      <c r="L5" s="42" t="s">
        <v>397</v>
      </c>
      <c r="M5" s="42" t="s">
        <v>400</v>
      </c>
      <c r="N5" s="42" t="s">
        <v>522</v>
      </c>
      <c r="O5" s="42" t="s">
        <v>523</v>
      </c>
      <c r="P5" s="42" t="s">
        <v>524</v>
      </c>
      <c r="Q5" s="42" t="s">
        <v>525</v>
      </c>
      <c r="R5" s="42" t="s">
        <v>526</v>
      </c>
      <c r="S5" s="42" t="s">
        <v>527</v>
      </c>
      <c r="T5" s="42" t="s">
        <v>528</v>
      </c>
      <c r="U5" s="42" t="s">
        <v>529</v>
      </c>
      <c r="W5" s="103" t="n">
        <f aca="false">GanttStart+(COLUMN()-COLUMN(gantt_Origin)-1)*GanttPeriod</f>
        <v>46272</v>
      </c>
      <c r="X5" s="103" t="n">
        <f aca="false">GanttStart+(COLUMN()-COLUMN(gantt_Origin)-1)*GanttPeriod</f>
        <v>46273</v>
      </c>
      <c r="Y5" s="103" t="n">
        <f aca="false">GanttStart+(COLUMN()-COLUMN(gantt_Origin)-1)*GanttPeriod</f>
        <v>46274</v>
      </c>
      <c r="Z5" s="103" t="n">
        <f aca="false">GanttStart+(COLUMN()-COLUMN(gantt_Origin)-1)*GanttPeriod</f>
        <v>46275</v>
      </c>
      <c r="AA5" s="103" t="n">
        <f aca="false">GanttStart+(COLUMN()-COLUMN(gantt_Origin)-1)*GanttPeriod</f>
        <v>46276</v>
      </c>
      <c r="AB5" s="103" t="n">
        <f aca="false">GanttStart+(COLUMN()-COLUMN(gantt_Origin)-1)*GanttPeriod</f>
        <v>46277</v>
      </c>
      <c r="AC5" s="103" t="n">
        <f aca="false">GanttStart+(COLUMN()-COLUMN(gantt_Origin)-1)*GanttPeriod</f>
        <v>46278</v>
      </c>
      <c r="AD5" s="103" t="n">
        <f aca="false">GanttStart+(COLUMN()-COLUMN(gantt_Origin)-1)*GanttPeriod</f>
        <v>46279</v>
      </c>
      <c r="AE5" s="103" t="n">
        <f aca="false">GanttStart+(COLUMN()-COLUMN(gantt_Origin)-1)*GanttPeriod</f>
        <v>46280</v>
      </c>
      <c r="AF5" s="103" t="n">
        <f aca="false">GanttStart+(COLUMN()-COLUMN(gantt_Origin)-1)*GanttPeriod</f>
        <v>46281</v>
      </c>
      <c r="AG5" s="103" t="n">
        <f aca="false">GanttStart+(COLUMN()-COLUMN(gantt_Origin)-1)*GanttPeriod</f>
        <v>46282</v>
      </c>
      <c r="AH5" s="103" t="n">
        <f aca="false">GanttStart+(COLUMN()-COLUMN(gantt_Origin)-1)*GanttPeriod</f>
        <v>46283</v>
      </c>
      <c r="AI5" s="103" t="n">
        <f aca="false">GanttStart+(COLUMN()-COLUMN(gantt_Origin)-1)*GanttPeriod</f>
        <v>46284</v>
      </c>
      <c r="AJ5" s="103" t="n">
        <f aca="false">GanttStart+(COLUMN()-COLUMN(gantt_Origin)-1)*GanttPeriod</f>
        <v>46285</v>
      </c>
      <c r="AK5" s="103" t="n">
        <f aca="false">GanttStart+(COLUMN()-COLUMN(gantt_Origin)-1)*GanttPeriod</f>
        <v>46286</v>
      </c>
      <c r="AL5" s="103" t="n">
        <f aca="false">GanttStart+(COLUMN()-COLUMN(gantt_Origin)-1)*GanttPeriod</f>
        <v>46287</v>
      </c>
      <c r="AM5" s="103" t="n">
        <f aca="false">GanttStart+(COLUMN()-COLUMN(gantt_Origin)-1)*GanttPeriod</f>
        <v>46288</v>
      </c>
      <c r="AN5" s="103" t="n">
        <f aca="false">GanttStart+(COLUMN()-COLUMN(gantt_Origin)-1)*GanttPeriod</f>
        <v>46289</v>
      </c>
      <c r="AO5" s="103" t="n">
        <f aca="false">GanttStart+(COLUMN()-COLUMN(gantt_Origin)-1)*GanttPeriod</f>
        <v>46290</v>
      </c>
      <c r="AP5" s="103" t="n">
        <f aca="false">GanttStart+(COLUMN()-COLUMN(gantt_Origin)-1)*GanttPeriod</f>
        <v>46291</v>
      </c>
      <c r="AQ5" s="103" t="n">
        <f aca="false">GanttStart+(COLUMN()-COLUMN(gantt_Origin)-1)*GanttPeriod</f>
        <v>46292</v>
      </c>
      <c r="AR5" s="103" t="n">
        <f aca="false">GanttStart+(COLUMN()-COLUMN(gantt_Origin)-1)*GanttPeriod</f>
        <v>46293</v>
      </c>
      <c r="AS5" s="103" t="n">
        <f aca="false">GanttStart+(COLUMN()-COLUMN(gantt_Origin)-1)*GanttPeriod</f>
        <v>46294</v>
      </c>
      <c r="AT5" s="103" t="n">
        <f aca="false">GanttStart+(COLUMN()-COLUMN(gantt_Origin)-1)*GanttPeriod</f>
        <v>46295</v>
      </c>
      <c r="AU5" s="103" t="n">
        <f aca="false">GanttStart+(COLUMN()-COLUMN(gantt_Origin)-1)*GanttPeriod</f>
        <v>46296</v>
      </c>
      <c r="AV5" s="103" t="n">
        <f aca="false">GanttStart+(COLUMN()-COLUMN(gantt_Origin)-1)*GanttPeriod</f>
        <v>46297</v>
      </c>
      <c r="AW5" s="103" t="n">
        <f aca="false">GanttStart+(COLUMN()-COLUMN(gantt_Origin)-1)*GanttPeriod</f>
        <v>46298</v>
      </c>
      <c r="AX5" s="103" t="n">
        <f aca="false">GanttStart+(COLUMN()-COLUMN(gantt_Origin)-1)*GanttPeriod</f>
        <v>46299</v>
      </c>
      <c r="AY5" s="103" t="n">
        <f aca="false">GanttStart+(COLUMN()-COLUMN(gantt_Origin)-1)*GanttPeriod</f>
        <v>46300</v>
      </c>
      <c r="AZ5" s="103" t="n">
        <f aca="false">GanttStart+(COLUMN()-COLUMN(gantt_Origin)-1)*GanttPeriod</f>
        <v>46301</v>
      </c>
      <c r="BA5" s="103" t="n">
        <f aca="false">GanttStart+(COLUMN()-COLUMN(gantt_Origin)-1)*GanttPeriod</f>
        <v>46302</v>
      </c>
      <c r="BB5" s="103" t="n">
        <f aca="false">GanttStart+(COLUMN()-COLUMN(gantt_Origin)-1)*GanttPeriod</f>
        <v>46303</v>
      </c>
      <c r="BC5" s="103" t="n">
        <f aca="false">GanttStart+(COLUMN()-COLUMN(gantt_Origin)-1)*GanttPeriod</f>
        <v>46304</v>
      </c>
      <c r="BD5" s="103" t="n">
        <f aca="false">GanttStart+(COLUMN()-COLUMN(gantt_Origin)-1)*GanttPeriod</f>
        <v>46305</v>
      </c>
      <c r="BE5" s="103" t="n">
        <f aca="false">GanttStart+(COLUMN()-COLUMN(gantt_Origin)-1)*GanttPeriod</f>
        <v>46306</v>
      </c>
      <c r="BF5" s="103" t="n">
        <f aca="false">GanttStart+(COLUMN()-COLUMN(gantt_Origin)-1)*GanttPeriod</f>
        <v>46307</v>
      </c>
      <c r="BG5" s="103" t="n">
        <f aca="false">GanttStart+(COLUMN()-COLUMN(gantt_Origin)-1)*GanttPeriod</f>
        <v>46308</v>
      </c>
      <c r="BH5" s="103" t="n">
        <f aca="false">GanttStart+(COLUMN()-COLUMN(gantt_Origin)-1)*GanttPeriod</f>
        <v>46309</v>
      </c>
      <c r="BI5" s="103" t="n">
        <f aca="false">GanttStart+(COLUMN()-COLUMN(gantt_Origin)-1)*GanttPeriod</f>
        <v>46310</v>
      </c>
      <c r="BJ5" s="103" t="n">
        <f aca="false">GanttStart+(COLUMN()-COLUMN(gantt_Origin)-1)*GanttPeriod</f>
        <v>46311</v>
      </c>
      <c r="BK5" s="103" t="n">
        <f aca="false">GanttStart+(COLUMN()-COLUMN(gantt_Origin)-1)*GanttPeriod</f>
        <v>46312</v>
      </c>
      <c r="BL5" s="103" t="n">
        <f aca="false">GanttStart+(COLUMN()-COLUMN(gantt_Origin)-1)*GanttPeriod</f>
        <v>46313</v>
      </c>
      <c r="BM5" s="103" t="n">
        <f aca="false">GanttStart+(COLUMN()-COLUMN(gantt_Origin)-1)*GanttPeriod</f>
        <v>46314</v>
      </c>
      <c r="BN5" s="103" t="n">
        <f aca="false">GanttStart+(COLUMN()-COLUMN(gantt_Origin)-1)*GanttPeriod</f>
        <v>46315</v>
      </c>
      <c r="BO5" s="103" t="n">
        <f aca="false">GanttStart+(COLUMN()-COLUMN(gantt_Origin)-1)*GanttPeriod</f>
        <v>46316</v>
      </c>
      <c r="BP5" s="103" t="n">
        <f aca="false">GanttStart+(COLUMN()-COLUMN(gantt_Origin)-1)*GanttPeriod</f>
        <v>46317</v>
      </c>
      <c r="BQ5" s="103" t="n">
        <f aca="false">GanttStart+(COLUMN()-COLUMN(gantt_Origin)-1)*GanttPeriod</f>
        <v>46318</v>
      </c>
      <c r="BR5" s="103" t="n">
        <f aca="false">GanttStart+(COLUMN()-COLUMN(gantt_Origin)-1)*GanttPeriod</f>
        <v>46319</v>
      </c>
      <c r="BS5" s="103" t="n">
        <f aca="false">GanttStart+(COLUMN()-COLUMN(gantt_Origin)-1)*GanttPeriod</f>
        <v>46320</v>
      </c>
      <c r="BT5" s="103" t="n">
        <f aca="false">GanttStart+(COLUMN()-COLUMN(gantt_Origin)-1)*GanttPeriod</f>
        <v>46321</v>
      </c>
      <c r="BU5" s="103" t="n">
        <f aca="false">GanttStart+(COLUMN()-COLUMN(gantt_Origin)-1)*GanttPeriod</f>
        <v>46322</v>
      </c>
      <c r="BV5" s="103" t="n">
        <f aca="false">GanttStart+(COLUMN()-COLUMN(gantt_Origin)-1)*GanttPeriod</f>
        <v>46323</v>
      </c>
      <c r="BW5" s="103" t="n">
        <f aca="false">GanttStart+(COLUMN()-COLUMN(gantt_Origin)-1)*GanttPeriod</f>
        <v>46324</v>
      </c>
      <c r="BX5" s="103" t="n">
        <f aca="false">GanttStart+(COLUMN()-COLUMN(gantt_Origin)-1)*GanttPeriod</f>
        <v>46325</v>
      </c>
      <c r="BY5" s="103" t="n">
        <f aca="false">GanttStart+(COLUMN()-COLUMN(gantt_Origin)-1)*GanttPeriod</f>
        <v>46326</v>
      </c>
      <c r="BZ5" s="103" t="n">
        <f aca="false">GanttStart+(COLUMN()-COLUMN(gantt_Origin)-1)*GanttPeriod</f>
        <v>46327</v>
      </c>
      <c r="CA5" s="103" t="n">
        <f aca="false">GanttStart+(COLUMN()-COLUMN(gantt_Origin)-1)*GanttPeriod</f>
        <v>46328</v>
      </c>
      <c r="CB5" s="103" t="n">
        <f aca="false">GanttStart+(COLUMN()-COLUMN(gantt_Origin)-1)*GanttPeriod</f>
        <v>46329</v>
      </c>
      <c r="CC5" s="103" t="n">
        <f aca="false">GanttStart+(COLUMN()-COLUMN(gantt_Origin)-1)*GanttPeriod</f>
        <v>46330</v>
      </c>
      <c r="CD5" s="103" t="n">
        <f aca="false">GanttStart+(COLUMN()-COLUMN(gantt_Origin)-1)*GanttPeriod</f>
        <v>46331</v>
      </c>
      <c r="CE5" s="103" t="n">
        <f aca="false">GanttStart+(COLUMN()-COLUMN(gantt_Origin)-1)*GanttPeriod</f>
        <v>46332</v>
      </c>
      <c r="CF5" s="103" t="n">
        <f aca="false">GanttStart+(COLUMN()-COLUMN(gantt_Origin)-1)*GanttPeriod</f>
        <v>46333</v>
      </c>
      <c r="CG5" s="103" t="n">
        <f aca="false">GanttStart+(COLUMN()-COLUMN(gantt_Origin)-1)*GanttPeriod</f>
        <v>46334</v>
      </c>
      <c r="CH5" s="103" t="n">
        <f aca="false">GanttStart+(COLUMN()-COLUMN(gantt_Origin)-1)*GanttPeriod</f>
        <v>46335</v>
      </c>
      <c r="CI5" s="103" t="n">
        <f aca="false">GanttStart+(COLUMN()-COLUMN(gantt_Origin)-1)*GanttPeriod</f>
        <v>46336</v>
      </c>
      <c r="CJ5" s="103" t="n">
        <f aca="false">GanttStart+(COLUMN()-COLUMN(gantt_Origin)-1)*GanttPeriod</f>
        <v>46337</v>
      </c>
      <c r="CK5" s="103" t="n">
        <f aca="false">GanttStart+(COLUMN()-COLUMN(gantt_Origin)-1)*GanttPeriod</f>
        <v>46338</v>
      </c>
      <c r="CL5" s="103" t="n">
        <f aca="false">GanttStart+(COLUMN()-COLUMN(gantt_Origin)-1)*GanttPeriod</f>
        <v>46339</v>
      </c>
      <c r="CM5" s="103" t="n">
        <f aca="false">GanttStart+(COLUMN()-COLUMN(gantt_Origin)-1)*GanttPeriod</f>
        <v>46340</v>
      </c>
      <c r="CN5" s="103" t="n">
        <f aca="false">GanttStart+(COLUMN()-COLUMN(gantt_Origin)-1)*GanttPeriod</f>
        <v>46341</v>
      </c>
      <c r="CO5" s="103" t="n">
        <f aca="false">GanttStart+(COLUMN()-COLUMN(gantt_Origin)-1)*GanttPeriod</f>
        <v>46342</v>
      </c>
      <c r="CP5" s="103" t="n">
        <f aca="false">GanttStart+(COLUMN()-COLUMN(gantt_Origin)-1)*GanttPeriod</f>
        <v>46343</v>
      </c>
      <c r="CQ5" s="103" t="n">
        <f aca="false">GanttStart+(COLUMN()-COLUMN(gantt_Origin)-1)*GanttPeriod</f>
        <v>46344</v>
      </c>
      <c r="CR5" s="103" t="n">
        <f aca="false">GanttStart+(COLUMN()-COLUMN(gantt_Origin)-1)*GanttPeriod</f>
        <v>46345</v>
      </c>
      <c r="CS5" s="103" t="n">
        <f aca="false">GanttStart+(COLUMN()-COLUMN(gantt_Origin)-1)*GanttPeriod</f>
        <v>46346</v>
      </c>
      <c r="CT5" s="103" t="n">
        <f aca="false">GanttStart+(COLUMN()-COLUMN(gantt_Origin)-1)*GanttPeriod</f>
        <v>46347</v>
      </c>
      <c r="CU5" s="103" t="n">
        <f aca="false">GanttStart+(COLUMN()-COLUMN(gantt_Origin)-1)*GanttPeriod</f>
        <v>46348</v>
      </c>
      <c r="CV5" s="103" t="n">
        <f aca="false">GanttStart+(COLUMN()-COLUMN(gantt_Origin)-1)*GanttPeriod</f>
        <v>46349</v>
      </c>
      <c r="CW5" s="103" t="n">
        <f aca="false">GanttStart+(COLUMN()-COLUMN(gantt_Origin)-1)*GanttPeriod</f>
        <v>46350</v>
      </c>
      <c r="CX5" s="103" t="n">
        <f aca="false">GanttStart+(COLUMN()-COLUMN(gantt_Origin)-1)*GanttPeriod</f>
        <v>46351</v>
      </c>
      <c r="CY5" s="103" t="n">
        <f aca="false">GanttStart+(COLUMN()-COLUMN(gantt_Origin)-1)*GanttPeriod</f>
        <v>46352</v>
      </c>
      <c r="CZ5" s="103" t="n">
        <f aca="false">GanttStart+(COLUMN()-COLUMN(gantt_Origin)-1)*GanttPeriod</f>
        <v>46353</v>
      </c>
      <c r="DA5" s="103" t="n">
        <f aca="false">GanttStart+(COLUMN()-COLUMN(gantt_Origin)-1)*GanttPeriod</f>
        <v>46354</v>
      </c>
      <c r="DB5" s="103" t="n">
        <f aca="false">GanttStart+(COLUMN()-COLUMN(gantt_Origin)-1)*GanttPeriod</f>
        <v>46355</v>
      </c>
      <c r="DC5" s="103" t="n">
        <f aca="false">GanttStart+(COLUMN()-COLUMN(gantt_Origin)-1)*GanttPeriod</f>
        <v>46356</v>
      </c>
      <c r="DD5" s="103" t="n">
        <f aca="false">GanttStart+(COLUMN()-COLUMN(gantt_Origin)-1)*GanttPeriod</f>
        <v>46357</v>
      </c>
      <c r="DE5" s="103" t="n">
        <f aca="false">GanttStart+(COLUMN()-COLUMN(gantt_Origin)-1)*GanttPeriod</f>
        <v>46358</v>
      </c>
      <c r="DF5" s="103" t="n">
        <f aca="false">GanttStart+(COLUMN()-COLUMN(gantt_Origin)-1)*GanttPeriod</f>
        <v>46359</v>
      </c>
      <c r="DG5" s="103" t="n">
        <f aca="false">GanttStart+(COLUMN()-COLUMN(gantt_Origin)-1)*GanttPeriod</f>
        <v>46360</v>
      </c>
      <c r="DH5" s="103" t="n">
        <f aca="false">GanttStart+(COLUMN()-COLUMN(gantt_Origin)-1)*GanttPeriod</f>
        <v>46361</v>
      </c>
      <c r="DI5" s="103" t="n">
        <f aca="false">GanttStart+(COLUMN()-COLUMN(gantt_Origin)-1)*GanttPeriod</f>
        <v>46362</v>
      </c>
      <c r="DJ5" s="103" t="n">
        <f aca="false">GanttStart+(COLUMN()-COLUMN(gantt_Origin)-1)*GanttPeriod</f>
        <v>46363</v>
      </c>
      <c r="DK5" s="103" t="n">
        <f aca="false">GanttStart+(COLUMN()-COLUMN(gantt_Origin)-1)*GanttPeriod</f>
        <v>46364</v>
      </c>
      <c r="DL5" s="103" t="n">
        <f aca="false">GanttStart+(COLUMN()-COLUMN(gantt_Origin)-1)*GanttPeriod</f>
        <v>46365</v>
      </c>
      <c r="DM5" s="103" t="n">
        <f aca="false">GanttStart+(COLUMN()-COLUMN(gantt_Origin)-1)*GanttPeriod</f>
        <v>46366</v>
      </c>
      <c r="DN5" s="103" t="n">
        <f aca="false">GanttStart+(COLUMN()-COLUMN(gantt_Origin)-1)*GanttPeriod</f>
        <v>46367</v>
      </c>
      <c r="DO5" s="103" t="n">
        <f aca="false">GanttStart+(COLUMN()-COLUMN(gantt_Origin)-1)*GanttPeriod</f>
        <v>46368</v>
      </c>
      <c r="DP5" s="103" t="n">
        <f aca="false">GanttStart+(COLUMN()-COLUMN(gantt_Origin)-1)*GanttPeriod</f>
        <v>46369</v>
      </c>
      <c r="DQ5" s="103" t="n">
        <f aca="false">GanttStart+(COLUMN()-COLUMN(gantt_Origin)-1)*GanttPeriod</f>
        <v>46370</v>
      </c>
      <c r="DR5" s="103" t="n">
        <f aca="false">GanttStart+(COLUMN()-COLUMN(gantt_Origin)-1)*GanttPeriod</f>
        <v>46371</v>
      </c>
      <c r="DS5" s="103" t="n">
        <f aca="false">GanttStart+(COLUMN()-COLUMN(gantt_Origin)-1)*GanttPeriod</f>
        <v>46372</v>
      </c>
      <c r="DT5" s="103" t="n">
        <f aca="false">GanttStart+(COLUMN()-COLUMN(gantt_Origin)-1)*GanttPeriod</f>
        <v>46373</v>
      </c>
      <c r="DU5" s="103" t="n">
        <f aca="false">GanttStart+(COLUMN()-COLUMN(gantt_Origin)-1)*GanttPeriod</f>
        <v>46374</v>
      </c>
      <c r="DV5" s="103" t="n">
        <f aca="false">GanttStart+(COLUMN()-COLUMN(gantt_Origin)-1)*GanttPeriod</f>
        <v>46375</v>
      </c>
      <c r="DW5" s="103" t="n">
        <f aca="false">GanttStart+(COLUMN()-COLUMN(gantt_Origin)-1)*GanttPeriod</f>
        <v>46376</v>
      </c>
      <c r="DX5" s="103" t="n">
        <f aca="false">GanttStart+(COLUMN()-COLUMN(gantt_Origin)-1)*GanttPeriod</f>
        <v>46377</v>
      </c>
      <c r="DY5" s="103" t="n">
        <f aca="false">GanttStart+(COLUMN()-COLUMN(gantt_Origin)-1)*GanttPeriod</f>
        <v>46378</v>
      </c>
      <c r="DZ5" s="103" t="n">
        <f aca="false">GanttStart+(COLUMN()-COLUMN(gantt_Origin)-1)*GanttPeriod</f>
        <v>46379</v>
      </c>
      <c r="EA5" s="103" t="n">
        <f aca="false">GanttStart+(COLUMN()-COLUMN(gantt_Origin)-1)*GanttPeriod</f>
        <v>46380</v>
      </c>
      <c r="EB5" s="103" t="n">
        <f aca="false">GanttStart+(COLUMN()-COLUMN(gantt_Origin)-1)*GanttPeriod</f>
        <v>46381</v>
      </c>
      <c r="EC5" s="103" t="n">
        <f aca="false">GanttStart+(COLUMN()-COLUMN(gantt_Origin)-1)*GanttPeriod</f>
        <v>46382</v>
      </c>
      <c r="ED5" s="103" t="n">
        <f aca="false">GanttStart+(COLUMN()-COLUMN(gantt_Origin)-1)*GanttPeriod</f>
        <v>46383</v>
      </c>
      <c r="EE5" s="103" t="n">
        <f aca="false">GanttStart+(COLUMN()-COLUMN(gantt_Origin)-1)*GanttPeriod</f>
        <v>46384</v>
      </c>
      <c r="EF5" s="103" t="n">
        <f aca="false">GanttStart+(COLUMN()-COLUMN(gantt_Origin)-1)*GanttPeriod</f>
        <v>46385</v>
      </c>
      <c r="EG5" s="103" t="n">
        <f aca="false">GanttStart+(COLUMN()-COLUMN(gantt_Origin)-1)*GanttPeriod</f>
        <v>46386</v>
      </c>
      <c r="EH5" s="103" t="n">
        <f aca="false">GanttStart+(COLUMN()-COLUMN(gantt_Origin)-1)*GanttPeriod</f>
        <v>46387</v>
      </c>
      <c r="EI5" s="103" t="n">
        <f aca="false">GanttStart+(COLUMN()-COLUMN(gantt_Origin)-1)*GanttPeriod</f>
        <v>46388</v>
      </c>
      <c r="EJ5" s="103" t="n">
        <f aca="false">GanttStart+(COLUMN()-COLUMN(gantt_Origin)-1)*GanttPeriod</f>
        <v>46389</v>
      </c>
      <c r="EK5" s="103" t="n">
        <f aca="false">GanttStart+(COLUMN()-COLUMN(gantt_Origin)-1)*GanttPeriod</f>
        <v>46390</v>
      </c>
      <c r="EL5" s="103" t="n">
        <f aca="false">GanttStart+(COLUMN()-COLUMN(gantt_Origin)-1)*GanttPeriod</f>
        <v>46391</v>
      </c>
      <c r="EM5" s="103" t="n">
        <f aca="false">GanttStart+(COLUMN()-COLUMN(gantt_Origin)-1)*GanttPeriod</f>
        <v>46392</v>
      </c>
      <c r="EN5" s="103" t="n">
        <f aca="false">GanttStart+(COLUMN()-COLUMN(gantt_Origin)-1)*GanttPeriod</f>
        <v>46393</v>
      </c>
      <c r="EO5" s="103" t="n">
        <f aca="false">GanttStart+(COLUMN()-COLUMN(gantt_Origin)-1)*GanttPeriod</f>
        <v>46394</v>
      </c>
      <c r="EP5" s="103" t="n">
        <f aca="false">GanttStart+(COLUMN()-COLUMN(gantt_Origin)-1)*GanttPeriod</f>
        <v>46395</v>
      </c>
      <c r="EQ5" s="103" t="n">
        <f aca="false">GanttStart+(COLUMN()-COLUMN(gantt_Origin)-1)*GanttPeriod</f>
        <v>46396</v>
      </c>
      <c r="ER5" s="103" t="n">
        <f aca="false">GanttStart+(COLUMN()-COLUMN(gantt_Origin)-1)*GanttPeriod</f>
        <v>46397</v>
      </c>
      <c r="ES5" s="103" t="n">
        <f aca="false">GanttStart+(COLUMN()-COLUMN(gantt_Origin)-1)*GanttPeriod</f>
        <v>46398</v>
      </c>
      <c r="ET5" s="103" t="n">
        <f aca="false">GanttStart+(COLUMN()-COLUMN(gantt_Origin)-1)*GanttPeriod</f>
        <v>46399</v>
      </c>
      <c r="EU5" s="103" t="n">
        <f aca="false">GanttStart+(COLUMN()-COLUMN(gantt_Origin)-1)*GanttPeriod</f>
        <v>46400</v>
      </c>
      <c r="EV5" s="103" t="n">
        <f aca="false">GanttStart+(COLUMN()-COLUMN(gantt_Origin)-1)*GanttPeriod</f>
        <v>46401</v>
      </c>
      <c r="EW5" s="103" t="n">
        <f aca="false">GanttStart+(COLUMN()-COLUMN(gantt_Origin)-1)*GanttPeriod</f>
        <v>46402</v>
      </c>
      <c r="EX5" s="103" t="n">
        <f aca="false">GanttStart+(COLUMN()-COLUMN(gantt_Origin)-1)*GanttPeriod</f>
        <v>46403</v>
      </c>
      <c r="EY5" s="103" t="n">
        <f aca="false">GanttStart+(COLUMN()-COLUMN(gantt_Origin)-1)*GanttPeriod</f>
        <v>46404</v>
      </c>
      <c r="EZ5" s="103" t="n">
        <f aca="false">GanttStart+(COLUMN()-COLUMN(gantt_Origin)-1)*GanttPeriod</f>
        <v>46405</v>
      </c>
      <c r="FA5" s="103" t="n">
        <f aca="false">GanttStart+(COLUMN()-COLUMN(gantt_Origin)-1)*GanttPeriod</f>
        <v>46406</v>
      </c>
      <c r="FB5" s="103" t="n">
        <f aca="false">GanttStart+(COLUMN()-COLUMN(gantt_Origin)-1)*GanttPeriod</f>
        <v>46407</v>
      </c>
      <c r="FC5" s="103" t="n">
        <f aca="false">GanttStart+(COLUMN()-COLUMN(gantt_Origin)-1)*GanttPeriod</f>
        <v>46408</v>
      </c>
      <c r="FD5" s="103" t="n">
        <f aca="false">GanttStart+(COLUMN()-COLUMN(gantt_Origin)-1)*GanttPeriod</f>
        <v>46409</v>
      </c>
      <c r="FE5" s="103" t="n">
        <f aca="false">GanttStart+(COLUMN()-COLUMN(gantt_Origin)-1)*GanttPeriod</f>
        <v>46410</v>
      </c>
      <c r="FF5" s="103" t="n">
        <f aca="false">GanttStart+(COLUMN()-COLUMN(gantt_Origin)-1)*GanttPeriod</f>
        <v>46411</v>
      </c>
      <c r="FG5" s="103" t="n">
        <f aca="false">GanttStart+(COLUMN()-COLUMN(gantt_Origin)-1)*GanttPeriod</f>
        <v>46412</v>
      </c>
      <c r="FH5" s="103" t="n">
        <f aca="false">GanttStart+(COLUMN()-COLUMN(gantt_Origin)-1)*GanttPeriod</f>
        <v>46413</v>
      </c>
      <c r="FI5" s="103" t="n">
        <f aca="false">GanttStart+(COLUMN()-COLUMN(gantt_Origin)-1)*GanttPeriod</f>
        <v>46414</v>
      </c>
      <c r="FJ5" s="103" t="n">
        <f aca="false">GanttStart+(COLUMN()-COLUMN(gantt_Origin)-1)*GanttPeriod</f>
        <v>46415</v>
      </c>
      <c r="FK5" s="103" t="n">
        <f aca="false">GanttStart+(COLUMN()-COLUMN(gantt_Origin)-1)*GanttPeriod</f>
        <v>46416</v>
      </c>
      <c r="FL5" s="103" t="n">
        <f aca="false">GanttStart+(COLUMN()-COLUMN(gantt_Origin)-1)*GanttPeriod</f>
        <v>46417</v>
      </c>
      <c r="FM5" s="103" t="n">
        <f aca="false">GanttStart+(COLUMN()-COLUMN(gantt_Origin)-1)*GanttPeriod</f>
        <v>46418</v>
      </c>
      <c r="FN5" s="103" t="n">
        <f aca="false">GanttStart+(COLUMN()-COLUMN(gantt_Origin)-1)*GanttPeriod</f>
        <v>46419</v>
      </c>
      <c r="FO5" s="103" t="n">
        <f aca="false">GanttStart+(COLUMN()-COLUMN(gantt_Origin)-1)*GanttPeriod</f>
        <v>46420</v>
      </c>
      <c r="FP5" s="103" t="n">
        <f aca="false">GanttStart+(COLUMN()-COLUMN(gantt_Origin)-1)*GanttPeriod</f>
        <v>46421</v>
      </c>
    </row>
    <row r="6" customFormat="false" ht="15" hidden="false" customHeight="false" outlineLevel="0" collapsed="false">
      <c r="A6" s="104" t="n">
        <f aca="false">IF(IFERROR(INDEX(tsk_Name,GanttView[[#This Row],[_Row]])="",TRUE()),"",INDEX(tsk_ID,GanttView[[#This Row],[_Row]]))</f>
        <v>1</v>
      </c>
      <c r="B6" s="104" t="str">
        <f aca="false">IF(IFERROR(INDEX(tsk_Name,GanttView[[#This Row],[_Row]])="",TRUE()),"",INDEX(tsk_WBS,GanttView[[#This Row],[_Row]]))</f>
        <v>1</v>
      </c>
      <c r="C6" s="105" t="str">
        <f aca="false">IF(IFERROR(INDEX(tsk_Name,GanttView[[#This Row],[_Row]])="",TRUE()),"",REPT("    ",INDEX(tsk_Level,GanttView[[#This Row],[_Row]])-1)&amp;INDEX(tsk_Name,GanttView[[#This Row],[_Row]]))</f>
        <v>Initiation</v>
      </c>
      <c r="D6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6</v>
      </c>
      <c r="E6" s="106" t="n">
        <f aca="false">IF(IFERROR(INDEX(tsk_Name,GanttView[[#This Row],[_Row]])="",TRUE()),"",INDEX(tsk_PlanStart,GanttView[[#This Row],[_Row]]))</f>
        <v>46272</v>
      </c>
      <c r="F6" s="106" t="n">
        <f aca="false">IF(IFERROR(INDEX(tsk_Name,GanttView[[#This Row],[_Row]])="",TRUE()),"",INDEX(tsk_PlanFinish,GanttView[[#This Row],[_Row]]))</f>
        <v>46276</v>
      </c>
      <c r="G6" s="106" t="n">
        <f aca="false">IF(IFERROR(INDEX(tsk_Name,GanttView[[#This Row],[_Row]])="",TRUE()),"",INDEX(tsk_FcStart,GanttView[[#This Row],[_Row]]))</f>
        <v>46272</v>
      </c>
      <c r="H6" s="106" t="n">
        <f aca="false">IF(IFERROR(INDEX(tsk_Name,GanttView[[#This Row],[_Row]])="",TRUE()),"",INDEX(tsk_FcFinish,GanttView[[#This Row],[_Row]]))</f>
        <v>46279</v>
      </c>
      <c r="I6" s="107" t="n">
        <f aca="false">IF(IFERROR(INDEX(tsk_Name,GanttView[[#This Row],[_Row]])="",TRUE()),"",INDEX(tsk_Progress,GanttView[[#This Row],[_Row]]))</f>
        <v>1</v>
      </c>
      <c r="J6" s="105" t="str">
        <f aca="false">IF(IFERROR(INDEX(tsk_Name,GanttView[[#This Row],[_Row]])="",TRUE()),"",INDEX(tsk_Resource,GanttView[[#This Row],[_Row]])&amp;"")</f>
        <v/>
      </c>
      <c r="K6" s="108" t="str">
        <f aca="false">IF(IFERROR(INDEX(tsk_Name,GanttView[[#This Row],[_Row]])="",TRUE()),"",INDEX(tsk_Status,GanttView[[#This Row],[_Row]]))</f>
        <v>Complete</v>
      </c>
      <c r="L6" s="109" t="n">
        <f aca="false">ROW()-ROW(GanttView[[#Headers],[ID]])</f>
        <v>1</v>
      </c>
      <c r="M6" s="110" t="b">
        <f aca="false">IF(IFERROR(INDEX(tsk_Name,GanttView[[#This Row],[_Row]])="",TRUE()),FALSE(),INDEX(tsk_IsSummary,GanttView[[#This Row],[_Row]]))</f>
        <v>1</v>
      </c>
      <c r="N6" s="110" t="b">
        <f aca="false">IF(IFERROR(INDEX(tsk_Name,GanttView[[#This Row],[_Row]])="",TRUE()),FALSE(),AND(INDEX(tsk_IsLeaf,GanttView[[#This Row],[_Row]])=1,N(INDEX(tsk_Duration,GanttView[[#This Row],[_Row]]))=0))</f>
        <v>0</v>
      </c>
      <c r="O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6" s="111" t="n">
        <f aca="false">IF(GanttView[[#This Row],[_RemFrom]]=0,0,GanttView[[#This Row],[Forecast Finish]])</f>
        <v>0</v>
      </c>
      <c r="S6" s="110" t="b">
        <f aca="false">IF(IFERROR(INDEX(tsk_Name,GanttView[[#This Row],[_Row]])="",TRUE()),FALSE(),N(INDEX(tsk_Variance,GanttView[[#This Row],[_Row]]))&gt;0)</f>
        <v>1</v>
      </c>
      <c r="T6" s="111" t="n">
        <f aca="false">IF(IFERROR(INDEX(tsk_Name,GanttView[[#This Row],[_Row]])="",TRUE()),0,N(INDEX(tsk_Deadline,GanttView[[#This Row],[_Row]])))</f>
        <v>0</v>
      </c>
      <c r="U6" s="110" t="b">
        <f aca="false">IF(IFERROR(INDEX(tsk_Name,GanttView[[#This Row],[_Row]])="",TRUE()),FALSE(),INDEX(tsk_Critical,GanttView[[#This Row],[_Row]])="Yes")</f>
        <v>0</v>
      </c>
    </row>
    <row r="7" customFormat="false" ht="15" hidden="false" customHeight="false" outlineLevel="0" collapsed="false">
      <c r="A7" s="104" t="n">
        <f aca="false">IF(IFERROR(INDEX(tsk_Name,GanttView[[#This Row],[_Row]])="",TRUE()),"",INDEX(tsk_ID,GanttView[[#This Row],[_Row]]))</f>
        <v>2</v>
      </c>
      <c r="B7" s="104" t="str">
        <f aca="false">IF(IFERROR(INDEX(tsk_Name,GanttView[[#This Row],[_Row]])="",TRUE()),"",INDEX(tsk_WBS,GanttView[[#This Row],[_Row]]))</f>
        <v>1.1</v>
      </c>
      <c r="C7" s="105" t="str">
        <f aca="false">IF(IFERROR(INDEX(tsk_Name,GanttView[[#This Row],[_Row]])="",TRUE()),"",REPT("    ",INDEX(tsk_Level,GanttView[[#This Row],[_Row]])-1)&amp;INDEX(tsk_Name,GanttView[[#This Row],[_Row]]))</f>
        <v>    Project charter &amp; scope statement</v>
      </c>
      <c r="D7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3</v>
      </c>
      <c r="E7" s="106" t="n">
        <f aca="false">IF(IFERROR(INDEX(tsk_Name,GanttView[[#This Row],[_Row]])="",TRUE()),"",INDEX(tsk_PlanStart,GanttView[[#This Row],[_Row]]))</f>
        <v>46272</v>
      </c>
      <c r="F7" s="106" t="n">
        <f aca="false">IF(IFERROR(INDEX(tsk_Name,GanttView[[#This Row],[_Row]])="",TRUE()),"",INDEX(tsk_PlanFinish,GanttView[[#This Row],[_Row]]))</f>
        <v>46274</v>
      </c>
      <c r="G7" s="106" t="n">
        <f aca="false">IF(IFERROR(INDEX(tsk_Name,GanttView[[#This Row],[_Row]])="",TRUE()),"",INDEX(tsk_FcStart,GanttView[[#This Row],[_Row]]))</f>
        <v>46272</v>
      </c>
      <c r="H7" s="106" t="n">
        <f aca="false">IF(IFERROR(INDEX(tsk_Name,GanttView[[#This Row],[_Row]])="",TRUE()),"",INDEX(tsk_FcFinish,GanttView[[#This Row],[_Row]]))</f>
        <v>46275</v>
      </c>
      <c r="I7" s="107" t="n">
        <f aca="false">IF(IFERROR(INDEX(tsk_Name,GanttView[[#This Row],[_Row]])="",TRUE()),"",INDEX(tsk_Progress,GanttView[[#This Row],[_Row]]))</f>
        <v>1</v>
      </c>
      <c r="J7" s="105" t="str">
        <f aca="false">IF(IFERROR(INDEX(tsk_Name,GanttView[[#This Row],[_Row]])="",TRUE()),"",INDEX(tsk_Resource,GanttView[[#This Row],[_Row]])&amp;"")</f>
        <v>Priya Sharma</v>
      </c>
      <c r="K7" s="108" t="str">
        <f aca="false">IF(IFERROR(INDEX(tsk_Name,GanttView[[#This Row],[_Row]])="",TRUE()),"",INDEX(tsk_Status,GanttView[[#This Row],[_Row]]))</f>
        <v>Complete</v>
      </c>
      <c r="L7" s="109" t="n">
        <f aca="false">ROW()-ROW(GanttView[[#Headers],[ID]])</f>
        <v>2</v>
      </c>
      <c r="M7" s="110" t="b">
        <f aca="false">IF(IFERROR(INDEX(tsk_Name,GanttView[[#This Row],[_Row]])="",TRUE()),FALSE(),INDEX(tsk_IsSummary,GanttView[[#This Row],[_Row]]))</f>
        <v>0</v>
      </c>
      <c r="N7" s="110" t="b">
        <f aca="false">IF(IFERROR(INDEX(tsk_Name,GanttView[[#This Row],[_Row]])="",TRUE()),FALSE(),AND(INDEX(tsk_IsLeaf,GanttView[[#This Row],[_Row]])=1,N(INDEX(tsk_Duration,GanttView[[#This Row],[_Row]]))=0))</f>
        <v>0</v>
      </c>
      <c r="O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46272</v>
      </c>
      <c r="P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46275</v>
      </c>
      <c r="Q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7" s="111" t="n">
        <f aca="false">IF(GanttView[[#This Row],[_RemFrom]]=0,0,GanttView[[#This Row],[Forecast Finish]])</f>
        <v>0</v>
      </c>
      <c r="S7" s="110" t="b">
        <f aca="false">IF(IFERROR(INDEX(tsk_Name,GanttView[[#This Row],[_Row]])="",TRUE()),FALSE(),N(INDEX(tsk_Variance,GanttView[[#This Row],[_Row]]))&gt;0)</f>
        <v>1</v>
      </c>
      <c r="T7" s="111" t="n">
        <f aca="false">IF(IFERROR(INDEX(tsk_Name,GanttView[[#This Row],[_Row]])="",TRUE()),0,N(INDEX(tsk_Deadline,GanttView[[#This Row],[_Row]])))</f>
        <v>0</v>
      </c>
      <c r="U7" s="110" t="b">
        <f aca="false">IF(IFERROR(INDEX(tsk_Name,GanttView[[#This Row],[_Row]])="",TRUE()),FALSE(),INDEX(tsk_Critical,GanttView[[#This Row],[_Row]])="Yes")</f>
        <v>0</v>
      </c>
    </row>
    <row r="8" customFormat="false" ht="15" hidden="false" customHeight="false" outlineLevel="0" collapsed="false">
      <c r="A8" s="104" t="n">
        <f aca="false">IF(IFERROR(INDEX(tsk_Name,GanttView[[#This Row],[_Row]])="",TRUE()),"",INDEX(tsk_ID,GanttView[[#This Row],[_Row]]))</f>
        <v>3</v>
      </c>
      <c r="B8" s="104" t="str">
        <f aca="false">IF(IFERROR(INDEX(tsk_Name,GanttView[[#This Row],[_Row]])="",TRUE()),"",INDEX(tsk_WBS,GanttView[[#This Row],[_Row]]))</f>
        <v>1.2</v>
      </c>
      <c r="C8" s="105" t="str">
        <f aca="false">IF(IFERROR(INDEX(tsk_Name,GanttView[[#This Row],[_Row]])="",TRUE()),"",REPT("    ",INDEX(tsk_Level,GanttView[[#This Row],[_Row]])-1)&amp;INDEX(tsk_Name,GanttView[[#This Row],[_Row]]))</f>
        <v>    Stakeholder kickoff workshop</v>
      </c>
      <c r="D8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2</v>
      </c>
      <c r="E8" s="106" t="n">
        <f aca="false">IF(IFERROR(INDEX(tsk_Name,GanttView[[#This Row],[_Row]])="",TRUE()),"",INDEX(tsk_PlanStart,GanttView[[#This Row],[_Row]]))</f>
        <v>46275</v>
      </c>
      <c r="F8" s="106" t="n">
        <f aca="false">IF(IFERROR(INDEX(tsk_Name,GanttView[[#This Row],[_Row]])="",TRUE()),"",INDEX(tsk_PlanFinish,GanttView[[#This Row],[_Row]]))</f>
        <v>46276</v>
      </c>
      <c r="G8" s="106" t="n">
        <f aca="false">IF(IFERROR(INDEX(tsk_Name,GanttView[[#This Row],[_Row]])="",TRUE()),"",INDEX(tsk_FcStart,GanttView[[#This Row],[_Row]]))</f>
        <v>46276</v>
      </c>
      <c r="H8" s="106" t="n">
        <f aca="false">IF(IFERROR(INDEX(tsk_Name,GanttView[[#This Row],[_Row]])="",TRUE()),"",INDEX(tsk_FcFinish,GanttView[[#This Row],[_Row]]))</f>
        <v>46279</v>
      </c>
      <c r="I8" s="107" t="n">
        <f aca="false">IF(IFERROR(INDEX(tsk_Name,GanttView[[#This Row],[_Row]])="",TRUE()),"",INDEX(tsk_Progress,GanttView[[#This Row],[_Row]]))</f>
        <v>1</v>
      </c>
      <c r="J8" s="105" t="str">
        <f aca="false">IF(IFERROR(INDEX(tsk_Name,GanttView[[#This Row],[_Row]])="",TRUE()),"",INDEX(tsk_Resource,GanttView[[#This Row],[_Row]])&amp;"")</f>
        <v>Morgan Patel</v>
      </c>
      <c r="K8" s="108" t="str">
        <f aca="false">IF(IFERROR(INDEX(tsk_Name,GanttView[[#This Row],[_Row]])="",TRUE()),"",INDEX(tsk_Status,GanttView[[#This Row],[_Row]]))</f>
        <v>Complete</v>
      </c>
      <c r="L8" s="109" t="n">
        <f aca="false">ROW()-ROW(GanttView[[#Headers],[ID]])</f>
        <v>3</v>
      </c>
      <c r="M8" s="110" t="b">
        <f aca="false">IF(IFERROR(INDEX(tsk_Name,GanttView[[#This Row],[_Row]])="",TRUE()),FALSE(),INDEX(tsk_IsSummary,GanttView[[#This Row],[_Row]]))</f>
        <v>0</v>
      </c>
      <c r="N8" s="110" t="b">
        <f aca="false">IF(IFERROR(INDEX(tsk_Name,GanttView[[#This Row],[_Row]])="",TRUE()),FALSE(),AND(INDEX(tsk_IsLeaf,GanttView[[#This Row],[_Row]])=1,N(INDEX(tsk_Duration,GanttView[[#This Row],[_Row]]))=0))</f>
        <v>0</v>
      </c>
      <c r="O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46276</v>
      </c>
      <c r="P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46279</v>
      </c>
      <c r="Q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8" s="111" t="n">
        <f aca="false">IF(GanttView[[#This Row],[_RemFrom]]=0,0,GanttView[[#This Row],[Forecast Finish]])</f>
        <v>0</v>
      </c>
      <c r="S8" s="110" t="b">
        <f aca="false">IF(IFERROR(INDEX(tsk_Name,GanttView[[#This Row],[_Row]])="",TRUE()),FALSE(),N(INDEX(tsk_Variance,GanttView[[#This Row],[_Row]]))&gt;0)</f>
        <v>1</v>
      </c>
      <c r="T8" s="111" t="n">
        <f aca="false">IF(IFERROR(INDEX(tsk_Name,GanttView[[#This Row],[_Row]])="",TRUE()),0,N(INDEX(tsk_Deadline,GanttView[[#This Row],[_Row]])))</f>
        <v>0</v>
      </c>
      <c r="U8" s="110" t="b">
        <f aca="false">IF(IFERROR(INDEX(tsk_Name,GanttView[[#This Row],[_Row]])="",TRUE()),FALSE(),INDEX(tsk_Critical,GanttView[[#This Row],[_Row]])="Yes")</f>
        <v>0</v>
      </c>
    </row>
    <row r="9" customFormat="false" ht="15" hidden="false" customHeight="false" outlineLevel="0" collapsed="false">
      <c r="A9" s="104" t="n">
        <f aca="false">IF(IFERROR(INDEX(tsk_Name,GanttView[[#This Row],[_Row]])="",TRUE()),"",INDEX(tsk_ID,GanttView[[#This Row],[_Row]]))</f>
        <v>4</v>
      </c>
      <c r="B9" s="104" t="str">
        <f aca="false">IF(IFERROR(INDEX(tsk_Name,GanttView[[#This Row],[_Row]])="",TRUE()),"",INDEX(tsk_WBS,GanttView[[#This Row],[_Row]]))</f>
        <v>1.3</v>
      </c>
      <c r="C9" s="105" t="str">
        <f aca="false">IF(IFERROR(INDEX(tsk_Name,GanttView[[#This Row],[_Row]])="",TRUE()),"",REPT("    ",INDEX(tsk_Level,GanttView[[#This Row],[_Row]])-1)&amp;INDEX(tsk_Name,GanttView[[#This Row],[_Row]]))</f>
        <v>    Kickoff complete</v>
      </c>
      <c r="D9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0</v>
      </c>
      <c r="E9" s="106" t="n">
        <f aca="false">IF(IFERROR(INDEX(tsk_Name,GanttView[[#This Row],[_Row]])="",TRUE()),"",INDEX(tsk_PlanStart,GanttView[[#This Row],[_Row]]))</f>
        <v>46276</v>
      </c>
      <c r="F9" s="106" t="n">
        <f aca="false">IF(IFERROR(INDEX(tsk_Name,GanttView[[#This Row],[_Row]])="",TRUE()),"",INDEX(tsk_PlanFinish,GanttView[[#This Row],[_Row]]))</f>
        <v>46276</v>
      </c>
      <c r="G9" s="106" t="n">
        <f aca="false">IF(IFERROR(INDEX(tsk_Name,GanttView[[#This Row],[_Row]])="",TRUE()),"",INDEX(tsk_FcStart,GanttView[[#This Row],[_Row]]))</f>
        <v>46279</v>
      </c>
      <c r="H9" s="106" t="n">
        <f aca="false">IF(IFERROR(INDEX(tsk_Name,GanttView[[#This Row],[_Row]])="",TRUE()),"",INDEX(tsk_FcFinish,GanttView[[#This Row],[_Row]]))</f>
        <v>46279</v>
      </c>
      <c r="I9" s="107" t="n">
        <f aca="false">IF(IFERROR(INDEX(tsk_Name,GanttView[[#This Row],[_Row]])="",TRUE()),"",INDEX(tsk_Progress,GanttView[[#This Row],[_Row]]))</f>
        <v>1</v>
      </c>
      <c r="J9" s="105" t="str">
        <f aca="false">IF(IFERROR(INDEX(tsk_Name,GanttView[[#This Row],[_Row]])="",TRUE()),"",INDEX(tsk_Resource,GanttView[[#This Row],[_Row]])&amp;"")</f>
        <v/>
      </c>
      <c r="K9" s="108" t="str">
        <f aca="false">IF(IFERROR(INDEX(tsk_Name,GanttView[[#This Row],[_Row]])="",TRUE()),"",INDEX(tsk_Status,GanttView[[#This Row],[_Row]]))</f>
        <v>Complete</v>
      </c>
      <c r="L9" s="109" t="n">
        <f aca="false">ROW()-ROW(GanttView[[#Headers],[ID]])</f>
        <v>4</v>
      </c>
      <c r="M9" s="110" t="b">
        <f aca="false">IF(IFERROR(INDEX(tsk_Name,GanttView[[#This Row],[_Row]])="",TRUE()),FALSE(),INDEX(tsk_IsSummary,GanttView[[#This Row],[_Row]]))</f>
        <v>0</v>
      </c>
      <c r="N9" s="110" t="b">
        <f aca="false">IF(IFERROR(INDEX(tsk_Name,GanttView[[#This Row],[_Row]])="",TRUE()),FALSE(),AND(INDEX(tsk_IsLeaf,GanttView[[#This Row],[_Row]])=1,N(INDEX(tsk_Duration,GanttView[[#This Row],[_Row]]))=0))</f>
        <v>1</v>
      </c>
      <c r="O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9" s="111" t="n">
        <f aca="false">IF(GanttView[[#This Row],[_RemFrom]]=0,0,GanttView[[#This Row],[Forecast Finish]])</f>
        <v>0</v>
      </c>
      <c r="S9" s="110" t="b">
        <f aca="false">IF(IFERROR(INDEX(tsk_Name,GanttView[[#This Row],[_Row]])="",TRUE()),FALSE(),N(INDEX(tsk_Variance,GanttView[[#This Row],[_Row]]))&gt;0)</f>
        <v>1</v>
      </c>
      <c r="T9" s="111" t="n">
        <f aca="false">IF(IFERROR(INDEX(tsk_Name,GanttView[[#This Row],[_Row]])="",TRUE()),0,N(INDEX(tsk_Deadline,GanttView[[#This Row],[_Row]])))</f>
        <v>0</v>
      </c>
      <c r="U9" s="110" t="b">
        <f aca="false">IF(IFERROR(INDEX(tsk_Name,GanttView[[#This Row],[_Row]])="",TRUE()),FALSE(),INDEX(tsk_Critical,GanttView[[#This Row],[_Row]])="Yes")</f>
        <v>0</v>
      </c>
    </row>
    <row r="10" customFormat="false" ht="15" hidden="false" customHeight="false" outlineLevel="0" collapsed="false">
      <c r="A10" s="104" t="n">
        <f aca="false">IF(IFERROR(INDEX(tsk_Name,GanttView[[#This Row],[_Row]])="",TRUE()),"",INDEX(tsk_ID,GanttView[[#This Row],[_Row]]))</f>
        <v>5</v>
      </c>
      <c r="B10" s="104" t="str">
        <f aca="false">IF(IFERROR(INDEX(tsk_Name,GanttView[[#This Row],[_Row]])="",TRUE()),"",INDEX(tsk_WBS,GanttView[[#This Row],[_Row]]))</f>
        <v>2</v>
      </c>
      <c r="C10" s="105" t="str">
        <f aca="false">IF(IFERROR(INDEX(tsk_Name,GanttView[[#This Row],[_Row]])="",TRUE()),"",REPT("    ",INDEX(tsk_Level,GanttView[[#This Row],[_Row]])-1)&amp;INDEX(tsk_Name,GanttView[[#This Row],[_Row]]))</f>
        <v>Requirements &amp; Design</v>
      </c>
      <c r="D10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16</v>
      </c>
      <c r="E10" s="106" t="n">
        <f aca="false">IF(IFERROR(INDEX(tsk_Name,GanttView[[#This Row],[_Row]])="",TRUE()),"",INDEX(tsk_PlanStart,GanttView[[#This Row],[_Row]]))</f>
        <v>46279</v>
      </c>
      <c r="F10" s="106" t="n">
        <f aca="false">IF(IFERROR(INDEX(tsk_Name,GanttView[[#This Row],[_Row]])="",TRUE()),"",INDEX(tsk_PlanFinish,GanttView[[#This Row],[_Row]]))</f>
        <v>46296</v>
      </c>
      <c r="G10" s="106" t="n">
        <f aca="false">IF(IFERROR(INDEX(tsk_Name,GanttView[[#This Row],[_Row]])="",TRUE()),"",INDEX(tsk_FcStart,GanttView[[#This Row],[_Row]]))</f>
        <v>46280</v>
      </c>
      <c r="H10" s="106" t="n">
        <f aca="false">IF(IFERROR(INDEX(tsk_Name,GanttView[[#This Row],[_Row]])="",TRUE()),"",INDEX(tsk_FcFinish,GanttView[[#This Row],[_Row]]))</f>
        <v>46301</v>
      </c>
      <c r="I10" s="107" t="n">
        <f aca="false">IF(IFERROR(INDEX(tsk_Name,GanttView[[#This Row],[_Row]])="",TRUE()),"",INDEX(tsk_Progress,GanttView[[#This Row],[_Row]]))</f>
        <v>1</v>
      </c>
      <c r="J10" s="105" t="str">
        <f aca="false">IF(IFERROR(INDEX(tsk_Name,GanttView[[#This Row],[_Row]])="",TRUE()),"",INDEX(tsk_Resource,GanttView[[#This Row],[_Row]])&amp;"")</f>
        <v/>
      </c>
      <c r="K10" s="108" t="str">
        <f aca="false">IF(IFERROR(INDEX(tsk_Name,GanttView[[#This Row],[_Row]])="",TRUE()),"",INDEX(tsk_Status,GanttView[[#This Row],[_Row]]))</f>
        <v>Complete</v>
      </c>
      <c r="L10" s="109" t="n">
        <f aca="false">ROW()-ROW(GanttView[[#Headers],[ID]])</f>
        <v>5</v>
      </c>
      <c r="M10" s="110" t="b">
        <f aca="false">IF(IFERROR(INDEX(tsk_Name,GanttView[[#This Row],[_Row]])="",TRUE()),FALSE(),INDEX(tsk_IsSummary,GanttView[[#This Row],[_Row]]))</f>
        <v>1</v>
      </c>
      <c r="N10" s="110" t="b">
        <f aca="false">IF(IFERROR(INDEX(tsk_Name,GanttView[[#This Row],[_Row]])="",TRUE()),FALSE(),AND(INDEX(tsk_IsLeaf,GanttView[[#This Row],[_Row]])=1,N(INDEX(tsk_Duration,GanttView[[#This Row],[_Row]]))=0))</f>
        <v>0</v>
      </c>
      <c r="O1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0" s="111" t="n">
        <f aca="false">IF(GanttView[[#This Row],[_RemFrom]]=0,0,GanttView[[#This Row],[Forecast Finish]])</f>
        <v>0</v>
      </c>
      <c r="S10" s="110" t="b">
        <f aca="false">IF(IFERROR(INDEX(tsk_Name,GanttView[[#This Row],[_Row]])="",TRUE()),FALSE(),N(INDEX(tsk_Variance,GanttView[[#This Row],[_Row]]))&gt;0)</f>
        <v>1</v>
      </c>
      <c r="T10" s="111" t="n">
        <f aca="false">IF(IFERROR(INDEX(tsk_Name,GanttView[[#This Row],[_Row]])="",TRUE()),0,N(INDEX(tsk_Deadline,GanttView[[#This Row],[_Row]])))</f>
        <v>0</v>
      </c>
      <c r="U10" s="110" t="b">
        <f aca="false">IF(IFERROR(INDEX(tsk_Name,GanttView[[#This Row],[_Row]])="",TRUE()),FALSE(),INDEX(tsk_Critical,GanttView[[#This Row],[_Row]])="Yes")</f>
        <v>0</v>
      </c>
    </row>
    <row r="11" customFormat="false" ht="15" hidden="false" customHeight="false" outlineLevel="0" collapsed="false">
      <c r="A11" s="104" t="n">
        <f aca="false">IF(IFERROR(INDEX(tsk_Name,GanttView[[#This Row],[_Row]])="",TRUE()),"",INDEX(tsk_ID,GanttView[[#This Row],[_Row]]))</f>
        <v>6</v>
      </c>
      <c r="B11" s="104" t="str">
        <f aca="false">IF(IFERROR(INDEX(tsk_Name,GanttView[[#This Row],[_Row]])="",TRUE()),"",INDEX(tsk_WBS,GanttView[[#This Row],[_Row]]))</f>
        <v>2.1</v>
      </c>
      <c r="C11" s="105" t="str">
        <f aca="false">IF(IFERROR(INDEX(tsk_Name,GanttView[[#This Row],[_Row]])="",TRUE()),"",REPT("    ",INDEX(tsk_Level,GanttView[[#This Row],[_Row]])-1)&amp;INDEX(tsk_Name,GanttView[[#This Row],[_Row]]))</f>
        <v>    Requirements gathering</v>
      </c>
      <c r="D11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8</v>
      </c>
      <c r="E11" s="106" t="n">
        <f aca="false">IF(IFERROR(INDEX(tsk_Name,GanttView[[#This Row],[_Row]])="",TRUE()),"",INDEX(tsk_PlanStart,GanttView[[#This Row],[_Row]]))</f>
        <v>46279</v>
      </c>
      <c r="F11" s="106" t="n">
        <f aca="false">IF(IFERROR(INDEX(tsk_Name,GanttView[[#This Row],[_Row]])="",TRUE()),"",INDEX(tsk_PlanFinish,GanttView[[#This Row],[_Row]]))</f>
        <v>46288</v>
      </c>
      <c r="G11" s="106" t="n">
        <f aca="false">IF(IFERROR(INDEX(tsk_Name,GanttView[[#This Row],[_Row]])="",TRUE()),"",INDEX(tsk_FcStart,GanttView[[#This Row],[_Row]]))</f>
        <v>46280</v>
      </c>
      <c r="H11" s="106" t="n">
        <f aca="false">IF(IFERROR(INDEX(tsk_Name,GanttView[[#This Row],[_Row]])="",TRUE()),"",INDEX(tsk_FcFinish,GanttView[[#This Row],[_Row]]))</f>
        <v>46290</v>
      </c>
      <c r="I11" s="107" t="n">
        <f aca="false">IF(IFERROR(INDEX(tsk_Name,GanttView[[#This Row],[_Row]])="",TRUE()),"",INDEX(tsk_Progress,GanttView[[#This Row],[_Row]]))</f>
        <v>1</v>
      </c>
      <c r="J11" s="105" t="str">
        <f aca="false">IF(IFERROR(INDEX(tsk_Name,GanttView[[#This Row],[_Row]])="",TRUE()),"",INDEX(tsk_Resource,GanttView[[#This Row],[_Row]])&amp;"")</f>
        <v>Morgan Patel</v>
      </c>
      <c r="K11" s="108" t="str">
        <f aca="false">IF(IFERROR(INDEX(tsk_Name,GanttView[[#This Row],[_Row]])="",TRUE()),"",INDEX(tsk_Status,GanttView[[#This Row],[_Row]]))</f>
        <v>Complete</v>
      </c>
      <c r="L11" s="109" t="n">
        <f aca="false">ROW()-ROW(GanttView[[#Headers],[ID]])</f>
        <v>6</v>
      </c>
      <c r="M11" s="110" t="b">
        <f aca="false">IF(IFERROR(INDEX(tsk_Name,GanttView[[#This Row],[_Row]])="",TRUE()),FALSE(),INDEX(tsk_IsSummary,GanttView[[#This Row],[_Row]]))</f>
        <v>0</v>
      </c>
      <c r="N11" s="110" t="b">
        <f aca="false">IF(IFERROR(INDEX(tsk_Name,GanttView[[#This Row],[_Row]])="",TRUE()),FALSE(),AND(INDEX(tsk_IsLeaf,GanttView[[#This Row],[_Row]])=1,N(INDEX(tsk_Duration,GanttView[[#This Row],[_Row]]))=0))</f>
        <v>0</v>
      </c>
      <c r="O1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46280</v>
      </c>
      <c r="P1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46290</v>
      </c>
      <c r="Q1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1" s="111" t="n">
        <f aca="false">IF(GanttView[[#This Row],[_RemFrom]]=0,0,GanttView[[#This Row],[Forecast Finish]])</f>
        <v>0</v>
      </c>
      <c r="S11" s="110" t="b">
        <f aca="false">IF(IFERROR(INDEX(tsk_Name,GanttView[[#This Row],[_Row]])="",TRUE()),FALSE(),N(INDEX(tsk_Variance,GanttView[[#This Row],[_Row]]))&gt;0)</f>
        <v>1</v>
      </c>
      <c r="T11" s="111" t="n">
        <f aca="false">IF(IFERROR(INDEX(tsk_Name,GanttView[[#This Row],[_Row]])="",TRUE()),0,N(INDEX(tsk_Deadline,GanttView[[#This Row],[_Row]])))</f>
        <v>0</v>
      </c>
      <c r="U11" s="110" t="b">
        <f aca="false">IF(IFERROR(INDEX(tsk_Name,GanttView[[#This Row],[_Row]])="",TRUE()),FALSE(),INDEX(tsk_Critical,GanttView[[#This Row],[_Row]])="Yes")</f>
        <v>0</v>
      </c>
    </row>
    <row r="12" customFormat="false" ht="15" hidden="false" customHeight="false" outlineLevel="0" collapsed="false">
      <c r="A12" s="104" t="n">
        <f aca="false">IF(IFERROR(INDEX(tsk_Name,GanttView[[#This Row],[_Row]])="",TRUE()),"",INDEX(tsk_ID,GanttView[[#This Row],[_Row]]))</f>
        <v>7</v>
      </c>
      <c r="B12" s="104" t="str">
        <f aca="false">IF(IFERROR(INDEX(tsk_Name,GanttView[[#This Row],[_Row]])="",TRUE()),"",INDEX(tsk_WBS,GanttView[[#This Row],[_Row]]))</f>
        <v>2.2</v>
      </c>
      <c r="C12" s="105" t="str">
        <f aca="false">IF(IFERROR(INDEX(tsk_Name,GanttView[[#This Row],[_Row]])="",TRUE()),"",REPT("    ",INDEX(tsk_Level,GanttView[[#This Row],[_Row]])-1)&amp;INDEX(tsk_Name,GanttView[[#This Row],[_Row]]))</f>
        <v>    Solution architecture</v>
      </c>
      <c r="D12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5</v>
      </c>
      <c r="E12" s="106" t="n">
        <f aca="false">IF(IFERROR(INDEX(tsk_Name,GanttView[[#This Row],[_Row]])="",TRUE()),"",INDEX(tsk_PlanStart,GanttView[[#This Row],[_Row]]))</f>
        <v>46282</v>
      </c>
      <c r="F12" s="106" t="n">
        <f aca="false">IF(IFERROR(INDEX(tsk_Name,GanttView[[#This Row],[_Row]])="",TRUE()),"",INDEX(tsk_PlanFinish,GanttView[[#This Row],[_Row]]))</f>
        <v>46288</v>
      </c>
      <c r="G12" s="106" t="n">
        <f aca="false">IF(IFERROR(INDEX(tsk_Name,GanttView[[#This Row],[_Row]])="",TRUE()),"",INDEX(tsk_FcStart,GanttView[[#This Row],[_Row]]))</f>
        <v>46283</v>
      </c>
      <c r="H12" s="106" t="n">
        <f aca="false">IF(IFERROR(INDEX(tsk_Name,GanttView[[#This Row],[_Row]])="",TRUE()),"",INDEX(tsk_FcFinish,GanttView[[#This Row],[_Row]]))</f>
        <v>46290</v>
      </c>
      <c r="I12" s="107" t="n">
        <f aca="false">IF(IFERROR(INDEX(tsk_Name,GanttView[[#This Row],[_Row]])="",TRUE()),"",INDEX(tsk_Progress,GanttView[[#This Row],[_Row]]))</f>
        <v>1</v>
      </c>
      <c r="J12" s="105" t="str">
        <f aca="false">IF(IFERROR(INDEX(tsk_Name,GanttView[[#This Row],[_Row]])="",TRUE()),"",INDEX(tsk_Resource,GanttView[[#This Row],[_Row]])&amp;"")</f>
        <v>Alex Chen</v>
      </c>
      <c r="K12" s="108" t="str">
        <f aca="false">IF(IFERROR(INDEX(tsk_Name,GanttView[[#This Row],[_Row]])="",TRUE()),"",INDEX(tsk_Status,GanttView[[#This Row],[_Row]]))</f>
        <v>Complete</v>
      </c>
      <c r="L12" s="109" t="n">
        <f aca="false">ROW()-ROW(GanttView[[#Headers],[ID]])</f>
        <v>7</v>
      </c>
      <c r="M12" s="110" t="b">
        <f aca="false">IF(IFERROR(INDEX(tsk_Name,GanttView[[#This Row],[_Row]])="",TRUE()),FALSE(),INDEX(tsk_IsSummary,GanttView[[#This Row],[_Row]]))</f>
        <v>0</v>
      </c>
      <c r="N12" s="110" t="b">
        <f aca="false">IF(IFERROR(INDEX(tsk_Name,GanttView[[#This Row],[_Row]])="",TRUE()),FALSE(),AND(INDEX(tsk_IsLeaf,GanttView[[#This Row],[_Row]])=1,N(INDEX(tsk_Duration,GanttView[[#This Row],[_Row]]))=0))</f>
        <v>0</v>
      </c>
      <c r="O1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46283</v>
      </c>
      <c r="P1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46290</v>
      </c>
      <c r="Q1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2" s="111" t="n">
        <f aca="false">IF(GanttView[[#This Row],[_RemFrom]]=0,0,GanttView[[#This Row],[Forecast Finish]])</f>
        <v>0</v>
      </c>
      <c r="S12" s="110" t="b">
        <f aca="false">IF(IFERROR(INDEX(tsk_Name,GanttView[[#This Row],[_Row]])="",TRUE()),FALSE(),N(INDEX(tsk_Variance,GanttView[[#This Row],[_Row]]))&gt;0)</f>
        <v>1</v>
      </c>
      <c r="T12" s="111" t="n">
        <f aca="false">IF(IFERROR(INDEX(tsk_Name,GanttView[[#This Row],[_Row]])="",TRUE()),0,N(INDEX(tsk_Deadline,GanttView[[#This Row],[_Row]])))</f>
        <v>0</v>
      </c>
      <c r="U12" s="110" t="b">
        <f aca="false">IF(IFERROR(INDEX(tsk_Name,GanttView[[#This Row],[_Row]])="",TRUE()),FALSE(),INDEX(tsk_Critical,GanttView[[#This Row],[_Row]])="Yes")</f>
        <v>0</v>
      </c>
    </row>
    <row r="13" customFormat="false" ht="15" hidden="false" customHeight="false" outlineLevel="0" collapsed="false">
      <c r="A13" s="104" t="n">
        <f aca="false">IF(IFERROR(INDEX(tsk_Name,GanttView[[#This Row],[_Row]])="",TRUE()),"",INDEX(tsk_ID,GanttView[[#This Row],[_Row]]))</f>
        <v>8</v>
      </c>
      <c r="B13" s="104" t="str">
        <f aca="false">IF(IFERROR(INDEX(tsk_Name,GanttView[[#This Row],[_Row]])="",TRUE()),"",INDEX(tsk_WBS,GanttView[[#This Row],[_Row]]))</f>
        <v>2.3</v>
      </c>
      <c r="C13" s="105" t="str">
        <f aca="false">IF(IFERROR(INDEX(tsk_Name,GanttView[[#This Row],[_Row]])="",TRUE()),"",REPT("    ",INDEX(tsk_Level,GanttView[[#This Row],[_Row]])-1)&amp;INDEX(tsk_Name,GanttView[[#This Row],[_Row]]))</f>
        <v>    UX wireframes &amp; prototype</v>
      </c>
      <c r="D13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6</v>
      </c>
      <c r="E13" s="106" t="n">
        <f aca="false">IF(IFERROR(INDEX(tsk_Name,GanttView[[#This Row],[_Row]])="",TRUE()),"",INDEX(tsk_PlanStart,GanttView[[#This Row],[_Row]]))</f>
        <v>46289</v>
      </c>
      <c r="F13" s="106" t="n">
        <f aca="false">IF(IFERROR(INDEX(tsk_Name,GanttView[[#This Row],[_Row]])="",TRUE()),"",INDEX(tsk_PlanFinish,GanttView[[#This Row],[_Row]]))</f>
        <v>46296</v>
      </c>
      <c r="G13" s="106" t="n">
        <f aca="false">IF(IFERROR(INDEX(tsk_Name,GanttView[[#This Row],[_Row]])="",TRUE()),"",INDEX(tsk_FcStart,GanttView[[#This Row],[_Row]]))</f>
        <v>46293</v>
      </c>
      <c r="H13" s="106" t="n">
        <f aca="false">IF(IFERROR(INDEX(tsk_Name,GanttView[[#This Row],[_Row]])="",TRUE()),"",INDEX(tsk_FcFinish,GanttView[[#This Row],[_Row]]))</f>
        <v>46301</v>
      </c>
      <c r="I13" s="107" t="n">
        <f aca="false">IF(IFERROR(INDEX(tsk_Name,GanttView[[#This Row],[_Row]])="",TRUE()),"",INDEX(tsk_Progress,GanttView[[#This Row],[_Row]]))</f>
        <v>1</v>
      </c>
      <c r="J13" s="105" t="str">
        <f aca="false">IF(IFERROR(INDEX(tsk_Name,GanttView[[#This Row],[_Row]])="",TRUE()),"",INDEX(tsk_Resource,GanttView[[#This Row],[_Row]])&amp;"")</f>
        <v>Casey Kim</v>
      </c>
      <c r="K13" s="108" t="str">
        <f aca="false">IF(IFERROR(INDEX(tsk_Name,GanttView[[#This Row],[_Row]])="",TRUE()),"",INDEX(tsk_Status,GanttView[[#This Row],[_Row]]))</f>
        <v>Complete</v>
      </c>
      <c r="L13" s="109" t="n">
        <f aca="false">ROW()-ROW(GanttView[[#Headers],[ID]])</f>
        <v>8</v>
      </c>
      <c r="M13" s="110" t="b">
        <f aca="false">IF(IFERROR(INDEX(tsk_Name,GanttView[[#This Row],[_Row]])="",TRUE()),FALSE(),INDEX(tsk_IsSummary,GanttView[[#This Row],[_Row]]))</f>
        <v>0</v>
      </c>
      <c r="N13" s="110" t="b">
        <f aca="false">IF(IFERROR(INDEX(tsk_Name,GanttView[[#This Row],[_Row]])="",TRUE()),FALSE(),AND(INDEX(tsk_IsLeaf,GanttView[[#This Row],[_Row]])=1,N(INDEX(tsk_Duration,GanttView[[#This Row],[_Row]]))=0))</f>
        <v>0</v>
      </c>
      <c r="O1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46293</v>
      </c>
      <c r="P1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46301</v>
      </c>
      <c r="Q1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3" s="111" t="n">
        <f aca="false">IF(GanttView[[#This Row],[_RemFrom]]=0,0,GanttView[[#This Row],[Forecast Finish]])</f>
        <v>0</v>
      </c>
      <c r="S13" s="110" t="b">
        <f aca="false">IF(IFERROR(INDEX(tsk_Name,GanttView[[#This Row],[_Row]])="",TRUE()),FALSE(),N(INDEX(tsk_Variance,GanttView[[#This Row],[_Row]]))&gt;0)</f>
        <v>1</v>
      </c>
      <c r="T13" s="111" t="n">
        <f aca="false">IF(IFERROR(INDEX(tsk_Name,GanttView[[#This Row],[_Row]])="",TRUE()),0,N(INDEX(tsk_Deadline,GanttView[[#This Row],[_Row]])))</f>
        <v>0</v>
      </c>
      <c r="U13" s="110" t="b">
        <f aca="false">IF(IFERROR(INDEX(tsk_Name,GanttView[[#This Row],[_Row]])="",TRUE()),FALSE(),INDEX(tsk_Critical,GanttView[[#This Row],[_Row]])="Yes")</f>
        <v>0</v>
      </c>
    </row>
    <row r="14" customFormat="false" ht="15" hidden="false" customHeight="false" outlineLevel="0" collapsed="false">
      <c r="A14" s="104" t="n">
        <f aca="false">IF(IFERROR(INDEX(tsk_Name,GanttView[[#This Row],[_Row]])="",TRUE()),"",INDEX(tsk_ID,GanttView[[#This Row],[_Row]]))</f>
        <v>9</v>
      </c>
      <c r="B14" s="104" t="str">
        <f aca="false">IF(IFERROR(INDEX(tsk_Name,GanttView[[#This Row],[_Row]])="",TRUE()),"",INDEX(tsk_WBS,GanttView[[#This Row],[_Row]]))</f>
        <v>2.4</v>
      </c>
      <c r="C14" s="105" t="str">
        <f aca="false">IF(IFERROR(INDEX(tsk_Name,GanttView[[#This Row],[_Row]])="",TRUE()),"",REPT("    ",INDEX(tsk_Level,GanttView[[#This Row],[_Row]])-1)&amp;INDEX(tsk_Name,GanttView[[#This Row],[_Row]]))</f>
        <v>    Design sign-off</v>
      </c>
      <c r="D14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0</v>
      </c>
      <c r="E14" s="106" t="n">
        <f aca="false">IF(IFERROR(INDEX(tsk_Name,GanttView[[#This Row],[_Row]])="",TRUE()),"",INDEX(tsk_PlanStart,GanttView[[#This Row],[_Row]]))</f>
        <v>46296</v>
      </c>
      <c r="F14" s="106" t="n">
        <f aca="false">IF(IFERROR(INDEX(tsk_Name,GanttView[[#This Row],[_Row]])="",TRUE()),"",INDEX(tsk_PlanFinish,GanttView[[#This Row],[_Row]]))</f>
        <v>46296</v>
      </c>
      <c r="G14" s="106" t="n">
        <f aca="false">IF(IFERROR(INDEX(tsk_Name,GanttView[[#This Row],[_Row]])="",TRUE()),"",INDEX(tsk_FcStart,GanttView[[#This Row],[_Row]]))</f>
        <v>46301</v>
      </c>
      <c r="H14" s="106" t="n">
        <f aca="false">IF(IFERROR(INDEX(tsk_Name,GanttView[[#This Row],[_Row]])="",TRUE()),"",INDEX(tsk_FcFinish,GanttView[[#This Row],[_Row]]))</f>
        <v>46301</v>
      </c>
      <c r="I14" s="107" t="n">
        <f aca="false">IF(IFERROR(INDEX(tsk_Name,GanttView[[#This Row],[_Row]])="",TRUE()),"",INDEX(tsk_Progress,GanttView[[#This Row],[_Row]]))</f>
        <v>1</v>
      </c>
      <c r="J14" s="105" t="str">
        <f aca="false">IF(IFERROR(INDEX(tsk_Name,GanttView[[#This Row],[_Row]])="",TRUE()),"",INDEX(tsk_Resource,GanttView[[#This Row],[_Row]])&amp;"")</f>
        <v/>
      </c>
      <c r="K14" s="108" t="str">
        <f aca="false">IF(IFERROR(INDEX(tsk_Name,GanttView[[#This Row],[_Row]])="",TRUE()),"",INDEX(tsk_Status,GanttView[[#This Row],[_Row]]))</f>
        <v>Complete</v>
      </c>
      <c r="L14" s="109" t="n">
        <f aca="false">ROW()-ROW(GanttView[[#Headers],[ID]])</f>
        <v>9</v>
      </c>
      <c r="M14" s="110" t="b">
        <f aca="false">IF(IFERROR(INDEX(tsk_Name,GanttView[[#This Row],[_Row]])="",TRUE()),FALSE(),INDEX(tsk_IsSummary,GanttView[[#This Row],[_Row]]))</f>
        <v>0</v>
      </c>
      <c r="N14" s="110" t="b">
        <f aca="false">IF(IFERROR(INDEX(tsk_Name,GanttView[[#This Row],[_Row]])="",TRUE()),FALSE(),AND(INDEX(tsk_IsLeaf,GanttView[[#This Row],[_Row]])=1,N(INDEX(tsk_Duration,GanttView[[#This Row],[_Row]]))=0))</f>
        <v>1</v>
      </c>
      <c r="O1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4" s="111" t="n">
        <f aca="false">IF(GanttView[[#This Row],[_RemFrom]]=0,0,GanttView[[#This Row],[Forecast Finish]])</f>
        <v>0</v>
      </c>
      <c r="S14" s="110" t="b">
        <f aca="false">IF(IFERROR(INDEX(tsk_Name,GanttView[[#This Row],[_Row]])="",TRUE()),FALSE(),N(INDEX(tsk_Variance,GanttView[[#This Row],[_Row]]))&gt;0)</f>
        <v>1</v>
      </c>
      <c r="T14" s="111" t="n">
        <f aca="false">IF(IFERROR(INDEX(tsk_Name,GanttView[[#This Row],[_Row]])="",TRUE()),0,N(INDEX(tsk_Deadline,GanttView[[#This Row],[_Row]])))</f>
        <v>0</v>
      </c>
      <c r="U14" s="110" t="b">
        <f aca="false">IF(IFERROR(INDEX(tsk_Name,GanttView[[#This Row],[_Row]])="",TRUE()),FALSE(),INDEX(tsk_Critical,GanttView[[#This Row],[_Row]])="Yes")</f>
        <v>0</v>
      </c>
    </row>
    <row r="15" customFormat="false" ht="15" hidden="false" customHeight="false" outlineLevel="0" collapsed="false">
      <c r="A15" s="104" t="n">
        <f aca="false">IF(IFERROR(INDEX(tsk_Name,GanttView[[#This Row],[_Row]])="",TRUE()),"",INDEX(tsk_ID,GanttView[[#This Row],[_Row]]))</f>
        <v>10</v>
      </c>
      <c r="B15" s="104" t="str">
        <f aca="false">IF(IFERROR(INDEX(tsk_Name,GanttView[[#This Row],[_Row]])="",TRUE()),"",INDEX(tsk_WBS,GanttView[[#This Row],[_Row]]))</f>
        <v>3</v>
      </c>
      <c r="C15" s="105" t="str">
        <f aca="false">IF(IFERROR(INDEX(tsk_Name,GanttView[[#This Row],[_Row]])="",TRUE()),"",REPT("    ",INDEX(tsk_Level,GanttView[[#This Row],[_Row]])-1)&amp;INDEX(tsk_Name,GanttView[[#This Row],[_Row]]))</f>
        <v>Build</v>
      </c>
      <c r="D15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24</v>
      </c>
      <c r="E15" s="106" t="n">
        <f aca="false">IF(IFERROR(INDEX(tsk_Name,GanttView[[#This Row],[_Row]])="",TRUE()),"",INDEX(tsk_PlanStart,GanttView[[#This Row],[_Row]]))</f>
        <v>46297</v>
      </c>
      <c r="F15" s="106" t="n">
        <f aca="false">IF(IFERROR(INDEX(tsk_Name,GanttView[[#This Row],[_Row]])="",TRUE()),"",INDEX(tsk_PlanFinish,GanttView[[#This Row],[_Row]]))</f>
        <v>46325</v>
      </c>
      <c r="G15" s="106" t="n">
        <f aca="false">IF(IFERROR(INDEX(tsk_Name,GanttView[[#This Row],[_Row]])="",TRUE()),"",INDEX(tsk_FcStart,GanttView[[#This Row],[_Row]]))</f>
        <v>46302</v>
      </c>
      <c r="H15" s="106" t="n">
        <f aca="false">IF(IFERROR(INDEX(tsk_Name,GanttView[[#This Row],[_Row]])="",TRUE()),"",INDEX(tsk_FcFinish,GanttView[[#This Row],[_Row]]))</f>
        <v>46335</v>
      </c>
      <c r="I15" s="107" t="n">
        <f aca="false">IF(IFERROR(INDEX(tsk_Name,GanttView[[#This Row],[_Row]])="",TRUE()),"",INDEX(tsk_Progress,GanttView[[#This Row],[_Row]]))</f>
        <v>0.451306413301663</v>
      </c>
      <c r="J15" s="105" t="str">
        <f aca="false">IF(IFERROR(INDEX(tsk_Name,GanttView[[#This Row],[_Row]])="",TRUE()),"",INDEX(tsk_Resource,GanttView[[#This Row],[_Row]])&amp;"")</f>
        <v/>
      </c>
      <c r="K15" s="108" t="str">
        <f aca="false">IF(IFERROR(INDEX(tsk_Name,GanttView[[#This Row],[_Row]])="",TRUE()),"",INDEX(tsk_Status,GanttView[[#This Row],[_Row]]))</f>
        <v>Behind</v>
      </c>
      <c r="L15" s="109" t="n">
        <f aca="false">ROW()-ROW(GanttView[[#Headers],[ID]])</f>
        <v>10</v>
      </c>
      <c r="M15" s="110" t="b">
        <f aca="false">IF(IFERROR(INDEX(tsk_Name,GanttView[[#This Row],[_Row]])="",TRUE()),FALSE(),INDEX(tsk_IsSummary,GanttView[[#This Row],[_Row]]))</f>
        <v>1</v>
      </c>
      <c r="N15" s="110" t="b">
        <f aca="false">IF(IFERROR(INDEX(tsk_Name,GanttView[[#This Row],[_Row]])="",TRUE()),FALSE(),AND(INDEX(tsk_IsLeaf,GanttView[[#This Row],[_Row]])=1,N(INDEX(tsk_Duration,GanttView[[#This Row],[_Row]]))=0))</f>
        <v>0</v>
      </c>
      <c r="O1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5" s="111" t="n">
        <f aca="false">IF(GanttView[[#This Row],[_RemFrom]]=0,0,GanttView[[#This Row],[Forecast Finish]])</f>
        <v>0</v>
      </c>
      <c r="S15" s="110" t="b">
        <f aca="false">IF(IFERROR(INDEX(tsk_Name,GanttView[[#This Row],[_Row]])="",TRUE()),FALSE(),N(INDEX(tsk_Variance,GanttView[[#This Row],[_Row]]))&gt;0)</f>
        <v>1</v>
      </c>
      <c r="T15" s="111" t="n">
        <f aca="false">IF(IFERROR(INDEX(tsk_Name,GanttView[[#This Row],[_Row]])="",TRUE()),0,N(INDEX(tsk_Deadline,GanttView[[#This Row],[_Row]])))</f>
        <v>0</v>
      </c>
      <c r="U15" s="110" t="b">
        <f aca="false">IF(IFERROR(INDEX(tsk_Name,GanttView[[#This Row],[_Row]])="",TRUE()),FALSE(),INDEX(tsk_Critical,GanttView[[#This Row],[_Row]])="Yes")</f>
        <v>1</v>
      </c>
    </row>
    <row r="16" customFormat="false" ht="15" hidden="false" customHeight="false" outlineLevel="0" collapsed="false">
      <c r="A16" s="104" t="n">
        <f aca="false">IF(IFERROR(INDEX(tsk_Name,GanttView[[#This Row],[_Row]])="",TRUE()),"",INDEX(tsk_ID,GanttView[[#This Row],[_Row]]))</f>
        <v>11</v>
      </c>
      <c r="B16" s="104" t="str">
        <f aca="false">IF(IFERROR(INDEX(tsk_Name,GanttView[[#This Row],[_Row]])="",TRUE()),"",INDEX(tsk_WBS,GanttView[[#This Row],[_Row]]))</f>
        <v>3.1</v>
      </c>
      <c r="C16" s="105" t="str">
        <f aca="false">IF(IFERROR(INDEX(tsk_Name,GanttView[[#This Row],[_Row]])="",TRUE()),"",REPT("    ",INDEX(tsk_Level,GanttView[[#This Row],[_Row]])-1)&amp;INDEX(tsk_Name,GanttView[[#This Row],[_Row]]))</f>
        <v>    Backend</v>
      </c>
      <c r="D16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24</v>
      </c>
      <c r="E16" s="106" t="n">
        <f aca="false">IF(IFERROR(INDEX(tsk_Name,GanttView[[#This Row],[_Row]])="",TRUE()),"",INDEX(tsk_PlanStart,GanttView[[#This Row],[_Row]]))</f>
        <v>46297</v>
      </c>
      <c r="F16" s="106" t="n">
        <f aca="false">IF(IFERROR(INDEX(tsk_Name,GanttView[[#This Row],[_Row]])="",TRUE()),"",INDEX(tsk_PlanFinish,GanttView[[#This Row],[_Row]]))</f>
        <v>46325</v>
      </c>
      <c r="G16" s="106" t="n">
        <f aca="false">IF(IFERROR(INDEX(tsk_Name,GanttView[[#This Row],[_Row]])="",TRUE()),"",INDEX(tsk_FcStart,GanttView[[#This Row],[_Row]]))</f>
        <v>46302</v>
      </c>
      <c r="H16" s="106" t="n">
        <f aca="false">IF(IFERROR(INDEX(tsk_Name,GanttView[[#This Row],[_Row]])="",TRUE()),"",INDEX(tsk_FcFinish,GanttView[[#This Row],[_Row]]))</f>
        <v>46335</v>
      </c>
      <c r="I16" s="107" t="n">
        <f aca="false">IF(IFERROR(INDEX(tsk_Name,GanttView[[#This Row],[_Row]])="",TRUE()),"",INDEX(tsk_Progress,GanttView[[#This Row],[_Row]]))</f>
        <v>0.476190476190476</v>
      </c>
      <c r="J16" s="105" t="str">
        <f aca="false">IF(IFERROR(INDEX(tsk_Name,GanttView[[#This Row],[_Row]])="",TRUE()),"",INDEX(tsk_Resource,GanttView[[#This Row],[_Row]])&amp;"")</f>
        <v/>
      </c>
      <c r="K16" s="108" t="str">
        <f aca="false">IF(IFERROR(INDEX(tsk_Name,GanttView[[#This Row],[_Row]])="",TRUE()),"",INDEX(tsk_Status,GanttView[[#This Row],[_Row]]))</f>
        <v>Behind</v>
      </c>
      <c r="L16" s="109" t="n">
        <f aca="false">ROW()-ROW(GanttView[[#Headers],[ID]])</f>
        <v>11</v>
      </c>
      <c r="M16" s="110" t="b">
        <f aca="false">IF(IFERROR(INDEX(tsk_Name,GanttView[[#This Row],[_Row]])="",TRUE()),FALSE(),INDEX(tsk_IsSummary,GanttView[[#This Row],[_Row]]))</f>
        <v>1</v>
      </c>
      <c r="N16" s="110" t="b">
        <f aca="false">IF(IFERROR(INDEX(tsk_Name,GanttView[[#This Row],[_Row]])="",TRUE()),FALSE(),AND(INDEX(tsk_IsLeaf,GanttView[[#This Row],[_Row]])=1,N(INDEX(tsk_Duration,GanttView[[#This Row],[_Row]]))=0))</f>
        <v>0</v>
      </c>
      <c r="O1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6" s="111" t="n">
        <f aca="false">IF(GanttView[[#This Row],[_RemFrom]]=0,0,GanttView[[#This Row],[Forecast Finish]])</f>
        <v>0</v>
      </c>
      <c r="S16" s="110" t="b">
        <f aca="false">IF(IFERROR(INDEX(tsk_Name,GanttView[[#This Row],[_Row]])="",TRUE()),FALSE(),N(INDEX(tsk_Variance,GanttView[[#This Row],[_Row]]))&gt;0)</f>
        <v>1</v>
      </c>
      <c r="T16" s="111" t="n">
        <f aca="false">IF(IFERROR(INDEX(tsk_Name,GanttView[[#This Row],[_Row]])="",TRUE()),0,N(INDEX(tsk_Deadline,GanttView[[#This Row],[_Row]])))</f>
        <v>0</v>
      </c>
      <c r="U16" s="110" t="b">
        <f aca="false">IF(IFERROR(INDEX(tsk_Name,GanttView[[#This Row],[_Row]])="",TRUE()),FALSE(),INDEX(tsk_Critical,GanttView[[#This Row],[_Row]])="Yes")</f>
        <v>1</v>
      </c>
    </row>
    <row r="17" customFormat="false" ht="15" hidden="false" customHeight="false" outlineLevel="0" collapsed="false">
      <c r="A17" s="104" t="n">
        <f aca="false">IF(IFERROR(INDEX(tsk_Name,GanttView[[#This Row],[_Row]])="",TRUE()),"",INDEX(tsk_ID,GanttView[[#This Row],[_Row]]))</f>
        <v>12</v>
      </c>
      <c r="B17" s="104" t="str">
        <f aca="false">IF(IFERROR(INDEX(tsk_Name,GanttView[[#This Row],[_Row]])="",TRUE()),"",INDEX(tsk_WBS,GanttView[[#This Row],[_Row]]))</f>
        <v>3.1.1</v>
      </c>
      <c r="C17" s="105" t="str">
        <f aca="false">IF(IFERROR(INDEX(tsk_Name,GanttView[[#This Row],[_Row]])="",TRUE()),"",REPT("    ",INDEX(tsk_Level,GanttView[[#This Row],[_Row]])-1)&amp;INDEX(tsk_Name,GanttView[[#This Row],[_Row]]))</f>
        <v>        Data model &amp; database setup</v>
      </c>
      <c r="D17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5</v>
      </c>
      <c r="E17" s="106" t="n">
        <f aca="false">IF(IFERROR(INDEX(tsk_Name,GanttView[[#This Row],[_Row]])="",TRUE()),"",INDEX(tsk_PlanStart,GanttView[[#This Row],[_Row]]))</f>
        <v>46297</v>
      </c>
      <c r="F17" s="106" t="n">
        <f aca="false">IF(IFERROR(INDEX(tsk_Name,GanttView[[#This Row],[_Row]])="",TRUE()),"",INDEX(tsk_PlanFinish,GanttView[[#This Row],[_Row]]))</f>
        <v>46303</v>
      </c>
      <c r="G17" s="106" t="n">
        <f aca="false">IF(IFERROR(INDEX(tsk_Name,GanttView[[#This Row],[_Row]])="",TRUE()),"",INDEX(tsk_FcStart,GanttView[[#This Row],[_Row]]))</f>
        <v>46302</v>
      </c>
      <c r="H17" s="106" t="n">
        <f aca="false">IF(IFERROR(INDEX(tsk_Name,GanttView[[#This Row],[_Row]])="",TRUE()),"",INDEX(tsk_FcFinish,GanttView[[#This Row],[_Row]]))</f>
        <v>46309</v>
      </c>
      <c r="I17" s="107" t="n">
        <f aca="false">IF(IFERROR(INDEX(tsk_Name,GanttView[[#This Row],[_Row]])="",TRUE()),"",INDEX(tsk_Progress,GanttView[[#This Row],[_Row]]))</f>
        <v>1</v>
      </c>
      <c r="J17" s="105" t="str">
        <f aca="false">IF(IFERROR(INDEX(tsk_Name,GanttView[[#This Row],[_Row]])="",TRUE()),"",INDEX(tsk_Resource,GanttView[[#This Row],[_Row]])&amp;"")</f>
        <v>Jordan Lee</v>
      </c>
      <c r="K17" s="108" t="str">
        <f aca="false">IF(IFERROR(INDEX(tsk_Name,GanttView[[#This Row],[_Row]])="",TRUE()),"",INDEX(tsk_Status,GanttView[[#This Row],[_Row]]))</f>
        <v>Complete</v>
      </c>
      <c r="L17" s="109" t="n">
        <f aca="false">ROW()-ROW(GanttView[[#Headers],[ID]])</f>
        <v>12</v>
      </c>
      <c r="M17" s="110" t="b">
        <f aca="false">IF(IFERROR(INDEX(tsk_Name,GanttView[[#This Row],[_Row]])="",TRUE()),FALSE(),INDEX(tsk_IsSummary,GanttView[[#This Row],[_Row]]))</f>
        <v>0</v>
      </c>
      <c r="N17" s="110" t="b">
        <f aca="false">IF(IFERROR(INDEX(tsk_Name,GanttView[[#This Row],[_Row]])="",TRUE()),FALSE(),AND(INDEX(tsk_IsLeaf,GanttView[[#This Row],[_Row]])=1,N(INDEX(tsk_Duration,GanttView[[#This Row],[_Row]]))=0))</f>
        <v>0</v>
      </c>
      <c r="O1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46302</v>
      </c>
      <c r="P1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46309</v>
      </c>
      <c r="Q1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7" s="111" t="n">
        <f aca="false">IF(GanttView[[#This Row],[_RemFrom]]=0,0,GanttView[[#This Row],[Forecast Finish]])</f>
        <v>0</v>
      </c>
      <c r="S17" s="110" t="b">
        <f aca="false">IF(IFERROR(INDEX(tsk_Name,GanttView[[#This Row],[_Row]])="",TRUE()),FALSE(),N(INDEX(tsk_Variance,GanttView[[#This Row],[_Row]]))&gt;0)</f>
        <v>1</v>
      </c>
      <c r="T17" s="111" t="n">
        <f aca="false">IF(IFERROR(INDEX(tsk_Name,GanttView[[#This Row],[_Row]])="",TRUE()),0,N(INDEX(tsk_Deadline,GanttView[[#This Row],[_Row]])))</f>
        <v>0</v>
      </c>
      <c r="U17" s="110" t="b">
        <f aca="false">IF(IFERROR(INDEX(tsk_Name,GanttView[[#This Row],[_Row]])="",TRUE()),FALSE(),INDEX(tsk_Critical,GanttView[[#This Row],[_Row]])="Yes")</f>
        <v>0</v>
      </c>
    </row>
    <row r="18" customFormat="false" ht="15" hidden="false" customHeight="false" outlineLevel="0" collapsed="false">
      <c r="A18" s="104" t="n">
        <f aca="false">IF(IFERROR(INDEX(tsk_Name,GanttView[[#This Row],[_Row]])="",TRUE()),"",INDEX(tsk_ID,GanttView[[#This Row],[_Row]]))</f>
        <v>13</v>
      </c>
      <c r="B18" s="104" t="str">
        <f aca="false">IF(IFERROR(INDEX(tsk_Name,GanttView[[#This Row],[_Row]])="",TRUE()),"",INDEX(tsk_WBS,GanttView[[#This Row],[_Row]]))</f>
        <v>3.1.2</v>
      </c>
      <c r="C18" s="105" t="str">
        <f aca="false">IF(IFERROR(INDEX(tsk_Name,GanttView[[#This Row],[_Row]])="",TRUE()),"",REPT("    ",INDEX(tsk_Level,GanttView[[#This Row],[_Row]])-1)&amp;INDEX(tsk_Name,GanttView[[#This Row],[_Row]]))</f>
        <v>        Core API endpoints</v>
      </c>
      <c r="D18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10</v>
      </c>
      <c r="E18" s="106" t="n">
        <f aca="false">IF(IFERROR(INDEX(tsk_Name,GanttView[[#This Row],[_Row]])="",TRUE()),"",INDEX(tsk_PlanStart,GanttView[[#This Row],[_Row]]))</f>
        <v>46304</v>
      </c>
      <c r="F18" s="106" t="n">
        <f aca="false">IF(IFERROR(INDEX(tsk_Name,GanttView[[#This Row],[_Row]])="",TRUE()),"",INDEX(tsk_PlanFinish,GanttView[[#This Row],[_Row]]))</f>
        <v>46317</v>
      </c>
      <c r="G18" s="106" t="n">
        <f aca="false">IF(IFERROR(INDEX(tsk_Name,GanttView[[#This Row],[_Row]])="",TRUE()),"",INDEX(tsk_FcStart,GanttView[[#This Row],[_Row]]))</f>
        <v>46310</v>
      </c>
      <c r="H18" s="106" t="n">
        <f aca="false">IF(IFERROR(INDEX(tsk_Name,GanttView[[#This Row],[_Row]])="",TRUE()),"",INDEX(tsk_FcFinish,GanttView[[#This Row],[_Row]]))</f>
        <v>46325</v>
      </c>
      <c r="I18" s="107" t="n">
        <f aca="false">IF(IFERROR(INDEX(tsk_Name,GanttView[[#This Row],[_Row]])="",TRUE()),"",INDEX(tsk_Progress,GanttView[[#This Row],[_Row]]))</f>
        <v>0.5</v>
      </c>
      <c r="J18" s="105" t="str">
        <f aca="false">IF(IFERROR(INDEX(tsk_Name,GanttView[[#This Row],[_Row]])="",TRUE()),"",INDEX(tsk_Resource,GanttView[[#This Row],[_Row]])&amp;"")</f>
        <v>Jordan Lee</v>
      </c>
      <c r="K18" s="108" t="str">
        <f aca="false">IF(IFERROR(INDEX(tsk_Name,GanttView[[#This Row],[_Row]])="",TRUE()),"",INDEX(tsk_Status,GanttView[[#This Row],[_Row]]))</f>
        <v>Behind</v>
      </c>
      <c r="L18" s="109" t="n">
        <f aca="false">ROW()-ROW(GanttView[[#Headers],[ID]])</f>
        <v>13</v>
      </c>
      <c r="M18" s="110" t="b">
        <f aca="false">IF(IFERROR(INDEX(tsk_Name,GanttView[[#This Row],[_Row]])="",TRUE()),FALSE(),INDEX(tsk_IsSummary,GanttView[[#This Row],[_Row]]))</f>
        <v>0</v>
      </c>
      <c r="N18" s="110" t="b">
        <f aca="false">IF(IFERROR(INDEX(tsk_Name,GanttView[[#This Row],[_Row]])="",TRUE()),FALSE(),AND(INDEX(tsk_IsLeaf,GanttView[[#This Row],[_Row]])=1,N(INDEX(tsk_Duration,GanttView[[#This Row],[_Row]]))=0))</f>
        <v>0</v>
      </c>
      <c r="O1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46310</v>
      </c>
      <c r="P1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46317</v>
      </c>
      <c r="Q1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46318</v>
      </c>
      <c r="R18" s="111" t="n">
        <f aca="false">IF(GanttView[[#This Row],[_RemFrom]]=0,0,GanttView[[#This Row],[Forecast Finish]])</f>
        <v>46325</v>
      </c>
      <c r="S18" s="110" t="b">
        <f aca="false">IF(IFERROR(INDEX(tsk_Name,GanttView[[#This Row],[_Row]])="",TRUE()),FALSE(),N(INDEX(tsk_Variance,GanttView[[#This Row],[_Row]]))&gt;0)</f>
        <v>1</v>
      </c>
      <c r="T18" s="111" t="n">
        <f aca="false">IF(IFERROR(INDEX(tsk_Name,GanttView[[#This Row],[_Row]])="",TRUE()),0,N(INDEX(tsk_Deadline,GanttView[[#This Row],[_Row]])))</f>
        <v>0</v>
      </c>
      <c r="U18" s="110" t="b">
        <f aca="false">IF(IFERROR(INDEX(tsk_Name,GanttView[[#This Row],[_Row]])="",TRUE()),FALSE(),INDEX(tsk_Critical,GanttView[[#This Row],[_Row]])="Yes")</f>
        <v>1</v>
      </c>
    </row>
    <row r="19" customFormat="false" ht="15" hidden="false" customHeight="false" outlineLevel="0" collapsed="false">
      <c r="A19" s="104" t="n">
        <f aca="false">IF(IFERROR(INDEX(tsk_Name,GanttView[[#This Row],[_Row]])="",TRUE()),"",INDEX(tsk_ID,GanttView[[#This Row],[_Row]]))</f>
        <v>14</v>
      </c>
      <c r="B19" s="104" t="str">
        <f aca="false">IF(IFERROR(INDEX(tsk_Name,GanttView[[#This Row],[_Row]])="",TRUE()),"",INDEX(tsk_WBS,GanttView[[#This Row],[_Row]]))</f>
        <v>3.1.3</v>
      </c>
      <c r="C19" s="105" t="str">
        <f aca="false">IF(IFERROR(INDEX(tsk_Name,GanttView[[#This Row],[_Row]])="",TRUE()),"",REPT("    ",INDEX(tsk_Level,GanttView[[#This Row],[_Row]])-1)&amp;INDEX(tsk_Name,GanttView[[#This Row],[_Row]]))</f>
        <v>        Payment gateway integration</v>
      </c>
      <c r="D19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6</v>
      </c>
      <c r="E19" s="106" t="n">
        <f aca="false">IF(IFERROR(INDEX(tsk_Name,GanttView[[#This Row],[_Row]])="",TRUE()),"",INDEX(tsk_PlanStart,GanttView[[#This Row],[_Row]]))</f>
        <v>46318</v>
      </c>
      <c r="F19" s="106" t="n">
        <f aca="false">IF(IFERROR(INDEX(tsk_Name,GanttView[[#This Row],[_Row]])="",TRUE()),"",INDEX(tsk_PlanFinish,GanttView[[#This Row],[_Row]]))</f>
        <v>46325</v>
      </c>
      <c r="G19" s="106" t="n">
        <f aca="false">IF(IFERROR(INDEX(tsk_Name,GanttView[[#This Row],[_Row]])="",TRUE()),"",INDEX(tsk_FcStart,GanttView[[#This Row],[_Row]]))</f>
        <v>46328</v>
      </c>
      <c r="H19" s="106" t="n">
        <f aca="false">IF(IFERROR(INDEX(tsk_Name,GanttView[[#This Row],[_Row]])="",TRUE()),"",INDEX(tsk_FcFinish,GanttView[[#This Row],[_Row]]))</f>
        <v>46335</v>
      </c>
      <c r="I19" s="107" t="n">
        <f aca="false">IF(IFERROR(INDEX(tsk_Name,GanttView[[#This Row],[_Row]])="",TRUE()),"",INDEX(tsk_Progress,GanttView[[#This Row],[_Row]]))</f>
        <v>0</v>
      </c>
      <c r="J19" s="105" t="str">
        <f aca="false">IF(IFERROR(INDEX(tsk_Name,GanttView[[#This Row],[_Row]])="",TRUE()),"",INDEX(tsk_Resource,GanttView[[#This Row],[_Row]])&amp;"")</f>
        <v>Jordan Lee</v>
      </c>
      <c r="K19" s="108" t="str">
        <f aca="false">IF(IFERROR(INDEX(tsk_Name,GanttView[[#This Row],[_Row]])="",TRUE()),"",INDEX(tsk_Status,GanttView[[#This Row],[_Row]]))</f>
        <v>Late Start</v>
      </c>
      <c r="L19" s="109" t="n">
        <f aca="false">ROW()-ROW(GanttView[[#Headers],[ID]])</f>
        <v>14</v>
      </c>
      <c r="M19" s="110" t="b">
        <f aca="false">IF(IFERROR(INDEX(tsk_Name,GanttView[[#This Row],[_Row]])="",TRUE()),FALSE(),INDEX(tsk_IsSummary,GanttView[[#This Row],[_Row]]))</f>
        <v>0</v>
      </c>
      <c r="N19" s="110" t="b">
        <f aca="false">IF(IFERROR(INDEX(tsk_Name,GanttView[[#This Row],[_Row]])="",TRUE()),FALSE(),AND(INDEX(tsk_IsLeaf,GanttView[[#This Row],[_Row]])=1,N(INDEX(tsk_Duration,GanttView[[#This Row],[_Row]]))=0))</f>
        <v>0</v>
      </c>
      <c r="O1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46328</v>
      </c>
      <c r="R19" s="111" t="n">
        <f aca="false">IF(GanttView[[#This Row],[_RemFrom]]=0,0,GanttView[[#This Row],[Forecast Finish]])</f>
        <v>46335</v>
      </c>
      <c r="S19" s="110" t="b">
        <f aca="false">IF(IFERROR(INDEX(tsk_Name,GanttView[[#This Row],[_Row]])="",TRUE()),FALSE(),N(INDEX(tsk_Variance,GanttView[[#This Row],[_Row]]))&gt;0)</f>
        <v>1</v>
      </c>
      <c r="T19" s="111" t="n">
        <f aca="false">IF(IFERROR(INDEX(tsk_Name,GanttView[[#This Row],[_Row]])="",TRUE()),0,N(INDEX(tsk_Deadline,GanttView[[#This Row],[_Row]])))</f>
        <v>0</v>
      </c>
      <c r="U19" s="110" t="b">
        <f aca="false">IF(IFERROR(INDEX(tsk_Name,GanttView[[#This Row],[_Row]])="",TRUE()),FALSE(),INDEX(tsk_Critical,GanttView[[#This Row],[_Row]])="Yes")</f>
        <v>1</v>
      </c>
    </row>
    <row r="20" customFormat="false" ht="15" hidden="false" customHeight="false" outlineLevel="0" collapsed="false">
      <c r="A20" s="104" t="n">
        <f aca="false">IF(IFERROR(INDEX(tsk_Name,GanttView[[#This Row],[_Row]])="",TRUE()),"",INDEX(tsk_ID,GanttView[[#This Row],[_Row]]))</f>
        <v>15</v>
      </c>
      <c r="B20" s="104" t="str">
        <f aca="false">IF(IFERROR(INDEX(tsk_Name,GanttView[[#This Row],[_Row]])="",TRUE()),"",INDEX(tsk_WBS,GanttView[[#This Row],[_Row]]))</f>
        <v>3.2</v>
      </c>
      <c r="C20" s="105" t="str">
        <f aca="false">IF(IFERROR(INDEX(tsk_Name,GanttView[[#This Row],[_Row]])="",TRUE()),"",REPT("    ",INDEX(tsk_Level,GanttView[[#This Row],[_Row]])-1)&amp;INDEX(tsk_Name,GanttView[[#This Row],[_Row]]))</f>
        <v>    Frontend</v>
      </c>
      <c r="D20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23</v>
      </c>
      <c r="E20" s="106" t="n">
        <f aca="false">IF(IFERROR(INDEX(tsk_Name,GanttView[[#This Row],[_Row]])="",TRUE()),"",INDEX(tsk_PlanStart,GanttView[[#This Row],[_Row]]))</f>
        <v>46297</v>
      </c>
      <c r="F20" s="106" t="n">
        <f aca="false">IF(IFERROR(INDEX(tsk_Name,GanttView[[#This Row],[_Row]])="",TRUE()),"",INDEX(tsk_PlanFinish,GanttView[[#This Row],[_Row]]))</f>
        <v>46324</v>
      </c>
      <c r="G20" s="106" t="n">
        <f aca="false">IF(IFERROR(INDEX(tsk_Name,GanttView[[#This Row],[_Row]])="",TRUE()),"",INDEX(tsk_FcStart,GanttView[[#This Row],[_Row]]))</f>
        <v>46302</v>
      </c>
      <c r="H20" s="106" t="n">
        <f aca="false">IF(IFERROR(INDEX(tsk_Name,GanttView[[#This Row],[_Row]])="",TRUE()),"",INDEX(tsk_FcFinish,GanttView[[#This Row],[_Row]]))</f>
        <v>46332</v>
      </c>
      <c r="I20" s="107" t="n">
        <f aca="false">IF(IFERROR(INDEX(tsk_Name,GanttView[[#This Row],[_Row]])="",TRUE()),"",INDEX(tsk_Progress,GanttView[[#This Row],[_Row]]))</f>
        <v>0.428571428571429</v>
      </c>
      <c r="J20" s="105" t="str">
        <f aca="false">IF(IFERROR(INDEX(tsk_Name,GanttView[[#This Row],[_Row]])="",TRUE()),"",INDEX(tsk_Resource,GanttView[[#This Row],[_Row]])&amp;"")</f>
        <v/>
      </c>
      <c r="K20" s="108" t="str">
        <f aca="false">IF(IFERROR(INDEX(tsk_Name,GanttView[[#This Row],[_Row]])="",TRUE()),"",INDEX(tsk_Status,GanttView[[#This Row],[_Row]]))</f>
        <v>Behind</v>
      </c>
      <c r="L20" s="109" t="n">
        <f aca="false">ROW()-ROW(GanttView[[#Headers],[ID]])</f>
        <v>15</v>
      </c>
      <c r="M20" s="110" t="b">
        <f aca="false">IF(IFERROR(INDEX(tsk_Name,GanttView[[#This Row],[_Row]])="",TRUE()),FALSE(),INDEX(tsk_IsSummary,GanttView[[#This Row],[_Row]]))</f>
        <v>1</v>
      </c>
      <c r="N20" s="110" t="b">
        <f aca="false">IF(IFERROR(INDEX(tsk_Name,GanttView[[#This Row],[_Row]])="",TRUE()),FALSE(),AND(INDEX(tsk_IsLeaf,GanttView[[#This Row],[_Row]])=1,N(INDEX(tsk_Duration,GanttView[[#This Row],[_Row]]))=0))</f>
        <v>0</v>
      </c>
      <c r="O2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20" s="111" t="n">
        <f aca="false">IF(GanttView[[#This Row],[_RemFrom]]=0,0,GanttView[[#This Row],[Forecast Finish]])</f>
        <v>0</v>
      </c>
      <c r="S20" s="110" t="b">
        <f aca="false">IF(IFERROR(INDEX(tsk_Name,GanttView[[#This Row],[_Row]])="",TRUE()),FALSE(),N(INDEX(tsk_Variance,GanttView[[#This Row],[_Row]]))&gt;0)</f>
        <v>1</v>
      </c>
      <c r="T20" s="111" t="n">
        <f aca="false">IF(IFERROR(INDEX(tsk_Name,GanttView[[#This Row],[_Row]])="",TRUE()),0,N(INDEX(tsk_Deadline,GanttView[[#This Row],[_Row]])))</f>
        <v>0</v>
      </c>
      <c r="U20" s="110" t="b">
        <f aca="false">IF(IFERROR(INDEX(tsk_Name,GanttView[[#This Row],[_Row]])="",TRUE()),FALSE(),INDEX(tsk_Critical,GanttView[[#This Row],[_Row]])="Yes")</f>
        <v>1</v>
      </c>
    </row>
    <row r="21" customFormat="false" ht="15" hidden="false" customHeight="false" outlineLevel="0" collapsed="false">
      <c r="A21" s="104" t="n">
        <f aca="false">IF(IFERROR(INDEX(tsk_Name,GanttView[[#This Row],[_Row]])="",TRUE()),"",INDEX(tsk_ID,GanttView[[#This Row],[_Row]]))</f>
        <v>16</v>
      </c>
      <c r="B21" s="104" t="str">
        <f aca="false">IF(IFERROR(INDEX(tsk_Name,GanttView[[#This Row],[_Row]])="",TRUE()),"",INDEX(tsk_WBS,GanttView[[#This Row],[_Row]]))</f>
        <v>3.2.1</v>
      </c>
      <c r="C21" s="105" t="str">
        <f aca="false">IF(IFERROR(INDEX(tsk_Name,GanttView[[#This Row],[_Row]])="",TRUE()),"",REPT("    ",INDEX(tsk_Level,GanttView[[#This Row],[_Row]])-1)&amp;INDEX(tsk_Name,GanttView[[#This Row],[_Row]]))</f>
        <v>        UI component library</v>
      </c>
      <c r="D21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6</v>
      </c>
      <c r="E21" s="106" t="n">
        <f aca="false">IF(IFERROR(INDEX(tsk_Name,GanttView[[#This Row],[_Row]])="",TRUE()),"",INDEX(tsk_PlanStart,GanttView[[#This Row],[_Row]]))</f>
        <v>46297</v>
      </c>
      <c r="F21" s="106" t="n">
        <f aca="false">IF(IFERROR(INDEX(tsk_Name,GanttView[[#This Row],[_Row]])="",TRUE()),"",INDEX(tsk_PlanFinish,GanttView[[#This Row],[_Row]]))</f>
        <v>46304</v>
      </c>
      <c r="G21" s="106" t="n">
        <f aca="false">IF(IFERROR(INDEX(tsk_Name,GanttView[[#This Row],[_Row]])="",TRUE()),"",INDEX(tsk_FcStart,GanttView[[#This Row],[_Row]]))</f>
        <v>46302</v>
      </c>
      <c r="H21" s="106" t="n">
        <f aca="false">IF(IFERROR(INDEX(tsk_Name,GanttView[[#This Row],[_Row]])="",TRUE()),"",INDEX(tsk_FcFinish,GanttView[[#This Row],[_Row]]))</f>
        <v>46311</v>
      </c>
      <c r="I21" s="107" t="n">
        <f aca="false">IF(IFERROR(INDEX(tsk_Name,GanttView[[#This Row],[_Row]])="",TRUE()),"",INDEX(tsk_Progress,GanttView[[#This Row],[_Row]]))</f>
        <v>1</v>
      </c>
      <c r="J21" s="105" t="str">
        <f aca="false">IF(IFERROR(INDEX(tsk_Name,GanttView[[#This Row],[_Row]])="",TRUE()),"",INDEX(tsk_Resource,GanttView[[#This Row],[_Row]])&amp;"")</f>
        <v>Sam Rivera</v>
      </c>
      <c r="K21" s="108" t="str">
        <f aca="false">IF(IFERROR(INDEX(tsk_Name,GanttView[[#This Row],[_Row]])="",TRUE()),"",INDEX(tsk_Status,GanttView[[#This Row],[_Row]]))</f>
        <v>Complete</v>
      </c>
      <c r="L21" s="109" t="n">
        <f aca="false">ROW()-ROW(GanttView[[#Headers],[ID]])</f>
        <v>16</v>
      </c>
      <c r="M21" s="110" t="b">
        <f aca="false">IF(IFERROR(INDEX(tsk_Name,GanttView[[#This Row],[_Row]])="",TRUE()),FALSE(),INDEX(tsk_IsSummary,GanttView[[#This Row],[_Row]]))</f>
        <v>0</v>
      </c>
      <c r="N21" s="110" t="b">
        <f aca="false">IF(IFERROR(INDEX(tsk_Name,GanttView[[#This Row],[_Row]])="",TRUE()),FALSE(),AND(INDEX(tsk_IsLeaf,GanttView[[#This Row],[_Row]])=1,N(INDEX(tsk_Duration,GanttView[[#This Row],[_Row]]))=0))</f>
        <v>0</v>
      </c>
      <c r="O2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46302</v>
      </c>
      <c r="P2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46311</v>
      </c>
      <c r="Q2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21" s="111" t="n">
        <f aca="false">IF(GanttView[[#This Row],[_RemFrom]]=0,0,GanttView[[#This Row],[Forecast Finish]])</f>
        <v>0</v>
      </c>
      <c r="S21" s="110" t="b">
        <f aca="false">IF(IFERROR(INDEX(tsk_Name,GanttView[[#This Row],[_Row]])="",TRUE()),FALSE(),N(INDEX(tsk_Variance,GanttView[[#This Row],[_Row]]))&gt;0)</f>
        <v>1</v>
      </c>
      <c r="T21" s="111" t="n">
        <f aca="false">IF(IFERROR(INDEX(tsk_Name,GanttView[[#This Row],[_Row]])="",TRUE()),0,N(INDEX(tsk_Deadline,GanttView[[#This Row],[_Row]])))</f>
        <v>0</v>
      </c>
      <c r="U21" s="110" t="b">
        <f aca="false">IF(IFERROR(INDEX(tsk_Name,GanttView[[#This Row],[_Row]])="",TRUE()),FALSE(),INDEX(tsk_Critical,GanttView[[#This Row],[_Row]])="Yes")</f>
        <v>0</v>
      </c>
    </row>
    <row r="22" customFormat="false" ht="15" hidden="false" customHeight="false" outlineLevel="0" collapsed="false">
      <c r="A22" s="104" t="n">
        <f aca="false">IF(IFERROR(INDEX(tsk_Name,GanttView[[#This Row],[_Row]])="",TRUE()),"",INDEX(tsk_ID,GanttView[[#This Row],[_Row]]))</f>
        <v>17</v>
      </c>
      <c r="B22" s="104" t="str">
        <f aca="false">IF(IFERROR(INDEX(tsk_Name,GanttView[[#This Row],[_Row]])="",TRUE()),"",INDEX(tsk_WBS,GanttView[[#This Row],[_Row]]))</f>
        <v>3.2.2</v>
      </c>
      <c r="C22" s="105" t="str">
        <f aca="false">IF(IFERROR(INDEX(tsk_Name,GanttView[[#This Row],[_Row]])="",TRUE()),"",REPT("    ",INDEX(tsk_Level,GanttView[[#This Row],[_Row]])-1)&amp;INDEX(tsk_Name,GanttView[[#This Row],[_Row]]))</f>
        <v>        Feature screens</v>
      </c>
      <c r="D22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12</v>
      </c>
      <c r="E22" s="106" t="n">
        <f aca="false">IF(IFERROR(INDEX(tsk_Name,GanttView[[#This Row],[_Row]])="",TRUE()),"",INDEX(tsk_PlanStart,GanttView[[#This Row],[_Row]]))</f>
        <v>46308</v>
      </c>
      <c r="F22" s="106" t="n">
        <f aca="false">IF(IFERROR(INDEX(tsk_Name,GanttView[[#This Row],[_Row]])="",TRUE()),"",INDEX(tsk_PlanFinish,GanttView[[#This Row],[_Row]]))</f>
        <v>46323</v>
      </c>
      <c r="G22" s="106" t="n">
        <f aca="false">IF(IFERROR(INDEX(tsk_Name,GanttView[[#This Row],[_Row]])="",TRUE()),"",INDEX(tsk_FcStart,GanttView[[#This Row],[_Row]]))</f>
        <v>46314</v>
      </c>
      <c r="H22" s="106" t="n">
        <f aca="false">IF(IFERROR(INDEX(tsk_Name,GanttView[[#This Row],[_Row]])="",TRUE()),"",INDEX(tsk_FcFinish,GanttView[[#This Row],[_Row]]))</f>
        <v>46331</v>
      </c>
      <c r="I22" s="107" t="n">
        <f aca="false">IF(IFERROR(INDEX(tsk_Name,GanttView[[#This Row],[_Row]])="",TRUE()),"",INDEX(tsk_Progress,GanttView[[#This Row],[_Row]]))</f>
        <v>0.25</v>
      </c>
      <c r="J22" s="105" t="str">
        <f aca="false">IF(IFERROR(INDEX(tsk_Name,GanttView[[#This Row],[_Row]])="",TRUE()),"",INDEX(tsk_Resource,GanttView[[#This Row],[_Row]])&amp;"")</f>
        <v>Sam Rivera</v>
      </c>
      <c r="K22" s="108" t="str">
        <f aca="false">IF(IFERROR(INDEX(tsk_Name,GanttView[[#This Row],[_Row]])="",TRUE()),"",INDEX(tsk_Status,GanttView[[#This Row],[_Row]]))</f>
        <v>Behind</v>
      </c>
      <c r="L22" s="109" t="n">
        <f aca="false">ROW()-ROW(GanttView[[#Headers],[ID]])</f>
        <v>17</v>
      </c>
      <c r="M22" s="110" t="b">
        <f aca="false">IF(IFERROR(INDEX(tsk_Name,GanttView[[#This Row],[_Row]])="",TRUE()),FALSE(),INDEX(tsk_IsSummary,GanttView[[#This Row],[_Row]]))</f>
        <v>0</v>
      </c>
      <c r="N22" s="110" t="b">
        <f aca="false">IF(IFERROR(INDEX(tsk_Name,GanttView[[#This Row],[_Row]])="",TRUE()),FALSE(),AND(INDEX(tsk_IsLeaf,GanttView[[#This Row],[_Row]])=1,N(INDEX(tsk_Duration,GanttView[[#This Row],[_Row]]))=0))</f>
        <v>0</v>
      </c>
      <c r="O2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46314</v>
      </c>
      <c r="P2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46318</v>
      </c>
      <c r="Q2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46319</v>
      </c>
      <c r="R22" s="111" t="n">
        <f aca="false">IF(GanttView[[#This Row],[_RemFrom]]=0,0,GanttView[[#This Row],[Forecast Finish]])</f>
        <v>46331</v>
      </c>
      <c r="S22" s="110" t="b">
        <f aca="false">IF(IFERROR(INDEX(tsk_Name,GanttView[[#This Row],[_Row]])="",TRUE()),FALSE(),N(INDEX(tsk_Variance,GanttView[[#This Row],[_Row]]))&gt;0)</f>
        <v>1</v>
      </c>
      <c r="T22" s="111" t="n">
        <f aca="false">IF(IFERROR(INDEX(tsk_Name,GanttView[[#This Row],[_Row]])="",TRUE()),0,N(INDEX(tsk_Deadline,GanttView[[#This Row],[_Row]])))</f>
        <v>0</v>
      </c>
      <c r="U22" s="110" t="b">
        <f aca="false">IF(IFERROR(INDEX(tsk_Name,GanttView[[#This Row],[_Row]])="",TRUE()),FALSE(),INDEX(tsk_Critical,GanttView[[#This Row],[_Row]])="Yes")</f>
        <v>1</v>
      </c>
    </row>
    <row r="23" customFormat="false" ht="15" hidden="false" customHeight="false" outlineLevel="0" collapsed="false">
      <c r="A23" s="104" t="n">
        <f aca="false">IF(IFERROR(INDEX(tsk_Name,GanttView[[#This Row],[_Row]])="",TRUE()),"",INDEX(tsk_ID,GanttView[[#This Row],[_Row]]))</f>
        <v>18</v>
      </c>
      <c r="B23" s="104" t="str">
        <f aca="false">IF(IFERROR(INDEX(tsk_Name,GanttView[[#This Row],[_Row]])="",TRUE()),"",INDEX(tsk_WBS,GanttView[[#This Row],[_Row]]))</f>
        <v>3.2.3</v>
      </c>
      <c r="C23" s="105" t="str">
        <f aca="false">IF(IFERROR(INDEX(tsk_Name,GanttView[[#This Row],[_Row]])="",TRUE()),"",REPT("    ",INDEX(tsk_Level,GanttView[[#This Row],[_Row]])-1)&amp;INDEX(tsk_Name,GanttView[[#This Row],[_Row]]))</f>
        <v>        Accessibility review</v>
      </c>
      <c r="D23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3</v>
      </c>
      <c r="E23" s="106" t="n">
        <f aca="false">IF(IFERROR(INDEX(tsk_Name,GanttView[[#This Row],[_Row]])="",TRUE()),"",INDEX(tsk_PlanStart,GanttView[[#This Row],[_Row]]))</f>
        <v>46322</v>
      </c>
      <c r="F23" s="106" t="n">
        <f aca="false">IF(IFERROR(INDEX(tsk_Name,GanttView[[#This Row],[_Row]])="",TRUE()),"",INDEX(tsk_PlanFinish,GanttView[[#This Row],[_Row]]))</f>
        <v>46324</v>
      </c>
      <c r="G23" s="106" t="n">
        <f aca="false">IF(IFERROR(INDEX(tsk_Name,GanttView[[#This Row],[_Row]])="",TRUE()),"",INDEX(tsk_FcStart,GanttView[[#This Row],[_Row]]))</f>
        <v>46330</v>
      </c>
      <c r="H23" s="106" t="n">
        <f aca="false">IF(IFERROR(INDEX(tsk_Name,GanttView[[#This Row],[_Row]])="",TRUE()),"",INDEX(tsk_FcFinish,GanttView[[#This Row],[_Row]]))</f>
        <v>46332</v>
      </c>
      <c r="I23" s="107" t="n">
        <f aca="false">IF(IFERROR(INDEX(tsk_Name,GanttView[[#This Row],[_Row]])="",TRUE()),"",INDEX(tsk_Progress,GanttView[[#This Row],[_Row]]))</f>
        <v>0</v>
      </c>
      <c r="J23" s="105" t="str">
        <f aca="false">IF(IFERROR(INDEX(tsk_Name,GanttView[[#This Row],[_Row]])="",TRUE()),"",INDEX(tsk_Resource,GanttView[[#This Row],[_Row]])&amp;"")</f>
        <v>Casey Kim</v>
      </c>
      <c r="K23" s="108" t="str">
        <f aca="false">IF(IFERROR(INDEX(tsk_Name,GanttView[[#This Row],[_Row]])="",TRUE()),"",INDEX(tsk_Status,GanttView[[#This Row],[_Row]]))</f>
        <v>Not Started</v>
      </c>
      <c r="L23" s="109" t="n">
        <f aca="false">ROW()-ROW(GanttView[[#Headers],[ID]])</f>
        <v>18</v>
      </c>
      <c r="M23" s="110" t="b">
        <f aca="false">IF(IFERROR(INDEX(tsk_Name,GanttView[[#This Row],[_Row]])="",TRUE()),FALSE(),INDEX(tsk_IsSummary,GanttView[[#This Row],[_Row]]))</f>
        <v>0</v>
      </c>
      <c r="N23" s="110" t="b">
        <f aca="false">IF(IFERROR(INDEX(tsk_Name,GanttView[[#This Row],[_Row]])="",TRUE()),FALSE(),AND(INDEX(tsk_IsLeaf,GanttView[[#This Row],[_Row]])=1,N(INDEX(tsk_Duration,GanttView[[#This Row],[_Row]]))=0))</f>
        <v>0</v>
      </c>
      <c r="O2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46330</v>
      </c>
      <c r="R23" s="111" t="n">
        <f aca="false">IF(GanttView[[#This Row],[_RemFrom]]=0,0,GanttView[[#This Row],[Forecast Finish]])</f>
        <v>46332</v>
      </c>
      <c r="S23" s="110" t="b">
        <f aca="false">IF(IFERROR(INDEX(tsk_Name,GanttView[[#This Row],[_Row]])="",TRUE()),FALSE(),N(INDEX(tsk_Variance,GanttView[[#This Row],[_Row]]))&gt;0)</f>
        <v>1</v>
      </c>
      <c r="T23" s="111" t="n">
        <f aca="false">IF(IFERROR(INDEX(tsk_Name,GanttView[[#This Row],[_Row]])="",TRUE()),0,N(INDEX(tsk_Deadline,GanttView[[#This Row],[_Row]])))</f>
        <v>0</v>
      </c>
      <c r="U23" s="110" t="b">
        <f aca="false">IF(IFERROR(INDEX(tsk_Name,GanttView[[#This Row],[_Row]])="",TRUE()),FALSE(),INDEX(tsk_Critical,GanttView[[#This Row],[_Row]])="Yes")</f>
        <v>1</v>
      </c>
    </row>
    <row r="24" customFormat="false" ht="15" hidden="false" customHeight="false" outlineLevel="0" collapsed="false">
      <c r="A24" s="104" t="n">
        <f aca="false">IF(IFERROR(INDEX(tsk_Name,GanttView[[#This Row],[_Row]])="",TRUE()),"",INDEX(tsk_ID,GanttView[[#This Row],[_Row]]))</f>
        <v>19</v>
      </c>
      <c r="B24" s="104" t="str">
        <f aca="false">IF(IFERROR(INDEX(tsk_Name,GanttView[[#This Row],[_Row]])="",TRUE()),"",INDEX(tsk_WBS,GanttView[[#This Row],[_Row]]))</f>
        <v>3.3</v>
      </c>
      <c r="C24" s="105" t="str">
        <f aca="false">IF(IFERROR(INDEX(tsk_Name,GanttView[[#This Row],[_Row]])="",TRUE()),"",REPT("    ",INDEX(tsk_Level,GanttView[[#This Row],[_Row]])-1)&amp;INDEX(tsk_Name,GanttView[[#This Row],[_Row]]))</f>
        <v>    Build complete</v>
      </c>
      <c r="D24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0</v>
      </c>
      <c r="E24" s="106" t="n">
        <f aca="false">IF(IFERROR(INDEX(tsk_Name,GanttView[[#This Row],[_Row]])="",TRUE()),"",INDEX(tsk_PlanStart,GanttView[[#This Row],[_Row]]))</f>
        <v>46325</v>
      </c>
      <c r="F24" s="106" t="n">
        <f aca="false">IF(IFERROR(INDEX(tsk_Name,GanttView[[#This Row],[_Row]])="",TRUE()),"",INDEX(tsk_PlanFinish,GanttView[[#This Row],[_Row]]))</f>
        <v>46325</v>
      </c>
      <c r="G24" s="106" t="n">
        <f aca="false">IF(IFERROR(INDEX(tsk_Name,GanttView[[#This Row],[_Row]])="",TRUE()),"",INDEX(tsk_FcStart,GanttView[[#This Row],[_Row]]))</f>
        <v>46335</v>
      </c>
      <c r="H24" s="106" t="n">
        <f aca="false">IF(IFERROR(INDEX(tsk_Name,GanttView[[#This Row],[_Row]])="",TRUE()),"",INDEX(tsk_FcFinish,GanttView[[#This Row],[_Row]]))</f>
        <v>46335</v>
      </c>
      <c r="I24" s="107" t="n">
        <f aca="false">IF(IFERROR(INDEX(tsk_Name,GanttView[[#This Row],[_Row]])="",TRUE()),"",INDEX(tsk_Progress,GanttView[[#This Row],[_Row]]))</f>
        <v>0</v>
      </c>
      <c r="J24" s="105" t="str">
        <f aca="false">IF(IFERROR(INDEX(tsk_Name,GanttView[[#This Row],[_Row]])="",TRUE()),"",INDEX(tsk_Resource,GanttView[[#This Row],[_Row]])&amp;"")</f>
        <v/>
      </c>
      <c r="K24" s="108" t="str">
        <f aca="false">IF(IFERROR(INDEX(tsk_Name,GanttView[[#This Row],[_Row]])="",TRUE()),"",INDEX(tsk_Status,GanttView[[#This Row],[_Row]]))</f>
        <v>Not Started</v>
      </c>
      <c r="L24" s="109" t="n">
        <f aca="false">ROW()-ROW(GanttView[[#Headers],[ID]])</f>
        <v>19</v>
      </c>
      <c r="M24" s="110" t="b">
        <f aca="false">IF(IFERROR(INDEX(tsk_Name,GanttView[[#This Row],[_Row]])="",TRUE()),FALSE(),INDEX(tsk_IsSummary,GanttView[[#This Row],[_Row]]))</f>
        <v>0</v>
      </c>
      <c r="N24" s="110" t="b">
        <f aca="false">IF(IFERROR(INDEX(tsk_Name,GanttView[[#This Row],[_Row]])="",TRUE()),FALSE(),AND(INDEX(tsk_IsLeaf,GanttView[[#This Row],[_Row]])=1,N(INDEX(tsk_Duration,GanttView[[#This Row],[_Row]]))=0))</f>
        <v>1</v>
      </c>
      <c r="O2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24" s="111" t="n">
        <f aca="false">IF(GanttView[[#This Row],[_RemFrom]]=0,0,GanttView[[#This Row],[Forecast Finish]])</f>
        <v>0</v>
      </c>
      <c r="S24" s="110" t="b">
        <f aca="false">IF(IFERROR(INDEX(tsk_Name,GanttView[[#This Row],[_Row]])="",TRUE()),FALSE(),N(INDEX(tsk_Variance,GanttView[[#This Row],[_Row]]))&gt;0)</f>
        <v>1</v>
      </c>
      <c r="T24" s="111" t="n">
        <f aca="false">IF(IFERROR(INDEX(tsk_Name,GanttView[[#This Row],[_Row]])="",TRUE()),0,N(INDEX(tsk_Deadline,GanttView[[#This Row],[_Row]])))</f>
        <v>46332</v>
      </c>
      <c r="U24" s="110" t="b">
        <f aca="false">IF(IFERROR(INDEX(tsk_Name,GanttView[[#This Row],[_Row]])="",TRUE()),FALSE(),INDEX(tsk_Critical,GanttView[[#This Row],[_Row]])="Yes")</f>
        <v>1</v>
      </c>
    </row>
    <row r="25" customFormat="false" ht="15" hidden="false" customHeight="false" outlineLevel="0" collapsed="false">
      <c r="A25" s="104" t="n">
        <f aca="false">IF(IFERROR(INDEX(tsk_Name,GanttView[[#This Row],[_Row]])="",TRUE()),"",INDEX(tsk_ID,GanttView[[#This Row],[_Row]]))</f>
        <v>20</v>
      </c>
      <c r="B25" s="104" t="str">
        <f aca="false">IF(IFERROR(INDEX(tsk_Name,GanttView[[#This Row],[_Row]])="",TRUE()),"",INDEX(tsk_WBS,GanttView[[#This Row],[_Row]]))</f>
        <v>4</v>
      </c>
      <c r="C25" s="105" t="str">
        <f aca="false">IF(IFERROR(INDEX(tsk_Name,GanttView[[#This Row],[_Row]])="",TRUE()),"",REPT("    ",INDEX(tsk_Level,GanttView[[#This Row],[_Row]])-1)&amp;INDEX(tsk_Name,GanttView[[#This Row],[_Row]]))</f>
        <v>Test &amp; Release</v>
      </c>
      <c r="D25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36</v>
      </c>
      <c r="E25" s="106" t="n">
        <f aca="false">IF(IFERROR(INDEX(tsk_Name,GanttView[[#This Row],[_Row]])="",TRUE()),"",INDEX(tsk_PlanStart,GanttView[[#This Row],[_Row]]))</f>
        <v>46328</v>
      </c>
      <c r="F25" s="106" t="n">
        <f aca="false">IF(IFERROR(INDEX(tsk_Name,GanttView[[#This Row],[_Row]])="",TRUE()),"",INDEX(tsk_PlanFinish,GanttView[[#This Row],[_Row]]))</f>
        <v>46391</v>
      </c>
      <c r="G25" s="106" t="n">
        <f aca="false">IF(IFERROR(INDEX(tsk_Name,GanttView[[#This Row],[_Row]])="",TRUE()),"",INDEX(tsk_FcStart,GanttView[[#This Row],[_Row]]))</f>
        <v>46336</v>
      </c>
      <c r="H25" s="106" t="n">
        <f aca="false">IF(IFERROR(INDEX(tsk_Name,GanttView[[#This Row],[_Row]])="",TRUE()),"",INDEX(tsk_FcFinish,GanttView[[#This Row],[_Row]]))</f>
        <v>46391</v>
      </c>
      <c r="I25" s="107" t="n">
        <f aca="false">IF(IFERROR(INDEX(tsk_Name,GanttView[[#This Row],[_Row]])="",TRUE()),"",INDEX(tsk_Progress,GanttView[[#This Row],[_Row]]))</f>
        <v>0</v>
      </c>
      <c r="J25" s="105" t="str">
        <f aca="false">IF(IFERROR(INDEX(tsk_Name,GanttView[[#This Row],[_Row]])="",TRUE()),"",INDEX(tsk_Resource,GanttView[[#This Row],[_Row]])&amp;"")</f>
        <v/>
      </c>
      <c r="K25" s="108" t="str">
        <f aca="false">IF(IFERROR(INDEX(tsk_Name,GanttView[[#This Row],[_Row]])="",TRUE()),"",INDEX(tsk_Status,GanttView[[#This Row],[_Row]]))</f>
        <v>Not Started</v>
      </c>
      <c r="L25" s="109" t="n">
        <f aca="false">ROW()-ROW(GanttView[[#Headers],[ID]])</f>
        <v>20</v>
      </c>
      <c r="M25" s="110" t="b">
        <f aca="false">IF(IFERROR(INDEX(tsk_Name,GanttView[[#This Row],[_Row]])="",TRUE()),FALSE(),INDEX(tsk_IsSummary,GanttView[[#This Row],[_Row]]))</f>
        <v>1</v>
      </c>
      <c r="N25" s="110" t="b">
        <f aca="false">IF(IFERROR(INDEX(tsk_Name,GanttView[[#This Row],[_Row]])="",TRUE()),FALSE(),AND(INDEX(tsk_IsLeaf,GanttView[[#This Row],[_Row]])=1,N(INDEX(tsk_Duration,GanttView[[#This Row],[_Row]]))=0))</f>
        <v>0</v>
      </c>
      <c r="O2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25" s="111" t="n">
        <f aca="false">IF(GanttView[[#This Row],[_RemFrom]]=0,0,GanttView[[#This Row],[Forecast Finish]])</f>
        <v>0</v>
      </c>
      <c r="S25" s="110" t="b">
        <f aca="false">IF(IFERROR(INDEX(tsk_Name,GanttView[[#This Row],[_Row]])="",TRUE()),FALSE(),N(INDEX(tsk_Variance,GanttView[[#This Row],[_Row]]))&gt;0)</f>
        <v>0</v>
      </c>
      <c r="T25" s="111" t="n">
        <f aca="false">IF(IFERROR(INDEX(tsk_Name,GanttView[[#This Row],[_Row]])="",TRUE()),0,N(INDEX(tsk_Deadline,GanttView[[#This Row],[_Row]])))</f>
        <v>0</v>
      </c>
      <c r="U25" s="110" t="b">
        <f aca="false">IF(IFERROR(INDEX(tsk_Name,GanttView[[#This Row],[_Row]])="",TRUE()),FALSE(),INDEX(tsk_Critical,GanttView[[#This Row],[_Row]])="Yes")</f>
        <v>1</v>
      </c>
    </row>
    <row r="26" customFormat="false" ht="15" hidden="false" customHeight="false" outlineLevel="0" collapsed="false">
      <c r="A26" s="104" t="n">
        <f aca="false">IF(IFERROR(INDEX(tsk_Name,GanttView[[#This Row],[_Row]])="",TRUE()),"",INDEX(tsk_ID,GanttView[[#This Row],[_Row]]))</f>
        <v>21</v>
      </c>
      <c r="B26" s="104" t="str">
        <f aca="false">IF(IFERROR(INDEX(tsk_Name,GanttView[[#This Row],[_Row]])="",TRUE()),"",INDEX(tsk_WBS,GanttView[[#This Row],[_Row]]))</f>
        <v>4.1</v>
      </c>
      <c r="C26" s="105" t="str">
        <f aca="false">IF(IFERROR(INDEX(tsk_Name,GanttView[[#This Row],[_Row]])="",TRUE()),"",REPT("    ",INDEX(tsk_Level,GanttView[[#This Row],[_Row]])-1)&amp;INDEX(tsk_Name,GanttView[[#This Row],[_Row]]))</f>
        <v>    System integration testing</v>
      </c>
      <c r="D26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8</v>
      </c>
      <c r="E26" s="106" t="n">
        <f aca="false">IF(IFERROR(INDEX(tsk_Name,GanttView[[#This Row],[_Row]])="",TRUE()),"",INDEX(tsk_PlanStart,GanttView[[#This Row],[_Row]]))</f>
        <v>46328</v>
      </c>
      <c r="F26" s="106" t="n">
        <f aca="false">IF(IFERROR(INDEX(tsk_Name,GanttView[[#This Row],[_Row]])="",TRUE()),"",INDEX(tsk_PlanFinish,GanttView[[#This Row],[_Row]]))</f>
        <v>46337</v>
      </c>
      <c r="G26" s="106" t="n">
        <f aca="false">IF(IFERROR(INDEX(tsk_Name,GanttView[[#This Row],[_Row]])="",TRUE()),"",INDEX(tsk_FcStart,GanttView[[#This Row],[_Row]]))</f>
        <v>46336</v>
      </c>
      <c r="H26" s="106" t="n">
        <f aca="false">IF(IFERROR(INDEX(tsk_Name,GanttView[[#This Row],[_Row]])="",TRUE()),"",INDEX(tsk_FcFinish,GanttView[[#This Row],[_Row]]))</f>
        <v>46345</v>
      </c>
      <c r="I26" s="107" t="n">
        <f aca="false">IF(IFERROR(INDEX(tsk_Name,GanttView[[#This Row],[_Row]])="",TRUE()),"",INDEX(tsk_Progress,GanttView[[#This Row],[_Row]]))</f>
        <v>0</v>
      </c>
      <c r="J26" s="105" t="str">
        <f aca="false">IF(IFERROR(INDEX(tsk_Name,GanttView[[#This Row],[_Row]])="",TRUE()),"",INDEX(tsk_Resource,GanttView[[#This Row],[_Row]])&amp;"")</f>
        <v>Taylor Morgan</v>
      </c>
      <c r="K26" s="108" t="str">
        <f aca="false">IF(IFERROR(INDEX(tsk_Name,GanttView[[#This Row],[_Row]])="",TRUE()),"",INDEX(tsk_Status,GanttView[[#This Row],[_Row]]))</f>
        <v>Not Started</v>
      </c>
      <c r="L26" s="109" t="n">
        <f aca="false">ROW()-ROW(GanttView[[#Headers],[ID]])</f>
        <v>21</v>
      </c>
      <c r="M26" s="110" t="b">
        <f aca="false">IF(IFERROR(INDEX(tsk_Name,GanttView[[#This Row],[_Row]])="",TRUE()),FALSE(),INDEX(tsk_IsSummary,GanttView[[#This Row],[_Row]]))</f>
        <v>0</v>
      </c>
      <c r="N26" s="110" t="b">
        <f aca="false">IF(IFERROR(INDEX(tsk_Name,GanttView[[#This Row],[_Row]])="",TRUE()),FALSE(),AND(INDEX(tsk_IsLeaf,GanttView[[#This Row],[_Row]])=1,N(INDEX(tsk_Duration,GanttView[[#This Row],[_Row]]))=0))</f>
        <v>0</v>
      </c>
      <c r="O2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46336</v>
      </c>
      <c r="R26" s="111" t="n">
        <f aca="false">IF(GanttView[[#This Row],[_RemFrom]]=0,0,GanttView[[#This Row],[Forecast Finish]])</f>
        <v>46345</v>
      </c>
      <c r="S26" s="110" t="b">
        <f aca="false">IF(IFERROR(INDEX(tsk_Name,GanttView[[#This Row],[_Row]])="",TRUE()),FALSE(),N(INDEX(tsk_Variance,GanttView[[#This Row],[_Row]]))&gt;0)</f>
        <v>1</v>
      </c>
      <c r="T26" s="111" t="n">
        <f aca="false">IF(IFERROR(INDEX(tsk_Name,GanttView[[#This Row],[_Row]])="",TRUE()),0,N(INDEX(tsk_Deadline,GanttView[[#This Row],[_Row]])))</f>
        <v>0</v>
      </c>
      <c r="U26" s="110" t="b">
        <f aca="false">IF(IFERROR(INDEX(tsk_Name,GanttView[[#This Row],[_Row]])="",TRUE()),FALSE(),INDEX(tsk_Critical,GanttView[[#This Row],[_Row]])="Yes")</f>
        <v>0</v>
      </c>
    </row>
    <row r="27" customFormat="false" ht="15" hidden="false" customHeight="false" outlineLevel="0" collapsed="false">
      <c r="A27" s="104" t="n">
        <f aca="false">IF(IFERROR(INDEX(tsk_Name,GanttView[[#This Row],[_Row]])="",TRUE()),"",INDEX(tsk_ID,GanttView[[#This Row],[_Row]]))</f>
        <v>22</v>
      </c>
      <c r="B27" s="104" t="str">
        <f aca="false">IF(IFERROR(INDEX(tsk_Name,GanttView[[#This Row],[_Row]])="",TRUE()),"",INDEX(tsk_WBS,GanttView[[#This Row],[_Row]]))</f>
        <v>4.2</v>
      </c>
      <c r="C27" s="105" t="str">
        <f aca="false">IF(IFERROR(INDEX(tsk_Name,GanttView[[#This Row],[_Row]])="",TRUE()),"",REPT("    ",INDEX(tsk_Level,GanttView[[#This Row],[_Row]])-1)&amp;INDEX(tsk_Name,GanttView[[#This Row],[_Row]]))</f>
        <v>    User acceptance testing</v>
      </c>
      <c r="D27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6</v>
      </c>
      <c r="E27" s="106" t="n">
        <f aca="false">IF(IFERROR(INDEX(tsk_Name,GanttView[[#This Row],[_Row]])="",TRUE()),"",INDEX(tsk_PlanStart,GanttView[[#This Row],[_Row]]))</f>
        <v>46363</v>
      </c>
      <c r="F27" s="106" t="n">
        <f aca="false">IF(IFERROR(INDEX(tsk_Name,GanttView[[#This Row],[_Row]])="",TRUE()),"",INDEX(tsk_PlanFinish,GanttView[[#This Row],[_Row]]))</f>
        <v>46370</v>
      </c>
      <c r="G27" s="106" t="n">
        <f aca="false">IF(IFERROR(INDEX(tsk_Name,GanttView[[#This Row],[_Row]])="",TRUE()),"",INDEX(tsk_FcStart,GanttView[[#This Row],[_Row]]))</f>
        <v>46363</v>
      </c>
      <c r="H27" s="106" t="n">
        <f aca="false">IF(IFERROR(INDEX(tsk_Name,GanttView[[#This Row],[_Row]])="",TRUE()),"",INDEX(tsk_FcFinish,GanttView[[#This Row],[_Row]]))</f>
        <v>46370</v>
      </c>
      <c r="I27" s="107" t="n">
        <f aca="false">IF(IFERROR(INDEX(tsk_Name,GanttView[[#This Row],[_Row]])="",TRUE()),"",INDEX(tsk_Progress,GanttView[[#This Row],[_Row]]))</f>
        <v>0</v>
      </c>
      <c r="J27" s="105" t="str">
        <f aca="false">IF(IFERROR(INDEX(tsk_Name,GanttView[[#This Row],[_Row]])="",TRUE()),"",INDEX(tsk_Resource,GanttView[[#This Row],[_Row]])&amp;"")</f>
        <v>Morgan Patel</v>
      </c>
      <c r="K27" s="108" t="str">
        <f aca="false">IF(IFERROR(INDEX(tsk_Name,GanttView[[#This Row],[_Row]])="",TRUE()),"",INDEX(tsk_Status,GanttView[[#This Row],[_Row]]))</f>
        <v>Not Started</v>
      </c>
      <c r="L27" s="109" t="n">
        <f aca="false">ROW()-ROW(GanttView[[#Headers],[ID]])</f>
        <v>22</v>
      </c>
      <c r="M27" s="110" t="b">
        <f aca="false">IF(IFERROR(INDEX(tsk_Name,GanttView[[#This Row],[_Row]])="",TRUE()),FALSE(),INDEX(tsk_IsSummary,GanttView[[#This Row],[_Row]]))</f>
        <v>0</v>
      </c>
      <c r="N27" s="110" t="b">
        <f aca="false">IF(IFERROR(INDEX(tsk_Name,GanttView[[#This Row],[_Row]])="",TRUE()),FALSE(),AND(INDEX(tsk_IsLeaf,GanttView[[#This Row],[_Row]])=1,N(INDEX(tsk_Duration,GanttView[[#This Row],[_Row]]))=0))</f>
        <v>0</v>
      </c>
      <c r="O2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46363</v>
      </c>
      <c r="R27" s="111" t="n">
        <f aca="false">IF(GanttView[[#This Row],[_RemFrom]]=0,0,GanttView[[#This Row],[Forecast Finish]])</f>
        <v>46370</v>
      </c>
      <c r="S27" s="110" t="b">
        <f aca="false">IF(IFERROR(INDEX(tsk_Name,GanttView[[#This Row],[_Row]])="",TRUE()),FALSE(),N(INDEX(tsk_Variance,GanttView[[#This Row],[_Row]]))&gt;0)</f>
        <v>0</v>
      </c>
      <c r="T27" s="111" t="n">
        <f aca="false">IF(IFERROR(INDEX(tsk_Name,GanttView[[#This Row],[_Row]])="",TRUE()),0,N(INDEX(tsk_Deadline,GanttView[[#This Row],[_Row]])))</f>
        <v>0</v>
      </c>
      <c r="U27" s="110" t="b">
        <f aca="false">IF(IFERROR(INDEX(tsk_Name,GanttView[[#This Row],[_Row]])="",TRUE()),FALSE(),INDEX(tsk_Critical,GanttView[[#This Row],[_Row]])="Yes")</f>
        <v>1</v>
      </c>
    </row>
    <row r="28" customFormat="false" ht="15" hidden="false" customHeight="false" outlineLevel="0" collapsed="false">
      <c r="A28" s="104" t="n">
        <f aca="false">IF(IFERROR(INDEX(tsk_Name,GanttView[[#This Row],[_Row]])="",TRUE()),"",INDEX(tsk_ID,GanttView[[#This Row],[_Row]]))</f>
        <v>23</v>
      </c>
      <c r="B28" s="104" t="str">
        <f aca="false">IF(IFERROR(INDEX(tsk_Name,GanttView[[#This Row],[_Row]])="",TRUE()),"",INDEX(tsk_WBS,GanttView[[#This Row],[_Row]]))</f>
        <v>4.3</v>
      </c>
      <c r="C28" s="105" t="str">
        <f aca="false">IF(IFERROR(INDEX(tsk_Name,GanttView[[#This Row],[_Row]])="",TRUE()),"",REPT("    ",INDEX(tsk_Level,GanttView[[#This Row],[_Row]])-1)&amp;INDEX(tsk_Name,GanttView[[#This Row],[_Row]]))</f>
        <v>    Training &amp; user guides</v>
      </c>
      <c r="D28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5</v>
      </c>
      <c r="E28" s="106" t="n">
        <f aca="false">IF(IFERROR(INDEX(tsk_Name,GanttView[[#This Row],[_Row]])="",TRUE()),"",INDEX(tsk_PlanStart,GanttView[[#This Row],[_Row]]))</f>
        <v>46330</v>
      </c>
      <c r="F28" s="106" t="n">
        <f aca="false">IF(IFERROR(INDEX(tsk_Name,GanttView[[#This Row],[_Row]])="",TRUE()),"",INDEX(tsk_PlanFinish,GanttView[[#This Row],[_Row]]))</f>
        <v>46336</v>
      </c>
      <c r="G28" s="106" t="n">
        <f aca="false">IF(IFERROR(INDEX(tsk_Name,GanttView[[#This Row],[_Row]])="",TRUE()),"",INDEX(tsk_FcStart,GanttView[[#This Row],[_Row]]))</f>
        <v>46338</v>
      </c>
      <c r="H28" s="106" t="n">
        <f aca="false">IF(IFERROR(INDEX(tsk_Name,GanttView[[#This Row],[_Row]])="",TRUE()),"",INDEX(tsk_FcFinish,GanttView[[#This Row],[_Row]]))</f>
        <v>46344</v>
      </c>
      <c r="I28" s="107" t="n">
        <f aca="false">IF(IFERROR(INDEX(tsk_Name,GanttView[[#This Row],[_Row]])="",TRUE()),"",INDEX(tsk_Progress,GanttView[[#This Row],[_Row]]))</f>
        <v>0</v>
      </c>
      <c r="J28" s="105" t="str">
        <f aca="false">IF(IFERROR(INDEX(tsk_Name,GanttView[[#This Row],[_Row]])="",TRUE()),"",INDEX(tsk_Resource,GanttView[[#This Row],[_Row]])&amp;"")</f>
        <v>Casey Kim</v>
      </c>
      <c r="K28" s="108" t="str">
        <f aca="false">IF(IFERROR(INDEX(tsk_Name,GanttView[[#This Row],[_Row]])="",TRUE()),"",INDEX(tsk_Status,GanttView[[#This Row],[_Row]]))</f>
        <v>Not Started</v>
      </c>
      <c r="L28" s="109" t="n">
        <f aca="false">ROW()-ROW(GanttView[[#Headers],[ID]])</f>
        <v>23</v>
      </c>
      <c r="M28" s="110" t="b">
        <f aca="false">IF(IFERROR(INDEX(tsk_Name,GanttView[[#This Row],[_Row]])="",TRUE()),FALSE(),INDEX(tsk_IsSummary,GanttView[[#This Row],[_Row]]))</f>
        <v>0</v>
      </c>
      <c r="N28" s="110" t="b">
        <f aca="false">IF(IFERROR(INDEX(tsk_Name,GanttView[[#This Row],[_Row]])="",TRUE()),FALSE(),AND(INDEX(tsk_IsLeaf,GanttView[[#This Row],[_Row]])=1,N(INDEX(tsk_Duration,GanttView[[#This Row],[_Row]]))=0))</f>
        <v>0</v>
      </c>
      <c r="O2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46338</v>
      </c>
      <c r="R28" s="111" t="n">
        <f aca="false">IF(GanttView[[#This Row],[_RemFrom]]=0,0,GanttView[[#This Row],[Forecast Finish]])</f>
        <v>46344</v>
      </c>
      <c r="S28" s="110" t="b">
        <f aca="false">IF(IFERROR(INDEX(tsk_Name,GanttView[[#This Row],[_Row]])="",TRUE()),FALSE(),N(INDEX(tsk_Variance,GanttView[[#This Row],[_Row]]))&gt;0)</f>
        <v>1</v>
      </c>
      <c r="T28" s="111" t="n">
        <f aca="false">IF(IFERROR(INDEX(tsk_Name,GanttView[[#This Row],[_Row]])="",TRUE()),0,N(INDEX(tsk_Deadline,GanttView[[#This Row],[_Row]])))</f>
        <v>0</v>
      </c>
      <c r="U28" s="110" t="b">
        <f aca="false">IF(IFERROR(INDEX(tsk_Name,GanttView[[#This Row],[_Row]])="",TRUE()),FALSE(),INDEX(tsk_Critical,GanttView[[#This Row],[_Row]])="Yes")</f>
        <v>0</v>
      </c>
    </row>
    <row r="29" customFormat="false" ht="15" hidden="false" customHeight="false" outlineLevel="0" collapsed="false">
      <c r="A29" s="104" t="n">
        <f aca="false">IF(IFERROR(INDEX(tsk_Name,GanttView[[#This Row],[_Row]])="",TRUE()),"",INDEX(tsk_ID,GanttView[[#This Row],[_Row]]))</f>
        <v>24</v>
      </c>
      <c r="B29" s="104" t="str">
        <f aca="false">IF(IFERROR(INDEX(tsk_Name,GanttView[[#This Row],[_Row]])="",TRUE()),"",INDEX(tsk_WBS,GanttView[[#This Row],[_Row]]))</f>
        <v>4.4</v>
      </c>
      <c r="C29" s="105" t="str">
        <f aca="false">IF(IFERROR(INDEX(tsk_Name,GanttView[[#This Row],[_Row]])="",TRUE()),"",REPT("    ",INDEX(tsk_Level,GanttView[[#This Row],[_Row]])-1)&amp;INDEX(tsk_Name,GanttView[[#This Row],[_Row]]))</f>
        <v>    Go-live readiness review</v>
      </c>
      <c r="D29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1</v>
      </c>
      <c r="E29" s="106" t="n">
        <f aca="false">IF(IFERROR(INDEX(tsk_Name,GanttView[[#This Row],[_Row]])="",TRUE()),"",INDEX(tsk_PlanStart,GanttView[[#This Row],[_Row]]))</f>
        <v>46371</v>
      </c>
      <c r="F29" s="106" t="n">
        <f aca="false">IF(IFERROR(INDEX(tsk_Name,GanttView[[#This Row],[_Row]])="",TRUE()),"",INDEX(tsk_PlanFinish,GanttView[[#This Row],[_Row]]))</f>
        <v>46371</v>
      </c>
      <c r="G29" s="106" t="n">
        <f aca="false">IF(IFERROR(INDEX(tsk_Name,GanttView[[#This Row],[_Row]])="",TRUE()),"",INDEX(tsk_FcStart,GanttView[[#This Row],[_Row]]))</f>
        <v>46371</v>
      </c>
      <c r="H29" s="106" t="n">
        <f aca="false">IF(IFERROR(INDEX(tsk_Name,GanttView[[#This Row],[_Row]])="",TRUE()),"",INDEX(tsk_FcFinish,GanttView[[#This Row],[_Row]]))</f>
        <v>46371</v>
      </c>
      <c r="I29" s="107" t="n">
        <f aca="false">IF(IFERROR(INDEX(tsk_Name,GanttView[[#This Row],[_Row]])="",TRUE()),"",INDEX(tsk_Progress,GanttView[[#This Row],[_Row]]))</f>
        <v>0</v>
      </c>
      <c r="J29" s="105" t="str">
        <f aca="false">IF(IFERROR(INDEX(tsk_Name,GanttView[[#This Row],[_Row]])="",TRUE()),"",INDEX(tsk_Resource,GanttView[[#This Row],[_Row]])&amp;"")</f>
        <v>Priya Sharma</v>
      </c>
      <c r="K29" s="108" t="str">
        <f aca="false">IF(IFERROR(INDEX(tsk_Name,GanttView[[#This Row],[_Row]])="",TRUE()),"",INDEX(tsk_Status,GanttView[[#This Row],[_Row]]))</f>
        <v>Not Started</v>
      </c>
      <c r="L29" s="109" t="n">
        <f aca="false">ROW()-ROW(GanttView[[#Headers],[ID]])</f>
        <v>24</v>
      </c>
      <c r="M29" s="110" t="b">
        <f aca="false">IF(IFERROR(INDEX(tsk_Name,GanttView[[#This Row],[_Row]])="",TRUE()),FALSE(),INDEX(tsk_IsSummary,GanttView[[#This Row],[_Row]]))</f>
        <v>0</v>
      </c>
      <c r="N29" s="110" t="b">
        <f aca="false">IF(IFERROR(INDEX(tsk_Name,GanttView[[#This Row],[_Row]])="",TRUE()),FALSE(),AND(INDEX(tsk_IsLeaf,GanttView[[#This Row],[_Row]])=1,N(INDEX(tsk_Duration,GanttView[[#This Row],[_Row]]))=0))</f>
        <v>0</v>
      </c>
      <c r="O2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46371</v>
      </c>
      <c r="R29" s="111" t="n">
        <f aca="false">IF(GanttView[[#This Row],[_RemFrom]]=0,0,GanttView[[#This Row],[Forecast Finish]])</f>
        <v>46371</v>
      </c>
      <c r="S29" s="110" t="b">
        <f aca="false">IF(IFERROR(INDEX(tsk_Name,GanttView[[#This Row],[_Row]])="",TRUE()),FALSE(),N(INDEX(tsk_Variance,GanttView[[#This Row],[_Row]]))&gt;0)</f>
        <v>0</v>
      </c>
      <c r="T29" s="111" t="n">
        <f aca="false">IF(IFERROR(INDEX(tsk_Name,GanttView[[#This Row],[_Row]])="",TRUE()),0,N(INDEX(tsk_Deadline,GanttView[[#This Row],[_Row]])))</f>
        <v>0</v>
      </c>
      <c r="U29" s="110" t="b">
        <f aca="false">IF(IFERROR(INDEX(tsk_Name,GanttView[[#This Row],[_Row]])="",TRUE()),FALSE(),INDEX(tsk_Critical,GanttView[[#This Row],[_Row]])="Yes")</f>
        <v>1</v>
      </c>
    </row>
    <row r="30" customFormat="false" ht="15" hidden="false" customHeight="false" outlineLevel="0" collapsed="false">
      <c r="A30" s="104" t="n">
        <f aca="false">IF(IFERROR(INDEX(tsk_Name,GanttView[[#This Row],[_Row]])="",TRUE()),"",INDEX(tsk_ID,GanttView[[#This Row],[_Row]]))</f>
        <v>25</v>
      </c>
      <c r="B30" s="104" t="str">
        <f aca="false">IF(IFERROR(INDEX(tsk_Name,GanttView[[#This Row],[_Row]])="",TRUE()),"",INDEX(tsk_WBS,GanttView[[#This Row],[_Row]]))</f>
        <v>4.5</v>
      </c>
      <c r="C30" s="105" t="str">
        <f aca="false">IF(IFERROR(INDEX(tsk_Name,GanttView[[#This Row],[_Row]])="",TRUE()),"",REPT("    ",INDEX(tsk_Level,GanttView[[#This Row],[_Row]])-1)&amp;INDEX(tsk_Name,GanttView[[#This Row],[_Row]]))</f>
        <v>    Go-live</v>
      </c>
      <c r="D30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0</v>
      </c>
      <c r="E30" s="106" t="n">
        <f aca="false">IF(IFERROR(INDEX(tsk_Name,GanttView[[#This Row],[_Row]])="",TRUE()),"",INDEX(tsk_PlanStart,GanttView[[#This Row],[_Row]]))</f>
        <v>46371</v>
      </c>
      <c r="F30" s="106" t="n">
        <f aca="false">IF(IFERROR(INDEX(tsk_Name,GanttView[[#This Row],[_Row]])="",TRUE()),"",INDEX(tsk_PlanFinish,GanttView[[#This Row],[_Row]]))</f>
        <v>46371</v>
      </c>
      <c r="G30" s="106" t="n">
        <f aca="false">IF(IFERROR(INDEX(tsk_Name,GanttView[[#This Row],[_Row]])="",TRUE()),"",INDEX(tsk_FcStart,GanttView[[#This Row],[_Row]]))</f>
        <v>46371</v>
      </c>
      <c r="H30" s="106" t="n">
        <f aca="false">IF(IFERROR(INDEX(tsk_Name,GanttView[[#This Row],[_Row]])="",TRUE()),"",INDEX(tsk_FcFinish,GanttView[[#This Row],[_Row]]))</f>
        <v>46371</v>
      </c>
      <c r="I30" s="107" t="n">
        <f aca="false">IF(IFERROR(INDEX(tsk_Name,GanttView[[#This Row],[_Row]])="",TRUE()),"",INDEX(tsk_Progress,GanttView[[#This Row],[_Row]]))</f>
        <v>0</v>
      </c>
      <c r="J30" s="105" t="str">
        <f aca="false">IF(IFERROR(INDEX(tsk_Name,GanttView[[#This Row],[_Row]])="",TRUE()),"",INDEX(tsk_Resource,GanttView[[#This Row],[_Row]])&amp;"")</f>
        <v/>
      </c>
      <c r="K30" s="108" t="str">
        <f aca="false">IF(IFERROR(INDEX(tsk_Name,GanttView[[#This Row],[_Row]])="",TRUE()),"",INDEX(tsk_Status,GanttView[[#This Row],[_Row]]))</f>
        <v>Not Started</v>
      </c>
      <c r="L30" s="109" t="n">
        <f aca="false">ROW()-ROW(GanttView[[#Headers],[ID]])</f>
        <v>25</v>
      </c>
      <c r="M30" s="110" t="b">
        <f aca="false">IF(IFERROR(INDEX(tsk_Name,GanttView[[#This Row],[_Row]])="",TRUE()),FALSE(),INDEX(tsk_IsSummary,GanttView[[#This Row],[_Row]]))</f>
        <v>0</v>
      </c>
      <c r="N30" s="110" t="b">
        <f aca="false">IF(IFERROR(INDEX(tsk_Name,GanttView[[#This Row],[_Row]])="",TRUE()),FALSE(),AND(INDEX(tsk_IsLeaf,GanttView[[#This Row],[_Row]])=1,N(INDEX(tsk_Duration,GanttView[[#This Row],[_Row]]))=0))</f>
        <v>1</v>
      </c>
      <c r="O3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3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3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30" s="111" t="n">
        <f aca="false">IF(GanttView[[#This Row],[_RemFrom]]=0,0,GanttView[[#This Row],[Forecast Finish]])</f>
        <v>0</v>
      </c>
      <c r="S30" s="110" t="b">
        <f aca="false">IF(IFERROR(INDEX(tsk_Name,GanttView[[#This Row],[_Row]])="",TRUE()),FALSE(),N(INDEX(tsk_Variance,GanttView[[#This Row],[_Row]]))&gt;0)</f>
        <v>0</v>
      </c>
      <c r="T30" s="111" t="n">
        <f aca="false">IF(IFERROR(INDEX(tsk_Name,GanttView[[#This Row],[_Row]])="",TRUE()),0,N(INDEX(tsk_Deadline,GanttView[[#This Row],[_Row]])))</f>
        <v>46374</v>
      </c>
      <c r="U30" s="110" t="b">
        <f aca="false">IF(IFERROR(INDEX(tsk_Name,GanttView[[#This Row],[_Row]])="",TRUE()),FALSE(),INDEX(tsk_Critical,GanttView[[#This Row],[_Row]])="Yes")</f>
        <v>1</v>
      </c>
    </row>
    <row r="31" customFormat="false" ht="15" hidden="false" customHeight="false" outlineLevel="0" collapsed="false">
      <c r="A31" s="104" t="n">
        <f aca="false">IF(IFERROR(INDEX(tsk_Name,GanttView[[#This Row],[_Row]])="",TRUE()),"",INDEX(tsk_ID,GanttView[[#This Row],[_Row]]))</f>
        <v>26</v>
      </c>
      <c r="B31" s="104" t="str">
        <f aca="false">IF(IFERROR(INDEX(tsk_Name,GanttView[[#This Row],[_Row]])="",TRUE()),"",INDEX(tsk_WBS,GanttView[[#This Row],[_Row]]))</f>
        <v>4.6</v>
      </c>
      <c r="C31" s="105" t="str">
        <f aca="false">IF(IFERROR(INDEX(tsk_Name,GanttView[[#This Row],[_Row]])="",TRUE()),"",REPT("    ",INDEX(tsk_Level,GanttView[[#This Row],[_Row]])-1)&amp;INDEX(tsk_Name,GanttView[[#This Row],[_Row]]))</f>
        <v>    Hypercare support</v>
      </c>
      <c r="D31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10</v>
      </c>
      <c r="E31" s="106" t="n">
        <f aca="false">IF(IFERROR(INDEX(tsk_Name,GanttView[[#This Row],[_Row]])="",TRUE()),"",INDEX(tsk_PlanStart,GanttView[[#This Row],[_Row]]))</f>
        <v>46372</v>
      </c>
      <c r="F31" s="106" t="n">
        <f aca="false">IF(IFERROR(INDEX(tsk_Name,GanttView[[#This Row],[_Row]])="",TRUE()),"",INDEX(tsk_PlanFinish,GanttView[[#This Row],[_Row]]))</f>
        <v>46391</v>
      </c>
      <c r="G31" s="106" t="n">
        <f aca="false">IF(IFERROR(INDEX(tsk_Name,GanttView[[#This Row],[_Row]])="",TRUE()),"",INDEX(tsk_FcStart,GanttView[[#This Row],[_Row]]))</f>
        <v>46372</v>
      </c>
      <c r="H31" s="106" t="n">
        <f aca="false">IF(IFERROR(INDEX(tsk_Name,GanttView[[#This Row],[_Row]])="",TRUE()),"",INDEX(tsk_FcFinish,GanttView[[#This Row],[_Row]]))</f>
        <v>46391</v>
      </c>
      <c r="I31" s="107" t="n">
        <f aca="false">IF(IFERROR(INDEX(tsk_Name,GanttView[[#This Row],[_Row]])="",TRUE()),"",INDEX(tsk_Progress,GanttView[[#This Row],[_Row]]))</f>
        <v>0</v>
      </c>
      <c r="J31" s="105" t="str">
        <f aca="false">IF(IFERROR(INDEX(tsk_Name,GanttView[[#This Row],[_Row]])="",TRUE()),"",INDEX(tsk_Resource,GanttView[[#This Row],[_Row]])&amp;"")</f>
        <v>Jordan Lee</v>
      </c>
      <c r="K31" s="108" t="str">
        <f aca="false">IF(IFERROR(INDEX(tsk_Name,GanttView[[#This Row],[_Row]])="",TRUE()),"",INDEX(tsk_Status,GanttView[[#This Row],[_Row]]))</f>
        <v>Not Started</v>
      </c>
      <c r="L31" s="109" t="n">
        <f aca="false">ROW()-ROW(GanttView[[#Headers],[ID]])</f>
        <v>26</v>
      </c>
      <c r="M31" s="110" t="b">
        <f aca="false">IF(IFERROR(INDEX(tsk_Name,GanttView[[#This Row],[_Row]])="",TRUE()),FALSE(),INDEX(tsk_IsSummary,GanttView[[#This Row],[_Row]]))</f>
        <v>0</v>
      </c>
      <c r="N31" s="110" t="b">
        <f aca="false">IF(IFERROR(INDEX(tsk_Name,GanttView[[#This Row],[_Row]])="",TRUE()),FALSE(),AND(INDEX(tsk_IsLeaf,GanttView[[#This Row],[_Row]])=1,N(INDEX(tsk_Duration,GanttView[[#This Row],[_Row]]))=0))</f>
        <v>0</v>
      </c>
      <c r="O3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3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3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46372</v>
      </c>
      <c r="R31" s="111" t="n">
        <f aca="false">IF(GanttView[[#This Row],[_RemFrom]]=0,0,GanttView[[#This Row],[Forecast Finish]])</f>
        <v>46391</v>
      </c>
      <c r="S31" s="110" t="b">
        <f aca="false">IF(IFERROR(INDEX(tsk_Name,GanttView[[#This Row],[_Row]])="",TRUE()),FALSE(),N(INDEX(tsk_Variance,GanttView[[#This Row],[_Row]]))&gt;0)</f>
        <v>0</v>
      </c>
      <c r="T31" s="111" t="n">
        <f aca="false">IF(IFERROR(INDEX(tsk_Name,GanttView[[#This Row],[_Row]])="",TRUE()),0,N(INDEX(tsk_Deadline,GanttView[[#This Row],[_Row]])))</f>
        <v>0</v>
      </c>
      <c r="U31" s="110" t="b">
        <f aca="false">IF(IFERROR(INDEX(tsk_Name,GanttView[[#This Row],[_Row]])="",TRUE()),FALSE(),INDEX(tsk_Critical,GanttView[[#This Row],[_Row]])="Yes")</f>
        <v>1</v>
      </c>
    </row>
    <row r="32" customFormat="false" ht="15" hidden="false" customHeight="false" outlineLevel="0" collapsed="false">
      <c r="A32" s="104" t="n">
        <f aca="false">IF(IFERROR(INDEX(tsk_Name,GanttView[[#This Row],[_Row]])="",TRUE()),"",INDEX(tsk_ID,GanttView[[#This Row],[_Row]]))</f>
        <v>27</v>
      </c>
      <c r="B32" s="104" t="str">
        <f aca="false">IF(IFERROR(INDEX(tsk_Name,GanttView[[#This Row],[_Row]])="",TRUE()),"",INDEX(tsk_WBS,GanttView[[#This Row],[_Row]]))</f>
        <v>5</v>
      </c>
      <c r="C32" s="105" t="str">
        <f aca="false">IF(IFERROR(INDEX(tsk_Name,GanttView[[#This Row],[_Row]])="",TRUE()),"",REPT("    ",INDEX(tsk_Level,GanttView[[#This Row],[_Row]])-1)&amp;INDEX(tsk_Name,GanttView[[#This Row],[_Row]]))</f>
        <v>Project Close</v>
      </c>
      <c r="D32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34</v>
      </c>
      <c r="E32" s="106" t="n">
        <f aca="false">IF(IFERROR(INDEX(tsk_Name,GanttView[[#This Row],[_Row]])="",TRUE()),"",INDEX(tsk_PlanStart,GanttView[[#This Row],[_Row]]))</f>
        <v>46342</v>
      </c>
      <c r="F32" s="106" t="n">
        <f aca="false">IF(IFERROR(INDEX(tsk_Name,GanttView[[#This Row],[_Row]])="",TRUE()),"",INDEX(tsk_PlanFinish,GanttView[[#This Row],[_Row]]))</f>
        <v>46393</v>
      </c>
      <c r="G32" s="106" t="n">
        <f aca="false">IF(IFERROR(INDEX(tsk_Name,GanttView[[#This Row],[_Row]])="",TRUE()),"",INDEX(tsk_FcStart,GanttView[[#This Row],[_Row]]))</f>
        <v>46342</v>
      </c>
      <c r="H32" s="106" t="n">
        <f aca="false">IF(IFERROR(INDEX(tsk_Name,GanttView[[#This Row],[_Row]])="",TRUE()),"",INDEX(tsk_FcFinish,GanttView[[#This Row],[_Row]]))</f>
        <v>46393</v>
      </c>
      <c r="I32" s="107" t="n">
        <f aca="false">IF(IFERROR(INDEX(tsk_Name,GanttView[[#This Row],[_Row]])="",TRUE()),"",INDEX(tsk_Progress,GanttView[[#This Row],[_Row]]))</f>
        <v>0</v>
      </c>
      <c r="J32" s="105" t="str">
        <f aca="false">IF(IFERROR(INDEX(tsk_Name,GanttView[[#This Row],[_Row]])="",TRUE()),"",INDEX(tsk_Resource,GanttView[[#This Row],[_Row]])&amp;"")</f>
        <v/>
      </c>
      <c r="K32" s="108" t="str">
        <f aca="false">IF(IFERROR(INDEX(tsk_Name,GanttView[[#This Row],[_Row]])="",TRUE()),"",INDEX(tsk_Status,GanttView[[#This Row],[_Row]]))</f>
        <v>Not Started</v>
      </c>
      <c r="L32" s="109" t="n">
        <f aca="false">ROW()-ROW(GanttView[[#Headers],[ID]])</f>
        <v>27</v>
      </c>
      <c r="M32" s="110" t="b">
        <f aca="false">IF(IFERROR(INDEX(tsk_Name,GanttView[[#This Row],[_Row]])="",TRUE()),FALSE(),INDEX(tsk_IsSummary,GanttView[[#This Row],[_Row]]))</f>
        <v>1</v>
      </c>
      <c r="N32" s="110" t="b">
        <f aca="false">IF(IFERROR(INDEX(tsk_Name,GanttView[[#This Row],[_Row]])="",TRUE()),FALSE(),AND(INDEX(tsk_IsLeaf,GanttView[[#This Row],[_Row]])=1,N(INDEX(tsk_Duration,GanttView[[#This Row],[_Row]]))=0))</f>
        <v>0</v>
      </c>
      <c r="O3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3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3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32" s="111" t="n">
        <f aca="false">IF(GanttView[[#This Row],[_RemFrom]]=0,0,GanttView[[#This Row],[Forecast Finish]])</f>
        <v>0</v>
      </c>
      <c r="S32" s="110" t="b">
        <f aca="false">IF(IFERROR(INDEX(tsk_Name,GanttView[[#This Row],[_Row]])="",TRUE()),FALSE(),N(INDEX(tsk_Variance,GanttView[[#This Row],[_Row]]))&gt;0)</f>
        <v>0</v>
      </c>
      <c r="T32" s="111" t="n">
        <f aca="false">IF(IFERROR(INDEX(tsk_Name,GanttView[[#This Row],[_Row]])="",TRUE()),0,N(INDEX(tsk_Deadline,GanttView[[#This Row],[_Row]])))</f>
        <v>0</v>
      </c>
      <c r="U32" s="110" t="b">
        <f aca="false">IF(IFERROR(INDEX(tsk_Name,GanttView[[#This Row],[_Row]])="",TRUE()),FALSE(),INDEX(tsk_Critical,GanttView[[#This Row],[_Row]])="Yes")</f>
        <v>1</v>
      </c>
    </row>
    <row r="33" customFormat="false" ht="15" hidden="false" customHeight="false" outlineLevel="0" collapsed="false">
      <c r="A33" s="104" t="n">
        <f aca="false">IF(IFERROR(INDEX(tsk_Name,GanttView[[#This Row],[_Row]])="",TRUE()),"",INDEX(tsk_ID,GanttView[[#This Row],[_Row]]))</f>
        <v>28</v>
      </c>
      <c r="B33" s="104" t="str">
        <f aca="false">IF(IFERROR(INDEX(tsk_Name,GanttView[[#This Row],[_Row]])="",TRUE()),"",INDEX(tsk_WBS,GanttView[[#This Row],[_Row]]))</f>
        <v>5.1</v>
      </c>
      <c r="C33" s="105" t="str">
        <f aca="false">IF(IFERROR(INDEX(tsk_Name,GanttView[[#This Row],[_Row]])="",TRUE()),"",REPT("    ",INDEX(tsk_Level,GanttView[[#This Row],[_Row]])-1)&amp;INDEX(tsk_Name,GanttView[[#This Row],[_Row]]))</f>
        <v>    Steering committee update</v>
      </c>
      <c r="D33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1</v>
      </c>
      <c r="E33" s="106" t="n">
        <f aca="false">IF(IFERROR(INDEX(tsk_Name,GanttView[[#This Row],[_Row]])="",TRUE()),"",INDEX(tsk_PlanStart,GanttView[[#This Row],[_Row]]))</f>
        <v>46342</v>
      </c>
      <c r="F33" s="106" t="n">
        <f aca="false">IF(IFERROR(INDEX(tsk_Name,GanttView[[#This Row],[_Row]])="",TRUE()),"",INDEX(tsk_PlanFinish,GanttView[[#This Row],[_Row]]))</f>
        <v>46342</v>
      </c>
      <c r="G33" s="106" t="n">
        <f aca="false">IF(IFERROR(INDEX(tsk_Name,GanttView[[#This Row],[_Row]])="",TRUE()),"",INDEX(tsk_FcStart,GanttView[[#This Row],[_Row]]))</f>
        <v>46342</v>
      </c>
      <c r="H33" s="106" t="n">
        <f aca="false">IF(IFERROR(INDEX(tsk_Name,GanttView[[#This Row],[_Row]])="",TRUE()),"",INDEX(tsk_FcFinish,GanttView[[#This Row],[_Row]]))</f>
        <v>46342</v>
      </c>
      <c r="I33" s="107" t="n">
        <f aca="false">IF(IFERROR(INDEX(tsk_Name,GanttView[[#This Row],[_Row]])="",TRUE()),"",INDEX(tsk_Progress,GanttView[[#This Row],[_Row]]))</f>
        <v>0</v>
      </c>
      <c r="J33" s="105" t="str">
        <f aca="false">IF(IFERROR(INDEX(tsk_Name,GanttView[[#This Row],[_Row]])="",TRUE()),"",INDEX(tsk_Resource,GanttView[[#This Row],[_Row]])&amp;"")</f>
        <v>Priya Sharma</v>
      </c>
      <c r="K33" s="108" t="str">
        <f aca="false">IF(IFERROR(INDEX(tsk_Name,GanttView[[#This Row],[_Row]])="",TRUE()),"",INDEX(tsk_Status,GanttView[[#This Row],[_Row]]))</f>
        <v>Not Started</v>
      </c>
      <c r="L33" s="109" t="n">
        <f aca="false">ROW()-ROW(GanttView[[#Headers],[ID]])</f>
        <v>28</v>
      </c>
      <c r="M33" s="110" t="b">
        <f aca="false">IF(IFERROR(INDEX(tsk_Name,GanttView[[#This Row],[_Row]])="",TRUE()),FALSE(),INDEX(tsk_IsSummary,GanttView[[#This Row],[_Row]]))</f>
        <v>0</v>
      </c>
      <c r="N33" s="110" t="b">
        <f aca="false">IF(IFERROR(INDEX(tsk_Name,GanttView[[#This Row],[_Row]])="",TRUE()),FALSE(),AND(INDEX(tsk_IsLeaf,GanttView[[#This Row],[_Row]])=1,N(INDEX(tsk_Duration,GanttView[[#This Row],[_Row]]))=0))</f>
        <v>0</v>
      </c>
      <c r="O3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3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3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46342</v>
      </c>
      <c r="R33" s="111" t="n">
        <f aca="false">IF(GanttView[[#This Row],[_RemFrom]]=0,0,GanttView[[#This Row],[Forecast Finish]])</f>
        <v>46342</v>
      </c>
      <c r="S33" s="110" t="b">
        <f aca="false">IF(IFERROR(INDEX(tsk_Name,GanttView[[#This Row],[_Row]])="",TRUE()),FALSE(),N(INDEX(tsk_Variance,GanttView[[#This Row],[_Row]]))&gt;0)</f>
        <v>0</v>
      </c>
      <c r="T33" s="111" t="n">
        <f aca="false">IF(IFERROR(INDEX(tsk_Name,GanttView[[#This Row],[_Row]])="",TRUE()),0,N(INDEX(tsk_Deadline,GanttView[[#This Row],[_Row]])))</f>
        <v>0</v>
      </c>
      <c r="U33" s="110" t="b">
        <f aca="false">IF(IFERROR(INDEX(tsk_Name,GanttView[[#This Row],[_Row]])="",TRUE()),FALSE(),INDEX(tsk_Critical,GanttView[[#This Row],[_Row]])="Yes")</f>
        <v>0</v>
      </c>
    </row>
    <row r="34" customFormat="false" ht="15" hidden="false" customHeight="false" outlineLevel="0" collapsed="false">
      <c r="A34" s="104" t="n">
        <f aca="false">IF(IFERROR(INDEX(tsk_Name,GanttView[[#This Row],[_Row]])="",TRUE()),"",INDEX(tsk_ID,GanttView[[#This Row],[_Row]]))</f>
        <v>29</v>
      </c>
      <c r="B34" s="104" t="str">
        <f aca="false">IF(IFERROR(INDEX(tsk_Name,GanttView[[#This Row],[_Row]])="",TRUE()),"",INDEX(tsk_WBS,GanttView[[#This Row],[_Row]]))</f>
        <v>5.2</v>
      </c>
      <c r="C34" s="105" t="str">
        <f aca="false">IF(IFERROR(INDEX(tsk_Name,GanttView[[#This Row],[_Row]])="",TRUE()),"",REPT("    ",INDEX(tsk_Level,GanttView[[#This Row],[_Row]])-1)&amp;INDEX(tsk_Name,GanttView[[#This Row],[_Row]]))</f>
        <v>    Lessons learned</v>
      </c>
      <c r="D34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2</v>
      </c>
      <c r="E34" s="106" t="n">
        <f aca="false">IF(IFERROR(INDEX(tsk_Name,GanttView[[#This Row],[_Row]])="",TRUE()),"",INDEX(tsk_PlanStart,GanttView[[#This Row],[_Row]]))</f>
        <v>46392</v>
      </c>
      <c r="F34" s="106" t="n">
        <f aca="false">IF(IFERROR(INDEX(tsk_Name,GanttView[[#This Row],[_Row]])="",TRUE()),"",INDEX(tsk_PlanFinish,GanttView[[#This Row],[_Row]]))</f>
        <v>46393</v>
      </c>
      <c r="G34" s="106" t="n">
        <f aca="false">IF(IFERROR(INDEX(tsk_Name,GanttView[[#This Row],[_Row]])="",TRUE()),"",INDEX(tsk_FcStart,GanttView[[#This Row],[_Row]]))</f>
        <v>46392</v>
      </c>
      <c r="H34" s="106" t="n">
        <f aca="false">IF(IFERROR(INDEX(tsk_Name,GanttView[[#This Row],[_Row]])="",TRUE()),"",INDEX(tsk_FcFinish,GanttView[[#This Row],[_Row]]))</f>
        <v>46393</v>
      </c>
      <c r="I34" s="107" t="n">
        <f aca="false">IF(IFERROR(INDEX(tsk_Name,GanttView[[#This Row],[_Row]])="",TRUE()),"",INDEX(tsk_Progress,GanttView[[#This Row],[_Row]]))</f>
        <v>0</v>
      </c>
      <c r="J34" s="105" t="str">
        <f aca="false">IF(IFERROR(INDEX(tsk_Name,GanttView[[#This Row],[_Row]])="",TRUE()),"",INDEX(tsk_Resource,GanttView[[#This Row],[_Row]])&amp;"")</f>
        <v>Priya Sharma</v>
      </c>
      <c r="K34" s="108" t="str">
        <f aca="false">IF(IFERROR(INDEX(tsk_Name,GanttView[[#This Row],[_Row]])="",TRUE()),"",INDEX(tsk_Status,GanttView[[#This Row],[_Row]]))</f>
        <v>Not Started</v>
      </c>
      <c r="L34" s="109" t="n">
        <f aca="false">ROW()-ROW(GanttView[[#Headers],[ID]])</f>
        <v>29</v>
      </c>
      <c r="M34" s="110" t="b">
        <f aca="false">IF(IFERROR(INDEX(tsk_Name,GanttView[[#This Row],[_Row]])="",TRUE()),FALSE(),INDEX(tsk_IsSummary,GanttView[[#This Row],[_Row]]))</f>
        <v>0</v>
      </c>
      <c r="N34" s="110" t="b">
        <f aca="false">IF(IFERROR(INDEX(tsk_Name,GanttView[[#This Row],[_Row]])="",TRUE()),FALSE(),AND(INDEX(tsk_IsLeaf,GanttView[[#This Row],[_Row]])=1,N(INDEX(tsk_Duration,GanttView[[#This Row],[_Row]]))=0))</f>
        <v>0</v>
      </c>
      <c r="O3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3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3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46392</v>
      </c>
      <c r="R34" s="111" t="n">
        <f aca="false">IF(GanttView[[#This Row],[_RemFrom]]=0,0,GanttView[[#This Row],[Forecast Finish]])</f>
        <v>46393</v>
      </c>
      <c r="S34" s="110" t="b">
        <f aca="false">IF(IFERROR(INDEX(tsk_Name,GanttView[[#This Row],[_Row]])="",TRUE()),FALSE(),N(INDEX(tsk_Variance,GanttView[[#This Row],[_Row]]))&gt;0)</f>
        <v>0</v>
      </c>
      <c r="T34" s="111" t="n">
        <f aca="false">IF(IFERROR(INDEX(tsk_Name,GanttView[[#This Row],[_Row]])="",TRUE()),0,N(INDEX(tsk_Deadline,GanttView[[#This Row],[_Row]])))</f>
        <v>0</v>
      </c>
      <c r="U34" s="110" t="b">
        <f aca="false">IF(IFERROR(INDEX(tsk_Name,GanttView[[#This Row],[_Row]])="",TRUE()),FALSE(),INDEX(tsk_Critical,GanttView[[#This Row],[_Row]])="Yes")</f>
        <v>1</v>
      </c>
    </row>
    <row r="35" customFormat="false" ht="15" hidden="false" customHeight="false" outlineLevel="0" collapsed="false">
      <c r="A35" s="104" t="n">
        <f aca="false">IF(IFERROR(INDEX(tsk_Name,GanttView[[#This Row],[_Row]])="",TRUE()),"",INDEX(tsk_ID,GanttView[[#This Row],[_Row]]))</f>
        <v>30</v>
      </c>
      <c r="B35" s="104" t="str">
        <f aca="false">IF(IFERROR(INDEX(tsk_Name,GanttView[[#This Row],[_Row]])="",TRUE()),"",INDEX(tsk_WBS,GanttView[[#This Row],[_Row]]))</f>
        <v>5.3</v>
      </c>
      <c r="C35" s="105" t="str">
        <f aca="false">IF(IFERROR(INDEX(tsk_Name,GanttView[[#This Row],[_Row]])="",TRUE()),"",REPT("    ",INDEX(tsk_Level,GanttView[[#This Row],[_Row]])-1)&amp;INDEX(tsk_Name,GanttView[[#This Row],[_Row]]))</f>
        <v>    Project closed</v>
      </c>
      <c r="D35" s="104" t="n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>0</v>
      </c>
      <c r="E35" s="106" t="n">
        <f aca="false">IF(IFERROR(INDEX(tsk_Name,GanttView[[#This Row],[_Row]])="",TRUE()),"",INDEX(tsk_PlanStart,GanttView[[#This Row],[_Row]]))</f>
        <v>46393</v>
      </c>
      <c r="F35" s="106" t="n">
        <f aca="false">IF(IFERROR(INDEX(tsk_Name,GanttView[[#This Row],[_Row]])="",TRUE()),"",INDEX(tsk_PlanFinish,GanttView[[#This Row],[_Row]]))</f>
        <v>46393</v>
      </c>
      <c r="G35" s="106" t="n">
        <f aca="false">IF(IFERROR(INDEX(tsk_Name,GanttView[[#This Row],[_Row]])="",TRUE()),"",INDEX(tsk_FcStart,GanttView[[#This Row],[_Row]]))</f>
        <v>46393</v>
      </c>
      <c r="H35" s="106" t="n">
        <f aca="false">IF(IFERROR(INDEX(tsk_Name,GanttView[[#This Row],[_Row]])="",TRUE()),"",INDEX(tsk_FcFinish,GanttView[[#This Row],[_Row]]))</f>
        <v>46393</v>
      </c>
      <c r="I35" s="107" t="n">
        <f aca="false">IF(IFERROR(INDEX(tsk_Name,GanttView[[#This Row],[_Row]])="",TRUE()),"",INDEX(tsk_Progress,GanttView[[#This Row],[_Row]]))</f>
        <v>0</v>
      </c>
      <c r="J35" s="105" t="str">
        <f aca="false">IF(IFERROR(INDEX(tsk_Name,GanttView[[#This Row],[_Row]])="",TRUE()),"",INDEX(tsk_Resource,GanttView[[#This Row],[_Row]])&amp;"")</f>
        <v/>
      </c>
      <c r="K35" s="108" t="str">
        <f aca="false">IF(IFERROR(INDEX(tsk_Name,GanttView[[#This Row],[_Row]])="",TRUE()),"",INDEX(tsk_Status,GanttView[[#This Row],[_Row]]))</f>
        <v>Not Started</v>
      </c>
      <c r="L35" s="109" t="n">
        <f aca="false">ROW()-ROW(GanttView[[#Headers],[ID]])</f>
        <v>30</v>
      </c>
      <c r="M35" s="110" t="b">
        <f aca="false">IF(IFERROR(INDEX(tsk_Name,GanttView[[#This Row],[_Row]])="",TRUE()),FALSE(),INDEX(tsk_IsSummary,GanttView[[#This Row],[_Row]]))</f>
        <v>0</v>
      </c>
      <c r="N35" s="110" t="b">
        <f aca="false">IF(IFERROR(INDEX(tsk_Name,GanttView[[#This Row],[_Row]])="",TRUE()),FALSE(),AND(INDEX(tsk_IsLeaf,GanttView[[#This Row],[_Row]])=1,N(INDEX(tsk_Duration,GanttView[[#This Row],[_Row]]))=0))</f>
        <v>1</v>
      </c>
      <c r="O3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3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3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35" s="111" t="n">
        <f aca="false">IF(GanttView[[#This Row],[_RemFrom]]=0,0,GanttView[[#This Row],[Forecast Finish]])</f>
        <v>0</v>
      </c>
      <c r="S35" s="110" t="b">
        <f aca="false">IF(IFERROR(INDEX(tsk_Name,GanttView[[#This Row],[_Row]])="",TRUE()),FALSE(),N(INDEX(tsk_Variance,GanttView[[#This Row],[_Row]]))&gt;0)</f>
        <v>0</v>
      </c>
      <c r="T35" s="111" t="n">
        <f aca="false">IF(IFERROR(INDEX(tsk_Name,GanttView[[#This Row],[_Row]])="",TRUE()),0,N(INDEX(tsk_Deadline,GanttView[[#This Row],[_Row]])))</f>
        <v>0</v>
      </c>
      <c r="U35" s="110" t="b">
        <f aca="false">IF(IFERROR(INDEX(tsk_Name,GanttView[[#This Row],[_Row]])="",TRUE()),FALSE(),INDEX(tsk_Critical,GanttView[[#This Row],[_Row]])="Yes")</f>
        <v>1</v>
      </c>
    </row>
    <row r="36" customFormat="false" ht="15" hidden="false" customHeight="false" outlineLevel="0" collapsed="false">
      <c r="A36" s="104" t="str">
        <f aca="false">IF(IFERROR(INDEX(tsk_Name,GanttView[[#This Row],[_Row]])="",TRUE()),"",INDEX(tsk_ID,GanttView[[#This Row],[_Row]]))</f>
        <v/>
      </c>
      <c r="B36" s="104" t="str">
        <f aca="false">IF(IFERROR(INDEX(tsk_Name,GanttView[[#This Row],[_Row]])="",TRUE()),"",INDEX(tsk_WBS,GanttView[[#This Row],[_Row]]))</f>
        <v/>
      </c>
      <c r="C36" s="105" t="str">
        <f aca="false">IF(IFERROR(INDEX(tsk_Name,GanttView[[#This Row],[_Row]])="",TRUE()),"",REPT("    ",INDEX(tsk_Level,GanttView[[#This Row],[_Row]])-1)&amp;INDEX(tsk_Name,GanttView[[#This Row],[_Row]]))</f>
        <v/>
      </c>
      <c r="D3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36" s="106" t="str">
        <f aca="false">IF(IFERROR(INDEX(tsk_Name,GanttView[[#This Row],[_Row]])="",TRUE()),"",INDEX(tsk_PlanStart,GanttView[[#This Row],[_Row]]))</f>
        <v/>
      </c>
      <c r="F36" s="106" t="str">
        <f aca="false">IF(IFERROR(INDEX(tsk_Name,GanttView[[#This Row],[_Row]])="",TRUE()),"",INDEX(tsk_PlanFinish,GanttView[[#This Row],[_Row]]))</f>
        <v/>
      </c>
      <c r="G36" s="106" t="str">
        <f aca="false">IF(IFERROR(INDEX(tsk_Name,GanttView[[#This Row],[_Row]])="",TRUE()),"",INDEX(tsk_FcStart,GanttView[[#This Row],[_Row]]))</f>
        <v/>
      </c>
      <c r="H36" s="106" t="str">
        <f aca="false">IF(IFERROR(INDEX(tsk_Name,GanttView[[#This Row],[_Row]])="",TRUE()),"",INDEX(tsk_FcFinish,GanttView[[#This Row],[_Row]]))</f>
        <v/>
      </c>
      <c r="I36" s="107" t="str">
        <f aca="false">IF(IFERROR(INDEX(tsk_Name,GanttView[[#This Row],[_Row]])="",TRUE()),"",INDEX(tsk_Progress,GanttView[[#This Row],[_Row]]))</f>
        <v/>
      </c>
      <c r="J36" s="105" t="str">
        <f aca="false">IF(IFERROR(INDEX(tsk_Name,GanttView[[#This Row],[_Row]])="",TRUE()),"",INDEX(tsk_Resource,GanttView[[#This Row],[_Row]])&amp;"")</f>
        <v/>
      </c>
      <c r="K36" s="108" t="str">
        <f aca="false">IF(IFERROR(INDEX(tsk_Name,GanttView[[#This Row],[_Row]])="",TRUE()),"",INDEX(tsk_Status,GanttView[[#This Row],[_Row]]))</f>
        <v/>
      </c>
      <c r="L36" s="109" t="n">
        <f aca="false">ROW()-ROW(GanttView[[#Headers],[ID]])</f>
        <v>31</v>
      </c>
      <c r="M36" s="110" t="b">
        <f aca="false">IF(IFERROR(INDEX(tsk_Name,GanttView[[#This Row],[_Row]])="",TRUE()),FALSE(),INDEX(tsk_IsSummary,GanttView[[#This Row],[_Row]]))</f>
        <v>0</v>
      </c>
      <c r="N36" s="110" t="b">
        <f aca="false">IF(IFERROR(INDEX(tsk_Name,GanttView[[#This Row],[_Row]])="",TRUE()),FALSE(),AND(INDEX(tsk_IsLeaf,GanttView[[#This Row],[_Row]])=1,N(INDEX(tsk_Duration,GanttView[[#This Row],[_Row]]))=0))</f>
        <v>0</v>
      </c>
      <c r="O3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3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3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36" s="111" t="n">
        <f aca="false">IF(GanttView[[#This Row],[_RemFrom]]=0,0,GanttView[[#This Row],[Forecast Finish]])</f>
        <v>0</v>
      </c>
      <c r="S36" s="110" t="b">
        <f aca="false">IF(IFERROR(INDEX(tsk_Name,GanttView[[#This Row],[_Row]])="",TRUE()),FALSE(),N(INDEX(tsk_Variance,GanttView[[#This Row],[_Row]]))&gt;0)</f>
        <v>0</v>
      </c>
      <c r="T36" s="111" t="n">
        <f aca="false">IF(IFERROR(INDEX(tsk_Name,GanttView[[#This Row],[_Row]])="",TRUE()),0,N(INDEX(tsk_Deadline,GanttView[[#This Row],[_Row]])))</f>
        <v>0</v>
      </c>
      <c r="U36" s="110" t="b">
        <f aca="false">IF(IFERROR(INDEX(tsk_Name,GanttView[[#This Row],[_Row]])="",TRUE()),FALSE(),INDEX(tsk_Critical,GanttView[[#This Row],[_Row]])="Yes")</f>
        <v>0</v>
      </c>
    </row>
    <row r="37" customFormat="false" ht="15" hidden="false" customHeight="false" outlineLevel="0" collapsed="false">
      <c r="A37" s="104" t="str">
        <f aca="false">IF(IFERROR(INDEX(tsk_Name,GanttView[[#This Row],[_Row]])="",TRUE()),"",INDEX(tsk_ID,GanttView[[#This Row],[_Row]]))</f>
        <v/>
      </c>
      <c r="B37" s="104" t="str">
        <f aca="false">IF(IFERROR(INDEX(tsk_Name,GanttView[[#This Row],[_Row]])="",TRUE()),"",INDEX(tsk_WBS,GanttView[[#This Row],[_Row]]))</f>
        <v/>
      </c>
      <c r="C37" s="105" t="str">
        <f aca="false">IF(IFERROR(INDEX(tsk_Name,GanttView[[#This Row],[_Row]])="",TRUE()),"",REPT("    ",INDEX(tsk_Level,GanttView[[#This Row],[_Row]])-1)&amp;INDEX(tsk_Name,GanttView[[#This Row],[_Row]]))</f>
        <v/>
      </c>
      <c r="D3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37" s="106" t="str">
        <f aca="false">IF(IFERROR(INDEX(tsk_Name,GanttView[[#This Row],[_Row]])="",TRUE()),"",INDEX(tsk_PlanStart,GanttView[[#This Row],[_Row]]))</f>
        <v/>
      </c>
      <c r="F37" s="106" t="str">
        <f aca="false">IF(IFERROR(INDEX(tsk_Name,GanttView[[#This Row],[_Row]])="",TRUE()),"",INDEX(tsk_PlanFinish,GanttView[[#This Row],[_Row]]))</f>
        <v/>
      </c>
      <c r="G37" s="106" t="str">
        <f aca="false">IF(IFERROR(INDEX(tsk_Name,GanttView[[#This Row],[_Row]])="",TRUE()),"",INDEX(tsk_FcStart,GanttView[[#This Row],[_Row]]))</f>
        <v/>
      </c>
      <c r="H37" s="106" t="str">
        <f aca="false">IF(IFERROR(INDEX(tsk_Name,GanttView[[#This Row],[_Row]])="",TRUE()),"",INDEX(tsk_FcFinish,GanttView[[#This Row],[_Row]]))</f>
        <v/>
      </c>
      <c r="I37" s="107" t="str">
        <f aca="false">IF(IFERROR(INDEX(tsk_Name,GanttView[[#This Row],[_Row]])="",TRUE()),"",INDEX(tsk_Progress,GanttView[[#This Row],[_Row]]))</f>
        <v/>
      </c>
      <c r="J37" s="105" t="str">
        <f aca="false">IF(IFERROR(INDEX(tsk_Name,GanttView[[#This Row],[_Row]])="",TRUE()),"",INDEX(tsk_Resource,GanttView[[#This Row],[_Row]])&amp;"")</f>
        <v/>
      </c>
      <c r="K37" s="108" t="str">
        <f aca="false">IF(IFERROR(INDEX(tsk_Name,GanttView[[#This Row],[_Row]])="",TRUE()),"",INDEX(tsk_Status,GanttView[[#This Row],[_Row]]))</f>
        <v/>
      </c>
      <c r="L37" s="109" t="n">
        <f aca="false">ROW()-ROW(GanttView[[#Headers],[ID]])</f>
        <v>32</v>
      </c>
      <c r="M37" s="110" t="b">
        <f aca="false">IF(IFERROR(INDEX(tsk_Name,GanttView[[#This Row],[_Row]])="",TRUE()),FALSE(),INDEX(tsk_IsSummary,GanttView[[#This Row],[_Row]]))</f>
        <v>0</v>
      </c>
      <c r="N37" s="110" t="b">
        <f aca="false">IF(IFERROR(INDEX(tsk_Name,GanttView[[#This Row],[_Row]])="",TRUE()),FALSE(),AND(INDEX(tsk_IsLeaf,GanttView[[#This Row],[_Row]])=1,N(INDEX(tsk_Duration,GanttView[[#This Row],[_Row]]))=0))</f>
        <v>0</v>
      </c>
      <c r="O3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3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3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37" s="111" t="n">
        <f aca="false">IF(GanttView[[#This Row],[_RemFrom]]=0,0,GanttView[[#This Row],[Forecast Finish]])</f>
        <v>0</v>
      </c>
      <c r="S37" s="110" t="b">
        <f aca="false">IF(IFERROR(INDEX(tsk_Name,GanttView[[#This Row],[_Row]])="",TRUE()),FALSE(),N(INDEX(tsk_Variance,GanttView[[#This Row],[_Row]]))&gt;0)</f>
        <v>0</v>
      </c>
      <c r="T37" s="111" t="n">
        <f aca="false">IF(IFERROR(INDEX(tsk_Name,GanttView[[#This Row],[_Row]])="",TRUE()),0,N(INDEX(tsk_Deadline,GanttView[[#This Row],[_Row]])))</f>
        <v>0</v>
      </c>
      <c r="U37" s="110" t="b">
        <f aca="false">IF(IFERROR(INDEX(tsk_Name,GanttView[[#This Row],[_Row]])="",TRUE()),FALSE(),INDEX(tsk_Critical,GanttView[[#This Row],[_Row]])="Yes")</f>
        <v>0</v>
      </c>
    </row>
    <row r="38" customFormat="false" ht="15" hidden="false" customHeight="false" outlineLevel="0" collapsed="false">
      <c r="A38" s="104" t="str">
        <f aca="false">IF(IFERROR(INDEX(tsk_Name,GanttView[[#This Row],[_Row]])="",TRUE()),"",INDEX(tsk_ID,GanttView[[#This Row],[_Row]]))</f>
        <v/>
      </c>
      <c r="B38" s="104" t="str">
        <f aca="false">IF(IFERROR(INDEX(tsk_Name,GanttView[[#This Row],[_Row]])="",TRUE()),"",INDEX(tsk_WBS,GanttView[[#This Row],[_Row]]))</f>
        <v/>
      </c>
      <c r="C38" s="105" t="str">
        <f aca="false">IF(IFERROR(INDEX(tsk_Name,GanttView[[#This Row],[_Row]])="",TRUE()),"",REPT("    ",INDEX(tsk_Level,GanttView[[#This Row],[_Row]])-1)&amp;INDEX(tsk_Name,GanttView[[#This Row],[_Row]]))</f>
        <v/>
      </c>
      <c r="D3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38" s="106" t="str">
        <f aca="false">IF(IFERROR(INDEX(tsk_Name,GanttView[[#This Row],[_Row]])="",TRUE()),"",INDEX(tsk_PlanStart,GanttView[[#This Row],[_Row]]))</f>
        <v/>
      </c>
      <c r="F38" s="106" t="str">
        <f aca="false">IF(IFERROR(INDEX(tsk_Name,GanttView[[#This Row],[_Row]])="",TRUE()),"",INDEX(tsk_PlanFinish,GanttView[[#This Row],[_Row]]))</f>
        <v/>
      </c>
      <c r="G38" s="106" t="str">
        <f aca="false">IF(IFERROR(INDEX(tsk_Name,GanttView[[#This Row],[_Row]])="",TRUE()),"",INDEX(tsk_FcStart,GanttView[[#This Row],[_Row]]))</f>
        <v/>
      </c>
      <c r="H38" s="106" t="str">
        <f aca="false">IF(IFERROR(INDEX(tsk_Name,GanttView[[#This Row],[_Row]])="",TRUE()),"",INDEX(tsk_FcFinish,GanttView[[#This Row],[_Row]]))</f>
        <v/>
      </c>
      <c r="I38" s="107" t="str">
        <f aca="false">IF(IFERROR(INDEX(tsk_Name,GanttView[[#This Row],[_Row]])="",TRUE()),"",INDEX(tsk_Progress,GanttView[[#This Row],[_Row]]))</f>
        <v/>
      </c>
      <c r="J38" s="105" t="str">
        <f aca="false">IF(IFERROR(INDEX(tsk_Name,GanttView[[#This Row],[_Row]])="",TRUE()),"",INDEX(tsk_Resource,GanttView[[#This Row],[_Row]])&amp;"")</f>
        <v/>
      </c>
      <c r="K38" s="108" t="str">
        <f aca="false">IF(IFERROR(INDEX(tsk_Name,GanttView[[#This Row],[_Row]])="",TRUE()),"",INDEX(tsk_Status,GanttView[[#This Row],[_Row]]))</f>
        <v/>
      </c>
      <c r="L38" s="109" t="n">
        <f aca="false">ROW()-ROW(GanttView[[#Headers],[ID]])</f>
        <v>33</v>
      </c>
      <c r="M38" s="110" t="b">
        <f aca="false">IF(IFERROR(INDEX(tsk_Name,GanttView[[#This Row],[_Row]])="",TRUE()),FALSE(),INDEX(tsk_IsSummary,GanttView[[#This Row],[_Row]]))</f>
        <v>0</v>
      </c>
      <c r="N38" s="110" t="b">
        <f aca="false">IF(IFERROR(INDEX(tsk_Name,GanttView[[#This Row],[_Row]])="",TRUE()),FALSE(),AND(INDEX(tsk_IsLeaf,GanttView[[#This Row],[_Row]])=1,N(INDEX(tsk_Duration,GanttView[[#This Row],[_Row]]))=0))</f>
        <v>0</v>
      </c>
      <c r="O3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3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3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38" s="111" t="n">
        <f aca="false">IF(GanttView[[#This Row],[_RemFrom]]=0,0,GanttView[[#This Row],[Forecast Finish]])</f>
        <v>0</v>
      </c>
      <c r="S38" s="110" t="b">
        <f aca="false">IF(IFERROR(INDEX(tsk_Name,GanttView[[#This Row],[_Row]])="",TRUE()),FALSE(),N(INDEX(tsk_Variance,GanttView[[#This Row],[_Row]]))&gt;0)</f>
        <v>0</v>
      </c>
      <c r="T38" s="111" t="n">
        <f aca="false">IF(IFERROR(INDEX(tsk_Name,GanttView[[#This Row],[_Row]])="",TRUE()),0,N(INDEX(tsk_Deadline,GanttView[[#This Row],[_Row]])))</f>
        <v>0</v>
      </c>
      <c r="U38" s="110" t="b">
        <f aca="false">IF(IFERROR(INDEX(tsk_Name,GanttView[[#This Row],[_Row]])="",TRUE()),FALSE(),INDEX(tsk_Critical,GanttView[[#This Row],[_Row]])="Yes")</f>
        <v>0</v>
      </c>
    </row>
    <row r="39" customFormat="false" ht="15" hidden="false" customHeight="false" outlineLevel="0" collapsed="false">
      <c r="A39" s="104" t="str">
        <f aca="false">IF(IFERROR(INDEX(tsk_Name,GanttView[[#This Row],[_Row]])="",TRUE()),"",INDEX(tsk_ID,GanttView[[#This Row],[_Row]]))</f>
        <v/>
      </c>
      <c r="B39" s="104" t="str">
        <f aca="false">IF(IFERROR(INDEX(tsk_Name,GanttView[[#This Row],[_Row]])="",TRUE()),"",INDEX(tsk_WBS,GanttView[[#This Row],[_Row]]))</f>
        <v/>
      </c>
      <c r="C39" s="105" t="str">
        <f aca="false">IF(IFERROR(INDEX(tsk_Name,GanttView[[#This Row],[_Row]])="",TRUE()),"",REPT("    ",INDEX(tsk_Level,GanttView[[#This Row],[_Row]])-1)&amp;INDEX(tsk_Name,GanttView[[#This Row],[_Row]]))</f>
        <v/>
      </c>
      <c r="D3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39" s="106" t="str">
        <f aca="false">IF(IFERROR(INDEX(tsk_Name,GanttView[[#This Row],[_Row]])="",TRUE()),"",INDEX(tsk_PlanStart,GanttView[[#This Row],[_Row]]))</f>
        <v/>
      </c>
      <c r="F39" s="106" t="str">
        <f aca="false">IF(IFERROR(INDEX(tsk_Name,GanttView[[#This Row],[_Row]])="",TRUE()),"",INDEX(tsk_PlanFinish,GanttView[[#This Row],[_Row]]))</f>
        <v/>
      </c>
      <c r="G39" s="106" t="str">
        <f aca="false">IF(IFERROR(INDEX(tsk_Name,GanttView[[#This Row],[_Row]])="",TRUE()),"",INDEX(tsk_FcStart,GanttView[[#This Row],[_Row]]))</f>
        <v/>
      </c>
      <c r="H39" s="106" t="str">
        <f aca="false">IF(IFERROR(INDEX(tsk_Name,GanttView[[#This Row],[_Row]])="",TRUE()),"",INDEX(tsk_FcFinish,GanttView[[#This Row],[_Row]]))</f>
        <v/>
      </c>
      <c r="I39" s="107" t="str">
        <f aca="false">IF(IFERROR(INDEX(tsk_Name,GanttView[[#This Row],[_Row]])="",TRUE()),"",INDEX(tsk_Progress,GanttView[[#This Row],[_Row]]))</f>
        <v/>
      </c>
      <c r="J39" s="105" t="str">
        <f aca="false">IF(IFERROR(INDEX(tsk_Name,GanttView[[#This Row],[_Row]])="",TRUE()),"",INDEX(tsk_Resource,GanttView[[#This Row],[_Row]])&amp;"")</f>
        <v/>
      </c>
      <c r="K39" s="108" t="str">
        <f aca="false">IF(IFERROR(INDEX(tsk_Name,GanttView[[#This Row],[_Row]])="",TRUE()),"",INDEX(tsk_Status,GanttView[[#This Row],[_Row]]))</f>
        <v/>
      </c>
      <c r="L39" s="109" t="n">
        <f aca="false">ROW()-ROW(GanttView[[#Headers],[ID]])</f>
        <v>34</v>
      </c>
      <c r="M39" s="110" t="b">
        <f aca="false">IF(IFERROR(INDEX(tsk_Name,GanttView[[#This Row],[_Row]])="",TRUE()),FALSE(),INDEX(tsk_IsSummary,GanttView[[#This Row],[_Row]]))</f>
        <v>0</v>
      </c>
      <c r="N39" s="110" t="b">
        <f aca="false">IF(IFERROR(INDEX(tsk_Name,GanttView[[#This Row],[_Row]])="",TRUE()),FALSE(),AND(INDEX(tsk_IsLeaf,GanttView[[#This Row],[_Row]])=1,N(INDEX(tsk_Duration,GanttView[[#This Row],[_Row]]))=0))</f>
        <v>0</v>
      </c>
      <c r="O3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3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3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39" s="111" t="n">
        <f aca="false">IF(GanttView[[#This Row],[_RemFrom]]=0,0,GanttView[[#This Row],[Forecast Finish]])</f>
        <v>0</v>
      </c>
      <c r="S39" s="110" t="b">
        <f aca="false">IF(IFERROR(INDEX(tsk_Name,GanttView[[#This Row],[_Row]])="",TRUE()),FALSE(),N(INDEX(tsk_Variance,GanttView[[#This Row],[_Row]]))&gt;0)</f>
        <v>0</v>
      </c>
      <c r="T39" s="111" t="n">
        <f aca="false">IF(IFERROR(INDEX(tsk_Name,GanttView[[#This Row],[_Row]])="",TRUE()),0,N(INDEX(tsk_Deadline,GanttView[[#This Row],[_Row]])))</f>
        <v>0</v>
      </c>
      <c r="U39" s="110" t="b">
        <f aca="false">IF(IFERROR(INDEX(tsk_Name,GanttView[[#This Row],[_Row]])="",TRUE()),FALSE(),INDEX(tsk_Critical,GanttView[[#This Row],[_Row]])="Yes")</f>
        <v>0</v>
      </c>
    </row>
    <row r="40" customFormat="false" ht="15" hidden="false" customHeight="false" outlineLevel="0" collapsed="false">
      <c r="A40" s="104" t="str">
        <f aca="false">IF(IFERROR(INDEX(tsk_Name,GanttView[[#This Row],[_Row]])="",TRUE()),"",INDEX(tsk_ID,GanttView[[#This Row],[_Row]]))</f>
        <v/>
      </c>
      <c r="B40" s="104" t="str">
        <f aca="false">IF(IFERROR(INDEX(tsk_Name,GanttView[[#This Row],[_Row]])="",TRUE()),"",INDEX(tsk_WBS,GanttView[[#This Row],[_Row]]))</f>
        <v/>
      </c>
      <c r="C40" s="105" t="str">
        <f aca="false">IF(IFERROR(INDEX(tsk_Name,GanttView[[#This Row],[_Row]])="",TRUE()),"",REPT("    ",INDEX(tsk_Level,GanttView[[#This Row],[_Row]])-1)&amp;INDEX(tsk_Name,GanttView[[#This Row],[_Row]]))</f>
        <v/>
      </c>
      <c r="D4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40" s="106" t="str">
        <f aca="false">IF(IFERROR(INDEX(tsk_Name,GanttView[[#This Row],[_Row]])="",TRUE()),"",INDEX(tsk_PlanStart,GanttView[[#This Row],[_Row]]))</f>
        <v/>
      </c>
      <c r="F40" s="106" t="str">
        <f aca="false">IF(IFERROR(INDEX(tsk_Name,GanttView[[#This Row],[_Row]])="",TRUE()),"",INDEX(tsk_PlanFinish,GanttView[[#This Row],[_Row]]))</f>
        <v/>
      </c>
      <c r="G40" s="106" t="str">
        <f aca="false">IF(IFERROR(INDEX(tsk_Name,GanttView[[#This Row],[_Row]])="",TRUE()),"",INDEX(tsk_FcStart,GanttView[[#This Row],[_Row]]))</f>
        <v/>
      </c>
      <c r="H40" s="106" t="str">
        <f aca="false">IF(IFERROR(INDEX(tsk_Name,GanttView[[#This Row],[_Row]])="",TRUE()),"",INDEX(tsk_FcFinish,GanttView[[#This Row],[_Row]]))</f>
        <v/>
      </c>
      <c r="I40" s="107" t="str">
        <f aca="false">IF(IFERROR(INDEX(tsk_Name,GanttView[[#This Row],[_Row]])="",TRUE()),"",INDEX(tsk_Progress,GanttView[[#This Row],[_Row]]))</f>
        <v/>
      </c>
      <c r="J40" s="105" t="str">
        <f aca="false">IF(IFERROR(INDEX(tsk_Name,GanttView[[#This Row],[_Row]])="",TRUE()),"",INDEX(tsk_Resource,GanttView[[#This Row],[_Row]])&amp;"")</f>
        <v/>
      </c>
      <c r="K40" s="108" t="str">
        <f aca="false">IF(IFERROR(INDEX(tsk_Name,GanttView[[#This Row],[_Row]])="",TRUE()),"",INDEX(tsk_Status,GanttView[[#This Row],[_Row]]))</f>
        <v/>
      </c>
      <c r="L40" s="109" t="n">
        <f aca="false">ROW()-ROW(GanttView[[#Headers],[ID]])</f>
        <v>35</v>
      </c>
      <c r="M40" s="110" t="b">
        <f aca="false">IF(IFERROR(INDEX(tsk_Name,GanttView[[#This Row],[_Row]])="",TRUE()),FALSE(),INDEX(tsk_IsSummary,GanttView[[#This Row],[_Row]]))</f>
        <v>0</v>
      </c>
      <c r="N40" s="110" t="b">
        <f aca="false">IF(IFERROR(INDEX(tsk_Name,GanttView[[#This Row],[_Row]])="",TRUE()),FALSE(),AND(INDEX(tsk_IsLeaf,GanttView[[#This Row],[_Row]])=1,N(INDEX(tsk_Duration,GanttView[[#This Row],[_Row]]))=0))</f>
        <v>0</v>
      </c>
      <c r="O4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4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4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40" s="111" t="n">
        <f aca="false">IF(GanttView[[#This Row],[_RemFrom]]=0,0,GanttView[[#This Row],[Forecast Finish]])</f>
        <v>0</v>
      </c>
      <c r="S40" s="110" t="b">
        <f aca="false">IF(IFERROR(INDEX(tsk_Name,GanttView[[#This Row],[_Row]])="",TRUE()),FALSE(),N(INDEX(tsk_Variance,GanttView[[#This Row],[_Row]]))&gt;0)</f>
        <v>0</v>
      </c>
      <c r="T40" s="111" t="n">
        <f aca="false">IF(IFERROR(INDEX(tsk_Name,GanttView[[#This Row],[_Row]])="",TRUE()),0,N(INDEX(tsk_Deadline,GanttView[[#This Row],[_Row]])))</f>
        <v>0</v>
      </c>
      <c r="U40" s="110" t="b">
        <f aca="false">IF(IFERROR(INDEX(tsk_Name,GanttView[[#This Row],[_Row]])="",TRUE()),FALSE(),INDEX(tsk_Critical,GanttView[[#This Row],[_Row]])="Yes")</f>
        <v>0</v>
      </c>
    </row>
    <row r="41" customFormat="false" ht="15" hidden="false" customHeight="false" outlineLevel="0" collapsed="false">
      <c r="A41" s="104" t="str">
        <f aca="false">IF(IFERROR(INDEX(tsk_Name,GanttView[[#This Row],[_Row]])="",TRUE()),"",INDEX(tsk_ID,GanttView[[#This Row],[_Row]]))</f>
        <v/>
      </c>
      <c r="B41" s="104" t="str">
        <f aca="false">IF(IFERROR(INDEX(tsk_Name,GanttView[[#This Row],[_Row]])="",TRUE()),"",INDEX(tsk_WBS,GanttView[[#This Row],[_Row]]))</f>
        <v/>
      </c>
      <c r="C41" s="105" t="str">
        <f aca="false">IF(IFERROR(INDEX(tsk_Name,GanttView[[#This Row],[_Row]])="",TRUE()),"",REPT("    ",INDEX(tsk_Level,GanttView[[#This Row],[_Row]])-1)&amp;INDEX(tsk_Name,GanttView[[#This Row],[_Row]]))</f>
        <v/>
      </c>
      <c r="D4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41" s="106" t="str">
        <f aca="false">IF(IFERROR(INDEX(tsk_Name,GanttView[[#This Row],[_Row]])="",TRUE()),"",INDEX(tsk_PlanStart,GanttView[[#This Row],[_Row]]))</f>
        <v/>
      </c>
      <c r="F41" s="106" t="str">
        <f aca="false">IF(IFERROR(INDEX(tsk_Name,GanttView[[#This Row],[_Row]])="",TRUE()),"",INDEX(tsk_PlanFinish,GanttView[[#This Row],[_Row]]))</f>
        <v/>
      </c>
      <c r="G41" s="106" t="str">
        <f aca="false">IF(IFERROR(INDEX(tsk_Name,GanttView[[#This Row],[_Row]])="",TRUE()),"",INDEX(tsk_FcStart,GanttView[[#This Row],[_Row]]))</f>
        <v/>
      </c>
      <c r="H41" s="106" t="str">
        <f aca="false">IF(IFERROR(INDEX(tsk_Name,GanttView[[#This Row],[_Row]])="",TRUE()),"",INDEX(tsk_FcFinish,GanttView[[#This Row],[_Row]]))</f>
        <v/>
      </c>
      <c r="I41" s="107" t="str">
        <f aca="false">IF(IFERROR(INDEX(tsk_Name,GanttView[[#This Row],[_Row]])="",TRUE()),"",INDEX(tsk_Progress,GanttView[[#This Row],[_Row]]))</f>
        <v/>
      </c>
      <c r="J41" s="105" t="str">
        <f aca="false">IF(IFERROR(INDEX(tsk_Name,GanttView[[#This Row],[_Row]])="",TRUE()),"",INDEX(tsk_Resource,GanttView[[#This Row],[_Row]])&amp;"")</f>
        <v/>
      </c>
      <c r="K41" s="108" t="str">
        <f aca="false">IF(IFERROR(INDEX(tsk_Name,GanttView[[#This Row],[_Row]])="",TRUE()),"",INDEX(tsk_Status,GanttView[[#This Row],[_Row]]))</f>
        <v/>
      </c>
      <c r="L41" s="109" t="n">
        <f aca="false">ROW()-ROW(GanttView[[#Headers],[ID]])</f>
        <v>36</v>
      </c>
      <c r="M41" s="110" t="b">
        <f aca="false">IF(IFERROR(INDEX(tsk_Name,GanttView[[#This Row],[_Row]])="",TRUE()),FALSE(),INDEX(tsk_IsSummary,GanttView[[#This Row],[_Row]]))</f>
        <v>0</v>
      </c>
      <c r="N41" s="110" t="b">
        <f aca="false">IF(IFERROR(INDEX(tsk_Name,GanttView[[#This Row],[_Row]])="",TRUE()),FALSE(),AND(INDEX(tsk_IsLeaf,GanttView[[#This Row],[_Row]])=1,N(INDEX(tsk_Duration,GanttView[[#This Row],[_Row]]))=0))</f>
        <v>0</v>
      </c>
      <c r="O4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4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4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41" s="111" t="n">
        <f aca="false">IF(GanttView[[#This Row],[_RemFrom]]=0,0,GanttView[[#This Row],[Forecast Finish]])</f>
        <v>0</v>
      </c>
      <c r="S41" s="110" t="b">
        <f aca="false">IF(IFERROR(INDEX(tsk_Name,GanttView[[#This Row],[_Row]])="",TRUE()),FALSE(),N(INDEX(tsk_Variance,GanttView[[#This Row],[_Row]]))&gt;0)</f>
        <v>0</v>
      </c>
      <c r="T41" s="111" t="n">
        <f aca="false">IF(IFERROR(INDEX(tsk_Name,GanttView[[#This Row],[_Row]])="",TRUE()),0,N(INDEX(tsk_Deadline,GanttView[[#This Row],[_Row]])))</f>
        <v>0</v>
      </c>
      <c r="U41" s="110" t="b">
        <f aca="false">IF(IFERROR(INDEX(tsk_Name,GanttView[[#This Row],[_Row]])="",TRUE()),FALSE(),INDEX(tsk_Critical,GanttView[[#This Row],[_Row]])="Yes")</f>
        <v>0</v>
      </c>
    </row>
    <row r="42" customFormat="false" ht="15" hidden="false" customHeight="false" outlineLevel="0" collapsed="false">
      <c r="A42" s="104" t="str">
        <f aca="false">IF(IFERROR(INDEX(tsk_Name,GanttView[[#This Row],[_Row]])="",TRUE()),"",INDEX(tsk_ID,GanttView[[#This Row],[_Row]]))</f>
        <v/>
      </c>
      <c r="B42" s="104" t="str">
        <f aca="false">IF(IFERROR(INDEX(tsk_Name,GanttView[[#This Row],[_Row]])="",TRUE()),"",INDEX(tsk_WBS,GanttView[[#This Row],[_Row]]))</f>
        <v/>
      </c>
      <c r="C42" s="105" t="str">
        <f aca="false">IF(IFERROR(INDEX(tsk_Name,GanttView[[#This Row],[_Row]])="",TRUE()),"",REPT("    ",INDEX(tsk_Level,GanttView[[#This Row],[_Row]])-1)&amp;INDEX(tsk_Name,GanttView[[#This Row],[_Row]]))</f>
        <v/>
      </c>
      <c r="D4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42" s="106" t="str">
        <f aca="false">IF(IFERROR(INDEX(tsk_Name,GanttView[[#This Row],[_Row]])="",TRUE()),"",INDEX(tsk_PlanStart,GanttView[[#This Row],[_Row]]))</f>
        <v/>
      </c>
      <c r="F42" s="106" t="str">
        <f aca="false">IF(IFERROR(INDEX(tsk_Name,GanttView[[#This Row],[_Row]])="",TRUE()),"",INDEX(tsk_PlanFinish,GanttView[[#This Row],[_Row]]))</f>
        <v/>
      </c>
      <c r="G42" s="106" t="str">
        <f aca="false">IF(IFERROR(INDEX(tsk_Name,GanttView[[#This Row],[_Row]])="",TRUE()),"",INDEX(tsk_FcStart,GanttView[[#This Row],[_Row]]))</f>
        <v/>
      </c>
      <c r="H42" s="106" t="str">
        <f aca="false">IF(IFERROR(INDEX(tsk_Name,GanttView[[#This Row],[_Row]])="",TRUE()),"",INDEX(tsk_FcFinish,GanttView[[#This Row],[_Row]]))</f>
        <v/>
      </c>
      <c r="I42" s="107" t="str">
        <f aca="false">IF(IFERROR(INDEX(tsk_Name,GanttView[[#This Row],[_Row]])="",TRUE()),"",INDEX(tsk_Progress,GanttView[[#This Row],[_Row]]))</f>
        <v/>
      </c>
      <c r="J42" s="105" t="str">
        <f aca="false">IF(IFERROR(INDEX(tsk_Name,GanttView[[#This Row],[_Row]])="",TRUE()),"",INDEX(tsk_Resource,GanttView[[#This Row],[_Row]])&amp;"")</f>
        <v/>
      </c>
      <c r="K42" s="108" t="str">
        <f aca="false">IF(IFERROR(INDEX(tsk_Name,GanttView[[#This Row],[_Row]])="",TRUE()),"",INDEX(tsk_Status,GanttView[[#This Row],[_Row]]))</f>
        <v/>
      </c>
      <c r="L42" s="109" t="n">
        <f aca="false">ROW()-ROW(GanttView[[#Headers],[ID]])</f>
        <v>37</v>
      </c>
      <c r="M42" s="110" t="b">
        <f aca="false">IF(IFERROR(INDEX(tsk_Name,GanttView[[#This Row],[_Row]])="",TRUE()),FALSE(),INDEX(tsk_IsSummary,GanttView[[#This Row],[_Row]]))</f>
        <v>0</v>
      </c>
      <c r="N42" s="110" t="b">
        <f aca="false">IF(IFERROR(INDEX(tsk_Name,GanttView[[#This Row],[_Row]])="",TRUE()),FALSE(),AND(INDEX(tsk_IsLeaf,GanttView[[#This Row],[_Row]])=1,N(INDEX(tsk_Duration,GanttView[[#This Row],[_Row]]))=0))</f>
        <v>0</v>
      </c>
      <c r="O4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4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4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42" s="111" t="n">
        <f aca="false">IF(GanttView[[#This Row],[_RemFrom]]=0,0,GanttView[[#This Row],[Forecast Finish]])</f>
        <v>0</v>
      </c>
      <c r="S42" s="110" t="b">
        <f aca="false">IF(IFERROR(INDEX(tsk_Name,GanttView[[#This Row],[_Row]])="",TRUE()),FALSE(),N(INDEX(tsk_Variance,GanttView[[#This Row],[_Row]]))&gt;0)</f>
        <v>0</v>
      </c>
      <c r="T42" s="111" t="n">
        <f aca="false">IF(IFERROR(INDEX(tsk_Name,GanttView[[#This Row],[_Row]])="",TRUE()),0,N(INDEX(tsk_Deadline,GanttView[[#This Row],[_Row]])))</f>
        <v>0</v>
      </c>
      <c r="U42" s="110" t="b">
        <f aca="false">IF(IFERROR(INDEX(tsk_Name,GanttView[[#This Row],[_Row]])="",TRUE()),FALSE(),INDEX(tsk_Critical,GanttView[[#This Row],[_Row]])="Yes")</f>
        <v>0</v>
      </c>
    </row>
    <row r="43" customFormat="false" ht="15" hidden="false" customHeight="false" outlineLevel="0" collapsed="false">
      <c r="A43" s="104" t="str">
        <f aca="false">IF(IFERROR(INDEX(tsk_Name,GanttView[[#This Row],[_Row]])="",TRUE()),"",INDEX(tsk_ID,GanttView[[#This Row],[_Row]]))</f>
        <v/>
      </c>
      <c r="B43" s="104" t="str">
        <f aca="false">IF(IFERROR(INDEX(tsk_Name,GanttView[[#This Row],[_Row]])="",TRUE()),"",INDEX(tsk_WBS,GanttView[[#This Row],[_Row]]))</f>
        <v/>
      </c>
      <c r="C43" s="105" t="str">
        <f aca="false">IF(IFERROR(INDEX(tsk_Name,GanttView[[#This Row],[_Row]])="",TRUE()),"",REPT("    ",INDEX(tsk_Level,GanttView[[#This Row],[_Row]])-1)&amp;INDEX(tsk_Name,GanttView[[#This Row],[_Row]]))</f>
        <v/>
      </c>
      <c r="D4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43" s="106" t="str">
        <f aca="false">IF(IFERROR(INDEX(tsk_Name,GanttView[[#This Row],[_Row]])="",TRUE()),"",INDEX(tsk_PlanStart,GanttView[[#This Row],[_Row]]))</f>
        <v/>
      </c>
      <c r="F43" s="106" t="str">
        <f aca="false">IF(IFERROR(INDEX(tsk_Name,GanttView[[#This Row],[_Row]])="",TRUE()),"",INDEX(tsk_PlanFinish,GanttView[[#This Row],[_Row]]))</f>
        <v/>
      </c>
      <c r="G43" s="106" t="str">
        <f aca="false">IF(IFERROR(INDEX(tsk_Name,GanttView[[#This Row],[_Row]])="",TRUE()),"",INDEX(tsk_FcStart,GanttView[[#This Row],[_Row]]))</f>
        <v/>
      </c>
      <c r="H43" s="106" t="str">
        <f aca="false">IF(IFERROR(INDEX(tsk_Name,GanttView[[#This Row],[_Row]])="",TRUE()),"",INDEX(tsk_FcFinish,GanttView[[#This Row],[_Row]]))</f>
        <v/>
      </c>
      <c r="I43" s="107" t="str">
        <f aca="false">IF(IFERROR(INDEX(tsk_Name,GanttView[[#This Row],[_Row]])="",TRUE()),"",INDEX(tsk_Progress,GanttView[[#This Row],[_Row]]))</f>
        <v/>
      </c>
      <c r="J43" s="105" t="str">
        <f aca="false">IF(IFERROR(INDEX(tsk_Name,GanttView[[#This Row],[_Row]])="",TRUE()),"",INDEX(tsk_Resource,GanttView[[#This Row],[_Row]])&amp;"")</f>
        <v/>
      </c>
      <c r="K43" s="108" t="str">
        <f aca="false">IF(IFERROR(INDEX(tsk_Name,GanttView[[#This Row],[_Row]])="",TRUE()),"",INDEX(tsk_Status,GanttView[[#This Row],[_Row]]))</f>
        <v/>
      </c>
      <c r="L43" s="109" t="n">
        <f aca="false">ROW()-ROW(GanttView[[#Headers],[ID]])</f>
        <v>38</v>
      </c>
      <c r="M43" s="110" t="b">
        <f aca="false">IF(IFERROR(INDEX(tsk_Name,GanttView[[#This Row],[_Row]])="",TRUE()),FALSE(),INDEX(tsk_IsSummary,GanttView[[#This Row],[_Row]]))</f>
        <v>0</v>
      </c>
      <c r="N43" s="110" t="b">
        <f aca="false">IF(IFERROR(INDEX(tsk_Name,GanttView[[#This Row],[_Row]])="",TRUE()),FALSE(),AND(INDEX(tsk_IsLeaf,GanttView[[#This Row],[_Row]])=1,N(INDEX(tsk_Duration,GanttView[[#This Row],[_Row]]))=0))</f>
        <v>0</v>
      </c>
      <c r="O4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4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4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43" s="111" t="n">
        <f aca="false">IF(GanttView[[#This Row],[_RemFrom]]=0,0,GanttView[[#This Row],[Forecast Finish]])</f>
        <v>0</v>
      </c>
      <c r="S43" s="110" t="b">
        <f aca="false">IF(IFERROR(INDEX(tsk_Name,GanttView[[#This Row],[_Row]])="",TRUE()),FALSE(),N(INDEX(tsk_Variance,GanttView[[#This Row],[_Row]]))&gt;0)</f>
        <v>0</v>
      </c>
      <c r="T43" s="111" t="n">
        <f aca="false">IF(IFERROR(INDEX(tsk_Name,GanttView[[#This Row],[_Row]])="",TRUE()),0,N(INDEX(tsk_Deadline,GanttView[[#This Row],[_Row]])))</f>
        <v>0</v>
      </c>
      <c r="U43" s="110" t="b">
        <f aca="false">IF(IFERROR(INDEX(tsk_Name,GanttView[[#This Row],[_Row]])="",TRUE()),FALSE(),INDEX(tsk_Critical,GanttView[[#This Row],[_Row]])="Yes")</f>
        <v>0</v>
      </c>
    </row>
    <row r="44" customFormat="false" ht="15" hidden="false" customHeight="false" outlineLevel="0" collapsed="false">
      <c r="A44" s="104" t="str">
        <f aca="false">IF(IFERROR(INDEX(tsk_Name,GanttView[[#This Row],[_Row]])="",TRUE()),"",INDEX(tsk_ID,GanttView[[#This Row],[_Row]]))</f>
        <v/>
      </c>
      <c r="B44" s="104" t="str">
        <f aca="false">IF(IFERROR(INDEX(tsk_Name,GanttView[[#This Row],[_Row]])="",TRUE()),"",INDEX(tsk_WBS,GanttView[[#This Row],[_Row]]))</f>
        <v/>
      </c>
      <c r="C44" s="105" t="str">
        <f aca="false">IF(IFERROR(INDEX(tsk_Name,GanttView[[#This Row],[_Row]])="",TRUE()),"",REPT("    ",INDEX(tsk_Level,GanttView[[#This Row],[_Row]])-1)&amp;INDEX(tsk_Name,GanttView[[#This Row],[_Row]]))</f>
        <v/>
      </c>
      <c r="D4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44" s="106" t="str">
        <f aca="false">IF(IFERROR(INDEX(tsk_Name,GanttView[[#This Row],[_Row]])="",TRUE()),"",INDEX(tsk_PlanStart,GanttView[[#This Row],[_Row]]))</f>
        <v/>
      </c>
      <c r="F44" s="106" t="str">
        <f aca="false">IF(IFERROR(INDEX(tsk_Name,GanttView[[#This Row],[_Row]])="",TRUE()),"",INDEX(tsk_PlanFinish,GanttView[[#This Row],[_Row]]))</f>
        <v/>
      </c>
      <c r="G44" s="106" t="str">
        <f aca="false">IF(IFERROR(INDEX(tsk_Name,GanttView[[#This Row],[_Row]])="",TRUE()),"",INDEX(tsk_FcStart,GanttView[[#This Row],[_Row]]))</f>
        <v/>
      </c>
      <c r="H44" s="106" t="str">
        <f aca="false">IF(IFERROR(INDEX(tsk_Name,GanttView[[#This Row],[_Row]])="",TRUE()),"",INDEX(tsk_FcFinish,GanttView[[#This Row],[_Row]]))</f>
        <v/>
      </c>
      <c r="I44" s="107" t="str">
        <f aca="false">IF(IFERROR(INDEX(tsk_Name,GanttView[[#This Row],[_Row]])="",TRUE()),"",INDEX(tsk_Progress,GanttView[[#This Row],[_Row]]))</f>
        <v/>
      </c>
      <c r="J44" s="105" t="str">
        <f aca="false">IF(IFERROR(INDEX(tsk_Name,GanttView[[#This Row],[_Row]])="",TRUE()),"",INDEX(tsk_Resource,GanttView[[#This Row],[_Row]])&amp;"")</f>
        <v/>
      </c>
      <c r="K44" s="108" t="str">
        <f aca="false">IF(IFERROR(INDEX(tsk_Name,GanttView[[#This Row],[_Row]])="",TRUE()),"",INDEX(tsk_Status,GanttView[[#This Row],[_Row]]))</f>
        <v/>
      </c>
      <c r="L44" s="109" t="n">
        <f aca="false">ROW()-ROW(GanttView[[#Headers],[ID]])</f>
        <v>39</v>
      </c>
      <c r="M44" s="110" t="b">
        <f aca="false">IF(IFERROR(INDEX(tsk_Name,GanttView[[#This Row],[_Row]])="",TRUE()),FALSE(),INDEX(tsk_IsSummary,GanttView[[#This Row],[_Row]]))</f>
        <v>0</v>
      </c>
      <c r="N44" s="110" t="b">
        <f aca="false">IF(IFERROR(INDEX(tsk_Name,GanttView[[#This Row],[_Row]])="",TRUE()),FALSE(),AND(INDEX(tsk_IsLeaf,GanttView[[#This Row],[_Row]])=1,N(INDEX(tsk_Duration,GanttView[[#This Row],[_Row]]))=0))</f>
        <v>0</v>
      </c>
      <c r="O4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4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4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44" s="111" t="n">
        <f aca="false">IF(GanttView[[#This Row],[_RemFrom]]=0,0,GanttView[[#This Row],[Forecast Finish]])</f>
        <v>0</v>
      </c>
      <c r="S44" s="110" t="b">
        <f aca="false">IF(IFERROR(INDEX(tsk_Name,GanttView[[#This Row],[_Row]])="",TRUE()),FALSE(),N(INDEX(tsk_Variance,GanttView[[#This Row],[_Row]]))&gt;0)</f>
        <v>0</v>
      </c>
      <c r="T44" s="111" t="n">
        <f aca="false">IF(IFERROR(INDEX(tsk_Name,GanttView[[#This Row],[_Row]])="",TRUE()),0,N(INDEX(tsk_Deadline,GanttView[[#This Row],[_Row]])))</f>
        <v>0</v>
      </c>
      <c r="U44" s="110" t="b">
        <f aca="false">IF(IFERROR(INDEX(tsk_Name,GanttView[[#This Row],[_Row]])="",TRUE()),FALSE(),INDEX(tsk_Critical,GanttView[[#This Row],[_Row]])="Yes")</f>
        <v>0</v>
      </c>
    </row>
    <row r="45" customFormat="false" ht="15" hidden="false" customHeight="false" outlineLevel="0" collapsed="false">
      <c r="A45" s="104" t="str">
        <f aca="false">IF(IFERROR(INDEX(tsk_Name,GanttView[[#This Row],[_Row]])="",TRUE()),"",INDEX(tsk_ID,GanttView[[#This Row],[_Row]]))</f>
        <v/>
      </c>
      <c r="B45" s="104" t="str">
        <f aca="false">IF(IFERROR(INDEX(tsk_Name,GanttView[[#This Row],[_Row]])="",TRUE()),"",INDEX(tsk_WBS,GanttView[[#This Row],[_Row]]))</f>
        <v/>
      </c>
      <c r="C45" s="105" t="str">
        <f aca="false">IF(IFERROR(INDEX(tsk_Name,GanttView[[#This Row],[_Row]])="",TRUE()),"",REPT("    ",INDEX(tsk_Level,GanttView[[#This Row],[_Row]])-1)&amp;INDEX(tsk_Name,GanttView[[#This Row],[_Row]]))</f>
        <v/>
      </c>
      <c r="D4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45" s="106" t="str">
        <f aca="false">IF(IFERROR(INDEX(tsk_Name,GanttView[[#This Row],[_Row]])="",TRUE()),"",INDEX(tsk_PlanStart,GanttView[[#This Row],[_Row]]))</f>
        <v/>
      </c>
      <c r="F45" s="106" t="str">
        <f aca="false">IF(IFERROR(INDEX(tsk_Name,GanttView[[#This Row],[_Row]])="",TRUE()),"",INDEX(tsk_PlanFinish,GanttView[[#This Row],[_Row]]))</f>
        <v/>
      </c>
      <c r="G45" s="106" t="str">
        <f aca="false">IF(IFERROR(INDEX(tsk_Name,GanttView[[#This Row],[_Row]])="",TRUE()),"",INDEX(tsk_FcStart,GanttView[[#This Row],[_Row]]))</f>
        <v/>
      </c>
      <c r="H45" s="106" t="str">
        <f aca="false">IF(IFERROR(INDEX(tsk_Name,GanttView[[#This Row],[_Row]])="",TRUE()),"",INDEX(tsk_FcFinish,GanttView[[#This Row],[_Row]]))</f>
        <v/>
      </c>
      <c r="I45" s="107" t="str">
        <f aca="false">IF(IFERROR(INDEX(tsk_Name,GanttView[[#This Row],[_Row]])="",TRUE()),"",INDEX(tsk_Progress,GanttView[[#This Row],[_Row]]))</f>
        <v/>
      </c>
      <c r="J45" s="105" t="str">
        <f aca="false">IF(IFERROR(INDEX(tsk_Name,GanttView[[#This Row],[_Row]])="",TRUE()),"",INDEX(tsk_Resource,GanttView[[#This Row],[_Row]])&amp;"")</f>
        <v/>
      </c>
      <c r="K45" s="108" t="str">
        <f aca="false">IF(IFERROR(INDEX(tsk_Name,GanttView[[#This Row],[_Row]])="",TRUE()),"",INDEX(tsk_Status,GanttView[[#This Row],[_Row]]))</f>
        <v/>
      </c>
      <c r="L45" s="109" t="n">
        <f aca="false">ROW()-ROW(GanttView[[#Headers],[ID]])</f>
        <v>40</v>
      </c>
      <c r="M45" s="110" t="b">
        <f aca="false">IF(IFERROR(INDEX(tsk_Name,GanttView[[#This Row],[_Row]])="",TRUE()),FALSE(),INDEX(tsk_IsSummary,GanttView[[#This Row],[_Row]]))</f>
        <v>0</v>
      </c>
      <c r="N45" s="110" t="b">
        <f aca="false">IF(IFERROR(INDEX(tsk_Name,GanttView[[#This Row],[_Row]])="",TRUE()),FALSE(),AND(INDEX(tsk_IsLeaf,GanttView[[#This Row],[_Row]])=1,N(INDEX(tsk_Duration,GanttView[[#This Row],[_Row]]))=0))</f>
        <v>0</v>
      </c>
      <c r="O4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4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4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45" s="111" t="n">
        <f aca="false">IF(GanttView[[#This Row],[_RemFrom]]=0,0,GanttView[[#This Row],[Forecast Finish]])</f>
        <v>0</v>
      </c>
      <c r="S45" s="110" t="b">
        <f aca="false">IF(IFERROR(INDEX(tsk_Name,GanttView[[#This Row],[_Row]])="",TRUE()),FALSE(),N(INDEX(tsk_Variance,GanttView[[#This Row],[_Row]]))&gt;0)</f>
        <v>0</v>
      </c>
      <c r="T45" s="111" t="n">
        <f aca="false">IF(IFERROR(INDEX(tsk_Name,GanttView[[#This Row],[_Row]])="",TRUE()),0,N(INDEX(tsk_Deadline,GanttView[[#This Row],[_Row]])))</f>
        <v>0</v>
      </c>
      <c r="U45" s="110" t="b">
        <f aca="false">IF(IFERROR(INDEX(tsk_Name,GanttView[[#This Row],[_Row]])="",TRUE()),FALSE(),INDEX(tsk_Critical,GanttView[[#This Row],[_Row]])="Yes")</f>
        <v>0</v>
      </c>
    </row>
    <row r="46" customFormat="false" ht="15" hidden="false" customHeight="false" outlineLevel="0" collapsed="false">
      <c r="A46" s="104" t="str">
        <f aca="false">IF(IFERROR(INDEX(tsk_Name,GanttView[[#This Row],[_Row]])="",TRUE()),"",INDEX(tsk_ID,GanttView[[#This Row],[_Row]]))</f>
        <v/>
      </c>
      <c r="B46" s="104" t="str">
        <f aca="false">IF(IFERROR(INDEX(tsk_Name,GanttView[[#This Row],[_Row]])="",TRUE()),"",INDEX(tsk_WBS,GanttView[[#This Row],[_Row]]))</f>
        <v/>
      </c>
      <c r="C46" s="105" t="str">
        <f aca="false">IF(IFERROR(INDEX(tsk_Name,GanttView[[#This Row],[_Row]])="",TRUE()),"",REPT("    ",INDEX(tsk_Level,GanttView[[#This Row],[_Row]])-1)&amp;INDEX(tsk_Name,GanttView[[#This Row],[_Row]]))</f>
        <v/>
      </c>
      <c r="D4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46" s="106" t="str">
        <f aca="false">IF(IFERROR(INDEX(tsk_Name,GanttView[[#This Row],[_Row]])="",TRUE()),"",INDEX(tsk_PlanStart,GanttView[[#This Row],[_Row]]))</f>
        <v/>
      </c>
      <c r="F46" s="106" t="str">
        <f aca="false">IF(IFERROR(INDEX(tsk_Name,GanttView[[#This Row],[_Row]])="",TRUE()),"",INDEX(tsk_PlanFinish,GanttView[[#This Row],[_Row]]))</f>
        <v/>
      </c>
      <c r="G46" s="106" t="str">
        <f aca="false">IF(IFERROR(INDEX(tsk_Name,GanttView[[#This Row],[_Row]])="",TRUE()),"",INDEX(tsk_FcStart,GanttView[[#This Row],[_Row]]))</f>
        <v/>
      </c>
      <c r="H46" s="106" t="str">
        <f aca="false">IF(IFERROR(INDEX(tsk_Name,GanttView[[#This Row],[_Row]])="",TRUE()),"",INDEX(tsk_FcFinish,GanttView[[#This Row],[_Row]]))</f>
        <v/>
      </c>
      <c r="I46" s="107" t="str">
        <f aca="false">IF(IFERROR(INDEX(tsk_Name,GanttView[[#This Row],[_Row]])="",TRUE()),"",INDEX(tsk_Progress,GanttView[[#This Row],[_Row]]))</f>
        <v/>
      </c>
      <c r="J46" s="105" t="str">
        <f aca="false">IF(IFERROR(INDEX(tsk_Name,GanttView[[#This Row],[_Row]])="",TRUE()),"",INDEX(tsk_Resource,GanttView[[#This Row],[_Row]])&amp;"")</f>
        <v/>
      </c>
      <c r="K46" s="108" t="str">
        <f aca="false">IF(IFERROR(INDEX(tsk_Name,GanttView[[#This Row],[_Row]])="",TRUE()),"",INDEX(tsk_Status,GanttView[[#This Row],[_Row]]))</f>
        <v/>
      </c>
      <c r="L46" s="109" t="n">
        <f aca="false">ROW()-ROW(GanttView[[#Headers],[ID]])</f>
        <v>41</v>
      </c>
      <c r="M46" s="110" t="b">
        <f aca="false">IF(IFERROR(INDEX(tsk_Name,GanttView[[#This Row],[_Row]])="",TRUE()),FALSE(),INDEX(tsk_IsSummary,GanttView[[#This Row],[_Row]]))</f>
        <v>0</v>
      </c>
      <c r="N46" s="110" t="b">
        <f aca="false">IF(IFERROR(INDEX(tsk_Name,GanttView[[#This Row],[_Row]])="",TRUE()),FALSE(),AND(INDEX(tsk_IsLeaf,GanttView[[#This Row],[_Row]])=1,N(INDEX(tsk_Duration,GanttView[[#This Row],[_Row]]))=0))</f>
        <v>0</v>
      </c>
      <c r="O4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4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4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46" s="111" t="n">
        <f aca="false">IF(GanttView[[#This Row],[_RemFrom]]=0,0,GanttView[[#This Row],[Forecast Finish]])</f>
        <v>0</v>
      </c>
      <c r="S46" s="110" t="b">
        <f aca="false">IF(IFERROR(INDEX(tsk_Name,GanttView[[#This Row],[_Row]])="",TRUE()),FALSE(),N(INDEX(tsk_Variance,GanttView[[#This Row],[_Row]]))&gt;0)</f>
        <v>0</v>
      </c>
      <c r="T46" s="111" t="n">
        <f aca="false">IF(IFERROR(INDEX(tsk_Name,GanttView[[#This Row],[_Row]])="",TRUE()),0,N(INDEX(tsk_Deadline,GanttView[[#This Row],[_Row]])))</f>
        <v>0</v>
      </c>
      <c r="U46" s="110" t="b">
        <f aca="false">IF(IFERROR(INDEX(tsk_Name,GanttView[[#This Row],[_Row]])="",TRUE()),FALSE(),INDEX(tsk_Critical,GanttView[[#This Row],[_Row]])="Yes")</f>
        <v>0</v>
      </c>
    </row>
    <row r="47" customFormat="false" ht="15" hidden="false" customHeight="false" outlineLevel="0" collapsed="false">
      <c r="A47" s="104" t="str">
        <f aca="false">IF(IFERROR(INDEX(tsk_Name,GanttView[[#This Row],[_Row]])="",TRUE()),"",INDEX(tsk_ID,GanttView[[#This Row],[_Row]]))</f>
        <v/>
      </c>
      <c r="B47" s="104" t="str">
        <f aca="false">IF(IFERROR(INDEX(tsk_Name,GanttView[[#This Row],[_Row]])="",TRUE()),"",INDEX(tsk_WBS,GanttView[[#This Row],[_Row]]))</f>
        <v/>
      </c>
      <c r="C47" s="105" t="str">
        <f aca="false">IF(IFERROR(INDEX(tsk_Name,GanttView[[#This Row],[_Row]])="",TRUE()),"",REPT("    ",INDEX(tsk_Level,GanttView[[#This Row],[_Row]])-1)&amp;INDEX(tsk_Name,GanttView[[#This Row],[_Row]]))</f>
        <v/>
      </c>
      <c r="D4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47" s="106" t="str">
        <f aca="false">IF(IFERROR(INDEX(tsk_Name,GanttView[[#This Row],[_Row]])="",TRUE()),"",INDEX(tsk_PlanStart,GanttView[[#This Row],[_Row]]))</f>
        <v/>
      </c>
      <c r="F47" s="106" t="str">
        <f aca="false">IF(IFERROR(INDEX(tsk_Name,GanttView[[#This Row],[_Row]])="",TRUE()),"",INDEX(tsk_PlanFinish,GanttView[[#This Row],[_Row]]))</f>
        <v/>
      </c>
      <c r="G47" s="106" t="str">
        <f aca="false">IF(IFERROR(INDEX(tsk_Name,GanttView[[#This Row],[_Row]])="",TRUE()),"",INDEX(tsk_FcStart,GanttView[[#This Row],[_Row]]))</f>
        <v/>
      </c>
      <c r="H47" s="106" t="str">
        <f aca="false">IF(IFERROR(INDEX(tsk_Name,GanttView[[#This Row],[_Row]])="",TRUE()),"",INDEX(tsk_FcFinish,GanttView[[#This Row],[_Row]]))</f>
        <v/>
      </c>
      <c r="I47" s="107" t="str">
        <f aca="false">IF(IFERROR(INDEX(tsk_Name,GanttView[[#This Row],[_Row]])="",TRUE()),"",INDEX(tsk_Progress,GanttView[[#This Row],[_Row]]))</f>
        <v/>
      </c>
      <c r="J47" s="105" t="str">
        <f aca="false">IF(IFERROR(INDEX(tsk_Name,GanttView[[#This Row],[_Row]])="",TRUE()),"",INDEX(tsk_Resource,GanttView[[#This Row],[_Row]])&amp;"")</f>
        <v/>
      </c>
      <c r="K47" s="108" t="str">
        <f aca="false">IF(IFERROR(INDEX(tsk_Name,GanttView[[#This Row],[_Row]])="",TRUE()),"",INDEX(tsk_Status,GanttView[[#This Row],[_Row]]))</f>
        <v/>
      </c>
      <c r="L47" s="109" t="n">
        <f aca="false">ROW()-ROW(GanttView[[#Headers],[ID]])</f>
        <v>42</v>
      </c>
      <c r="M47" s="110" t="b">
        <f aca="false">IF(IFERROR(INDEX(tsk_Name,GanttView[[#This Row],[_Row]])="",TRUE()),FALSE(),INDEX(tsk_IsSummary,GanttView[[#This Row],[_Row]]))</f>
        <v>0</v>
      </c>
      <c r="N47" s="110" t="b">
        <f aca="false">IF(IFERROR(INDEX(tsk_Name,GanttView[[#This Row],[_Row]])="",TRUE()),FALSE(),AND(INDEX(tsk_IsLeaf,GanttView[[#This Row],[_Row]])=1,N(INDEX(tsk_Duration,GanttView[[#This Row],[_Row]]))=0))</f>
        <v>0</v>
      </c>
      <c r="O4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4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4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47" s="111" t="n">
        <f aca="false">IF(GanttView[[#This Row],[_RemFrom]]=0,0,GanttView[[#This Row],[Forecast Finish]])</f>
        <v>0</v>
      </c>
      <c r="S47" s="110" t="b">
        <f aca="false">IF(IFERROR(INDEX(tsk_Name,GanttView[[#This Row],[_Row]])="",TRUE()),FALSE(),N(INDEX(tsk_Variance,GanttView[[#This Row],[_Row]]))&gt;0)</f>
        <v>0</v>
      </c>
      <c r="T47" s="111" t="n">
        <f aca="false">IF(IFERROR(INDEX(tsk_Name,GanttView[[#This Row],[_Row]])="",TRUE()),0,N(INDEX(tsk_Deadline,GanttView[[#This Row],[_Row]])))</f>
        <v>0</v>
      </c>
      <c r="U47" s="110" t="b">
        <f aca="false">IF(IFERROR(INDEX(tsk_Name,GanttView[[#This Row],[_Row]])="",TRUE()),FALSE(),INDEX(tsk_Critical,GanttView[[#This Row],[_Row]])="Yes")</f>
        <v>0</v>
      </c>
    </row>
    <row r="48" customFormat="false" ht="15" hidden="false" customHeight="false" outlineLevel="0" collapsed="false">
      <c r="A48" s="104" t="str">
        <f aca="false">IF(IFERROR(INDEX(tsk_Name,GanttView[[#This Row],[_Row]])="",TRUE()),"",INDEX(tsk_ID,GanttView[[#This Row],[_Row]]))</f>
        <v/>
      </c>
      <c r="B48" s="104" t="str">
        <f aca="false">IF(IFERROR(INDEX(tsk_Name,GanttView[[#This Row],[_Row]])="",TRUE()),"",INDEX(tsk_WBS,GanttView[[#This Row],[_Row]]))</f>
        <v/>
      </c>
      <c r="C48" s="105" t="str">
        <f aca="false">IF(IFERROR(INDEX(tsk_Name,GanttView[[#This Row],[_Row]])="",TRUE()),"",REPT("    ",INDEX(tsk_Level,GanttView[[#This Row],[_Row]])-1)&amp;INDEX(tsk_Name,GanttView[[#This Row],[_Row]]))</f>
        <v/>
      </c>
      <c r="D4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48" s="106" t="str">
        <f aca="false">IF(IFERROR(INDEX(tsk_Name,GanttView[[#This Row],[_Row]])="",TRUE()),"",INDEX(tsk_PlanStart,GanttView[[#This Row],[_Row]]))</f>
        <v/>
      </c>
      <c r="F48" s="106" t="str">
        <f aca="false">IF(IFERROR(INDEX(tsk_Name,GanttView[[#This Row],[_Row]])="",TRUE()),"",INDEX(tsk_PlanFinish,GanttView[[#This Row],[_Row]]))</f>
        <v/>
      </c>
      <c r="G48" s="106" t="str">
        <f aca="false">IF(IFERROR(INDEX(tsk_Name,GanttView[[#This Row],[_Row]])="",TRUE()),"",INDEX(tsk_FcStart,GanttView[[#This Row],[_Row]]))</f>
        <v/>
      </c>
      <c r="H48" s="106" t="str">
        <f aca="false">IF(IFERROR(INDEX(tsk_Name,GanttView[[#This Row],[_Row]])="",TRUE()),"",INDEX(tsk_FcFinish,GanttView[[#This Row],[_Row]]))</f>
        <v/>
      </c>
      <c r="I48" s="107" t="str">
        <f aca="false">IF(IFERROR(INDEX(tsk_Name,GanttView[[#This Row],[_Row]])="",TRUE()),"",INDEX(tsk_Progress,GanttView[[#This Row],[_Row]]))</f>
        <v/>
      </c>
      <c r="J48" s="105" t="str">
        <f aca="false">IF(IFERROR(INDEX(tsk_Name,GanttView[[#This Row],[_Row]])="",TRUE()),"",INDEX(tsk_Resource,GanttView[[#This Row],[_Row]])&amp;"")</f>
        <v/>
      </c>
      <c r="K48" s="108" t="str">
        <f aca="false">IF(IFERROR(INDEX(tsk_Name,GanttView[[#This Row],[_Row]])="",TRUE()),"",INDEX(tsk_Status,GanttView[[#This Row],[_Row]]))</f>
        <v/>
      </c>
      <c r="L48" s="109" t="n">
        <f aca="false">ROW()-ROW(GanttView[[#Headers],[ID]])</f>
        <v>43</v>
      </c>
      <c r="M48" s="110" t="b">
        <f aca="false">IF(IFERROR(INDEX(tsk_Name,GanttView[[#This Row],[_Row]])="",TRUE()),FALSE(),INDEX(tsk_IsSummary,GanttView[[#This Row],[_Row]]))</f>
        <v>0</v>
      </c>
      <c r="N48" s="110" t="b">
        <f aca="false">IF(IFERROR(INDEX(tsk_Name,GanttView[[#This Row],[_Row]])="",TRUE()),FALSE(),AND(INDEX(tsk_IsLeaf,GanttView[[#This Row],[_Row]])=1,N(INDEX(tsk_Duration,GanttView[[#This Row],[_Row]]))=0))</f>
        <v>0</v>
      </c>
      <c r="O4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4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4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48" s="111" t="n">
        <f aca="false">IF(GanttView[[#This Row],[_RemFrom]]=0,0,GanttView[[#This Row],[Forecast Finish]])</f>
        <v>0</v>
      </c>
      <c r="S48" s="110" t="b">
        <f aca="false">IF(IFERROR(INDEX(tsk_Name,GanttView[[#This Row],[_Row]])="",TRUE()),FALSE(),N(INDEX(tsk_Variance,GanttView[[#This Row],[_Row]]))&gt;0)</f>
        <v>0</v>
      </c>
      <c r="T48" s="111" t="n">
        <f aca="false">IF(IFERROR(INDEX(tsk_Name,GanttView[[#This Row],[_Row]])="",TRUE()),0,N(INDEX(tsk_Deadline,GanttView[[#This Row],[_Row]])))</f>
        <v>0</v>
      </c>
      <c r="U48" s="110" t="b">
        <f aca="false">IF(IFERROR(INDEX(tsk_Name,GanttView[[#This Row],[_Row]])="",TRUE()),FALSE(),INDEX(tsk_Critical,GanttView[[#This Row],[_Row]])="Yes")</f>
        <v>0</v>
      </c>
    </row>
    <row r="49" customFormat="false" ht="15" hidden="false" customHeight="false" outlineLevel="0" collapsed="false">
      <c r="A49" s="104" t="str">
        <f aca="false">IF(IFERROR(INDEX(tsk_Name,GanttView[[#This Row],[_Row]])="",TRUE()),"",INDEX(tsk_ID,GanttView[[#This Row],[_Row]]))</f>
        <v/>
      </c>
      <c r="B49" s="104" t="str">
        <f aca="false">IF(IFERROR(INDEX(tsk_Name,GanttView[[#This Row],[_Row]])="",TRUE()),"",INDEX(tsk_WBS,GanttView[[#This Row],[_Row]]))</f>
        <v/>
      </c>
      <c r="C49" s="105" t="str">
        <f aca="false">IF(IFERROR(INDEX(tsk_Name,GanttView[[#This Row],[_Row]])="",TRUE()),"",REPT("    ",INDEX(tsk_Level,GanttView[[#This Row],[_Row]])-1)&amp;INDEX(tsk_Name,GanttView[[#This Row],[_Row]]))</f>
        <v/>
      </c>
      <c r="D4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49" s="106" t="str">
        <f aca="false">IF(IFERROR(INDEX(tsk_Name,GanttView[[#This Row],[_Row]])="",TRUE()),"",INDEX(tsk_PlanStart,GanttView[[#This Row],[_Row]]))</f>
        <v/>
      </c>
      <c r="F49" s="106" t="str">
        <f aca="false">IF(IFERROR(INDEX(tsk_Name,GanttView[[#This Row],[_Row]])="",TRUE()),"",INDEX(tsk_PlanFinish,GanttView[[#This Row],[_Row]]))</f>
        <v/>
      </c>
      <c r="G49" s="106" t="str">
        <f aca="false">IF(IFERROR(INDEX(tsk_Name,GanttView[[#This Row],[_Row]])="",TRUE()),"",INDEX(tsk_FcStart,GanttView[[#This Row],[_Row]]))</f>
        <v/>
      </c>
      <c r="H49" s="106" t="str">
        <f aca="false">IF(IFERROR(INDEX(tsk_Name,GanttView[[#This Row],[_Row]])="",TRUE()),"",INDEX(tsk_FcFinish,GanttView[[#This Row],[_Row]]))</f>
        <v/>
      </c>
      <c r="I49" s="107" t="str">
        <f aca="false">IF(IFERROR(INDEX(tsk_Name,GanttView[[#This Row],[_Row]])="",TRUE()),"",INDEX(tsk_Progress,GanttView[[#This Row],[_Row]]))</f>
        <v/>
      </c>
      <c r="J49" s="105" t="str">
        <f aca="false">IF(IFERROR(INDEX(tsk_Name,GanttView[[#This Row],[_Row]])="",TRUE()),"",INDEX(tsk_Resource,GanttView[[#This Row],[_Row]])&amp;"")</f>
        <v/>
      </c>
      <c r="K49" s="108" t="str">
        <f aca="false">IF(IFERROR(INDEX(tsk_Name,GanttView[[#This Row],[_Row]])="",TRUE()),"",INDEX(tsk_Status,GanttView[[#This Row],[_Row]]))</f>
        <v/>
      </c>
      <c r="L49" s="109" t="n">
        <f aca="false">ROW()-ROW(GanttView[[#Headers],[ID]])</f>
        <v>44</v>
      </c>
      <c r="M49" s="110" t="b">
        <f aca="false">IF(IFERROR(INDEX(tsk_Name,GanttView[[#This Row],[_Row]])="",TRUE()),FALSE(),INDEX(tsk_IsSummary,GanttView[[#This Row],[_Row]]))</f>
        <v>0</v>
      </c>
      <c r="N49" s="110" t="b">
        <f aca="false">IF(IFERROR(INDEX(tsk_Name,GanttView[[#This Row],[_Row]])="",TRUE()),FALSE(),AND(INDEX(tsk_IsLeaf,GanttView[[#This Row],[_Row]])=1,N(INDEX(tsk_Duration,GanttView[[#This Row],[_Row]]))=0))</f>
        <v>0</v>
      </c>
      <c r="O4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4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4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49" s="111" t="n">
        <f aca="false">IF(GanttView[[#This Row],[_RemFrom]]=0,0,GanttView[[#This Row],[Forecast Finish]])</f>
        <v>0</v>
      </c>
      <c r="S49" s="110" t="b">
        <f aca="false">IF(IFERROR(INDEX(tsk_Name,GanttView[[#This Row],[_Row]])="",TRUE()),FALSE(),N(INDEX(tsk_Variance,GanttView[[#This Row],[_Row]]))&gt;0)</f>
        <v>0</v>
      </c>
      <c r="T49" s="111" t="n">
        <f aca="false">IF(IFERROR(INDEX(tsk_Name,GanttView[[#This Row],[_Row]])="",TRUE()),0,N(INDEX(tsk_Deadline,GanttView[[#This Row],[_Row]])))</f>
        <v>0</v>
      </c>
      <c r="U49" s="110" t="b">
        <f aca="false">IF(IFERROR(INDEX(tsk_Name,GanttView[[#This Row],[_Row]])="",TRUE()),FALSE(),INDEX(tsk_Critical,GanttView[[#This Row],[_Row]])="Yes")</f>
        <v>0</v>
      </c>
    </row>
    <row r="50" customFormat="false" ht="15" hidden="false" customHeight="false" outlineLevel="0" collapsed="false">
      <c r="A50" s="104" t="str">
        <f aca="false">IF(IFERROR(INDEX(tsk_Name,GanttView[[#This Row],[_Row]])="",TRUE()),"",INDEX(tsk_ID,GanttView[[#This Row],[_Row]]))</f>
        <v/>
      </c>
      <c r="B50" s="104" t="str">
        <f aca="false">IF(IFERROR(INDEX(tsk_Name,GanttView[[#This Row],[_Row]])="",TRUE()),"",INDEX(tsk_WBS,GanttView[[#This Row],[_Row]]))</f>
        <v/>
      </c>
      <c r="C50" s="105" t="str">
        <f aca="false">IF(IFERROR(INDEX(tsk_Name,GanttView[[#This Row],[_Row]])="",TRUE()),"",REPT("    ",INDEX(tsk_Level,GanttView[[#This Row],[_Row]])-1)&amp;INDEX(tsk_Name,GanttView[[#This Row],[_Row]]))</f>
        <v/>
      </c>
      <c r="D5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50" s="106" t="str">
        <f aca="false">IF(IFERROR(INDEX(tsk_Name,GanttView[[#This Row],[_Row]])="",TRUE()),"",INDEX(tsk_PlanStart,GanttView[[#This Row],[_Row]]))</f>
        <v/>
      </c>
      <c r="F50" s="106" t="str">
        <f aca="false">IF(IFERROR(INDEX(tsk_Name,GanttView[[#This Row],[_Row]])="",TRUE()),"",INDEX(tsk_PlanFinish,GanttView[[#This Row],[_Row]]))</f>
        <v/>
      </c>
      <c r="G50" s="106" t="str">
        <f aca="false">IF(IFERROR(INDEX(tsk_Name,GanttView[[#This Row],[_Row]])="",TRUE()),"",INDEX(tsk_FcStart,GanttView[[#This Row],[_Row]]))</f>
        <v/>
      </c>
      <c r="H50" s="106" t="str">
        <f aca="false">IF(IFERROR(INDEX(tsk_Name,GanttView[[#This Row],[_Row]])="",TRUE()),"",INDEX(tsk_FcFinish,GanttView[[#This Row],[_Row]]))</f>
        <v/>
      </c>
      <c r="I50" s="107" t="str">
        <f aca="false">IF(IFERROR(INDEX(tsk_Name,GanttView[[#This Row],[_Row]])="",TRUE()),"",INDEX(tsk_Progress,GanttView[[#This Row],[_Row]]))</f>
        <v/>
      </c>
      <c r="J50" s="105" t="str">
        <f aca="false">IF(IFERROR(INDEX(tsk_Name,GanttView[[#This Row],[_Row]])="",TRUE()),"",INDEX(tsk_Resource,GanttView[[#This Row],[_Row]])&amp;"")</f>
        <v/>
      </c>
      <c r="K50" s="108" t="str">
        <f aca="false">IF(IFERROR(INDEX(tsk_Name,GanttView[[#This Row],[_Row]])="",TRUE()),"",INDEX(tsk_Status,GanttView[[#This Row],[_Row]]))</f>
        <v/>
      </c>
      <c r="L50" s="109" t="n">
        <f aca="false">ROW()-ROW(GanttView[[#Headers],[ID]])</f>
        <v>45</v>
      </c>
      <c r="M50" s="110" t="b">
        <f aca="false">IF(IFERROR(INDEX(tsk_Name,GanttView[[#This Row],[_Row]])="",TRUE()),FALSE(),INDEX(tsk_IsSummary,GanttView[[#This Row],[_Row]]))</f>
        <v>0</v>
      </c>
      <c r="N50" s="110" t="b">
        <f aca="false">IF(IFERROR(INDEX(tsk_Name,GanttView[[#This Row],[_Row]])="",TRUE()),FALSE(),AND(INDEX(tsk_IsLeaf,GanttView[[#This Row],[_Row]])=1,N(INDEX(tsk_Duration,GanttView[[#This Row],[_Row]]))=0))</f>
        <v>0</v>
      </c>
      <c r="O5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5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5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50" s="111" t="n">
        <f aca="false">IF(GanttView[[#This Row],[_RemFrom]]=0,0,GanttView[[#This Row],[Forecast Finish]])</f>
        <v>0</v>
      </c>
      <c r="S50" s="110" t="b">
        <f aca="false">IF(IFERROR(INDEX(tsk_Name,GanttView[[#This Row],[_Row]])="",TRUE()),FALSE(),N(INDEX(tsk_Variance,GanttView[[#This Row],[_Row]]))&gt;0)</f>
        <v>0</v>
      </c>
      <c r="T50" s="111" t="n">
        <f aca="false">IF(IFERROR(INDEX(tsk_Name,GanttView[[#This Row],[_Row]])="",TRUE()),0,N(INDEX(tsk_Deadline,GanttView[[#This Row],[_Row]])))</f>
        <v>0</v>
      </c>
      <c r="U50" s="110" t="b">
        <f aca="false">IF(IFERROR(INDEX(tsk_Name,GanttView[[#This Row],[_Row]])="",TRUE()),FALSE(),INDEX(tsk_Critical,GanttView[[#This Row],[_Row]])="Yes")</f>
        <v>0</v>
      </c>
    </row>
    <row r="51" customFormat="false" ht="15" hidden="false" customHeight="false" outlineLevel="0" collapsed="false">
      <c r="A51" s="104" t="str">
        <f aca="false">IF(IFERROR(INDEX(tsk_Name,GanttView[[#This Row],[_Row]])="",TRUE()),"",INDEX(tsk_ID,GanttView[[#This Row],[_Row]]))</f>
        <v/>
      </c>
      <c r="B51" s="104" t="str">
        <f aca="false">IF(IFERROR(INDEX(tsk_Name,GanttView[[#This Row],[_Row]])="",TRUE()),"",INDEX(tsk_WBS,GanttView[[#This Row],[_Row]]))</f>
        <v/>
      </c>
      <c r="C51" s="105" t="str">
        <f aca="false">IF(IFERROR(INDEX(tsk_Name,GanttView[[#This Row],[_Row]])="",TRUE()),"",REPT("    ",INDEX(tsk_Level,GanttView[[#This Row],[_Row]])-1)&amp;INDEX(tsk_Name,GanttView[[#This Row],[_Row]]))</f>
        <v/>
      </c>
      <c r="D5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51" s="106" t="str">
        <f aca="false">IF(IFERROR(INDEX(tsk_Name,GanttView[[#This Row],[_Row]])="",TRUE()),"",INDEX(tsk_PlanStart,GanttView[[#This Row],[_Row]]))</f>
        <v/>
      </c>
      <c r="F51" s="106" t="str">
        <f aca="false">IF(IFERROR(INDEX(tsk_Name,GanttView[[#This Row],[_Row]])="",TRUE()),"",INDEX(tsk_PlanFinish,GanttView[[#This Row],[_Row]]))</f>
        <v/>
      </c>
      <c r="G51" s="106" t="str">
        <f aca="false">IF(IFERROR(INDEX(tsk_Name,GanttView[[#This Row],[_Row]])="",TRUE()),"",INDEX(tsk_FcStart,GanttView[[#This Row],[_Row]]))</f>
        <v/>
      </c>
      <c r="H51" s="106" t="str">
        <f aca="false">IF(IFERROR(INDEX(tsk_Name,GanttView[[#This Row],[_Row]])="",TRUE()),"",INDEX(tsk_FcFinish,GanttView[[#This Row],[_Row]]))</f>
        <v/>
      </c>
      <c r="I51" s="107" t="str">
        <f aca="false">IF(IFERROR(INDEX(tsk_Name,GanttView[[#This Row],[_Row]])="",TRUE()),"",INDEX(tsk_Progress,GanttView[[#This Row],[_Row]]))</f>
        <v/>
      </c>
      <c r="J51" s="105" t="str">
        <f aca="false">IF(IFERROR(INDEX(tsk_Name,GanttView[[#This Row],[_Row]])="",TRUE()),"",INDEX(tsk_Resource,GanttView[[#This Row],[_Row]])&amp;"")</f>
        <v/>
      </c>
      <c r="K51" s="108" t="str">
        <f aca="false">IF(IFERROR(INDEX(tsk_Name,GanttView[[#This Row],[_Row]])="",TRUE()),"",INDEX(tsk_Status,GanttView[[#This Row],[_Row]]))</f>
        <v/>
      </c>
      <c r="L51" s="109" t="n">
        <f aca="false">ROW()-ROW(GanttView[[#Headers],[ID]])</f>
        <v>46</v>
      </c>
      <c r="M51" s="110" t="b">
        <f aca="false">IF(IFERROR(INDEX(tsk_Name,GanttView[[#This Row],[_Row]])="",TRUE()),FALSE(),INDEX(tsk_IsSummary,GanttView[[#This Row],[_Row]]))</f>
        <v>0</v>
      </c>
      <c r="N51" s="110" t="b">
        <f aca="false">IF(IFERROR(INDEX(tsk_Name,GanttView[[#This Row],[_Row]])="",TRUE()),FALSE(),AND(INDEX(tsk_IsLeaf,GanttView[[#This Row],[_Row]])=1,N(INDEX(tsk_Duration,GanttView[[#This Row],[_Row]]))=0))</f>
        <v>0</v>
      </c>
      <c r="O5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5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5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51" s="111" t="n">
        <f aca="false">IF(GanttView[[#This Row],[_RemFrom]]=0,0,GanttView[[#This Row],[Forecast Finish]])</f>
        <v>0</v>
      </c>
      <c r="S51" s="110" t="b">
        <f aca="false">IF(IFERROR(INDEX(tsk_Name,GanttView[[#This Row],[_Row]])="",TRUE()),FALSE(),N(INDEX(tsk_Variance,GanttView[[#This Row],[_Row]]))&gt;0)</f>
        <v>0</v>
      </c>
      <c r="T51" s="111" t="n">
        <f aca="false">IF(IFERROR(INDEX(tsk_Name,GanttView[[#This Row],[_Row]])="",TRUE()),0,N(INDEX(tsk_Deadline,GanttView[[#This Row],[_Row]])))</f>
        <v>0</v>
      </c>
      <c r="U51" s="110" t="b">
        <f aca="false">IF(IFERROR(INDEX(tsk_Name,GanttView[[#This Row],[_Row]])="",TRUE()),FALSE(),INDEX(tsk_Critical,GanttView[[#This Row],[_Row]])="Yes")</f>
        <v>0</v>
      </c>
    </row>
    <row r="52" customFormat="false" ht="15" hidden="false" customHeight="false" outlineLevel="0" collapsed="false">
      <c r="A52" s="104" t="str">
        <f aca="false">IF(IFERROR(INDEX(tsk_Name,GanttView[[#This Row],[_Row]])="",TRUE()),"",INDEX(tsk_ID,GanttView[[#This Row],[_Row]]))</f>
        <v/>
      </c>
      <c r="B52" s="104" t="str">
        <f aca="false">IF(IFERROR(INDEX(tsk_Name,GanttView[[#This Row],[_Row]])="",TRUE()),"",INDEX(tsk_WBS,GanttView[[#This Row],[_Row]]))</f>
        <v/>
      </c>
      <c r="C52" s="105" t="str">
        <f aca="false">IF(IFERROR(INDEX(tsk_Name,GanttView[[#This Row],[_Row]])="",TRUE()),"",REPT("    ",INDEX(tsk_Level,GanttView[[#This Row],[_Row]])-1)&amp;INDEX(tsk_Name,GanttView[[#This Row],[_Row]]))</f>
        <v/>
      </c>
      <c r="D5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52" s="106" t="str">
        <f aca="false">IF(IFERROR(INDEX(tsk_Name,GanttView[[#This Row],[_Row]])="",TRUE()),"",INDEX(tsk_PlanStart,GanttView[[#This Row],[_Row]]))</f>
        <v/>
      </c>
      <c r="F52" s="106" t="str">
        <f aca="false">IF(IFERROR(INDEX(tsk_Name,GanttView[[#This Row],[_Row]])="",TRUE()),"",INDEX(tsk_PlanFinish,GanttView[[#This Row],[_Row]]))</f>
        <v/>
      </c>
      <c r="G52" s="106" t="str">
        <f aca="false">IF(IFERROR(INDEX(tsk_Name,GanttView[[#This Row],[_Row]])="",TRUE()),"",INDEX(tsk_FcStart,GanttView[[#This Row],[_Row]]))</f>
        <v/>
      </c>
      <c r="H52" s="106" t="str">
        <f aca="false">IF(IFERROR(INDEX(tsk_Name,GanttView[[#This Row],[_Row]])="",TRUE()),"",INDEX(tsk_FcFinish,GanttView[[#This Row],[_Row]]))</f>
        <v/>
      </c>
      <c r="I52" s="107" t="str">
        <f aca="false">IF(IFERROR(INDEX(tsk_Name,GanttView[[#This Row],[_Row]])="",TRUE()),"",INDEX(tsk_Progress,GanttView[[#This Row],[_Row]]))</f>
        <v/>
      </c>
      <c r="J52" s="105" t="str">
        <f aca="false">IF(IFERROR(INDEX(tsk_Name,GanttView[[#This Row],[_Row]])="",TRUE()),"",INDEX(tsk_Resource,GanttView[[#This Row],[_Row]])&amp;"")</f>
        <v/>
      </c>
      <c r="K52" s="108" t="str">
        <f aca="false">IF(IFERROR(INDEX(tsk_Name,GanttView[[#This Row],[_Row]])="",TRUE()),"",INDEX(tsk_Status,GanttView[[#This Row],[_Row]]))</f>
        <v/>
      </c>
      <c r="L52" s="109" t="n">
        <f aca="false">ROW()-ROW(GanttView[[#Headers],[ID]])</f>
        <v>47</v>
      </c>
      <c r="M52" s="110" t="b">
        <f aca="false">IF(IFERROR(INDEX(tsk_Name,GanttView[[#This Row],[_Row]])="",TRUE()),FALSE(),INDEX(tsk_IsSummary,GanttView[[#This Row],[_Row]]))</f>
        <v>0</v>
      </c>
      <c r="N52" s="110" t="b">
        <f aca="false">IF(IFERROR(INDEX(tsk_Name,GanttView[[#This Row],[_Row]])="",TRUE()),FALSE(),AND(INDEX(tsk_IsLeaf,GanttView[[#This Row],[_Row]])=1,N(INDEX(tsk_Duration,GanttView[[#This Row],[_Row]]))=0))</f>
        <v>0</v>
      </c>
      <c r="O5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5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5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52" s="111" t="n">
        <f aca="false">IF(GanttView[[#This Row],[_RemFrom]]=0,0,GanttView[[#This Row],[Forecast Finish]])</f>
        <v>0</v>
      </c>
      <c r="S52" s="110" t="b">
        <f aca="false">IF(IFERROR(INDEX(tsk_Name,GanttView[[#This Row],[_Row]])="",TRUE()),FALSE(),N(INDEX(tsk_Variance,GanttView[[#This Row],[_Row]]))&gt;0)</f>
        <v>0</v>
      </c>
      <c r="T52" s="111" t="n">
        <f aca="false">IF(IFERROR(INDEX(tsk_Name,GanttView[[#This Row],[_Row]])="",TRUE()),0,N(INDEX(tsk_Deadline,GanttView[[#This Row],[_Row]])))</f>
        <v>0</v>
      </c>
      <c r="U52" s="110" t="b">
        <f aca="false">IF(IFERROR(INDEX(tsk_Name,GanttView[[#This Row],[_Row]])="",TRUE()),FALSE(),INDEX(tsk_Critical,GanttView[[#This Row],[_Row]])="Yes")</f>
        <v>0</v>
      </c>
    </row>
    <row r="53" customFormat="false" ht="15" hidden="false" customHeight="false" outlineLevel="0" collapsed="false">
      <c r="A53" s="104" t="str">
        <f aca="false">IF(IFERROR(INDEX(tsk_Name,GanttView[[#This Row],[_Row]])="",TRUE()),"",INDEX(tsk_ID,GanttView[[#This Row],[_Row]]))</f>
        <v/>
      </c>
      <c r="B53" s="104" t="str">
        <f aca="false">IF(IFERROR(INDEX(tsk_Name,GanttView[[#This Row],[_Row]])="",TRUE()),"",INDEX(tsk_WBS,GanttView[[#This Row],[_Row]]))</f>
        <v/>
      </c>
      <c r="C53" s="105" t="str">
        <f aca="false">IF(IFERROR(INDEX(tsk_Name,GanttView[[#This Row],[_Row]])="",TRUE()),"",REPT("    ",INDEX(tsk_Level,GanttView[[#This Row],[_Row]])-1)&amp;INDEX(tsk_Name,GanttView[[#This Row],[_Row]]))</f>
        <v/>
      </c>
      <c r="D5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53" s="106" t="str">
        <f aca="false">IF(IFERROR(INDEX(tsk_Name,GanttView[[#This Row],[_Row]])="",TRUE()),"",INDEX(tsk_PlanStart,GanttView[[#This Row],[_Row]]))</f>
        <v/>
      </c>
      <c r="F53" s="106" t="str">
        <f aca="false">IF(IFERROR(INDEX(tsk_Name,GanttView[[#This Row],[_Row]])="",TRUE()),"",INDEX(tsk_PlanFinish,GanttView[[#This Row],[_Row]]))</f>
        <v/>
      </c>
      <c r="G53" s="106" t="str">
        <f aca="false">IF(IFERROR(INDEX(tsk_Name,GanttView[[#This Row],[_Row]])="",TRUE()),"",INDEX(tsk_FcStart,GanttView[[#This Row],[_Row]]))</f>
        <v/>
      </c>
      <c r="H53" s="106" t="str">
        <f aca="false">IF(IFERROR(INDEX(tsk_Name,GanttView[[#This Row],[_Row]])="",TRUE()),"",INDEX(tsk_FcFinish,GanttView[[#This Row],[_Row]]))</f>
        <v/>
      </c>
      <c r="I53" s="107" t="str">
        <f aca="false">IF(IFERROR(INDEX(tsk_Name,GanttView[[#This Row],[_Row]])="",TRUE()),"",INDEX(tsk_Progress,GanttView[[#This Row],[_Row]]))</f>
        <v/>
      </c>
      <c r="J53" s="105" t="str">
        <f aca="false">IF(IFERROR(INDEX(tsk_Name,GanttView[[#This Row],[_Row]])="",TRUE()),"",INDEX(tsk_Resource,GanttView[[#This Row],[_Row]])&amp;"")</f>
        <v/>
      </c>
      <c r="K53" s="108" t="str">
        <f aca="false">IF(IFERROR(INDEX(tsk_Name,GanttView[[#This Row],[_Row]])="",TRUE()),"",INDEX(tsk_Status,GanttView[[#This Row],[_Row]]))</f>
        <v/>
      </c>
      <c r="L53" s="109" t="n">
        <f aca="false">ROW()-ROW(GanttView[[#Headers],[ID]])</f>
        <v>48</v>
      </c>
      <c r="M53" s="110" t="b">
        <f aca="false">IF(IFERROR(INDEX(tsk_Name,GanttView[[#This Row],[_Row]])="",TRUE()),FALSE(),INDEX(tsk_IsSummary,GanttView[[#This Row],[_Row]]))</f>
        <v>0</v>
      </c>
      <c r="N53" s="110" t="b">
        <f aca="false">IF(IFERROR(INDEX(tsk_Name,GanttView[[#This Row],[_Row]])="",TRUE()),FALSE(),AND(INDEX(tsk_IsLeaf,GanttView[[#This Row],[_Row]])=1,N(INDEX(tsk_Duration,GanttView[[#This Row],[_Row]]))=0))</f>
        <v>0</v>
      </c>
      <c r="O5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5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5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53" s="111" t="n">
        <f aca="false">IF(GanttView[[#This Row],[_RemFrom]]=0,0,GanttView[[#This Row],[Forecast Finish]])</f>
        <v>0</v>
      </c>
      <c r="S53" s="110" t="b">
        <f aca="false">IF(IFERROR(INDEX(tsk_Name,GanttView[[#This Row],[_Row]])="",TRUE()),FALSE(),N(INDEX(tsk_Variance,GanttView[[#This Row],[_Row]]))&gt;0)</f>
        <v>0</v>
      </c>
      <c r="T53" s="111" t="n">
        <f aca="false">IF(IFERROR(INDEX(tsk_Name,GanttView[[#This Row],[_Row]])="",TRUE()),0,N(INDEX(tsk_Deadline,GanttView[[#This Row],[_Row]])))</f>
        <v>0</v>
      </c>
      <c r="U53" s="110" t="b">
        <f aca="false">IF(IFERROR(INDEX(tsk_Name,GanttView[[#This Row],[_Row]])="",TRUE()),FALSE(),INDEX(tsk_Critical,GanttView[[#This Row],[_Row]])="Yes")</f>
        <v>0</v>
      </c>
    </row>
    <row r="54" customFormat="false" ht="15" hidden="false" customHeight="false" outlineLevel="0" collapsed="false">
      <c r="A54" s="104" t="str">
        <f aca="false">IF(IFERROR(INDEX(tsk_Name,GanttView[[#This Row],[_Row]])="",TRUE()),"",INDEX(tsk_ID,GanttView[[#This Row],[_Row]]))</f>
        <v/>
      </c>
      <c r="B54" s="104" t="str">
        <f aca="false">IF(IFERROR(INDEX(tsk_Name,GanttView[[#This Row],[_Row]])="",TRUE()),"",INDEX(tsk_WBS,GanttView[[#This Row],[_Row]]))</f>
        <v/>
      </c>
      <c r="C54" s="105" t="str">
        <f aca="false">IF(IFERROR(INDEX(tsk_Name,GanttView[[#This Row],[_Row]])="",TRUE()),"",REPT("    ",INDEX(tsk_Level,GanttView[[#This Row],[_Row]])-1)&amp;INDEX(tsk_Name,GanttView[[#This Row],[_Row]]))</f>
        <v/>
      </c>
      <c r="D5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54" s="106" t="str">
        <f aca="false">IF(IFERROR(INDEX(tsk_Name,GanttView[[#This Row],[_Row]])="",TRUE()),"",INDEX(tsk_PlanStart,GanttView[[#This Row],[_Row]]))</f>
        <v/>
      </c>
      <c r="F54" s="106" t="str">
        <f aca="false">IF(IFERROR(INDEX(tsk_Name,GanttView[[#This Row],[_Row]])="",TRUE()),"",INDEX(tsk_PlanFinish,GanttView[[#This Row],[_Row]]))</f>
        <v/>
      </c>
      <c r="G54" s="106" t="str">
        <f aca="false">IF(IFERROR(INDEX(tsk_Name,GanttView[[#This Row],[_Row]])="",TRUE()),"",INDEX(tsk_FcStart,GanttView[[#This Row],[_Row]]))</f>
        <v/>
      </c>
      <c r="H54" s="106" t="str">
        <f aca="false">IF(IFERROR(INDEX(tsk_Name,GanttView[[#This Row],[_Row]])="",TRUE()),"",INDEX(tsk_FcFinish,GanttView[[#This Row],[_Row]]))</f>
        <v/>
      </c>
      <c r="I54" s="107" t="str">
        <f aca="false">IF(IFERROR(INDEX(tsk_Name,GanttView[[#This Row],[_Row]])="",TRUE()),"",INDEX(tsk_Progress,GanttView[[#This Row],[_Row]]))</f>
        <v/>
      </c>
      <c r="J54" s="105" t="str">
        <f aca="false">IF(IFERROR(INDEX(tsk_Name,GanttView[[#This Row],[_Row]])="",TRUE()),"",INDEX(tsk_Resource,GanttView[[#This Row],[_Row]])&amp;"")</f>
        <v/>
      </c>
      <c r="K54" s="108" t="str">
        <f aca="false">IF(IFERROR(INDEX(tsk_Name,GanttView[[#This Row],[_Row]])="",TRUE()),"",INDEX(tsk_Status,GanttView[[#This Row],[_Row]]))</f>
        <v/>
      </c>
      <c r="L54" s="109" t="n">
        <f aca="false">ROW()-ROW(GanttView[[#Headers],[ID]])</f>
        <v>49</v>
      </c>
      <c r="M54" s="110" t="b">
        <f aca="false">IF(IFERROR(INDEX(tsk_Name,GanttView[[#This Row],[_Row]])="",TRUE()),FALSE(),INDEX(tsk_IsSummary,GanttView[[#This Row],[_Row]]))</f>
        <v>0</v>
      </c>
      <c r="N54" s="110" t="b">
        <f aca="false">IF(IFERROR(INDEX(tsk_Name,GanttView[[#This Row],[_Row]])="",TRUE()),FALSE(),AND(INDEX(tsk_IsLeaf,GanttView[[#This Row],[_Row]])=1,N(INDEX(tsk_Duration,GanttView[[#This Row],[_Row]]))=0))</f>
        <v>0</v>
      </c>
      <c r="O5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5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5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54" s="111" t="n">
        <f aca="false">IF(GanttView[[#This Row],[_RemFrom]]=0,0,GanttView[[#This Row],[Forecast Finish]])</f>
        <v>0</v>
      </c>
      <c r="S54" s="110" t="b">
        <f aca="false">IF(IFERROR(INDEX(tsk_Name,GanttView[[#This Row],[_Row]])="",TRUE()),FALSE(),N(INDEX(tsk_Variance,GanttView[[#This Row],[_Row]]))&gt;0)</f>
        <v>0</v>
      </c>
      <c r="T54" s="111" t="n">
        <f aca="false">IF(IFERROR(INDEX(tsk_Name,GanttView[[#This Row],[_Row]])="",TRUE()),0,N(INDEX(tsk_Deadline,GanttView[[#This Row],[_Row]])))</f>
        <v>0</v>
      </c>
      <c r="U54" s="110" t="b">
        <f aca="false">IF(IFERROR(INDEX(tsk_Name,GanttView[[#This Row],[_Row]])="",TRUE()),FALSE(),INDEX(tsk_Critical,GanttView[[#This Row],[_Row]])="Yes")</f>
        <v>0</v>
      </c>
    </row>
    <row r="55" customFormat="false" ht="15" hidden="false" customHeight="false" outlineLevel="0" collapsed="false">
      <c r="A55" s="104" t="str">
        <f aca="false">IF(IFERROR(INDEX(tsk_Name,GanttView[[#This Row],[_Row]])="",TRUE()),"",INDEX(tsk_ID,GanttView[[#This Row],[_Row]]))</f>
        <v/>
      </c>
      <c r="B55" s="104" t="str">
        <f aca="false">IF(IFERROR(INDEX(tsk_Name,GanttView[[#This Row],[_Row]])="",TRUE()),"",INDEX(tsk_WBS,GanttView[[#This Row],[_Row]]))</f>
        <v/>
      </c>
      <c r="C55" s="105" t="str">
        <f aca="false">IF(IFERROR(INDEX(tsk_Name,GanttView[[#This Row],[_Row]])="",TRUE()),"",REPT("    ",INDEX(tsk_Level,GanttView[[#This Row],[_Row]])-1)&amp;INDEX(tsk_Name,GanttView[[#This Row],[_Row]]))</f>
        <v/>
      </c>
      <c r="D5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55" s="106" t="str">
        <f aca="false">IF(IFERROR(INDEX(tsk_Name,GanttView[[#This Row],[_Row]])="",TRUE()),"",INDEX(tsk_PlanStart,GanttView[[#This Row],[_Row]]))</f>
        <v/>
      </c>
      <c r="F55" s="106" t="str">
        <f aca="false">IF(IFERROR(INDEX(tsk_Name,GanttView[[#This Row],[_Row]])="",TRUE()),"",INDEX(tsk_PlanFinish,GanttView[[#This Row],[_Row]]))</f>
        <v/>
      </c>
      <c r="G55" s="106" t="str">
        <f aca="false">IF(IFERROR(INDEX(tsk_Name,GanttView[[#This Row],[_Row]])="",TRUE()),"",INDEX(tsk_FcStart,GanttView[[#This Row],[_Row]]))</f>
        <v/>
      </c>
      <c r="H55" s="106" t="str">
        <f aca="false">IF(IFERROR(INDEX(tsk_Name,GanttView[[#This Row],[_Row]])="",TRUE()),"",INDEX(tsk_FcFinish,GanttView[[#This Row],[_Row]]))</f>
        <v/>
      </c>
      <c r="I55" s="107" t="str">
        <f aca="false">IF(IFERROR(INDEX(tsk_Name,GanttView[[#This Row],[_Row]])="",TRUE()),"",INDEX(tsk_Progress,GanttView[[#This Row],[_Row]]))</f>
        <v/>
      </c>
      <c r="J55" s="105" t="str">
        <f aca="false">IF(IFERROR(INDEX(tsk_Name,GanttView[[#This Row],[_Row]])="",TRUE()),"",INDEX(tsk_Resource,GanttView[[#This Row],[_Row]])&amp;"")</f>
        <v/>
      </c>
      <c r="K55" s="108" t="str">
        <f aca="false">IF(IFERROR(INDEX(tsk_Name,GanttView[[#This Row],[_Row]])="",TRUE()),"",INDEX(tsk_Status,GanttView[[#This Row],[_Row]]))</f>
        <v/>
      </c>
      <c r="L55" s="109" t="n">
        <f aca="false">ROW()-ROW(GanttView[[#Headers],[ID]])</f>
        <v>50</v>
      </c>
      <c r="M55" s="110" t="b">
        <f aca="false">IF(IFERROR(INDEX(tsk_Name,GanttView[[#This Row],[_Row]])="",TRUE()),FALSE(),INDEX(tsk_IsSummary,GanttView[[#This Row],[_Row]]))</f>
        <v>0</v>
      </c>
      <c r="N55" s="110" t="b">
        <f aca="false">IF(IFERROR(INDEX(tsk_Name,GanttView[[#This Row],[_Row]])="",TRUE()),FALSE(),AND(INDEX(tsk_IsLeaf,GanttView[[#This Row],[_Row]])=1,N(INDEX(tsk_Duration,GanttView[[#This Row],[_Row]]))=0))</f>
        <v>0</v>
      </c>
      <c r="O5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5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5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55" s="111" t="n">
        <f aca="false">IF(GanttView[[#This Row],[_RemFrom]]=0,0,GanttView[[#This Row],[Forecast Finish]])</f>
        <v>0</v>
      </c>
      <c r="S55" s="110" t="b">
        <f aca="false">IF(IFERROR(INDEX(tsk_Name,GanttView[[#This Row],[_Row]])="",TRUE()),FALSE(),N(INDEX(tsk_Variance,GanttView[[#This Row],[_Row]]))&gt;0)</f>
        <v>0</v>
      </c>
      <c r="T55" s="111" t="n">
        <f aca="false">IF(IFERROR(INDEX(tsk_Name,GanttView[[#This Row],[_Row]])="",TRUE()),0,N(INDEX(tsk_Deadline,GanttView[[#This Row],[_Row]])))</f>
        <v>0</v>
      </c>
      <c r="U55" s="110" t="b">
        <f aca="false">IF(IFERROR(INDEX(tsk_Name,GanttView[[#This Row],[_Row]])="",TRUE()),FALSE(),INDEX(tsk_Critical,GanttView[[#This Row],[_Row]])="Yes")</f>
        <v>0</v>
      </c>
    </row>
    <row r="56" customFormat="false" ht="15" hidden="false" customHeight="false" outlineLevel="0" collapsed="false">
      <c r="A56" s="104" t="str">
        <f aca="false">IF(IFERROR(INDEX(tsk_Name,GanttView[[#This Row],[_Row]])="",TRUE()),"",INDEX(tsk_ID,GanttView[[#This Row],[_Row]]))</f>
        <v/>
      </c>
      <c r="B56" s="104" t="str">
        <f aca="false">IF(IFERROR(INDEX(tsk_Name,GanttView[[#This Row],[_Row]])="",TRUE()),"",INDEX(tsk_WBS,GanttView[[#This Row],[_Row]]))</f>
        <v/>
      </c>
      <c r="C56" s="105" t="str">
        <f aca="false">IF(IFERROR(INDEX(tsk_Name,GanttView[[#This Row],[_Row]])="",TRUE()),"",REPT("    ",INDEX(tsk_Level,GanttView[[#This Row],[_Row]])-1)&amp;INDEX(tsk_Name,GanttView[[#This Row],[_Row]]))</f>
        <v/>
      </c>
      <c r="D5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56" s="106" t="str">
        <f aca="false">IF(IFERROR(INDEX(tsk_Name,GanttView[[#This Row],[_Row]])="",TRUE()),"",INDEX(tsk_PlanStart,GanttView[[#This Row],[_Row]]))</f>
        <v/>
      </c>
      <c r="F56" s="106" t="str">
        <f aca="false">IF(IFERROR(INDEX(tsk_Name,GanttView[[#This Row],[_Row]])="",TRUE()),"",INDEX(tsk_PlanFinish,GanttView[[#This Row],[_Row]]))</f>
        <v/>
      </c>
      <c r="G56" s="106" t="str">
        <f aca="false">IF(IFERROR(INDEX(tsk_Name,GanttView[[#This Row],[_Row]])="",TRUE()),"",INDEX(tsk_FcStart,GanttView[[#This Row],[_Row]]))</f>
        <v/>
      </c>
      <c r="H56" s="106" t="str">
        <f aca="false">IF(IFERROR(INDEX(tsk_Name,GanttView[[#This Row],[_Row]])="",TRUE()),"",INDEX(tsk_FcFinish,GanttView[[#This Row],[_Row]]))</f>
        <v/>
      </c>
      <c r="I56" s="107" t="str">
        <f aca="false">IF(IFERROR(INDEX(tsk_Name,GanttView[[#This Row],[_Row]])="",TRUE()),"",INDEX(tsk_Progress,GanttView[[#This Row],[_Row]]))</f>
        <v/>
      </c>
      <c r="J56" s="105" t="str">
        <f aca="false">IF(IFERROR(INDEX(tsk_Name,GanttView[[#This Row],[_Row]])="",TRUE()),"",INDEX(tsk_Resource,GanttView[[#This Row],[_Row]])&amp;"")</f>
        <v/>
      </c>
      <c r="K56" s="108" t="str">
        <f aca="false">IF(IFERROR(INDEX(tsk_Name,GanttView[[#This Row],[_Row]])="",TRUE()),"",INDEX(tsk_Status,GanttView[[#This Row],[_Row]]))</f>
        <v/>
      </c>
      <c r="L56" s="109" t="n">
        <f aca="false">ROW()-ROW(GanttView[[#Headers],[ID]])</f>
        <v>51</v>
      </c>
      <c r="M56" s="110" t="b">
        <f aca="false">IF(IFERROR(INDEX(tsk_Name,GanttView[[#This Row],[_Row]])="",TRUE()),FALSE(),INDEX(tsk_IsSummary,GanttView[[#This Row],[_Row]]))</f>
        <v>0</v>
      </c>
      <c r="N56" s="110" t="b">
        <f aca="false">IF(IFERROR(INDEX(tsk_Name,GanttView[[#This Row],[_Row]])="",TRUE()),FALSE(),AND(INDEX(tsk_IsLeaf,GanttView[[#This Row],[_Row]])=1,N(INDEX(tsk_Duration,GanttView[[#This Row],[_Row]]))=0))</f>
        <v>0</v>
      </c>
      <c r="O5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5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5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56" s="111" t="n">
        <f aca="false">IF(GanttView[[#This Row],[_RemFrom]]=0,0,GanttView[[#This Row],[Forecast Finish]])</f>
        <v>0</v>
      </c>
      <c r="S56" s="110" t="b">
        <f aca="false">IF(IFERROR(INDEX(tsk_Name,GanttView[[#This Row],[_Row]])="",TRUE()),FALSE(),N(INDEX(tsk_Variance,GanttView[[#This Row],[_Row]]))&gt;0)</f>
        <v>0</v>
      </c>
      <c r="T56" s="111" t="n">
        <f aca="false">IF(IFERROR(INDEX(tsk_Name,GanttView[[#This Row],[_Row]])="",TRUE()),0,N(INDEX(tsk_Deadline,GanttView[[#This Row],[_Row]])))</f>
        <v>0</v>
      </c>
      <c r="U56" s="110" t="b">
        <f aca="false">IF(IFERROR(INDEX(tsk_Name,GanttView[[#This Row],[_Row]])="",TRUE()),FALSE(),INDEX(tsk_Critical,GanttView[[#This Row],[_Row]])="Yes")</f>
        <v>0</v>
      </c>
    </row>
    <row r="57" customFormat="false" ht="15" hidden="false" customHeight="false" outlineLevel="0" collapsed="false">
      <c r="A57" s="104" t="str">
        <f aca="false">IF(IFERROR(INDEX(tsk_Name,GanttView[[#This Row],[_Row]])="",TRUE()),"",INDEX(tsk_ID,GanttView[[#This Row],[_Row]]))</f>
        <v/>
      </c>
      <c r="B57" s="104" t="str">
        <f aca="false">IF(IFERROR(INDEX(tsk_Name,GanttView[[#This Row],[_Row]])="",TRUE()),"",INDEX(tsk_WBS,GanttView[[#This Row],[_Row]]))</f>
        <v/>
      </c>
      <c r="C57" s="105" t="str">
        <f aca="false">IF(IFERROR(INDEX(tsk_Name,GanttView[[#This Row],[_Row]])="",TRUE()),"",REPT("    ",INDEX(tsk_Level,GanttView[[#This Row],[_Row]])-1)&amp;INDEX(tsk_Name,GanttView[[#This Row],[_Row]]))</f>
        <v/>
      </c>
      <c r="D5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57" s="106" t="str">
        <f aca="false">IF(IFERROR(INDEX(tsk_Name,GanttView[[#This Row],[_Row]])="",TRUE()),"",INDEX(tsk_PlanStart,GanttView[[#This Row],[_Row]]))</f>
        <v/>
      </c>
      <c r="F57" s="106" t="str">
        <f aca="false">IF(IFERROR(INDEX(tsk_Name,GanttView[[#This Row],[_Row]])="",TRUE()),"",INDEX(tsk_PlanFinish,GanttView[[#This Row],[_Row]]))</f>
        <v/>
      </c>
      <c r="G57" s="106" t="str">
        <f aca="false">IF(IFERROR(INDEX(tsk_Name,GanttView[[#This Row],[_Row]])="",TRUE()),"",INDEX(tsk_FcStart,GanttView[[#This Row],[_Row]]))</f>
        <v/>
      </c>
      <c r="H57" s="106" t="str">
        <f aca="false">IF(IFERROR(INDEX(tsk_Name,GanttView[[#This Row],[_Row]])="",TRUE()),"",INDEX(tsk_FcFinish,GanttView[[#This Row],[_Row]]))</f>
        <v/>
      </c>
      <c r="I57" s="107" t="str">
        <f aca="false">IF(IFERROR(INDEX(tsk_Name,GanttView[[#This Row],[_Row]])="",TRUE()),"",INDEX(tsk_Progress,GanttView[[#This Row],[_Row]]))</f>
        <v/>
      </c>
      <c r="J57" s="105" t="str">
        <f aca="false">IF(IFERROR(INDEX(tsk_Name,GanttView[[#This Row],[_Row]])="",TRUE()),"",INDEX(tsk_Resource,GanttView[[#This Row],[_Row]])&amp;"")</f>
        <v/>
      </c>
      <c r="K57" s="108" t="str">
        <f aca="false">IF(IFERROR(INDEX(tsk_Name,GanttView[[#This Row],[_Row]])="",TRUE()),"",INDEX(tsk_Status,GanttView[[#This Row],[_Row]]))</f>
        <v/>
      </c>
      <c r="L57" s="109" t="n">
        <f aca="false">ROW()-ROW(GanttView[[#Headers],[ID]])</f>
        <v>52</v>
      </c>
      <c r="M57" s="110" t="b">
        <f aca="false">IF(IFERROR(INDEX(tsk_Name,GanttView[[#This Row],[_Row]])="",TRUE()),FALSE(),INDEX(tsk_IsSummary,GanttView[[#This Row],[_Row]]))</f>
        <v>0</v>
      </c>
      <c r="N57" s="110" t="b">
        <f aca="false">IF(IFERROR(INDEX(tsk_Name,GanttView[[#This Row],[_Row]])="",TRUE()),FALSE(),AND(INDEX(tsk_IsLeaf,GanttView[[#This Row],[_Row]])=1,N(INDEX(tsk_Duration,GanttView[[#This Row],[_Row]]))=0))</f>
        <v>0</v>
      </c>
      <c r="O5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5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5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57" s="111" t="n">
        <f aca="false">IF(GanttView[[#This Row],[_RemFrom]]=0,0,GanttView[[#This Row],[Forecast Finish]])</f>
        <v>0</v>
      </c>
      <c r="S57" s="110" t="b">
        <f aca="false">IF(IFERROR(INDEX(tsk_Name,GanttView[[#This Row],[_Row]])="",TRUE()),FALSE(),N(INDEX(tsk_Variance,GanttView[[#This Row],[_Row]]))&gt;0)</f>
        <v>0</v>
      </c>
      <c r="T57" s="111" t="n">
        <f aca="false">IF(IFERROR(INDEX(tsk_Name,GanttView[[#This Row],[_Row]])="",TRUE()),0,N(INDEX(tsk_Deadline,GanttView[[#This Row],[_Row]])))</f>
        <v>0</v>
      </c>
      <c r="U57" s="110" t="b">
        <f aca="false">IF(IFERROR(INDEX(tsk_Name,GanttView[[#This Row],[_Row]])="",TRUE()),FALSE(),INDEX(tsk_Critical,GanttView[[#This Row],[_Row]])="Yes")</f>
        <v>0</v>
      </c>
    </row>
    <row r="58" customFormat="false" ht="15" hidden="false" customHeight="false" outlineLevel="0" collapsed="false">
      <c r="A58" s="104" t="str">
        <f aca="false">IF(IFERROR(INDEX(tsk_Name,GanttView[[#This Row],[_Row]])="",TRUE()),"",INDEX(tsk_ID,GanttView[[#This Row],[_Row]]))</f>
        <v/>
      </c>
      <c r="B58" s="104" t="str">
        <f aca="false">IF(IFERROR(INDEX(tsk_Name,GanttView[[#This Row],[_Row]])="",TRUE()),"",INDEX(tsk_WBS,GanttView[[#This Row],[_Row]]))</f>
        <v/>
      </c>
      <c r="C58" s="105" t="str">
        <f aca="false">IF(IFERROR(INDEX(tsk_Name,GanttView[[#This Row],[_Row]])="",TRUE()),"",REPT("    ",INDEX(tsk_Level,GanttView[[#This Row],[_Row]])-1)&amp;INDEX(tsk_Name,GanttView[[#This Row],[_Row]]))</f>
        <v/>
      </c>
      <c r="D5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58" s="106" t="str">
        <f aca="false">IF(IFERROR(INDEX(tsk_Name,GanttView[[#This Row],[_Row]])="",TRUE()),"",INDEX(tsk_PlanStart,GanttView[[#This Row],[_Row]]))</f>
        <v/>
      </c>
      <c r="F58" s="106" t="str">
        <f aca="false">IF(IFERROR(INDEX(tsk_Name,GanttView[[#This Row],[_Row]])="",TRUE()),"",INDEX(tsk_PlanFinish,GanttView[[#This Row],[_Row]]))</f>
        <v/>
      </c>
      <c r="G58" s="106" t="str">
        <f aca="false">IF(IFERROR(INDEX(tsk_Name,GanttView[[#This Row],[_Row]])="",TRUE()),"",INDEX(tsk_FcStart,GanttView[[#This Row],[_Row]]))</f>
        <v/>
      </c>
      <c r="H58" s="106" t="str">
        <f aca="false">IF(IFERROR(INDEX(tsk_Name,GanttView[[#This Row],[_Row]])="",TRUE()),"",INDEX(tsk_FcFinish,GanttView[[#This Row],[_Row]]))</f>
        <v/>
      </c>
      <c r="I58" s="107" t="str">
        <f aca="false">IF(IFERROR(INDEX(tsk_Name,GanttView[[#This Row],[_Row]])="",TRUE()),"",INDEX(tsk_Progress,GanttView[[#This Row],[_Row]]))</f>
        <v/>
      </c>
      <c r="J58" s="105" t="str">
        <f aca="false">IF(IFERROR(INDEX(tsk_Name,GanttView[[#This Row],[_Row]])="",TRUE()),"",INDEX(tsk_Resource,GanttView[[#This Row],[_Row]])&amp;"")</f>
        <v/>
      </c>
      <c r="K58" s="108" t="str">
        <f aca="false">IF(IFERROR(INDEX(tsk_Name,GanttView[[#This Row],[_Row]])="",TRUE()),"",INDEX(tsk_Status,GanttView[[#This Row],[_Row]]))</f>
        <v/>
      </c>
      <c r="L58" s="109" t="n">
        <f aca="false">ROW()-ROW(GanttView[[#Headers],[ID]])</f>
        <v>53</v>
      </c>
      <c r="M58" s="110" t="b">
        <f aca="false">IF(IFERROR(INDEX(tsk_Name,GanttView[[#This Row],[_Row]])="",TRUE()),FALSE(),INDEX(tsk_IsSummary,GanttView[[#This Row],[_Row]]))</f>
        <v>0</v>
      </c>
      <c r="N58" s="110" t="b">
        <f aca="false">IF(IFERROR(INDEX(tsk_Name,GanttView[[#This Row],[_Row]])="",TRUE()),FALSE(),AND(INDEX(tsk_IsLeaf,GanttView[[#This Row],[_Row]])=1,N(INDEX(tsk_Duration,GanttView[[#This Row],[_Row]]))=0))</f>
        <v>0</v>
      </c>
      <c r="O5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5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5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58" s="111" t="n">
        <f aca="false">IF(GanttView[[#This Row],[_RemFrom]]=0,0,GanttView[[#This Row],[Forecast Finish]])</f>
        <v>0</v>
      </c>
      <c r="S58" s="110" t="b">
        <f aca="false">IF(IFERROR(INDEX(tsk_Name,GanttView[[#This Row],[_Row]])="",TRUE()),FALSE(),N(INDEX(tsk_Variance,GanttView[[#This Row],[_Row]]))&gt;0)</f>
        <v>0</v>
      </c>
      <c r="T58" s="111" t="n">
        <f aca="false">IF(IFERROR(INDEX(tsk_Name,GanttView[[#This Row],[_Row]])="",TRUE()),0,N(INDEX(tsk_Deadline,GanttView[[#This Row],[_Row]])))</f>
        <v>0</v>
      </c>
      <c r="U58" s="110" t="b">
        <f aca="false">IF(IFERROR(INDEX(tsk_Name,GanttView[[#This Row],[_Row]])="",TRUE()),FALSE(),INDEX(tsk_Critical,GanttView[[#This Row],[_Row]])="Yes")</f>
        <v>0</v>
      </c>
    </row>
    <row r="59" customFormat="false" ht="15" hidden="false" customHeight="false" outlineLevel="0" collapsed="false">
      <c r="A59" s="104" t="str">
        <f aca="false">IF(IFERROR(INDEX(tsk_Name,GanttView[[#This Row],[_Row]])="",TRUE()),"",INDEX(tsk_ID,GanttView[[#This Row],[_Row]]))</f>
        <v/>
      </c>
      <c r="B59" s="104" t="str">
        <f aca="false">IF(IFERROR(INDEX(tsk_Name,GanttView[[#This Row],[_Row]])="",TRUE()),"",INDEX(tsk_WBS,GanttView[[#This Row],[_Row]]))</f>
        <v/>
      </c>
      <c r="C59" s="105" t="str">
        <f aca="false">IF(IFERROR(INDEX(tsk_Name,GanttView[[#This Row],[_Row]])="",TRUE()),"",REPT("    ",INDEX(tsk_Level,GanttView[[#This Row],[_Row]])-1)&amp;INDEX(tsk_Name,GanttView[[#This Row],[_Row]]))</f>
        <v/>
      </c>
      <c r="D5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59" s="106" t="str">
        <f aca="false">IF(IFERROR(INDEX(tsk_Name,GanttView[[#This Row],[_Row]])="",TRUE()),"",INDEX(tsk_PlanStart,GanttView[[#This Row],[_Row]]))</f>
        <v/>
      </c>
      <c r="F59" s="106" t="str">
        <f aca="false">IF(IFERROR(INDEX(tsk_Name,GanttView[[#This Row],[_Row]])="",TRUE()),"",INDEX(tsk_PlanFinish,GanttView[[#This Row],[_Row]]))</f>
        <v/>
      </c>
      <c r="G59" s="106" t="str">
        <f aca="false">IF(IFERROR(INDEX(tsk_Name,GanttView[[#This Row],[_Row]])="",TRUE()),"",INDEX(tsk_FcStart,GanttView[[#This Row],[_Row]]))</f>
        <v/>
      </c>
      <c r="H59" s="106" t="str">
        <f aca="false">IF(IFERROR(INDEX(tsk_Name,GanttView[[#This Row],[_Row]])="",TRUE()),"",INDEX(tsk_FcFinish,GanttView[[#This Row],[_Row]]))</f>
        <v/>
      </c>
      <c r="I59" s="107" t="str">
        <f aca="false">IF(IFERROR(INDEX(tsk_Name,GanttView[[#This Row],[_Row]])="",TRUE()),"",INDEX(tsk_Progress,GanttView[[#This Row],[_Row]]))</f>
        <v/>
      </c>
      <c r="J59" s="105" t="str">
        <f aca="false">IF(IFERROR(INDEX(tsk_Name,GanttView[[#This Row],[_Row]])="",TRUE()),"",INDEX(tsk_Resource,GanttView[[#This Row],[_Row]])&amp;"")</f>
        <v/>
      </c>
      <c r="K59" s="108" t="str">
        <f aca="false">IF(IFERROR(INDEX(tsk_Name,GanttView[[#This Row],[_Row]])="",TRUE()),"",INDEX(tsk_Status,GanttView[[#This Row],[_Row]]))</f>
        <v/>
      </c>
      <c r="L59" s="109" t="n">
        <f aca="false">ROW()-ROW(GanttView[[#Headers],[ID]])</f>
        <v>54</v>
      </c>
      <c r="M59" s="110" t="b">
        <f aca="false">IF(IFERROR(INDEX(tsk_Name,GanttView[[#This Row],[_Row]])="",TRUE()),FALSE(),INDEX(tsk_IsSummary,GanttView[[#This Row],[_Row]]))</f>
        <v>0</v>
      </c>
      <c r="N59" s="110" t="b">
        <f aca="false">IF(IFERROR(INDEX(tsk_Name,GanttView[[#This Row],[_Row]])="",TRUE()),FALSE(),AND(INDEX(tsk_IsLeaf,GanttView[[#This Row],[_Row]])=1,N(INDEX(tsk_Duration,GanttView[[#This Row],[_Row]]))=0))</f>
        <v>0</v>
      </c>
      <c r="O5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5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5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59" s="111" t="n">
        <f aca="false">IF(GanttView[[#This Row],[_RemFrom]]=0,0,GanttView[[#This Row],[Forecast Finish]])</f>
        <v>0</v>
      </c>
      <c r="S59" s="110" t="b">
        <f aca="false">IF(IFERROR(INDEX(tsk_Name,GanttView[[#This Row],[_Row]])="",TRUE()),FALSE(),N(INDEX(tsk_Variance,GanttView[[#This Row],[_Row]]))&gt;0)</f>
        <v>0</v>
      </c>
      <c r="T59" s="111" t="n">
        <f aca="false">IF(IFERROR(INDEX(tsk_Name,GanttView[[#This Row],[_Row]])="",TRUE()),0,N(INDEX(tsk_Deadline,GanttView[[#This Row],[_Row]])))</f>
        <v>0</v>
      </c>
      <c r="U59" s="110" t="b">
        <f aca="false">IF(IFERROR(INDEX(tsk_Name,GanttView[[#This Row],[_Row]])="",TRUE()),FALSE(),INDEX(tsk_Critical,GanttView[[#This Row],[_Row]])="Yes")</f>
        <v>0</v>
      </c>
    </row>
    <row r="60" customFormat="false" ht="15" hidden="false" customHeight="false" outlineLevel="0" collapsed="false">
      <c r="A60" s="104" t="str">
        <f aca="false">IF(IFERROR(INDEX(tsk_Name,GanttView[[#This Row],[_Row]])="",TRUE()),"",INDEX(tsk_ID,GanttView[[#This Row],[_Row]]))</f>
        <v/>
      </c>
      <c r="B60" s="104" t="str">
        <f aca="false">IF(IFERROR(INDEX(tsk_Name,GanttView[[#This Row],[_Row]])="",TRUE()),"",INDEX(tsk_WBS,GanttView[[#This Row],[_Row]]))</f>
        <v/>
      </c>
      <c r="C60" s="105" t="str">
        <f aca="false">IF(IFERROR(INDEX(tsk_Name,GanttView[[#This Row],[_Row]])="",TRUE()),"",REPT("    ",INDEX(tsk_Level,GanttView[[#This Row],[_Row]])-1)&amp;INDEX(tsk_Name,GanttView[[#This Row],[_Row]]))</f>
        <v/>
      </c>
      <c r="D6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60" s="106" t="str">
        <f aca="false">IF(IFERROR(INDEX(tsk_Name,GanttView[[#This Row],[_Row]])="",TRUE()),"",INDEX(tsk_PlanStart,GanttView[[#This Row],[_Row]]))</f>
        <v/>
      </c>
      <c r="F60" s="106" t="str">
        <f aca="false">IF(IFERROR(INDEX(tsk_Name,GanttView[[#This Row],[_Row]])="",TRUE()),"",INDEX(tsk_PlanFinish,GanttView[[#This Row],[_Row]]))</f>
        <v/>
      </c>
      <c r="G60" s="106" t="str">
        <f aca="false">IF(IFERROR(INDEX(tsk_Name,GanttView[[#This Row],[_Row]])="",TRUE()),"",INDEX(tsk_FcStart,GanttView[[#This Row],[_Row]]))</f>
        <v/>
      </c>
      <c r="H60" s="106" t="str">
        <f aca="false">IF(IFERROR(INDEX(tsk_Name,GanttView[[#This Row],[_Row]])="",TRUE()),"",INDEX(tsk_FcFinish,GanttView[[#This Row],[_Row]]))</f>
        <v/>
      </c>
      <c r="I60" s="107" t="str">
        <f aca="false">IF(IFERROR(INDEX(tsk_Name,GanttView[[#This Row],[_Row]])="",TRUE()),"",INDEX(tsk_Progress,GanttView[[#This Row],[_Row]]))</f>
        <v/>
      </c>
      <c r="J60" s="105" t="str">
        <f aca="false">IF(IFERROR(INDEX(tsk_Name,GanttView[[#This Row],[_Row]])="",TRUE()),"",INDEX(tsk_Resource,GanttView[[#This Row],[_Row]])&amp;"")</f>
        <v/>
      </c>
      <c r="K60" s="108" t="str">
        <f aca="false">IF(IFERROR(INDEX(tsk_Name,GanttView[[#This Row],[_Row]])="",TRUE()),"",INDEX(tsk_Status,GanttView[[#This Row],[_Row]]))</f>
        <v/>
      </c>
      <c r="L60" s="109" t="n">
        <f aca="false">ROW()-ROW(GanttView[[#Headers],[ID]])</f>
        <v>55</v>
      </c>
      <c r="M60" s="110" t="b">
        <f aca="false">IF(IFERROR(INDEX(tsk_Name,GanttView[[#This Row],[_Row]])="",TRUE()),FALSE(),INDEX(tsk_IsSummary,GanttView[[#This Row],[_Row]]))</f>
        <v>0</v>
      </c>
      <c r="N60" s="110" t="b">
        <f aca="false">IF(IFERROR(INDEX(tsk_Name,GanttView[[#This Row],[_Row]])="",TRUE()),FALSE(),AND(INDEX(tsk_IsLeaf,GanttView[[#This Row],[_Row]])=1,N(INDEX(tsk_Duration,GanttView[[#This Row],[_Row]]))=0))</f>
        <v>0</v>
      </c>
      <c r="O6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6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6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60" s="111" t="n">
        <f aca="false">IF(GanttView[[#This Row],[_RemFrom]]=0,0,GanttView[[#This Row],[Forecast Finish]])</f>
        <v>0</v>
      </c>
      <c r="S60" s="110" t="b">
        <f aca="false">IF(IFERROR(INDEX(tsk_Name,GanttView[[#This Row],[_Row]])="",TRUE()),FALSE(),N(INDEX(tsk_Variance,GanttView[[#This Row],[_Row]]))&gt;0)</f>
        <v>0</v>
      </c>
      <c r="T60" s="111" t="n">
        <f aca="false">IF(IFERROR(INDEX(tsk_Name,GanttView[[#This Row],[_Row]])="",TRUE()),0,N(INDEX(tsk_Deadline,GanttView[[#This Row],[_Row]])))</f>
        <v>0</v>
      </c>
      <c r="U60" s="110" t="b">
        <f aca="false">IF(IFERROR(INDEX(tsk_Name,GanttView[[#This Row],[_Row]])="",TRUE()),FALSE(),INDEX(tsk_Critical,GanttView[[#This Row],[_Row]])="Yes")</f>
        <v>0</v>
      </c>
    </row>
    <row r="61" customFormat="false" ht="15" hidden="false" customHeight="false" outlineLevel="0" collapsed="false">
      <c r="A61" s="104" t="str">
        <f aca="false">IF(IFERROR(INDEX(tsk_Name,GanttView[[#This Row],[_Row]])="",TRUE()),"",INDEX(tsk_ID,GanttView[[#This Row],[_Row]]))</f>
        <v/>
      </c>
      <c r="B61" s="104" t="str">
        <f aca="false">IF(IFERROR(INDEX(tsk_Name,GanttView[[#This Row],[_Row]])="",TRUE()),"",INDEX(tsk_WBS,GanttView[[#This Row],[_Row]]))</f>
        <v/>
      </c>
      <c r="C61" s="105" t="str">
        <f aca="false">IF(IFERROR(INDEX(tsk_Name,GanttView[[#This Row],[_Row]])="",TRUE()),"",REPT("    ",INDEX(tsk_Level,GanttView[[#This Row],[_Row]])-1)&amp;INDEX(tsk_Name,GanttView[[#This Row],[_Row]]))</f>
        <v/>
      </c>
      <c r="D6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61" s="106" t="str">
        <f aca="false">IF(IFERROR(INDEX(tsk_Name,GanttView[[#This Row],[_Row]])="",TRUE()),"",INDEX(tsk_PlanStart,GanttView[[#This Row],[_Row]]))</f>
        <v/>
      </c>
      <c r="F61" s="106" t="str">
        <f aca="false">IF(IFERROR(INDEX(tsk_Name,GanttView[[#This Row],[_Row]])="",TRUE()),"",INDEX(tsk_PlanFinish,GanttView[[#This Row],[_Row]]))</f>
        <v/>
      </c>
      <c r="G61" s="106" t="str">
        <f aca="false">IF(IFERROR(INDEX(tsk_Name,GanttView[[#This Row],[_Row]])="",TRUE()),"",INDEX(tsk_FcStart,GanttView[[#This Row],[_Row]]))</f>
        <v/>
      </c>
      <c r="H61" s="106" t="str">
        <f aca="false">IF(IFERROR(INDEX(tsk_Name,GanttView[[#This Row],[_Row]])="",TRUE()),"",INDEX(tsk_FcFinish,GanttView[[#This Row],[_Row]]))</f>
        <v/>
      </c>
      <c r="I61" s="107" t="str">
        <f aca="false">IF(IFERROR(INDEX(tsk_Name,GanttView[[#This Row],[_Row]])="",TRUE()),"",INDEX(tsk_Progress,GanttView[[#This Row],[_Row]]))</f>
        <v/>
      </c>
      <c r="J61" s="105" t="str">
        <f aca="false">IF(IFERROR(INDEX(tsk_Name,GanttView[[#This Row],[_Row]])="",TRUE()),"",INDEX(tsk_Resource,GanttView[[#This Row],[_Row]])&amp;"")</f>
        <v/>
      </c>
      <c r="K61" s="108" t="str">
        <f aca="false">IF(IFERROR(INDEX(tsk_Name,GanttView[[#This Row],[_Row]])="",TRUE()),"",INDEX(tsk_Status,GanttView[[#This Row],[_Row]]))</f>
        <v/>
      </c>
      <c r="L61" s="109" t="n">
        <f aca="false">ROW()-ROW(GanttView[[#Headers],[ID]])</f>
        <v>56</v>
      </c>
      <c r="M61" s="110" t="b">
        <f aca="false">IF(IFERROR(INDEX(tsk_Name,GanttView[[#This Row],[_Row]])="",TRUE()),FALSE(),INDEX(tsk_IsSummary,GanttView[[#This Row],[_Row]]))</f>
        <v>0</v>
      </c>
      <c r="N61" s="110" t="b">
        <f aca="false">IF(IFERROR(INDEX(tsk_Name,GanttView[[#This Row],[_Row]])="",TRUE()),FALSE(),AND(INDEX(tsk_IsLeaf,GanttView[[#This Row],[_Row]])=1,N(INDEX(tsk_Duration,GanttView[[#This Row],[_Row]]))=0))</f>
        <v>0</v>
      </c>
      <c r="O6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6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6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61" s="111" t="n">
        <f aca="false">IF(GanttView[[#This Row],[_RemFrom]]=0,0,GanttView[[#This Row],[Forecast Finish]])</f>
        <v>0</v>
      </c>
      <c r="S61" s="110" t="b">
        <f aca="false">IF(IFERROR(INDEX(tsk_Name,GanttView[[#This Row],[_Row]])="",TRUE()),FALSE(),N(INDEX(tsk_Variance,GanttView[[#This Row],[_Row]]))&gt;0)</f>
        <v>0</v>
      </c>
      <c r="T61" s="111" t="n">
        <f aca="false">IF(IFERROR(INDEX(tsk_Name,GanttView[[#This Row],[_Row]])="",TRUE()),0,N(INDEX(tsk_Deadline,GanttView[[#This Row],[_Row]])))</f>
        <v>0</v>
      </c>
      <c r="U61" s="110" t="b">
        <f aca="false">IF(IFERROR(INDEX(tsk_Name,GanttView[[#This Row],[_Row]])="",TRUE()),FALSE(),INDEX(tsk_Critical,GanttView[[#This Row],[_Row]])="Yes")</f>
        <v>0</v>
      </c>
    </row>
    <row r="62" customFormat="false" ht="15" hidden="false" customHeight="false" outlineLevel="0" collapsed="false">
      <c r="A62" s="104" t="str">
        <f aca="false">IF(IFERROR(INDEX(tsk_Name,GanttView[[#This Row],[_Row]])="",TRUE()),"",INDEX(tsk_ID,GanttView[[#This Row],[_Row]]))</f>
        <v/>
      </c>
      <c r="B62" s="104" t="str">
        <f aca="false">IF(IFERROR(INDEX(tsk_Name,GanttView[[#This Row],[_Row]])="",TRUE()),"",INDEX(tsk_WBS,GanttView[[#This Row],[_Row]]))</f>
        <v/>
      </c>
      <c r="C62" s="105" t="str">
        <f aca="false">IF(IFERROR(INDEX(tsk_Name,GanttView[[#This Row],[_Row]])="",TRUE()),"",REPT("    ",INDEX(tsk_Level,GanttView[[#This Row],[_Row]])-1)&amp;INDEX(tsk_Name,GanttView[[#This Row],[_Row]]))</f>
        <v/>
      </c>
      <c r="D6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62" s="106" t="str">
        <f aca="false">IF(IFERROR(INDEX(tsk_Name,GanttView[[#This Row],[_Row]])="",TRUE()),"",INDEX(tsk_PlanStart,GanttView[[#This Row],[_Row]]))</f>
        <v/>
      </c>
      <c r="F62" s="106" t="str">
        <f aca="false">IF(IFERROR(INDEX(tsk_Name,GanttView[[#This Row],[_Row]])="",TRUE()),"",INDEX(tsk_PlanFinish,GanttView[[#This Row],[_Row]]))</f>
        <v/>
      </c>
      <c r="G62" s="106" t="str">
        <f aca="false">IF(IFERROR(INDEX(tsk_Name,GanttView[[#This Row],[_Row]])="",TRUE()),"",INDEX(tsk_FcStart,GanttView[[#This Row],[_Row]]))</f>
        <v/>
      </c>
      <c r="H62" s="106" t="str">
        <f aca="false">IF(IFERROR(INDEX(tsk_Name,GanttView[[#This Row],[_Row]])="",TRUE()),"",INDEX(tsk_FcFinish,GanttView[[#This Row],[_Row]]))</f>
        <v/>
      </c>
      <c r="I62" s="107" t="str">
        <f aca="false">IF(IFERROR(INDEX(tsk_Name,GanttView[[#This Row],[_Row]])="",TRUE()),"",INDEX(tsk_Progress,GanttView[[#This Row],[_Row]]))</f>
        <v/>
      </c>
      <c r="J62" s="105" t="str">
        <f aca="false">IF(IFERROR(INDEX(tsk_Name,GanttView[[#This Row],[_Row]])="",TRUE()),"",INDEX(tsk_Resource,GanttView[[#This Row],[_Row]])&amp;"")</f>
        <v/>
      </c>
      <c r="K62" s="108" t="str">
        <f aca="false">IF(IFERROR(INDEX(tsk_Name,GanttView[[#This Row],[_Row]])="",TRUE()),"",INDEX(tsk_Status,GanttView[[#This Row],[_Row]]))</f>
        <v/>
      </c>
      <c r="L62" s="109" t="n">
        <f aca="false">ROW()-ROW(GanttView[[#Headers],[ID]])</f>
        <v>57</v>
      </c>
      <c r="M62" s="110" t="b">
        <f aca="false">IF(IFERROR(INDEX(tsk_Name,GanttView[[#This Row],[_Row]])="",TRUE()),FALSE(),INDEX(tsk_IsSummary,GanttView[[#This Row],[_Row]]))</f>
        <v>0</v>
      </c>
      <c r="N62" s="110" t="b">
        <f aca="false">IF(IFERROR(INDEX(tsk_Name,GanttView[[#This Row],[_Row]])="",TRUE()),FALSE(),AND(INDEX(tsk_IsLeaf,GanttView[[#This Row],[_Row]])=1,N(INDEX(tsk_Duration,GanttView[[#This Row],[_Row]]))=0))</f>
        <v>0</v>
      </c>
      <c r="O6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6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6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62" s="111" t="n">
        <f aca="false">IF(GanttView[[#This Row],[_RemFrom]]=0,0,GanttView[[#This Row],[Forecast Finish]])</f>
        <v>0</v>
      </c>
      <c r="S62" s="110" t="b">
        <f aca="false">IF(IFERROR(INDEX(tsk_Name,GanttView[[#This Row],[_Row]])="",TRUE()),FALSE(),N(INDEX(tsk_Variance,GanttView[[#This Row],[_Row]]))&gt;0)</f>
        <v>0</v>
      </c>
      <c r="T62" s="111" t="n">
        <f aca="false">IF(IFERROR(INDEX(tsk_Name,GanttView[[#This Row],[_Row]])="",TRUE()),0,N(INDEX(tsk_Deadline,GanttView[[#This Row],[_Row]])))</f>
        <v>0</v>
      </c>
      <c r="U62" s="110" t="b">
        <f aca="false">IF(IFERROR(INDEX(tsk_Name,GanttView[[#This Row],[_Row]])="",TRUE()),FALSE(),INDEX(tsk_Critical,GanttView[[#This Row],[_Row]])="Yes")</f>
        <v>0</v>
      </c>
    </row>
    <row r="63" customFormat="false" ht="15" hidden="false" customHeight="false" outlineLevel="0" collapsed="false">
      <c r="A63" s="104" t="str">
        <f aca="false">IF(IFERROR(INDEX(tsk_Name,GanttView[[#This Row],[_Row]])="",TRUE()),"",INDEX(tsk_ID,GanttView[[#This Row],[_Row]]))</f>
        <v/>
      </c>
      <c r="B63" s="104" t="str">
        <f aca="false">IF(IFERROR(INDEX(tsk_Name,GanttView[[#This Row],[_Row]])="",TRUE()),"",INDEX(tsk_WBS,GanttView[[#This Row],[_Row]]))</f>
        <v/>
      </c>
      <c r="C63" s="105" t="str">
        <f aca="false">IF(IFERROR(INDEX(tsk_Name,GanttView[[#This Row],[_Row]])="",TRUE()),"",REPT("    ",INDEX(tsk_Level,GanttView[[#This Row],[_Row]])-1)&amp;INDEX(tsk_Name,GanttView[[#This Row],[_Row]]))</f>
        <v/>
      </c>
      <c r="D6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63" s="106" t="str">
        <f aca="false">IF(IFERROR(INDEX(tsk_Name,GanttView[[#This Row],[_Row]])="",TRUE()),"",INDEX(tsk_PlanStart,GanttView[[#This Row],[_Row]]))</f>
        <v/>
      </c>
      <c r="F63" s="106" t="str">
        <f aca="false">IF(IFERROR(INDEX(tsk_Name,GanttView[[#This Row],[_Row]])="",TRUE()),"",INDEX(tsk_PlanFinish,GanttView[[#This Row],[_Row]]))</f>
        <v/>
      </c>
      <c r="G63" s="106" t="str">
        <f aca="false">IF(IFERROR(INDEX(tsk_Name,GanttView[[#This Row],[_Row]])="",TRUE()),"",INDEX(tsk_FcStart,GanttView[[#This Row],[_Row]]))</f>
        <v/>
      </c>
      <c r="H63" s="106" t="str">
        <f aca="false">IF(IFERROR(INDEX(tsk_Name,GanttView[[#This Row],[_Row]])="",TRUE()),"",INDEX(tsk_FcFinish,GanttView[[#This Row],[_Row]]))</f>
        <v/>
      </c>
      <c r="I63" s="107" t="str">
        <f aca="false">IF(IFERROR(INDEX(tsk_Name,GanttView[[#This Row],[_Row]])="",TRUE()),"",INDEX(tsk_Progress,GanttView[[#This Row],[_Row]]))</f>
        <v/>
      </c>
      <c r="J63" s="105" t="str">
        <f aca="false">IF(IFERROR(INDEX(tsk_Name,GanttView[[#This Row],[_Row]])="",TRUE()),"",INDEX(tsk_Resource,GanttView[[#This Row],[_Row]])&amp;"")</f>
        <v/>
      </c>
      <c r="K63" s="108" t="str">
        <f aca="false">IF(IFERROR(INDEX(tsk_Name,GanttView[[#This Row],[_Row]])="",TRUE()),"",INDEX(tsk_Status,GanttView[[#This Row],[_Row]]))</f>
        <v/>
      </c>
      <c r="L63" s="109" t="n">
        <f aca="false">ROW()-ROW(GanttView[[#Headers],[ID]])</f>
        <v>58</v>
      </c>
      <c r="M63" s="110" t="b">
        <f aca="false">IF(IFERROR(INDEX(tsk_Name,GanttView[[#This Row],[_Row]])="",TRUE()),FALSE(),INDEX(tsk_IsSummary,GanttView[[#This Row],[_Row]]))</f>
        <v>0</v>
      </c>
      <c r="N63" s="110" t="b">
        <f aca="false">IF(IFERROR(INDEX(tsk_Name,GanttView[[#This Row],[_Row]])="",TRUE()),FALSE(),AND(INDEX(tsk_IsLeaf,GanttView[[#This Row],[_Row]])=1,N(INDEX(tsk_Duration,GanttView[[#This Row],[_Row]]))=0))</f>
        <v>0</v>
      </c>
      <c r="O6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6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6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63" s="111" t="n">
        <f aca="false">IF(GanttView[[#This Row],[_RemFrom]]=0,0,GanttView[[#This Row],[Forecast Finish]])</f>
        <v>0</v>
      </c>
      <c r="S63" s="110" t="b">
        <f aca="false">IF(IFERROR(INDEX(tsk_Name,GanttView[[#This Row],[_Row]])="",TRUE()),FALSE(),N(INDEX(tsk_Variance,GanttView[[#This Row],[_Row]]))&gt;0)</f>
        <v>0</v>
      </c>
      <c r="T63" s="111" t="n">
        <f aca="false">IF(IFERROR(INDEX(tsk_Name,GanttView[[#This Row],[_Row]])="",TRUE()),0,N(INDEX(tsk_Deadline,GanttView[[#This Row],[_Row]])))</f>
        <v>0</v>
      </c>
      <c r="U63" s="110" t="b">
        <f aca="false">IF(IFERROR(INDEX(tsk_Name,GanttView[[#This Row],[_Row]])="",TRUE()),FALSE(),INDEX(tsk_Critical,GanttView[[#This Row],[_Row]])="Yes")</f>
        <v>0</v>
      </c>
    </row>
    <row r="64" customFormat="false" ht="15" hidden="false" customHeight="false" outlineLevel="0" collapsed="false">
      <c r="A64" s="104" t="str">
        <f aca="false">IF(IFERROR(INDEX(tsk_Name,GanttView[[#This Row],[_Row]])="",TRUE()),"",INDEX(tsk_ID,GanttView[[#This Row],[_Row]]))</f>
        <v/>
      </c>
      <c r="B64" s="104" t="str">
        <f aca="false">IF(IFERROR(INDEX(tsk_Name,GanttView[[#This Row],[_Row]])="",TRUE()),"",INDEX(tsk_WBS,GanttView[[#This Row],[_Row]]))</f>
        <v/>
      </c>
      <c r="C64" s="105" t="str">
        <f aca="false">IF(IFERROR(INDEX(tsk_Name,GanttView[[#This Row],[_Row]])="",TRUE()),"",REPT("    ",INDEX(tsk_Level,GanttView[[#This Row],[_Row]])-1)&amp;INDEX(tsk_Name,GanttView[[#This Row],[_Row]]))</f>
        <v/>
      </c>
      <c r="D6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64" s="106" t="str">
        <f aca="false">IF(IFERROR(INDEX(tsk_Name,GanttView[[#This Row],[_Row]])="",TRUE()),"",INDEX(tsk_PlanStart,GanttView[[#This Row],[_Row]]))</f>
        <v/>
      </c>
      <c r="F64" s="106" t="str">
        <f aca="false">IF(IFERROR(INDEX(tsk_Name,GanttView[[#This Row],[_Row]])="",TRUE()),"",INDEX(tsk_PlanFinish,GanttView[[#This Row],[_Row]]))</f>
        <v/>
      </c>
      <c r="G64" s="106" t="str">
        <f aca="false">IF(IFERROR(INDEX(tsk_Name,GanttView[[#This Row],[_Row]])="",TRUE()),"",INDEX(tsk_FcStart,GanttView[[#This Row],[_Row]]))</f>
        <v/>
      </c>
      <c r="H64" s="106" t="str">
        <f aca="false">IF(IFERROR(INDEX(tsk_Name,GanttView[[#This Row],[_Row]])="",TRUE()),"",INDEX(tsk_FcFinish,GanttView[[#This Row],[_Row]]))</f>
        <v/>
      </c>
      <c r="I64" s="107" t="str">
        <f aca="false">IF(IFERROR(INDEX(tsk_Name,GanttView[[#This Row],[_Row]])="",TRUE()),"",INDEX(tsk_Progress,GanttView[[#This Row],[_Row]]))</f>
        <v/>
      </c>
      <c r="J64" s="105" t="str">
        <f aca="false">IF(IFERROR(INDEX(tsk_Name,GanttView[[#This Row],[_Row]])="",TRUE()),"",INDEX(tsk_Resource,GanttView[[#This Row],[_Row]])&amp;"")</f>
        <v/>
      </c>
      <c r="K64" s="108" t="str">
        <f aca="false">IF(IFERROR(INDEX(tsk_Name,GanttView[[#This Row],[_Row]])="",TRUE()),"",INDEX(tsk_Status,GanttView[[#This Row],[_Row]]))</f>
        <v/>
      </c>
      <c r="L64" s="109" t="n">
        <f aca="false">ROW()-ROW(GanttView[[#Headers],[ID]])</f>
        <v>59</v>
      </c>
      <c r="M64" s="110" t="b">
        <f aca="false">IF(IFERROR(INDEX(tsk_Name,GanttView[[#This Row],[_Row]])="",TRUE()),FALSE(),INDEX(tsk_IsSummary,GanttView[[#This Row],[_Row]]))</f>
        <v>0</v>
      </c>
      <c r="N64" s="110" t="b">
        <f aca="false">IF(IFERROR(INDEX(tsk_Name,GanttView[[#This Row],[_Row]])="",TRUE()),FALSE(),AND(INDEX(tsk_IsLeaf,GanttView[[#This Row],[_Row]])=1,N(INDEX(tsk_Duration,GanttView[[#This Row],[_Row]]))=0))</f>
        <v>0</v>
      </c>
      <c r="O6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6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6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64" s="111" t="n">
        <f aca="false">IF(GanttView[[#This Row],[_RemFrom]]=0,0,GanttView[[#This Row],[Forecast Finish]])</f>
        <v>0</v>
      </c>
      <c r="S64" s="110" t="b">
        <f aca="false">IF(IFERROR(INDEX(tsk_Name,GanttView[[#This Row],[_Row]])="",TRUE()),FALSE(),N(INDEX(tsk_Variance,GanttView[[#This Row],[_Row]]))&gt;0)</f>
        <v>0</v>
      </c>
      <c r="T64" s="111" t="n">
        <f aca="false">IF(IFERROR(INDEX(tsk_Name,GanttView[[#This Row],[_Row]])="",TRUE()),0,N(INDEX(tsk_Deadline,GanttView[[#This Row],[_Row]])))</f>
        <v>0</v>
      </c>
      <c r="U64" s="110" t="b">
        <f aca="false">IF(IFERROR(INDEX(tsk_Name,GanttView[[#This Row],[_Row]])="",TRUE()),FALSE(),INDEX(tsk_Critical,GanttView[[#This Row],[_Row]])="Yes")</f>
        <v>0</v>
      </c>
    </row>
    <row r="65" customFormat="false" ht="15" hidden="false" customHeight="false" outlineLevel="0" collapsed="false">
      <c r="A65" s="104" t="str">
        <f aca="false">IF(IFERROR(INDEX(tsk_Name,GanttView[[#This Row],[_Row]])="",TRUE()),"",INDEX(tsk_ID,GanttView[[#This Row],[_Row]]))</f>
        <v/>
      </c>
      <c r="B65" s="104" t="str">
        <f aca="false">IF(IFERROR(INDEX(tsk_Name,GanttView[[#This Row],[_Row]])="",TRUE()),"",INDEX(tsk_WBS,GanttView[[#This Row],[_Row]]))</f>
        <v/>
      </c>
      <c r="C65" s="105" t="str">
        <f aca="false">IF(IFERROR(INDEX(tsk_Name,GanttView[[#This Row],[_Row]])="",TRUE()),"",REPT("    ",INDEX(tsk_Level,GanttView[[#This Row],[_Row]])-1)&amp;INDEX(tsk_Name,GanttView[[#This Row],[_Row]]))</f>
        <v/>
      </c>
      <c r="D6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65" s="106" t="str">
        <f aca="false">IF(IFERROR(INDEX(tsk_Name,GanttView[[#This Row],[_Row]])="",TRUE()),"",INDEX(tsk_PlanStart,GanttView[[#This Row],[_Row]]))</f>
        <v/>
      </c>
      <c r="F65" s="106" t="str">
        <f aca="false">IF(IFERROR(INDEX(tsk_Name,GanttView[[#This Row],[_Row]])="",TRUE()),"",INDEX(tsk_PlanFinish,GanttView[[#This Row],[_Row]]))</f>
        <v/>
      </c>
      <c r="G65" s="106" t="str">
        <f aca="false">IF(IFERROR(INDEX(tsk_Name,GanttView[[#This Row],[_Row]])="",TRUE()),"",INDEX(tsk_FcStart,GanttView[[#This Row],[_Row]]))</f>
        <v/>
      </c>
      <c r="H65" s="106" t="str">
        <f aca="false">IF(IFERROR(INDEX(tsk_Name,GanttView[[#This Row],[_Row]])="",TRUE()),"",INDEX(tsk_FcFinish,GanttView[[#This Row],[_Row]]))</f>
        <v/>
      </c>
      <c r="I65" s="107" t="str">
        <f aca="false">IF(IFERROR(INDEX(tsk_Name,GanttView[[#This Row],[_Row]])="",TRUE()),"",INDEX(tsk_Progress,GanttView[[#This Row],[_Row]]))</f>
        <v/>
      </c>
      <c r="J65" s="105" t="str">
        <f aca="false">IF(IFERROR(INDEX(tsk_Name,GanttView[[#This Row],[_Row]])="",TRUE()),"",INDEX(tsk_Resource,GanttView[[#This Row],[_Row]])&amp;"")</f>
        <v/>
      </c>
      <c r="K65" s="108" t="str">
        <f aca="false">IF(IFERROR(INDEX(tsk_Name,GanttView[[#This Row],[_Row]])="",TRUE()),"",INDEX(tsk_Status,GanttView[[#This Row],[_Row]]))</f>
        <v/>
      </c>
      <c r="L65" s="109" t="n">
        <f aca="false">ROW()-ROW(GanttView[[#Headers],[ID]])</f>
        <v>60</v>
      </c>
      <c r="M65" s="110" t="b">
        <f aca="false">IF(IFERROR(INDEX(tsk_Name,GanttView[[#This Row],[_Row]])="",TRUE()),FALSE(),INDEX(tsk_IsSummary,GanttView[[#This Row],[_Row]]))</f>
        <v>0</v>
      </c>
      <c r="N65" s="110" t="b">
        <f aca="false">IF(IFERROR(INDEX(tsk_Name,GanttView[[#This Row],[_Row]])="",TRUE()),FALSE(),AND(INDEX(tsk_IsLeaf,GanttView[[#This Row],[_Row]])=1,N(INDEX(tsk_Duration,GanttView[[#This Row],[_Row]]))=0))</f>
        <v>0</v>
      </c>
      <c r="O6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6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6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65" s="111" t="n">
        <f aca="false">IF(GanttView[[#This Row],[_RemFrom]]=0,0,GanttView[[#This Row],[Forecast Finish]])</f>
        <v>0</v>
      </c>
      <c r="S65" s="110" t="b">
        <f aca="false">IF(IFERROR(INDEX(tsk_Name,GanttView[[#This Row],[_Row]])="",TRUE()),FALSE(),N(INDEX(tsk_Variance,GanttView[[#This Row],[_Row]]))&gt;0)</f>
        <v>0</v>
      </c>
      <c r="T65" s="111" t="n">
        <f aca="false">IF(IFERROR(INDEX(tsk_Name,GanttView[[#This Row],[_Row]])="",TRUE()),0,N(INDEX(tsk_Deadline,GanttView[[#This Row],[_Row]])))</f>
        <v>0</v>
      </c>
      <c r="U65" s="110" t="b">
        <f aca="false">IF(IFERROR(INDEX(tsk_Name,GanttView[[#This Row],[_Row]])="",TRUE()),FALSE(),INDEX(tsk_Critical,GanttView[[#This Row],[_Row]])="Yes")</f>
        <v>0</v>
      </c>
    </row>
    <row r="66" customFormat="false" ht="15" hidden="false" customHeight="false" outlineLevel="0" collapsed="false">
      <c r="A66" s="104" t="str">
        <f aca="false">IF(IFERROR(INDEX(tsk_Name,GanttView[[#This Row],[_Row]])="",TRUE()),"",INDEX(tsk_ID,GanttView[[#This Row],[_Row]]))</f>
        <v/>
      </c>
      <c r="B66" s="104" t="str">
        <f aca="false">IF(IFERROR(INDEX(tsk_Name,GanttView[[#This Row],[_Row]])="",TRUE()),"",INDEX(tsk_WBS,GanttView[[#This Row],[_Row]]))</f>
        <v/>
      </c>
      <c r="C66" s="105" t="str">
        <f aca="false">IF(IFERROR(INDEX(tsk_Name,GanttView[[#This Row],[_Row]])="",TRUE()),"",REPT("    ",INDEX(tsk_Level,GanttView[[#This Row],[_Row]])-1)&amp;INDEX(tsk_Name,GanttView[[#This Row],[_Row]]))</f>
        <v/>
      </c>
      <c r="D6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66" s="106" t="str">
        <f aca="false">IF(IFERROR(INDEX(tsk_Name,GanttView[[#This Row],[_Row]])="",TRUE()),"",INDEX(tsk_PlanStart,GanttView[[#This Row],[_Row]]))</f>
        <v/>
      </c>
      <c r="F66" s="106" t="str">
        <f aca="false">IF(IFERROR(INDEX(tsk_Name,GanttView[[#This Row],[_Row]])="",TRUE()),"",INDEX(tsk_PlanFinish,GanttView[[#This Row],[_Row]]))</f>
        <v/>
      </c>
      <c r="G66" s="106" t="str">
        <f aca="false">IF(IFERROR(INDEX(tsk_Name,GanttView[[#This Row],[_Row]])="",TRUE()),"",INDEX(tsk_FcStart,GanttView[[#This Row],[_Row]]))</f>
        <v/>
      </c>
      <c r="H66" s="106" t="str">
        <f aca="false">IF(IFERROR(INDEX(tsk_Name,GanttView[[#This Row],[_Row]])="",TRUE()),"",INDEX(tsk_FcFinish,GanttView[[#This Row],[_Row]]))</f>
        <v/>
      </c>
      <c r="I66" s="107" t="str">
        <f aca="false">IF(IFERROR(INDEX(tsk_Name,GanttView[[#This Row],[_Row]])="",TRUE()),"",INDEX(tsk_Progress,GanttView[[#This Row],[_Row]]))</f>
        <v/>
      </c>
      <c r="J66" s="105" t="str">
        <f aca="false">IF(IFERROR(INDEX(tsk_Name,GanttView[[#This Row],[_Row]])="",TRUE()),"",INDEX(tsk_Resource,GanttView[[#This Row],[_Row]])&amp;"")</f>
        <v/>
      </c>
      <c r="K66" s="108" t="str">
        <f aca="false">IF(IFERROR(INDEX(tsk_Name,GanttView[[#This Row],[_Row]])="",TRUE()),"",INDEX(tsk_Status,GanttView[[#This Row],[_Row]]))</f>
        <v/>
      </c>
      <c r="L66" s="109" t="n">
        <f aca="false">ROW()-ROW(GanttView[[#Headers],[ID]])</f>
        <v>61</v>
      </c>
      <c r="M66" s="110" t="b">
        <f aca="false">IF(IFERROR(INDEX(tsk_Name,GanttView[[#This Row],[_Row]])="",TRUE()),FALSE(),INDEX(tsk_IsSummary,GanttView[[#This Row],[_Row]]))</f>
        <v>0</v>
      </c>
      <c r="N66" s="110" t="b">
        <f aca="false">IF(IFERROR(INDEX(tsk_Name,GanttView[[#This Row],[_Row]])="",TRUE()),FALSE(),AND(INDEX(tsk_IsLeaf,GanttView[[#This Row],[_Row]])=1,N(INDEX(tsk_Duration,GanttView[[#This Row],[_Row]]))=0))</f>
        <v>0</v>
      </c>
      <c r="O6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6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6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66" s="111" t="n">
        <f aca="false">IF(GanttView[[#This Row],[_RemFrom]]=0,0,GanttView[[#This Row],[Forecast Finish]])</f>
        <v>0</v>
      </c>
      <c r="S66" s="110" t="b">
        <f aca="false">IF(IFERROR(INDEX(tsk_Name,GanttView[[#This Row],[_Row]])="",TRUE()),FALSE(),N(INDEX(tsk_Variance,GanttView[[#This Row],[_Row]]))&gt;0)</f>
        <v>0</v>
      </c>
      <c r="T66" s="111" t="n">
        <f aca="false">IF(IFERROR(INDEX(tsk_Name,GanttView[[#This Row],[_Row]])="",TRUE()),0,N(INDEX(tsk_Deadline,GanttView[[#This Row],[_Row]])))</f>
        <v>0</v>
      </c>
      <c r="U66" s="110" t="b">
        <f aca="false">IF(IFERROR(INDEX(tsk_Name,GanttView[[#This Row],[_Row]])="",TRUE()),FALSE(),INDEX(tsk_Critical,GanttView[[#This Row],[_Row]])="Yes")</f>
        <v>0</v>
      </c>
    </row>
    <row r="67" customFormat="false" ht="15" hidden="false" customHeight="false" outlineLevel="0" collapsed="false">
      <c r="A67" s="104" t="str">
        <f aca="false">IF(IFERROR(INDEX(tsk_Name,GanttView[[#This Row],[_Row]])="",TRUE()),"",INDEX(tsk_ID,GanttView[[#This Row],[_Row]]))</f>
        <v/>
      </c>
      <c r="B67" s="104" t="str">
        <f aca="false">IF(IFERROR(INDEX(tsk_Name,GanttView[[#This Row],[_Row]])="",TRUE()),"",INDEX(tsk_WBS,GanttView[[#This Row],[_Row]]))</f>
        <v/>
      </c>
      <c r="C67" s="105" t="str">
        <f aca="false">IF(IFERROR(INDEX(tsk_Name,GanttView[[#This Row],[_Row]])="",TRUE()),"",REPT("    ",INDEX(tsk_Level,GanttView[[#This Row],[_Row]])-1)&amp;INDEX(tsk_Name,GanttView[[#This Row],[_Row]]))</f>
        <v/>
      </c>
      <c r="D6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67" s="106" t="str">
        <f aca="false">IF(IFERROR(INDEX(tsk_Name,GanttView[[#This Row],[_Row]])="",TRUE()),"",INDEX(tsk_PlanStart,GanttView[[#This Row],[_Row]]))</f>
        <v/>
      </c>
      <c r="F67" s="106" t="str">
        <f aca="false">IF(IFERROR(INDEX(tsk_Name,GanttView[[#This Row],[_Row]])="",TRUE()),"",INDEX(tsk_PlanFinish,GanttView[[#This Row],[_Row]]))</f>
        <v/>
      </c>
      <c r="G67" s="106" t="str">
        <f aca="false">IF(IFERROR(INDEX(tsk_Name,GanttView[[#This Row],[_Row]])="",TRUE()),"",INDEX(tsk_FcStart,GanttView[[#This Row],[_Row]]))</f>
        <v/>
      </c>
      <c r="H67" s="106" t="str">
        <f aca="false">IF(IFERROR(INDEX(tsk_Name,GanttView[[#This Row],[_Row]])="",TRUE()),"",INDEX(tsk_FcFinish,GanttView[[#This Row],[_Row]]))</f>
        <v/>
      </c>
      <c r="I67" s="107" t="str">
        <f aca="false">IF(IFERROR(INDEX(tsk_Name,GanttView[[#This Row],[_Row]])="",TRUE()),"",INDEX(tsk_Progress,GanttView[[#This Row],[_Row]]))</f>
        <v/>
      </c>
      <c r="J67" s="105" t="str">
        <f aca="false">IF(IFERROR(INDEX(tsk_Name,GanttView[[#This Row],[_Row]])="",TRUE()),"",INDEX(tsk_Resource,GanttView[[#This Row],[_Row]])&amp;"")</f>
        <v/>
      </c>
      <c r="K67" s="108" t="str">
        <f aca="false">IF(IFERROR(INDEX(tsk_Name,GanttView[[#This Row],[_Row]])="",TRUE()),"",INDEX(tsk_Status,GanttView[[#This Row],[_Row]]))</f>
        <v/>
      </c>
      <c r="L67" s="109" t="n">
        <f aca="false">ROW()-ROW(GanttView[[#Headers],[ID]])</f>
        <v>62</v>
      </c>
      <c r="M67" s="110" t="b">
        <f aca="false">IF(IFERROR(INDEX(tsk_Name,GanttView[[#This Row],[_Row]])="",TRUE()),FALSE(),INDEX(tsk_IsSummary,GanttView[[#This Row],[_Row]]))</f>
        <v>0</v>
      </c>
      <c r="N67" s="110" t="b">
        <f aca="false">IF(IFERROR(INDEX(tsk_Name,GanttView[[#This Row],[_Row]])="",TRUE()),FALSE(),AND(INDEX(tsk_IsLeaf,GanttView[[#This Row],[_Row]])=1,N(INDEX(tsk_Duration,GanttView[[#This Row],[_Row]]))=0))</f>
        <v>0</v>
      </c>
      <c r="O6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6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6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67" s="111" t="n">
        <f aca="false">IF(GanttView[[#This Row],[_RemFrom]]=0,0,GanttView[[#This Row],[Forecast Finish]])</f>
        <v>0</v>
      </c>
      <c r="S67" s="110" t="b">
        <f aca="false">IF(IFERROR(INDEX(tsk_Name,GanttView[[#This Row],[_Row]])="",TRUE()),FALSE(),N(INDEX(tsk_Variance,GanttView[[#This Row],[_Row]]))&gt;0)</f>
        <v>0</v>
      </c>
      <c r="T67" s="111" t="n">
        <f aca="false">IF(IFERROR(INDEX(tsk_Name,GanttView[[#This Row],[_Row]])="",TRUE()),0,N(INDEX(tsk_Deadline,GanttView[[#This Row],[_Row]])))</f>
        <v>0</v>
      </c>
      <c r="U67" s="110" t="b">
        <f aca="false">IF(IFERROR(INDEX(tsk_Name,GanttView[[#This Row],[_Row]])="",TRUE()),FALSE(),INDEX(tsk_Critical,GanttView[[#This Row],[_Row]])="Yes")</f>
        <v>0</v>
      </c>
    </row>
    <row r="68" customFormat="false" ht="15" hidden="false" customHeight="false" outlineLevel="0" collapsed="false">
      <c r="A68" s="104" t="str">
        <f aca="false">IF(IFERROR(INDEX(tsk_Name,GanttView[[#This Row],[_Row]])="",TRUE()),"",INDEX(tsk_ID,GanttView[[#This Row],[_Row]]))</f>
        <v/>
      </c>
      <c r="B68" s="104" t="str">
        <f aca="false">IF(IFERROR(INDEX(tsk_Name,GanttView[[#This Row],[_Row]])="",TRUE()),"",INDEX(tsk_WBS,GanttView[[#This Row],[_Row]]))</f>
        <v/>
      </c>
      <c r="C68" s="105" t="str">
        <f aca="false">IF(IFERROR(INDEX(tsk_Name,GanttView[[#This Row],[_Row]])="",TRUE()),"",REPT("    ",INDEX(tsk_Level,GanttView[[#This Row],[_Row]])-1)&amp;INDEX(tsk_Name,GanttView[[#This Row],[_Row]]))</f>
        <v/>
      </c>
      <c r="D6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68" s="106" t="str">
        <f aca="false">IF(IFERROR(INDEX(tsk_Name,GanttView[[#This Row],[_Row]])="",TRUE()),"",INDEX(tsk_PlanStart,GanttView[[#This Row],[_Row]]))</f>
        <v/>
      </c>
      <c r="F68" s="106" t="str">
        <f aca="false">IF(IFERROR(INDEX(tsk_Name,GanttView[[#This Row],[_Row]])="",TRUE()),"",INDEX(tsk_PlanFinish,GanttView[[#This Row],[_Row]]))</f>
        <v/>
      </c>
      <c r="G68" s="106" t="str">
        <f aca="false">IF(IFERROR(INDEX(tsk_Name,GanttView[[#This Row],[_Row]])="",TRUE()),"",INDEX(tsk_FcStart,GanttView[[#This Row],[_Row]]))</f>
        <v/>
      </c>
      <c r="H68" s="106" t="str">
        <f aca="false">IF(IFERROR(INDEX(tsk_Name,GanttView[[#This Row],[_Row]])="",TRUE()),"",INDEX(tsk_FcFinish,GanttView[[#This Row],[_Row]]))</f>
        <v/>
      </c>
      <c r="I68" s="107" t="str">
        <f aca="false">IF(IFERROR(INDEX(tsk_Name,GanttView[[#This Row],[_Row]])="",TRUE()),"",INDEX(tsk_Progress,GanttView[[#This Row],[_Row]]))</f>
        <v/>
      </c>
      <c r="J68" s="105" t="str">
        <f aca="false">IF(IFERROR(INDEX(tsk_Name,GanttView[[#This Row],[_Row]])="",TRUE()),"",INDEX(tsk_Resource,GanttView[[#This Row],[_Row]])&amp;"")</f>
        <v/>
      </c>
      <c r="K68" s="108" t="str">
        <f aca="false">IF(IFERROR(INDEX(tsk_Name,GanttView[[#This Row],[_Row]])="",TRUE()),"",INDEX(tsk_Status,GanttView[[#This Row],[_Row]]))</f>
        <v/>
      </c>
      <c r="L68" s="109" t="n">
        <f aca="false">ROW()-ROW(GanttView[[#Headers],[ID]])</f>
        <v>63</v>
      </c>
      <c r="M68" s="110" t="b">
        <f aca="false">IF(IFERROR(INDEX(tsk_Name,GanttView[[#This Row],[_Row]])="",TRUE()),FALSE(),INDEX(tsk_IsSummary,GanttView[[#This Row],[_Row]]))</f>
        <v>0</v>
      </c>
      <c r="N68" s="110" t="b">
        <f aca="false">IF(IFERROR(INDEX(tsk_Name,GanttView[[#This Row],[_Row]])="",TRUE()),FALSE(),AND(INDEX(tsk_IsLeaf,GanttView[[#This Row],[_Row]])=1,N(INDEX(tsk_Duration,GanttView[[#This Row],[_Row]]))=0))</f>
        <v>0</v>
      </c>
      <c r="O6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6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6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68" s="111" t="n">
        <f aca="false">IF(GanttView[[#This Row],[_RemFrom]]=0,0,GanttView[[#This Row],[Forecast Finish]])</f>
        <v>0</v>
      </c>
      <c r="S68" s="110" t="b">
        <f aca="false">IF(IFERROR(INDEX(tsk_Name,GanttView[[#This Row],[_Row]])="",TRUE()),FALSE(),N(INDEX(tsk_Variance,GanttView[[#This Row],[_Row]]))&gt;0)</f>
        <v>0</v>
      </c>
      <c r="T68" s="111" t="n">
        <f aca="false">IF(IFERROR(INDEX(tsk_Name,GanttView[[#This Row],[_Row]])="",TRUE()),0,N(INDEX(tsk_Deadline,GanttView[[#This Row],[_Row]])))</f>
        <v>0</v>
      </c>
      <c r="U68" s="110" t="b">
        <f aca="false">IF(IFERROR(INDEX(tsk_Name,GanttView[[#This Row],[_Row]])="",TRUE()),FALSE(),INDEX(tsk_Critical,GanttView[[#This Row],[_Row]])="Yes")</f>
        <v>0</v>
      </c>
    </row>
    <row r="69" customFormat="false" ht="15" hidden="false" customHeight="false" outlineLevel="0" collapsed="false">
      <c r="A69" s="104" t="str">
        <f aca="false">IF(IFERROR(INDEX(tsk_Name,GanttView[[#This Row],[_Row]])="",TRUE()),"",INDEX(tsk_ID,GanttView[[#This Row],[_Row]]))</f>
        <v/>
      </c>
      <c r="B69" s="104" t="str">
        <f aca="false">IF(IFERROR(INDEX(tsk_Name,GanttView[[#This Row],[_Row]])="",TRUE()),"",INDEX(tsk_WBS,GanttView[[#This Row],[_Row]]))</f>
        <v/>
      </c>
      <c r="C69" s="105" t="str">
        <f aca="false">IF(IFERROR(INDEX(tsk_Name,GanttView[[#This Row],[_Row]])="",TRUE()),"",REPT("    ",INDEX(tsk_Level,GanttView[[#This Row],[_Row]])-1)&amp;INDEX(tsk_Name,GanttView[[#This Row],[_Row]]))</f>
        <v/>
      </c>
      <c r="D6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69" s="106" t="str">
        <f aca="false">IF(IFERROR(INDEX(tsk_Name,GanttView[[#This Row],[_Row]])="",TRUE()),"",INDEX(tsk_PlanStart,GanttView[[#This Row],[_Row]]))</f>
        <v/>
      </c>
      <c r="F69" s="106" t="str">
        <f aca="false">IF(IFERROR(INDEX(tsk_Name,GanttView[[#This Row],[_Row]])="",TRUE()),"",INDEX(tsk_PlanFinish,GanttView[[#This Row],[_Row]]))</f>
        <v/>
      </c>
      <c r="G69" s="106" t="str">
        <f aca="false">IF(IFERROR(INDEX(tsk_Name,GanttView[[#This Row],[_Row]])="",TRUE()),"",INDEX(tsk_FcStart,GanttView[[#This Row],[_Row]]))</f>
        <v/>
      </c>
      <c r="H69" s="106" t="str">
        <f aca="false">IF(IFERROR(INDEX(tsk_Name,GanttView[[#This Row],[_Row]])="",TRUE()),"",INDEX(tsk_FcFinish,GanttView[[#This Row],[_Row]]))</f>
        <v/>
      </c>
      <c r="I69" s="107" t="str">
        <f aca="false">IF(IFERROR(INDEX(tsk_Name,GanttView[[#This Row],[_Row]])="",TRUE()),"",INDEX(tsk_Progress,GanttView[[#This Row],[_Row]]))</f>
        <v/>
      </c>
      <c r="J69" s="105" t="str">
        <f aca="false">IF(IFERROR(INDEX(tsk_Name,GanttView[[#This Row],[_Row]])="",TRUE()),"",INDEX(tsk_Resource,GanttView[[#This Row],[_Row]])&amp;"")</f>
        <v/>
      </c>
      <c r="K69" s="108" t="str">
        <f aca="false">IF(IFERROR(INDEX(tsk_Name,GanttView[[#This Row],[_Row]])="",TRUE()),"",INDEX(tsk_Status,GanttView[[#This Row],[_Row]]))</f>
        <v/>
      </c>
      <c r="L69" s="109" t="n">
        <f aca="false">ROW()-ROW(GanttView[[#Headers],[ID]])</f>
        <v>64</v>
      </c>
      <c r="M69" s="110" t="b">
        <f aca="false">IF(IFERROR(INDEX(tsk_Name,GanttView[[#This Row],[_Row]])="",TRUE()),FALSE(),INDEX(tsk_IsSummary,GanttView[[#This Row],[_Row]]))</f>
        <v>0</v>
      </c>
      <c r="N69" s="110" t="b">
        <f aca="false">IF(IFERROR(INDEX(tsk_Name,GanttView[[#This Row],[_Row]])="",TRUE()),FALSE(),AND(INDEX(tsk_IsLeaf,GanttView[[#This Row],[_Row]])=1,N(INDEX(tsk_Duration,GanttView[[#This Row],[_Row]]))=0))</f>
        <v>0</v>
      </c>
      <c r="O6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6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6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69" s="111" t="n">
        <f aca="false">IF(GanttView[[#This Row],[_RemFrom]]=0,0,GanttView[[#This Row],[Forecast Finish]])</f>
        <v>0</v>
      </c>
      <c r="S69" s="110" t="b">
        <f aca="false">IF(IFERROR(INDEX(tsk_Name,GanttView[[#This Row],[_Row]])="",TRUE()),FALSE(),N(INDEX(tsk_Variance,GanttView[[#This Row],[_Row]]))&gt;0)</f>
        <v>0</v>
      </c>
      <c r="T69" s="111" t="n">
        <f aca="false">IF(IFERROR(INDEX(tsk_Name,GanttView[[#This Row],[_Row]])="",TRUE()),0,N(INDEX(tsk_Deadline,GanttView[[#This Row],[_Row]])))</f>
        <v>0</v>
      </c>
      <c r="U69" s="110" t="b">
        <f aca="false">IF(IFERROR(INDEX(tsk_Name,GanttView[[#This Row],[_Row]])="",TRUE()),FALSE(),INDEX(tsk_Critical,GanttView[[#This Row],[_Row]])="Yes")</f>
        <v>0</v>
      </c>
    </row>
    <row r="70" customFormat="false" ht="15" hidden="false" customHeight="false" outlineLevel="0" collapsed="false">
      <c r="A70" s="104" t="str">
        <f aca="false">IF(IFERROR(INDEX(tsk_Name,GanttView[[#This Row],[_Row]])="",TRUE()),"",INDEX(tsk_ID,GanttView[[#This Row],[_Row]]))</f>
        <v/>
      </c>
      <c r="B70" s="104" t="str">
        <f aca="false">IF(IFERROR(INDEX(tsk_Name,GanttView[[#This Row],[_Row]])="",TRUE()),"",INDEX(tsk_WBS,GanttView[[#This Row],[_Row]]))</f>
        <v/>
      </c>
      <c r="C70" s="105" t="str">
        <f aca="false">IF(IFERROR(INDEX(tsk_Name,GanttView[[#This Row],[_Row]])="",TRUE()),"",REPT("    ",INDEX(tsk_Level,GanttView[[#This Row],[_Row]])-1)&amp;INDEX(tsk_Name,GanttView[[#This Row],[_Row]]))</f>
        <v/>
      </c>
      <c r="D7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70" s="106" t="str">
        <f aca="false">IF(IFERROR(INDEX(tsk_Name,GanttView[[#This Row],[_Row]])="",TRUE()),"",INDEX(tsk_PlanStart,GanttView[[#This Row],[_Row]]))</f>
        <v/>
      </c>
      <c r="F70" s="106" t="str">
        <f aca="false">IF(IFERROR(INDEX(tsk_Name,GanttView[[#This Row],[_Row]])="",TRUE()),"",INDEX(tsk_PlanFinish,GanttView[[#This Row],[_Row]]))</f>
        <v/>
      </c>
      <c r="G70" s="106" t="str">
        <f aca="false">IF(IFERROR(INDEX(tsk_Name,GanttView[[#This Row],[_Row]])="",TRUE()),"",INDEX(tsk_FcStart,GanttView[[#This Row],[_Row]]))</f>
        <v/>
      </c>
      <c r="H70" s="106" t="str">
        <f aca="false">IF(IFERROR(INDEX(tsk_Name,GanttView[[#This Row],[_Row]])="",TRUE()),"",INDEX(tsk_FcFinish,GanttView[[#This Row],[_Row]]))</f>
        <v/>
      </c>
      <c r="I70" s="107" t="str">
        <f aca="false">IF(IFERROR(INDEX(tsk_Name,GanttView[[#This Row],[_Row]])="",TRUE()),"",INDEX(tsk_Progress,GanttView[[#This Row],[_Row]]))</f>
        <v/>
      </c>
      <c r="J70" s="105" t="str">
        <f aca="false">IF(IFERROR(INDEX(tsk_Name,GanttView[[#This Row],[_Row]])="",TRUE()),"",INDEX(tsk_Resource,GanttView[[#This Row],[_Row]])&amp;"")</f>
        <v/>
      </c>
      <c r="K70" s="108" t="str">
        <f aca="false">IF(IFERROR(INDEX(tsk_Name,GanttView[[#This Row],[_Row]])="",TRUE()),"",INDEX(tsk_Status,GanttView[[#This Row],[_Row]]))</f>
        <v/>
      </c>
      <c r="L70" s="109" t="n">
        <f aca="false">ROW()-ROW(GanttView[[#Headers],[ID]])</f>
        <v>65</v>
      </c>
      <c r="M70" s="110" t="b">
        <f aca="false">IF(IFERROR(INDEX(tsk_Name,GanttView[[#This Row],[_Row]])="",TRUE()),FALSE(),INDEX(tsk_IsSummary,GanttView[[#This Row],[_Row]]))</f>
        <v>0</v>
      </c>
      <c r="N70" s="110" t="b">
        <f aca="false">IF(IFERROR(INDEX(tsk_Name,GanttView[[#This Row],[_Row]])="",TRUE()),FALSE(),AND(INDEX(tsk_IsLeaf,GanttView[[#This Row],[_Row]])=1,N(INDEX(tsk_Duration,GanttView[[#This Row],[_Row]]))=0))</f>
        <v>0</v>
      </c>
      <c r="O7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7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7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70" s="111" t="n">
        <f aca="false">IF(GanttView[[#This Row],[_RemFrom]]=0,0,GanttView[[#This Row],[Forecast Finish]])</f>
        <v>0</v>
      </c>
      <c r="S70" s="110" t="b">
        <f aca="false">IF(IFERROR(INDEX(tsk_Name,GanttView[[#This Row],[_Row]])="",TRUE()),FALSE(),N(INDEX(tsk_Variance,GanttView[[#This Row],[_Row]]))&gt;0)</f>
        <v>0</v>
      </c>
      <c r="T70" s="111" t="n">
        <f aca="false">IF(IFERROR(INDEX(tsk_Name,GanttView[[#This Row],[_Row]])="",TRUE()),0,N(INDEX(tsk_Deadline,GanttView[[#This Row],[_Row]])))</f>
        <v>0</v>
      </c>
      <c r="U70" s="110" t="b">
        <f aca="false">IF(IFERROR(INDEX(tsk_Name,GanttView[[#This Row],[_Row]])="",TRUE()),FALSE(),INDEX(tsk_Critical,GanttView[[#This Row],[_Row]])="Yes")</f>
        <v>0</v>
      </c>
    </row>
    <row r="71" customFormat="false" ht="15" hidden="false" customHeight="false" outlineLevel="0" collapsed="false">
      <c r="A71" s="104" t="str">
        <f aca="false">IF(IFERROR(INDEX(tsk_Name,GanttView[[#This Row],[_Row]])="",TRUE()),"",INDEX(tsk_ID,GanttView[[#This Row],[_Row]]))</f>
        <v/>
      </c>
      <c r="B71" s="104" t="str">
        <f aca="false">IF(IFERROR(INDEX(tsk_Name,GanttView[[#This Row],[_Row]])="",TRUE()),"",INDEX(tsk_WBS,GanttView[[#This Row],[_Row]]))</f>
        <v/>
      </c>
      <c r="C71" s="105" t="str">
        <f aca="false">IF(IFERROR(INDEX(tsk_Name,GanttView[[#This Row],[_Row]])="",TRUE()),"",REPT("    ",INDEX(tsk_Level,GanttView[[#This Row],[_Row]])-1)&amp;INDEX(tsk_Name,GanttView[[#This Row],[_Row]]))</f>
        <v/>
      </c>
      <c r="D7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71" s="106" t="str">
        <f aca="false">IF(IFERROR(INDEX(tsk_Name,GanttView[[#This Row],[_Row]])="",TRUE()),"",INDEX(tsk_PlanStart,GanttView[[#This Row],[_Row]]))</f>
        <v/>
      </c>
      <c r="F71" s="106" t="str">
        <f aca="false">IF(IFERROR(INDEX(tsk_Name,GanttView[[#This Row],[_Row]])="",TRUE()),"",INDEX(tsk_PlanFinish,GanttView[[#This Row],[_Row]]))</f>
        <v/>
      </c>
      <c r="G71" s="106" t="str">
        <f aca="false">IF(IFERROR(INDEX(tsk_Name,GanttView[[#This Row],[_Row]])="",TRUE()),"",INDEX(tsk_FcStart,GanttView[[#This Row],[_Row]]))</f>
        <v/>
      </c>
      <c r="H71" s="106" t="str">
        <f aca="false">IF(IFERROR(INDEX(tsk_Name,GanttView[[#This Row],[_Row]])="",TRUE()),"",INDEX(tsk_FcFinish,GanttView[[#This Row],[_Row]]))</f>
        <v/>
      </c>
      <c r="I71" s="107" t="str">
        <f aca="false">IF(IFERROR(INDEX(tsk_Name,GanttView[[#This Row],[_Row]])="",TRUE()),"",INDEX(tsk_Progress,GanttView[[#This Row],[_Row]]))</f>
        <v/>
      </c>
      <c r="J71" s="105" t="str">
        <f aca="false">IF(IFERROR(INDEX(tsk_Name,GanttView[[#This Row],[_Row]])="",TRUE()),"",INDEX(tsk_Resource,GanttView[[#This Row],[_Row]])&amp;"")</f>
        <v/>
      </c>
      <c r="K71" s="108" t="str">
        <f aca="false">IF(IFERROR(INDEX(tsk_Name,GanttView[[#This Row],[_Row]])="",TRUE()),"",INDEX(tsk_Status,GanttView[[#This Row],[_Row]]))</f>
        <v/>
      </c>
      <c r="L71" s="109" t="n">
        <f aca="false">ROW()-ROW(GanttView[[#Headers],[ID]])</f>
        <v>66</v>
      </c>
      <c r="M71" s="110" t="b">
        <f aca="false">IF(IFERROR(INDEX(tsk_Name,GanttView[[#This Row],[_Row]])="",TRUE()),FALSE(),INDEX(tsk_IsSummary,GanttView[[#This Row],[_Row]]))</f>
        <v>0</v>
      </c>
      <c r="N71" s="110" t="b">
        <f aca="false">IF(IFERROR(INDEX(tsk_Name,GanttView[[#This Row],[_Row]])="",TRUE()),FALSE(),AND(INDEX(tsk_IsLeaf,GanttView[[#This Row],[_Row]])=1,N(INDEX(tsk_Duration,GanttView[[#This Row],[_Row]]))=0))</f>
        <v>0</v>
      </c>
      <c r="O7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7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7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71" s="111" t="n">
        <f aca="false">IF(GanttView[[#This Row],[_RemFrom]]=0,0,GanttView[[#This Row],[Forecast Finish]])</f>
        <v>0</v>
      </c>
      <c r="S71" s="110" t="b">
        <f aca="false">IF(IFERROR(INDEX(tsk_Name,GanttView[[#This Row],[_Row]])="",TRUE()),FALSE(),N(INDEX(tsk_Variance,GanttView[[#This Row],[_Row]]))&gt;0)</f>
        <v>0</v>
      </c>
      <c r="T71" s="111" t="n">
        <f aca="false">IF(IFERROR(INDEX(tsk_Name,GanttView[[#This Row],[_Row]])="",TRUE()),0,N(INDEX(tsk_Deadline,GanttView[[#This Row],[_Row]])))</f>
        <v>0</v>
      </c>
      <c r="U71" s="110" t="b">
        <f aca="false">IF(IFERROR(INDEX(tsk_Name,GanttView[[#This Row],[_Row]])="",TRUE()),FALSE(),INDEX(tsk_Critical,GanttView[[#This Row],[_Row]])="Yes")</f>
        <v>0</v>
      </c>
    </row>
    <row r="72" customFormat="false" ht="15" hidden="false" customHeight="false" outlineLevel="0" collapsed="false">
      <c r="A72" s="104" t="str">
        <f aca="false">IF(IFERROR(INDEX(tsk_Name,GanttView[[#This Row],[_Row]])="",TRUE()),"",INDEX(tsk_ID,GanttView[[#This Row],[_Row]]))</f>
        <v/>
      </c>
      <c r="B72" s="104" t="str">
        <f aca="false">IF(IFERROR(INDEX(tsk_Name,GanttView[[#This Row],[_Row]])="",TRUE()),"",INDEX(tsk_WBS,GanttView[[#This Row],[_Row]]))</f>
        <v/>
      </c>
      <c r="C72" s="105" t="str">
        <f aca="false">IF(IFERROR(INDEX(tsk_Name,GanttView[[#This Row],[_Row]])="",TRUE()),"",REPT("    ",INDEX(tsk_Level,GanttView[[#This Row],[_Row]])-1)&amp;INDEX(tsk_Name,GanttView[[#This Row],[_Row]]))</f>
        <v/>
      </c>
      <c r="D7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72" s="106" t="str">
        <f aca="false">IF(IFERROR(INDEX(tsk_Name,GanttView[[#This Row],[_Row]])="",TRUE()),"",INDEX(tsk_PlanStart,GanttView[[#This Row],[_Row]]))</f>
        <v/>
      </c>
      <c r="F72" s="106" t="str">
        <f aca="false">IF(IFERROR(INDEX(tsk_Name,GanttView[[#This Row],[_Row]])="",TRUE()),"",INDEX(tsk_PlanFinish,GanttView[[#This Row],[_Row]]))</f>
        <v/>
      </c>
      <c r="G72" s="106" t="str">
        <f aca="false">IF(IFERROR(INDEX(tsk_Name,GanttView[[#This Row],[_Row]])="",TRUE()),"",INDEX(tsk_FcStart,GanttView[[#This Row],[_Row]]))</f>
        <v/>
      </c>
      <c r="H72" s="106" t="str">
        <f aca="false">IF(IFERROR(INDEX(tsk_Name,GanttView[[#This Row],[_Row]])="",TRUE()),"",INDEX(tsk_FcFinish,GanttView[[#This Row],[_Row]]))</f>
        <v/>
      </c>
      <c r="I72" s="107" t="str">
        <f aca="false">IF(IFERROR(INDEX(tsk_Name,GanttView[[#This Row],[_Row]])="",TRUE()),"",INDEX(tsk_Progress,GanttView[[#This Row],[_Row]]))</f>
        <v/>
      </c>
      <c r="J72" s="105" t="str">
        <f aca="false">IF(IFERROR(INDEX(tsk_Name,GanttView[[#This Row],[_Row]])="",TRUE()),"",INDEX(tsk_Resource,GanttView[[#This Row],[_Row]])&amp;"")</f>
        <v/>
      </c>
      <c r="K72" s="108" t="str">
        <f aca="false">IF(IFERROR(INDEX(tsk_Name,GanttView[[#This Row],[_Row]])="",TRUE()),"",INDEX(tsk_Status,GanttView[[#This Row],[_Row]]))</f>
        <v/>
      </c>
      <c r="L72" s="109" t="n">
        <f aca="false">ROW()-ROW(GanttView[[#Headers],[ID]])</f>
        <v>67</v>
      </c>
      <c r="M72" s="110" t="b">
        <f aca="false">IF(IFERROR(INDEX(tsk_Name,GanttView[[#This Row],[_Row]])="",TRUE()),FALSE(),INDEX(tsk_IsSummary,GanttView[[#This Row],[_Row]]))</f>
        <v>0</v>
      </c>
      <c r="N72" s="110" t="b">
        <f aca="false">IF(IFERROR(INDEX(tsk_Name,GanttView[[#This Row],[_Row]])="",TRUE()),FALSE(),AND(INDEX(tsk_IsLeaf,GanttView[[#This Row],[_Row]])=1,N(INDEX(tsk_Duration,GanttView[[#This Row],[_Row]]))=0))</f>
        <v>0</v>
      </c>
      <c r="O7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7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7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72" s="111" t="n">
        <f aca="false">IF(GanttView[[#This Row],[_RemFrom]]=0,0,GanttView[[#This Row],[Forecast Finish]])</f>
        <v>0</v>
      </c>
      <c r="S72" s="110" t="b">
        <f aca="false">IF(IFERROR(INDEX(tsk_Name,GanttView[[#This Row],[_Row]])="",TRUE()),FALSE(),N(INDEX(tsk_Variance,GanttView[[#This Row],[_Row]]))&gt;0)</f>
        <v>0</v>
      </c>
      <c r="T72" s="111" t="n">
        <f aca="false">IF(IFERROR(INDEX(tsk_Name,GanttView[[#This Row],[_Row]])="",TRUE()),0,N(INDEX(tsk_Deadline,GanttView[[#This Row],[_Row]])))</f>
        <v>0</v>
      </c>
      <c r="U72" s="110" t="b">
        <f aca="false">IF(IFERROR(INDEX(tsk_Name,GanttView[[#This Row],[_Row]])="",TRUE()),FALSE(),INDEX(tsk_Critical,GanttView[[#This Row],[_Row]])="Yes")</f>
        <v>0</v>
      </c>
    </row>
    <row r="73" customFormat="false" ht="15" hidden="false" customHeight="false" outlineLevel="0" collapsed="false">
      <c r="A73" s="104" t="str">
        <f aca="false">IF(IFERROR(INDEX(tsk_Name,GanttView[[#This Row],[_Row]])="",TRUE()),"",INDEX(tsk_ID,GanttView[[#This Row],[_Row]]))</f>
        <v/>
      </c>
      <c r="B73" s="104" t="str">
        <f aca="false">IF(IFERROR(INDEX(tsk_Name,GanttView[[#This Row],[_Row]])="",TRUE()),"",INDEX(tsk_WBS,GanttView[[#This Row],[_Row]]))</f>
        <v/>
      </c>
      <c r="C73" s="105" t="str">
        <f aca="false">IF(IFERROR(INDEX(tsk_Name,GanttView[[#This Row],[_Row]])="",TRUE()),"",REPT("    ",INDEX(tsk_Level,GanttView[[#This Row],[_Row]])-1)&amp;INDEX(tsk_Name,GanttView[[#This Row],[_Row]]))</f>
        <v/>
      </c>
      <c r="D7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73" s="106" t="str">
        <f aca="false">IF(IFERROR(INDEX(tsk_Name,GanttView[[#This Row],[_Row]])="",TRUE()),"",INDEX(tsk_PlanStart,GanttView[[#This Row],[_Row]]))</f>
        <v/>
      </c>
      <c r="F73" s="106" t="str">
        <f aca="false">IF(IFERROR(INDEX(tsk_Name,GanttView[[#This Row],[_Row]])="",TRUE()),"",INDEX(tsk_PlanFinish,GanttView[[#This Row],[_Row]]))</f>
        <v/>
      </c>
      <c r="G73" s="106" t="str">
        <f aca="false">IF(IFERROR(INDEX(tsk_Name,GanttView[[#This Row],[_Row]])="",TRUE()),"",INDEX(tsk_FcStart,GanttView[[#This Row],[_Row]]))</f>
        <v/>
      </c>
      <c r="H73" s="106" t="str">
        <f aca="false">IF(IFERROR(INDEX(tsk_Name,GanttView[[#This Row],[_Row]])="",TRUE()),"",INDEX(tsk_FcFinish,GanttView[[#This Row],[_Row]]))</f>
        <v/>
      </c>
      <c r="I73" s="107" t="str">
        <f aca="false">IF(IFERROR(INDEX(tsk_Name,GanttView[[#This Row],[_Row]])="",TRUE()),"",INDEX(tsk_Progress,GanttView[[#This Row],[_Row]]))</f>
        <v/>
      </c>
      <c r="J73" s="105" t="str">
        <f aca="false">IF(IFERROR(INDEX(tsk_Name,GanttView[[#This Row],[_Row]])="",TRUE()),"",INDEX(tsk_Resource,GanttView[[#This Row],[_Row]])&amp;"")</f>
        <v/>
      </c>
      <c r="K73" s="108" t="str">
        <f aca="false">IF(IFERROR(INDEX(tsk_Name,GanttView[[#This Row],[_Row]])="",TRUE()),"",INDEX(tsk_Status,GanttView[[#This Row],[_Row]]))</f>
        <v/>
      </c>
      <c r="L73" s="109" t="n">
        <f aca="false">ROW()-ROW(GanttView[[#Headers],[ID]])</f>
        <v>68</v>
      </c>
      <c r="M73" s="110" t="b">
        <f aca="false">IF(IFERROR(INDEX(tsk_Name,GanttView[[#This Row],[_Row]])="",TRUE()),FALSE(),INDEX(tsk_IsSummary,GanttView[[#This Row],[_Row]]))</f>
        <v>0</v>
      </c>
      <c r="N73" s="110" t="b">
        <f aca="false">IF(IFERROR(INDEX(tsk_Name,GanttView[[#This Row],[_Row]])="",TRUE()),FALSE(),AND(INDEX(tsk_IsLeaf,GanttView[[#This Row],[_Row]])=1,N(INDEX(tsk_Duration,GanttView[[#This Row],[_Row]]))=0))</f>
        <v>0</v>
      </c>
      <c r="O7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7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7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73" s="111" t="n">
        <f aca="false">IF(GanttView[[#This Row],[_RemFrom]]=0,0,GanttView[[#This Row],[Forecast Finish]])</f>
        <v>0</v>
      </c>
      <c r="S73" s="110" t="b">
        <f aca="false">IF(IFERROR(INDEX(tsk_Name,GanttView[[#This Row],[_Row]])="",TRUE()),FALSE(),N(INDEX(tsk_Variance,GanttView[[#This Row],[_Row]]))&gt;0)</f>
        <v>0</v>
      </c>
      <c r="T73" s="111" t="n">
        <f aca="false">IF(IFERROR(INDEX(tsk_Name,GanttView[[#This Row],[_Row]])="",TRUE()),0,N(INDEX(tsk_Deadline,GanttView[[#This Row],[_Row]])))</f>
        <v>0</v>
      </c>
      <c r="U73" s="110" t="b">
        <f aca="false">IF(IFERROR(INDEX(tsk_Name,GanttView[[#This Row],[_Row]])="",TRUE()),FALSE(),INDEX(tsk_Critical,GanttView[[#This Row],[_Row]])="Yes")</f>
        <v>0</v>
      </c>
    </row>
    <row r="74" customFormat="false" ht="15" hidden="false" customHeight="false" outlineLevel="0" collapsed="false">
      <c r="A74" s="104" t="str">
        <f aca="false">IF(IFERROR(INDEX(tsk_Name,GanttView[[#This Row],[_Row]])="",TRUE()),"",INDEX(tsk_ID,GanttView[[#This Row],[_Row]]))</f>
        <v/>
      </c>
      <c r="B74" s="104" t="str">
        <f aca="false">IF(IFERROR(INDEX(tsk_Name,GanttView[[#This Row],[_Row]])="",TRUE()),"",INDEX(tsk_WBS,GanttView[[#This Row],[_Row]]))</f>
        <v/>
      </c>
      <c r="C74" s="105" t="str">
        <f aca="false">IF(IFERROR(INDEX(tsk_Name,GanttView[[#This Row],[_Row]])="",TRUE()),"",REPT("    ",INDEX(tsk_Level,GanttView[[#This Row],[_Row]])-1)&amp;INDEX(tsk_Name,GanttView[[#This Row],[_Row]]))</f>
        <v/>
      </c>
      <c r="D7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74" s="106" t="str">
        <f aca="false">IF(IFERROR(INDEX(tsk_Name,GanttView[[#This Row],[_Row]])="",TRUE()),"",INDEX(tsk_PlanStart,GanttView[[#This Row],[_Row]]))</f>
        <v/>
      </c>
      <c r="F74" s="106" t="str">
        <f aca="false">IF(IFERROR(INDEX(tsk_Name,GanttView[[#This Row],[_Row]])="",TRUE()),"",INDEX(tsk_PlanFinish,GanttView[[#This Row],[_Row]]))</f>
        <v/>
      </c>
      <c r="G74" s="106" t="str">
        <f aca="false">IF(IFERROR(INDEX(tsk_Name,GanttView[[#This Row],[_Row]])="",TRUE()),"",INDEX(tsk_FcStart,GanttView[[#This Row],[_Row]]))</f>
        <v/>
      </c>
      <c r="H74" s="106" t="str">
        <f aca="false">IF(IFERROR(INDEX(tsk_Name,GanttView[[#This Row],[_Row]])="",TRUE()),"",INDEX(tsk_FcFinish,GanttView[[#This Row],[_Row]]))</f>
        <v/>
      </c>
      <c r="I74" s="107" t="str">
        <f aca="false">IF(IFERROR(INDEX(tsk_Name,GanttView[[#This Row],[_Row]])="",TRUE()),"",INDEX(tsk_Progress,GanttView[[#This Row],[_Row]]))</f>
        <v/>
      </c>
      <c r="J74" s="105" t="str">
        <f aca="false">IF(IFERROR(INDEX(tsk_Name,GanttView[[#This Row],[_Row]])="",TRUE()),"",INDEX(tsk_Resource,GanttView[[#This Row],[_Row]])&amp;"")</f>
        <v/>
      </c>
      <c r="K74" s="108" t="str">
        <f aca="false">IF(IFERROR(INDEX(tsk_Name,GanttView[[#This Row],[_Row]])="",TRUE()),"",INDEX(tsk_Status,GanttView[[#This Row],[_Row]]))</f>
        <v/>
      </c>
      <c r="L74" s="109" t="n">
        <f aca="false">ROW()-ROW(GanttView[[#Headers],[ID]])</f>
        <v>69</v>
      </c>
      <c r="M74" s="110" t="b">
        <f aca="false">IF(IFERROR(INDEX(tsk_Name,GanttView[[#This Row],[_Row]])="",TRUE()),FALSE(),INDEX(tsk_IsSummary,GanttView[[#This Row],[_Row]]))</f>
        <v>0</v>
      </c>
      <c r="N74" s="110" t="b">
        <f aca="false">IF(IFERROR(INDEX(tsk_Name,GanttView[[#This Row],[_Row]])="",TRUE()),FALSE(),AND(INDEX(tsk_IsLeaf,GanttView[[#This Row],[_Row]])=1,N(INDEX(tsk_Duration,GanttView[[#This Row],[_Row]]))=0))</f>
        <v>0</v>
      </c>
      <c r="O7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7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7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74" s="111" t="n">
        <f aca="false">IF(GanttView[[#This Row],[_RemFrom]]=0,0,GanttView[[#This Row],[Forecast Finish]])</f>
        <v>0</v>
      </c>
      <c r="S74" s="110" t="b">
        <f aca="false">IF(IFERROR(INDEX(tsk_Name,GanttView[[#This Row],[_Row]])="",TRUE()),FALSE(),N(INDEX(tsk_Variance,GanttView[[#This Row],[_Row]]))&gt;0)</f>
        <v>0</v>
      </c>
      <c r="T74" s="111" t="n">
        <f aca="false">IF(IFERROR(INDEX(tsk_Name,GanttView[[#This Row],[_Row]])="",TRUE()),0,N(INDEX(tsk_Deadline,GanttView[[#This Row],[_Row]])))</f>
        <v>0</v>
      </c>
      <c r="U74" s="110" t="b">
        <f aca="false">IF(IFERROR(INDEX(tsk_Name,GanttView[[#This Row],[_Row]])="",TRUE()),FALSE(),INDEX(tsk_Critical,GanttView[[#This Row],[_Row]])="Yes")</f>
        <v>0</v>
      </c>
    </row>
    <row r="75" customFormat="false" ht="15" hidden="false" customHeight="false" outlineLevel="0" collapsed="false">
      <c r="A75" s="104" t="str">
        <f aca="false">IF(IFERROR(INDEX(tsk_Name,GanttView[[#This Row],[_Row]])="",TRUE()),"",INDEX(tsk_ID,GanttView[[#This Row],[_Row]]))</f>
        <v/>
      </c>
      <c r="B75" s="104" t="str">
        <f aca="false">IF(IFERROR(INDEX(tsk_Name,GanttView[[#This Row],[_Row]])="",TRUE()),"",INDEX(tsk_WBS,GanttView[[#This Row],[_Row]]))</f>
        <v/>
      </c>
      <c r="C75" s="105" t="str">
        <f aca="false">IF(IFERROR(INDEX(tsk_Name,GanttView[[#This Row],[_Row]])="",TRUE()),"",REPT("    ",INDEX(tsk_Level,GanttView[[#This Row],[_Row]])-1)&amp;INDEX(tsk_Name,GanttView[[#This Row],[_Row]]))</f>
        <v/>
      </c>
      <c r="D7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75" s="106" t="str">
        <f aca="false">IF(IFERROR(INDEX(tsk_Name,GanttView[[#This Row],[_Row]])="",TRUE()),"",INDEX(tsk_PlanStart,GanttView[[#This Row],[_Row]]))</f>
        <v/>
      </c>
      <c r="F75" s="106" t="str">
        <f aca="false">IF(IFERROR(INDEX(tsk_Name,GanttView[[#This Row],[_Row]])="",TRUE()),"",INDEX(tsk_PlanFinish,GanttView[[#This Row],[_Row]]))</f>
        <v/>
      </c>
      <c r="G75" s="106" t="str">
        <f aca="false">IF(IFERROR(INDEX(tsk_Name,GanttView[[#This Row],[_Row]])="",TRUE()),"",INDEX(tsk_FcStart,GanttView[[#This Row],[_Row]]))</f>
        <v/>
      </c>
      <c r="H75" s="106" t="str">
        <f aca="false">IF(IFERROR(INDEX(tsk_Name,GanttView[[#This Row],[_Row]])="",TRUE()),"",INDEX(tsk_FcFinish,GanttView[[#This Row],[_Row]]))</f>
        <v/>
      </c>
      <c r="I75" s="107" t="str">
        <f aca="false">IF(IFERROR(INDEX(tsk_Name,GanttView[[#This Row],[_Row]])="",TRUE()),"",INDEX(tsk_Progress,GanttView[[#This Row],[_Row]]))</f>
        <v/>
      </c>
      <c r="J75" s="105" t="str">
        <f aca="false">IF(IFERROR(INDEX(tsk_Name,GanttView[[#This Row],[_Row]])="",TRUE()),"",INDEX(tsk_Resource,GanttView[[#This Row],[_Row]])&amp;"")</f>
        <v/>
      </c>
      <c r="K75" s="108" t="str">
        <f aca="false">IF(IFERROR(INDEX(tsk_Name,GanttView[[#This Row],[_Row]])="",TRUE()),"",INDEX(tsk_Status,GanttView[[#This Row],[_Row]]))</f>
        <v/>
      </c>
      <c r="L75" s="109" t="n">
        <f aca="false">ROW()-ROW(GanttView[[#Headers],[ID]])</f>
        <v>70</v>
      </c>
      <c r="M75" s="110" t="b">
        <f aca="false">IF(IFERROR(INDEX(tsk_Name,GanttView[[#This Row],[_Row]])="",TRUE()),FALSE(),INDEX(tsk_IsSummary,GanttView[[#This Row],[_Row]]))</f>
        <v>0</v>
      </c>
      <c r="N75" s="110" t="b">
        <f aca="false">IF(IFERROR(INDEX(tsk_Name,GanttView[[#This Row],[_Row]])="",TRUE()),FALSE(),AND(INDEX(tsk_IsLeaf,GanttView[[#This Row],[_Row]])=1,N(INDEX(tsk_Duration,GanttView[[#This Row],[_Row]]))=0))</f>
        <v>0</v>
      </c>
      <c r="O7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7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7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75" s="111" t="n">
        <f aca="false">IF(GanttView[[#This Row],[_RemFrom]]=0,0,GanttView[[#This Row],[Forecast Finish]])</f>
        <v>0</v>
      </c>
      <c r="S75" s="110" t="b">
        <f aca="false">IF(IFERROR(INDEX(tsk_Name,GanttView[[#This Row],[_Row]])="",TRUE()),FALSE(),N(INDEX(tsk_Variance,GanttView[[#This Row],[_Row]]))&gt;0)</f>
        <v>0</v>
      </c>
      <c r="T75" s="111" t="n">
        <f aca="false">IF(IFERROR(INDEX(tsk_Name,GanttView[[#This Row],[_Row]])="",TRUE()),0,N(INDEX(tsk_Deadline,GanttView[[#This Row],[_Row]])))</f>
        <v>0</v>
      </c>
      <c r="U75" s="110" t="b">
        <f aca="false">IF(IFERROR(INDEX(tsk_Name,GanttView[[#This Row],[_Row]])="",TRUE()),FALSE(),INDEX(tsk_Critical,GanttView[[#This Row],[_Row]])="Yes")</f>
        <v>0</v>
      </c>
    </row>
    <row r="76" customFormat="false" ht="15" hidden="false" customHeight="false" outlineLevel="0" collapsed="false">
      <c r="A76" s="104" t="str">
        <f aca="false">IF(IFERROR(INDEX(tsk_Name,GanttView[[#This Row],[_Row]])="",TRUE()),"",INDEX(tsk_ID,GanttView[[#This Row],[_Row]]))</f>
        <v/>
      </c>
      <c r="B76" s="104" t="str">
        <f aca="false">IF(IFERROR(INDEX(tsk_Name,GanttView[[#This Row],[_Row]])="",TRUE()),"",INDEX(tsk_WBS,GanttView[[#This Row],[_Row]]))</f>
        <v/>
      </c>
      <c r="C76" s="105" t="str">
        <f aca="false">IF(IFERROR(INDEX(tsk_Name,GanttView[[#This Row],[_Row]])="",TRUE()),"",REPT("    ",INDEX(tsk_Level,GanttView[[#This Row],[_Row]])-1)&amp;INDEX(tsk_Name,GanttView[[#This Row],[_Row]]))</f>
        <v/>
      </c>
      <c r="D7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76" s="106" t="str">
        <f aca="false">IF(IFERROR(INDEX(tsk_Name,GanttView[[#This Row],[_Row]])="",TRUE()),"",INDEX(tsk_PlanStart,GanttView[[#This Row],[_Row]]))</f>
        <v/>
      </c>
      <c r="F76" s="106" t="str">
        <f aca="false">IF(IFERROR(INDEX(tsk_Name,GanttView[[#This Row],[_Row]])="",TRUE()),"",INDEX(tsk_PlanFinish,GanttView[[#This Row],[_Row]]))</f>
        <v/>
      </c>
      <c r="G76" s="106" t="str">
        <f aca="false">IF(IFERROR(INDEX(tsk_Name,GanttView[[#This Row],[_Row]])="",TRUE()),"",INDEX(tsk_FcStart,GanttView[[#This Row],[_Row]]))</f>
        <v/>
      </c>
      <c r="H76" s="106" t="str">
        <f aca="false">IF(IFERROR(INDEX(tsk_Name,GanttView[[#This Row],[_Row]])="",TRUE()),"",INDEX(tsk_FcFinish,GanttView[[#This Row],[_Row]]))</f>
        <v/>
      </c>
      <c r="I76" s="107" t="str">
        <f aca="false">IF(IFERROR(INDEX(tsk_Name,GanttView[[#This Row],[_Row]])="",TRUE()),"",INDEX(tsk_Progress,GanttView[[#This Row],[_Row]]))</f>
        <v/>
      </c>
      <c r="J76" s="105" t="str">
        <f aca="false">IF(IFERROR(INDEX(tsk_Name,GanttView[[#This Row],[_Row]])="",TRUE()),"",INDEX(tsk_Resource,GanttView[[#This Row],[_Row]])&amp;"")</f>
        <v/>
      </c>
      <c r="K76" s="108" t="str">
        <f aca="false">IF(IFERROR(INDEX(tsk_Name,GanttView[[#This Row],[_Row]])="",TRUE()),"",INDEX(tsk_Status,GanttView[[#This Row],[_Row]]))</f>
        <v/>
      </c>
      <c r="L76" s="109" t="n">
        <f aca="false">ROW()-ROW(GanttView[[#Headers],[ID]])</f>
        <v>71</v>
      </c>
      <c r="M76" s="110" t="b">
        <f aca="false">IF(IFERROR(INDEX(tsk_Name,GanttView[[#This Row],[_Row]])="",TRUE()),FALSE(),INDEX(tsk_IsSummary,GanttView[[#This Row],[_Row]]))</f>
        <v>0</v>
      </c>
      <c r="N76" s="110" t="b">
        <f aca="false">IF(IFERROR(INDEX(tsk_Name,GanttView[[#This Row],[_Row]])="",TRUE()),FALSE(),AND(INDEX(tsk_IsLeaf,GanttView[[#This Row],[_Row]])=1,N(INDEX(tsk_Duration,GanttView[[#This Row],[_Row]]))=0))</f>
        <v>0</v>
      </c>
      <c r="O7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7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7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76" s="111" t="n">
        <f aca="false">IF(GanttView[[#This Row],[_RemFrom]]=0,0,GanttView[[#This Row],[Forecast Finish]])</f>
        <v>0</v>
      </c>
      <c r="S76" s="110" t="b">
        <f aca="false">IF(IFERROR(INDEX(tsk_Name,GanttView[[#This Row],[_Row]])="",TRUE()),FALSE(),N(INDEX(tsk_Variance,GanttView[[#This Row],[_Row]]))&gt;0)</f>
        <v>0</v>
      </c>
      <c r="T76" s="111" t="n">
        <f aca="false">IF(IFERROR(INDEX(tsk_Name,GanttView[[#This Row],[_Row]])="",TRUE()),0,N(INDEX(tsk_Deadline,GanttView[[#This Row],[_Row]])))</f>
        <v>0</v>
      </c>
      <c r="U76" s="110" t="b">
        <f aca="false">IF(IFERROR(INDEX(tsk_Name,GanttView[[#This Row],[_Row]])="",TRUE()),FALSE(),INDEX(tsk_Critical,GanttView[[#This Row],[_Row]])="Yes")</f>
        <v>0</v>
      </c>
    </row>
    <row r="77" customFormat="false" ht="15" hidden="false" customHeight="false" outlineLevel="0" collapsed="false">
      <c r="A77" s="104" t="str">
        <f aca="false">IF(IFERROR(INDEX(tsk_Name,GanttView[[#This Row],[_Row]])="",TRUE()),"",INDEX(tsk_ID,GanttView[[#This Row],[_Row]]))</f>
        <v/>
      </c>
      <c r="B77" s="104" t="str">
        <f aca="false">IF(IFERROR(INDEX(tsk_Name,GanttView[[#This Row],[_Row]])="",TRUE()),"",INDEX(tsk_WBS,GanttView[[#This Row],[_Row]]))</f>
        <v/>
      </c>
      <c r="C77" s="105" t="str">
        <f aca="false">IF(IFERROR(INDEX(tsk_Name,GanttView[[#This Row],[_Row]])="",TRUE()),"",REPT("    ",INDEX(tsk_Level,GanttView[[#This Row],[_Row]])-1)&amp;INDEX(tsk_Name,GanttView[[#This Row],[_Row]]))</f>
        <v/>
      </c>
      <c r="D7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77" s="106" t="str">
        <f aca="false">IF(IFERROR(INDEX(tsk_Name,GanttView[[#This Row],[_Row]])="",TRUE()),"",INDEX(tsk_PlanStart,GanttView[[#This Row],[_Row]]))</f>
        <v/>
      </c>
      <c r="F77" s="106" t="str">
        <f aca="false">IF(IFERROR(INDEX(tsk_Name,GanttView[[#This Row],[_Row]])="",TRUE()),"",INDEX(tsk_PlanFinish,GanttView[[#This Row],[_Row]]))</f>
        <v/>
      </c>
      <c r="G77" s="106" t="str">
        <f aca="false">IF(IFERROR(INDEX(tsk_Name,GanttView[[#This Row],[_Row]])="",TRUE()),"",INDEX(tsk_FcStart,GanttView[[#This Row],[_Row]]))</f>
        <v/>
      </c>
      <c r="H77" s="106" t="str">
        <f aca="false">IF(IFERROR(INDEX(tsk_Name,GanttView[[#This Row],[_Row]])="",TRUE()),"",INDEX(tsk_FcFinish,GanttView[[#This Row],[_Row]]))</f>
        <v/>
      </c>
      <c r="I77" s="107" t="str">
        <f aca="false">IF(IFERROR(INDEX(tsk_Name,GanttView[[#This Row],[_Row]])="",TRUE()),"",INDEX(tsk_Progress,GanttView[[#This Row],[_Row]]))</f>
        <v/>
      </c>
      <c r="J77" s="105" t="str">
        <f aca="false">IF(IFERROR(INDEX(tsk_Name,GanttView[[#This Row],[_Row]])="",TRUE()),"",INDEX(tsk_Resource,GanttView[[#This Row],[_Row]])&amp;"")</f>
        <v/>
      </c>
      <c r="K77" s="108" t="str">
        <f aca="false">IF(IFERROR(INDEX(tsk_Name,GanttView[[#This Row],[_Row]])="",TRUE()),"",INDEX(tsk_Status,GanttView[[#This Row],[_Row]]))</f>
        <v/>
      </c>
      <c r="L77" s="109" t="n">
        <f aca="false">ROW()-ROW(GanttView[[#Headers],[ID]])</f>
        <v>72</v>
      </c>
      <c r="M77" s="110" t="b">
        <f aca="false">IF(IFERROR(INDEX(tsk_Name,GanttView[[#This Row],[_Row]])="",TRUE()),FALSE(),INDEX(tsk_IsSummary,GanttView[[#This Row],[_Row]]))</f>
        <v>0</v>
      </c>
      <c r="N77" s="110" t="b">
        <f aca="false">IF(IFERROR(INDEX(tsk_Name,GanttView[[#This Row],[_Row]])="",TRUE()),FALSE(),AND(INDEX(tsk_IsLeaf,GanttView[[#This Row],[_Row]])=1,N(INDEX(tsk_Duration,GanttView[[#This Row],[_Row]]))=0))</f>
        <v>0</v>
      </c>
      <c r="O7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7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7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77" s="111" t="n">
        <f aca="false">IF(GanttView[[#This Row],[_RemFrom]]=0,0,GanttView[[#This Row],[Forecast Finish]])</f>
        <v>0</v>
      </c>
      <c r="S77" s="110" t="b">
        <f aca="false">IF(IFERROR(INDEX(tsk_Name,GanttView[[#This Row],[_Row]])="",TRUE()),FALSE(),N(INDEX(tsk_Variance,GanttView[[#This Row],[_Row]]))&gt;0)</f>
        <v>0</v>
      </c>
      <c r="T77" s="111" t="n">
        <f aca="false">IF(IFERROR(INDEX(tsk_Name,GanttView[[#This Row],[_Row]])="",TRUE()),0,N(INDEX(tsk_Deadline,GanttView[[#This Row],[_Row]])))</f>
        <v>0</v>
      </c>
      <c r="U77" s="110" t="b">
        <f aca="false">IF(IFERROR(INDEX(tsk_Name,GanttView[[#This Row],[_Row]])="",TRUE()),FALSE(),INDEX(tsk_Critical,GanttView[[#This Row],[_Row]])="Yes")</f>
        <v>0</v>
      </c>
    </row>
    <row r="78" customFormat="false" ht="15" hidden="false" customHeight="false" outlineLevel="0" collapsed="false">
      <c r="A78" s="104" t="str">
        <f aca="false">IF(IFERROR(INDEX(tsk_Name,GanttView[[#This Row],[_Row]])="",TRUE()),"",INDEX(tsk_ID,GanttView[[#This Row],[_Row]]))</f>
        <v/>
      </c>
      <c r="B78" s="104" t="str">
        <f aca="false">IF(IFERROR(INDEX(tsk_Name,GanttView[[#This Row],[_Row]])="",TRUE()),"",INDEX(tsk_WBS,GanttView[[#This Row],[_Row]]))</f>
        <v/>
      </c>
      <c r="C78" s="105" t="str">
        <f aca="false">IF(IFERROR(INDEX(tsk_Name,GanttView[[#This Row],[_Row]])="",TRUE()),"",REPT("    ",INDEX(tsk_Level,GanttView[[#This Row],[_Row]])-1)&amp;INDEX(tsk_Name,GanttView[[#This Row],[_Row]]))</f>
        <v/>
      </c>
      <c r="D7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78" s="106" t="str">
        <f aca="false">IF(IFERROR(INDEX(tsk_Name,GanttView[[#This Row],[_Row]])="",TRUE()),"",INDEX(tsk_PlanStart,GanttView[[#This Row],[_Row]]))</f>
        <v/>
      </c>
      <c r="F78" s="106" t="str">
        <f aca="false">IF(IFERROR(INDEX(tsk_Name,GanttView[[#This Row],[_Row]])="",TRUE()),"",INDEX(tsk_PlanFinish,GanttView[[#This Row],[_Row]]))</f>
        <v/>
      </c>
      <c r="G78" s="106" t="str">
        <f aca="false">IF(IFERROR(INDEX(tsk_Name,GanttView[[#This Row],[_Row]])="",TRUE()),"",INDEX(tsk_FcStart,GanttView[[#This Row],[_Row]]))</f>
        <v/>
      </c>
      <c r="H78" s="106" t="str">
        <f aca="false">IF(IFERROR(INDEX(tsk_Name,GanttView[[#This Row],[_Row]])="",TRUE()),"",INDEX(tsk_FcFinish,GanttView[[#This Row],[_Row]]))</f>
        <v/>
      </c>
      <c r="I78" s="107" t="str">
        <f aca="false">IF(IFERROR(INDEX(tsk_Name,GanttView[[#This Row],[_Row]])="",TRUE()),"",INDEX(tsk_Progress,GanttView[[#This Row],[_Row]]))</f>
        <v/>
      </c>
      <c r="J78" s="105" t="str">
        <f aca="false">IF(IFERROR(INDEX(tsk_Name,GanttView[[#This Row],[_Row]])="",TRUE()),"",INDEX(tsk_Resource,GanttView[[#This Row],[_Row]])&amp;"")</f>
        <v/>
      </c>
      <c r="K78" s="108" t="str">
        <f aca="false">IF(IFERROR(INDEX(tsk_Name,GanttView[[#This Row],[_Row]])="",TRUE()),"",INDEX(tsk_Status,GanttView[[#This Row],[_Row]]))</f>
        <v/>
      </c>
      <c r="L78" s="109" t="n">
        <f aca="false">ROW()-ROW(GanttView[[#Headers],[ID]])</f>
        <v>73</v>
      </c>
      <c r="M78" s="110" t="b">
        <f aca="false">IF(IFERROR(INDEX(tsk_Name,GanttView[[#This Row],[_Row]])="",TRUE()),FALSE(),INDEX(tsk_IsSummary,GanttView[[#This Row],[_Row]]))</f>
        <v>0</v>
      </c>
      <c r="N78" s="110" t="b">
        <f aca="false">IF(IFERROR(INDEX(tsk_Name,GanttView[[#This Row],[_Row]])="",TRUE()),FALSE(),AND(INDEX(tsk_IsLeaf,GanttView[[#This Row],[_Row]])=1,N(INDEX(tsk_Duration,GanttView[[#This Row],[_Row]]))=0))</f>
        <v>0</v>
      </c>
      <c r="O7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7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7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78" s="111" t="n">
        <f aca="false">IF(GanttView[[#This Row],[_RemFrom]]=0,0,GanttView[[#This Row],[Forecast Finish]])</f>
        <v>0</v>
      </c>
      <c r="S78" s="110" t="b">
        <f aca="false">IF(IFERROR(INDEX(tsk_Name,GanttView[[#This Row],[_Row]])="",TRUE()),FALSE(),N(INDEX(tsk_Variance,GanttView[[#This Row],[_Row]]))&gt;0)</f>
        <v>0</v>
      </c>
      <c r="T78" s="111" t="n">
        <f aca="false">IF(IFERROR(INDEX(tsk_Name,GanttView[[#This Row],[_Row]])="",TRUE()),0,N(INDEX(tsk_Deadline,GanttView[[#This Row],[_Row]])))</f>
        <v>0</v>
      </c>
      <c r="U78" s="110" t="b">
        <f aca="false">IF(IFERROR(INDEX(tsk_Name,GanttView[[#This Row],[_Row]])="",TRUE()),FALSE(),INDEX(tsk_Critical,GanttView[[#This Row],[_Row]])="Yes")</f>
        <v>0</v>
      </c>
    </row>
    <row r="79" customFormat="false" ht="15" hidden="false" customHeight="false" outlineLevel="0" collapsed="false">
      <c r="A79" s="104" t="str">
        <f aca="false">IF(IFERROR(INDEX(tsk_Name,GanttView[[#This Row],[_Row]])="",TRUE()),"",INDEX(tsk_ID,GanttView[[#This Row],[_Row]]))</f>
        <v/>
      </c>
      <c r="B79" s="104" t="str">
        <f aca="false">IF(IFERROR(INDEX(tsk_Name,GanttView[[#This Row],[_Row]])="",TRUE()),"",INDEX(tsk_WBS,GanttView[[#This Row],[_Row]]))</f>
        <v/>
      </c>
      <c r="C79" s="105" t="str">
        <f aca="false">IF(IFERROR(INDEX(tsk_Name,GanttView[[#This Row],[_Row]])="",TRUE()),"",REPT("    ",INDEX(tsk_Level,GanttView[[#This Row],[_Row]])-1)&amp;INDEX(tsk_Name,GanttView[[#This Row],[_Row]]))</f>
        <v/>
      </c>
      <c r="D7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79" s="106" t="str">
        <f aca="false">IF(IFERROR(INDEX(tsk_Name,GanttView[[#This Row],[_Row]])="",TRUE()),"",INDEX(tsk_PlanStart,GanttView[[#This Row],[_Row]]))</f>
        <v/>
      </c>
      <c r="F79" s="106" t="str">
        <f aca="false">IF(IFERROR(INDEX(tsk_Name,GanttView[[#This Row],[_Row]])="",TRUE()),"",INDEX(tsk_PlanFinish,GanttView[[#This Row],[_Row]]))</f>
        <v/>
      </c>
      <c r="G79" s="106" t="str">
        <f aca="false">IF(IFERROR(INDEX(tsk_Name,GanttView[[#This Row],[_Row]])="",TRUE()),"",INDEX(tsk_FcStart,GanttView[[#This Row],[_Row]]))</f>
        <v/>
      </c>
      <c r="H79" s="106" t="str">
        <f aca="false">IF(IFERROR(INDEX(tsk_Name,GanttView[[#This Row],[_Row]])="",TRUE()),"",INDEX(tsk_FcFinish,GanttView[[#This Row],[_Row]]))</f>
        <v/>
      </c>
      <c r="I79" s="107" t="str">
        <f aca="false">IF(IFERROR(INDEX(tsk_Name,GanttView[[#This Row],[_Row]])="",TRUE()),"",INDEX(tsk_Progress,GanttView[[#This Row],[_Row]]))</f>
        <v/>
      </c>
      <c r="J79" s="105" t="str">
        <f aca="false">IF(IFERROR(INDEX(tsk_Name,GanttView[[#This Row],[_Row]])="",TRUE()),"",INDEX(tsk_Resource,GanttView[[#This Row],[_Row]])&amp;"")</f>
        <v/>
      </c>
      <c r="K79" s="108" t="str">
        <f aca="false">IF(IFERROR(INDEX(tsk_Name,GanttView[[#This Row],[_Row]])="",TRUE()),"",INDEX(tsk_Status,GanttView[[#This Row],[_Row]]))</f>
        <v/>
      </c>
      <c r="L79" s="109" t="n">
        <f aca="false">ROW()-ROW(GanttView[[#Headers],[ID]])</f>
        <v>74</v>
      </c>
      <c r="M79" s="110" t="b">
        <f aca="false">IF(IFERROR(INDEX(tsk_Name,GanttView[[#This Row],[_Row]])="",TRUE()),FALSE(),INDEX(tsk_IsSummary,GanttView[[#This Row],[_Row]]))</f>
        <v>0</v>
      </c>
      <c r="N79" s="110" t="b">
        <f aca="false">IF(IFERROR(INDEX(tsk_Name,GanttView[[#This Row],[_Row]])="",TRUE()),FALSE(),AND(INDEX(tsk_IsLeaf,GanttView[[#This Row],[_Row]])=1,N(INDEX(tsk_Duration,GanttView[[#This Row],[_Row]]))=0))</f>
        <v>0</v>
      </c>
      <c r="O7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7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7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79" s="111" t="n">
        <f aca="false">IF(GanttView[[#This Row],[_RemFrom]]=0,0,GanttView[[#This Row],[Forecast Finish]])</f>
        <v>0</v>
      </c>
      <c r="S79" s="110" t="b">
        <f aca="false">IF(IFERROR(INDEX(tsk_Name,GanttView[[#This Row],[_Row]])="",TRUE()),FALSE(),N(INDEX(tsk_Variance,GanttView[[#This Row],[_Row]]))&gt;0)</f>
        <v>0</v>
      </c>
      <c r="T79" s="111" t="n">
        <f aca="false">IF(IFERROR(INDEX(tsk_Name,GanttView[[#This Row],[_Row]])="",TRUE()),0,N(INDEX(tsk_Deadline,GanttView[[#This Row],[_Row]])))</f>
        <v>0</v>
      </c>
      <c r="U79" s="110" t="b">
        <f aca="false">IF(IFERROR(INDEX(tsk_Name,GanttView[[#This Row],[_Row]])="",TRUE()),FALSE(),INDEX(tsk_Critical,GanttView[[#This Row],[_Row]])="Yes")</f>
        <v>0</v>
      </c>
    </row>
    <row r="80" customFormat="false" ht="15" hidden="false" customHeight="false" outlineLevel="0" collapsed="false">
      <c r="A80" s="104" t="str">
        <f aca="false">IF(IFERROR(INDEX(tsk_Name,GanttView[[#This Row],[_Row]])="",TRUE()),"",INDEX(tsk_ID,GanttView[[#This Row],[_Row]]))</f>
        <v/>
      </c>
      <c r="B80" s="104" t="str">
        <f aca="false">IF(IFERROR(INDEX(tsk_Name,GanttView[[#This Row],[_Row]])="",TRUE()),"",INDEX(tsk_WBS,GanttView[[#This Row],[_Row]]))</f>
        <v/>
      </c>
      <c r="C80" s="105" t="str">
        <f aca="false">IF(IFERROR(INDEX(tsk_Name,GanttView[[#This Row],[_Row]])="",TRUE()),"",REPT("    ",INDEX(tsk_Level,GanttView[[#This Row],[_Row]])-1)&amp;INDEX(tsk_Name,GanttView[[#This Row],[_Row]]))</f>
        <v/>
      </c>
      <c r="D8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80" s="106" t="str">
        <f aca="false">IF(IFERROR(INDEX(tsk_Name,GanttView[[#This Row],[_Row]])="",TRUE()),"",INDEX(tsk_PlanStart,GanttView[[#This Row],[_Row]]))</f>
        <v/>
      </c>
      <c r="F80" s="106" t="str">
        <f aca="false">IF(IFERROR(INDEX(tsk_Name,GanttView[[#This Row],[_Row]])="",TRUE()),"",INDEX(tsk_PlanFinish,GanttView[[#This Row],[_Row]]))</f>
        <v/>
      </c>
      <c r="G80" s="106" t="str">
        <f aca="false">IF(IFERROR(INDEX(tsk_Name,GanttView[[#This Row],[_Row]])="",TRUE()),"",INDEX(tsk_FcStart,GanttView[[#This Row],[_Row]]))</f>
        <v/>
      </c>
      <c r="H80" s="106" t="str">
        <f aca="false">IF(IFERROR(INDEX(tsk_Name,GanttView[[#This Row],[_Row]])="",TRUE()),"",INDEX(tsk_FcFinish,GanttView[[#This Row],[_Row]]))</f>
        <v/>
      </c>
      <c r="I80" s="107" t="str">
        <f aca="false">IF(IFERROR(INDEX(tsk_Name,GanttView[[#This Row],[_Row]])="",TRUE()),"",INDEX(tsk_Progress,GanttView[[#This Row],[_Row]]))</f>
        <v/>
      </c>
      <c r="J80" s="105" t="str">
        <f aca="false">IF(IFERROR(INDEX(tsk_Name,GanttView[[#This Row],[_Row]])="",TRUE()),"",INDEX(tsk_Resource,GanttView[[#This Row],[_Row]])&amp;"")</f>
        <v/>
      </c>
      <c r="K80" s="108" t="str">
        <f aca="false">IF(IFERROR(INDEX(tsk_Name,GanttView[[#This Row],[_Row]])="",TRUE()),"",INDEX(tsk_Status,GanttView[[#This Row],[_Row]]))</f>
        <v/>
      </c>
      <c r="L80" s="109" t="n">
        <f aca="false">ROW()-ROW(GanttView[[#Headers],[ID]])</f>
        <v>75</v>
      </c>
      <c r="M80" s="110" t="b">
        <f aca="false">IF(IFERROR(INDEX(tsk_Name,GanttView[[#This Row],[_Row]])="",TRUE()),FALSE(),INDEX(tsk_IsSummary,GanttView[[#This Row],[_Row]]))</f>
        <v>0</v>
      </c>
      <c r="N80" s="110" t="b">
        <f aca="false">IF(IFERROR(INDEX(tsk_Name,GanttView[[#This Row],[_Row]])="",TRUE()),FALSE(),AND(INDEX(tsk_IsLeaf,GanttView[[#This Row],[_Row]])=1,N(INDEX(tsk_Duration,GanttView[[#This Row],[_Row]]))=0))</f>
        <v>0</v>
      </c>
      <c r="O8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8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8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80" s="111" t="n">
        <f aca="false">IF(GanttView[[#This Row],[_RemFrom]]=0,0,GanttView[[#This Row],[Forecast Finish]])</f>
        <v>0</v>
      </c>
      <c r="S80" s="110" t="b">
        <f aca="false">IF(IFERROR(INDEX(tsk_Name,GanttView[[#This Row],[_Row]])="",TRUE()),FALSE(),N(INDEX(tsk_Variance,GanttView[[#This Row],[_Row]]))&gt;0)</f>
        <v>0</v>
      </c>
      <c r="T80" s="111" t="n">
        <f aca="false">IF(IFERROR(INDEX(tsk_Name,GanttView[[#This Row],[_Row]])="",TRUE()),0,N(INDEX(tsk_Deadline,GanttView[[#This Row],[_Row]])))</f>
        <v>0</v>
      </c>
      <c r="U80" s="110" t="b">
        <f aca="false">IF(IFERROR(INDEX(tsk_Name,GanttView[[#This Row],[_Row]])="",TRUE()),FALSE(),INDEX(tsk_Critical,GanttView[[#This Row],[_Row]])="Yes")</f>
        <v>0</v>
      </c>
    </row>
    <row r="81" customFormat="false" ht="15" hidden="false" customHeight="false" outlineLevel="0" collapsed="false">
      <c r="A81" s="104" t="str">
        <f aca="false">IF(IFERROR(INDEX(tsk_Name,GanttView[[#This Row],[_Row]])="",TRUE()),"",INDEX(tsk_ID,GanttView[[#This Row],[_Row]]))</f>
        <v/>
      </c>
      <c r="B81" s="104" t="str">
        <f aca="false">IF(IFERROR(INDEX(tsk_Name,GanttView[[#This Row],[_Row]])="",TRUE()),"",INDEX(tsk_WBS,GanttView[[#This Row],[_Row]]))</f>
        <v/>
      </c>
      <c r="C81" s="105" t="str">
        <f aca="false">IF(IFERROR(INDEX(tsk_Name,GanttView[[#This Row],[_Row]])="",TRUE()),"",REPT("    ",INDEX(tsk_Level,GanttView[[#This Row],[_Row]])-1)&amp;INDEX(tsk_Name,GanttView[[#This Row],[_Row]]))</f>
        <v/>
      </c>
      <c r="D8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81" s="106" t="str">
        <f aca="false">IF(IFERROR(INDEX(tsk_Name,GanttView[[#This Row],[_Row]])="",TRUE()),"",INDEX(tsk_PlanStart,GanttView[[#This Row],[_Row]]))</f>
        <v/>
      </c>
      <c r="F81" s="106" t="str">
        <f aca="false">IF(IFERROR(INDEX(tsk_Name,GanttView[[#This Row],[_Row]])="",TRUE()),"",INDEX(tsk_PlanFinish,GanttView[[#This Row],[_Row]]))</f>
        <v/>
      </c>
      <c r="G81" s="106" t="str">
        <f aca="false">IF(IFERROR(INDEX(tsk_Name,GanttView[[#This Row],[_Row]])="",TRUE()),"",INDEX(tsk_FcStart,GanttView[[#This Row],[_Row]]))</f>
        <v/>
      </c>
      <c r="H81" s="106" t="str">
        <f aca="false">IF(IFERROR(INDEX(tsk_Name,GanttView[[#This Row],[_Row]])="",TRUE()),"",INDEX(tsk_FcFinish,GanttView[[#This Row],[_Row]]))</f>
        <v/>
      </c>
      <c r="I81" s="107" t="str">
        <f aca="false">IF(IFERROR(INDEX(tsk_Name,GanttView[[#This Row],[_Row]])="",TRUE()),"",INDEX(tsk_Progress,GanttView[[#This Row],[_Row]]))</f>
        <v/>
      </c>
      <c r="J81" s="105" t="str">
        <f aca="false">IF(IFERROR(INDEX(tsk_Name,GanttView[[#This Row],[_Row]])="",TRUE()),"",INDEX(tsk_Resource,GanttView[[#This Row],[_Row]])&amp;"")</f>
        <v/>
      </c>
      <c r="K81" s="108" t="str">
        <f aca="false">IF(IFERROR(INDEX(tsk_Name,GanttView[[#This Row],[_Row]])="",TRUE()),"",INDEX(tsk_Status,GanttView[[#This Row],[_Row]]))</f>
        <v/>
      </c>
      <c r="L81" s="109" t="n">
        <f aca="false">ROW()-ROW(GanttView[[#Headers],[ID]])</f>
        <v>76</v>
      </c>
      <c r="M81" s="110" t="b">
        <f aca="false">IF(IFERROR(INDEX(tsk_Name,GanttView[[#This Row],[_Row]])="",TRUE()),FALSE(),INDEX(tsk_IsSummary,GanttView[[#This Row],[_Row]]))</f>
        <v>0</v>
      </c>
      <c r="N81" s="110" t="b">
        <f aca="false">IF(IFERROR(INDEX(tsk_Name,GanttView[[#This Row],[_Row]])="",TRUE()),FALSE(),AND(INDEX(tsk_IsLeaf,GanttView[[#This Row],[_Row]])=1,N(INDEX(tsk_Duration,GanttView[[#This Row],[_Row]]))=0))</f>
        <v>0</v>
      </c>
      <c r="O8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8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8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81" s="111" t="n">
        <f aca="false">IF(GanttView[[#This Row],[_RemFrom]]=0,0,GanttView[[#This Row],[Forecast Finish]])</f>
        <v>0</v>
      </c>
      <c r="S81" s="110" t="b">
        <f aca="false">IF(IFERROR(INDEX(tsk_Name,GanttView[[#This Row],[_Row]])="",TRUE()),FALSE(),N(INDEX(tsk_Variance,GanttView[[#This Row],[_Row]]))&gt;0)</f>
        <v>0</v>
      </c>
      <c r="T81" s="111" t="n">
        <f aca="false">IF(IFERROR(INDEX(tsk_Name,GanttView[[#This Row],[_Row]])="",TRUE()),0,N(INDEX(tsk_Deadline,GanttView[[#This Row],[_Row]])))</f>
        <v>0</v>
      </c>
      <c r="U81" s="110" t="b">
        <f aca="false">IF(IFERROR(INDEX(tsk_Name,GanttView[[#This Row],[_Row]])="",TRUE()),FALSE(),INDEX(tsk_Critical,GanttView[[#This Row],[_Row]])="Yes")</f>
        <v>0</v>
      </c>
    </row>
    <row r="82" customFormat="false" ht="15" hidden="false" customHeight="false" outlineLevel="0" collapsed="false">
      <c r="A82" s="104" t="str">
        <f aca="false">IF(IFERROR(INDEX(tsk_Name,GanttView[[#This Row],[_Row]])="",TRUE()),"",INDEX(tsk_ID,GanttView[[#This Row],[_Row]]))</f>
        <v/>
      </c>
      <c r="B82" s="104" t="str">
        <f aca="false">IF(IFERROR(INDEX(tsk_Name,GanttView[[#This Row],[_Row]])="",TRUE()),"",INDEX(tsk_WBS,GanttView[[#This Row],[_Row]]))</f>
        <v/>
      </c>
      <c r="C82" s="105" t="str">
        <f aca="false">IF(IFERROR(INDEX(tsk_Name,GanttView[[#This Row],[_Row]])="",TRUE()),"",REPT("    ",INDEX(tsk_Level,GanttView[[#This Row],[_Row]])-1)&amp;INDEX(tsk_Name,GanttView[[#This Row],[_Row]]))</f>
        <v/>
      </c>
      <c r="D8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82" s="106" t="str">
        <f aca="false">IF(IFERROR(INDEX(tsk_Name,GanttView[[#This Row],[_Row]])="",TRUE()),"",INDEX(tsk_PlanStart,GanttView[[#This Row],[_Row]]))</f>
        <v/>
      </c>
      <c r="F82" s="106" t="str">
        <f aca="false">IF(IFERROR(INDEX(tsk_Name,GanttView[[#This Row],[_Row]])="",TRUE()),"",INDEX(tsk_PlanFinish,GanttView[[#This Row],[_Row]]))</f>
        <v/>
      </c>
      <c r="G82" s="106" t="str">
        <f aca="false">IF(IFERROR(INDEX(tsk_Name,GanttView[[#This Row],[_Row]])="",TRUE()),"",INDEX(tsk_FcStart,GanttView[[#This Row],[_Row]]))</f>
        <v/>
      </c>
      <c r="H82" s="106" t="str">
        <f aca="false">IF(IFERROR(INDEX(tsk_Name,GanttView[[#This Row],[_Row]])="",TRUE()),"",INDEX(tsk_FcFinish,GanttView[[#This Row],[_Row]]))</f>
        <v/>
      </c>
      <c r="I82" s="107" t="str">
        <f aca="false">IF(IFERROR(INDEX(tsk_Name,GanttView[[#This Row],[_Row]])="",TRUE()),"",INDEX(tsk_Progress,GanttView[[#This Row],[_Row]]))</f>
        <v/>
      </c>
      <c r="J82" s="105" t="str">
        <f aca="false">IF(IFERROR(INDEX(tsk_Name,GanttView[[#This Row],[_Row]])="",TRUE()),"",INDEX(tsk_Resource,GanttView[[#This Row],[_Row]])&amp;"")</f>
        <v/>
      </c>
      <c r="K82" s="108" t="str">
        <f aca="false">IF(IFERROR(INDEX(tsk_Name,GanttView[[#This Row],[_Row]])="",TRUE()),"",INDEX(tsk_Status,GanttView[[#This Row],[_Row]]))</f>
        <v/>
      </c>
      <c r="L82" s="109" t="n">
        <f aca="false">ROW()-ROW(GanttView[[#Headers],[ID]])</f>
        <v>77</v>
      </c>
      <c r="M82" s="110" t="b">
        <f aca="false">IF(IFERROR(INDEX(tsk_Name,GanttView[[#This Row],[_Row]])="",TRUE()),FALSE(),INDEX(tsk_IsSummary,GanttView[[#This Row],[_Row]]))</f>
        <v>0</v>
      </c>
      <c r="N82" s="110" t="b">
        <f aca="false">IF(IFERROR(INDEX(tsk_Name,GanttView[[#This Row],[_Row]])="",TRUE()),FALSE(),AND(INDEX(tsk_IsLeaf,GanttView[[#This Row],[_Row]])=1,N(INDEX(tsk_Duration,GanttView[[#This Row],[_Row]]))=0))</f>
        <v>0</v>
      </c>
      <c r="O8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8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8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82" s="111" t="n">
        <f aca="false">IF(GanttView[[#This Row],[_RemFrom]]=0,0,GanttView[[#This Row],[Forecast Finish]])</f>
        <v>0</v>
      </c>
      <c r="S82" s="110" t="b">
        <f aca="false">IF(IFERROR(INDEX(tsk_Name,GanttView[[#This Row],[_Row]])="",TRUE()),FALSE(),N(INDEX(tsk_Variance,GanttView[[#This Row],[_Row]]))&gt;0)</f>
        <v>0</v>
      </c>
      <c r="T82" s="111" t="n">
        <f aca="false">IF(IFERROR(INDEX(tsk_Name,GanttView[[#This Row],[_Row]])="",TRUE()),0,N(INDEX(tsk_Deadline,GanttView[[#This Row],[_Row]])))</f>
        <v>0</v>
      </c>
      <c r="U82" s="110" t="b">
        <f aca="false">IF(IFERROR(INDEX(tsk_Name,GanttView[[#This Row],[_Row]])="",TRUE()),FALSE(),INDEX(tsk_Critical,GanttView[[#This Row],[_Row]])="Yes")</f>
        <v>0</v>
      </c>
    </row>
    <row r="83" customFormat="false" ht="15" hidden="false" customHeight="false" outlineLevel="0" collapsed="false">
      <c r="A83" s="104" t="str">
        <f aca="false">IF(IFERROR(INDEX(tsk_Name,GanttView[[#This Row],[_Row]])="",TRUE()),"",INDEX(tsk_ID,GanttView[[#This Row],[_Row]]))</f>
        <v/>
      </c>
      <c r="B83" s="104" t="str">
        <f aca="false">IF(IFERROR(INDEX(tsk_Name,GanttView[[#This Row],[_Row]])="",TRUE()),"",INDEX(tsk_WBS,GanttView[[#This Row],[_Row]]))</f>
        <v/>
      </c>
      <c r="C83" s="105" t="str">
        <f aca="false">IF(IFERROR(INDEX(tsk_Name,GanttView[[#This Row],[_Row]])="",TRUE()),"",REPT("    ",INDEX(tsk_Level,GanttView[[#This Row],[_Row]])-1)&amp;INDEX(tsk_Name,GanttView[[#This Row],[_Row]]))</f>
        <v/>
      </c>
      <c r="D8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83" s="106" t="str">
        <f aca="false">IF(IFERROR(INDEX(tsk_Name,GanttView[[#This Row],[_Row]])="",TRUE()),"",INDEX(tsk_PlanStart,GanttView[[#This Row],[_Row]]))</f>
        <v/>
      </c>
      <c r="F83" s="106" t="str">
        <f aca="false">IF(IFERROR(INDEX(tsk_Name,GanttView[[#This Row],[_Row]])="",TRUE()),"",INDEX(tsk_PlanFinish,GanttView[[#This Row],[_Row]]))</f>
        <v/>
      </c>
      <c r="G83" s="106" t="str">
        <f aca="false">IF(IFERROR(INDEX(tsk_Name,GanttView[[#This Row],[_Row]])="",TRUE()),"",INDEX(tsk_FcStart,GanttView[[#This Row],[_Row]]))</f>
        <v/>
      </c>
      <c r="H83" s="106" t="str">
        <f aca="false">IF(IFERROR(INDEX(tsk_Name,GanttView[[#This Row],[_Row]])="",TRUE()),"",INDEX(tsk_FcFinish,GanttView[[#This Row],[_Row]]))</f>
        <v/>
      </c>
      <c r="I83" s="107" t="str">
        <f aca="false">IF(IFERROR(INDEX(tsk_Name,GanttView[[#This Row],[_Row]])="",TRUE()),"",INDEX(tsk_Progress,GanttView[[#This Row],[_Row]]))</f>
        <v/>
      </c>
      <c r="J83" s="105" t="str">
        <f aca="false">IF(IFERROR(INDEX(tsk_Name,GanttView[[#This Row],[_Row]])="",TRUE()),"",INDEX(tsk_Resource,GanttView[[#This Row],[_Row]])&amp;"")</f>
        <v/>
      </c>
      <c r="K83" s="108" t="str">
        <f aca="false">IF(IFERROR(INDEX(tsk_Name,GanttView[[#This Row],[_Row]])="",TRUE()),"",INDEX(tsk_Status,GanttView[[#This Row],[_Row]]))</f>
        <v/>
      </c>
      <c r="L83" s="109" t="n">
        <f aca="false">ROW()-ROW(GanttView[[#Headers],[ID]])</f>
        <v>78</v>
      </c>
      <c r="M83" s="110" t="b">
        <f aca="false">IF(IFERROR(INDEX(tsk_Name,GanttView[[#This Row],[_Row]])="",TRUE()),FALSE(),INDEX(tsk_IsSummary,GanttView[[#This Row],[_Row]]))</f>
        <v>0</v>
      </c>
      <c r="N83" s="110" t="b">
        <f aca="false">IF(IFERROR(INDEX(tsk_Name,GanttView[[#This Row],[_Row]])="",TRUE()),FALSE(),AND(INDEX(tsk_IsLeaf,GanttView[[#This Row],[_Row]])=1,N(INDEX(tsk_Duration,GanttView[[#This Row],[_Row]]))=0))</f>
        <v>0</v>
      </c>
      <c r="O8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8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8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83" s="111" t="n">
        <f aca="false">IF(GanttView[[#This Row],[_RemFrom]]=0,0,GanttView[[#This Row],[Forecast Finish]])</f>
        <v>0</v>
      </c>
      <c r="S83" s="110" t="b">
        <f aca="false">IF(IFERROR(INDEX(tsk_Name,GanttView[[#This Row],[_Row]])="",TRUE()),FALSE(),N(INDEX(tsk_Variance,GanttView[[#This Row],[_Row]]))&gt;0)</f>
        <v>0</v>
      </c>
      <c r="T83" s="111" t="n">
        <f aca="false">IF(IFERROR(INDEX(tsk_Name,GanttView[[#This Row],[_Row]])="",TRUE()),0,N(INDEX(tsk_Deadline,GanttView[[#This Row],[_Row]])))</f>
        <v>0</v>
      </c>
      <c r="U83" s="110" t="b">
        <f aca="false">IF(IFERROR(INDEX(tsk_Name,GanttView[[#This Row],[_Row]])="",TRUE()),FALSE(),INDEX(tsk_Critical,GanttView[[#This Row],[_Row]])="Yes")</f>
        <v>0</v>
      </c>
    </row>
    <row r="84" customFormat="false" ht="15" hidden="false" customHeight="false" outlineLevel="0" collapsed="false">
      <c r="A84" s="104" t="str">
        <f aca="false">IF(IFERROR(INDEX(tsk_Name,GanttView[[#This Row],[_Row]])="",TRUE()),"",INDEX(tsk_ID,GanttView[[#This Row],[_Row]]))</f>
        <v/>
      </c>
      <c r="B84" s="104" t="str">
        <f aca="false">IF(IFERROR(INDEX(tsk_Name,GanttView[[#This Row],[_Row]])="",TRUE()),"",INDEX(tsk_WBS,GanttView[[#This Row],[_Row]]))</f>
        <v/>
      </c>
      <c r="C84" s="105" t="str">
        <f aca="false">IF(IFERROR(INDEX(tsk_Name,GanttView[[#This Row],[_Row]])="",TRUE()),"",REPT("    ",INDEX(tsk_Level,GanttView[[#This Row],[_Row]])-1)&amp;INDEX(tsk_Name,GanttView[[#This Row],[_Row]]))</f>
        <v/>
      </c>
      <c r="D8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84" s="106" t="str">
        <f aca="false">IF(IFERROR(INDEX(tsk_Name,GanttView[[#This Row],[_Row]])="",TRUE()),"",INDEX(tsk_PlanStart,GanttView[[#This Row],[_Row]]))</f>
        <v/>
      </c>
      <c r="F84" s="106" t="str">
        <f aca="false">IF(IFERROR(INDEX(tsk_Name,GanttView[[#This Row],[_Row]])="",TRUE()),"",INDEX(tsk_PlanFinish,GanttView[[#This Row],[_Row]]))</f>
        <v/>
      </c>
      <c r="G84" s="106" t="str">
        <f aca="false">IF(IFERROR(INDEX(tsk_Name,GanttView[[#This Row],[_Row]])="",TRUE()),"",INDEX(tsk_FcStart,GanttView[[#This Row],[_Row]]))</f>
        <v/>
      </c>
      <c r="H84" s="106" t="str">
        <f aca="false">IF(IFERROR(INDEX(tsk_Name,GanttView[[#This Row],[_Row]])="",TRUE()),"",INDEX(tsk_FcFinish,GanttView[[#This Row],[_Row]]))</f>
        <v/>
      </c>
      <c r="I84" s="107" t="str">
        <f aca="false">IF(IFERROR(INDEX(tsk_Name,GanttView[[#This Row],[_Row]])="",TRUE()),"",INDEX(tsk_Progress,GanttView[[#This Row],[_Row]]))</f>
        <v/>
      </c>
      <c r="J84" s="105" t="str">
        <f aca="false">IF(IFERROR(INDEX(tsk_Name,GanttView[[#This Row],[_Row]])="",TRUE()),"",INDEX(tsk_Resource,GanttView[[#This Row],[_Row]])&amp;"")</f>
        <v/>
      </c>
      <c r="K84" s="108" t="str">
        <f aca="false">IF(IFERROR(INDEX(tsk_Name,GanttView[[#This Row],[_Row]])="",TRUE()),"",INDEX(tsk_Status,GanttView[[#This Row],[_Row]]))</f>
        <v/>
      </c>
      <c r="L84" s="109" t="n">
        <f aca="false">ROW()-ROW(GanttView[[#Headers],[ID]])</f>
        <v>79</v>
      </c>
      <c r="M84" s="110" t="b">
        <f aca="false">IF(IFERROR(INDEX(tsk_Name,GanttView[[#This Row],[_Row]])="",TRUE()),FALSE(),INDEX(tsk_IsSummary,GanttView[[#This Row],[_Row]]))</f>
        <v>0</v>
      </c>
      <c r="N84" s="110" t="b">
        <f aca="false">IF(IFERROR(INDEX(tsk_Name,GanttView[[#This Row],[_Row]])="",TRUE()),FALSE(),AND(INDEX(tsk_IsLeaf,GanttView[[#This Row],[_Row]])=1,N(INDEX(tsk_Duration,GanttView[[#This Row],[_Row]]))=0))</f>
        <v>0</v>
      </c>
      <c r="O8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8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8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84" s="111" t="n">
        <f aca="false">IF(GanttView[[#This Row],[_RemFrom]]=0,0,GanttView[[#This Row],[Forecast Finish]])</f>
        <v>0</v>
      </c>
      <c r="S84" s="110" t="b">
        <f aca="false">IF(IFERROR(INDEX(tsk_Name,GanttView[[#This Row],[_Row]])="",TRUE()),FALSE(),N(INDEX(tsk_Variance,GanttView[[#This Row],[_Row]]))&gt;0)</f>
        <v>0</v>
      </c>
      <c r="T84" s="111" t="n">
        <f aca="false">IF(IFERROR(INDEX(tsk_Name,GanttView[[#This Row],[_Row]])="",TRUE()),0,N(INDEX(tsk_Deadline,GanttView[[#This Row],[_Row]])))</f>
        <v>0</v>
      </c>
      <c r="U84" s="110" t="b">
        <f aca="false">IF(IFERROR(INDEX(tsk_Name,GanttView[[#This Row],[_Row]])="",TRUE()),FALSE(),INDEX(tsk_Critical,GanttView[[#This Row],[_Row]])="Yes")</f>
        <v>0</v>
      </c>
    </row>
    <row r="85" customFormat="false" ht="15" hidden="false" customHeight="false" outlineLevel="0" collapsed="false">
      <c r="A85" s="104" t="str">
        <f aca="false">IF(IFERROR(INDEX(tsk_Name,GanttView[[#This Row],[_Row]])="",TRUE()),"",INDEX(tsk_ID,GanttView[[#This Row],[_Row]]))</f>
        <v/>
      </c>
      <c r="B85" s="104" t="str">
        <f aca="false">IF(IFERROR(INDEX(tsk_Name,GanttView[[#This Row],[_Row]])="",TRUE()),"",INDEX(tsk_WBS,GanttView[[#This Row],[_Row]]))</f>
        <v/>
      </c>
      <c r="C85" s="105" t="str">
        <f aca="false">IF(IFERROR(INDEX(tsk_Name,GanttView[[#This Row],[_Row]])="",TRUE()),"",REPT("    ",INDEX(tsk_Level,GanttView[[#This Row],[_Row]])-1)&amp;INDEX(tsk_Name,GanttView[[#This Row],[_Row]]))</f>
        <v/>
      </c>
      <c r="D8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85" s="106" t="str">
        <f aca="false">IF(IFERROR(INDEX(tsk_Name,GanttView[[#This Row],[_Row]])="",TRUE()),"",INDEX(tsk_PlanStart,GanttView[[#This Row],[_Row]]))</f>
        <v/>
      </c>
      <c r="F85" s="106" t="str">
        <f aca="false">IF(IFERROR(INDEX(tsk_Name,GanttView[[#This Row],[_Row]])="",TRUE()),"",INDEX(tsk_PlanFinish,GanttView[[#This Row],[_Row]]))</f>
        <v/>
      </c>
      <c r="G85" s="106" t="str">
        <f aca="false">IF(IFERROR(INDEX(tsk_Name,GanttView[[#This Row],[_Row]])="",TRUE()),"",INDEX(tsk_FcStart,GanttView[[#This Row],[_Row]]))</f>
        <v/>
      </c>
      <c r="H85" s="106" t="str">
        <f aca="false">IF(IFERROR(INDEX(tsk_Name,GanttView[[#This Row],[_Row]])="",TRUE()),"",INDEX(tsk_FcFinish,GanttView[[#This Row],[_Row]]))</f>
        <v/>
      </c>
      <c r="I85" s="107" t="str">
        <f aca="false">IF(IFERROR(INDEX(tsk_Name,GanttView[[#This Row],[_Row]])="",TRUE()),"",INDEX(tsk_Progress,GanttView[[#This Row],[_Row]]))</f>
        <v/>
      </c>
      <c r="J85" s="105" t="str">
        <f aca="false">IF(IFERROR(INDEX(tsk_Name,GanttView[[#This Row],[_Row]])="",TRUE()),"",INDEX(tsk_Resource,GanttView[[#This Row],[_Row]])&amp;"")</f>
        <v/>
      </c>
      <c r="K85" s="108" t="str">
        <f aca="false">IF(IFERROR(INDEX(tsk_Name,GanttView[[#This Row],[_Row]])="",TRUE()),"",INDEX(tsk_Status,GanttView[[#This Row],[_Row]]))</f>
        <v/>
      </c>
      <c r="L85" s="109" t="n">
        <f aca="false">ROW()-ROW(GanttView[[#Headers],[ID]])</f>
        <v>80</v>
      </c>
      <c r="M85" s="110" t="b">
        <f aca="false">IF(IFERROR(INDEX(tsk_Name,GanttView[[#This Row],[_Row]])="",TRUE()),FALSE(),INDEX(tsk_IsSummary,GanttView[[#This Row],[_Row]]))</f>
        <v>0</v>
      </c>
      <c r="N85" s="110" t="b">
        <f aca="false">IF(IFERROR(INDEX(tsk_Name,GanttView[[#This Row],[_Row]])="",TRUE()),FALSE(),AND(INDEX(tsk_IsLeaf,GanttView[[#This Row],[_Row]])=1,N(INDEX(tsk_Duration,GanttView[[#This Row],[_Row]]))=0))</f>
        <v>0</v>
      </c>
      <c r="O8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8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8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85" s="111" t="n">
        <f aca="false">IF(GanttView[[#This Row],[_RemFrom]]=0,0,GanttView[[#This Row],[Forecast Finish]])</f>
        <v>0</v>
      </c>
      <c r="S85" s="110" t="b">
        <f aca="false">IF(IFERROR(INDEX(tsk_Name,GanttView[[#This Row],[_Row]])="",TRUE()),FALSE(),N(INDEX(tsk_Variance,GanttView[[#This Row],[_Row]]))&gt;0)</f>
        <v>0</v>
      </c>
      <c r="T85" s="111" t="n">
        <f aca="false">IF(IFERROR(INDEX(tsk_Name,GanttView[[#This Row],[_Row]])="",TRUE()),0,N(INDEX(tsk_Deadline,GanttView[[#This Row],[_Row]])))</f>
        <v>0</v>
      </c>
      <c r="U85" s="110" t="b">
        <f aca="false">IF(IFERROR(INDEX(tsk_Name,GanttView[[#This Row],[_Row]])="",TRUE()),FALSE(),INDEX(tsk_Critical,GanttView[[#This Row],[_Row]])="Yes")</f>
        <v>0</v>
      </c>
    </row>
    <row r="86" customFormat="false" ht="15" hidden="false" customHeight="false" outlineLevel="0" collapsed="false">
      <c r="A86" s="104" t="str">
        <f aca="false">IF(IFERROR(INDEX(tsk_Name,GanttView[[#This Row],[_Row]])="",TRUE()),"",INDEX(tsk_ID,GanttView[[#This Row],[_Row]]))</f>
        <v/>
      </c>
      <c r="B86" s="104" t="str">
        <f aca="false">IF(IFERROR(INDEX(tsk_Name,GanttView[[#This Row],[_Row]])="",TRUE()),"",INDEX(tsk_WBS,GanttView[[#This Row],[_Row]]))</f>
        <v/>
      </c>
      <c r="C86" s="105" t="str">
        <f aca="false">IF(IFERROR(INDEX(tsk_Name,GanttView[[#This Row],[_Row]])="",TRUE()),"",REPT("    ",INDEX(tsk_Level,GanttView[[#This Row],[_Row]])-1)&amp;INDEX(tsk_Name,GanttView[[#This Row],[_Row]]))</f>
        <v/>
      </c>
      <c r="D8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86" s="106" t="str">
        <f aca="false">IF(IFERROR(INDEX(tsk_Name,GanttView[[#This Row],[_Row]])="",TRUE()),"",INDEX(tsk_PlanStart,GanttView[[#This Row],[_Row]]))</f>
        <v/>
      </c>
      <c r="F86" s="106" t="str">
        <f aca="false">IF(IFERROR(INDEX(tsk_Name,GanttView[[#This Row],[_Row]])="",TRUE()),"",INDEX(tsk_PlanFinish,GanttView[[#This Row],[_Row]]))</f>
        <v/>
      </c>
      <c r="G86" s="106" t="str">
        <f aca="false">IF(IFERROR(INDEX(tsk_Name,GanttView[[#This Row],[_Row]])="",TRUE()),"",INDEX(tsk_FcStart,GanttView[[#This Row],[_Row]]))</f>
        <v/>
      </c>
      <c r="H86" s="106" t="str">
        <f aca="false">IF(IFERROR(INDEX(tsk_Name,GanttView[[#This Row],[_Row]])="",TRUE()),"",INDEX(tsk_FcFinish,GanttView[[#This Row],[_Row]]))</f>
        <v/>
      </c>
      <c r="I86" s="107" t="str">
        <f aca="false">IF(IFERROR(INDEX(tsk_Name,GanttView[[#This Row],[_Row]])="",TRUE()),"",INDEX(tsk_Progress,GanttView[[#This Row],[_Row]]))</f>
        <v/>
      </c>
      <c r="J86" s="105" t="str">
        <f aca="false">IF(IFERROR(INDEX(tsk_Name,GanttView[[#This Row],[_Row]])="",TRUE()),"",INDEX(tsk_Resource,GanttView[[#This Row],[_Row]])&amp;"")</f>
        <v/>
      </c>
      <c r="K86" s="108" t="str">
        <f aca="false">IF(IFERROR(INDEX(tsk_Name,GanttView[[#This Row],[_Row]])="",TRUE()),"",INDEX(tsk_Status,GanttView[[#This Row],[_Row]]))</f>
        <v/>
      </c>
      <c r="L86" s="109" t="n">
        <f aca="false">ROW()-ROW(GanttView[[#Headers],[ID]])</f>
        <v>81</v>
      </c>
      <c r="M86" s="110" t="b">
        <f aca="false">IF(IFERROR(INDEX(tsk_Name,GanttView[[#This Row],[_Row]])="",TRUE()),FALSE(),INDEX(tsk_IsSummary,GanttView[[#This Row],[_Row]]))</f>
        <v>0</v>
      </c>
      <c r="N86" s="110" t="b">
        <f aca="false">IF(IFERROR(INDEX(tsk_Name,GanttView[[#This Row],[_Row]])="",TRUE()),FALSE(),AND(INDEX(tsk_IsLeaf,GanttView[[#This Row],[_Row]])=1,N(INDEX(tsk_Duration,GanttView[[#This Row],[_Row]]))=0))</f>
        <v>0</v>
      </c>
      <c r="O8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8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8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86" s="111" t="n">
        <f aca="false">IF(GanttView[[#This Row],[_RemFrom]]=0,0,GanttView[[#This Row],[Forecast Finish]])</f>
        <v>0</v>
      </c>
      <c r="S86" s="110" t="b">
        <f aca="false">IF(IFERROR(INDEX(tsk_Name,GanttView[[#This Row],[_Row]])="",TRUE()),FALSE(),N(INDEX(tsk_Variance,GanttView[[#This Row],[_Row]]))&gt;0)</f>
        <v>0</v>
      </c>
      <c r="T86" s="111" t="n">
        <f aca="false">IF(IFERROR(INDEX(tsk_Name,GanttView[[#This Row],[_Row]])="",TRUE()),0,N(INDEX(tsk_Deadline,GanttView[[#This Row],[_Row]])))</f>
        <v>0</v>
      </c>
      <c r="U86" s="110" t="b">
        <f aca="false">IF(IFERROR(INDEX(tsk_Name,GanttView[[#This Row],[_Row]])="",TRUE()),FALSE(),INDEX(tsk_Critical,GanttView[[#This Row],[_Row]])="Yes")</f>
        <v>0</v>
      </c>
    </row>
    <row r="87" customFormat="false" ht="15" hidden="false" customHeight="false" outlineLevel="0" collapsed="false">
      <c r="A87" s="104" t="str">
        <f aca="false">IF(IFERROR(INDEX(tsk_Name,GanttView[[#This Row],[_Row]])="",TRUE()),"",INDEX(tsk_ID,GanttView[[#This Row],[_Row]]))</f>
        <v/>
      </c>
      <c r="B87" s="104" t="str">
        <f aca="false">IF(IFERROR(INDEX(tsk_Name,GanttView[[#This Row],[_Row]])="",TRUE()),"",INDEX(tsk_WBS,GanttView[[#This Row],[_Row]]))</f>
        <v/>
      </c>
      <c r="C87" s="105" t="str">
        <f aca="false">IF(IFERROR(INDEX(tsk_Name,GanttView[[#This Row],[_Row]])="",TRUE()),"",REPT("    ",INDEX(tsk_Level,GanttView[[#This Row],[_Row]])-1)&amp;INDEX(tsk_Name,GanttView[[#This Row],[_Row]]))</f>
        <v/>
      </c>
      <c r="D8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87" s="106" t="str">
        <f aca="false">IF(IFERROR(INDEX(tsk_Name,GanttView[[#This Row],[_Row]])="",TRUE()),"",INDEX(tsk_PlanStart,GanttView[[#This Row],[_Row]]))</f>
        <v/>
      </c>
      <c r="F87" s="106" t="str">
        <f aca="false">IF(IFERROR(INDEX(tsk_Name,GanttView[[#This Row],[_Row]])="",TRUE()),"",INDEX(tsk_PlanFinish,GanttView[[#This Row],[_Row]]))</f>
        <v/>
      </c>
      <c r="G87" s="106" t="str">
        <f aca="false">IF(IFERROR(INDEX(tsk_Name,GanttView[[#This Row],[_Row]])="",TRUE()),"",INDEX(tsk_FcStart,GanttView[[#This Row],[_Row]]))</f>
        <v/>
      </c>
      <c r="H87" s="106" t="str">
        <f aca="false">IF(IFERROR(INDEX(tsk_Name,GanttView[[#This Row],[_Row]])="",TRUE()),"",INDEX(tsk_FcFinish,GanttView[[#This Row],[_Row]]))</f>
        <v/>
      </c>
      <c r="I87" s="107" t="str">
        <f aca="false">IF(IFERROR(INDEX(tsk_Name,GanttView[[#This Row],[_Row]])="",TRUE()),"",INDEX(tsk_Progress,GanttView[[#This Row],[_Row]]))</f>
        <v/>
      </c>
      <c r="J87" s="105" t="str">
        <f aca="false">IF(IFERROR(INDEX(tsk_Name,GanttView[[#This Row],[_Row]])="",TRUE()),"",INDEX(tsk_Resource,GanttView[[#This Row],[_Row]])&amp;"")</f>
        <v/>
      </c>
      <c r="K87" s="108" t="str">
        <f aca="false">IF(IFERROR(INDEX(tsk_Name,GanttView[[#This Row],[_Row]])="",TRUE()),"",INDEX(tsk_Status,GanttView[[#This Row],[_Row]]))</f>
        <v/>
      </c>
      <c r="L87" s="109" t="n">
        <f aca="false">ROW()-ROW(GanttView[[#Headers],[ID]])</f>
        <v>82</v>
      </c>
      <c r="M87" s="110" t="b">
        <f aca="false">IF(IFERROR(INDEX(tsk_Name,GanttView[[#This Row],[_Row]])="",TRUE()),FALSE(),INDEX(tsk_IsSummary,GanttView[[#This Row],[_Row]]))</f>
        <v>0</v>
      </c>
      <c r="N87" s="110" t="b">
        <f aca="false">IF(IFERROR(INDEX(tsk_Name,GanttView[[#This Row],[_Row]])="",TRUE()),FALSE(),AND(INDEX(tsk_IsLeaf,GanttView[[#This Row],[_Row]])=1,N(INDEX(tsk_Duration,GanttView[[#This Row],[_Row]]))=0))</f>
        <v>0</v>
      </c>
      <c r="O8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8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8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87" s="111" t="n">
        <f aca="false">IF(GanttView[[#This Row],[_RemFrom]]=0,0,GanttView[[#This Row],[Forecast Finish]])</f>
        <v>0</v>
      </c>
      <c r="S87" s="110" t="b">
        <f aca="false">IF(IFERROR(INDEX(tsk_Name,GanttView[[#This Row],[_Row]])="",TRUE()),FALSE(),N(INDEX(tsk_Variance,GanttView[[#This Row],[_Row]]))&gt;0)</f>
        <v>0</v>
      </c>
      <c r="T87" s="111" t="n">
        <f aca="false">IF(IFERROR(INDEX(tsk_Name,GanttView[[#This Row],[_Row]])="",TRUE()),0,N(INDEX(tsk_Deadline,GanttView[[#This Row],[_Row]])))</f>
        <v>0</v>
      </c>
      <c r="U87" s="110" t="b">
        <f aca="false">IF(IFERROR(INDEX(tsk_Name,GanttView[[#This Row],[_Row]])="",TRUE()),FALSE(),INDEX(tsk_Critical,GanttView[[#This Row],[_Row]])="Yes")</f>
        <v>0</v>
      </c>
    </row>
    <row r="88" customFormat="false" ht="15" hidden="false" customHeight="false" outlineLevel="0" collapsed="false">
      <c r="A88" s="104" t="str">
        <f aca="false">IF(IFERROR(INDEX(tsk_Name,GanttView[[#This Row],[_Row]])="",TRUE()),"",INDEX(tsk_ID,GanttView[[#This Row],[_Row]]))</f>
        <v/>
      </c>
      <c r="B88" s="104" t="str">
        <f aca="false">IF(IFERROR(INDEX(tsk_Name,GanttView[[#This Row],[_Row]])="",TRUE()),"",INDEX(tsk_WBS,GanttView[[#This Row],[_Row]]))</f>
        <v/>
      </c>
      <c r="C88" s="105" t="str">
        <f aca="false">IF(IFERROR(INDEX(tsk_Name,GanttView[[#This Row],[_Row]])="",TRUE()),"",REPT("    ",INDEX(tsk_Level,GanttView[[#This Row],[_Row]])-1)&amp;INDEX(tsk_Name,GanttView[[#This Row],[_Row]]))</f>
        <v/>
      </c>
      <c r="D8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88" s="106" t="str">
        <f aca="false">IF(IFERROR(INDEX(tsk_Name,GanttView[[#This Row],[_Row]])="",TRUE()),"",INDEX(tsk_PlanStart,GanttView[[#This Row],[_Row]]))</f>
        <v/>
      </c>
      <c r="F88" s="106" t="str">
        <f aca="false">IF(IFERROR(INDEX(tsk_Name,GanttView[[#This Row],[_Row]])="",TRUE()),"",INDEX(tsk_PlanFinish,GanttView[[#This Row],[_Row]]))</f>
        <v/>
      </c>
      <c r="G88" s="106" t="str">
        <f aca="false">IF(IFERROR(INDEX(tsk_Name,GanttView[[#This Row],[_Row]])="",TRUE()),"",INDEX(tsk_FcStart,GanttView[[#This Row],[_Row]]))</f>
        <v/>
      </c>
      <c r="H88" s="106" t="str">
        <f aca="false">IF(IFERROR(INDEX(tsk_Name,GanttView[[#This Row],[_Row]])="",TRUE()),"",INDEX(tsk_FcFinish,GanttView[[#This Row],[_Row]]))</f>
        <v/>
      </c>
      <c r="I88" s="107" t="str">
        <f aca="false">IF(IFERROR(INDEX(tsk_Name,GanttView[[#This Row],[_Row]])="",TRUE()),"",INDEX(tsk_Progress,GanttView[[#This Row],[_Row]]))</f>
        <v/>
      </c>
      <c r="J88" s="105" t="str">
        <f aca="false">IF(IFERROR(INDEX(tsk_Name,GanttView[[#This Row],[_Row]])="",TRUE()),"",INDEX(tsk_Resource,GanttView[[#This Row],[_Row]])&amp;"")</f>
        <v/>
      </c>
      <c r="K88" s="108" t="str">
        <f aca="false">IF(IFERROR(INDEX(tsk_Name,GanttView[[#This Row],[_Row]])="",TRUE()),"",INDEX(tsk_Status,GanttView[[#This Row],[_Row]]))</f>
        <v/>
      </c>
      <c r="L88" s="109" t="n">
        <f aca="false">ROW()-ROW(GanttView[[#Headers],[ID]])</f>
        <v>83</v>
      </c>
      <c r="M88" s="110" t="b">
        <f aca="false">IF(IFERROR(INDEX(tsk_Name,GanttView[[#This Row],[_Row]])="",TRUE()),FALSE(),INDEX(tsk_IsSummary,GanttView[[#This Row],[_Row]]))</f>
        <v>0</v>
      </c>
      <c r="N88" s="110" t="b">
        <f aca="false">IF(IFERROR(INDEX(tsk_Name,GanttView[[#This Row],[_Row]])="",TRUE()),FALSE(),AND(INDEX(tsk_IsLeaf,GanttView[[#This Row],[_Row]])=1,N(INDEX(tsk_Duration,GanttView[[#This Row],[_Row]]))=0))</f>
        <v>0</v>
      </c>
      <c r="O8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8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8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88" s="111" t="n">
        <f aca="false">IF(GanttView[[#This Row],[_RemFrom]]=0,0,GanttView[[#This Row],[Forecast Finish]])</f>
        <v>0</v>
      </c>
      <c r="S88" s="110" t="b">
        <f aca="false">IF(IFERROR(INDEX(tsk_Name,GanttView[[#This Row],[_Row]])="",TRUE()),FALSE(),N(INDEX(tsk_Variance,GanttView[[#This Row],[_Row]]))&gt;0)</f>
        <v>0</v>
      </c>
      <c r="T88" s="111" t="n">
        <f aca="false">IF(IFERROR(INDEX(tsk_Name,GanttView[[#This Row],[_Row]])="",TRUE()),0,N(INDEX(tsk_Deadline,GanttView[[#This Row],[_Row]])))</f>
        <v>0</v>
      </c>
      <c r="U88" s="110" t="b">
        <f aca="false">IF(IFERROR(INDEX(tsk_Name,GanttView[[#This Row],[_Row]])="",TRUE()),FALSE(),INDEX(tsk_Critical,GanttView[[#This Row],[_Row]])="Yes")</f>
        <v>0</v>
      </c>
    </row>
    <row r="89" customFormat="false" ht="15" hidden="false" customHeight="false" outlineLevel="0" collapsed="false">
      <c r="A89" s="104" t="str">
        <f aca="false">IF(IFERROR(INDEX(tsk_Name,GanttView[[#This Row],[_Row]])="",TRUE()),"",INDEX(tsk_ID,GanttView[[#This Row],[_Row]]))</f>
        <v/>
      </c>
      <c r="B89" s="104" t="str">
        <f aca="false">IF(IFERROR(INDEX(tsk_Name,GanttView[[#This Row],[_Row]])="",TRUE()),"",INDEX(tsk_WBS,GanttView[[#This Row],[_Row]]))</f>
        <v/>
      </c>
      <c r="C89" s="105" t="str">
        <f aca="false">IF(IFERROR(INDEX(tsk_Name,GanttView[[#This Row],[_Row]])="",TRUE()),"",REPT("    ",INDEX(tsk_Level,GanttView[[#This Row],[_Row]])-1)&amp;INDEX(tsk_Name,GanttView[[#This Row],[_Row]]))</f>
        <v/>
      </c>
      <c r="D8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89" s="106" t="str">
        <f aca="false">IF(IFERROR(INDEX(tsk_Name,GanttView[[#This Row],[_Row]])="",TRUE()),"",INDEX(tsk_PlanStart,GanttView[[#This Row],[_Row]]))</f>
        <v/>
      </c>
      <c r="F89" s="106" t="str">
        <f aca="false">IF(IFERROR(INDEX(tsk_Name,GanttView[[#This Row],[_Row]])="",TRUE()),"",INDEX(tsk_PlanFinish,GanttView[[#This Row],[_Row]]))</f>
        <v/>
      </c>
      <c r="G89" s="106" t="str">
        <f aca="false">IF(IFERROR(INDEX(tsk_Name,GanttView[[#This Row],[_Row]])="",TRUE()),"",INDEX(tsk_FcStart,GanttView[[#This Row],[_Row]]))</f>
        <v/>
      </c>
      <c r="H89" s="106" t="str">
        <f aca="false">IF(IFERROR(INDEX(tsk_Name,GanttView[[#This Row],[_Row]])="",TRUE()),"",INDEX(tsk_FcFinish,GanttView[[#This Row],[_Row]]))</f>
        <v/>
      </c>
      <c r="I89" s="107" t="str">
        <f aca="false">IF(IFERROR(INDEX(tsk_Name,GanttView[[#This Row],[_Row]])="",TRUE()),"",INDEX(tsk_Progress,GanttView[[#This Row],[_Row]]))</f>
        <v/>
      </c>
      <c r="J89" s="105" t="str">
        <f aca="false">IF(IFERROR(INDEX(tsk_Name,GanttView[[#This Row],[_Row]])="",TRUE()),"",INDEX(tsk_Resource,GanttView[[#This Row],[_Row]])&amp;"")</f>
        <v/>
      </c>
      <c r="K89" s="108" t="str">
        <f aca="false">IF(IFERROR(INDEX(tsk_Name,GanttView[[#This Row],[_Row]])="",TRUE()),"",INDEX(tsk_Status,GanttView[[#This Row],[_Row]]))</f>
        <v/>
      </c>
      <c r="L89" s="109" t="n">
        <f aca="false">ROW()-ROW(GanttView[[#Headers],[ID]])</f>
        <v>84</v>
      </c>
      <c r="M89" s="110" t="b">
        <f aca="false">IF(IFERROR(INDEX(tsk_Name,GanttView[[#This Row],[_Row]])="",TRUE()),FALSE(),INDEX(tsk_IsSummary,GanttView[[#This Row],[_Row]]))</f>
        <v>0</v>
      </c>
      <c r="N89" s="110" t="b">
        <f aca="false">IF(IFERROR(INDEX(tsk_Name,GanttView[[#This Row],[_Row]])="",TRUE()),FALSE(),AND(INDEX(tsk_IsLeaf,GanttView[[#This Row],[_Row]])=1,N(INDEX(tsk_Duration,GanttView[[#This Row],[_Row]]))=0))</f>
        <v>0</v>
      </c>
      <c r="O8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8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8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89" s="111" t="n">
        <f aca="false">IF(GanttView[[#This Row],[_RemFrom]]=0,0,GanttView[[#This Row],[Forecast Finish]])</f>
        <v>0</v>
      </c>
      <c r="S89" s="110" t="b">
        <f aca="false">IF(IFERROR(INDEX(tsk_Name,GanttView[[#This Row],[_Row]])="",TRUE()),FALSE(),N(INDEX(tsk_Variance,GanttView[[#This Row],[_Row]]))&gt;0)</f>
        <v>0</v>
      </c>
      <c r="T89" s="111" t="n">
        <f aca="false">IF(IFERROR(INDEX(tsk_Name,GanttView[[#This Row],[_Row]])="",TRUE()),0,N(INDEX(tsk_Deadline,GanttView[[#This Row],[_Row]])))</f>
        <v>0</v>
      </c>
      <c r="U89" s="110" t="b">
        <f aca="false">IF(IFERROR(INDEX(tsk_Name,GanttView[[#This Row],[_Row]])="",TRUE()),FALSE(),INDEX(tsk_Critical,GanttView[[#This Row],[_Row]])="Yes")</f>
        <v>0</v>
      </c>
    </row>
    <row r="90" customFormat="false" ht="15" hidden="false" customHeight="false" outlineLevel="0" collapsed="false">
      <c r="A90" s="104" t="str">
        <f aca="false">IF(IFERROR(INDEX(tsk_Name,GanttView[[#This Row],[_Row]])="",TRUE()),"",INDEX(tsk_ID,GanttView[[#This Row],[_Row]]))</f>
        <v/>
      </c>
      <c r="B90" s="104" t="str">
        <f aca="false">IF(IFERROR(INDEX(tsk_Name,GanttView[[#This Row],[_Row]])="",TRUE()),"",INDEX(tsk_WBS,GanttView[[#This Row],[_Row]]))</f>
        <v/>
      </c>
      <c r="C90" s="105" t="str">
        <f aca="false">IF(IFERROR(INDEX(tsk_Name,GanttView[[#This Row],[_Row]])="",TRUE()),"",REPT("    ",INDEX(tsk_Level,GanttView[[#This Row],[_Row]])-1)&amp;INDEX(tsk_Name,GanttView[[#This Row],[_Row]]))</f>
        <v/>
      </c>
      <c r="D9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90" s="106" t="str">
        <f aca="false">IF(IFERROR(INDEX(tsk_Name,GanttView[[#This Row],[_Row]])="",TRUE()),"",INDEX(tsk_PlanStart,GanttView[[#This Row],[_Row]]))</f>
        <v/>
      </c>
      <c r="F90" s="106" t="str">
        <f aca="false">IF(IFERROR(INDEX(tsk_Name,GanttView[[#This Row],[_Row]])="",TRUE()),"",INDEX(tsk_PlanFinish,GanttView[[#This Row],[_Row]]))</f>
        <v/>
      </c>
      <c r="G90" s="106" t="str">
        <f aca="false">IF(IFERROR(INDEX(tsk_Name,GanttView[[#This Row],[_Row]])="",TRUE()),"",INDEX(tsk_FcStart,GanttView[[#This Row],[_Row]]))</f>
        <v/>
      </c>
      <c r="H90" s="106" t="str">
        <f aca="false">IF(IFERROR(INDEX(tsk_Name,GanttView[[#This Row],[_Row]])="",TRUE()),"",INDEX(tsk_FcFinish,GanttView[[#This Row],[_Row]]))</f>
        <v/>
      </c>
      <c r="I90" s="107" t="str">
        <f aca="false">IF(IFERROR(INDEX(tsk_Name,GanttView[[#This Row],[_Row]])="",TRUE()),"",INDEX(tsk_Progress,GanttView[[#This Row],[_Row]]))</f>
        <v/>
      </c>
      <c r="J90" s="105" t="str">
        <f aca="false">IF(IFERROR(INDEX(tsk_Name,GanttView[[#This Row],[_Row]])="",TRUE()),"",INDEX(tsk_Resource,GanttView[[#This Row],[_Row]])&amp;"")</f>
        <v/>
      </c>
      <c r="K90" s="108" t="str">
        <f aca="false">IF(IFERROR(INDEX(tsk_Name,GanttView[[#This Row],[_Row]])="",TRUE()),"",INDEX(tsk_Status,GanttView[[#This Row],[_Row]]))</f>
        <v/>
      </c>
      <c r="L90" s="109" t="n">
        <f aca="false">ROW()-ROW(GanttView[[#Headers],[ID]])</f>
        <v>85</v>
      </c>
      <c r="M90" s="110" t="b">
        <f aca="false">IF(IFERROR(INDEX(tsk_Name,GanttView[[#This Row],[_Row]])="",TRUE()),FALSE(),INDEX(tsk_IsSummary,GanttView[[#This Row],[_Row]]))</f>
        <v>0</v>
      </c>
      <c r="N90" s="110" t="b">
        <f aca="false">IF(IFERROR(INDEX(tsk_Name,GanttView[[#This Row],[_Row]])="",TRUE()),FALSE(),AND(INDEX(tsk_IsLeaf,GanttView[[#This Row],[_Row]])=1,N(INDEX(tsk_Duration,GanttView[[#This Row],[_Row]]))=0))</f>
        <v>0</v>
      </c>
      <c r="O9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9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9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90" s="111" t="n">
        <f aca="false">IF(GanttView[[#This Row],[_RemFrom]]=0,0,GanttView[[#This Row],[Forecast Finish]])</f>
        <v>0</v>
      </c>
      <c r="S90" s="110" t="b">
        <f aca="false">IF(IFERROR(INDEX(tsk_Name,GanttView[[#This Row],[_Row]])="",TRUE()),FALSE(),N(INDEX(tsk_Variance,GanttView[[#This Row],[_Row]]))&gt;0)</f>
        <v>0</v>
      </c>
      <c r="T90" s="111" t="n">
        <f aca="false">IF(IFERROR(INDEX(tsk_Name,GanttView[[#This Row],[_Row]])="",TRUE()),0,N(INDEX(tsk_Deadline,GanttView[[#This Row],[_Row]])))</f>
        <v>0</v>
      </c>
      <c r="U90" s="110" t="b">
        <f aca="false">IF(IFERROR(INDEX(tsk_Name,GanttView[[#This Row],[_Row]])="",TRUE()),FALSE(),INDEX(tsk_Critical,GanttView[[#This Row],[_Row]])="Yes")</f>
        <v>0</v>
      </c>
    </row>
    <row r="91" customFormat="false" ht="15" hidden="false" customHeight="false" outlineLevel="0" collapsed="false">
      <c r="A91" s="104" t="str">
        <f aca="false">IF(IFERROR(INDEX(tsk_Name,GanttView[[#This Row],[_Row]])="",TRUE()),"",INDEX(tsk_ID,GanttView[[#This Row],[_Row]]))</f>
        <v/>
      </c>
      <c r="B91" s="104" t="str">
        <f aca="false">IF(IFERROR(INDEX(tsk_Name,GanttView[[#This Row],[_Row]])="",TRUE()),"",INDEX(tsk_WBS,GanttView[[#This Row],[_Row]]))</f>
        <v/>
      </c>
      <c r="C91" s="105" t="str">
        <f aca="false">IF(IFERROR(INDEX(tsk_Name,GanttView[[#This Row],[_Row]])="",TRUE()),"",REPT("    ",INDEX(tsk_Level,GanttView[[#This Row],[_Row]])-1)&amp;INDEX(tsk_Name,GanttView[[#This Row],[_Row]]))</f>
        <v/>
      </c>
      <c r="D9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91" s="106" t="str">
        <f aca="false">IF(IFERROR(INDEX(tsk_Name,GanttView[[#This Row],[_Row]])="",TRUE()),"",INDEX(tsk_PlanStart,GanttView[[#This Row],[_Row]]))</f>
        <v/>
      </c>
      <c r="F91" s="106" t="str">
        <f aca="false">IF(IFERROR(INDEX(tsk_Name,GanttView[[#This Row],[_Row]])="",TRUE()),"",INDEX(tsk_PlanFinish,GanttView[[#This Row],[_Row]]))</f>
        <v/>
      </c>
      <c r="G91" s="106" t="str">
        <f aca="false">IF(IFERROR(INDEX(tsk_Name,GanttView[[#This Row],[_Row]])="",TRUE()),"",INDEX(tsk_FcStart,GanttView[[#This Row],[_Row]]))</f>
        <v/>
      </c>
      <c r="H91" s="106" t="str">
        <f aca="false">IF(IFERROR(INDEX(tsk_Name,GanttView[[#This Row],[_Row]])="",TRUE()),"",INDEX(tsk_FcFinish,GanttView[[#This Row],[_Row]]))</f>
        <v/>
      </c>
      <c r="I91" s="107" t="str">
        <f aca="false">IF(IFERROR(INDEX(tsk_Name,GanttView[[#This Row],[_Row]])="",TRUE()),"",INDEX(tsk_Progress,GanttView[[#This Row],[_Row]]))</f>
        <v/>
      </c>
      <c r="J91" s="105" t="str">
        <f aca="false">IF(IFERROR(INDEX(tsk_Name,GanttView[[#This Row],[_Row]])="",TRUE()),"",INDEX(tsk_Resource,GanttView[[#This Row],[_Row]])&amp;"")</f>
        <v/>
      </c>
      <c r="K91" s="108" t="str">
        <f aca="false">IF(IFERROR(INDEX(tsk_Name,GanttView[[#This Row],[_Row]])="",TRUE()),"",INDEX(tsk_Status,GanttView[[#This Row],[_Row]]))</f>
        <v/>
      </c>
      <c r="L91" s="109" t="n">
        <f aca="false">ROW()-ROW(GanttView[[#Headers],[ID]])</f>
        <v>86</v>
      </c>
      <c r="M91" s="110" t="b">
        <f aca="false">IF(IFERROR(INDEX(tsk_Name,GanttView[[#This Row],[_Row]])="",TRUE()),FALSE(),INDEX(tsk_IsSummary,GanttView[[#This Row],[_Row]]))</f>
        <v>0</v>
      </c>
      <c r="N91" s="110" t="b">
        <f aca="false">IF(IFERROR(INDEX(tsk_Name,GanttView[[#This Row],[_Row]])="",TRUE()),FALSE(),AND(INDEX(tsk_IsLeaf,GanttView[[#This Row],[_Row]])=1,N(INDEX(tsk_Duration,GanttView[[#This Row],[_Row]]))=0))</f>
        <v>0</v>
      </c>
      <c r="O9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9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9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91" s="111" t="n">
        <f aca="false">IF(GanttView[[#This Row],[_RemFrom]]=0,0,GanttView[[#This Row],[Forecast Finish]])</f>
        <v>0</v>
      </c>
      <c r="S91" s="110" t="b">
        <f aca="false">IF(IFERROR(INDEX(tsk_Name,GanttView[[#This Row],[_Row]])="",TRUE()),FALSE(),N(INDEX(tsk_Variance,GanttView[[#This Row],[_Row]]))&gt;0)</f>
        <v>0</v>
      </c>
      <c r="T91" s="111" t="n">
        <f aca="false">IF(IFERROR(INDEX(tsk_Name,GanttView[[#This Row],[_Row]])="",TRUE()),0,N(INDEX(tsk_Deadline,GanttView[[#This Row],[_Row]])))</f>
        <v>0</v>
      </c>
      <c r="U91" s="110" t="b">
        <f aca="false">IF(IFERROR(INDEX(tsk_Name,GanttView[[#This Row],[_Row]])="",TRUE()),FALSE(),INDEX(tsk_Critical,GanttView[[#This Row],[_Row]])="Yes")</f>
        <v>0</v>
      </c>
    </row>
    <row r="92" customFormat="false" ht="15" hidden="false" customHeight="false" outlineLevel="0" collapsed="false">
      <c r="A92" s="104" t="str">
        <f aca="false">IF(IFERROR(INDEX(tsk_Name,GanttView[[#This Row],[_Row]])="",TRUE()),"",INDEX(tsk_ID,GanttView[[#This Row],[_Row]]))</f>
        <v/>
      </c>
      <c r="B92" s="104" t="str">
        <f aca="false">IF(IFERROR(INDEX(tsk_Name,GanttView[[#This Row],[_Row]])="",TRUE()),"",INDEX(tsk_WBS,GanttView[[#This Row],[_Row]]))</f>
        <v/>
      </c>
      <c r="C92" s="105" t="str">
        <f aca="false">IF(IFERROR(INDEX(tsk_Name,GanttView[[#This Row],[_Row]])="",TRUE()),"",REPT("    ",INDEX(tsk_Level,GanttView[[#This Row],[_Row]])-1)&amp;INDEX(tsk_Name,GanttView[[#This Row],[_Row]]))</f>
        <v/>
      </c>
      <c r="D9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92" s="106" t="str">
        <f aca="false">IF(IFERROR(INDEX(tsk_Name,GanttView[[#This Row],[_Row]])="",TRUE()),"",INDEX(tsk_PlanStart,GanttView[[#This Row],[_Row]]))</f>
        <v/>
      </c>
      <c r="F92" s="106" t="str">
        <f aca="false">IF(IFERROR(INDEX(tsk_Name,GanttView[[#This Row],[_Row]])="",TRUE()),"",INDEX(tsk_PlanFinish,GanttView[[#This Row],[_Row]]))</f>
        <v/>
      </c>
      <c r="G92" s="106" t="str">
        <f aca="false">IF(IFERROR(INDEX(tsk_Name,GanttView[[#This Row],[_Row]])="",TRUE()),"",INDEX(tsk_FcStart,GanttView[[#This Row],[_Row]]))</f>
        <v/>
      </c>
      <c r="H92" s="106" t="str">
        <f aca="false">IF(IFERROR(INDEX(tsk_Name,GanttView[[#This Row],[_Row]])="",TRUE()),"",INDEX(tsk_FcFinish,GanttView[[#This Row],[_Row]]))</f>
        <v/>
      </c>
      <c r="I92" s="107" t="str">
        <f aca="false">IF(IFERROR(INDEX(tsk_Name,GanttView[[#This Row],[_Row]])="",TRUE()),"",INDEX(tsk_Progress,GanttView[[#This Row],[_Row]]))</f>
        <v/>
      </c>
      <c r="J92" s="105" t="str">
        <f aca="false">IF(IFERROR(INDEX(tsk_Name,GanttView[[#This Row],[_Row]])="",TRUE()),"",INDEX(tsk_Resource,GanttView[[#This Row],[_Row]])&amp;"")</f>
        <v/>
      </c>
      <c r="K92" s="108" t="str">
        <f aca="false">IF(IFERROR(INDEX(tsk_Name,GanttView[[#This Row],[_Row]])="",TRUE()),"",INDEX(tsk_Status,GanttView[[#This Row],[_Row]]))</f>
        <v/>
      </c>
      <c r="L92" s="109" t="n">
        <f aca="false">ROW()-ROW(GanttView[[#Headers],[ID]])</f>
        <v>87</v>
      </c>
      <c r="M92" s="110" t="b">
        <f aca="false">IF(IFERROR(INDEX(tsk_Name,GanttView[[#This Row],[_Row]])="",TRUE()),FALSE(),INDEX(tsk_IsSummary,GanttView[[#This Row],[_Row]]))</f>
        <v>0</v>
      </c>
      <c r="N92" s="110" t="b">
        <f aca="false">IF(IFERROR(INDEX(tsk_Name,GanttView[[#This Row],[_Row]])="",TRUE()),FALSE(),AND(INDEX(tsk_IsLeaf,GanttView[[#This Row],[_Row]])=1,N(INDEX(tsk_Duration,GanttView[[#This Row],[_Row]]))=0))</f>
        <v>0</v>
      </c>
      <c r="O9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9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9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92" s="111" t="n">
        <f aca="false">IF(GanttView[[#This Row],[_RemFrom]]=0,0,GanttView[[#This Row],[Forecast Finish]])</f>
        <v>0</v>
      </c>
      <c r="S92" s="110" t="b">
        <f aca="false">IF(IFERROR(INDEX(tsk_Name,GanttView[[#This Row],[_Row]])="",TRUE()),FALSE(),N(INDEX(tsk_Variance,GanttView[[#This Row],[_Row]]))&gt;0)</f>
        <v>0</v>
      </c>
      <c r="T92" s="111" t="n">
        <f aca="false">IF(IFERROR(INDEX(tsk_Name,GanttView[[#This Row],[_Row]])="",TRUE()),0,N(INDEX(tsk_Deadline,GanttView[[#This Row],[_Row]])))</f>
        <v>0</v>
      </c>
      <c r="U92" s="110" t="b">
        <f aca="false">IF(IFERROR(INDEX(tsk_Name,GanttView[[#This Row],[_Row]])="",TRUE()),FALSE(),INDEX(tsk_Critical,GanttView[[#This Row],[_Row]])="Yes")</f>
        <v>0</v>
      </c>
    </row>
    <row r="93" customFormat="false" ht="15" hidden="false" customHeight="false" outlineLevel="0" collapsed="false">
      <c r="A93" s="104" t="str">
        <f aca="false">IF(IFERROR(INDEX(tsk_Name,GanttView[[#This Row],[_Row]])="",TRUE()),"",INDEX(tsk_ID,GanttView[[#This Row],[_Row]]))</f>
        <v/>
      </c>
      <c r="B93" s="104" t="str">
        <f aca="false">IF(IFERROR(INDEX(tsk_Name,GanttView[[#This Row],[_Row]])="",TRUE()),"",INDEX(tsk_WBS,GanttView[[#This Row],[_Row]]))</f>
        <v/>
      </c>
      <c r="C93" s="105" t="str">
        <f aca="false">IF(IFERROR(INDEX(tsk_Name,GanttView[[#This Row],[_Row]])="",TRUE()),"",REPT("    ",INDEX(tsk_Level,GanttView[[#This Row],[_Row]])-1)&amp;INDEX(tsk_Name,GanttView[[#This Row],[_Row]]))</f>
        <v/>
      </c>
      <c r="D9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93" s="106" t="str">
        <f aca="false">IF(IFERROR(INDEX(tsk_Name,GanttView[[#This Row],[_Row]])="",TRUE()),"",INDEX(tsk_PlanStart,GanttView[[#This Row],[_Row]]))</f>
        <v/>
      </c>
      <c r="F93" s="106" t="str">
        <f aca="false">IF(IFERROR(INDEX(tsk_Name,GanttView[[#This Row],[_Row]])="",TRUE()),"",INDEX(tsk_PlanFinish,GanttView[[#This Row],[_Row]]))</f>
        <v/>
      </c>
      <c r="G93" s="106" t="str">
        <f aca="false">IF(IFERROR(INDEX(tsk_Name,GanttView[[#This Row],[_Row]])="",TRUE()),"",INDEX(tsk_FcStart,GanttView[[#This Row],[_Row]]))</f>
        <v/>
      </c>
      <c r="H93" s="106" t="str">
        <f aca="false">IF(IFERROR(INDEX(tsk_Name,GanttView[[#This Row],[_Row]])="",TRUE()),"",INDEX(tsk_FcFinish,GanttView[[#This Row],[_Row]]))</f>
        <v/>
      </c>
      <c r="I93" s="107" t="str">
        <f aca="false">IF(IFERROR(INDEX(tsk_Name,GanttView[[#This Row],[_Row]])="",TRUE()),"",INDEX(tsk_Progress,GanttView[[#This Row],[_Row]]))</f>
        <v/>
      </c>
      <c r="J93" s="105" t="str">
        <f aca="false">IF(IFERROR(INDEX(tsk_Name,GanttView[[#This Row],[_Row]])="",TRUE()),"",INDEX(tsk_Resource,GanttView[[#This Row],[_Row]])&amp;"")</f>
        <v/>
      </c>
      <c r="K93" s="108" t="str">
        <f aca="false">IF(IFERROR(INDEX(tsk_Name,GanttView[[#This Row],[_Row]])="",TRUE()),"",INDEX(tsk_Status,GanttView[[#This Row],[_Row]]))</f>
        <v/>
      </c>
      <c r="L93" s="109" t="n">
        <f aca="false">ROW()-ROW(GanttView[[#Headers],[ID]])</f>
        <v>88</v>
      </c>
      <c r="M93" s="110" t="b">
        <f aca="false">IF(IFERROR(INDEX(tsk_Name,GanttView[[#This Row],[_Row]])="",TRUE()),FALSE(),INDEX(tsk_IsSummary,GanttView[[#This Row],[_Row]]))</f>
        <v>0</v>
      </c>
      <c r="N93" s="110" t="b">
        <f aca="false">IF(IFERROR(INDEX(tsk_Name,GanttView[[#This Row],[_Row]])="",TRUE()),FALSE(),AND(INDEX(tsk_IsLeaf,GanttView[[#This Row],[_Row]])=1,N(INDEX(tsk_Duration,GanttView[[#This Row],[_Row]]))=0))</f>
        <v>0</v>
      </c>
      <c r="O9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9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9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93" s="111" t="n">
        <f aca="false">IF(GanttView[[#This Row],[_RemFrom]]=0,0,GanttView[[#This Row],[Forecast Finish]])</f>
        <v>0</v>
      </c>
      <c r="S93" s="110" t="b">
        <f aca="false">IF(IFERROR(INDEX(tsk_Name,GanttView[[#This Row],[_Row]])="",TRUE()),FALSE(),N(INDEX(tsk_Variance,GanttView[[#This Row],[_Row]]))&gt;0)</f>
        <v>0</v>
      </c>
      <c r="T93" s="111" t="n">
        <f aca="false">IF(IFERROR(INDEX(tsk_Name,GanttView[[#This Row],[_Row]])="",TRUE()),0,N(INDEX(tsk_Deadline,GanttView[[#This Row],[_Row]])))</f>
        <v>0</v>
      </c>
      <c r="U93" s="110" t="b">
        <f aca="false">IF(IFERROR(INDEX(tsk_Name,GanttView[[#This Row],[_Row]])="",TRUE()),FALSE(),INDEX(tsk_Critical,GanttView[[#This Row],[_Row]])="Yes")</f>
        <v>0</v>
      </c>
    </row>
    <row r="94" customFormat="false" ht="15" hidden="false" customHeight="false" outlineLevel="0" collapsed="false">
      <c r="A94" s="104" t="str">
        <f aca="false">IF(IFERROR(INDEX(tsk_Name,GanttView[[#This Row],[_Row]])="",TRUE()),"",INDEX(tsk_ID,GanttView[[#This Row],[_Row]]))</f>
        <v/>
      </c>
      <c r="B94" s="104" t="str">
        <f aca="false">IF(IFERROR(INDEX(tsk_Name,GanttView[[#This Row],[_Row]])="",TRUE()),"",INDEX(tsk_WBS,GanttView[[#This Row],[_Row]]))</f>
        <v/>
      </c>
      <c r="C94" s="105" t="str">
        <f aca="false">IF(IFERROR(INDEX(tsk_Name,GanttView[[#This Row],[_Row]])="",TRUE()),"",REPT("    ",INDEX(tsk_Level,GanttView[[#This Row],[_Row]])-1)&amp;INDEX(tsk_Name,GanttView[[#This Row],[_Row]]))</f>
        <v/>
      </c>
      <c r="D9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94" s="106" t="str">
        <f aca="false">IF(IFERROR(INDEX(tsk_Name,GanttView[[#This Row],[_Row]])="",TRUE()),"",INDEX(tsk_PlanStart,GanttView[[#This Row],[_Row]]))</f>
        <v/>
      </c>
      <c r="F94" s="106" t="str">
        <f aca="false">IF(IFERROR(INDEX(tsk_Name,GanttView[[#This Row],[_Row]])="",TRUE()),"",INDEX(tsk_PlanFinish,GanttView[[#This Row],[_Row]]))</f>
        <v/>
      </c>
      <c r="G94" s="106" t="str">
        <f aca="false">IF(IFERROR(INDEX(tsk_Name,GanttView[[#This Row],[_Row]])="",TRUE()),"",INDEX(tsk_FcStart,GanttView[[#This Row],[_Row]]))</f>
        <v/>
      </c>
      <c r="H94" s="106" t="str">
        <f aca="false">IF(IFERROR(INDEX(tsk_Name,GanttView[[#This Row],[_Row]])="",TRUE()),"",INDEX(tsk_FcFinish,GanttView[[#This Row],[_Row]]))</f>
        <v/>
      </c>
      <c r="I94" s="107" t="str">
        <f aca="false">IF(IFERROR(INDEX(tsk_Name,GanttView[[#This Row],[_Row]])="",TRUE()),"",INDEX(tsk_Progress,GanttView[[#This Row],[_Row]]))</f>
        <v/>
      </c>
      <c r="J94" s="105" t="str">
        <f aca="false">IF(IFERROR(INDEX(tsk_Name,GanttView[[#This Row],[_Row]])="",TRUE()),"",INDEX(tsk_Resource,GanttView[[#This Row],[_Row]])&amp;"")</f>
        <v/>
      </c>
      <c r="K94" s="108" t="str">
        <f aca="false">IF(IFERROR(INDEX(tsk_Name,GanttView[[#This Row],[_Row]])="",TRUE()),"",INDEX(tsk_Status,GanttView[[#This Row],[_Row]]))</f>
        <v/>
      </c>
      <c r="L94" s="109" t="n">
        <f aca="false">ROW()-ROW(GanttView[[#Headers],[ID]])</f>
        <v>89</v>
      </c>
      <c r="M94" s="110" t="b">
        <f aca="false">IF(IFERROR(INDEX(tsk_Name,GanttView[[#This Row],[_Row]])="",TRUE()),FALSE(),INDEX(tsk_IsSummary,GanttView[[#This Row],[_Row]]))</f>
        <v>0</v>
      </c>
      <c r="N94" s="110" t="b">
        <f aca="false">IF(IFERROR(INDEX(tsk_Name,GanttView[[#This Row],[_Row]])="",TRUE()),FALSE(),AND(INDEX(tsk_IsLeaf,GanttView[[#This Row],[_Row]])=1,N(INDEX(tsk_Duration,GanttView[[#This Row],[_Row]]))=0))</f>
        <v>0</v>
      </c>
      <c r="O9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9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9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94" s="111" t="n">
        <f aca="false">IF(GanttView[[#This Row],[_RemFrom]]=0,0,GanttView[[#This Row],[Forecast Finish]])</f>
        <v>0</v>
      </c>
      <c r="S94" s="110" t="b">
        <f aca="false">IF(IFERROR(INDEX(tsk_Name,GanttView[[#This Row],[_Row]])="",TRUE()),FALSE(),N(INDEX(tsk_Variance,GanttView[[#This Row],[_Row]]))&gt;0)</f>
        <v>0</v>
      </c>
      <c r="T94" s="111" t="n">
        <f aca="false">IF(IFERROR(INDEX(tsk_Name,GanttView[[#This Row],[_Row]])="",TRUE()),0,N(INDEX(tsk_Deadline,GanttView[[#This Row],[_Row]])))</f>
        <v>0</v>
      </c>
      <c r="U94" s="110" t="b">
        <f aca="false">IF(IFERROR(INDEX(tsk_Name,GanttView[[#This Row],[_Row]])="",TRUE()),FALSE(),INDEX(tsk_Critical,GanttView[[#This Row],[_Row]])="Yes")</f>
        <v>0</v>
      </c>
    </row>
    <row r="95" customFormat="false" ht="15" hidden="false" customHeight="false" outlineLevel="0" collapsed="false">
      <c r="A95" s="104" t="str">
        <f aca="false">IF(IFERROR(INDEX(tsk_Name,GanttView[[#This Row],[_Row]])="",TRUE()),"",INDEX(tsk_ID,GanttView[[#This Row],[_Row]]))</f>
        <v/>
      </c>
      <c r="B95" s="104" t="str">
        <f aca="false">IF(IFERROR(INDEX(tsk_Name,GanttView[[#This Row],[_Row]])="",TRUE()),"",INDEX(tsk_WBS,GanttView[[#This Row],[_Row]]))</f>
        <v/>
      </c>
      <c r="C95" s="105" t="str">
        <f aca="false">IF(IFERROR(INDEX(tsk_Name,GanttView[[#This Row],[_Row]])="",TRUE()),"",REPT("    ",INDEX(tsk_Level,GanttView[[#This Row],[_Row]])-1)&amp;INDEX(tsk_Name,GanttView[[#This Row],[_Row]]))</f>
        <v/>
      </c>
      <c r="D9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95" s="106" t="str">
        <f aca="false">IF(IFERROR(INDEX(tsk_Name,GanttView[[#This Row],[_Row]])="",TRUE()),"",INDEX(tsk_PlanStart,GanttView[[#This Row],[_Row]]))</f>
        <v/>
      </c>
      <c r="F95" s="106" t="str">
        <f aca="false">IF(IFERROR(INDEX(tsk_Name,GanttView[[#This Row],[_Row]])="",TRUE()),"",INDEX(tsk_PlanFinish,GanttView[[#This Row],[_Row]]))</f>
        <v/>
      </c>
      <c r="G95" s="106" t="str">
        <f aca="false">IF(IFERROR(INDEX(tsk_Name,GanttView[[#This Row],[_Row]])="",TRUE()),"",INDEX(tsk_FcStart,GanttView[[#This Row],[_Row]]))</f>
        <v/>
      </c>
      <c r="H95" s="106" t="str">
        <f aca="false">IF(IFERROR(INDEX(tsk_Name,GanttView[[#This Row],[_Row]])="",TRUE()),"",INDEX(tsk_FcFinish,GanttView[[#This Row],[_Row]]))</f>
        <v/>
      </c>
      <c r="I95" s="107" t="str">
        <f aca="false">IF(IFERROR(INDEX(tsk_Name,GanttView[[#This Row],[_Row]])="",TRUE()),"",INDEX(tsk_Progress,GanttView[[#This Row],[_Row]]))</f>
        <v/>
      </c>
      <c r="J95" s="105" t="str">
        <f aca="false">IF(IFERROR(INDEX(tsk_Name,GanttView[[#This Row],[_Row]])="",TRUE()),"",INDEX(tsk_Resource,GanttView[[#This Row],[_Row]])&amp;"")</f>
        <v/>
      </c>
      <c r="K95" s="108" t="str">
        <f aca="false">IF(IFERROR(INDEX(tsk_Name,GanttView[[#This Row],[_Row]])="",TRUE()),"",INDEX(tsk_Status,GanttView[[#This Row],[_Row]]))</f>
        <v/>
      </c>
      <c r="L95" s="109" t="n">
        <f aca="false">ROW()-ROW(GanttView[[#Headers],[ID]])</f>
        <v>90</v>
      </c>
      <c r="M95" s="110" t="b">
        <f aca="false">IF(IFERROR(INDEX(tsk_Name,GanttView[[#This Row],[_Row]])="",TRUE()),FALSE(),INDEX(tsk_IsSummary,GanttView[[#This Row],[_Row]]))</f>
        <v>0</v>
      </c>
      <c r="N95" s="110" t="b">
        <f aca="false">IF(IFERROR(INDEX(tsk_Name,GanttView[[#This Row],[_Row]])="",TRUE()),FALSE(),AND(INDEX(tsk_IsLeaf,GanttView[[#This Row],[_Row]])=1,N(INDEX(tsk_Duration,GanttView[[#This Row],[_Row]]))=0))</f>
        <v>0</v>
      </c>
      <c r="O9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9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9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95" s="111" t="n">
        <f aca="false">IF(GanttView[[#This Row],[_RemFrom]]=0,0,GanttView[[#This Row],[Forecast Finish]])</f>
        <v>0</v>
      </c>
      <c r="S95" s="110" t="b">
        <f aca="false">IF(IFERROR(INDEX(tsk_Name,GanttView[[#This Row],[_Row]])="",TRUE()),FALSE(),N(INDEX(tsk_Variance,GanttView[[#This Row],[_Row]]))&gt;0)</f>
        <v>0</v>
      </c>
      <c r="T95" s="111" t="n">
        <f aca="false">IF(IFERROR(INDEX(tsk_Name,GanttView[[#This Row],[_Row]])="",TRUE()),0,N(INDEX(tsk_Deadline,GanttView[[#This Row],[_Row]])))</f>
        <v>0</v>
      </c>
      <c r="U95" s="110" t="b">
        <f aca="false">IF(IFERROR(INDEX(tsk_Name,GanttView[[#This Row],[_Row]])="",TRUE()),FALSE(),INDEX(tsk_Critical,GanttView[[#This Row],[_Row]])="Yes")</f>
        <v>0</v>
      </c>
    </row>
    <row r="96" customFormat="false" ht="15" hidden="false" customHeight="false" outlineLevel="0" collapsed="false">
      <c r="A96" s="104" t="str">
        <f aca="false">IF(IFERROR(INDEX(tsk_Name,GanttView[[#This Row],[_Row]])="",TRUE()),"",INDEX(tsk_ID,GanttView[[#This Row],[_Row]]))</f>
        <v/>
      </c>
      <c r="B96" s="104" t="str">
        <f aca="false">IF(IFERROR(INDEX(tsk_Name,GanttView[[#This Row],[_Row]])="",TRUE()),"",INDEX(tsk_WBS,GanttView[[#This Row],[_Row]]))</f>
        <v/>
      </c>
      <c r="C96" s="105" t="str">
        <f aca="false">IF(IFERROR(INDEX(tsk_Name,GanttView[[#This Row],[_Row]])="",TRUE()),"",REPT("    ",INDEX(tsk_Level,GanttView[[#This Row],[_Row]])-1)&amp;INDEX(tsk_Name,GanttView[[#This Row],[_Row]]))</f>
        <v/>
      </c>
      <c r="D9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96" s="106" t="str">
        <f aca="false">IF(IFERROR(INDEX(tsk_Name,GanttView[[#This Row],[_Row]])="",TRUE()),"",INDEX(tsk_PlanStart,GanttView[[#This Row],[_Row]]))</f>
        <v/>
      </c>
      <c r="F96" s="106" t="str">
        <f aca="false">IF(IFERROR(INDEX(tsk_Name,GanttView[[#This Row],[_Row]])="",TRUE()),"",INDEX(tsk_PlanFinish,GanttView[[#This Row],[_Row]]))</f>
        <v/>
      </c>
      <c r="G96" s="106" t="str">
        <f aca="false">IF(IFERROR(INDEX(tsk_Name,GanttView[[#This Row],[_Row]])="",TRUE()),"",INDEX(tsk_FcStart,GanttView[[#This Row],[_Row]]))</f>
        <v/>
      </c>
      <c r="H96" s="106" t="str">
        <f aca="false">IF(IFERROR(INDEX(tsk_Name,GanttView[[#This Row],[_Row]])="",TRUE()),"",INDEX(tsk_FcFinish,GanttView[[#This Row],[_Row]]))</f>
        <v/>
      </c>
      <c r="I96" s="107" t="str">
        <f aca="false">IF(IFERROR(INDEX(tsk_Name,GanttView[[#This Row],[_Row]])="",TRUE()),"",INDEX(tsk_Progress,GanttView[[#This Row],[_Row]]))</f>
        <v/>
      </c>
      <c r="J96" s="105" t="str">
        <f aca="false">IF(IFERROR(INDEX(tsk_Name,GanttView[[#This Row],[_Row]])="",TRUE()),"",INDEX(tsk_Resource,GanttView[[#This Row],[_Row]])&amp;"")</f>
        <v/>
      </c>
      <c r="K96" s="108" t="str">
        <f aca="false">IF(IFERROR(INDEX(tsk_Name,GanttView[[#This Row],[_Row]])="",TRUE()),"",INDEX(tsk_Status,GanttView[[#This Row],[_Row]]))</f>
        <v/>
      </c>
      <c r="L96" s="109" t="n">
        <f aca="false">ROW()-ROW(GanttView[[#Headers],[ID]])</f>
        <v>91</v>
      </c>
      <c r="M96" s="110" t="b">
        <f aca="false">IF(IFERROR(INDEX(tsk_Name,GanttView[[#This Row],[_Row]])="",TRUE()),FALSE(),INDEX(tsk_IsSummary,GanttView[[#This Row],[_Row]]))</f>
        <v>0</v>
      </c>
      <c r="N96" s="110" t="b">
        <f aca="false">IF(IFERROR(INDEX(tsk_Name,GanttView[[#This Row],[_Row]])="",TRUE()),FALSE(),AND(INDEX(tsk_IsLeaf,GanttView[[#This Row],[_Row]])=1,N(INDEX(tsk_Duration,GanttView[[#This Row],[_Row]]))=0))</f>
        <v>0</v>
      </c>
      <c r="O9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9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9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96" s="111" t="n">
        <f aca="false">IF(GanttView[[#This Row],[_RemFrom]]=0,0,GanttView[[#This Row],[Forecast Finish]])</f>
        <v>0</v>
      </c>
      <c r="S96" s="110" t="b">
        <f aca="false">IF(IFERROR(INDEX(tsk_Name,GanttView[[#This Row],[_Row]])="",TRUE()),FALSE(),N(INDEX(tsk_Variance,GanttView[[#This Row],[_Row]]))&gt;0)</f>
        <v>0</v>
      </c>
      <c r="T96" s="111" t="n">
        <f aca="false">IF(IFERROR(INDEX(tsk_Name,GanttView[[#This Row],[_Row]])="",TRUE()),0,N(INDEX(tsk_Deadline,GanttView[[#This Row],[_Row]])))</f>
        <v>0</v>
      </c>
      <c r="U96" s="110" t="b">
        <f aca="false">IF(IFERROR(INDEX(tsk_Name,GanttView[[#This Row],[_Row]])="",TRUE()),FALSE(),INDEX(tsk_Critical,GanttView[[#This Row],[_Row]])="Yes")</f>
        <v>0</v>
      </c>
    </row>
    <row r="97" customFormat="false" ht="15" hidden="false" customHeight="false" outlineLevel="0" collapsed="false">
      <c r="A97" s="104" t="str">
        <f aca="false">IF(IFERROR(INDEX(tsk_Name,GanttView[[#This Row],[_Row]])="",TRUE()),"",INDEX(tsk_ID,GanttView[[#This Row],[_Row]]))</f>
        <v/>
      </c>
      <c r="B97" s="104" t="str">
        <f aca="false">IF(IFERROR(INDEX(tsk_Name,GanttView[[#This Row],[_Row]])="",TRUE()),"",INDEX(tsk_WBS,GanttView[[#This Row],[_Row]]))</f>
        <v/>
      </c>
      <c r="C97" s="105" t="str">
        <f aca="false">IF(IFERROR(INDEX(tsk_Name,GanttView[[#This Row],[_Row]])="",TRUE()),"",REPT("    ",INDEX(tsk_Level,GanttView[[#This Row],[_Row]])-1)&amp;INDEX(tsk_Name,GanttView[[#This Row],[_Row]]))</f>
        <v/>
      </c>
      <c r="D9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97" s="106" t="str">
        <f aca="false">IF(IFERROR(INDEX(tsk_Name,GanttView[[#This Row],[_Row]])="",TRUE()),"",INDEX(tsk_PlanStart,GanttView[[#This Row],[_Row]]))</f>
        <v/>
      </c>
      <c r="F97" s="106" t="str">
        <f aca="false">IF(IFERROR(INDEX(tsk_Name,GanttView[[#This Row],[_Row]])="",TRUE()),"",INDEX(tsk_PlanFinish,GanttView[[#This Row],[_Row]]))</f>
        <v/>
      </c>
      <c r="G97" s="106" t="str">
        <f aca="false">IF(IFERROR(INDEX(tsk_Name,GanttView[[#This Row],[_Row]])="",TRUE()),"",INDEX(tsk_FcStart,GanttView[[#This Row],[_Row]]))</f>
        <v/>
      </c>
      <c r="H97" s="106" t="str">
        <f aca="false">IF(IFERROR(INDEX(tsk_Name,GanttView[[#This Row],[_Row]])="",TRUE()),"",INDEX(tsk_FcFinish,GanttView[[#This Row],[_Row]]))</f>
        <v/>
      </c>
      <c r="I97" s="107" t="str">
        <f aca="false">IF(IFERROR(INDEX(tsk_Name,GanttView[[#This Row],[_Row]])="",TRUE()),"",INDEX(tsk_Progress,GanttView[[#This Row],[_Row]]))</f>
        <v/>
      </c>
      <c r="J97" s="105" t="str">
        <f aca="false">IF(IFERROR(INDEX(tsk_Name,GanttView[[#This Row],[_Row]])="",TRUE()),"",INDEX(tsk_Resource,GanttView[[#This Row],[_Row]])&amp;"")</f>
        <v/>
      </c>
      <c r="K97" s="108" t="str">
        <f aca="false">IF(IFERROR(INDEX(tsk_Name,GanttView[[#This Row],[_Row]])="",TRUE()),"",INDEX(tsk_Status,GanttView[[#This Row],[_Row]]))</f>
        <v/>
      </c>
      <c r="L97" s="109" t="n">
        <f aca="false">ROW()-ROW(GanttView[[#Headers],[ID]])</f>
        <v>92</v>
      </c>
      <c r="M97" s="110" t="b">
        <f aca="false">IF(IFERROR(INDEX(tsk_Name,GanttView[[#This Row],[_Row]])="",TRUE()),FALSE(),INDEX(tsk_IsSummary,GanttView[[#This Row],[_Row]]))</f>
        <v>0</v>
      </c>
      <c r="N97" s="110" t="b">
        <f aca="false">IF(IFERROR(INDEX(tsk_Name,GanttView[[#This Row],[_Row]])="",TRUE()),FALSE(),AND(INDEX(tsk_IsLeaf,GanttView[[#This Row],[_Row]])=1,N(INDEX(tsk_Duration,GanttView[[#This Row],[_Row]]))=0))</f>
        <v>0</v>
      </c>
      <c r="O9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9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9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97" s="111" t="n">
        <f aca="false">IF(GanttView[[#This Row],[_RemFrom]]=0,0,GanttView[[#This Row],[Forecast Finish]])</f>
        <v>0</v>
      </c>
      <c r="S97" s="110" t="b">
        <f aca="false">IF(IFERROR(INDEX(tsk_Name,GanttView[[#This Row],[_Row]])="",TRUE()),FALSE(),N(INDEX(tsk_Variance,GanttView[[#This Row],[_Row]]))&gt;0)</f>
        <v>0</v>
      </c>
      <c r="T97" s="111" t="n">
        <f aca="false">IF(IFERROR(INDEX(tsk_Name,GanttView[[#This Row],[_Row]])="",TRUE()),0,N(INDEX(tsk_Deadline,GanttView[[#This Row],[_Row]])))</f>
        <v>0</v>
      </c>
      <c r="U97" s="110" t="b">
        <f aca="false">IF(IFERROR(INDEX(tsk_Name,GanttView[[#This Row],[_Row]])="",TRUE()),FALSE(),INDEX(tsk_Critical,GanttView[[#This Row],[_Row]])="Yes")</f>
        <v>0</v>
      </c>
    </row>
    <row r="98" customFormat="false" ht="15" hidden="false" customHeight="false" outlineLevel="0" collapsed="false">
      <c r="A98" s="104" t="str">
        <f aca="false">IF(IFERROR(INDEX(tsk_Name,GanttView[[#This Row],[_Row]])="",TRUE()),"",INDEX(tsk_ID,GanttView[[#This Row],[_Row]]))</f>
        <v/>
      </c>
      <c r="B98" s="104" t="str">
        <f aca="false">IF(IFERROR(INDEX(tsk_Name,GanttView[[#This Row],[_Row]])="",TRUE()),"",INDEX(tsk_WBS,GanttView[[#This Row],[_Row]]))</f>
        <v/>
      </c>
      <c r="C98" s="105" t="str">
        <f aca="false">IF(IFERROR(INDEX(tsk_Name,GanttView[[#This Row],[_Row]])="",TRUE()),"",REPT("    ",INDEX(tsk_Level,GanttView[[#This Row],[_Row]])-1)&amp;INDEX(tsk_Name,GanttView[[#This Row],[_Row]]))</f>
        <v/>
      </c>
      <c r="D9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98" s="106" t="str">
        <f aca="false">IF(IFERROR(INDEX(tsk_Name,GanttView[[#This Row],[_Row]])="",TRUE()),"",INDEX(tsk_PlanStart,GanttView[[#This Row],[_Row]]))</f>
        <v/>
      </c>
      <c r="F98" s="106" t="str">
        <f aca="false">IF(IFERROR(INDEX(tsk_Name,GanttView[[#This Row],[_Row]])="",TRUE()),"",INDEX(tsk_PlanFinish,GanttView[[#This Row],[_Row]]))</f>
        <v/>
      </c>
      <c r="G98" s="106" t="str">
        <f aca="false">IF(IFERROR(INDEX(tsk_Name,GanttView[[#This Row],[_Row]])="",TRUE()),"",INDEX(tsk_FcStart,GanttView[[#This Row],[_Row]]))</f>
        <v/>
      </c>
      <c r="H98" s="106" t="str">
        <f aca="false">IF(IFERROR(INDEX(tsk_Name,GanttView[[#This Row],[_Row]])="",TRUE()),"",INDEX(tsk_FcFinish,GanttView[[#This Row],[_Row]]))</f>
        <v/>
      </c>
      <c r="I98" s="107" t="str">
        <f aca="false">IF(IFERROR(INDEX(tsk_Name,GanttView[[#This Row],[_Row]])="",TRUE()),"",INDEX(tsk_Progress,GanttView[[#This Row],[_Row]]))</f>
        <v/>
      </c>
      <c r="J98" s="105" t="str">
        <f aca="false">IF(IFERROR(INDEX(tsk_Name,GanttView[[#This Row],[_Row]])="",TRUE()),"",INDEX(tsk_Resource,GanttView[[#This Row],[_Row]])&amp;"")</f>
        <v/>
      </c>
      <c r="K98" s="108" t="str">
        <f aca="false">IF(IFERROR(INDEX(tsk_Name,GanttView[[#This Row],[_Row]])="",TRUE()),"",INDEX(tsk_Status,GanttView[[#This Row],[_Row]]))</f>
        <v/>
      </c>
      <c r="L98" s="109" t="n">
        <f aca="false">ROW()-ROW(GanttView[[#Headers],[ID]])</f>
        <v>93</v>
      </c>
      <c r="M98" s="110" t="b">
        <f aca="false">IF(IFERROR(INDEX(tsk_Name,GanttView[[#This Row],[_Row]])="",TRUE()),FALSE(),INDEX(tsk_IsSummary,GanttView[[#This Row],[_Row]]))</f>
        <v>0</v>
      </c>
      <c r="N98" s="110" t="b">
        <f aca="false">IF(IFERROR(INDEX(tsk_Name,GanttView[[#This Row],[_Row]])="",TRUE()),FALSE(),AND(INDEX(tsk_IsLeaf,GanttView[[#This Row],[_Row]])=1,N(INDEX(tsk_Duration,GanttView[[#This Row],[_Row]]))=0))</f>
        <v>0</v>
      </c>
      <c r="O9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9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9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98" s="111" t="n">
        <f aca="false">IF(GanttView[[#This Row],[_RemFrom]]=0,0,GanttView[[#This Row],[Forecast Finish]])</f>
        <v>0</v>
      </c>
      <c r="S98" s="110" t="b">
        <f aca="false">IF(IFERROR(INDEX(tsk_Name,GanttView[[#This Row],[_Row]])="",TRUE()),FALSE(),N(INDEX(tsk_Variance,GanttView[[#This Row],[_Row]]))&gt;0)</f>
        <v>0</v>
      </c>
      <c r="T98" s="111" t="n">
        <f aca="false">IF(IFERROR(INDEX(tsk_Name,GanttView[[#This Row],[_Row]])="",TRUE()),0,N(INDEX(tsk_Deadline,GanttView[[#This Row],[_Row]])))</f>
        <v>0</v>
      </c>
      <c r="U98" s="110" t="b">
        <f aca="false">IF(IFERROR(INDEX(tsk_Name,GanttView[[#This Row],[_Row]])="",TRUE()),FALSE(),INDEX(tsk_Critical,GanttView[[#This Row],[_Row]])="Yes")</f>
        <v>0</v>
      </c>
    </row>
    <row r="99" customFormat="false" ht="15" hidden="false" customHeight="false" outlineLevel="0" collapsed="false">
      <c r="A99" s="104" t="str">
        <f aca="false">IF(IFERROR(INDEX(tsk_Name,GanttView[[#This Row],[_Row]])="",TRUE()),"",INDEX(tsk_ID,GanttView[[#This Row],[_Row]]))</f>
        <v/>
      </c>
      <c r="B99" s="104" t="str">
        <f aca="false">IF(IFERROR(INDEX(tsk_Name,GanttView[[#This Row],[_Row]])="",TRUE()),"",INDEX(tsk_WBS,GanttView[[#This Row],[_Row]]))</f>
        <v/>
      </c>
      <c r="C99" s="105" t="str">
        <f aca="false">IF(IFERROR(INDEX(tsk_Name,GanttView[[#This Row],[_Row]])="",TRUE()),"",REPT("    ",INDEX(tsk_Level,GanttView[[#This Row],[_Row]])-1)&amp;INDEX(tsk_Name,GanttView[[#This Row],[_Row]]))</f>
        <v/>
      </c>
      <c r="D9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99" s="106" t="str">
        <f aca="false">IF(IFERROR(INDEX(tsk_Name,GanttView[[#This Row],[_Row]])="",TRUE()),"",INDEX(tsk_PlanStart,GanttView[[#This Row],[_Row]]))</f>
        <v/>
      </c>
      <c r="F99" s="106" t="str">
        <f aca="false">IF(IFERROR(INDEX(tsk_Name,GanttView[[#This Row],[_Row]])="",TRUE()),"",INDEX(tsk_PlanFinish,GanttView[[#This Row],[_Row]]))</f>
        <v/>
      </c>
      <c r="G99" s="106" t="str">
        <f aca="false">IF(IFERROR(INDEX(tsk_Name,GanttView[[#This Row],[_Row]])="",TRUE()),"",INDEX(tsk_FcStart,GanttView[[#This Row],[_Row]]))</f>
        <v/>
      </c>
      <c r="H99" s="106" t="str">
        <f aca="false">IF(IFERROR(INDEX(tsk_Name,GanttView[[#This Row],[_Row]])="",TRUE()),"",INDEX(tsk_FcFinish,GanttView[[#This Row],[_Row]]))</f>
        <v/>
      </c>
      <c r="I99" s="107" t="str">
        <f aca="false">IF(IFERROR(INDEX(tsk_Name,GanttView[[#This Row],[_Row]])="",TRUE()),"",INDEX(tsk_Progress,GanttView[[#This Row],[_Row]]))</f>
        <v/>
      </c>
      <c r="J99" s="105" t="str">
        <f aca="false">IF(IFERROR(INDEX(tsk_Name,GanttView[[#This Row],[_Row]])="",TRUE()),"",INDEX(tsk_Resource,GanttView[[#This Row],[_Row]])&amp;"")</f>
        <v/>
      </c>
      <c r="K99" s="108" t="str">
        <f aca="false">IF(IFERROR(INDEX(tsk_Name,GanttView[[#This Row],[_Row]])="",TRUE()),"",INDEX(tsk_Status,GanttView[[#This Row],[_Row]]))</f>
        <v/>
      </c>
      <c r="L99" s="109" t="n">
        <f aca="false">ROW()-ROW(GanttView[[#Headers],[ID]])</f>
        <v>94</v>
      </c>
      <c r="M99" s="110" t="b">
        <f aca="false">IF(IFERROR(INDEX(tsk_Name,GanttView[[#This Row],[_Row]])="",TRUE()),FALSE(),INDEX(tsk_IsSummary,GanttView[[#This Row],[_Row]]))</f>
        <v>0</v>
      </c>
      <c r="N99" s="110" t="b">
        <f aca="false">IF(IFERROR(INDEX(tsk_Name,GanttView[[#This Row],[_Row]])="",TRUE()),FALSE(),AND(INDEX(tsk_IsLeaf,GanttView[[#This Row],[_Row]])=1,N(INDEX(tsk_Duration,GanttView[[#This Row],[_Row]]))=0))</f>
        <v>0</v>
      </c>
      <c r="O9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9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9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99" s="111" t="n">
        <f aca="false">IF(GanttView[[#This Row],[_RemFrom]]=0,0,GanttView[[#This Row],[Forecast Finish]])</f>
        <v>0</v>
      </c>
      <c r="S99" s="110" t="b">
        <f aca="false">IF(IFERROR(INDEX(tsk_Name,GanttView[[#This Row],[_Row]])="",TRUE()),FALSE(),N(INDEX(tsk_Variance,GanttView[[#This Row],[_Row]]))&gt;0)</f>
        <v>0</v>
      </c>
      <c r="T99" s="111" t="n">
        <f aca="false">IF(IFERROR(INDEX(tsk_Name,GanttView[[#This Row],[_Row]])="",TRUE()),0,N(INDEX(tsk_Deadline,GanttView[[#This Row],[_Row]])))</f>
        <v>0</v>
      </c>
      <c r="U99" s="110" t="b">
        <f aca="false">IF(IFERROR(INDEX(tsk_Name,GanttView[[#This Row],[_Row]])="",TRUE()),FALSE(),INDEX(tsk_Critical,GanttView[[#This Row],[_Row]])="Yes")</f>
        <v>0</v>
      </c>
    </row>
    <row r="100" customFormat="false" ht="15" hidden="false" customHeight="false" outlineLevel="0" collapsed="false">
      <c r="A100" s="104" t="str">
        <f aca="false">IF(IFERROR(INDEX(tsk_Name,GanttView[[#This Row],[_Row]])="",TRUE()),"",INDEX(tsk_ID,GanttView[[#This Row],[_Row]]))</f>
        <v/>
      </c>
      <c r="B100" s="104" t="str">
        <f aca="false">IF(IFERROR(INDEX(tsk_Name,GanttView[[#This Row],[_Row]])="",TRUE()),"",INDEX(tsk_WBS,GanttView[[#This Row],[_Row]]))</f>
        <v/>
      </c>
      <c r="C100" s="105" t="str">
        <f aca="false">IF(IFERROR(INDEX(tsk_Name,GanttView[[#This Row],[_Row]])="",TRUE()),"",REPT("    ",INDEX(tsk_Level,GanttView[[#This Row],[_Row]])-1)&amp;INDEX(tsk_Name,GanttView[[#This Row],[_Row]]))</f>
        <v/>
      </c>
      <c r="D10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00" s="106" t="str">
        <f aca="false">IF(IFERROR(INDEX(tsk_Name,GanttView[[#This Row],[_Row]])="",TRUE()),"",INDEX(tsk_PlanStart,GanttView[[#This Row],[_Row]]))</f>
        <v/>
      </c>
      <c r="F100" s="106" t="str">
        <f aca="false">IF(IFERROR(INDEX(tsk_Name,GanttView[[#This Row],[_Row]])="",TRUE()),"",INDEX(tsk_PlanFinish,GanttView[[#This Row],[_Row]]))</f>
        <v/>
      </c>
      <c r="G100" s="106" t="str">
        <f aca="false">IF(IFERROR(INDEX(tsk_Name,GanttView[[#This Row],[_Row]])="",TRUE()),"",INDEX(tsk_FcStart,GanttView[[#This Row],[_Row]]))</f>
        <v/>
      </c>
      <c r="H100" s="106" t="str">
        <f aca="false">IF(IFERROR(INDEX(tsk_Name,GanttView[[#This Row],[_Row]])="",TRUE()),"",INDEX(tsk_FcFinish,GanttView[[#This Row],[_Row]]))</f>
        <v/>
      </c>
      <c r="I100" s="107" t="str">
        <f aca="false">IF(IFERROR(INDEX(tsk_Name,GanttView[[#This Row],[_Row]])="",TRUE()),"",INDEX(tsk_Progress,GanttView[[#This Row],[_Row]]))</f>
        <v/>
      </c>
      <c r="J100" s="105" t="str">
        <f aca="false">IF(IFERROR(INDEX(tsk_Name,GanttView[[#This Row],[_Row]])="",TRUE()),"",INDEX(tsk_Resource,GanttView[[#This Row],[_Row]])&amp;"")</f>
        <v/>
      </c>
      <c r="K100" s="108" t="str">
        <f aca="false">IF(IFERROR(INDEX(tsk_Name,GanttView[[#This Row],[_Row]])="",TRUE()),"",INDEX(tsk_Status,GanttView[[#This Row],[_Row]]))</f>
        <v/>
      </c>
      <c r="L100" s="109" t="n">
        <f aca="false">ROW()-ROW(GanttView[[#Headers],[ID]])</f>
        <v>95</v>
      </c>
      <c r="M100" s="110" t="b">
        <f aca="false">IF(IFERROR(INDEX(tsk_Name,GanttView[[#This Row],[_Row]])="",TRUE()),FALSE(),INDEX(tsk_IsSummary,GanttView[[#This Row],[_Row]]))</f>
        <v>0</v>
      </c>
      <c r="N100" s="110" t="b">
        <f aca="false">IF(IFERROR(INDEX(tsk_Name,GanttView[[#This Row],[_Row]])="",TRUE()),FALSE(),AND(INDEX(tsk_IsLeaf,GanttView[[#This Row],[_Row]])=1,N(INDEX(tsk_Duration,GanttView[[#This Row],[_Row]]))=0))</f>
        <v>0</v>
      </c>
      <c r="O10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0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0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00" s="111" t="n">
        <f aca="false">IF(GanttView[[#This Row],[_RemFrom]]=0,0,GanttView[[#This Row],[Forecast Finish]])</f>
        <v>0</v>
      </c>
      <c r="S100" s="110" t="b">
        <f aca="false">IF(IFERROR(INDEX(tsk_Name,GanttView[[#This Row],[_Row]])="",TRUE()),FALSE(),N(INDEX(tsk_Variance,GanttView[[#This Row],[_Row]]))&gt;0)</f>
        <v>0</v>
      </c>
      <c r="T100" s="111" t="n">
        <f aca="false">IF(IFERROR(INDEX(tsk_Name,GanttView[[#This Row],[_Row]])="",TRUE()),0,N(INDEX(tsk_Deadline,GanttView[[#This Row],[_Row]])))</f>
        <v>0</v>
      </c>
      <c r="U100" s="110" t="b">
        <f aca="false">IF(IFERROR(INDEX(tsk_Name,GanttView[[#This Row],[_Row]])="",TRUE()),FALSE(),INDEX(tsk_Critical,GanttView[[#This Row],[_Row]])="Yes")</f>
        <v>0</v>
      </c>
    </row>
    <row r="101" customFormat="false" ht="15" hidden="false" customHeight="false" outlineLevel="0" collapsed="false">
      <c r="A101" s="104" t="str">
        <f aca="false">IF(IFERROR(INDEX(tsk_Name,GanttView[[#This Row],[_Row]])="",TRUE()),"",INDEX(tsk_ID,GanttView[[#This Row],[_Row]]))</f>
        <v/>
      </c>
      <c r="B101" s="104" t="str">
        <f aca="false">IF(IFERROR(INDEX(tsk_Name,GanttView[[#This Row],[_Row]])="",TRUE()),"",INDEX(tsk_WBS,GanttView[[#This Row],[_Row]]))</f>
        <v/>
      </c>
      <c r="C101" s="105" t="str">
        <f aca="false">IF(IFERROR(INDEX(tsk_Name,GanttView[[#This Row],[_Row]])="",TRUE()),"",REPT("    ",INDEX(tsk_Level,GanttView[[#This Row],[_Row]])-1)&amp;INDEX(tsk_Name,GanttView[[#This Row],[_Row]]))</f>
        <v/>
      </c>
      <c r="D10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01" s="106" t="str">
        <f aca="false">IF(IFERROR(INDEX(tsk_Name,GanttView[[#This Row],[_Row]])="",TRUE()),"",INDEX(tsk_PlanStart,GanttView[[#This Row],[_Row]]))</f>
        <v/>
      </c>
      <c r="F101" s="106" t="str">
        <f aca="false">IF(IFERROR(INDEX(tsk_Name,GanttView[[#This Row],[_Row]])="",TRUE()),"",INDEX(tsk_PlanFinish,GanttView[[#This Row],[_Row]]))</f>
        <v/>
      </c>
      <c r="G101" s="106" t="str">
        <f aca="false">IF(IFERROR(INDEX(tsk_Name,GanttView[[#This Row],[_Row]])="",TRUE()),"",INDEX(tsk_FcStart,GanttView[[#This Row],[_Row]]))</f>
        <v/>
      </c>
      <c r="H101" s="106" t="str">
        <f aca="false">IF(IFERROR(INDEX(tsk_Name,GanttView[[#This Row],[_Row]])="",TRUE()),"",INDEX(tsk_FcFinish,GanttView[[#This Row],[_Row]]))</f>
        <v/>
      </c>
      <c r="I101" s="107" t="str">
        <f aca="false">IF(IFERROR(INDEX(tsk_Name,GanttView[[#This Row],[_Row]])="",TRUE()),"",INDEX(tsk_Progress,GanttView[[#This Row],[_Row]]))</f>
        <v/>
      </c>
      <c r="J101" s="105" t="str">
        <f aca="false">IF(IFERROR(INDEX(tsk_Name,GanttView[[#This Row],[_Row]])="",TRUE()),"",INDEX(tsk_Resource,GanttView[[#This Row],[_Row]])&amp;"")</f>
        <v/>
      </c>
      <c r="K101" s="108" t="str">
        <f aca="false">IF(IFERROR(INDEX(tsk_Name,GanttView[[#This Row],[_Row]])="",TRUE()),"",INDEX(tsk_Status,GanttView[[#This Row],[_Row]]))</f>
        <v/>
      </c>
      <c r="L101" s="109" t="n">
        <f aca="false">ROW()-ROW(GanttView[[#Headers],[ID]])</f>
        <v>96</v>
      </c>
      <c r="M101" s="110" t="b">
        <f aca="false">IF(IFERROR(INDEX(tsk_Name,GanttView[[#This Row],[_Row]])="",TRUE()),FALSE(),INDEX(tsk_IsSummary,GanttView[[#This Row],[_Row]]))</f>
        <v>0</v>
      </c>
      <c r="N101" s="110" t="b">
        <f aca="false">IF(IFERROR(INDEX(tsk_Name,GanttView[[#This Row],[_Row]])="",TRUE()),FALSE(),AND(INDEX(tsk_IsLeaf,GanttView[[#This Row],[_Row]])=1,N(INDEX(tsk_Duration,GanttView[[#This Row],[_Row]]))=0))</f>
        <v>0</v>
      </c>
      <c r="O10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0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0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01" s="111" t="n">
        <f aca="false">IF(GanttView[[#This Row],[_RemFrom]]=0,0,GanttView[[#This Row],[Forecast Finish]])</f>
        <v>0</v>
      </c>
      <c r="S101" s="110" t="b">
        <f aca="false">IF(IFERROR(INDEX(tsk_Name,GanttView[[#This Row],[_Row]])="",TRUE()),FALSE(),N(INDEX(tsk_Variance,GanttView[[#This Row],[_Row]]))&gt;0)</f>
        <v>0</v>
      </c>
      <c r="T101" s="111" t="n">
        <f aca="false">IF(IFERROR(INDEX(tsk_Name,GanttView[[#This Row],[_Row]])="",TRUE()),0,N(INDEX(tsk_Deadline,GanttView[[#This Row],[_Row]])))</f>
        <v>0</v>
      </c>
      <c r="U101" s="110" t="b">
        <f aca="false">IF(IFERROR(INDEX(tsk_Name,GanttView[[#This Row],[_Row]])="",TRUE()),FALSE(),INDEX(tsk_Critical,GanttView[[#This Row],[_Row]])="Yes")</f>
        <v>0</v>
      </c>
    </row>
    <row r="102" customFormat="false" ht="15" hidden="false" customHeight="false" outlineLevel="0" collapsed="false">
      <c r="A102" s="104" t="str">
        <f aca="false">IF(IFERROR(INDEX(tsk_Name,GanttView[[#This Row],[_Row]])="",TRUE()),"",INDEX(tsk_ID,GanttView[[#This Row],[_Row]]))</f>
        <v/>
      </c>
      <c r="B102" s="104" t="str">
        <f aca="false">IF(IFERROR(INDEX(tsk_Name,GanttView[[#This Row],[_Row]])="",TRUE()),"",INDEX(tsk_WBS,GanttView[[#This Row],[_Row]]))</f>
        <v/>
      </c>
      <c r="C102" s="105" t="str">
        <f aca="false">IF(IFERROR(INDEX(tsk_Name,GanttView[[#This Row],[_Row]])="",TRUE()),"",REPT("    ",INDEX(tsk_Level,GanttView[[#This Row],[_Row]])-1)&amp;INDEX(tsk_Name,GanttView[[#This Row],[_Row]]))</f>
        <v/>
      </c>
      <c r="D10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02" s="106" t="str">
        <f aca="false">IF(IFERROR(INDEX(tsk_Name,GanttView[[#This Row],[_Row]])="",TRUE()),"",INDEX(tsk_PlanStart,GanttView[[#This Row],[_Row]]))</f>
        <v/>
      </c>
      <c r="F102" s="106" t="str">
        <f aca="false">IF(IFERROR(INDEX(tsk_Name,GanttView[[#This Row],[_Row]])="",TRUE()),"",INDEX(tsk_PlanFinish,GanttView[[#This Row],[_Row]]))</f>
        <v/>
      </c>
      <c r="G102" s="106" t="str">
        <f aca="false">IF(IFERROR(INDEX(tsk_Name,GanttView[[#This Row],[_Row]])="",TRUE()),"",INDEX(tsk_FcStart,GanttView[[#This Row],[_Row]]))</f>
        <v/>
      </c>
      <c r="H102" s="106" t="str">
        <f aca="false">IF(IFERROR(INDEX(tsk_Name,GanttView[[#This Row],[_Row]])="",TRUE()),"",INDEX(tsk_FcFinish,GanttView[[#This Row],[_Row]]))</f>
        <v/>
      </c>
      <c r="I102" s="107" t="str">
        <f aca="false">IF(IFERROR(INDEX(tsk_Name,GanttView[[#This Row],[_Row]])="",TRUE()),"",INDEX(tsk_Progress,GanttView[[#This Row],[_Row]]))</f>
        <v/>
      </c>
      <c r="J102" s="105" t="str">
        <f aca="false">IF(IFERROR(INDEX(tsk_Name,GanttView[[#This Row],[_Row]])="",TRUE()),"",INDEX(tsk_Resource,GanttView[[#This Row],[_Row]])&amp;"")</f>
        <v/>
      </c>
      <c r="K102" s="108" t="str">
        <f aca="false">IF(IFERROR(INDEX(tsk_Name,GanttView[[#This Row],[_Row]])="",TRUE()),"",INDEX(tsk_Status,GanttView[[#This Row],[_Row]]))</f>
        <v/>
      </c>
      <c r="L102" s="109" t="n">
        <f aca="false">ROW()-ROW(GanttView[[#Headers],[ID]])</f>
        <v>97</v>
      </c>
      <c r="M102" s="110" t="b">
        <f aca="false">IF(IFERROR(INDEX(tsk_Name,GanttView[[#This Row],[_Row]])="",TRUE()),FALSE(),INDEX(tsk_IsSummary,GanttView[[#This Row],[_Row]]))</f>
        <v>0</v>
      </c>
      <c r="N102" s="110" t="b">
        <f aca="false">IF(IFERROR(INDEX(tsk_Name,GanttView[[#This Row],[_Row]])="",TRUE()),FALSE(),AND(INDEX(tsk_IsLeaf,GanttView[[#This Row],[_Row]])=1,N(INDEX(tsk_Duration,GanttView[[#This Row],[_Row]]))=0))</f>
        <v>0</v>
      </c>
      <c r="O10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0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0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02" s="111" t="n">
        <f aca="false">IF(GanttView[[#This Row],[_RemFrom]]=0,0,GanttView[[#This Row],[Forecast Finish]])</f>
        <v>0</v>
      </c>
      <c r="S102" s="110" t="b">
        <f aca="false">IF(IFERROR(INDEX(tsk_Name,GanttView[[#This Row],[_Row]])="",TRUE()),FALSE(),N(INDEX(tsk_Variance,GanttView[[#This Row],[_Row]]))&gt;0)</f>
        <v>0</v>
      </c>
      <c r="T102" s="111" t="n">
        <f aca="false">IF(IFERROR(INDEX(tsk_Name,GanttView[[#This Row],[_Row]])="",TRUE()),0,N(INDEX(tsk_Deadline,GanttView[[#This Row],[_Row]])))</f>
        <v>0</v>
      </c>
      <c r="U102" s="110" t="b">
        <f aca="false">IF(IFERROR(INDEX(tsk_Name,GanttView[[#This Row],[_Row]])="",TRUE()),FALSE(),INDEX(tsk_Critical,GanttView[[#This Row],[_Row]])="Yes")</f>
        <v>0</v>
      </c>
    </row>
    <row r="103" customFormat="false" ht="15" hidden="false" customHeight="false" outlineLevel="0" collapsed="false">
      <c r="A103" s="104" t="str">
        <f aca="false">IF(IFERROR(INDEX(tsk_Name,GanttView[[#This Row],[_Row]])="",TRUE()),"",INDEX(tsk_ID,GanttView[[#This Row],[_Row]]))</f>
        <v/>
      </c>
      <c r="B103" s="104" t="str">
        <f aca="false">IF(IFERROR(INDEX(tsk_Name,GanttView[[#This Row],[_Row]])="",TRUE()),"",INDEX(tsk_WBS,GanttView[[#This Row],[_Row]]))</f>
        <v/>
      </c>
      <c r="C103" s="105" t="str">
        <f aca="false">IF(IFERROR(INDEX(tsk_Name,GanttView[[#This Row],[_Row]])="",TRUE()),"",REPT("    ",INDEX(tsk_Level,GanttView[[#This Row],[_Row]])-1)&amp;INDEX(tsk_Name,GanttView[[#This Row],[_Row]]))</f>
        <v/>
      </c>
      <c r="D10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03" s="106" t="str">
        <f aca="false">IF(IFERROR(INDEX(tsk_Name,GanttView[[#This Row],[_Row]])="",TRUE()),"",INDEX(tsk_PlanStart,GanttView[[#This Row],[_Row]]))</f>
        <v/>
      </c>
      <c r="F103" s="106" t="str">
        <f aca="false">IF(IFERROR(INDEX(tsk_Name,GanttView[[#This Row],[_Row]])="",TRUE()),"",INDEX(tsk_PlanFinish,GanttView[[#This Row],[_Row]]))</f>
        <v/>
      </c>
      <c r="G103" s="106" t="str">
        <f aca="false">IF(IFERROR(INDEX(tsk_Name,GanttView[[#This Row],[_Row]])="",TRUE()),"",INDEX(tsk_FcStart,GanttView[[#This Row],[_Row]]))</f>
        <v/>
      </c>
      <c r="H103" s="106" t="str">
        <f aca="false">IF(IFERROR(INDEX(tsk_Name,GanttView[[#This Row],[_Row]])="",TRUE()),"",INDEX(tsk_FcFinish,GanttView[[#This Row],[_Row]]))</f>
        <v/>
      </c>
      <c r="I103" s="107" t="str">
        <f aca="false">IF(IFERROR(INDEX(tsk_Name,GanttView[[#This Row],[_Row]])="",TRUE()),"",INDEX(tsk_Progress,GanttView[[#This Row],[_Row]]))</f>
        <v/>
      </c>
      <c r="J103" s="105" t="str">
        <f aca="false">IF(IFERROR(INDEX(tsk_Name,GanttView[[#This Row],[_Row]])="",TRUE()),"",INDEX(tsk_Resource,GanttView[[#This Row],[_Row]])&amp;"")</f>
        <v/>
      </c>
      <c r="K103" s="108" t="str">
        <f aca="false">IF(IFERROR(INDEX(tsk_Name,GanttView[[#This Row],[_Row]])="",TRUE()),"",INDEX(tsk_Status,GanttView[[#This Row],[_Row]]))</f>
        <v/>
      </c>
      <c r="L103" s="109" t="n">
        <f aca="false">ROW()-ROW(GanttView[[#Headers],[ID]])</f>
        <v>98</v>
      </c>
      <c r="M103" s="110" t="b">
        <f aca="false">IF(IFERROR(INDEX(tsk_Name,GanttView[[#This Row],[_Row]])="",TRUE()),FALSE(),INDEX(tsk_IsSummary,GanttView[[#This Row],[_Row]]))</f>
        <v>0</v>
      </c>
      <c r="N103" s="110" t="b">
        <f aca="false">IF(IFERROR(INDEX(tsk_Name,GanttView[[#This Row],[_Row]])="",TRUE()),FALSE(),AND(INDEX(tsk_IsLeaf,GanttView[[#This Row],[_Row]])=1,N(INDEX(tsk_Duration,GanttView[[#This Row],[_Row]]))=0))</f>
        <v>0</v>
      </c>
      <c r="O10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0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0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03" s="111" t="n">
        <f aca="false">IF(GanttView[[#This Row],[_RemFrom]]=0,0,GanttView[[#This Row],[Forecast Finish]])</f>
        <v>0</v>
      </c>
      <c r="S103" s="110" t="b">
        <f aca="false">IF(IFERROR(INDEX(tsk_Name,GanttView[[#This Row],[_Row]])="",TRUE()),FALSE(),N(INDEX(tsk_Variance,GanttView[[#This Row],[_Row]]))&gt;0)</f>
        <v>0</v>
      </c>
      <c r="T103" s="111" t="n">
        <f aca="false">IF(IFERROR(INDEX(tsk_Name,GanttView[[#This Row],[_Row]])="",TRUE()),0,N(INDEX(tsk_Deadline,GanttView[[#This Row],[_Row]])))</f>
        <v>0</v>
      </c>
      <c r="U103" s="110" t="b">
        <f aca="false">IF(IFERROR(INDEX(tsk_Name,GanttView[[#This Row],[_Row]])="",TRUE()),FALSE(),INDEX(tsk_Critical,GanttView[[#This Row],[_Row]])="Yes")</f>
        <v>0</v>
      </c>
    </row>
    <row r="104" customFormat="false" ht="15" hidden="false" customHeight="false" outlineLevel="0" collapsed="false">
      <c r="A104" s="104" t="str">
        <f aca="false">IF(IFERROR(INDEX(tsk_Name,GanttView[[#This Row],[_Row]])="",TRUE()),"",INDEX(tsk_ID,GanttView[[#This Row],[_Row]]))</f>
        <v/>
      </c>
      <c r="B104" s="104" t="str">
        <f aca="false">IF(IFERROR(INDEX(tsk_Name,GanttView[[#This Row],[_Row]])="",TRUE()),"",INDEX(tsk_WBS,GanttView[[#This Row],[_Row]]))</f>
        <v/>
      </c>
      <c r="C104" s="105" t="str">
        <f aca="false">IF(IFERROR(INDEX(tsk_Name,GanttView[[#This Row],[_Row]])="",TRUE()),"",REPT("    ",INDEX(tsk_Level,GanttView[[#This Row],[_Row]])-1)&amp;INDEX(tsk_Name,GanttView[[#This Row],[_Row]]))</f>
        <v/>
      </c>
      <c r="D10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04" s="106" t="str">
        <f aca="false">IF(IFERROR(INDEX(tsk_Name,GanttView[[#This Row],[_Row]])="",TRUE()),"",INDEX(tsk_PlanStart,GanttView[[#This Row],[_Row]]))</f>
        <v/>
      </c>
      <c r="F104" s="106" t="str">
        <f aca="false">IF(IFERROR(INDEX(tsk_Name,GanttView[[#This Row],[_Row]])="",TRUE()),"",INDEX(tsk_PlanFinish,GanttView[[#This Row],[_Row]]))</f>
        <v/>
      </c>
      <c r="G104" s="106" t="str">
        <f aca="false">IF(IFERROR(INDEX(tsk_Name,GanttView[[#This Row],[_Row]])="",TRUE()),"",INDEX(tsk_FcStart,GanttView[[#This Row],[_Row]]))</f>
        <v/>
      </c>
      <c r="H104" s="106" t="str">
        <f aca="false">IF(IFERROR(INDEX(tsk_Name,GanttView[[#This Row],[_Row]])="",TRUE()),"",INDEX(tsk_FcFinish,GanttView[[#This Row],[_Row]]))</f>
        <v/>
      </c>
      <c r="I104" s="107" t="str">
        <f aca="false">IF(IFERROR(INDEX(tsk_Name,GanttView[[#This Row],[_Row]])="",TRUE()),"",INDEX(tsk_Progress,GanttView[[#This Row],[_Row]]))</f>
        <v/>
      </c>
      <c r="J104" s="105" t="str">
        <f aca="false">IF(IFERROR(INDEX(tsk_Name,GanttView[[#This Row],[_Row]])="",TRUE()),"",INDEX(tsk_Resource,GanttView[[#This Row],[_Row]])&amp;"")</f>
        <v/>
      </c>
      <c r="K104" s="108" t="str">
        <f aca="false">IF(IFERROR(INDEX(tsk_Name,GanttView[[#This Row],[_Row]])="",TRUE()),"",INDEX(tsk_Status,GanttView[[#This Row],[_Row]]))</f>
        <v/>
      </c>
      <c r="L104" s="109" t="n">
        <f aca="false">ROW()-ROW(GanttView[[#Headers],[ID]])</f>
        <v>99</v>
      </c>
      <c r="M104" s="110" t="b">
        <f aca="false">IF(IFERROR(INDEX(tsk_Name,GanttView[[#This Row],[_Row]])="",TRUE()),FALSE(),INDEX(tsk_IsSummary,GanttView[[#This Row],[_Row]]))</f>
        <v>0</v>
      </c>
      <c r="N104" s="110" t="b">
        <f aca="false">IF(IFERROR(INDEX(tsk_Name,GanttView[[#This Row],[_Row]])="",TRUE()),FALSE(),AND(INDEX(tsk_IsLeaf,GanttView[[#This Row],[_Row]])=1,N(INDEX(tsk_Duration,GanttView[[#This Row],[_Row]]))=0))</f>
        <v>0</v>
      </c>
      <c r="O10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0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0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04" s="111" t="n">
        <f aca="false">IF(GanttView[[#This Row],[_RemFrom]]=0,0,GanttView[[#This Row],[Forecast Finish]])</f>
        <v>0</v>
      </c>
      <c r="S104" s="110" t="b">
        <f aca="false">IF(IFERROR(INDEX(tsk_Name,GanttView[[#This Row],[_Row]])="",TRUE()),FALSE(),N(INDEX(tsk_Variance,GanttView[[#This Row],[_Row]]))&gt;0)</f>
        <v>0</v>
      </c>
      <c r="T104" s="111" t="n">
        <f aca="false">IF(IFERROR(INDEX(tsk_Name,GanttView[[#This Row],[_Row]])="",TRUE()),0,N(INDEX(tsk_Deadline,GanttView[[#This Row],[_Row]])))</f>
        <v>0</v>
      </c>
      <c r="U104" s="110" t="b">
        <f aca="false">IF(IFERROR(INDEX(tsk_Name,GanttView[[#This Row],[_Row]])="",TRUE()),FALSE(),INDEX(tsk_Critical,GanttView[[#This Row],[_Row]])="Yes")</f>
        <v>0</v>
      </c>
    </row>
    <row r="105" customFormat="false" ht="15" hidden="false" customHeight="false" outlineLevel="0" collapsed="false">
      <c r="A105" s="104" t="str">
        <f aca="false">IF(IFERROR(INDEX(tsk_Name,GanttView[[#This Row],[_Row]])="",TRUE()),"",INDEX(tsk_ID,GanttView[[#This Row],[_Row]]))</f>
        <v/>
      </c>
      <c r="B105" s="104" t="str">
        <f aca="false">IF(IFERROR(INDEX(tsk_Name,GanttView[[#This Row],[_Row]])="",TRUE()),"",INDEX(tsk_WBS,GanttView[[#This Row],[_Row]]))</f>
        <v/>
      </c>
      <c r="C105" s="105" t="str">
        <f aca="false">IF(IFERROR(INDEX(tsk_Name,GanttView[[#This Row],[_Row]])="",TRUE()),"",REPT("    ",INDEX(tsk_Level,GanttView[[#This Row],[_Row]])-1)&amp;INDEX(tsk_Name,GanttView[[#This Row],[_Row]]))</f>
        <v/>
      </c>
      <c r="D10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05" s="106" t="str">
        <f aca="false">IF(IFERROR(INDEX(tsk_Name,GanttView[[#This Row],[_Row]])="",TRUE()),"",INDEX(tsk_PlanStart,GanttView[[#This Row],[_Row]]))</f>
        <v/>
      </c>
      <c r="F105" s="106" t="str">
        <f aca="false">IF(IFERROR(INDEX(tsk_Name,GanttView[[#This Row],[_Row]])="",TRUE()),"",INDEX(tsk_PlanFinish,GanttView[[#This Row],[_Row]]))</f>
        <v/>
      </c>
      <c r="G105" s="106" t="str">
        <f aca="false">IF(IFERROR(INDEX(tsk_Name,GanttView[[#This Row],[_Row]])="",TRUE()),"",INDEX(tsk_FcStart,GanttView[[#This Row],[_Row]]))</f>
        <v/>
      </c>
      <c r="H105" s="106" t="str">
        <f aca="false">IF(IFERROR(INDEX(tsk_Name,GanttView[[#This Row],[_Row]])="",TRUE()),"",INDEX(tsk_FcFinish,GanttView[[#This Row],[_Row]]))</f>
        <v/>
      </c>
      <c r="I105" s="107" t="str">
        <f aca="false">IF(IFERROR(INDEX(tsk_Name,GanttView[[#This Row],[_Row]])="",TRUE()),"",INDEX(tsk_Progress,GanttView[[#This Row],[_Row]]))</f>
        <v/>
      </c>
      <c r="J105" s="105" t="str">
        <f aca="false">IF(IFERROR(INDEX(tsk_Name,GanttView[[#This Row],[_Row]])="",TRUE()),"",INDEX(tsk_Resource,GanttView[[#This Row],[_Row]])&amp;"")</f>
        <v/>
      </c>
      <c r="K105" s="108" t="str">
        <f aca="false">IF(IFERROR(INDEX(tsk_Name,GanttView[[#This Row],[_Row]])="",TRUE()),"",INDEX(tsk_Status,GanttView[[#This Row],[_Row]]))</f>
        <v/>
      </c>
      <c r="L105" s="109" t="n">
        <f aca="false">ROW()-ROW(GanttView[[#Headers],[ID]])</f>
        <v>100</v>
      </c>
      <c r="M105" s="110" t="b">
        <f aca="false">IF(IFERROR(INDEX(tsk_Name,GanttView[[#This Row],[_Row]])="",TRUE()),FALSE(),INDEX(tsk_IsSummary,GanttView[[#This Row],[_Row]]))</f>
        <v>0</v>
      </c>
      <c r="N105" s="110" t="b">
        <f aca="false">IF(IFERROR(INDEX(tsk_Name,GanttView[[#This Row],[_Row]])="",TRUE()),FALSE(),AND(INDEX(tsk_IsLeaf,GanttView[[#This Row],[_Row]])=1,N(INDEX(tsk_Duration,GanttView[[#This Row],[_Row]]))=0))</f>
        <v>0</v>
      </c>
      <c r="O10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0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0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05" s="111" t="n">
        <f aca="false">IF(GanttView[[#This Row],[_RemFrom]]=0,0,GanttView[[#This Row],[Forecast Finish]])</f>
        <v>0</v>
      </c>
      <c r="S105" s="110" t="b">
        <f aca="false">IF(IFERROR(INDEX(tsk_Name,GanttView[[#This Row],[_Row]])="",TRUE()),FALSE(),N(INDEX(tsk_Variance,GanttView[[#This Row],[_Row]]))&gt;0)</f>
        <v>0</v>
      </c>
      <c r="T105" s="111" t="n">
        <f aca="false">IF(IFERROR(INDEX(tsk_Name,GanttView[[#This Row],[_Row]])="",TRUE()),0,N(INDEX(tsk_Deadline,GanttView[[#This Row],[_Row]])))</f>
        <v>0</v>
      </c>
      <c r="U105" s="110" t="b">
        <f aca="false">IF(IFERROR(INDEX(tsk_Name,GanttView[[#This Row],[_Row]])="",TRUE()),FALSE(),INDEX(tsk_Critical,GanttView[[#This Row],[_Row]])="Yes")</f>
        <v>0</v>
      </c>
    </row>
    <row r="106" customFormat="false" ht="15" hidden="false" customHeight="false" outlineLevel="0" collapsed="false">
      <c r="A106" s="104" t="str">
        <f aca="false">IF(IFERROR(INDEX(tsk_Name,GanttView[[#This Row],[_Row]])="",TRUE()),"",INDEX(tsk_ID,GanttView[[#This Row],[_Row]]))</f>
        <v/>
      </c>
      <c r="B106" s="104" t="str">
        <f aca="false">IF(IFERROR(INDEX(tsk_Name,GanttView[[#This Row],[_Row]])="",TRUE()),"",INDEX(tsk_WBS,GanttView[[#This Row],[_Row]]))</f>
        <v/>
      </c>
      <c r="C106" s="105" t="str">
        <f aca="false">IF(IFERROR(INDEX(tsk_Name,GanttView[[#This Row],[_Row]])="",TRUE()),"",REPT("    ",INDEX(tsk_Level,GanttView[[#This Row],[_Row]])-1)&amp;INDEX(tsk_Name,GanttView[[#This Row],[_Row]]))</f>
        <v/>
      </c>
      <c r="D10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06" s="106" t="str">
        <f aca="false">IF(IFERROR(INDEX(tsk_Name,GanttView[[#This Row],[_Row]])="",TRUE()),"",INDEX(tsk_PlanStart,GanttView[[#This Row],[_Row]]))</f>
        <v/>
      </c>
      <c r="F106" s="106" t="str">
        <f aca="false">IF(IFERROR(INDEX(tsk_Name,GanttView[[#This Row],[_Row]])="",TRUE()),"",INDEX(tsk_PlanFinish,GanttView[[#This Row],[_Row]]))</f>
        <v/>
      </c>
      <c r="G106" s="106" t="str">
        <f aca="false">IF(IFERROR(INDEX(tsk_Name,GanttView[[#This Row],[_Row]])="",TRUE()),"",INDEX(tsk_FcStart,GanttView[[#This Row],[_Row]]))</f>
        <v/>
      </c>
      <c r="H106" s="106" t="str">
        <f aca="false">IF(IFERROR(INDEX(tsk_Name,GanttView[[#This Row],[_Row]])="",TRUE()),"",INDEX(tsk_FcFinish,GanttView[[#This Row],[_Row]]))</f>
        <v/>
      </c>
      <c r="I106" s="107" t="str">
        <f aca="false">IF(IFERROR(INDEX(tsk_Name,GanttView[[#This Row],[_Row]])="",TRUE()),"",INDEX(tsk_Progress,GanttView[[#This Row],[_Row]]))</f>
        <v/>
      </c>
      <c r="J106" s="105" t="str">
        <f aca="false">IF(IFERROR(INDEX(tsk_Name,GanttView[[#This Row],[_Row]])="",TRUE()),"",INDEX(tsk_Resource,GanttView[[#This Row],[_Row]])&amp;"")</f>
        <v/>
      </c>
      <c r="K106" s="108" t="str">
        <f aca="false">IF(IFERROR(INDEX(tsk_Name,GanttView[[#This Row],[_Row]])="",TRUE()),"",INDEX(tsk_Status,GanttView[[#This Row],[_Row]]))</f>
        <v/>
      </c>
      <c r="L106" s="109" t="n">
        <f aca="false">ROW()-ROW(GanttView[[#Headers],[ID]])</f>
        <v>101</v>
      </c>
      <c r="M106" s="110" t="b">
        <f aca="false">IF(IFERROR(INDEX(tsk_Name,GanttView[[#This Row],[_Row]])="",TRUE()),FALSE(),INDEX(tsk_IsSummary,GanttView[[#This Row],[_Row]]))</f>
        <v>0</v>
      </c>
      <c r="N106" s="110" t="b">
        <f aca="false">IF(IFERROR(INDEX(tsk_Name,GanttView[[#This Row],[_Row]])="",TRUE()),FALSE(),AND(INDEX(tsk_IsLeaf,GanttView[[#This Row],[_Row]])=1,N(INDEX(tsk_Duration,GanttView[[#This Row],[_Row]]))=0))</f>
        <v>0</v>
      </c>
      <c r="O10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0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0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06" s="111" t="n">
        <f aca="false">IF(GanttView[[#This Row],[_RemFrom]]=0,0,GanttView[[#This Row],[Forecast Finish]])</f>
        <v>0</v>
      </c>
      <c r="S106" s="110" t="b">
        <f aca="false">IF(IFERROR(INDEX(tsk_Name,GanttView[[#This Row],[_Row]])="",TRUE()),FALSE(),N(INDEX(tsk_Variance,GanttView[[#This Row],[_Row]]))&gt;0)</f>
        <v>0</v>
      </c>
      <c r="T106" s="111" t="n">
        <f aca="false">IF(IFERROR(INDEX(tsk_Name,GanttView[[#This Row],[_Row]])="",TRUE()),0,N(INDEX(tsk_Deadline,GanttView[[#This Row],[_Row]])))</f>
        <v>0</v>
      </c>
      <c r="U106" s="110" t="b">
        <f aca="false">IF(IFERROR(INDEX(tsk_Name,GanttView[[#This Row],[_Row]])="",TRUE()),FALSE(),INDEX(tsk_Critical,GanttView[[#This Row],[_Row]])="Yes")</f>
        <v>0</v>
      </c>
    </row>
    <row r="107" customFormat="false" ht="15" hidden="false" customHeight="false" outlineLevel="0" collapsed="false">
      <c r="A107" s="104" t="str">
        <f aca="false">IF(IFERROR(INDEX(tsk_Name,GanttView[[#This Row],[_Row]])="",TRUE()),"",INDEX(tsk_ID,GanttView[[#This Row],[_Row]]))</f>
        <v/>
      </c>
      <c r="B107" s="104" t="str">
        <f aca="false">IF(IFERROR(INDEX(tsk_Name,GanttView[[#This Row],[_Row]])="",TRUE()),"",INDEX(tsk_WBS,GanttView[[#This Row],[_Row]]))</f>
        <v/>
      </c>
      <c r="C107" s="105" t="str">
        <f aca="false">IF(IFERROR(INDEX(tsk_Name,GanttView[[#This Row],[_Row]])="",TRUE()),"",REPT("    ",INDEX(tsk_Level,GanttView[[#This Row],[_Row]])-1)&amp;INDEX(tsk_Name,GanttView[[#This Row],[_Row]]))</f>
        <v/>
      </c>
      <c r="D10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07" s="106" t="str">
        <f aca="false">IF(IFERROR(INDEX(tsk_Name,GanttView[[#This Row],[_Row]])="",TRUE()),"",INDEX(tsk_PlanStart,GanttView[[#This Row],[_Row]]))</f>
        <v/>
      </c>
      <c r="F107" s="106" t="str">
        <f aca="false">IF(IFERROR(INDEX(tsk_Name,GanttView[[#This Row],[_Row]])="",TRUE()),"",INDEX(tsk_PlanFinish,GanttView[[#This Row],[_Row]]))</f>
        <v/>
      </c>
      <c r="G107" s="106" t="str">
        <f aca="false">IF(IFERROR(INDEX(tsk_Name,GanttView[[#This Row],[_Row]])="",TRUE()),"",INDEX(tsk_FcStart,GanttView[[#This Row],[_Row]]))</f>
        <v/>
      </c>
      <c r="H107" s="106" t="str">
        <f aca="false">IF(IFERROR(INDEX(tsk_Name,GanttView[[#This Row],[_Row]])="",TRUE()),"",INDEX(tsk_FcFinish,GanttView[[#This Row],[_Row]]))</f>
        <v/>
      </c>
      <c r="I107" s="107" t="str">
        <f aca="false">IF(IFERROR(INDEX(tsk_Name,GanttView[[#This Row],[_Row]])="",TRUE()),"",INDEX(tsk_Progress,GanttView[[#This Row],[_Row]]))</f>
        <v/>
      </c>
      <c r="J107" s="105" t="str">
        <f aca="false">IF(IFERROR(INDEX(tsk_Name,GanttView[[#This Row],[_Row]])="",TRUE()),"",INDEX(tsk_Resource,GanttView[[#This Row],[_Row]])&amp;"")</f>
        <v/>
      </c>
      <c r="K107" s="108" t="str">
        <f aca="false">IF(IFERROR(INDEX(tsk_Name,GanttView[[#This Row],[_Row]])="",TRUE()),"",INDEX(tsk_Status,GanttView[[#This Row],[_Row]]))</f>
        <v/>
      </c>
      <c r="L107" s="109" t="n">
        <f aca="false">ROW()-ROW(GanttView[[#Headers],[ID]])</f>
        <v>102</v>
      </c>
      <c r="M107" s="110" t="b">
        <f aca="false">IF(IFERROR(INDEX(tsk_Name,GanttView[[#This Row],[_Row]])="",TRUE()),FALSE(),INDEX(tsk_IsSummary,GanttView[[#This Row],[_Row]]))</f>
        <v>0</v>
      </c>
      <c r="N107" s="110" t="b">
        <f aca="false">IF(IFERROR(INDEX(tsk_Name,GanttView[[#This Row],[_Row]])="",TRUE()),FALSE(),AND(INDEX(tsk_IsLeaf,GanttView[[#This Row],[_Row]])=1,N(INDEX(tsk_Duration,GanttView[[#This Row],[_Row]]))=0))</f>
        <v>0</v>
      </c>
      <c r="O10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0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0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07" s="111" t="n">
        <f aca="false">IF(GanttView[[#This Row],[_RemFrom]]=0,0,GanttView[[#This Row],[Forecast Finish]])</f>
        <v>0</v>
      </c>
      <c r="S107" s="110" t="b">
        <f aca="false">IF(IFERROR(INDEX(tsk_Name,GanttView[[#This Row],[_Row]])="",TRUE()),FALSE(),N(INDEX(tsk_Variance,GanttView[[#This Row],[_Row]]))&gt;0)</f>
        <v>0</v>
      </c>
      <c r="T107" s="111" t="n">
        <f aca="false">IF(IFERROR(INDEX(tsk_Name,GanttView[[#This Row],[_Row]])="",TRUE()),0,N(INDEX(tsk_Deadline,GanttView[[#This Row],[_Row]])))</f>
        <v>0</v>
      </c>
      <c r="U107" s="110" t="b">
        <f aca="false">IF(IFERROR(INDEX(tsk_Name,GanttView[[#This Row],[_Row]])="",TRUE()),FALSE(),INDEX(tsk_Critical,GanttView[[#This Row],[_Row]])="Yes")</f>
        <v>0</v>
      </c>
    </row>
    <row r="108" customFormat="false" ht="15" hidden="false" customHeight="false" outlineLevel="0" collapsed="false">
      <c r="A108" s="104" t="str">
        <f aca="false">IF(IFERROR(INDEX(tsk_Name,GanttView[[#This Row],[_Row]])="",TRUE()),"",INDEX(tsk_ID,GanttView[[#This Row],[_Row]]))</f>
        <v/>
      </c>
      <c r="B108" s="104" t="str">
        <f aca="false">IF(IFERROR(INDEX(tsk_Name,GanttView[[#This Row],[_Row]])="",TRUE()),"",INDEX(tsk_WBS,GanttView[[#This Row],[_Row]]))</f>
        <v/>
      </c>
      <c r="C108" s="105" t="str">
        <f aca="false">IF(IFERROR(INDEX(tsk_Name,GanttView[[#This Row],[_Row]])="",TRUE()),"",REPT("    ",INDEX(tsk_Level,GanttView[[#This Row],[_Row]])-1)&amp;INDEX(tsk_Name,GanttView[[#This Row],[_Row]]))</f>
        <v/>
      </c>
      <c r="D10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08" s="106" t="str">
        <f aca="false">IF(IFERROR(INDEX(tsk_Name,GanttView[[#This Row],[_Row]])="",TRUE()),"",INDEX(tsk_PlanStart,GanttView[[#This Row],[_Row]]))</f>
        <v/>
      </c>
      <c r="F108" s="106" t="str">
        <f aca="false">IF(IFERROR(INDEX(tsk_Name,GanttView[[#This Row],[_Row]])="",TRUE()),"",INDEX(tsk_PlanFinish,GanttView[[#This Row],[_Row]]))</f>
        <v/>
      </c>
      <c r="G108" s="106" t="str">
        <f aca="false">IF(IFERROR(INDEX(tsk_Name,GanttView[[#This Row],[_Row]])="",TRUE()),"",INDEX(tsk_FcStart,GanttView[[#This Row],[_Row]]))</f>
        <v/>
      </c>
      <c r="H108" s="106" t="str">
        <f aca="false">IF(IFERROR(INDEX(tsk_Name,GanttView[[#This Row],[_Row]])="",TRUE()),"",INDEX(tsk_FcFinish,GanttView[[#This Row],[_Row]]))</f>
        <v/>
      </c>
      <c r="I108" s="107" t="str">
        <f aca="false">IF(IFERROR(INDEX(tsk_Name,GanttView[[#This Row],[_Row]])="",TRUE()),"",INDEX(tsk_Progress,GanttView[[#This Row],[_Row]]))</f>
        <v/>
      </c>
      <c r="J108" s="105" t="str">
        <f aca="false">IF(IFERROR(INDEX(tsk_Name,GanttView[[#This Row],[_Row]])="",TRUE()),"",INDEX(tsk_Resource,GanttView[[#This Row],[_Row]])&amp;"")</f>
        <v/>
      </c>
      <c r="K108" s="108" t="str">
        <f aca="false">IF(IFERROR(INDEX(tsk_Name,GanttView[[#This Row],[_Row]])="",TRUE()),"",INDEX(tsk_Status,GanttView[[#This Row],[_Row]]))</f>
        <v/>
      </c>
      <c r="L108" s="109" t="n">
        <f aca="false">ROW()-ROW(GanttView[[#Headers],[ID]])</f>
        <v>103</v>
      </c>
      <c r="M108" s="110" t="b">
        <f aca="false">IF(IFERROR(INDEX(tsk_Name,GanttView[[#This Row],[_Row]])="",TRUE()),FALSE(),INDEX(tsk_IsSummary,GanttView[[#This Row],[_Row]]))</f>
        <v>0</v>
      </c>
      <c r="N108" s="110" t="b">
        <f aca="false">IF(IFERROR(INDEX(tsk_Name,GanttView[[#This Row],[_Row]])="",TRUE()),FALSE(),AND(INDEX(tsk_IsLeaf,GanttView[[#This Row],[_Row]])=1,N(INDEX(tsk_Duration,GanttView[[#This Row],[_Row]]))=0))</f>
        <v>0</v>
      </c>
      <c r="O10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0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0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08" s="111" t="n">
        <f aca="false">IF(GanttView[[#This Row],[_RemFrom]]=0,0,GanttView[[#This Row],[Forecast Finish]])</f>
        <v>0</v>
      </c>
      <c r="S108" s="110" t="b">
        <f aca="false">IF(IFERROR(INDEX(tsk_Name,GanttView[[#This Row],[_Row]])="",TRUE()),FALSE(),N(INDEX(tsk_Variance,GanttView[[#This Row],[_Row]]))&gt;0)</f>
        <v>0</v>
      </c>
      <c r="T108" s="111" t="n">
        <f aca="false">IF(IFERROR(INDEX(tsk_Name,GanttView[[#This Row],[_Row]])="",TRUE()),0,N(INDEX(tsk_Deadline,GanttView[[#This Row],[_Row]])))</f>
        <v>0</v>
      </c>
      <c r="U108" s="110" t="b">
        <f aca="false">IF(IFERROR(INDEX(tsk_Name,GanttView[[#This Row],[_Row]])="",TRUE()),FALSE(),INDEX(tsk_Critical,GanttView[[#This Row],[_Row]])="Yes")</f>
        <v>0</v>
      </c>
    </row>
    <row r="109" customFormat="false" ht="15" hidden="false" customHeight="false" outlineLevel="0" collapsed="false">
      <c r="A109" s="104" t="str">
        <f aca="false">IF(IFERROR(INDEX(tsk_Name,GanttView[[#This Row],[_Row]])="",TRUE()),"",INDEX(tsk_ID,GanttView[[#This Row],[_Row]]))</f>
        <v/>
      </c>
      <c r="B109" s="104" t="str">
        <f aca="false">IF(IFERROR(INDEX(tsk_Name,GanttView[[#This Row],[_Row]])="",TRUE()),"",INDEX(tsk_WBS,GanttView[[#This Row],[_Row]]))</f>
        <v/>
      </c>
      <c r="C109" s="105" t="str">
        <f aca="false">IF(IFERROR(INDEX(tsk_Name,GanttView[[#This Row],[_Row]])="",TRUE()),"",REPT("    ",INDEX(tsk_Level,GanttView[[#This Row],[_Row]])-1)&amp;INDEX(tsk_Name,GanttView[[#This Row],[_Row]]))</f>
        <v/>
      </c>
      <c r="D10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09" s="106" t="str">
        <f aca="false">IF(IFERROR(INDEX(tsk_Name,GanttView[[#This Row],[_Row]])="",TRUE()),"",INDEX(tsk_PlanStart,GanttView[[#This Row],[_Row]]))</f>
        <v/>
      </c>
      <c r="F109" s="106" t="str">
        <f aca="false">IF(IFERROR(INDEX(tsk_Name,GanttView[[#This Row],[_Row]])="",TRUE()),"",INDEX(tsk_PlanFinish,GanttView[[#This Row],[_Row]]))</f>
        <v/>
      </c>
      <c r="G109" s="106" t="str">
        <f aca="false">IF(IFERROR(INDEX(tsk_Name,GanttView[[#This Row],[_Row]])="",TRUE()),"",INDEX(tsk_FcStart,GanttView[[#This Row],[_Row]]))</f>
        <v/>
      </c>
      <c r="H109" s="106" t="str">
        <f aca="false">IF(IFERROR(INDEX(tsk_Name,GanttView[[#This Row],[_Row]])="",TRUE()),"",INDEX(tsk_FcFinish,GanttView[[#This Row],[_Row]]))</f>
        <v/>
      </c>
      <c r="I109" s="107" t="str">
        <f aca="false">IF(IFERROR(INDEX(tsk_Name,GanttView[[#This Row],[_Row]])="",TRUE()),"",INDEX(tsk_Progress,GanttView[[#This Row],[_Row]]))</f>
        <v/>
      </c>
      <c r="J109" s="105" t="str">
        <f aca="false">IF(IFERROR(INDEX(tsk_Name,GanttView[[#This Row],[_Row]])="",TRUE()),"",INDEX(tsk_Resource,GanttView[[#This Row],[_Row]])&amp;"")</f>
        <v/>
      </c>
      <c r="K109" s="108" t="str">
        <f aca="false">IF(IFERROR(INDEX(tsk_Name,GanttView[[#This Row],[_Row]])="",TRUE()),"",INDEX(tsk_Status,GanttView[[#This Row],[_Row]]))</f>
        <v/>
      </c>
      <c r="L109" s="109" t="n">
        <f aca="false">ROW()-ROW(GanttView[[#Headers],[ID]])</f>
        <v>104</v>
      </c>
      <c r="M109" s="110" t="b">
        <f aca="false">IF(IFERROR(INDEX(tsk_Name,GanttView[[#This Row],[_Row]])="",TRUE()),FALSE(),INDEX(tsk_IsSummary,GanttView[[#This Row],[_Row]]))</f>
        <v>0</v>
      </c>
      <c r="N109" s="110" t="b">
        <f aca="false">IF(IFERROR(INDEX(tsk_Name,GanttView[[#This Row],[_Row]])="",TRUE()),FALSE(),AND(INDEX(tsk_IsLeaf,GanttView[[#This Row],[_Row]])=1,N(INDEX(tsk_Duration,GanttView[[#This Row],[_Row]]))=0))</f>
        <v>0</v>
      </c>
      <c r="O10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0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0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09" s="111" t="n">
        <f aca="false">IF(GanttView[[#This Row],[_RemFrom]]=0,0,GanttView[[#This Row],[Forecast Finish]])</f>
        <v>0</v>
      </c>
      <c r="S109" s="110" t="b">
        <f aca="false">IF(IFERROR(INDEX(tsk_Name,GanttView[[#This Row],[_Row]])="",TRUE()),FALSE(),N(INDEX(tsk_Variance,GanttView[[#This Row],[_Row]]))&gt;0)</f>
        <v>0</v>
      </c>
      <c r="T109" s="111" t="n">
        <f aca="false">IF(IFERROR(INDEX(tsk_Name,GanttView[[#This Row],[_Row]])="",TRUE()),0,N(INDEX(tsk_Deadline,GanttView[[#This Row],[_Row]])))</f>
        <v>0</v>
      </c>
      <c r="U109" s="110" t="b">
        <f aca="false">IF(IFERROR(INDEX(tsk_Name,GanttView[[#This Row],[_Row]])="",TRUE()),FALSE(),INDEX(tsk_Critical,GanttView[[#This Row],[_Row]])="Yes")</f>
        <v>0</v>
      </c>
    </row>
    <row r="110" customFormat="false" ht="15" hidden="false" customHeight="false" outlineLevel="0" collapsed="false">
      <c r="A110" s="104" t="str">
        <f aca="false">IF(IFERROR(INDEX(tsk_Name,GanttView[[#This Row],[_Row]])="",TRUE()),"",INDEX(tsk_ID,GanttView[[#This Row],[_Row]]))</f>
        <v/>
      </c>
      <c r="B110" s="104" t="str">
        <f aca="false">IF(IFERROR(INDEX(tsk_Name,GanttView[[#This Row],[_Row]])="",TRUE()),"",INDEX(tsk_WBS,GanttView[[#This Row],[_Row]]))</f>
        <v/>
      </c>
      <c r="C110" s="105" t="str">
        <f aca="false">IF(IFERROR(INDEX(tsk_Name,GanttView[[#This Row],[_Row]])="",TRUE()),"",REPT("    ",INDEX(tsk_Level,GanttView[[#This Row],[_Row]])-1)&amp;INDEX(tsk_Name,GanttView[[#This Row],[_Row]]))</f>
        <v/>
      </c>
      <c r="D11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10" s="106" t="str">
        <f aca="false">IF(IFERROR(INDEX(tsk_Name,GanttView[[#This Row],[_Row]])="",TRUE()),"",INDEX(tsk_PlanStart,GanttView[[#This Row],[_Row]]))</f>
        <v/>
      </c>
      <c r="F110" s="106" t="str">
        <f aca="false">IF(IFERROR(INDEX(tsk_Name,GanttView[[#This Row],[_Row]])="",TRUE()),"",INDEX(tsk_PlanFinish,GanttView[[#This Row],[_Row]]))</f>
        <v/>
      </c>
      <c r="G110" s="106" t="str">
        <f aca="false">IF(IFERROR(INDEX(tsk_Name,GanttView[[#This Row],[_Row]])="",TRUE()),"",INDEX(tsk_FcStart,GanttView[[#This Row],[_Row]]))</f>
        <v/>
      </c>
      <c r="H110" s="106" t="str">
        <f aca="false">IF(IFERROR(INDEX(tsk_Name,GanttView[[#This Row],[_Row]])="",TRUE()),"",INDEX(tsk_FcFinish,GanttView[[#This Row],[_Row]]))</f>
        <v/>
      </c>
      <c r="I110" s="107" t="str">
        <f aca="false">IF(IFERROR(INDEX(tsk_Name,GanttView[[#This Row],[_Row]])="",TRUE()),"",INDEX(tsk_Progress,GanttView[[#This Row],[_Row]]))</f>
        <v/>
      </c>
      <c r="J110" s="105" t="str">
        <f aca="false">IF(IFERROR(INDEX(tsk_Name,GanttView[[#This Row],[_Row]])="",TRUE()),"",INDEX(tsk_Resource,GanttView[[#This Row],[_Row]])&amp;"")</f>
        <v/>
      </c>
      <c r="K110" s="108" t="str">
        <f aca="false">IF(IFERROR(INDEX(tsk_Name,GanttView[[#This Row],[_Row]])="",TRUE()),"",INDEX(tsk_Status,GanttView[[#This Row],[_Row]]))</f>
        <v/>
      </c>
      <c r="L110" s="109" t="n">
        <f aca="false">ROW()-ROW(GanttView[[#Headers],[ID]])</f>
        <v>105</v>
      </c>
      <c r="M110" s="110" t="b">
        <f aca="false">IF(IFERROR(INDEX(tsk_Name,GanttView[[#This Row],[_Row]])="",TRUE()),FALSE(),INDEX(tsk_IsSummary,GanttView[[#This Row],[_Row]]))</f>
        <v>0</v>
      </c>
      <c r="N110" s="110" t="b">
        <f aca="false">IF(IFERROR(INDEX(tsk_Name,GanttView[[#This Row],[_Row]])="",TRUE()),FALSE(),AND(INDEX(tsk_IsLeaf,GanttView[[#This Row],[_Row]])=1,N(INDEX(tsk_Duration,GanttView[[#This Row],[_Row]]))=0))</f>
        <v>0</v>
      </c>
      <c r="O11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1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1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10" s="111" t="n">
        <f aca="false">IF(GanttView[[#This Row],[_RemFrom]]=0,0,GanttView[[#This Row],[Forecast Finish]])</f>
        <v>0</v>
      </c>
      <c r="S110" s="110" t="b">
        <f aca="false">IF(IFERROR(INDEX(tsk_Name,GanttView[[#This Row],[_Row]])="",TRUE()),FALSE(),N(INDEX(tsk_Variance,GanttView[[#This Row],[_Row]]))&gt;0)</f>
        <v>0</v>
      </c>
      <c r="T110" s="111" t="n">
        <f aca="false">IF(IFERROR(INDEX(tsk_Name,GanttView[[#This Row],[_Row]])="",TRUE()),0,N(INDEX(tsk_Deadline,GanttView[[#This Row],[_Row]])))</f>
        <v>0</v>
      </c>
      <c r="U110" s="110" t="b">
        <f aca="false">IF(IFERROR(INDEX(tsk_Name,GanttView[[#This Row],[_Row]])="",TRUE()),FALSE(),INDEX(tsk_Critical,GanttView[[#This Row],[_Row]])="Yes")</f>
        <v>0</v>
      </c>
    </row>
    <row r="111" customFormat="false" ht="15" hidden="false" customHeight="false" outlineLevel="0" collapsed="false">
      <c r="A111" s="104" t="str">
        <f aca="false">IF(IFERROR(INDEX(tsk_Name,GanttView[[#This Row],[_Row]])="",TRUE()),"",INDEX(tsk_ID,GanttView[[#This Row],[_Row]]))</f>
        <v/>
      </c>
      <c r="B111" s="104" t="str">
        <f aca="false">IF(IFERROR(INDEX(tsk_Name,GanttView[[#This Row],[_Row]])="",TRUE()),"",INDEX(tsk_WBS,GanttView[[#This Row],[_Row]]))</f>
        <v/>
      </c>
      <c r="C111" s="105" t="str">
        <f aca="false">IF(IFERROR(INDEX(tsk_Name,GanttView[[#This Row],[_Row]])="",TRUE()),"",REPT("    ",INDEX(tsk_Level,GanttView[[#This Row],[_Row]])-1)&amp;INDEX(tsk_Name,GanttView[[#This Row],[_Row]]))</f>
        <v/>
      </c>
      <c r="D11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11" s="106" t="str">
        <f aca="false">IF(IFERROR(INDEX(tsk_Name,GanttView[[#This Row],[_Row]])="",TRUE()),"",INDEX(tsk_PlanStart,GanttView[[#This Row],[_Row]]))</f>
        <v/>
      </c>
      <c r="F111" s="106" t="str">
        <f aca="false">IF(IFERROR(INDEX(tsk_Name,GanttView[[#This Row],[_Row]])="",TRUE()),"",INDEX(tsk_PlanFinish,GanttView[[#This Row],[_Row]]))</f>
        <v/>
      </c>
      <c r="G111" s="106" t="str">
        <f aca="false">IF(IFERROR(INDEX(tsk_Name,GanttView[[#This Row],[_Row]])="",TRUE()),"",INDEX(tsk_FcStart,GanttView[[#This Row],[_Row]]))</f>
        <v/>
      </c>
      <c r="H111" s="106" t="str">
        <f aca="false">IF(IFERROR(INDEX(tsk_Name,GanttView[[#This Row],[_Row]])="",TRUE()),"",INDEX(tsk_FcFinish,GanttView[[#This Row],[_Row]]))</f>
        <v/>
      </c>
      <c r="I111" s="107" t="str">
        <f aca="false">IF(IFERROR(INDEX(tsk_Name,GanttView[[#This Row],[_Row]])="",TRUE()),"",INDEX(tsk_Progress,GanttView[[#This Row],[_Row]]))</f>
        <v/>
      </c>
      <c r="J111" s="105" t="str">
        <f aca="false">IF(IFERROR(INDEX(tsk_Name,GanttView[[#This Row],[_Row]])="",TRUE()),"",INDEX(tsk_Resource,GanttView[[#This Row],[_Row]])&amp;"")</f>
        <v/>
      </c>
      <c r="K111" s="108" t="str">
        <f aca="false">IF(IFERROR(INDEX(tsk_Name,GanttView[[#This Row],[_Row]])="",TRUE()),"",INDEX(tsk_Status,GanttView[[#This Row],[_Row]]))</f>
        <v/>
      </c>
      <c r="L111" s="109" t="n">
        <f aca="false">ROW()-ROW(GanttView[[#Headers],[ID]])</f>
        <v>106</v>
      </c>
      <c r="M111" s="110" t="b">
        <f aca="false">IF(IFERROR(INDEX(tsk_Name,GanttView[[#This Row],[_Row]])="",TRUE()),FALSE(),INDEX(tsk_IsSummary,GanttView[[#This Row],[_Row]]))</f>
        <v>0</v>
      </c>
      <c r="N111" s="110" t="b">
        <f aca="false">IF(IFERROR(INDEX(tsk_Name,GanttView[[#This Row],[_Row]])="",TRUE()),FALSE(),AND(INDEX(tsk_IsLeaf,GanttView[[#This Row],[_Row]])=1,N(INDEX(tsk_Duration,GanttView[[#This Row],[_Row]]))=0))</f>
        <v>0</v>
      </c>
      <c r="O11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1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1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11" s="111" t="n">
        <f aca="false">IF(GanttView[[#This Row],[_RemFrom]]=0,0,GanttView[[#This Row],[Forecast Finish]])</f>
        <v>0</v>
      </c>
      <c r="S111" s="110" t="b">
        <f aca="false">IF(IFERROR(INDEX(tsk_Name,GanttView[[#This Row],[_Row]])="",TRUE()),FALSE(),N(INDEX(tsk_Variance,GanttView[[#This Row],[_Row]]))&gt;0)</f>
        <v>0</v>
      </c>
      <c r="T111" s="111" t="n">
        <f aca="false">IF(IFERROR(INDEX(tsk_Name,GanttView[[#This Row],[_Row]])="",TRUE()),0,N(INDEX(tsk_Deadline,GanttView[[#This Row],[_Row]])))</f>
        <v>0</v>
      </c>
      <c r="U111" s="110" t="b">
        <f aca="false">IF(IFERROR(INDEX(tsk_Name,GanttView[[#This Row],[_Row]])="",TRUE()),FALSE(),INDEX(tsk_Critical,GanttView[[#This Row],[_Row]])="Yes")</f>
        <v>0</v>
      </c>
    </row>
    <row r="112" customFormat="false" ht="15" hidden="false" customHeight="false" outlineLevel="0" collapsed="false">
      <c r="A112" s="104" t="str">
        <f aca="false">IF(IFERROR(INDEX(tsk_Name,GanttView[[#This Row],[_Row]])="",TRUE()),"",INDEX(tsk_ID,GanttView[[#This Row],[_Row]]))</f>
        <v/>
      </c>
      <c r="B112" s="104" t="str">
        <f aca="false">IF(IFERROR(INDEX(tsk_Name,GanttView[[#This Row],[_Row]])="",TRUE()),"",INDEX(tsk_WBS,GanttView[[#This Row],[_Row]]))</f>
        <v/>
      </c>
      <c r="C112" s="105" t="str">
        <f aca="false">IF(IFERROR(INDEX(tsk_Name,GanttView[[#This Row],[_Row]])="",TRUE()),"",REPT("    ",INDEX(tsk_Level,GanttView[[#This Row],[_Row]])-1)&amp;INDEX(tsk_Name,GanttView[[#This Row],[_Row]]))</f>
        <v/>
      </c>
      <c r="D11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12" s="106" t="str">
        <f aca="false">IF(IFERROR(INDEX(tsk_Name,GanttView[[#This Row],[_Row]])="",TRUE()),"",INDEX(tsk_PlanStart,GanttView[[#This Row],[_Row]]))</f>
        <v/>
      </c>
      <c r="F112" s="106" t="str">
        <f aca="false">IF(IFERROR(INDEX(tsk_Name,GanttView[[#This Row],[_Row]])="",TRUE()),"",INDEX(tsk_PlanFinish,GanttView[[#This Row],[_Row]]))</f>
        <v/>
      </c>
      <c r="G112" s="106" t="str">
        <f aca="false">IF(IFERROR(INDEX(tsk_Name,GanttView[[#This Row],[_Row]])="",TRUE()),"",INDEX(tsk_FcStart,GanttView[[#This Row],[_Row]]))</f>
        <v/>
      </c>
      <c r="H112" s="106" t="str">
        <f aca="false">IF(IFERROR(INDEX(tsk_Name,GanttView[[#This Row],[_Row]])="",TRUE()),"",INDEX(tsk_FcFinish,GanttView[[#This Row],[_Row]]))</f>
        <v/>
      </c>
      <c r="I112" s="107" t="str">
        <f aca="false">IF(IFERROR(INDEX(tsk_Name,GanttView[[#This Row],[_Row]])="",TRUE()),"",INDEX(tsk_Progress,GanttView[[#This Row],[_Row]]))</f>
        <v/>
      </c>
      <c r="J112" s="105" t="str">
        <f aca="false">IF(IFERROR(INDEX(tsk_Name,GanttView[[#This Row],[_Row]])="",TRUE()),"",INDEX(tsk_Resource,GanttView[[#This Row],[_Row]])&amp;"")</f>
        <v/>
      </c>
      <c r="K112" s="108" t="str">
        <f aca="false">IF(IFERROR(INDEX(tsk_Name,GanttView[[#This Row],[_Row]])="",TRUE()),"",INDEX(tsk_Status,GanttView[[#This Row],[_Row]]))</f>
        <v/>
      </c>
      <c r="L112" s="109" t="n">
        <f aca="false">ROW()-ROW(GanttView[[#Headers],[ID]])</f>
        <v>107</v>
      </c>
      <c r="M112" s="110" t="b">
        <f aca="false">IF(IFERROR(INDEX(tsk_Name,GanttView[[#This Row],[_Row]])="",TRUE()),FALSE(),INDEX(tsk_IsSummary,GanttView[[#This Row],[_Row]]))</f>
        <v>0</v>
      </c>
      <c r="N112" s="110" t="b">
        <f aca="false">IF(IFERROR(INDEX(tsk_Name,GanttView[[#This Row],[_Row]])="",TRUE()),FALSE(),AND(INDEX(tsk_IsLeaf,GanttView[[#This Row],[_Row]])=1,N(INDEX(tsk_Duration,GanttView[[#This Row],[_Row]]))=0))</f>
        <v>0</v>
      </c>
      <c r="O11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1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1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12" s="111" t="n">
        <f aca="false">IF(GanttView[[#This Row],[_RemFrom]]=0,0,GanttView[[#This Row],[Forecast Finish]])</f>
        <v>0</v>
      </c>
      <c r="S112" s="110" t="b">
        <f aca="false">IF(IFERROR(INDEX(tsk_Name,GanttView[[#This Row],[_Row]])="",TRUE()),FALSE(),N(INDEX(tsk_Variance,GanttView[[#This Row],[_Row]]))&gt;0)</f>
        <v>0</v>
      </c>
      <c r="T112" s="111" t="n">
        <f aca="false">IF(IFERROR(INDEX(tsk_Name,GanttView[[#This Row],[_Row]])="",TRUE()),0,N(INDEX(tsk_Deadline,GanttView[[#This Row],[_Row]])))</f>
        <v>0</v>
      </c>
      <c r="U112" s="110" t="b">
        <f aca="false">IF(IFERROR(INDEX(tsk_Name,GanttView[[#This Row],[_Row]])="",TRUE()),FALSE(),INDEX(tsk_Critical,GanttView[[#This Row],[_Row]])="Yes")</f>
        <v>0</v>
      </c>
    </row>
    <row r="113" customFormat="false" ht="15" hidden="false" customHeight="false" outlineLevel="0" collapsed="false">
      <c r="A113" s="104" t="str">
        <f aca="false">IF(IFERROR(INDEX(tsk_Name,GanttView[[#This Row],[_Row]])="",TRUE()),"",INDEX(tsk_ID,GanttView[[#This Row],[_Row]]))</f>
        <v/>
      </c>
      <c r="B113" s="104" t="str">
        <f aca="false">IF(IFERROR(INDEX(tsk_Name,GanttView[[#This Row],[_Row]])="",TRUE()),"",INDEX(tsk_WBS,GanttView[[#This Row],[_Row]]))</f>
        <v/>
      </c>
      <c r="C113" s="105" t="str">
        <f aca="false">IF(IFERROR(INDEX(tsk_Name,GanttView[[#This Row],[_Row]])="",TRUE()),"",REPT("    ",INDEX(tsk_Level,GanttView[[#This Row],[_Row]])-1)&amp;INDEX(tsk_Name,GanttView[[#This Row],[_Row]]))</f>
        <v/>
      </c>
      <c r="D11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13" s="106" t="str">
        <f aca="false">IF(IFERROR(INDEX(tsk_Name,GanttView[[#This Row],[_Row]])="",TRUE()),"",INDEX(tsk_PlanStart,GanttView[[#This Row],[_Row]]))</f>
        <v/>
      </c>
      <c r="F113" s="106" t="str">
        <f aca="false">IF(IFERROR(INDEX(tsk_Name,GanttView[[#This Row],[_Row]])="",TRUE()),"",INDEX(tsk_PlanFinish,GanttView[[#This Row],[_Row]]))</f>
        <v/>
      </c>
      <c r="G113" s="106" t="str">
        <f aca="false">IF(IFERROR(INDEX(tsk_Name,GanttView[[#This Row],[_Row]])="",TRUE()),"",INDEX(tsk_FcStart,GanttView[[#This Row],[_Row]]))</f>
        <v/>
      </c>
      <c r="H113" s="106" t="str">
        <f aca="false">IF(IFERROR(INDEX(tsk_Name,GanttView[[#This Row],[_Row]])="",TRUE()),"",INDEX(tsk_FcFinish,GanttView[[#This Row],[_Row]]))</f>
        <v/>
      </c>
      <c r="I113" s="107" t="str">
        <f aca="false">IF(IFERROR(INDEX(tsk_Name,GanttView[[#This Row],[_Row]])="",TRUE()),"",INDEX(tsk_Progress,GanttView[[#This Row],[_Row]]))</f>
        <v/>
      </c>
      <c r="J113" s="105" t="str">
        <f aca="false">IF(IFERROR(INDEX(tsk_Name,GanttView[[#This Row],[_Row]])="",TRUE()),"",INDEX(tsk_Resource,GanttView[[#This Row],[_Row]])&amp;"")</f>
        <v/>
      </c>
      <c r="K113" s="108" t="str">
        <f aca="false">IF(IFERROR(INDEX(tsk_Name,GanttView[[#This Row],[_Row]])="",TRUE()),"",INDEX(tsk_Status,GanttView[[#This Row],[_Row]]))</f>
        <v/>
      </c>
      <c r="L113" s="109" t="n">
        <f aca="false">ROW()-ROW(GanttView[[#Headers],[ID]])</f>
        <v>108</v>
      </c>
      <c r="M113" s="110" t="b">
        <f aca="false">IF(IFERROR(INDEX(tsk_Name,GanttView[[#This Row],[_Row]])="",TRUE()),FALSE(),INDEX(tsk_IsSummary,GanttView[[#This Row],[_Row]]))</f>
        <v>0</v>
      </c>
      <c r="N113" s="110" t="b">
        <f aca="false">IF(IFERROR(INDEX(tsk_Name,GanttView[[#This Row],[_Row]])="",TRUE()),FALSE(),AND(INDEX(tsk_IsLeaf,GanttView[[#This Row],[_Row]])=1,N(INDEX(tsk_Duration,GanttView[[#This Row],[_Row]]))=0))</f>
        <v>0</v>
      </c>
      <c r="O11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1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1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13" s="111" t="n">
        <f aca="false">IF(GanttView[[#This Row],[_RemFrom]]=0,0,GanttView[[#This Row],[Forecast Finish]])</f>
        <v>0</v>
      </c>
      <c r="S113" s="110" t="b">
        <f aca="false">IF(IFERROR(INDEX(tsk_Name,GanttView[[#This Row],[_Row]])="",TRUE()),FALSE(),N(INDEX(tsk_Variance,GanttView[[#This Row],[_Row]]))&gt;0)</f>
        <v>0</v>
      </c>
      <c r="T113" s="111" t="n">
        <f aca="false">IF(IFERROR(INDEX(tsk_Name,GanttView[[#This Row],[_Row]])="",TRUE()),0,N(INDEX(tsk_Deadline,GanttView[[#This Row],[_Row]])))</f>
        <v>0</v>
      </c>
      <c r="U113" s="110" t="b">
        <f aca="false">IF(IFERROR(INDEX(tsk_Name,GanttView[[#This Row],[_Row]])="",TRUE()),FALSE(),INDEX(tsk_Critical,GanttView[[#This Row],[_Row]])="Yes")</f>
        <v>0</v>
      </c>
    </row>
    <row r="114" customFormat="false" ht="15" hidden="false" customHeight="false" outlineLevel="0" collapsed="false">
      <c r="A114" s="104" t="str">
        <f aca="false">IF(IFERROR(INDEX(tsk_Name,GanttView[[#This Row],[_Row]])="",TRUE()),"",INDEX(tsk_ID,GanttView[[#This Row],[_Row]]))</f>
        <v/>
      </c>
      <c r="B114" s="104" t="str">
        <f aca="false">IF(IFERROR(INDEX(tsk_Name,GanttView[[#This Row],[_Row]])="",TRUE()),"",INDEX(tsk_WBS,GanttView[[#This Row],[_Row]]))</f>
        <v/>
      </c>
      <c r="C114" s="105" t="str">
        <f aca="false">IF(IFERROR(INDEX(tsk_Name,GanttView[[#This Row],[_Row]])="",TRUE()),"",REPT("    ",INDEX(tsk_Level,GanttView[[#This Row],[_Row]])-1)&amp;INDEX(tsk_Name,GanttView[[#This Row],[_Row]]))</f>
        <v/>
      </c>
      <c r="D11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14" s="106" t="str">
        <f aca="false">IF(IFERROR(INDEX(tsk_Name,GanttView[[#This Row],[_Row]])="",TRUE()),"",INDEX(tsk_PlanStart,GanttView[[#This Row],[_Row]]))</f>
        <v/>
      </c>
      <c r="F114" s="106" t="str">
        <f aca="false">IF(IFERROR(INDEX(tsk_Name,GanttView[[#This Row],[_Row]])="",TRUE()),"",INDEX(tsk_PlanFinish,GanttView[[#This Row],[_Row]]))</f>
        <v/>
      </c>
      <c r="G114" s="106" t="str">
        <f aca="false">IF(IFERROR(INDEX(tsk_Name,GanttView[[#This Row],[_Row]])="",TRUE()),"",INDEX(tsk_FcStart,GanttView[[#This Row],[_Row]]))</f>
        <v/>
      </c>
      <c r="H114" s="106" t="str">
        <f aca="false">IF(IFERROR(INDEX(tsk_Name,GanttView[[#This Row],[_Row]])="",TRUE()),"",INDEX(tsk_FcFinish,GanttView[[#This Row],[_Row]]))</f>
        <v/>
      </c>
      <c r="I114" s="107" t="str">
        <f aca="false">IF(IFERROR(INDEX(tsk_Name,GanttView[[#This Row],[_Row]])="",TRUE()),"",INDEX(tsk_Progress,GanttView[[#This Row],[_Row]]))</f>
        <v/>
      </c>
      <c r="J114" s="105" t="str">
        <f aca="false">IF(IFERROR(INDEX(tsk_Name,GanttView[[#This Row],[_Row]])="",TRUE()),"",INDEX(tsk_Resource,GanttView[[#This Row],[_Row]])&amp;"")</f>
        <v/>
      </c>
      <c r="K114" s="108" t="str">
        <f aca="false">IF(IFERROR(INDEX(tsk_Name,GanttView[[#This Row],[_Row]])="",TRUE()),"",INDEX(tsk_Status,GanttView[[#This Row],[_Row]]))</f>
        <v/>
      </c>
      <c r="L114" s="109" t="n">
        <f aca="false">ROW()-ROW(GanttView[[#Headers],[ID]])</f>
        <v>109</v>
      </c>
      <c r="M114" s="110" t="b">
        <f aca="false">IF(IFERROR(INDEX(tsk_Name,GanttView[[#This Row],[_Row]])="",TRUE()),FALSE(),INDEX(tsk_IsSummary,GanttView[[#This Row],[_Row]]))</f>
        <v>0</v>
      </c>
      <c r="N114" s="110" t="b">
        <f aca="false">IF(IFERROR(INDEX(tsk_Name,GanttView[[#This Row],[_Row]])="",TRUE()),FALSE(),AND(INDEX(tsk_IsLeaf,GanttView[[#This Row],[_Row]])=1,N(INDEX(tsk_Duration,GanttView[[#This Row],[_Row]]))=0))</f>
        <v>0</v>
      </c>
      <c r="O11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1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1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14" s="111" t="n">
        <f aca="false">IF(GanttView[[#This Row],[_RemFrom]]=0,0,GanttView[[#This Row],[Forecast Finish]])</f>
        <v>0</v>
      </c>
      <c r="S114" s="110" t="b">
        <f aca="false">IF(IFERROR(INDEX(tsk_Name,GanttView[[#This Row],[_Row]])="",TRUE()),FALSE(),N(INDEX(tsk_Variance,GanttView[[#This Row],[_Row]]))&gt;0)</f>
        <v>0</v>
      </c>
      <c r="T114" s="111" t="n">
        <f aca="false">IF(IFERROR(INDEX(tsk_Name,GanttView[[#This Row],[_Row]])="",TRUE()),0,N(INDEX(tsk_Deadline,GanttView[[#This Row],[_Row]])))</f>
        <v>0</v>
      </c>
      <c r="U114" s="110" t="b">
        <f aca="false">IF(IFERROR(INDEX(tsk_Name,GanttView[[#This Row],[_Row]])="",TRUE()),FALSE(),INDEX(tsk_Critical,GanttView[[#This Row],[_Row]])="Yes")</f>
        <v>0</v>
      </c>
    </row>
    <row r="115" customFormat="false" ht="15" hidden="false" customHeight="false" outlineLevel="0" collapsed="false">
      <c r="A115" s="104" t="str">
        <f aca="false">IF(IFERROR(INDEX(tsk_Name,GanttView[[#This Row],[_Row]])="",TRUE()),"",INDEX(tsk_ID,GanttView[[#This Row],[_Row]]))</f>
        <v/>
      </c>
      <c r="B115" s="104" t="str">
        <f aca="false">IF(IFERROR(INDEX(tsk_Name,GanttView[[#This Row],[_Row]])="",TRUE()),"",INDEX(tsk_WBS,GanttView[[#This Row],[_Row]]))</f>
        <v/>
      </c>
      <c r="C115" s="105" t="str">
        <f aca="false">IF(IFERROR(INDEX(tsk_Name,GanttView[[#This Row],[_Row]])="",TRUE()),"",REPT("    ",INDEX(tsk_Level,GanttView[[#This Row],[_Row]])-1)&amp;INDEX(tsk_Name,GanttView[[#This Row],[_Row]]))</f>
        <v/>
      </c>
      <c r="D11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15" s="106" t="str">
        <f aca="false">IF(IFERROR(INDEX(tsk_Name,GanttView[[#This Row],[_Row]])="",TRUE()),"",INDEX(tsk_PlanStart,GanttView[[#This Row],[_Row]]))</f>
        <v/>
      </c>
      <c r="F115" s="106" t="str">
        <f aca="false">IF(IFERROR(INDEX(tsk_Name,GanttView[[#This Row],[_Row]])="",TRUE()),"",INDEX(tsk_PlanFinish,GanttView[[#This Row],[_Row]]))</f>
        <v/>
      </c>
      <c r="G115" s="106" t="str">
        <f aca="false">IF(IFERROR(INDEX(tsk_Name,GanttView[[#This Row],[_Row]])="",TRUE()),"",INDEX(tsk_FcStart,GanttView[[#This Row],[_Row]]))</f>
        <v/>
      </c>
      <c r="H115" s="106" t="str">
        <f aca="false">IF(IFERROR(INDEX(tsk_Name,GanttView[[#This Row],[_Row]])="",TRUE()),"",INDEX(tsk_FcFinish,GanttView[[#This Row],[_Row]]))</f>
        <v/>
      </c>
      <c r="I115" s="107" t="str">
        <f aca="false">IF(IFERROR(INDEX(tsk_Name,GanttView[[#This Row],[_Row]])="",TRUE()),"",INDEX(tsk_Progress,GanttView[[#This Row],[_Row]]))</f>
        <v/>
      </c>
      <c r="J115" s="105" t="str">
        <f aca="false">IF(IFERROR(INDEX(tsk_Name,GanttView[[#This Row],[_Row]])="",TRUE()),"",INDEX(tsk_Resource,GanttView[[#This Row],[_Row]])&amp;"")</f>
        <v/>
      </c>
      <c r="K115" s="108" t="str">
        <f aca="false">IF(IFERROR(INDEX(tsk_Name,GanttView[[#This Row],[_Row]])="",TRUE()),"",INDEX(tsk_Status,GanttView[[#This Row],[_Row]]))</f>
        <v/>
      </c>
      <c r="L115" s="109" t="n">
        <f aca="false">ROW()-ROW(GanttView[[#Headers],[ID]])</f>
        <v>110</v>
      </c>
      <c r="M115" s="110" t="b">
        <f aca="false">IF(IFERROR(INDEX(tsk_Name,GanttView[[#This Row],[_Row]])="",TRUE()),FALSE(),INDEX(tsk_IsSummary,GanttView[[#This Row],[_Row]]))</f>
        <v>0</v>
      </c>
      <c r="N115" s="110" t="b">
        <f aca="false">IF(IFERROR(INDEX(tsk_Name,GanttView[[#This Row],[_Row]])="",TRUE()),FALSE(),AND(INDEX(tsk_IsLeaf,GanttView[[#This Row],[_Row]])=1,N(INDEX(tsk_Duration,GanttView[[#This Row],[_Row]]))=0))</f>
        <v>0</v>
      </c>
      <c r="O11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1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1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15" s="111" t="n">
        <f aca="false">IF(GanttView[[#This Row],[_RemFrom]]=0,0,GanttView[[#This Row],[Forecast Finish]])</f>
        <v>0</v>
      </c>
      <c r="S115" s="110" t="b">
        <f aca="false">IF(IFERROR(INDEX(tsk_Name,GanttView[[#This Row],[_Row]])="",TRUE()),FALSE(),N(INDEX(tsk_Variance,GanttView[[#This Row],[_Row]]))&gt;0)</f>
        <v>0</v>
      </c>
      <c r="T115" s="111" t="n">
        <f aca="false">IF(IFERROR(INDEX(tsk_Name,GanttView[[#This Row],[_Row]])="",TRUE()),0,N(INDEX(tsk_Deadline,GanttView[[#This Row],[_Row]])))</f>
        <v>0</v>
      </c>
      <c r="U115" s="110" t="b">
        <f aca="false">IF(IFERROR(INDEX(tsk_Name,GanttView[[#This Row],[_Row]])="",TRUE()),FALSE(),INDEX(tsk_Critical,GanttView[[#This Row],[_Row]])="Yes")</f>
        <v>0</v>
      </c>
    </row>
    <row r="116" customFormat="false" ht="15" hidden="false" customHeight="false" outlineLevel="0" collapsed="false">
      <c r="A116" s="104" t="str">
        <f aca="false">IF(IFERROR(INDEX(tsk_Name,GanttView[[#This Row],[_Row]])="",TRUE()),"",INDEX(tsk_ID,GanttView[[#This Row],[_Row]]))</f>
        <v/>
      </c>
      <c r="B116" s="104" t="str">
        <f aca="false">IF(IFERROR(INDEX(tsk_Name,GanttView[[#This Row],[_Row]])="",TRUE()),"",INDEX(tsk_WBS,GanttView[[#This Row],[_Row]]))</f>
        <v/>
      </c>
      <c r="C116" s="105" t="str">
        <f aca="false">IF(IFERROR(INDEX(tsk_Name,GanttView[[#This Row],[_Row]])="",TRUE()),"",REPT("    ",INDEX(tsk_Level,GanttView[[#This Row],[_Row]])-1)&amp;INDEX(tsk_Name,GanttView[[#This Row],[_Row]]))</f>
        <v/>
      </c>
      <c r="D11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16" s="106" t="str">
        <f aca="false">IF(IFERROR(INDEX(tsk_Name,GanttView[[#This Row],[_Row]])="",TRUE()),"",INDEX(tsk_PlanStart,GanttView[[#This Row],[_Row]]))</f>
        <v/>
      </c>
      <c r="F116" s="106" t="str">
        <f aca="false">IF(IFERROR(INDEX(tsk_Name,GanttView[[#This Row],[_Row]])="",TRUE()),"",INDEX(tsk_PlanFinish,GanttView[[#This Row],[_Row]]))</f>
        <v/>
      </c>
      <c r="G116" s="106" t="str">
        <f aca="false">IF(IFERROR(INDEX(tsk_Name,GanttView[[#This Row],[_Row]])="",TRUE()),"",INDEX(tsk_FcStart,GanttView[[#This Row],[_Row]]))</f>
        <v/>
      </c>
      <c r="H116" s="106" t="str">
        <f aca="false">IF(IFERROR(INDEX(tsk_Name,GanttView[[#This Row],[_Row]])="",TRUE()),"",INDEX(tsk_FcFinish,GanttView[[#This Row],[_Row]]))</f>
        <v/>
      </c>
      <c r="I116" s="107" t="str">
        <f aca="false">IF(IFERROR(INDEX(tsk_Name,GanttView[[#This Row],[_Row]])="",TRUE()),"",INDEX(tsk_Progress,GanttView[[#This Row],[_Row]]))</f>
        <v/>
      </c>
      <c r="J116" s="105" t="str">
        <f aca="false">IF(IFERROR(INDEX(tsk_Name,GanttView[[#This Row],[_Row]])="",TRUE()),"",INDEX(tsk_Resource,GanttView[[#This Row],[_Row]])&amp;"")</f>
        <v/>
      </c>
      <c r="K116" s="108" t="str">
        <f aca="false">IF(IFERROR(INDEX(tsk_Name,GanttView[[#This Row],[_Row]])="",TRUE()),"",INDEX(tsk_Status,GanttView[[#This Row],[_Row]]))</f>
        <v/>
      </c>
      <c r="L116" s="109" t="n">
        <f aca="false">ROW()-ROW(GanttView[[#Headers],[ID]])</f>
        <v>111</v>
      </c>
      <c r="M116" s="110" t="b">
        <f aca="false">IF(IFERROR(INDEX(tsk_Name,GanttView[[#This Row],[_Row]])="",TRUE()),FALSE(),INDEX(tsk_IsSummary,GanttView[[#This Row],[_Row]]))</f>
        <v>0</v>
      </c>
      <c r="N116" s="110" t="b">
        <f aca="false">IF(IFERROR(INDEX(tsk_Name,GanttView[[#This Row],[_Row]])="",TRUE()),FALSE(),AND(INDEX(tsk_IsLeaf,GanttView[[#This Row],[_Row]])=1,N(INDEX(tsk_Duration,GanttView[[#This Row],[_Row]]))=0))</f>
        <v>0</v>
      </c>
      <c r="O11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1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1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16" s="111" t="n">
        <f aca="false">IF(GanttView[[#This Row],[_RemFrom]]=0,0,GanttView[[#This Row],[Forecast Finish]])</f>
        <v>0</v>
      </c>
      <c r="S116" s="110" t="b">
        <f aca="false">IF(IFERROR(INDEX(tsk_Name,GanttView[[#This Row],[_Row]])="",TRUE()),FALSE(),N(INDEX(tsk_Variance,GanttView[[#This Row],[_Row]]))&gt;0)</f>
        <v>0</v>
      </c>
      <c r="T116" s="111" t="n">
        <f aca="false">IF(IFERROR(INDEX(tsk_Name,GanttView[[#This Row],[_Row]])="",TRUE()),0,N(INDEX(tsk_Deadline,GanttView[[#This Row],[_Row]])))</f>
        <v>0</v>
      </c>
      <c r="U116" s="110" t="b">
        <f aca="false">IF(IFERROR(INDEX(tsk_Name,GanttView[[#This Row],[_Row]])="",TRUE()),FALSE(),INDEX(tsk_Critical,GanttView[[#This Row],[_Row]])="Yes")</f>
        <v>0</v>
      </c>
    </row>
    <row r="117" customFormat="false" ht="15" hidden="false" customHeight="false" outlineLevel="0" collapsed="false">
      <c r="A117" s="104" t="str">
        <f aca="false">IF(IFERROR(INDEX(tsk_Name,GanttView[[#This Row],[_Row]])="",TRUE()),"",INDEX(tsk_ID,GanttView[[#This Row],[_Row]]))</f>
        <v/>
      </c>
      <c r="B117" s="104" t="str">
        <f aca="false">IF(IFERROR(INDEX(tsk_Name,GanttView[[#This Row],[_Row]])="",TRUE()),"",INDEX(tsk_WBS,GanttView[[#This Row],[_Row]]))</f>
        <v/>
      </c>
      <c r="C117" s="105" t="str">
        <f aca="false">IF(IFERROR(INDEX(tsk_Name,GanttView[[#This Row],[_Row]])="",TRUE()),"",REPT("    ",INDEX(tsk_Level,GanttView[[#This Row],[_Row]])-1)&amp;INDEX(tsk_Name,GanttView[[#This Row],[_Row]]))</f>
        <v/>
      </c>
      <c r="D11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17" s="106" t="str">
        <f aca="false">IF(IFERROR(INDEX(tsk_Name,GanttView[[#This Row],[_Row]])="",TRUE()),"",INDEX(tsk_PlanStart,GanttView[[#This Row],[_Row]]))</f>
        <v/>
      </c>
      <c r="F117" s="106" t="str">
        <f aca="false">IF(IFERROR(INDEX(tsk_Name,GanttView[[#This Row],[_Row]])="",TRUE()),"",INDEX(tsk_PlanFinish,GanttView[[#This Row],[_Row]]))</f>
        <v/>
      </c>
      <c r="G117" s="106" t="str">
        <f aca="false">IF(IFERROR(INDEX(tsk_Name,GanttView[[#This Row],[_Row]])="",TRUE()),"",INDEX(tsk_FcStart,GanttView[[#This Row],[_Row]]))</f>
        <v/>
      </c>
      <c r="H117" s="106" t="str">
        <f aca="false">IF(IFERROR(INDEX(tsk_Name,GanttView[[#This Row],[_Row]])="",TRUE()),"",INDEX(tsk_FcFinish,GanttView[[#This Row],[_Row]]))</f>
        <v/>
      </c>
      <c r="I117" s="107" t="str">
        <f aca="false">IF(IFERROR(INDEX(tsk_Name,GanttView[[#This Row],[_Row]])="",TRUE()),"",INDEX(tsk_Progress,GanttView[[#This Row],[_Row]]))</f>
        <v/>
      </c>
      <c r="J117" s="105" t="str">
        <f aca="false">IF(IFERROR(INDEX(tsk_Name,GanttView[[#This Row],[_Row]])="",TRUE()),"",INDEX(tsk_Resource,GanttView[[#This Row],[_Row]])&amp;"")</f>
        <v/>
      </c>
      <c r="K117" s="108" t="str">
        <f aca="false">IF(IFERROR(INDEX(tsk_Name,GanttView[[#This Row],[_Row]])="",TRUE()),"",INDEX(tsk_Status,GanttView[[#This Row],[_Row]]))</f>
        <v/>
      </c>
      <c r="L117" s="109" t="n">
        <f aca="false">ROW()-ROW(GanttView[[#Headers],[ID]])</f>
        <v>112</v>
      </c>
      <c r="M117" s="110" t="b">
        <f aca="false">IF(IFERROR(INDEX(tsk_Name,GanttView[[#This Row],[_Row]])="",TRUE()),FALSE(),INDEX(tsk_IsSummary,GanttView[[#This Row],[_Row]]))</f>
        <v>0</v>
      </c>
      <c r="N117" s="110" t="b">
        <f aca="false">IF(IFERROR(INDEX(tsk_Name,GanttView[[#This Row],[_Row]])="",TRUE()),FALSE(),AND(INDEX(tsk_IsLeaf,GanttView[[#This Row],[_Row]])=1,N(INDEX(tsk_Duration,GanttView[[#This Row],[_Row]]))=0))</f>
        <v>0</v>
      </c>
      <c r="O11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1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1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17" s="111" t="n">
        <f aca="false">IF(GanttView[[#This Row],[_RemFrom]]=0,0,GanttView[[#This Row],[Forecast Finish]])</f>
        <v>0</v>
      </c>
      <c r="S117" s="110" t="b">
        <f aca="false">IF(IFERROR(INDEX(tsk_Name,GanttView[[#This Row],[_Row]])="",TRUE()),FALSE(),N(INDEX(tsk_Variance,GanttView[[#This Row],[_Row]]))&gt;0)</f>
        <v>0</v>
      </c>
      <c r="T117" s="111" t="n">
        <f aca="false">IF(IFERROR(INDEX(tsk_Name,GanttView[[#This Row],[_Row]])="",TRUE()),0,N(INDEX(tsk_Deadline,GanttView[[#This Row],[_Row]])))</f>
        <v>0</v>
      </c>
      <c r="U117" s="110" t="b">
        <f aca="false">IF(IFERROR(INDEX(tsk_Name,GanttView[[#This Row],[_Row]])="",TRUE()),FALSE(),INDEX(tsk_Critical,GanttView[[#This Row],[_Row]])="Yes")</f>
        <v>0</v>
      </c>
    </row>
    <row r="118" customFormat="false" ht="15" hidden="false" customHeight="false" outlineLevel="0" collapsed="false">
      <c r="A118" s="104" t="str">
        <f aca="false">IF(IFERROR(INDEX(tsk_Name,GanttView[[#This Row],[_Row]])="",TRUE()),"",INDEX(tsk_ID,GanttView[[#This Row],[_Row]]))</f>
        <v/>
      </c>
      <c r="B118" s="104" t="str">
        <f aca="false">IF(IFERROR(INDEX(tsk_Name,GanttView[[#This Row],[_Row]])="",TRUE()),"",INDEX(tsk_WBS,GanttView[[#This Row],[_Row]]))</f>
        <v/>
      </c>
      <c r="C118" s="105" t="str">
        <f aca="false">IF(IFERROR(INDEX(tsk_Name,GanttView[[#This Row],[_Row]])="",TRUE()),"",REPT("    ",INDEX(tsk_Level,GanttView[[#This Row],[_Row]])-1)&amp;INDEX(tsk_Name,GanttView[[#This Row],[_Row]]))</f>
        <v/>
      </c>
      <c r="D11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18" s="106" t="str">
        <f aca="false">IF(IFERROR(INDEX(tsk_Name,GanttView[[#This Row],[_Row]])="",TRUE()),"",INDEX(tsk_PlanStart,GanttView[[#This Row],[_Row]]))</f>
        <v/>
      </c>
      <c r="F118" s="106" t="str">
        <f aca="false">IF(IFERROR(INDEX(tsk_Name,GanttView[[#This Row],[_Row]])="",TRUE()),"",INDEX(tsk_PlanFinish,GanttView[[#This Row],[_Row]]))</f>
        <v/>
      </c>
      <c r="G118" s="106" t="str">
        <f aca="false">IF(IFERROR(INDEX(tsk_Name,GanttView[[#This Row],[_Row]])="",TRUE()),"",INDEX(tsk_FcStart,GanttView[[#This Row],[_Row]]))</f>
        <v/>
      </c>
      <c r="H118" s="106" t="str">
        <f aca="false">IF(IFERROR(INDEX(tsk_Name,GanttView[[#This Row],[_Row]])="",TRUE()),"",INDEX(tsk_FcFinish,GanttView[[#This Row],[_Row]]))</f>
        <v/>
      </c>
      <c r="I118" s="107" t="str">
        <f aca="false">IF(IFERROR(INDEX(tsk_Name,GanttView[[#This Row],[_Row]])="",TRUE()),"",INDEX(tsk_Progress,GanttView[[#This Row],[_Row]]))</f>
        <v/>
      </c>
      <c r="J118" s="105" t="str">
        <f aca="false">IF(IFERROR(INDEX(tsk_Name,GanttView[[#This Row],[_Row]])="",TRUE()),"",INDEX(tsk_Resource,GanttView[[#This Row],[_Row]])&amp;"")</f>
        <v/>
      </c>
      <c r="K118" s="108" t="str">
        <f aca="false">IF(IFERROR(INDEX(tsk_Name,GanttView[[#This Row],[_Row]])="",TRUE()),"",INDEX(tsk_Status,GanttView[[#This Row],[_Row]]))</f>
        <v/>
      </c>
      <c r="L118" s="109" t="n">
        <f aca="false">ROW()-ROW(GanttView[[#Headers],[ID]])</f>
        <v>113</v>
      </c>
      <c r="M118" s="110" t="b">
        <f aca="false">IF(IFERROR(INDEX(tsk_Name,GanttView[[#This Row],[_Row]])="",TRUE()),FALSE(),INDEX(tsk_IsSummary,GanttView[[#This Row],[_Row]]))</f>
        <v>0</v>
      </c>
      <c r="N118" s="110" t="b">
        <f aca="false">IF(IFERROR(INDEX(tsk_Name,GanttView[[#This Row],[_Row]])="",TRUE()),FALSE(),AND(INDEX(tsk_IsLeaf,GanttView[[#This Row],[_Row]])=1,N(INDEX(tsk_Duration,GanttView[[#This Row],[_Row]]))=0))</f>
        <v>0</v>
      </c>
      <c r="O11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1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1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18" s="111" t="n">
        <f aca="false">IF(GanttView[[#This Row],[_RemFrom]]=0,0,GanttView[[#This Row],[Forecast Finish]])</f>
        <v>0</v>
      </c>
      <c r="S118" s="110" t="b">
        <f aca="false">IF(IFERROR(INDEX(tsk_Name,GanttView[[#This Row],[_Row]])="",TRUE()),FALSE(),N(INDEX(tsk_Variance,GanttView[[#This Row],[_Row]]))&gt;0)</f>
        <v>0</v>
      </c>
      <c r="T118" s="111" t="n">
        <f aca="false">IF(IFERROR(INDEX(tsk_Name,GanttView[[#This Row],[_Row]])="",TRUE()),0,N(INDEX(tsk_Deadline,GanttView[[#This Row],[_Row]])))</f>
        <v>0</v>
      </c>
      <c r="U118" s="110" t="b">
        <f aca="false">IF(IFERROR(INDEX(tsk_Name,GanttView[[#This Row],[_Row]])="",TRUE()),FALSE(),INDEX(tsk_Critical,GanttView[[#This Row],[_Row]])="Yes")</f>
        <v>0</v>
      </c>
    </row>
    <row r="119" customFormat="false" ht="15" hidden="false" customHeight="false" outlineLevel="0" collapsed="false">
      <c r="A119" s="104" t="str">
        <f aca="false">IF(IFERROR(INDEX(tsk_Name,GanttView[[#This Row],[_Row]])="",TRUE()),"",INDEX(tsk_ID,GanttView[[#This Row],[_Row]]))</f>
        <v/>
      </c>
      <c r="B119" s="104" t="str">
        <f aca="false">IF(IFERROR(INDEX(tsk_Name,GanttView[[#This Row],[_Row]])="",TRUE()),"",INDEX(tsk_WBS,GanttView[[#This Row],[_Row]]))</f>
        <v/>
      </c>
      <c r="C119" s="105" t="str">
        <f aca="false">IF(IFERROR(INDEX(tsk_Name,GanttView[[#This Row],[_Row]])="",TRUE()),"",REPT("    ",INDEX(tsk_Level,GanttView[[#This Row],[_Row]])-1)&amp;INDEX(tsk_Name,GanttView[[#This Row],[_Row]]))</f>
        <v/>
      </c>
      <c r="D11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19" s="106" t="str">
        <f aca="false">IF(IFERROR(INDEX(tsk_Name,GanttView[[#This Row],[_Row]])="",TRUE()),"",INDEX(tsk_PlanStart,GanttView[[#This Row],[_Row]]))</f>
        <v/>
      </c>
      <c r="F119" s="106" t="str">
        <f aca="false">IF(IFERROR(INDEX(tsk_Name,GanttView[[#This Row],[_Row]])="",TRUE()),"",INDEX(tsk_PlanFinish,GanttView[[#This Row],[_Row]]))</f>
        <v/>
      </c>
      <c r="G119" s="106" t="str">
        <f aca="false">IF(IFERROR(INDEX(tsk_Name,GanttView[[#This Row],[_Row]])="",TRUE()),"",INDEX(tsk_FcStart,GanttView[[#This Row],[_Row]]))</f>
        <v/>
      </c>
      <c r="H119" s="106" t="str">
        <f aca="false">IF(IFERROR(INDEX(tsk_Name,GanttView[[#This Row],[_Row]])="",TRUE()),"",INDEX(tsk_FcFinish,GanttView[[#This Row],[_Row]]))</f>
        <v/>
      </c>
      <c r="I119" s="107" t="str">
        <f aca="false">IF(IFERROR(INDEX(tsk_Name,GanttView[[#This Row],[_Row]])="",TRUE()),"",INDEX(tsk_Progress,GanttView[[#This Row],[_Row]]))</f>
        <v/>
      </c>
      <c r="J119" s="105" t="str">
        <f aca="false">IF(IFERROR(INDEX(tsk_Name,GanttView[[#This Row],[_Row]])="",TRUE()),"",INDEX(tsk_Resource,GanttView[[#This Row],[_Row]])&amp;"")</f>
        <v/>
      </c>
      <c r="K119" s="108" t="str">
        <f aca="false">IF(IFERROR(INDEX(tsk_Name,GanttView[[#This Row],[_Row]])="",TRUE()),"",INDEX(tsk_Status,GanttView[[#This Row],[_Row]]))</f>
        <v/>
      </c>
      <c r="L119" s="109" t="n">
        <f aca="false">ROW()-ROW(GanttView[[#Headers],[ID]])</f>
        <v>114</v>
      </c>
      <c r="M119" s="110" t="b">
        <f aca="false">IF(IFERROR(INDEX(tsk_Name,GanttView[[#This Row],[_Row]])="",TRUE()),FALSE(),INDEX(tsk_IsSummary,GanttView[[#This Row],[_Row]]))</f>
        <v>0</v>
      </c>
      <c r="N119" s="110" t="b">
        <f aca="false">IF(IFERROR(INDEX(tsk_Name,GanttView[[#This Row],[_Row]])="",TRUE()),FALSE(),AND(INDEX(tsk_IsLeaf,GanttView[[#This Row],[_Row]])=1,N(INDEX(tsk_Duration,GanttView[[#This Row],[_Row]]))=0))</f>
        <v>0</v>
      </c>
      <c r="O11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1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1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19" s="111" t="n">
        <f aca="false">IF(GanttView[[#This Row],[_RemFrom]]=0,0,GanttView[[#This Row],[Forecast Finish]])</f>
        <v>0</v>
      </c>
      <c r="S119" s="110" t="b">
        <f aca="false">IF(IFERROR(INDEX(tsk_Name,GanttView[[#This Row],[_Row]])="",TRUE()),FALSE(),N(INDEX(tsk_Variance,GanttView[[#This Row],[_Row]]))&gt;0)</f>
        <v>0</v>
      </c>
      <c r="T119" s="111" t="n">
        <f aca="false">IF(IFERROR(INDEX(tsk_Name,GanttView[[#This Row],[_Row]])="",TRUE()),0,N(INDEX(tsk_Deadline,GanttView[[#This Row],[_Row]])))</f>
        <v>0</v>
      </c>
      <c r="U119" s="110" t="b">
        <f aca="false">IF(IFERROR(INDEX(tsk_Name,GanttView[[#This Row],[_Row]])="",TRUE()),FALSE(),INDEX(tsk_Critical,GanttView[[#This Row],[_Row]])="Yes")</f>
        <v>0</v>
      </c>
    </row>
    <row r="120" customFormat="false" ht="15" hidden="false" customHeight="false" outlineLevel="0" collapsed="false">
      <c r="A120" s="104" t="str">
        <f aca="false">IF(IFERROR(INDEX(tsk_Name,GanttView[[#This Row],[_Row]])="",TRUE()),"",INDEX(tsk_ID,GanttView[[#This Row],[_Row]]))</f>
        <v/>
      </c>
      <c r="B120" s="104" t="str">
        <f aca="false">IF(IFERROR(INDEX(tsk_Name,GanttView[[#This Row],[_Row]])="",TRUE()),"",INDEX(tsk_WBS,GanttView[[#This Row],[_Row]]))</f>
        <v/>
      </c>
      <c r="C120" s="105" t="str">
        <f aca="false">IF(IFERROR(INDEX(tsk_Name,GanttView[[#This Row],[_Row]])="",TRUE()),"",REPT("    ",INDEX(tsk_Level,GanttView[[#This Row],[_Row]])-1)&amp;INDEX(tsk_Name,GanttView[[#This Row],[_Row]]))</f>
        <v/>
      </c>
      <c r="D12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20" s="106" t="str">
        <f aca="false">IF(IFERROR(INDEX(tsk_Name,GanttView[[#This Row],[_Row]])="",TRUE()),"",INDEX(tsk_PlanStart,GanttView[[#This Row],[_Row]]))</f>
        <v/>
      </c>
      <c r="F120" s="106" t="str">
        <f aca="false">IF(IFERROR(INDEX(tsk_Name,GanttView[[#This Row],[_Row]])="",TRUE()),"",INDEX(tsk_PlanFinish,GanttView[[#This Row],[_Row]]))</f>
        <v/>
      </c>
      <c r="G120" s="106" t="str">
        <f aca="false">IF(IFERROR(INDEX(tsk_Name,GanttView[[#This Row],[_Row]])="",TRUE()),"",INDEX(tsk_FcStart,GanttView[[#This Row],[_Row]]))</f>
        <v/>
      </c>
      <c r="H120" s="106" t="str">
        <f aca="false">IF(IFERROR(INDEX(tsk_Name,GanttView[[#This Row],[_Row]])="",TRUE()),"",INDEX(tsk_FcFinish,GanttView[[#This Row],[_Row]]))</f>
        <v/>
      </c>
      <c r="I120" s="107" t="str">
        <f aca="false">IF(IFERROR(INDEX(tsk_Name,GanttView[[#This Row],[_Row]])="",TRUE()),"",INDEX(tsk_Progress,GanttView[[#This Row],[_Row]]))</f>
        <v/>
      </c>
      <c r="J120" s="105" t="str">
        <f aca="false">IF(IFERROR(INDEX(tsk_Name,GanttView[[#This Row],[_Row]])="",TRUE()),"",INDEX(tsk_Resource,GanttView[[#This Row],[_Row]])&amp;"")</f>
        <v/>
      </c>
      <c r="K120" s="108" t="str">
        <f aca="false">IF(IFERROR(INDEX(tsk_Name,GanttView[[#This Row],[_Row]])="",TRUE()),"",INDEX(tsk_Status,GanttView[[#This Row],[_Row]]))</f>
        <v/>
      </c>
      <c r="L120" s="109" t="n">
        <f aca="false">ROW()-ROW(GanttView[[#Headers],[ID]])</f>
        <v>115</v>
      </c>
      <c r="M120" s="110" t="b">
        <f aca="false">IF(IFERROR(INDEX(tsk_Name,GanttView[[#This Row],[_Row]])="",TRUE()),FALSE(),INDEX(tsk_IsSummary,GanttView[[#This Row],[_Row]]))</f>
        <v>0</v>
      </c>
      <c r="N120" s="110" t="b">
        <f aca="false">IF(IFERROR(INDEX(tsk_Name,GanttView[[#This Row],[_Row]])="",TRUE()),FALSE(),AND(INDEX(tsk_IsLeaf,GanttView[[#This Row],[_Row]])=1,N(INDEX(tsk_Duration,GanttView[[#This Row],[_Row]]))=0))</f>
        <v>0</v>
      </c>
      <c r="O12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2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2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20" s="111" t="n">
        <f aca="false">IF(GanttView[[#This Row],[_RemFrom]]=0,0,GanttView[[#This Row],[Forecast Finish]])</f>
        <v>0</v>
      </c>
      <c r="S120" s="110" t="b">
        <f aca="false">IF(IFERROR(INDEX(tsk_Name,GanttView[[#This Row],[_Row]])="",TRUE()),FALSE(),N(INDEX(tsk_Variance,GanttView[[#This Row],[_Row]]))&gt;0)</f>
        <v>0</v>
      </c>
      <c r="T120" s="111" t="n">
        <f aca="false">IF(IFERROR(INDEX(tsk_Name,GanttView[[#This Row],[_Row]])="",TRUE()),0,N(INDEX(tsk_Deadline,GanttView[[#This Row],[_Row]])))</f>
        <v>0</v>
      </c>
      <c r="U120" s="110" t="b">
        <f aca="false">IF(IFERROR(INDEX(tsk_Name,GanttView[[#This Row],[_Row]])="",TRUE()),FALSE(),INDEX(tsk_Critical,GanttView[[#This Row],[_Row]])="Yes")</f>
        <v>0</v>
      </c>
    </row>
    <row r="121" customFormat="false" ht="15" hidden="false" customHeight="false" outlineLevel="0" collapsed="false">
      <c r="A121" s="104" t="str">
        <f aca="false">IF(IFERROR(INDEX(tsk_Name,GanttView[[#This Row],[_Row]])="",TRUE()),"",INDEX(tsk_ID,GanttView[[#This Row],[_Row]]))</f>
        <v/>
      </c>
      <c r="B121" s="104" t="str">
        <f aca="false">IF(IFERROR(INDEX(tsk_Name,GanttView[[#This Row],[_Row]])="",TRUE()),"",INDEX(tsk_WBS,GanttView[[#This Row],[_Row]]))</f>
        <v/>
      </c>
      <c r="C121" s="105" t="str">
        <f aca="false">IF(IFERROR(INDEX(tsk_Name,GanttView[[#This Row],[_Row]])="",TRUE()),"",REPT("    ",INDEX(tsk_Level,GanttView[[#This Row],[_Row]])-1)&amp;INDEX(tsk_Name,GanttView[[#This Row],[_Row]]))</f>
        <v/>
      </c>
      <c r="D12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21" s="106" t="str">
        <f aca="false">IF(IFERROR(INDEX(tsk_Name,GanttView[[#This Row],[_Row]])="",TRUE()),"",INDEX(tsk_PlanStart,GanttView[[#This Row],[_Row]]))</f>
        <v/>
      </c>
      <c r="F121" s="106" t="str">
        <f aca="false">IF(IFERROR(INDEX(tsk_Name,GanttView[[#This Row],[_Row]])="",TRUE()),"",INDEX(tsk_PlanFinish,GanttView[[#This Row],[_Row]]))</f>
        <v/>
      </c>
      <c r="G121" s="106" t="str">
        <f aca="false">IF(IFERROR(INDEX(tsk_Name,GanttView[[#This Row],[_Row]])="",TRUE()),"",INDEX(tsk_FcStart,GanttView[[#This Row],[_Row]]))</f>
        <v/>
      </c>
      <c r="H121" s="106" t="str">
        <f aca="false">IF(IFERROR(INDEX(tsk_Name,GanttView[[#This Row],[_Row]])="",TRUE()),"",INDEX(tsk_FcFinish,GanttView[[#This Row],[_Row]]))</f>
        <v/>
      </c>
      <c r="I121" s="107" t="str">
        <f aca="false">IF(IFERROR(INDEX(tsk_Name,GanttView[[#This Row],[_Row]])="",TRUE()),"",INDEX(tsk_Progress,GanttView[[#This Row],[_Row]]))</f>
        <v/>
      </c>
      <c r="J121" s="105" t="str">
        <f aca="false">IF(IFERROR(INDEX(tsk_Name,GanttView[[#This Row],[_Row]])="",TRUE()),"",INDEX(tsk_Resource,GanttView[[#This Row],[_Row]])&amp;"")</f>
        <v/>
      </c>
      <c r="K121" s="108" t="str">
        <f aca="false">IF(IFERROR(INDEX(tsk_Name,GanttView[[#This Row],[_Row]])="",TRUE()),"",INDEX(tsk_Status,GanttView[[#This Row],[_Row]]))</f>
        <v/>
      </c>
      <c r="L121" s="109" t="n">
        <f aca="false">ROW()-ROW(GanttView[[#Headers],[ID]])</f>
        <v>116</v>
      </c>
      <c r="M121" s="110" t="b">
        <f aca="false">IF(IFERROR(INDEX(tsk_Name,GanttView[[#This Row],[_Row]])="",TRUE()),FALSE(),INDEX(tsk_IsSummary,GanttView[[#This Row],[_Row]]))</f>
        <v>0</v>
      </c>
      <c r="N121" s="110" t="b">
        <f aca="false">IF(IFERROR(INDEX(tsk_Name,GanttView[[#This Row],[_Row]])="",TRUE()),FALSE(),AND(INDEX(tsk_IsLeaf,GanttView[[#This Row],[_Row]])=1,N(INDEX(tsk_Duration,GanttView[[#This Row],[_Row]]))=0))</f>
        <v>0</v>
      </c>
      <c r="O12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2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2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21" s="111" t="n">
        <f aca="false">IF(GanttView[[#This Row],[_RemFrom]]=0,0,GanttView[[#This Row],[Forecast Finish]])</f>
        <v>0</v>
      </c>
      <c r="S121" s="110" t="b">
        <f aca="false">IF(IFERROR(INDEX(tsk_Name,GanttView[[#This Row],[_Row]])="",TRUE()),FALSE(),N(INDEX(tsk_Variance,GanttView[[#This Row],[_Row]]))&gt;0)</f>
        <v>0</v>
      </c>
      <c r="T121" s="111" t="n">
        <f aca="false">IF(IFERROR(INDEX(tsk_Name,GanttView[[#This Row],[_Row]])="",TRUE()),0,N(INDEX(tsk_Deadline,GanttView[[#This Row],[_Row]])))</f>
        <v>0</v>
      </c>
      <c r="U121" s="110" t="b">
        <f aca="false">IF(IFERROR(INDEX(tsk_Name,GanttView[[#This Row],[_Row]])="",TRUE()),FALSE(),INDEX(tsk_Critical,GanttView[[#This Row],[_Row]])="Yes")</f>
        <v>0</v>
      </c>
    </row>
    <row r="122" customFormat="false" ht="15" hidden="false" customHeight="false" outlineLevel="0" collapsed="false">
      <c r="A122" s="104" t="str">
        <f aca="false">IF(IFERROR(INDEX(tsk_Name,GanttView[[#This Row],[_Row]])="",TRUE()),"",INDEX(tsk_ID,GanttView[[#This Row],[_Row]]))</f>
        <v/>
      </c>
      <c r="B122" s="104" t="str">
        <f aca="false">IF(IFERROR(INDEX(tsk_Name,GanttView[[#This Row],[_Row]])="",TRUE()),"",INDEX(tsk_WBS,GanttView[[#This Row],[_Row]]))</f>
        <v/>
      </c>
      <c r="C122" s="105" t="str">
        <f aca="false">IF(IFERROR(INDEX(tsk_Name,GanttView[[#This Row],[_Row]])="",TRUE()),"",REPT("    ",INDEX(tsk_Level,GanttView[[#This Row],[_Row]])-1)&amp;INDEX(tsk_Name,GanttView[[#This Row],[_Row]]))</f>
        <v/>
      </c>
      <c r="D12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22" s="106" t="str">
        <f aca="false">IF(IFERROR(INDEX(tsk_Name,GanttView[[#This Row],[_Row]])="",TRUE()),"",INDEX(tsk_PlanStart,GanttView[[#This Row],[_Row]]))</f>
        <v/>
      </c>
      <c r="F122" s="106" t="str">
        <f aca="false">IF(IFERROR(INDEX(tsk_Name,GanttView[[#This Row],[_Row]])="",TRUE()),"",INDEX(tsk_PlanFinish,GanttView[[#This Row],[_Row]]))</f>
        <v/>
      </c>
      <c r="G122" s="106" t="str">
        <f aca="false">IF(IFERROR(INDEX(tsk_Name,GanttView[[#This Row],[_Row]])="",TRUE()),"",INDEX(tsk_FcStart,GanttView[[#This Row],[_Row]]))</f>
        <v/>
      </c>
      <c r="H122" s="106" t="str">
        <f aca="false">IF(IFERROR(INDEX(tsk_Name,GanttView[[#This Row],[_Row]])="",TRUE()),"",INDEX(tsk_FcFinish,GanttView[[#This Row],[_Row]]))</f>
        <v/>
      </c>
      <c r="I122" s="107" t="str">
        <f aca="false">IF(IFERROR(INDEX(tsk_Name,GanttView[[#This Row],[_Row]])="",TRUE()),"",INDEX(tsk_Progress,GanttView[[#This Row],[_Row]]))</f>
        <v/>
      </c>
      <c r="J122" s="105" t="str">
        <f aca="false">IF(IFERROR(INDEX(tsk_Name,GanttView[[#This Row],[_Row]])="",TRUE()),"",INDEX(tsk_Resource,GanttView[[#This Row],[_Row]])&amp;"")</f>
        <v/>
      </c>
      <c r="K122" s="108" t="str">
        <f aca="false">IF(IFERROR(INDEX(tsk_Name,GanttView[[#This Row],[_Row]])="",TRUE()),"",INDEX(tsk_Status,GanttView[[#This Row],[_Row]]))</f>
        <v/>
      </c>
      <c r="L122" s="109" t="n">
        <f aca="false">ROW()-ROW(GanttView[[#Headers],[ID]])</f>
        <v>117</v>
      </c>
      <c r="M122" s="110" t="b">
        <f aca="false">IF(IFERROR(INDEX(tsk_Name,GanttView[[#This Row],[_Row]])="",TRUE()),FALSE(),INDEX(tsk_IsSummary,GanttView[[#This Row],[_Row]]))</f>
        <v>0</v>
      </c>
      <c r="N122" s="110" t="b">
        <f aca="false">IF(IFERROR(INDEX(tsk_Name,GanttView[[#This Row],[_Row]])="",TRUE()),FALSE(),AND(INDEX(tsk_IsLeaf,GanttView[[#This Row],[_Row]])=1,N(INDEX(tsk_Duration,GanttView[[#This Row],[_Row]]))=0))</f>
        <v>0</v>
      </c>
      <c r="O12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2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2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22" s="111" t="n">
        <f aca="false">IF(GanttView[[#This Row],[_RemFrom]]=0,0,GanttView[[#This Row],[Forecast Finish]])</f>
        <v>0</v>
      </c>
      <c r="S122" s="110" t="b">
        <f aca="false">IF(IFERROR(INDEX(tsk_Name,GanttView[[#This Row],[_Row]])="",TRUE()),FALSE(),N(INDEX(tsk_Variance,GanttView[[#This Row],[_Row]]))&gt;0)</f>
        <v>0</v>
      </c>
      <c r="T122" s="111" t="n">
        <f aca="false">IF(IFERROR(INDEX(tsk_Name,GanttView[[#This Row],[_Row]])="",TRUE()),0,N(INDEX(tsk_Deadline,GanttView[[#This Row],[_Row]])))</f>
        <v>0</v>
      </c>
      <c r="U122" s="110" t="b">
        <f aca="false">IF(IFERROR(INDEX(tsk_Name,GanttView[[#This Row],[_Row]])="",TRUE()),FALSE(),INDEX(tsk_Critical,GanttView[[#This Row],[_Row]])="Yes")</f>
        <v>0</v>
      </c>
    </row>
    <row r="123" customFormat="false" ht="15" hidden="false" customHeight="false" outlineLevel="0" collapsed="false">
      <c r="A123" s="104" t="str">
        <f aca="false">IF(IFERROR(INDEX(tsk_Name,GanttView[[#This Row],[_Row]])="",TRUE()),"",INDEX(tsk_ID,GanttView[[#This Row],[_Row]]))</f>
        <v/>
      </c>
      <c r="B123" s="104" t="str">
        <f aca="false">IF(IFERROR(INDEX(tsk_Name,GanttView[[#This Row],[_Row]])="",TRUE()),"",INDEX(tsk_WBS,GanttView[[#This Row],[_Row]]))</f>
        <v/>
      </c>
      <c r="C123" s="105" t="str">
        <f aca="false">IF(IFERROR(INDEX(tsk_Name,GanttView[[#This Row],[_Row]])="",TRUE()),"",REPT("    ",INDEX(tsk_Level,GanttView[[#This Row],[_Row]])-1)&amp;INDEX(tsk_Name,GanttView[[#This Row],[_Row]]))</f>
        <v/>
      </c>
      <c r="D12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23" s="106" t="str">
        <f aca="false">IF(IFERROR(INDEX(tsk_Name,GanttView[[#This Row],[_Row]])="",TRUE()),"",INDEX(tsk_PlanStart,GanttView[[#This Row],[_Row]]))</f>
        <v/>
      </c>
      <c r="F123" s="106" t="str">
        <f aca="false">IF(IFERROR(INDEX(tsk_Name,GanttView[[#This Row],[_Row]])="",TRUE()),"",INDEX(tsk_PlanFinish,GanttView[[#This Row],[_Row]]))</f>
        <v/>
      </c>
      <c r="G123" s="106" t="str">
        <f aca="false">IF(IFERROR(INDEX(tsk_Name,GanttView[[#This Row],[_Row]])="",TRUE()),"",INDEX(tsk_FcStart,GanttView[[#This Row],[_Row]]))</f>
        <v/>
      </c>
      <c r="H123" s="106" t="str">
        <f aca="false">IF(IFERROR(INDEX(tsk_Name,GanttView[[#This Row],[_Row]])="",TRUE()),"",INDEX(tsk_FcFinish,GanttView[[#This Row],[_Row]]))</f>
        <v/>
      </c>
      <c r="I123" s="107" t="str">
        <f aca="false">IF(IFERROR(INDEX(tsk_Name,GanttView[[#This Row],[_Row]])="",TRUE()),"",INDEX(tsk_Progress,GanttView[[#This Row],[_Row]]))</f>
        <v/>
      </c>
      <c r="J123" s="105" t="str">
        <f aca="false">IF(IFERROR(INDEX(tsk_Name,GanttView[[#This Row],[_Row]])="",TRUE()),"",INDEX(tsk_Resource,GanttView[[#This Row],[_Row]])&amp;"")</f>
        <v/>
      </c>
      <c r="K123" s="108" t="str">
        <f aca="false">IF(IFERROR(INDEX(tsk_Name,GanttView[[#This Row],[_Row]])="",TRUE()),"",INDEX(tsk_Status,GanttView[[#This Row],[_Row]]))</f>
        <v/>
      </c>
      <c r="L123" s="109" t="n">
        <f aca="false">ROW()-ROW(GanttView[[#Headers],[ID]])</f>
        <v>118</v>
      </c>
      <c r="M123" s="110" t="b">
        <f aca="false">IF(IFERROR(INDEX(tsk_Name,GanttView[[#This Row],[_Row]])="",TRUE()),FALSE(),INDEX(tsk_IsSummary,GanttView[[#This Row],[_Row]]))</f>
        <v>0</v>
      </c>
      <c r="N123" s="110" t="b">
        <f aca="false">IF(IFERROR(INDEX(tsk_Name,GanttView[[#This Row],[_Row]])="",TRUE()),FALSE(),AND(INDEX(tsk_IsLeaf,GanttView[[#This Row],[_Row]])=1,N(INDEX(tsk_Duration,GanttView[[#This Row],[_Row]]))=0))</f>
        <v>0</v>
      </c>
      <c r="O12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2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2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23" s="111" t="n">
        <f aca="false">IF(GanttView[[#This Row],[_RemFrom]]=0,0,GanttView[[#This Row],[Forecast Finish]])</f>
        <v>0</v>
      </c>
      <c r="S123" s="110" t="b">
        <f aca="false">IF(IFERROR(INDEX(tsk_Name,GanttView[[#This Row],[_Row]])="",TRUE()),FALSE(),N(INDEX(tsk_Variance,GanttView[[#This Row],[_Row]]))&gt;0)</f>
        <v>0</v>
      </c>
      <c r="T123" s="111" t="n">
        <f aca="false">IF(IFERROR(INDEX(tsk_Name,GanttView[[#This Row],[_Row]])="",TRUE()),0,N(INDEX(tsk_Deadline,GanttView[[#This Row],[_Row]])))</f>
        <v>0</v>
      </c>
      <c r="U123" s="110" t="b">
        <f aca="false">IF(IFERROR(INDEX(tsk_Name,GanttView[[#This Row],[_Row]])="",TRUE()),FALSE(),INDEX(tsk_Critical,GanttView[[#This Row],[_Row]])="Yes")</f>
        <v>0</v>
      </c>
    </row>
    <row r="124" customFormat="false" ht="15" hidden="false" customHeight="false" outlineLevel="0" collapsed="false">
      <c r="A124" s="104" t="str">
        <f aca="false">IF(IFERROR(INDEX(tsk_Name,GanttView[[#This Row],[_Row]])="",TRUE()),"",INDEX(tsk_ID,GanttView[[#This Row],[_Row]]))</f>
        <v/>
      </c>
      <c r="B124" s="104" t="str">
        <f aca="false">IF(IFERROR(INDEX(tsk_Name,GanttView[[#This Row],[_Row]])="",TRUE()),"",INDEX(tsk_WBS,GanttView[[#This Row],[_Row]]))</f>
        <v/>
      </c>
      <c r="C124" s="105" t="str">
        <f aca="false">IF(IFERROR(INDEX(tsk_Name,GanttView[[#This Row],[_Row]])="",TRUE()),"",REPT("    ",INDEX(tsk_Level,GanttView[[#This Row],[_Row]])-1)&amp;INDEX(tsk_Name,GanttView[[#This Row],[_Row]]))</f>
        <v/>
      </c>
      <c r="D12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24" s="106" t="str">
        <f aca="false">IF(IFERROR(INDEX(tsk_Name,GanttView[[#This Row],[_Row]])="",TRUE()),"",INDEX(tsk_PlanStart,GanttView[[#This Row],[_Row]]))</f>
        <v/>
      </c>
      <c r="F124" s="106" t="str">
        <f aca="false">IF(IFERROR(INDEX(tsk_Name,GanttView[[#This Row],[_Row]])="",TRUE()),"",INDEX(tsk_PlanFinish,GanttView[[#This Row],[_Row]]))</f>
        <v/>
      </c>
      <c r="G124" s="106" t="str">
        <f aca="false">IF(IFERROR(INDEX(tsk_Name,GanttView[[#This Row],[_Row]])="",TRUE()),"",INDEX(tsk_FcStart,GanttView[[#This Row],[_Row]]))</f>
        <v/>
      </c>
      <c r="H124" s="106" t="str">
        <f aca="false">IF(IFERROR(INDEX(tsk_Name,GanttView[[#This Row],[_Row]])="",TRUE()),"",INDEX(tsk_FcFinish,GanttView[[#This Row],[_Row]]))</f>
        <v/>
      </c>
      <c r="I124" s="107" t="str">
        <f aca="false">IF(IFERROR(INDEX(tsk_Name,GanttView[[#This Row],[_Row]])="",TRUE()),"",INDEX(tsk_Progress,GanttView[[#This Row],[_Row]]))</f>
        <v/>
      </c>
      <c r="J124" s="105" t="str">
        <f aca="false">IF(IFERROR(INDEX(tsk_Name,GanttView[[#This Row],[_Row]])="",TRUE()),"",INDEX(tsk_Resource,GanttView[[#This Row],[_Row]])&amp;"")</f>
        <v/>
      </c>
      <c r="K124" s="108" t="str">
        <f aca="false">IF(IFERROR(INDEX(tsk_Name,GanttView[[#This Row],[_Row]])="",TRUE()),"",INDEX(tsk_Status,GanttView[[#This Row],[_Row]]))</f>
        <v/>
      </c>
      <c r="L124" s="109" t="n">
        <f aca="false">ROW()-ROW(GanttView[[#Headers],[ID]])</f>
        <v>119</v>
      </c>
      <c r="M124" s="110" t="b">
        <f aca="false">IF(IFERROR(INDEX(tsk_Name,GanttView[[#This Row],[_Row]])="",TRUE()),FALSE(),INDEX(tsk_IsSummary,GanttView[[#This Row],[_Row]]))</f>
        <v>0</v>
      </c>
      <c r="N124" s="110" t="b">
        <f aca="false">IF(IFERROR(INDEX(tsk_Name,GanttView[[#This Row],[_Row]])="",TRUE()),FALSE(),AND(INDEX(tsk_IsLeaf,GanttView[[#This Row],[_Row]])=1,N(INDEX(tsk_Duration,GanttView[[#This Row],[_Row]]))=0))</f>
        <v>0</v>
      </c>
      <c r="O12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2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2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24" s="111" t="n">
        <f aca="false">IF(GanttView[[#This Row],[_RemFrom]]=0,0,GanttView[[#This Row],[Forecast Finish]])</f>
        <v>0</v>
      </c>
      <c r="S124" s="110" t="b">
        <f aca="false">IF(IFERROR(INDEX(tsk_Name,GanttView[[#This Row],[_Row]])="",TRUE()),FALSE(),N(INDEX(tsk_Variance,GanttView[[#This Row],[_Row]]))&gt;0)</f>
        <v>0</v>
      </c>
      <c r="T124" s="111" t="n">
        <f aca="false">IF(IFERROR(INDEX(tsk_Name,GanttView[[#This Row],[_Row]])="",TRUE()),0,N(INDEX(tsk_Deadline,GanttView[[#This Row],[_Row]])))</f>
        <v>0</v>
      </c>
      <c r="U124" s="110" t="b">
        <f aca="false">IF(IFERROR(INDEX(tsk_Name,GanttView[[#This Row],[_Row]])="",TRUE()),FALSE(),INDEX(tsk_Critical,GanttView[[#This Row],[_Row]])="Yes")</f>
        <v>0</v>
      </c>
    </row>
    <row r="125" customFormat="false" ht="15" hidden="false" customHeight="false" outlineLevel="0" collapsed="false">
      <c r="A125" s="104" t="str">
        <f aca="false">IF(IFERROR(INDEX(tsk_Name,GanttView[[#This Row],[_Row]])="",TRUE()),"",INDEX(tsk_ID,GanttView[[#This Row],[_Row]]))</f>
        <v/>
      </c>
      <c r="B125" s="104" t="str">
        <f aca="false">IF(IFERROR(INDEX(tsk_Name,GanttView[[#This Row],[_Row]])="",TRUE()),"",INDEX(tsk_WBS,GanttView[[#This Row],[_Row]]))</f>
        <v/>
      </c>
      <c r="C125" s="105" t="str">
        <f aca="false">IF(IFERROR(INDEX(tsk_Name,GanttView[[#This Row],[_Row]])="",TRUE()),"",REPT("    ",INDEX(tsk_Level,GanttView[[#This Row],[_Row]])-1)&amp;INDEX(tsk_Name,GanttView[[#This Row],[_Row]]))</f>
        <v/>
      </c>
      <c r="D12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25" s="106" t="str">
        <f aca="false">IF(IFERROR(INDEX(tsk_Name,GanttView[[#This Row],[_Row]])="",TRUE()),"",INDEX(tsk_PlanStart,GanttView[[#This Row],[_Row]]))</f>
        <v/>
      </c>
      <c r="F125" s="106" t="str">
        <f aca="false">IF(IFERROR(INDEX(tsk_Name,GanttView[[#This Row],[_Row]])="",TRUE()),"",INDEX(tsk_PlanFinish,GanttView[[#This Row],[_Row]]))</f>
        <v/>
      </c>
      <c r="G125" s="106" t="str">
        <f aca="false">IF(IFERROR(INDEX(tsk_Name,GanttView[[#This Row],[_Row]])="",TRUE()),"",INDEX(tsk_FcStart,GanttView[[#This Row],[_Row]]))</f>
        <v/>
      </c>
      <c r="H125" s="106" t="str">
        <f aca="false">IF(IFERROR(INDEX(tsk_Name,GanttView[[#This Row],[_Row]])="",TRUE()),"",INDEX(tsk_FcFinish,GanttView[[#This Row],[_Row]]))</f>
        <v/>
      </c>
      <c r="I125" s="107" t="str">
        <f aca="false">IF(IFERROR(INDEX(tsk_Name,GanttView[[#This Row],[_Row]])="",TRUE()),"",INDEX(tsk_Progress,GanttView[[#This Row],[_Row]]))</f>
        <v/>
      </c>
      <c r="J125" s="105" t="str">
        <f aca="false">IF(IFERROR(INDEX(tsk_Name,GanttView[[#This Row],[_Row]])="",TRUE()),"",INDEX(tsk_Resource,GanttView[[#This Row],[_Row]])&amp;"")</f>
        <v/>
      </c>
      <c r="K125" s="108" t="str">
        <f aca="false">IF(IFERROR(INDEX(tsk_Name,GanttView[[#This Row],[_Row]])="",TRUE()),"",INDEX(tsk_Status,GanttView[[#This Row],[_Row]]))</f>
        <v/>
      </c>
      <c r="L125" s="109" t="n">
        <f aca="false">ROW()-ROW(GanttView[[#Headers],[ID]])</f>
        <v>120</v>
      </c>
      <c r="M125" s="110" t="b">
        <f aca="false">IF(IFERROR(INDEX(tsk_Name,GanttView[[#This Row],[_Row]])="",TRUE()),FALSE(),INDEX(tsk_IsSummary,GanttView[[#This Row],[_Row]]))</f>
        <v>0</v>
      </c>
      <c r="N125" s="110" t="b">
        <f aca="false">IF(IFERROR(INDEX(tsk_Name,GanttView[[#This Row],[_Row]])="",TRUE()),FALSE(),AND(INDEX(tsk_IsLeaf,GanttView[[#This Row],[_Row]])=1,N(INDEX(tsk_Duration,GanttView[[#This Row],[_Row]]))=0))</f>
        <v>0</v>
      </c>
      <c r="O12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2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2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25" s="111" t="n">
        <f aca="false">IF(GanttView[[#This Row],[_RemFrom]]=0,0,GanttView[[#This Row],[Forecast Finish]])</f>
        <v>0</v>
      </c>
      <c r="S125" s="110" t="b">
        <f aca="false">IF(IFERROR(INDEX(tsk_Name,GanttView[[#This Row],[_Row]])="",TRUE()),FALSE(),N(INDEX(tsk_Variance,GanttView[[#This Row],[_Row]]))&gt;0)</f>
        <v>0</v>
      </c>
      <c r="T125" s="111" t="n">
        <f aca="false">IF(IFERROR(INDEX(tsk_Name,GanttView[[#This Row],[_Row]])="",TRUE()),0,N(INDEX(tsk_Deadline,GanttView[[#This Row],[_Row]])))</f>
        <v>0</v>
      </c>
      <c r="U125" s="110" t="b">
        <f aca="false">IF(IFERROR(INDEX(tsk_Name,GanttView[[#This Row],[_Row]])="",TRUE()),FALSE(),INDEX(tsk_Critical,GanttView[[#This Row],[_Row]])="Yes")</f>
        <v>0</v>
      </c>
    </row>
    <row r="126" customFormat="false" ht="15" hidden="false" customHeight="false" outlineLevel="0" collapsed="false">
      <c r="A126" s="104" t="str">
        <f aca="false">IF(IFERROR(INDEX(tsk_Name,GanttView[[#This Row],[_Row]])="",TRUE()),"",INDEX(tsk_ID,GanttView[[#This Row],[_Row]]))</f>
        <v/>
      </c>
      <c r="B126" s="104" t="str">
        <f aca="false">IF(IFERROR(INDEX(tsk_Name,GanttView[[#This Row],[_Row]])="",TRUE()),"",INDEX(tsk_WBS,GanttView[[#This Row],[_Row]]))</f>
        <v/>
      </c>
      <c r="C126" s="105" t="str">
        <f aca="false">IF(IFERROR(INDEX(tsk_Name,GanttView[[#This Row],[_Row]])="",TRUE()),"",REPT("    ",INDEX(tsk_Level,GanttView[[#This Row],[_Row]])-1)&amp;INDEX(tsk_Name,GanttView[[#This Row],[_Row]]))</f>
        <v/>
      </c>
      <c r="D12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26" s="106" t="str">
        <f aca="false">IF(IFERROR(INDEX(tsk_Name,GanttView[[#This Row],[_Row]])="",TRUE()),"",INDEX(tsk_PlanStart,GanttView[[#This Row],[_Row]]))</f>
        <v/>
      </c>
      <c r="F126" s="106" t="str">
        <f aca="false">IF(IFERROR(INDEX(tsk_Name,GanttView[[#This Row],[_Row]])="",TRUE()),"",INDEX(tsk_PlanFinish,GanttView[[#This Row],[_Row]]))</f>
        <v/>
      </c>
      <c r="G126" s="106" t="str">
        <f aca="false">IF(IFERROR(INDEX(tsk_Name,GanttView[[#This Row],[_Row]])="",TRUE()),"",INDEX(tsk_FcStart,GanttView[[#This Row],[_Row]]))</f>
        <v/>
      </c>
      <c r="H126" s="106" t="str">
        <f aca="false">IF(IFERROR(INDEX(tsk_Name,GanttView[[#This Row],[_Row]])="",TRUE()),"",INDEX(tsk_FcFinish,GanttView[[#This Row],[_Row]]))</f>
        <v/>
      </c>
      <c r="I126" s="107" t="str">
        <f aca="false">IF(IFERROR(INDEX(tsk_Name,GanttView[[#This Row],[_Row]])="",TRUE()),"",INDEX(tsk_Progress,GanttView[[#This Row],[_Row]]))</f>
        <v/>
      </c>
      <c r="J126" s="105" t="str">
        <f aca="false">IF(IFERROR(INDEX(tsk_Name,GanttView[[#This Row],[_Row]])="",TRUE()),"",INDEX(tsk_Resource,GanttView[[#This Row],[_Row]])&amp;"")</f>
        <v/>
      </c>
      <c r="K126" s="108" t="str">
        <f aca="false">IF(IFERROR(INDEX(tsk_Name,GanttView[[#This Row],[_Row]])="",TRUE()),"",INDEX(tsk_Status,GanttView[[#This Row],[_Row]]))</f>
        <v/>
      </c>
      <c r="L126" s="109" t="n">
        <f aca="false">ROW()-ROW(GanttView[[#Headers],[ID]])</f>
        <v>121</v>
      </c>
      <c r="M126" s="110" t="b">
        <f aca="false">IF(IFERROR(INDEX(tsk_Name,GanttView[[#This Row],[_Row]])="",TRUE()),FALSE(),INDEX(tsk_IsSummary,GanttView[[#This Row],[_Row]]))</f>
        <v>0</v>
      </c>
      <c r="N126" s="110" t="b">
        <f aca="false">IF(IFERROR(INDEX(tsk_Name,GanttView[[#This Row],[_Row]])="",TRUE()),FALSE(),AND(INDEX(tsk_IsLeaf,GanttView[[#This Row],[_Row]])=1,N(INDEX(tsk_Duration,GanttView[[#This Row],[_Row]]))=0))</f>
        <v>0</v>
      </c>
      <c r="O12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2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2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26" s="111" t="n">
        <f aca="false">IF(GanttView[[#This Row],[_RemFrom]]=0,0,GanttView[[#This Row],[Forecast Finish]])</f>
        <v>0</v>
      </c>
      <c r="S126" s="110" t="b">
        <f aca="false">IF(IFERROR(INDEX(tsk_Name,GanttView[[#This Row],[_Row]])="",TRUE()),FALSE(),N(INDEX(tsk_Variance,GanttView[[#This Row],[_Row]]))&gt;0)</f>
        <v>0</v>
      </c>
      <c r="T126" s="111" t="n">
        <f aca="false">IF(IFERROR(INDEX(tsk_Name,GanttView[[#This Row],[_Row]])="",TRUE()),0,N(INDEX(tsk_Deadline,GanttView[[#This Row],[_Row]])))</f>
        <v>0</v>
      </c>
      <c r="U126" s="110" t="b">
        <f aca="false">IF(IFERROR(INDEX(tsk_Name,GanttView[[#This Row],[_Row]])="",TRUE()),FALSE(),INDEX(tsk_Critical,GanttView[[#This Row],[_Row]])="Yes")</f>
        <v>0</v>
      </c>
    </row>
    <row r="127" customFormat="false" ht="15" hidden="false" customHeight="false" outlineLevel="0" collapsed="false">
      <c r="A127" s="104" t="str">
        <f aca="false">IF(IFERROR(INDEX(tsk_Name,GanttView[[#This Row],[_Row]])="",TRUE()),"",INDEX(tsk_ID,GanttView[[#This Row],[_Row]]))</f>
        <v/>
      </c>
      <c r="B127" s="104" t="str">
        <f aca="false">IF(IFERROR(INDEX(tsk_Name,GanttView[[#This Row],[_Row]])="",TRUE()),"",INDEX(tsk_WBS,GanttView[[#This Row],[_Row]]))</f>
        <v/>
      </c>
      <c r="C127" s="105" t="str">
        <f aca="false">IF(IFERROR(INDEX(tsk_Name,GanttView[[#This Row],[_Row]])="",TRUE()),"",REPT("    ",INDEX(tsk_Level,GanttView[[#This Row],[_Row]])-1)&amp;INDEX(tsk_Name,GanttView[[#This Row],[_Row]]))</f>
        <v/>
      </c>
      <c r="D12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27" s="106" t="str">
        <f aca="false">IF(IFERROR(INDEX(tsk_Name,GanttView[[#This Row],[_Row]])="",TRUE()),"",INDEX(tsk_PlanStart,GanttView[[#This Row],[_Row]]))</f>
        <v/>
      </c>
      <c r="F127" s="106" t="str">
        <f aca="false">IF(IFERROR(INDEX(tsk_Name,GanttView[[#This Row],[_Row]])="",TRUE()),"",INDEX(tsk_PlanFinish,GanttView[[#This Row],[_Row]]))</f>
        <v/>
      </c>
      <c r="G127" s="106" t="str">
        <f aca="false">IF(IFERROR(INDEX(tsk_Name,GanttView[[#This Row],[_Row]])="",TRUE()),"",INDEX(tsk_FcStart,GanttView[[#This Row],[_Row]]))</f>
        <v/>
      </c>
      <c r="H127" s="106" t="str">
        <f aca="false">IF(IFERROR(INDEX(tsk_Name,GanttView[[#This Row],[_Row]])="",TRUE()),"",INDEX(tsk_FcFinish,GanttView[[#This Row],[_Row]]))</f>
        <v/>
      </c>
      <c r="I127" s="107" t="str">
        <f aca="false">IF(IFERROR(INDEX(tsk_Name,GanttView[[#This Row],[_Row]])="",TRUE()),"",INDEX(tsk_Progress,GanttView[[#This Row],[_Row]]))</f>
        <v/>
      </c>
      <c r="J127" s="105" t="str">
        <f aca="false">IF(IFERROR(INDEX(tsk_Name,GanttView[[#This Row],[_Row]])="",TRUE()),"",INDEX(tsk_Resource,GanttView[[#This Row],[_Row]])&amp;"")</f>
        <v/>
      </c>
      <c r="K127" s="108" t="str">
        <f aca="false">IF(IFERROR(INDEX(tsk_Name,GanttView[[#This Row],[_Row]])="",TRUE()),"",INDEX(tsk_Status,GanttView[[#This Row],[_Row]]))</f>
        <v/>
      </c>
      <c r="L127" s="109" t="n">
        <f aca="false">ROW()-ROW(GanttView[[#Headers],[ID]])</f>
        <v>122</v>
      </c>
      <c r="M127" s="110" t="b">
        <f aca="false">IF(IFERROR(INDEX(tsk_Name,GanttView[[#This Row],[_Row]])="",TRUE()),FALSE(),INDEX(tsk_IsSummary,GanttView[[#This Row],[_Row]]))</f>
        <v>0</v>
      </c>
      <c r="N127" s="110" t="b">
        <f aca="false">IF(IFERROR(INDEX(tsk_Name,GanttView[[#This Row],[_Row]])="",TRUE()),FALSE(),AND(INDEX(tsk_IsLeaf,GanttView[[#This Row],[_Row]])=1,N(INDEX(tsk_Duration,GanttView[[#This Row],[_Row]]))=0))</f>
        <v>0</v>
      </c>
      <c r="O12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2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2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27" s="111" t="n">
        <f aca="false">IF(GanttView[[#This Row],[_RemFrom]]=0,0,GanttView[[#This Row],[Forecast Finish]])</f>
        <v>0</v>
      </c>
      <c r="S127" s="110" t="b">
        <f aca="false">IF(IFERROR(INDEX(tsk_Name,GanttView[[#This Row],[_Row]])="",TRUE()),FALSE(),N(INDEX(tsk_Variance,GanttView[[#This Row],[_Row]]))&gt;0)</f>
        <v>0</v>
      </c>
      <c r="T127" s="111" t="n">
        <f aca="false">IF(IFERROR(INDEX(tsk_Name,GanttView[[#This Row],[_Row]])="",TRUE()),0,N(INDEX(tsk_Deadline,GanttView[[#This Row],[_Row]])))</f>
        <v>0</v>
      </c>
      <c r="U127" s="110" t="b">
        <f aca="false">IF(IFERROR(INDEX(tsk_Name,GanttView[[#This Row],[_Row]])="",TRUE()),FALSE(),INDEX(tsk_Critical,GanttView[[#This Row],[_Row]])="Yes")</f>
        <v>0</v>
      </c>
    </row>
    <row r="128" customFormat="false" ht="15" hidden="false" customHeight="false" outlineLevel="0" collapsed="false">
      <c r="A128" s="104" t="str">
        <f aca="false">IF(IFERROR(INDEX(tsk_Name,GanttView[[#This Row],[_Row]])="",TRUE()),"",INDEX(tsk_ID,GanttView[[#This Row],[_Row]]))</f>
        <v/>
      </c>
      <c r="B128" s="104" t="str">
        <f aca="false">IF(IFERROR(INDEX(tsk_Name,GanttView[[#This Row],[_Row]])="",TRUE()),"",INDEX(tsk_WBS,GanttView[[#This Row],[_Row]]))</f>
        <v/>
      </c>
      <c r="C128" s="105" t="str">
        <f aca="false">IF(IFERROR(INDEX(tsk_Name,GanttView[[#This Row],[_Row]])="",TRUE()),"",REPT("    ",INDEX(tsk_Level,GanttView[[#This Row],[_Row]])-1)&amp;INDEX(tsk_Name,GanttView[[#This Row],[_Row]]))</f>
        <v/>
      </c>
      <c r="D12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28" s="106" t="str">
        <f aca="false">IF(IFERROR(INDEX(tsk_Name,GanttView[[#This Row],[_Row]])="",TRUE()),"",INDEX(tsk_PlanStart,GanttView[[#This Row],[_Row]]))</f>
        <v/>
      </c>
      <c r="F128" s="106" t="str">
        <f aca="false">IF(IFERROR(INDEX(tsk_Name,GanttView[[#This Row],[_Row]])="",TRUE()),"",INDEX(tsk_PlanFinish,GanttView[[#This Row],[_Row]]))</f>
        <v/>
      </c>
      <c r="G128" s="106" t="str">
        <f aca="false">IF(IFERROR(INDEX(tsk_Name,GanttView[[#This Row],[_Row]])="",TRUE()),"",INDEX(tsk_FcStart,GanttView[[#This Row],[_Row]]))</f>
        <v/>
      </c>
      <c r="H128" s="106" t="str">
        <f aca="false">IF(IFERROR(INDEX(tsk_Name,GanttView[[#This Row],[_Row]])="",TRUE()),"",INDEX(tsk_FcFinish,GanttView[[#This Row],[_Row]]))</f>
        <v/>
      </c>
      <c r="I128" s="107" t="str">
        <f aca="false">IF(IFERROR(INDEX(tsk_Name,GanttView[[#This Row],[_Row]])="",TRUE()),"",INDEX(tsk_Progress,GanttView[[#This Row],[_Row]]))</f>
        <v/>
      </c>
      <c r="J128" s="105" t="str">
        <f aca="false">IF(IFERROR(INDEX(tsk_Name,GanttView[[#This Row],[_Row]])="",TRUE()),"",INDEX(tsk_Resource,GanttView[[#This Row],[_Row]])&amp;"")</f>
        <v/>
      </c>
      <c r="K128" s="108" t="str">
        <f aca="false">IF(IFERROR(INDEX(tsk_Name,GanttView[[#This Row],[_Row]])="",TRUE()),"",INDEX(tsk_Status,GanttView[[#This Row],[_Row]]))</f>
        <v/>
      </c>
      <c r="L128" s="109" t="n">
        <f aca="false">ROW()-ROW(GanttView[[#Headers],[ID]])</f>
        <v>123</v>
      </c>
      <c r="M128" s="110" t="b">
        <f aca="false">IF(IFERROR(INDEX(tsk_Name,GanttView[[#This Row],[_Row]])="",TRUE()),FALSE(),INDEX(tsk_IsSummary,GanttView[[#This Row],[_Row]]))</f>
        <v>0</v>
      </c>
      <c r="N128" s="110" t="b">
        <f aca="false">IF(IFERROR(INDEX(tsk_Name,GanttView[[#This Row],[_Row]])="",TRUE()),FALSE(),AND(INDEX(tsk_IsLeaf,GanttView[[#This Row],[_Row]])=1,N(INDEX(tsk_Duration,GanttView[[#This Row],[_Row]]))=0))</f>
        <v>0</v>
      </c>
      <c r="O12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2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2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28" s="111" t="n">
        <f aca="false">IF(GanttView[[#This Row],[_RemFrom]]=0,0,GanttView[[#This Row],[Forecast Finish]])</f>
        <v>0</v>
      </c>
      <c r="S128" s="110" t="b">
        <f aca="false">IF(IFERROR(INDEX(tsk_Name,GanttView[[#This Row],[_Row]])="",TRUE()),FALSE(),N(INDEX(tsk_Variance,GanttView[[#This Row],[_Row]]))&gt;0)</f>
        <v>0</v>
      </c>
      <c r="T128" s="111" t="n">
        <f aca="false">IF(IFERROR(INDEX(tsk_Name,GanttView[[#This Row],[_Row]])="",TRUE()),0,N(INDEX(tsk_Deadline,GanttView[[#This Row],[_Row]])))</f>
        <v>0</v>
      </c>
      <c r="U128" s="110" t="b">
        <f aca="false">IF(IFERROR(INDEX(tsk_Name,GanttView[[#This Row],[_Row]])="",TRUE()),FALSE(),INDEX(tsk_Critical,GanttView[[#This Row],[_Row]])="Yes")</f>
        <v>0</v>
      </c>
    </row>
    <row r="129" customFormat="false" ht="15" hidden="false" customHeight="false" outlineLevel="0" collapsed="false">
      <c r="A129" s="104" t="str">
        <f aca="false">IF(IFERROR(INDEX(tsk_Name,GanttView[[#This Row],[_Row]])="",TRUE()),"",INDEX(tsk_ID,GanttView[[#This Row],[_Row]]))</f>
        <v/>
      </c>
      <c r="B129" s="104" t="str">
        <f aca="false">IF(IFERROR(INDEX(tsk_Name,GanttView[[#This Row],[_Row]])="",TRUE()),"",INDEX(tsk_WBS,GanttView[[#This Row],[_Row]]))</f>
        <v/>
      </c>
      <c r="C129" s="105" t="str">
        <f aca="false">IF(IFERROR(INDEX(tsk_Name,GanttView[[#This Row],[_Row]])="",TRUE()),"",REPT("    ",INDEX(tsk_Level,GanttView[[#This Row],[_Row]])-1)&amp;INDEX(tsk_Name,GanttView[[#This Row],[_Row]]))</f>
        <v/>
      </c>
      <c r="D12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29" s="106" t="str">
        <f aca="false">IF(IFERROR(INDEX(tsk_Name,GanttView[[#This Row],[_Row]])="",TRUE()),"",INDEX(tsk_PlanStart,GanttView[[#This Row],[_Row]]))</f>
        <v/>
      </c>
      <c r="F129" s="106" t="str">
        <f aca="false">IF(IFERROR(INDEX(tsk_Name,GanttView[[#This Row],[_Row]])="",TRUE()),"",INDEX(tsk_PlanFinish,GanttView[[#This Row],[_Row]]))</f>
        <v/>
      </c>
      <c r="G129" s="106" t="str">
        <f aca="false">IF(IFERROR(INDEX(tsk_Name,GanttView[[#This Row],[_Row]])="",TRUE()),"",INDEX(tsk_FcStart,GanttView[[#This Row],[_Row]]))</f>
        <v/>
      </c>
      <c r="H129" s="106" t="str">
        <f aca="false">IF(IFERROR(INDEX(tsk_Name,GanttView[[#This Row],[_Row]])="",TRUE()),"",INDEX(tsk_FcFinish,GanttView[[#This Row],[_Row]]))</f>
        <v/>
      </c>
      <c r="I129" s="107" t="str">
        <f aca="false">IF(IFERROR(INDEX(tsk_Name,GanttView[[#This Row],[_Row]])="",TRUE()),"",INDEX(tsk_Progress,GanttView[[#This Row],[_Row]]))</f>
        <v/>
      </c>
      <c r="J129" s="105" t="str">
        <f aca="false">IF(IFERROR(INDEX(tsk_Name,GanttView[[#This Row],[_Row]])="",TRUE()),"",INDEX(tsk_Resource,GanttView[[#This Row],[_Row]])&amp;"")</f>
        <v/>
      </c>
      <c r="K129" s="108" t="str">
        <f aca="false">IF(IFERROR(INDEX(tsk_Name,GanttView[[#This Row],[_Row]])="",TRUE()),"",INDEX(tsk_Status,GanttView[[#This Row],[_Row]]))</f>
        <v/>
      </c>
      <c r="L129" s="109" t="n">
        <f aca="false">ROW()-ROW(GanttView[[#Headers],[ID]])</f>
        <v>124</v>
      </c>
      <c r="M129" s="110" t="b">
        <f aca="false">IF(IFERROR(INDEX(tsk_Name,GanttView[[#This Row],[_Row]])="",TRUE()),FALSE(),INDEX(tsk_IsSummary,GanttView[[#This Row],[_Row]]))</f>
        <v>0</v>
      </c>
      <c r="N129" s="110" t="b">
        <f aca="false">IF(IFERROR(INDEX(tsk_Name,GanttView[[#This Row],[_Row]])="",TRUE()),FALSE(),AND(INDEX(tsk_IsLeaf,GanttView[[#This Row],[_Row]])=1,N(INDEX(tsk_Duration,GanttView[[#This Row],[_Row]]))=0))</f>
        <v>0</v>
      </c>
      <c r="O12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2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2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29" s="111" t="n">
        <f aca="false">IF(GanttView[[#This Row],[_RemFrom]]=0,0,GanttView[[#This Row],[Forecast Finish]])</f>
        <v>0</v>
      </c>
      <c r="S129" s="110" t="b">
        <f aca="false">IF(IFERROR(INDEX(tsk_Name,GanttView[[#This Row],[_Row]])="",TRUE()),FALSE(),N(INDEX(tsk_Variance,GanttView[[#This Row],[_Row]]))&gt;0)</f>
        <v>0</v>
      </c>
      <c r="T129" s="111" t="n">
        <f aca="false">IF(IFERROR(INDEX(tsk_Name,GanttView[[#This Row],[_Row]])="",TRUE()),0,N(INDEX(tsk_Deadline,GanttView[[#This Row],[_Row]])))</f>
        <v>0</v>
      </c>
      <c r="U129" s="110" t="b">
        <f aca="false">IF(IFERROR(INDEX(tsk_Name,GanttView[[#This Row],[_Row]])="",TRUE()),FALSE(),INDEX(tsk_Critical,GanttView[[#This Row],[_Row]])="Yes")</f>
        <v>0</v>
      </c>
    </row>
    <row r="130" customFormat="false" ht="15" hidden="false" customHeight="false" outlineLevel="0" collapsed="false">
      <c r="A130" s="104" t="str">
        <f aca="false">IF(IFERROR(INDEX(tsk_Name,GanttView[[#This Row],[_Row]])="",TRUE()),"",INDEX(tsk_ID,GanttView[[#This Row],[_Row]]))</f>
        <v/>
      </c>
      <c r="B130" s="104" t="str">
        <f aca="false">IF(IFERROR(INDEX(tsk_Name,GanttView[[#This Row],[_Row]])="",TRUE()),"",INDEX(tsk_WBS,GanttView[[#This Row],[_Row]]))</f>
        <v/>
      </c>
      <c r="C130" s="105" t="str">
        <f aca="false">IF(IFERROR(INDEX(tsk_Name,GanttView[[#This Row],[_Row]])="",TRUE()),"",REPT("    ",INDEX(tsk_Level,GanttView[[#This Row],[_Row]])-1)&amp;INDEX(tsk_Name,GanttView[[#This Row],[_Row]]))</f>
        <v/>
      </c>
      <c r="D13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30" s="106" t="str">
        <f aca="false">IF(IFERROR(INDEX(tsk_Name,GanttView[[#This Row],[_Row]])="",TRUE()),"",INDEX(tsk_PlanStart,GanttView[[#This Row],[_Row]]))</f>
        <v/>
      </c>
      <c r="F130" s="106" t="str">
        <f aca="false">IF(IFERROR(INDEX(tsk_Name,GanttView[[#This Row],[_Row]])="",TRUE()),"",INDEX(tsk_PlanFinish,GanttView[[#This Row],[_Row]]))</f>
        <v/>
      </c>
      <c r="G130" s="106" t="str">
        <f aca="false">IF(IFERROR(INDEX(tsk_Name,GanttView[[#This Row],[_Row]])="",TRUE()),"",INDEX(tsk_FcStart,GanttView[[#This Row],[_Row]]))</f>
        <v/>
      </c>
      <c r="H130" s="106" t="str">
        <f aca="false">IF(IFERROR(INDEX(tsk_Name,GanttView[[#This Row],[_Row]])="",TRUE()),"",INDEX(tsk_FcFinish,GanttView[[#This Row],[_Row]]))</f>
        <v/>
      </c>
      <c r="I130" s="107" t="str">
        <f aca="false">IF(IFERROR(INDEX(tsk_Name,GanttView[[#This Row],[_Row]])="",TRUE()),"",INDEX(tsk_Progress,GanttView[[#This Row],[_Row]]))</f>
        <v/>
      </c>
      <c r="J130" s="105" t="str">
        <f aca="false">IF(IFERROR(INDEX(tsk_Name,GanttView[[#This Row],[_Row]])="",TRUE()),"",INDEX(tsk_Resource,GanttView[[#This Row],[_Row]])&amp;"")</f>
        <v/>
      </c>
      <c r="K130" s="108" t="str">
        <f aca="false">IF(IFERROR(INDEX(tsk_Name,GanttView[[#This Row],[_Row]])="",TRUE()),"",INDEX(tsk_Status,GanttView[[#This Row],[_Row]]))</f>
        <v/>
      </c>
      <c r="L130" s="109" t="n">
        <f aca="false">ROW()-ROW(GanttView[[#Headers],[ID]])</f>
        <v>125</v>
      </c>
      <c r="M130" s="110" t="b">
        <f aca="false">IF(IFERROR(INDEX(tsk_Name,GanttView[[#This Row],[_Row]])="",TRUE()),FALSE(),INDEX(tsk_IsSummary,GanttView[[#This Row],[_Row]]))</f>
        <v>0</v>
      </c>
      <c r="N130" s="110" t="b">
        <f aca="false">IF(IFERROR(INDEX(tsk_Name,GanttView[[#This Row],[_Row]])="",TRUE()),FALSE(),AND(INDEX(tsk_IsLeaf,GanttView[[#This Row],[_Row]])=1,N(INDEX(tsk_Duration,GanttView[[#This Row],[_Row]]))=0))</f>
        <v>0</v>
      </c>
      <c r="O13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3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3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30" s="111" t="n">
        <f aca="false">IF(GanttView[[#This Row],[_RemFrom]]=0,0,GanttView[[#This Row],[Forecast Finish]])</f>
        <v>0</v>
      </c>
      <c r="S130" s="110" t="b">
        <f aca="false">IF(IFERROR(INDEX(tsk_Name,GanttView[[#This Row],[_Row]])="",TRUE()),FALSE(),N(INDEX(tsk_Variance,GanttView[[#This Row],[_Row]]))&gt;0)</f>
        <v>0</v>
      </c>
      <c r="T130" s="111" t="n">
        <f aca="false">IF(IFERROR(INDEX(tsk_Name,GanttView[[#This Row],[_Row]])="",TRUE()),0,N(INDEX(tsk_Deadline,GanttView[[#This Row],[_Row]])))</f>
        <v>0</v>
      </c>
      <c r="U130" s="110" t="b">
        <f aca="false">IF(IFERROR(INDEX(tsk_Name,GanttView[[#This Row],[_Row]])="",TRUE()),FALSE(),INDEX(tsk_Critical,GanttView[[#This Row],[_Row]])="Yes")</f>
        <v>0</v>
      </c>
    </row>
    <row r="131" customFormat="false" ht="15" hidden="false" customHeight="false" outlineLevel="0" collapsed="false">
      <c r="A131" s="104" t="str">
        <f aca="false">IF(IFERROR(INDEX(tsk_Name,GanttView[[#This Row],[_Row]])="",TRUE()),"",INDEX(tsk_ID,GanttView[[#This Row],[_Row]]))</f>
        <v/>
      </c>
      <c r="B131" s="104" t="str">
        <f aca="false">IF(IFERROR(INDEX(tsk_Name,GanttView[[#This Row],[_Row]])="",TRUE()),"",INDEX(tsk_WBS,GanttView[[#This Row],[_Row]]))</f>
        <v/>
      </c>
      <c r="C131" s="105" t="str">
        <f aca="false">IF(IFERROR(INDEX(tsk_Name,GanttView[[#This Row],[_Row]])="",TRUE()),"",REPT("    ",INDEX(tsk_Level,GanttView[[#This Row],[_Row]])-1)&amp;INDEX(tsk_Name,GanttView[[#This Row],[_Row]]))</f>
        <v/>
      </c>
      <c r="D13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31" s="106" t="str">
        <f aca="false">IF(IFERROR(INDEX(tsk_Name,GanttView[[#This Row],[_Row]])="",TRUE()),"",INDEX(tsk_PlanStart,GanttView[[#This Row],[_Row]]))</f>
        <v/>
      </c>
      <c r="F131" s="106" t="str">
        <f aca="false">IF(IFERROR(INDEX(tsk_Name,GanttView[[#This Row],[_Row]])="",TRUE()),"",INDEX(tsk_PlanFinish,GanttView[[#This Row],[_Row]]))</f>
        <v/>
      </c>
      <c r="G131" s="106" t="str">
        <f aca="false">IF(IFERROR(INDEX(tsk_Name,GanttView[[#This Row],[_Row]])="",TRUE()),"",INDEX(tsk_FcStart,GanttView[[#This Row],[_Row]]))</f>
        <v/>
      </c>
      <c r="H131" s="106" t="str">
        <f aca="false">IF(IFERROR(INDEX(tsk_Name,GanttView[[#This Row],[_Row]])="",TRUE()),"",INDEX(tsk_FcFinish,GanttView[[#This Row],[_Row]]))</f>
        <v/>
      </c>
      <c r="I131" s="107" t="str">
        <f aca="false">IF(IFERROR(INDEX(tsk_Name,GanttView[[#This Row],[_Row]])="",TRUE()),"",INDEX(tsk_Progress,GanttView[[#This Row],[_Row]]))</f>
        <v/>
      </c>
      <c r="J131" s="105" t="str">
        <f aca="false">IF(IFERROR(INDEX(tsk_Name,GanttView[[#This Row],[_Row]])="",TRUE()),"",INDEX(tsk_Resource,GanttView[[#This Row],[_Row]])&amp;"")</f>
        <v/>
      </c>
      <c r="K131" s="108" t="str">
        <f aca="false">IF(IFERROR(INDEX(tsk_Name,GanttView[[#This Row],[_Row]])="",TRUE()),"",INDEX(tsk_Status,GanttView[[#This Row],[_Row]]))</f>
        <v/>
      </c>
      <c r="L131" s="109" t="n">
        <f aca="false">ROW()-ROW(GanttView[[#Headers],[ID]])</f>
        <v>126</v>
      </c>
      <c r="M131" s="110" t="b">
        <f aca="false">IF(IFERROR(INDEX(tsk_Name,GanttView[[#This Row],[_Row]])="",TRUE()),FALSE(),INDEX(tsk_IsSummary,GanttView[[#This Row],[_Row]]))</f>
        <v>0</v>
      </c>
      <c r="N131" s="110" t="b">
        <f aca="false">IF(IFERROR(INDEX(tsk_Name,GanttView[[#This Row],[_Row]])="",TRUE()),FALSE(),AND(INDEX(tsk_IsLeaf,GanttView[[#This Row],[_Row]])=1,N(INDEX(tsk_Duration,GanttView[[#This Row],[_Row]]))=0))</f>
        <v>0</v>
      </c>
      <c r="O13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3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3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31" s="111" t="n">
        <f aca="false">IF(GanttView[[#This Row],[_RemFrom]]=0,0,GanttView[[#This Row],[Forecast Finish]])</f>
        <v>0</v>
      </c>
      <c r="S131" s="110" t="b">
        <f aca="false">IF(IFERROR(INDEX(tsk_Name,GanttView[[#This Row],[_Row]])="",TRUE()),FALSE(),N(INDEX(tsk_Variance,GanttView[[#This Row],[_Row]]))&gt;0)</f>
        <v>0</v>
      </c>
      <c r="T131" s="111" t="n">
        <f aca="false">IF(IFERROR(INDEX(tsk_Name,GanttView[[#This Row],[_Row]])="",TRUE()),0,N(INDEX(tsk_Deadline,GanttView[[#This Row],[_Row]])))</f>
        <v>0</v>
      </c>
      <c r="U131" s="110" t="b">
        <f aca="false">IF(IFERROR(INDEX(tsk_Name,GanttView[[#This Row],[_Row]])="",TRUE()),FALSE(),INDEX(tsk_Critical,GanttView[[#This Row],[_Row]])="Yes")</f>
        <v>0</v>
      </c>
    </row>
    <row r="132" customFormat="false" ht="15" hidden="false" customHeight="false" outlineLevel="0" collapsed="false">
      <c r="A132" s="104" t="str">
        <f aca="false">IF(IFERROR(INDEX(tsk_Name,GanttView[[#This Row],[_Row]])="",TRUE()),"",INDEX(tsk_ID,GanttView[[#This Row],[_Row]]))</f>
        <v/>
      </c>
      <c r="B132" s="104" t="str">
        <f aca="false">IF(IFERROR(INDEX(tsk_Name,GanttView[[#This Row],[_Row]])="",TRUE()),"",INDEX(tsk_WBS,GanttView[[#This Row],[_Row]]))</f>
        <v/>
      </c>
      <c r="C132" s="105" t="str">
        <f aca="false">IF(IFERROR(INDEX(tsk_Name,GanttView[[#This Row],[_Row]])="",TRUE()),"",REPT("    ",INDEX(tsk_Level,GanttView[[#This Row],[_Row]])-1)&amp;INDEX(tsk_Name,GanttView[[#This Row],[_Row]]))</f>
        <v/>
      </c>
      <c r="D13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32" s="106" t="str">
        <f aca="false">IF(IFERROR(INDEX(tsk_Name,GanttView[[#This Row],[_Row]])="",TRUE()),"",INDEX(tsk_PlanStart,GanttView[[#This Row],[_Row]]))</f>
        <v/>
      </c>
      <c r="F132" s="106" t="str">
        <f aca="false">IF(IFERROR(INDEX(tsk_Name,GanttView[[#This Row],[_Row]])="",TRUE()),"",INDEX(tsk_PlanFinish,GanttView[[#This Row],[_Row]]))</f>
        <v/>
      </c>
      <c r="G132" s="106" t="str">
        <f aca="false">IF(IFERROR(INDEX(tsk_Name,GanttView[[#This Row],[_Row]])="",TRUE()),"",INDEX(tsk_FcStart,GanttView[[#This Row],[_Row]]))</f>
        <v/>
      </c>
      <c r="H132" s="106" t="str">
        <f aca="false">IF(IFERROR(INDEX(tsk_Name,GanttView[[#This Row],[_Row]])="",TRUE()),"",INDEX(tsk_FcFinish,GanttView[[#This Row],[_Row]]))</f>
        <v/>
      </c>
      <c r="I132" s="107" t="str">
        <f aca="false">IF(IFERROR(INDEX(tsk_Name,GanttView[[#This Row],[_Row]])="",TRUE()),"",INDEX(tsk_Progress,GanttView[[#This Row],[_Row]]))</f>
        <v/>
      </c>
      <c r="J132" s="105" t="str">
        <f aca="false">IF(IFERROR(INDEX(tsk_Name,GanttView[[#This Row],[_Row]])="",TRUE()),"",INDEX(tsk_Resource,GanttView[[#This Row],[_Row]])&amp;"")</f>
        <v/>
      </c>
      <c r="K132" s="108" t="str">
        <f aca="false">IF(IFERROR(INDEX(tsk_Name,GanttView[[#This Row],[_Row]])="",TRUE()),"",INDEX(tsk_Status,GanttView[[#This Row],[_Row]]))</f>
        <v/>
      </c>
      <c r="L132" s="109" t="n">
        <f aca="false">ROW()-ROW(GanttView[[#Headers],[ID]])</f>
        <v>127</v>
      </c>
      <c r="M132" s="110" t="b">
        <f aca="false">IF(IFERROR(INDEX(tsk_Name,GanttView[[#This Row],[_Row]])="",TRUE()),FALSE(),INDEX(tsk_IsSummary,GanttView[[#This Row],[_Row]]))</f>
        <v>0</v>
      </c>
      <c r="N132" s="110" t="b">
        <f aca="false">IF(IFERROR(INDEX(tsk_Name,GanttView[[#This Row],[_Row]])="",TRUE()),FALSE(),AND(INDEX(tsk_IsLeaf,GanttView[[#This Row],[_Row]])=1,N(INDEX(tsk_Duration,GanttView[[#This Row],[_Row]]))=0))</f>
        <v>0</v>
      </c>
      <c r="O13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3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3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32" s="111" t="n">
        <f aca="false">IF(GanttView[[#This Row],[_RemFrom]]=0,0,GanttView[[#This Row],[Forecast Finish]])</f>
        <v>0</v>
      </c>
      <c r="S132" s="110" t="b">
        <f aca="false">IF(IFERROR(INDEX(tsk_Name,GanttView[[#This Row],[_Row]])="",TRUE()),FALSE(),N(INDEX(tsk_Variance,GanttView[[#This Row],[_Row]]))&gt;0)</f>
        <v>0</v>
      </c>
      <c r="T132" s="111" t="n">
        <f aca="false">IF(IFERROR(INDEX(tsk_Name,GanttView[[#This Row],[_Row]])="",TRUE()),0,N(INDEX(tsk_Deadline,GanttView[[#This Row],[_Row]])))</f>
        <v>0</v>
      </c>
      <c r="U132" s="110" t="b">
        <f aca="false">IF(IFERROR(INDEX(tsk_Name,GanttView[[#This Row],[_Row]])="",TRUE()),FALSE(),INDEX(tsk_Critical,GanttView[[#This Row],[_Row]])="Yes")</f>
        <v>0</v>
      </c>
    </row>
    <row r="133" customFormat="false" ht="15" hidden="false" customHeight="false" outlineLevel="0" collapsed="false">
      <c r="A133" s="104" t="str">
        <f aca="false">IF(IFERROR(INDEX(tsk_Name,GanttView[[#This Row],[_Row]])="",TRUE()),"",INDEX(tsk_ID,GanttView[[#This Row],[_Row]]))</f>
        <v/>
      </c>
      <c r="B133" s="104" t="str">
        <f aca="false">IF(IFERROR(INDEX(tsk_Name,GanttView[[#This Row],[_Row]])="",TRUE()),"",INDEX(tsk_WBS,GanttView[[#This Row],[_Row]]))</f>
        <v/>
      </c>
      <c r="C133" s="105" t="str">
        <f aca="false">IF(IFERROR(INDEX(tsk_Name,GanttView[[#This Row],[_Row]])="",TRUE()),"",REPT("    ",INDEX(tsk_Level,GanttView[[#This Row],[_Row]])-1)&amp;INDEX(tsk_Name,GanttView[[#This Row],[_Row]]))</f>
        <v/>
      </c>
      <c r="D13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33" s="106" t="str">
        <f aca="false">IF(IFERROR(INDEX(tsk_Name,GanttView[[#This Row],[_Row]])="",TRUE()),"",INDEX(tsk_PlanStart,GanttView[[#This Row],[_Row]]))</f>
        <v/>
      </c>
      <c r="F133" s="106" t="str">
        <f aca="false">IF(IFERROR(INDEX(tsk_Name,GanttView[[#This Row],[_Row]])="",TRUE()),"",INDEX(tsk_PlanFinish,GanttView[[#This Row],[_Row]]))</f>
        <v/>
      </c>
      <c r="G133" s="106" t="str">
        <f aca="false">IF(IFERROR(INDEX(tsk_Name,GanttView[[#This Row],[_Row]])="",TRUE()),"",INDEX(tsk_FcStart,GanttView[[#This Row],[_Row]]))</f>
        <v/>
      </c>
      <c r="H133" s="106" t="str">
        <f aca="false">IF(IFERROR(INDEX(tsk_Name,GanttView[[#This Row],[_Row]])="",TRUE()),"",INDEX(tsk_FcFinish,GanttView[[#This Row],[_Row]]))</f>
        <v/>
      </c>
      <c r="I133" s="107" t="str">
        <f aca="false">IF(IFERROR(INDEX(tsk_Name,GanttView[[#This Row],[_Row]])="",TRUE()),"",INDEX(tsk_Progress,GanttView[[#This Row],[_Row]]))</f>
        <v/>
      </c>
      <c r="J133" s="105" t="str">
        <f aca="false">IF(IFERROR(INDEX(tsk_Name,GanttView[[#This Row],[_Row]])="",TRUE()),"",INDEX(tsk_Resource,GanttView[[#This Row],[_Row]])&amp;"")</f>
        <v/>
      </c>
      <c r="K133" s="108" t="str">
        <f aca="false">IF(IFERROR(INDEX(tsk_Name,GanttView[[#This Row],[_Row]])="",TRUE()),"",INDEX(tsk_Status,GanttView[[#This Row],[_Row]]))</f>
        <v/>
      </c>
      <c r="L133" s="109" t="n">
        <f aca="false">ROW()-ROW(GanttView[[#Headers],[ID]])</f>
        <v>128</v>
      </c>
      <c r="M133" s="110" t="b">
        <f aca="false">IF(IFERROR(INDEX(tsk_Name,GanttView[[#This Row],[_Row]])="",TRUE()),FALSE(),INDEX(tsk_IsSummary,GanttView[[#This Row],[_Row]]))</f>
        <v>0</v>
      </c>
      <c r="N133" s="110" t="b">
        <f aca="false">IF(IFERROR(INDEX(tsk_Name,GanttView[[#This Row],[_Row]])="",TRUE()),FALSE(),AND(INDEX(tsk_IsLeaf,GanttView[[#This Row],[_Row]])=1,N(INDEX(tsk_Duration,GanttView[[#This Row],[_Row]]))=0))</f>
        <v>0</v>
      </c>
      <c r="O13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3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3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33" s="111" t="n">
        <f aca="false">IF(GanttView[[#This Row],[_RemFrom]]=0,0,GanttView[[#This Row],[Forecast Finish]])</f>
        <v>0</v>
      </c>
      <c r="S133" s="110" t="b">
        <f aca="false">IF(IFERROR(INDEX(tsk_Name,GanttView[[#This Row],[_Row]])="",TRUE()),FALSE(),N(INDEX(tsk_Variance,GanttView[[#This Row],[_Row]]))&gt;0)</f>
        <v>0</v>
      </c>
      <c r="T133" s="111" t="n">
        <f aca="false">IF(IFERROR(INDEX(tsk_Name,GanttView[[#This Row],[_Row]])="",TRUE()),0,N(INDEX(tsk_Deadline,GanttView[[#This Row],[_Row]])))</f>
        <v>0</v>
      </c>
      <c r="U133" s="110" t="b">
        <f aca="false">IF(IFERROR(INDEX(tsk_Name,GanttView[[#This Row],[_Row]])="",TRUE()),FALSE(),INDEX(tsk_Critical,GanttView[[#This Row],[_Row]])="Yes")</f>
        <v>0</v>
      </c>
    </row>
    <row r="134" customFormat="false" ht="15" hidden="false" customHeight="false" outlineLevel="0" collapsed="false">
      <c r="A134" s="104" t="str">
        <f aca="false">IF(IFERROR(INDEX(tsk_Name,GanttView[[#This Row],[_Row]])="",TRUE()),"",INDEX(tsk_ID,GanttView[[#This Row],[_Row]]))</f>
        <v/>
      </c>
      <c r="B134" s="104" t="str">
        <f aca="false">IF(IFERROR(INDEX(tsk_Name,GanttView[[#This Row],[_Row]])="",TRUE()),"",INDEX(tsk_WBS,GanttView[[#This Row],[_Row]]))</f>
        <v/>
      </c>
      <c r="C134" s="105" t="str">
        <f aca="false">IF(IFERROR(INDEX(tsk_Name,GanttView[[#This Row],[_Row]])="",TRUE()),"",REPT("    ",INDEX(tsk_Level,GanttView[[#This Row],[_Row]])-1)&amp;INDEX(tsk_Name,GanttView[[#This Row],[_Row]]))</f>
        <v/>
      </c>
      <c r="D13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34" s="106" t="str">
        <f aca="false">IF(IFERROR(INDEX(tsk_Name,GanttView[[#This Row],[_Row]])="",TRUE()),"",INDEX(tsk_PlanStart,GanttView[[#This Row],[_Row]]))</f>
        <v/>
      </c>
      <c r="F134" s="106" t="str">
        <f aca="false">IF(IFERROR(INDEX(tsk_Name,GanttView[[#This Row],[_Row]])="",TRUE()),"",INDEX(tsk_PlanFinish,GanttView[[#This Row],[_Row]]))</f>
        <v/>
      </c>
      <c r="G134" s="106" t="str">
        <f aca="false">IF(IFERROR(INDEX(tsk_Name,GanttView[[#This Row],[_Row]])="",TRUE()),"",INDEX(tsk_FcStart,GanttView[[#This Row],[_Row]]))</f>
        <v/>
      </c>
      <c r="H134" s="106" t="str">
        <f aca="false">IF(IFERROR(INDEX(tsk_Name,GanttView[[#This Row],[_Row]])="",TRUE()),"",INDEX(tsk_FcFinish,GanttView[[#This Row],[_Row]]))</f>
        <v/>
      </c>
      <c r="I134" s="107" t="str">
        <f aca="false">IF(IFERROR(INDEX(tsk_Name,GanttView[[#This Row],[_Row]])="",TRUE()),"",INDEX(tsk_Progress,GanttView[[#This Row],[_Row]]))</f>
        <v/>
      </c>
      <c r="J134" s="105" t="str">
        <f aca="false">IF(IFERROR(INDEX(tsk_Name,GanttView[[#This Row],[_Row]])="",TRUE()),"",INDEX(tsk_Resource,GanttView[[#This Row],[_Row]])&amp;"")</f>
        <v/>
      </c>
      <c r="K134" s="108" t="str">
        <f aca="false">IF(IFERROR(INDEX(tsk_Name,GanttView[[#This Row],[_Row]])="",TRUE()),"",INDEX(tsk_Status,GanttView[[#This Row],[_Row]]))</f>
        <v/>
      </c>
      <c r="L134" s="109" t="n">
        <f aca="false">ROW()-ROW(GanttView[[#Headers],[ID]])</f>
        <v>129</v>
      </c>
      <c r="M134" s="110" t="b">
        <f aca="false">IF(IFERROR(INDEX(tsk_Name,GanttView[[#This Row],[_Row]])="",TRUE()),FALSE(),INDEX(tsk_IsSummary,GanttView[[#This Row],[_Row]]))</f>
        <v>0</v>
      </c>
      <c r="N134" s="110" t="b">
        <f aca="false">IF(IFERROR(INDEX(tsk_Name,GanttView[[#This Row],[_Row]])="",TRUE()),FALSE(),AND(INDEX(tsk_IsLeaf,GanttView[[#This Row],[_Row]])=1,N(INDEX(tsk_Duration,GanttView[[#This Row],[_Row]]))=0))</f>
        <v>0</v>
      </c>
      <c r="O13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3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3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34" s="111" t="n">
        <f aca="false">IF(GanttView[[#This Row],[_RemFrom]]=0,0,GanttView[[#This Row],[Forecast Finish]])</f>
        <v>0</v>
      </c>
      <c r="S134" s="110" t="b">
        <f aca="false">IF(IFERROR(INDEX(tsk_Name,GanttView[[#This Row],[_Row]])="",TRUE()),FALSE(),N(INDEX(tsk_Variance,GanttView[[#This Row],[_Row]]))&gt;0)</f>
        <v>0</v>
      </c>
      <c r="T134" s="111" t="n">
        <f aca="false">IF(IFERROR(INDEX(tsk_Name,GanttView[[#This Row],[_Row]])="",TRUE()),0,N(INDEX(tsk_Deadline,GanttView[[#This Row],[_Row]])))</f>
        <v>0</v>
      </c>
      <c r="U134" s="110" t="b">
        <f aca="false">IF(IFERROR(INDEX(tsk_Name,GanttView[[#This Row],[_Row]])="",TRUE()),FALSE(),INDEX(tsk_Critical,GanttView[[#This Row],[_Row]])="Yes")</f>
        <v>0</v>
      </c>
    </row>
    <row r="135" customFormat="false" ht="15" hidden="false" customHeight="false" outlineLevel="0" collapsed="false">
      <c r="A135" s="104" t="str">
        <f aca="false">IF(IFERROR(INDEX(tsk_Name,GanttView[[#This Row],[_Row]])="",TRUE()),"",INDEX(tsk_ID,GanttView[[#This Row],[_Row]]))</f>
        <v/>
      </c>
      <c r="B135" s="104" t="str">
        <f aca="false">IF(IFERROR(INDEX(tsk_Name,GanttView[[#This Row],[_Row]])="",TRUE()),"",INDEX(tsk_WBS,GanttView[[#This Row],[_Row]]))</f>
        <v/>
      </c>
      <c r="C135" s="105" t="str">
        <f aca="false">IF(IFERROR(INDEX(tsk_Name,GanttView[[#This Row],[_Row]])="",TRUE()),"",REPT("    ",INDEX(tsk_Level,GanttView[[#This Row],[_Row]])-1)&amp;INDEX(tsk_Name,GanttView[[#This Row],[_Row]]))</f>
        <v/>
      </c>
      <c r="D13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35" s="106" t="str">
        <f aca="false">IF(IFERROR(INDEX(tsk_Name,GanttView[[#This Row],[_Row]])="",TRUE()),"",INDEX(tsk_PlanStart,GanttView[[#This Row],[_Row]]))</f>
        <v/>
      </c>
      <c r="F135" s="106" t="str">
        <f aca="false">IF(IFERROR(INDEX(tsk_Name,GanttView[[#This Row],[_Row]])="",TRUE()),"",INDEX(tsk_PlanFinish,GanttView[[#This Row],[_Row]]))</f>
        <v/>
      </c>
      <c r="G135" s="106" t="str">
        <f aca="false">IF(IFERROR(INDEX(tsk_Name,GanttView[[#This Row],[_Row]])="",TRUE()),"",INDEX(tsk_FcStart,GanttView[[#This Row],[_Row]]))</f>
        <v/>
      </c>
      <c r="H135" s="106" t="str">
        <f aca="false">IF(IFERROR(INDEX(tsk_Name,GanttView[[#This Row],[_Row]])="",TRUE()),"",INDEX(tsk_FcFinish,GanttView[[#This Row],[_Row]]))</f>
        <v/>
      </c>
      <c r="I135" s="107" t="str">
        <f aca="false">IF(IFERROR(INDEX(tsk_Name,GanttView[[#This Row],[_Row]])="",TRUE()),"",INDEX(tsk_Progress,GanttView[[#This Row],[_Row]]))</f>
        <v/>
      </c>
      <c r="J135" s="105" t="str">
        <f aca="false">IF(IFERROR(INDEX(tsk_Name,GanttView[[#This Row],[_Row]])="",TRUE()),"",INDEX(tsk_Resource,GanttView[[#This Row],[_Row]])&amp;"")</f>
        <v/>
      </c>
      <c r="K135" s="108" t="str">
        <f aca="false">IF(IFERROR(INDEX(tsk_Name,GanttView[[#This Row],[_Row]])="",TRUE()),"",INDEX(tsk_Status,GanttView[[#This Row],[_Row]]))</f>
        <v/>
      </c>
      <c r="L135" s="109" t="n">
        <f aca="false">ROW()-ROW(GanttView[[#Headers],[ID]])</f>
        <v>130</v>
      </c>
      <c r="M135" s="110" t="b">
        <f aca="false">IF(IFERROR(INDEX(tsk_Name,GanttView[[#This Row],[_Row]])="",TRUE()),FALSE(),INDEX(tsk_IsSummary,GanttView[[#This Row],[_Row]]))</f>
        <v>0</v>
      </c>
      <c r="N135" s="110" t="b">
        <f aca="false">IF(IFERROR(INDEX(tsk_Name,GanttView[[#This Row],[_Row]])="",TRUE()),FALSE(),AND(INDEX(tsk_IsLeaf,GanttView[[#This Row],[_Row]])=1,N(INDEX(tsk_Duration,GanttView[[#This Row],[_Row]]))=0))</f>
        <v>0</v>
      </c>
      <c r="O13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3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3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35" s="111" t="n">
        <f aca="false">IF(GanttView[[#This Row],[_RemFrom]]=0,0,GanttView[[#This Row],[Forecast Finish]])</f>
        <v>0</v>
      </c>
      <c r="S135" s="110" t="b">
        <f aca="false">IF(IFERROR(INDEX(tsk_Name,GanttView[[#This Row],[_Row]])="",TRUE()),FALSE(),N(INDEX(tsk_Variance,GanttView[[#This Row],[_Row]]))&gt;0)</f>
        <v>0</v>
      </c>
      <c r="T135" s="111" t="n">
        <f aca="false">IF(IFERROR(INDEX(tsk_Name,GanttView[[#This Row],[_Row]])="",TRUE()),0,N(INDEX(tsk_Deadline,GanttView[[#This Row],[_Row]])))</f>
        <v>0</v>
      </c>
      <c r="U135" s="110" t="b">
        <f aca="false">IF(IFERROR(INDEX(tsk_Name,GanttView[[#This Row],[_Row]])="",TRUE()),FALSE(),INDEX(tsk_Critical,GanttView[[#This Row],[_Row]])="Yes")</f>
        <v>0</v>
      </c>
    </row>
    <row r="136" customFormat="false" ht="15" hidden="false" customHeight="false" outlineLevel="0" collapsed="false">
      <c r="A136" s="104" t="str">
        <f aca="false">IF(IFERROR(INDEX(tsk_Name,GanttView[[#This Row],[_Row]])="",TRUE()),"",INDEX(tsk_ID,GanttView[[#This Row],[_Row]]))</f>
        <v/>
      </c>
      <c r="B136" s="104" t="str">
        <f aca="false">IF(IFERROR(INDEX(tsk_Name,GanttView[[#This Row],[_Row]])="",TRUE()),"",INDEX(tsk_WBS,GanttView[[#This Row],[_Row]]))</f>
        <v/>
      </c>
      <c r="C136" s="105" t="str">
        <f aca="false">IF(IFERROR(INDEX(tsk_Name,GanttView[[#This Row],[_Row]])="",TRUE()),"",REPT("    ",INDEX(tsk_Level,GanttView[[#This Row],[_Row]])-1)&amp;INDEX(tsk_Name,GanttView[[#This Row],[_Row]]))</f>
        <v/>
      </c>
      <c r="D13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36" s="106" t="str">
        <f aca="false">IF(IFERROR(INDEX(tsk_Name,GanttView[[#This Row],[_Row]])="",TRUE()),"",INDEX(tsk_PlanStart,GanttView[[#This Row],[_Row]]))</f>
        <v/>
      </c>
      <c r="F136" s="106" t="str">
        <f aca="false">IF(IFERROR(INDEX(tsk_Name,GanttView[[#This Row],[_Row]])="",TRUE()),"",INDEX(tsk_PlanFinish,GanttView[[#This Row],[_Row]]))</f>
        <v/>
      </c>
      <c r="G136" s="106" t="str">
        <f aca="false">IF(IFERROR(INDEX(tsk_Name,GanttView[[#This Row],[_Row]])="",TRUE()),"",INDEX(tsk_FcStart,GanttView[[#This Row],[_Row]]))</f>
        <v/>
      </c>
      <c r="H136" s="106" t="str">
        <f aca="false">IF(IFERROR(INDEX(tsk_Name,GanttView[[#This Row],[_Row]])="",TRUE()),"",INDEX(tsk_FcFinish,GanttView[[#This Row],[_Row]]))</f>
        <v/>
      </c>
      <c r="I136" s="107" t="str">
        <f aca="false">IF(IFERROR(INDEX(tsk_Name,GanttView[[#This Row],[_Row]])="",TRUE()),"",INDEX(tsk_Progress,GanttView[[#This Row],[_Row]]))</f>
        <v/>
      </c>
      <c r="J136" s="105" t="str">
        <f aca="false">IF(IFERROR(INDEX(tsk_Name,GanttView[[#This Row],[_Row]])="",TRUE()),"",INDEX(tsk_Resource,GanttView[[#This Row],[_Row]])&amp;"")</f>
        <v/>
      </c>
      <c r="K136" s="108" t="str">
        <f aca="false">IF(IFERROR(INDEX(tsk_Name,GanttView[[#This Row],[_Row]])="",TRUE()),"",INDEX(tsk_Status,GanttView[[#This Row],[_Row]]))</f>
        <v/>
      </c>
      <c r="L136" s="109" t="n">
        <f aca="false">ROW()-ROW(GanttView[[#Headers],[ID]])</f>
        <v>131</v>
      </c>
      <c r="M136" s="110" t="b">
        <f aca="false">IF(IFERROR(INDEX(tsk_Name,GanttView[[#This Row],[_Row]])="",TRUE()),FALSE(),INDEX(tsk_IsSummary,GanttView[[#This Row],[_Row]]))</f>
        <v>0</v>
      </c>
      <c r="N136" s="110" t="b">
        <f aca="false">IF(IFERROR(INDEX(tsk_Name,GanttView[[#This Row],[_Row]])="",TRUE()),FALSE(),AND(INDEX(tsk_IsLeaf,GanttView[[#This Row],[_Row]])=1,N(INDEX(tsk_Duration,GanttView[[#This Row],[_Row]]))=0))</f>
        <v>0</v>
      </c>
      <c r="O13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3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3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36" s="111" t="n">
        <f aca="false">IF(GanttView[[#This Row],[_RemFrom]]=0,0,GanttView[[#This Row],[Forecast Finish]])</f>
        <v>0</v>
      </c>
      <c r="S136" s="110" t="b">
        <f aca="false">IF(IFERROR(INDEX(tsk_Name,GanttView[[#This Row],[_Row]])="",TRUE()),FALSE(),N(INDEX(tsk_Variance,GanttView[[#This Row],[_Row]]))&gt;0)</f>
        <v>0</v>
      </c>
      <c r="T136" s="111" t="n">
        <f aca="false">IF(IFERROR(INDEX(tsk_Name,GanttView[[#This Row],[_Row]])="",TRUE()),0,N(INDEX(tsk_Deadline,GanttView[[#This Row],[_Row]])))</f>
        <v>0</v>
      </c>
      <c r="U136" s="110" t="b">
        <f aca="false">IF(IFERROR(INDEX(tsk_Name,GanttView[[#This Row],[_Row]])="",TRUE()),FALSE(),INDEX(tsk_Critical,GanttView[[#This Row],[_Row]])="Yes")</f>
        <v>0</v>
      </c>
    </row>
    <row r="137" customFormat="false" ht="15" hidden="false" customHeight="false" outlineLevel="0" collapsed="false">
      <c r="A137" s="104" t="str">
        <f aca="false">IF(IFERROR(INDEX(tsk_Name,GanttView[[#This Row],[_Row]])="",TRUE()),"",INDEX(tsk_ID,GanttView[[#This Row],[_Row]]))</f>
        <v/>
      </c>
      <c r="B137" s="104" t="str">
        <f aca="false">IF(IFERROR(INDEX(tsk_Name,GanttView[[#This Row],[_Row]])="",TRUE()),"",INDEX(tsk_WBS,GanttView[[#This Row],[_Row]]))</f>
        <v/>
      </c>
      <c r="C137" s="105" t="str">
        <f aca="false">IF(IFERROR(INDEX(tsk_Name,GanttView[[#This Row],[_Row]])="",TRUE()),"",REPT("    ",INDEX(tsk_Level,GanttView[[#This Row],[_Row]])-1)&amp;INDEX(tsk_Name,GanttView[[#This Row],[_Row]]))</f>
        <v/>
      </c>
      <c r="D13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37" s="106" t="str">
        <f aca="false">IF(IFERROR(INDEX(tsk_Name,GanttView[[#This Row],[_Row]])="",TRUE()),"",INDEX(tsk_PlanStart,GanttView[[#This Row],[_Row]]))</f>
        <v/>
      </c>
      <c r="F137" s="106" t="str">
        <f aca="false">IF(IFERROR(INDEX(tsk_Name,GanttView[[#This Row],[_Row]])="",TRUE()),"",INDEX(tsk_PlanFinish,GanttView[[#This Row],[_Row]]))</f>
        <v/>
      </c>
      <c r="G137" s="106" t="str">
        <f aca="false">IF(IFERROR(INDEX(tsk_Name,GanttView[[#This Row],[_Row]])="",TRUE()),"",INDEX(tsk_FcStart,GanttView[[#This Row],[_Row]]))</f>
        <v/>
      </c>
      <c r="H137" s="106" t="str">
        <f aca="false">IF(IFERROR(INDEX(tsk_Name,GanttView[[#This Row],[_Row]])="",TRUE()),"",INDEX(tsk_FcFinish,GanttView[[#This Row],[_Row]]))</f>
        <v/>
      </c>
      <c r="I137" s="107" t="str">
        <f aca="false">IF(IFERROR(INDEX(tsk_Name,GanttView[[#This Row],[_Row]])="",TRUE()),"",INDEX(tsk_Progress,GanttView[[#This Row],[_Row]]))</f>
        <v/>
      </c>
      <c r="J137" s="105" t="str">
        <f aca="false">IF(IFERROR(INDEX(tsk_Name,GanttView[[#This Row],[_Row]])="",TRUE()),"",INDEX(tsk_Resource,GanttView[[#This Row],[_Row]])&amp;"")</f>
        <v/>
      </c>
      <c r="K137" s="108" t="str">
        <f aca="false">IF(IFERROR(INDEX(tsk_Name,GanttView[[#This Row],[_Row]])="",TRUE()),"",INDEX(tsk_Status,GanttView[[#This Row],[_Row]]))</f>
        <v/>
      </c>
      <c r="L137" s="109" t="n">
        <f aca="false">ROW()-ROW(GanttView[[#Headers],[ID]])</f>
        <v>132</v>
      </c>
      <c r="M137" s="110" t="b">
        <f aca="false">IF(IFERROR(INDEX(tsk_Name,GanttView[[#This Row],[_Row]])="",TRUE()),FALSE(),INDEX(tsk_IsSummary,GanttView[[#This Row],[_Row]]))</f>
        <v>0</v>
      </c>
      <c r="N137" s="110" t="b">
        <f aca="false">IF(IFERROR(INDEX(tsk_Name,GanttView[[#This Row],[_Row]])="",TRUE()),FALSE(),AND(INDEX(tsk_IsLeaf,GanttView[[#This Row],[_Row]])=1,N(INDEX(tsk_Duration,GanttView[[#This Row],[_Row]]))=0))</f>
        <v>0</v>
      </c>
      <c r="O13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3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3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37" s="111" t="n">
        <f aca="false">IF(GanttView[[#This Row],[_RemFrom]]=0,0,GanttView[[#This Row],[Forecast Finish]])</f>
        <v>0</v>
      </c>
      <c r="S137" s="110" t="b">
        <f aca="false">IF(IFERROR(INDEX(tsk_Name,GanttView[[#This Row],[_Row]])="",TRUE()),FALSE(),N(INDEX(tsk_Variance,GanttView[[#This Row],[_Row]]))&gt;0)</f>
        <v>0</v>
      </c>
      <c r="T137" s="111" t="n">
        <f aca="false">IF(IFERROR(INDEX(tsk_Name,GanttView[[#This Row],[_Row]])="",TRUE()),0,N(INDEX(tsk_Deadline,GanttView[[#This Row],[_Row]])))</f>
        <v>0</v>
      </c>
      <c r="U137" s="110" t="b">
        <f aca="false">IF(IFERROR(INDEX(tsk_Name,GanttView[[#This Row],[_Row]])="",TRUE()),FALSE(),INDEX(tsk_Critical,GanttView[[#This Row],[_Row]])="Yes")</f>
        <v>0</v>
      </c>
    </row>
    <row r="138" customFormat="false" ht="15" hidden="false" customHeight="false" outlineLevel="0" collapsed="false">
      <c r="A138" s="104" t="str">
        <f aca="false">IF(IFERROR(INDEX(tsk_Name,GanttView[[#This Row],[_Row]])="",TRUE()),"",INDEX(tsk_ID,GanttView[[#This Row],[_Row]]))</f>
        <v/>
      </c>
      <c r="B138" s="104" t="str">
        <f aca="false">IF(IFERROR(INDEX(tsk_Name,GanttView[[#This Row],[_Row]])="",TRUE()),"",INDEX(tsk_WBS,GanttView[[#This Row],[_Row]]))</f>
        <v/>
      </c>
      <c r="C138" s="105" t="str">
        <f aca="false">IF(IFERROR(INDEX(tsk_Name,GanttView[[#This Row],[_Row]])="",TRUE()),"",REPT("    ",INDEX(tsk_Level,GanttView[[#This Row],[_Row]])-1)&amp;INDEX(tsk_Name,GanttView[[#This Row],[_Row]]))</f>
        <v/>
      </c>
      <c r="D13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38" s="106" t="str">
        <f aca="false">IF(IFERROR(INDEX(tsk_Name,GanttView[[#This Row],[_Row]])="",TRUE()),"",INDEX(tsk_PlanStart,GanttView[[#This Row],[_Row]]))</f>
        <v/>
      </c>
      <c r="F138" s="106" t="str">
        <f aca="false">IF(IFERROR(INDEX(tsk_Name,GanttView[[#This Row],[_Row]])="",TRUE()),"",INDEX(tsk_PlanFinish,GanttView[[#This Row],[_Row]]))</f>
        <v/>
      </c>
      <c r="G138" s="106" t="str">
        <f aca="false">IF(IFERROR(INDEX(tsk_Name,GanttView[[#This Row],[_Row]])="",TRUE()),"",INDEX(tsk_FcStart,GanttView[[#This Row],[_Row]]))</f>
        <v/>
      </c>
      <c r="H138" s="106" t="str">
        <f aca="false">IF(IFERROR(INDEX(tsk_Name,GanttView[[#This Row],[_Row]])="",TRUE()),"",INDEX(tsk_FcFinish,GanttView[[#This Row],[_Row]]))</f>
        <v/>
      </c>
      <c r="I138" s="107" t="str">
        <f aca="false">IF(IFERROR(INDEX(tsk_Name,GanttView[[#This Row],[_Row]])="",TRUE()),"",INDEX(tsk_Progress,GanttView[[#This Row],[_Row]]))</f>
        <v/>
      </c>
      <c r="J138" s="105" t="str">
        <f aca="false">IF(IFERROR(INDEX(tsk_Name,GanttView[[#This Row],[_Row]])="",TRUE()),"",INDEX(tsk_Resource,GanttView[[#This Row],[_Row]])&amp;"")</f>
        <v/>
      </c>
      <c r="K138" s="108" t="str">
        <f aca="false">IF(IFERROR(INDEX(tsk_Name,GanttView[[#This Row],[_Row]])="",TRUE()),"",INDEX(tsk_Status,GanttView[[#This Row],[_Row]]))</f>
        <v/>
      </c>
      <c r="L138" s="109" t="n">
        <f aca="false">ROW()-ROW(GanttView[[#Headers],[ID]])</f>
        <v>133</v>
      </c>
      <c r="M138" s="110" t="b">
        <f aca="false">IF(IFERROR(INDEX(tsk_Name,GanttView[[#This Row],[_Row]])="",TRUE()),FALSE(),INDEX(tsk_IsSummary,GanttView[[#This Row],[_Row]]))</f>
        <v>0</v>
      </c>
      <c r="N138" s="110" t="b">
        <f aca="false">IF(IFERROR(INDEX(tsk_Name,GanttView[[#This Row],[_Row]])="",TRUE()),FALSE(),AND(INDEX(tsk_IsLeaf,GanttView[[#This Row],[_Row]])=1,N(INDEX(tsk_Duration,GanttView[[#This Row],[_Row]]))=0))</f>
        <v>0</v>
      </c>
      <c r="O13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3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3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38" s="111" t="n">
        <f aca="false">IF(GanttView[[#This Row],[_RemFrom]]=0,0,GanttView[[#This Row],[Forecast Finish]])</f>
        <v>0</v>
      </c>
      <c r="S138" s="110" t="b">
        <f aca="false">IF(IFERROR(INDEX(tsk_Name,GanttView[[#This Row],[_Row]])="",TRUE()),FALSE(),N(INDEX(tsk_Variance,GanttView[[#This Row],[_Row]]))&gt;0)</f>
        <v>0</v>
      </c>
      <c r="T138" s="111" t="n">
        <f aca="false">IF(IFERROR(INDEX(tsk_Name,GanttView[[#This Row],[_Row]])="",TRUE()),0,N(INDEX(tsk_Deadline,GanttView[[#This Row],[_Row]])))</f>
        <v>0</v>
      </c>
      <c r="U138" s="110" t="b">
        <f aca="false">IF(IFERROR(INDEX(tsk_Name,GanttView[[#This Row],[_Row]])="",TRUE()),FALSE(),INDEX(tsk_Critical,GanttView[[#This Row],[_Row]])="Yes")</f>
        <v>0</v>
      </c>
    </row>
    <row r="139" customFormat="false" ht="15" hidden="false" customHeight="false" outlineLevel="0" collapsed="false">
      <c r="A139" s="104" t="str">
        <f aca="false">IF(IFERROR(INDEX(tsk_Name,GanttView[[#This Row],[_Row]])="",TRUE()),"",INDEX(tsk_ID,GanttView[[#This Row],[_Row]]))</f>
        <v/>
      </c>
      <c r="B139" s="104" t="str">
        <f aca="false">IF(IFERROR(INDEX(tsk_Name,GanttView[[#This Row],[_Row]])="",TRUE()),"",INDEX(tsk_WBS,GanttView[[#This Row],[_Row]]))</f>
        <v/>
      </c>
      <c r="C139" s="105" t="str">
        <f aca="false">IF(IFERROR(INDEX(tsk_Name,GanttView[[#This Row],[_Row]])="",TRUE()),"",REPT("    ",INDEX(tsk_Level,GanttView[[#This Row],[_Row]])-1)&amp;INDEX(tsk_Name,GanttView[[#This Row],[_Row]]))</f>
        <v/>
      </c>
      <c r="D13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39" s="106" t="str">
        <f aca="false">IF(IFERROR(INDEX(tsk_Name,GanttView[[#This Row],[_Row]])="",TRUE()),"",INDEX(tsk_PlanStart,GanttView[[#This Row],[_Row]]))</f>
        <v/>
      </c>
      <c r="F139" s="106" t="str">
        <f aca="false">IF(IFERROR(INDEX(tsk_Name,GanttView[[#This Row],[_Row]])="",TRUE()),"",INDEX(tsk_PlanFinish,GanttView[[#This Row],[_Row]]))</f>
        <v/>
      </c>
      <c r="G139" s="106" t="str">
        <f aca="false">IF(IFERROR(INDEX(tsk_Name,GanttView[[#This Row],[_Row]])="",TRUE()),"",INDEX(tsk_FcStart,GanttView[[#This Row],[_Row]]))</f>
        <v/>
      </c>
      <c r="H139" s="106" t="str">
        <f aca="false">IF(IFERROR(INDEX(tsk_Name,GanttView[[#This Row],[_Row]])="",TRUE()),"",INDEX(tsk_FcFinish,GanttView[[#This Row],[_Row]]))</f>
        <v/>
      </c>
      <c r="I139" s="107" t="str">
        <f aca="false">IF(IFERROR(INDEX(tsk_Name,GanttView[[#This Row],[_Row]])="",TRUE()),"",INDEX(tsk_Progress,GanttView[[#This Row],[_Row]]))</f>
        <v/>
      </c>
      <c r="J139" s="105" t="str">
        <f aca="false">IF(IFERROR(INDEX(tsk_Name,GanttView[[#This Row],[_Row]])="",TRUE()),"",INDEX(tsk_Resource,GanttView[[#This Row],[_Row]])&amp;"")</f>
        <v/>
      </c>
      <c r="K139" s="108" t="str">
        <f aca="false">IF(IFERROR(INDEX(tsk_Name,GanttView[[#This Row],[_Row]])="",TRUE()),"",INDEX(tsk_Status,GanttView[[#This Row],[_Row]]))</f>
        <v/>
      </c>
      <c r="L139" s="109" t="n">
        <f aca="false">ROW()-ROW(GanttView[[#Headers],[ID]])</f>
        <v>134</v>
      </c>
      <c r="M139" s="110" t="b">
        <f aca="false">IF(IFERROR(INDEX(tsk_Name,GanttView[[#This Row],[_Row]])="",TRUE()),FALSE(),INDEX(tsk_IsSummary,GanttView[[#This Row],[_Row]]))</f>
        <v>0</v>
      </c>
      <c r="N139" s="110" t="b">
        <f aca="false">IF(IFERROR(INDEX(tsk_Name,GanttView[[#This Row],[_Row]])="",TRUE()),FALSE(),AND(INDEX(tsk_IsLeaf,GanttView[[#This Row],[_Row]])=1,N(INDEX(tsk_Duration,GanttView[[#This Row],[_Row]]))=0))</f>
        <v>0</v>
      </c>
      <c r="O13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3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3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39" s="111" t="n">
        <f aca="false">IF(GanttView[[#This Row],[_RemFrom]]=0,0,GanttView[[#This Row],[Forecast Finish]])</f>
        <v>0</v>
      </c>
      <c r="S139" s="110" t="b">
        <f aca="false">IF(IFERROR(INDEX(tsk_Name,GanttView[[#This Row],[_Row]])="",TRUE()),FALSE(),N(INDEX(tsk_Variance,GanttView[[#This Row],[_Row]]))&gt;0)</f>
        <v>0</v>
      </c>
      <c r="T139" s="111" t="n">
        <f aca="false">IF(IFERROR(INDEX(tsk_Name,GanttView[[#This Row],[_Row]])="",TRUE()),0,N(INDEX(tsk_Deadline,GanttView[[#This Row],[_Row]])))</f>
        <v>0</v>
      </c>
      <c r="U139" s="110" t="b">
        <f aca="false">IF(IFERROR(INDEX(tsk_Name,GanttView[[#This Row],[_Row]])="",TRUE()),FALSE(),INDEX(tsk_Critical,GanttView[[#This Row],[_Row]])="Yes")</f>
        <v>0</v>
      </c>
    </row>
    <row r="140" customFormat="false" ht="15" hidden="false" customHeight="false" outlineLevel="0" collapsed="false">
      <c r="A140" s="104" t="str">
        <f aca="false">IF(IFERROR(INDEX(tsk_Name,GanttView[[#This Row],[_Row]])="",TRUE()),"",INDEX(tsk_ID,GanttView[[#This Row],[_Row]]))</f>
        <v/>
      </c>
      <c r="B140" s="104" t="str">
        <f aca="false">IF(IFERROR(INDEX(tsk_Name,GanttView[[#This Row],[_Row]])="",TRUE()),"",INDEX(tsk_WBS,GanttView[[#This Row],[_Row]]))</f>
        <v/>
      </c>
      <c r="C140" s="105" t="str">
        <f aca="false">IF(IFERROR(INDEX(tsk_Name,GanttView[[#This Row],[_Row]])="",TRUE()),"",REPT("    ",INDEX(tsk_Level,GanttView[[#This Row],[_Row]])-1)&amp;INDEX(tsk_Name,GanttView[[#This Row],[_Row]]))</f>
        <v/>
      </c>
      <c r="D14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40" s="106" t="str">
        <f aca="false">IF(IFERROR(INDEX(tsk_Name,GanttView[[#This Row],[_Row]])="",TRUE()),"",INDEX(tsk_PlanStart,GanttView[[#This Row],[_Row]]))</f>
        <v/>
      </c>
      <c r="F140" s="106" t="str">
        <f aca="false">IF(IFERROR(INDEX(tsk_Name,GanttView[[#This Row],[_Row]])="",TRUE()),"",INDEX(tsk_PlanFinish,GanttView[[#This Row],[_Row]]))</f>
        <v/>
      </c>
      <c r="G140" s="106" t="str">
        <f aca="false">IF(IFERROR(INDEX(tsk_Name,GanttView[[#This Row],[_Row]])="",TRUE()),"",INDEX(tsk_FcStart,GanttView[[#This Row],[_Row]]))</f>
        <v/>
      </c>
      <c r="H140" s="106" t="str">
        <f aca="false">IF(IFERROR(INDEX(tsk_Name,GanttView[[#This Row],[_Row]])="",TRUE()),"",INDEX(tsk_FcFinish,GanttView[[#This Row],[_Row]]))</f>
        <v/>
      </c>
      <c r="I140" s="107" t="str">
        <f aca="false">IF(IFERROR(INDEX(tsk_Name,GanttView[[#This Row],[_Row]])="",TRUE()),"",INDEX(tsk_Progress,GanttView[[#This Row],[_Row]]))</f>
        <v/>
      </c>
      <c r="J140" s="105" t="str">
        <f aca="false">IF(IFERROR(INDEX(tsk_Name,GanttView[[#This Row],[_Row]])="",TRUE()),"",INDEX(tsk_Resource,GanttView[[#This Row],[_Row]])&amp;"")</f>
        <v/>
      </c>
      <c r="K140" s="108" t="str">
        <f aca="false">IF(IFERROR(INDEX(tsk_Name,GanttView[[#This Row],[_Row]])="",TRUE()),"",INDEX(tsk_Status,GanttView[[#This Row],[_Row]]))</f>
        <v/>
      </c>
      <c r="L140" s="109" t="n">
        <f aca="false">ROW()-ROW(GanttView[[#Headers],[ID]])</f>
        <v>135</v>
      </c>
      <c r="M140" s="110" t="b">
        <f aca="false">IF(IFERROR(INDEX(tsk_Name,GanttView[[#This Row],[_Row]])="",TRUE()),FALSE(),INDEX(tsk_IsSummary,GanttView[[#This Row],[_Row]]))</f>
        <v>0</v>
      </c>
      <c r="N140" s="110" t="b">
        <f aca="false">IF(IFERROR(INDEX(tsk_Name,GanttView[[#This Row],[_Row]])="",TRUE()),FALSE(),AND(INDEX(tsk_IsLeaf,GanttView[[#This Row],[_Row]])=1,N(INDEX(tsk_Duration,GanttView[[#This Row],[_Row]]))=0))</f>
        <v>0</v>
      </c>
      <c r="O14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4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4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40" s="111" t="n">
        <f aca="false">IF(GanttView[[#This Row],[_RemFrom]]=0,0,GanttView[[#This Row],[Forecast Finish]])</f>
        <v>0</v>
      </c>
      <c r="S140" s="110" t="b">
        <f aca="false">IF(IFERROR(INDEX(tsk_Name,GanttView[[#This Row],[_Row]])="",TRUE()),FALSE(),N(INDEX(tsk_Variance,GanttView[[#This Row],[_Row]]))&gt;0)</f>
        <v>0</v>
      </c>
      <c r="T140" s="111" t="n">
        <f aca="false">IF(IFERROR(INDEX(tsk_Name,GanttView[[#This Row],[_Row]])="",TRUE()),0,N(INDEX(tsk_Deadline,GanttView[[#This Row],[_Row]])))</f>
        <v>0</v>
      </c>
      <c r="U140" s="110" t="b">
        <f aca="false">IF(IFERROR(INDEX(tsk_Name,GanttView[[#This Row],[_Row]])="",TRUE()),FALSE(),INDEX(tsk_Critical,GanttView[[#This Row],[_Row]])="Yes")</f>
        <v>0</v>
      </c>
    </row>
    <row r="141" customFormat="false" ht="15" hidden="false" customHeight="false" outlineLevel="0" collapsed="false">
      <c r="A141" s="104" t="str">
        <f aca="false">IF(IFERROR(INDEX(tsk_Name,GanttView[[#This Row],[_Row]])="",TRUE()),"",INDEX(tsk_ID,GanttView[[#This Row],[_Row]]))</f>
        <v/>
      </c>
      <c r="B141" s="104" t="str">
        <f aca="false">IF(IFERROR(INDEX(tsk_Name,GanttView[[#This Row],[_Row]])="",TRUE()),"",INDEX(tsk_WBS,GanttView[[#This Row],[_Row]]))</f>
        <v/>
      </c>
      <c r="C141" s="105" t="str">
        <f aca="false">IF(IFERROR(INDEX(tsk_Name,GanttView[[#This Row],[_Row]])="",TRUE()),"",REPT("    ",INDEX(tsk_Level,GanttView[[#This Row],[_Row]])-1)&amp;INDEX(tsk_Name,GanttView[[#This Row],[_Row]]))</f>
        <v/>
      </c>
      <c r="D14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41" s="106" t="str">
        <f aca="false">IF(IFERROR(INDEX(tsk_Name,GanttView[[#This Row],[_Row]])="",TRUE()),"",INDEX(tsk_PlanStart,GanttView[[#This Row],[_Row]]))</f>
        <v/>
      </c>
      <c r="F141" s="106" t="str">
        <f aca="false">IF(IFERROR(INDEX(tsk_Name,GanttView[[#This Row],[_Row]])="",TRUE()),"",INDEX(tsk_PlanFinish,GanttView[[#This Row],[_Row]]))</f>
        <v/>
      </c>
      <c r="G141" s="106" t="str">
        <f aca="false">IF(IFERROR(INDEX(tsk_Name,GanttView[[#This Row],[_Row]])="",TRUE()),"",INDEX(tsk_FcStart,GanttView[[#This Row],[_Row]]))</f>
        <v/>
      </c>
      <c r="H141" s="106" t="str">
        <f aca="false">IF(IFERROR(INDEX(tsk_Name,GanttView[[#This Row],[_Row]])="",TRUE()),"",INDEX(tsk_FcFinish,GanttView[[#This Row],[_Row]]))</f>
        <v/>
      </c>
      <c r="I141" s="107" t="str">
        <f aca="false">IF(IFERROR(INDEX(tsk_Name,GanttView[[#This Row],[_Row]])="",TRUE()),"",INDEX(tsk_Progress,GanttView[[#This Row],[_Row]]))</f>
        <v/>
      </c>
      <c r="J141" s="105" t="str">
        <f aca="false">IF(IFERROR(INDEX(tsk_Name,GanttView[[#This Row],[_Row]])="",TRUE()),"",INDEX(tsk_Resource,GanttView[[#This Row],[_Row]])&amp;"")</f>
        <v/>
      </c>
      <c r="K141" s="108" t="str">
        <f aca="false">IF(IFERROR(INDEX(tsk_Name,GanttView[[#This Row],[_Row]])="",TRUE()),"",INDEX(tsk_Status,GanttView[[#This Row],[_Row]]))</f>
        <v/>
      </c>
      <c r="L141" s="109" t="n">
        <f aca="false">ROW()-ROW(GanttView[[#Headers],[ID]])</f>
        <v>136</v>
      </c>
      <c r="M141" s="110" t="b">
        <f aca="false">IF(IFERROR(INDEX(tsk_Name,GanttView[[#This Row],[_Row]])="",TRUE()),FALSE(),INDEX(tsk_IsSummary,GanttView[[#This Row],[_Row]]))</f>
        <v>0</v>
      </c>
      <c r="N141" s="110" t="b">
        <f aca="false">IF(IFERROR(INDEX(tsk_Name,GanttView[[#This Row],[_Row]])="",TRUE()),FALSE(),AND(INDEX(tsk_IsLeaf,GanttView[[#This Row],[_Row]])=1,N(INDEX(tsk_Duration,GanttView[[#This Row],[_Row]]))=0))</f>
        <v>0</v>
      </c>
      <c r="O14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4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4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41" s="111" t="n">
        <f aca="false">IF(GanttView[[#This Row],[_RemFrom]]=0,0,GanttView[[#This Row],[Forecast Finish]])</f>
        <v>0</v>
      </c>
      <c r="S141" s="110" t="b">
        <f aca="false">IF(IFERROR(INDEX(tsk_Name,GanttView[[#This Row],[_Row]])="",TRUE()),FALSE(),N(INDEX(tsk_Variance,GanttView[[#This Row],[_Row]]))&gt;0)</f>
        <v>0</v>
      </c>
      <c r="T141" s="111" t="n">
        <f aca="false">IF(IFERROR(INDEX(tsk_Name,GanttView[[#This Row],[_Row]])="",TRUE()),0,N(INDEX(tsk_Deadline,GanttView[[#This Row],[_Row]])))</f>
        <v>0</v>
      </c>
      <c r="U141" s="110" t="b">
        <f aca="false">IF(IFERROR(INDEX(tsk_Name,GanttView[[#This Row],[_Row]])="",TRUE()),FALSE(),INDEX(tsk_Critical,GanttView[[#This Row],[_Row]])="Yes")</f>
        <v>0</v>
      </c>
    </row>
    <row r="142" customFormat="false" ht="15" hidden="false" customHeight="false" outlineLevel="0" collapsed="false">
      <c r="A142" s="104" t="str">
        <f aca="false">IF(IFERROR(INDEX(tsk_Name,GanttView[[#This Row],[_Row]])="",TRUE()),"",INDEX(tsk_ID,GanttView[[#This Row],[_Row]]))</f>
        <v/>
      </c>
      <c r="B142" s="104" t="str">
        <f aca="false">IF(IFERROR(INDEX(tsk_Name,GanttView[[#This Row],[_Row]])="",TRUE()),"",INDEX(tsk_WBS,GanttView[[#This Row],[_Row]]))</f>
        <v/>
      </c>
      <c r="C142" s="105" t="str">
        <f aca="false">IF(IFERROR(INDEX(tsk_Name,GanttView[[#This Row],[_Row]])="",TRUE()),"",REPT("    ",INDEX(tsk_Level,GanttView[[#This Row],[_Row]])-1)&amp;INDEX(tsk_Name,GanttView[[#This Row],[_Row]]))</f>
        <v/>
      </c>
      <c r="D14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42" s="106" t="str">
        <f aca="false">IF(IFERROR(INDEX(tsk_Name,GanttView[[#This Row],[_Row]])="",TRUE()),"",INDEX(tsk_PlanStart,GanttView[[#This Row],[_Row]]))</f>
        <v/>
      </c>
      <c r="F142" s="106" t="str">
        <f aca="false">IF(IFERROR(INDEX(tsk_Name,GanttView[[#This Row],[_Row]])="",TRUE()),"",INDEX(tsk_PlanFinish,GanttView[[#This Row],[_Row]]))</f>
        <v/>
      </c>
      <c r="G142" s="106" t="str">
        <f aca="false">IF(IFERROR(INDEX(tsk_Name,GanttView[[#This Row],[_Row]])="",TRUE()),"",INDEX(tsk_FcStart,GanttView[[#This Row],[_Row]]))</f>
        <v/>
      </c>
      <c r="H142" s="106" t="str">
        <f aca="false">IF(IFERROR(INDEX(tsk_Name,GanttView[[#This Row],[_Row]])="",TRUE()),"",INDEX(tsk_FcFinish,GanttView[[#This Row],[_Row]]))</f>
        <v/>
      </c>
      <c r="I142" s="107" t="str">
        <f aca="false">IF(IFERROR(INDEX(tsk_Name,GanttView[[#This Row],[_Row]])="",TRUE()),"",INDEX(tsk_Progress,GanttView[[#This Row],[_Row]]))</f>
        <v/>
      </c>
      <c r="J142" s="105" t="str">
        <f aca="false">IF(IFERROR(INDEX(tsk_Name,GanttView[[#This Row],[_Row]])="",TRUE()),"",INDEX(tsk_Resource,GanttView[[#This Row],[_Row]])&amp;"")</f>
        <v/>
      </c>
      <c r="K142" s="108" t="str">
        <f aca="false">IF(IFERROR(INDEX(tsk_Name,GanttView[[#This Row],[_Row]])="",TRUE()),"",INDEX(tsk_Status,GanttView[[#This Row],[_Row]]))</f>
        <v/>
      </c>
      <c r="L142" s="109" t="n">
        <f aca="false">ROW()-ROW(GanttView[[#Headers],[ID]])</f>
        <v>137</v>
      </c>
      <c r="M142" s="110" t="b">
        <f aca="false">IF(IFERROR(INDEX(tsk_Name,GanttView[[#This Row],[_Row]])="",TRUE()),FALSE(),INDEX(tsk_IsSummary,GanttView[[#This Row],[_Row]]))</f>
        <v>0</v>
      </c>
      <c r="N142" s="110" t="b">
        <f aca="false">IF(IFERROR(INDEX(tsk_Name,GanttView[[#This Row],[_Row]])="",TRUE()),FALSE(),AND(INDEX(tsk_IsLeaf,GanttView[[#This Row],[_Row]])=1,N(INDEX(tsk_Duration,GanttView[[#This Row],[_Row]]))=0))</f>
        <v>0</v>
      </c>
      <c r="O14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4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4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42" s="111" t="n">
        <f aca="false">IF(GanttView[[#This Row],[_RemFrom]]=0,0,GanttView[[#This Row],[Forecast Finish]])</f>
        <v>0</v>
      </c>
      <c r="S142" s="110" t="b">
        <f aca="false">IF(IFERROR(INDEX(tsk_Name,GanttView[[#This Row],[_Row]])="",TRUE()),FALSE(),N(INDEX(tsk_Variance,GanttView[[#This Row],[_Row]]))&gt;0)</f>
        <v>0</v>
      </c>
      <c r="T142" s="111" t="n">
        <f aca="false">IF(IFERROR(INDEX(tsk_Name,GanttView[[#This Row],[_Row]])="",TRUE()),0,N(INDEX(tsk_Deadline,GanttView[[#This Row],[_Row]])))</f>
        <v>0</v>
      </c>
      <c r="U142" s="110" t="b">
        <f aca="false">IF(IFERROR(INDEX(tsk_Name,GanttView[[#This Row],[_Row]])="",TRUE()),FALSE(),INDEX(tsk_Critical,GanttView[[#This Row],[_Row]])="Yes")</f>
        <v>0</v>
      </c>
    </row>
    <row r="143" customFormat="false" ht="15" hidden="false" customHeight="false" outlineLevel="0" collapsed="false">
      <c r="A143" s="104" t="str">
        <f aca="false">IF(IFERROR(INDEX(tsk_Name,GanttView[[#This Row],[_Row]])="",TRUE()),"",INDEX(tsk_ID,GanttView[[#This Row],[_Row]]))</f>
        <v/>
      </c>
      <c r="B143" s="104" t="str">
        <f aca="false">IF(IFERROR(INDEX(tsk_Name,GanttView[[#This Row],[_Row]])="",TRUE()),"",INDEX(tsk_WBS,GanttView[[#This Row],[_Row]]))</f>
        <v/>
      </c>
      <c r="C143" s="105" t="str">
        <f aca="false">IF(IFERROR(INDEX(tsk_Name,GanttView[[#This Row],[_Row]])="",TRUE()),"",REPT("    ",INDEX(tsk_Level,GanttView[[#This Row],[_Row]])-1)&amp;INDEX(tsk_Name,GanttView[[#This Row],[_Row]]))</f>
        <v/>
      </c>
      <c r="D14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43" s="106" t="str">
        <f aca="false">IF(IFERROR(INDEX(tsk_Name,GanttView[[#This Row],[_Row]])="",TRUE()),"",INDEX(tsk_PlanStart,GanttView[[#This Row],[_Row]]))</f>
        <v/>
      </c>
      <c r="F143" s="106" t="str">
        <f aca="false">IF(IFERROR(INDEX(tsk_Name,GanttView[[#This Row],[_Row]])="",TRUE()),"",INDEX(tsk_PlanFinish,GanttView[[#This Row],[_Row]]))</f>
        <v/>
      </c>
      <c r="G143" s="106" t="str">
        <f aca="false">IF(IFERROR(INDEX(tsk_Name,GanttView[[#This Row],[_Row]])="",TRUE()),"",INDEX(tsk_FcStart,GanttView[[#This Row],[_Row]]))</f>
        <v/>
      </c>
      <c r="H143" s="106" t="str">
        <f aca="false">IF(IFERROR(INDEX(tsk_Name,GanttView[[#This Row],[_Row]])="",TRUE()),"",INDEX(tsk_FcFinish,GanttView[[#This Row],[_Row]]))</f>
        <v/>
      </c>
      <c r="I143" s="107" t="str">
        <f aca="false">IF(IFERROR(INDEX(tsk_Name,GanttView[[#This Row],[_Row]])="",TRUE()),"",INDEX(tsk_Progress,GanttView[[#This Row],[_Row]]))</f>
        <v/>
      </c>
      <c r="J143" s="105" t="str">
        <f aca="false">IF(IFERROR(INDEX(tsk_Name,GanttView[[#This Row],[_Row]])="",TRUE()),"",INDEX(tsk_Resource,GanttView[[#This Row],[_Row]])&amp;"")</f>
        <v/>
      </c>
      <c r="K143" s="108" t="str">
        <f aca="false">IF(IFERROR(INDEX(tsk_Name,GanttView[[#This Row],[_Row]])="",TRUE()),"",INDEX(tsk_Status,GanttView[[#This Row],[_Row]]))</f>
        <v/>
      </c>
      <c r="L143" s="109" t="n">
        <f aca="false">ROW()-ROW(GanttView[[#Headers],[ID]])</f>
        <v>138</v>
      </c>
      <c r="M143" s="110" t="b">
        <f aca="false">IF(IFERROR(INDEX(tsk_Name,GanttView[[#This Row],[_Row]])="",TRUE()),FALSE(),INDEX(tsk_IsSummary,GanttView[[#This Row],[_Row]]))</f>
        <v>0</v>
      </c>
      <c r="N143" s="110" t="b">
        <f aca="false">IF(IFERROR(INDEX(tsk_Name,GanttView[[#This Row],[_Row]])="",TRUE()),FALSE(),AND(INDEX(tsk_IsLeaf,GanttView[[#This Row],[_Row]])=1,N(INDEX(tsk_Duration,GanttView[[#This Row],[_Row]]))=0))</f>
        <v>0</v>
      </c>
      <c r="O14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4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4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43" s="111" t="n">
        <f aca="false">IF(GanttView[[#This Row],[_RemFrom]]=0,0,GanttView[[#This Row],[Forecast Finish]])</f>
        <v>0</v>
      </c>
      <c r="S143" s="110" t="b">
        <f aca="false">IF(IFERROR(INDEX(tsk_Name,GanttView[[#This Row],[_Row]])="",TRUE()),FALSE(),N(INDEX(tsk_Variance,GanttView[[#This Row],[_Row]]))&gt;0)</f>
        <v>0</v>
      </c>
      <c r="T143" s="111" t="n">
        <f aca="false">IF(IFERROR(INDEX(tsk_Name,GanttView[[#This Row],[_Row]])="",TRUE()),0,N(INDEX(tsk_Deadline,GanttView[[#This Row],[_Row]])))</f>
        <v>0</v>
      </c>
      <c r="U143" s="110" t="b">
        <f aca="false">IF(IFERROR(INDEX(tsk_Name,GanttView[[#This Row],[_Row]])="",TRUE()),FALSE(),INDEX(tsk_Critical,GanttView[[#This Row],[_Row]])="Yes")</f>
        <v>0</v>
      </c>
    </row>
    <row r="144" customFormat="false" ht="15" hidden="false" customHeight="false" outlineLevel="0" collapsed="false">
      <c r="A144" s="104" t="str">
        <f aca="false">IF(IFERROR(INDEX(tsk_Name,GanttView[[#This Row],[_Row]])="",TRUE()),"",INDEX(tsk_ID,GanttView[[#This Row],[_Row]]))</f>
        <v/>
      </c>
      <c r="B144" s="104" t="str">
        <f aca="false">IF(IFERROR(INDEX(tsk_Name,GanttView[[#This Row],[_Row]])="",TRUE()),"",INDEX(tsk_WBS,GanttView[[#This Row],[_Row]]))</f>
        <v/>
      </c>
      <c r="C144" s="105" t="str">
        <f aca="false">IF(IFERROR(INDEX(tsk_Name,GanttView[[#This Row],[_Row]])="",TRUE()),"",REPT("    ",INDEX(tsk_Level,GanttView[[#This Row],[_Row]])-1)&amp;INDEX(tsk_Name,GanttView[[#This Row],[_Row]]))</f>
        <v/>
      </c>
      <c r="D14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44" s="106" t="str">
        <f aca="false">IF(IFERROR(INDEX(tsk_Name,GanttView[[#This Row],[_Row]])="",TRUE()),"",INDEX(tsk_PlanStart,GanttView[[#This Row],[_Row]]))</f>
        <v/>
      </c>
      <c r="F144" s="106" t="str">
        <f aca="false">IF(IFERROR(INDEX(tsk_Name,GanttView[[#This Row],[_Row]])="",TRUE()),"",INDEX(tsk_PlanFinish,GanttView[[#This Row],[_Row]]))</f>
        <v/>
      </c>
      <c r="G144" s="106" t="str">
        <f aca="false">IF(IFERROR(INDEX(tsk_Name,GanttView[[#This Row],[_Row]])="",TRUE()),"",INDEX(tsk_FcStart,GanttView[[#This Row],[_Row]]))</f>
        <v/>
      </c>
      <c r="H144" s="106" t="str">
        <f aca="false">IF(IFERROR(INDEX(tsk_Name,GanttView[[#This Row],[_Row]])="",TRUE()),"",INDEX(tsk_FcFinish,GanttView[[#This Row],[_Row]]))</f>
        <v/>
      </c>
      <c r="I144" s="107" t="str">
        <f aca="false">IF(IFERROR(INDEX(tsk_Name,GanttView[[#This Row],[_Row]])="",TRUE()),"",INDEX(tsk_Progress,GanttView[[#This Row],[_Row]]))</f>
        <v/>
      </c>
      <c r="J144" s="105" t="str">
        <f aca="false">IF(IFERROR(INDEX(tsk_Name,GanttView[[#This Row],[_Row]])="",TRUE()),"",INDEX(tsk_Resource,GanttView[[#This Row],[_Row]])&amp;"")</f>
        <v/>
      </c>
      <c r="K144" s="108" t="str">
        <f aca="false">IF(IFERROR(INDEX(tsk_Name,GanttView[[#This Row],[_Row]])="",TRUE()),"",INDEX(tsk_Status,GanttView[[#This Row],[_Row]]))</f>
        <v/>
      </c>
      <c r="L144" s="109" t="n">
        <f aca="false">ROW()-ROW(GanttView[[#Headers],[ID]])</f>
        <v>139</v>
      </c>
      <c r="M144" s="110" t="b">
        <f aca="false">IF(IFERROR(INDEX(tsk_Name,GanttView[[#This Row],[_Row]])="",TRUE()),FALSE(),INDEX(tsk_IsSummary,GanttView[[#This Row],[_Row]]))</f>
        <v>0</v>
      </c>
      <c r="N144" s="110" t="b">
        <f aca="false">IF(IFERROR(INDEX(tsk_Name,GanttView[[#This Row],[_Row]])="",TRUE()),FALSE(),AND(INDEX(tsk_IsLeaf,GanttView[[#This Row],[_Row]])=1,N(INDEX(tsk_Duration,GanttView[[#This Row],[_Row]]))=0))</f>
        <v>0</v>
      </c>
      <c r="O14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4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4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44" s="111" t="n">
        <f aca="false">IF(GanttView[[#This Row],[_RemFrom]]=0,0,GanttView[[#This Row],[Forecast Finish]])</f>
        <v>0</v>
      </c>
      <c r="S144" s="110" t="b">
        <f aca="false">IF(IFERROR(INDEX(tsk_Name,GanttView[[#This Row],[_Row]])="",TRUE()),FALSE(),N(INDEX(tsk_Variance,GanttView[[#This Row],[_Row]]))&gt;0)</f>
        <v>0</v>
      </c>
      <c r="T144" s="111" t="n">
        <f aca="false">IF(IFERROR(INDEX(tsk_Name,GanttView[[#This Row],[_Row]])="",TRUE()),0,N(INDEX(tsk_Deadline,GanttView[[#This Row],[_Row]])))</f>
        <v>0</v>
      </c>
      <c r="U144" s="110" t="b">
        <f aca="false">IF(IFERROR(INDEX(tsk_Name,GanttView[[#This Row],[_Row]])="",TRUE()),FALSE(),INDEX(tsk_Critical,GanttView[[#This Row],[_Row]])="Yes")</f>
        <v>0</v>
      </c>
    </row>
    <row r="145" customFormat="false" ht="15" hidden="false" customHeight="false" outlineLevel="0" collapsed="false">
      <c r="A145" s="104" t="str">
        <f aca="false">IF(IFERROR(INDEX(tsk_Name,GanttView[[#This Row],[_Row]])="",TRUE()),"",INDEX(tsk_ID,GanttView[[#This Row],[_Row]]))</f>
        <v/>
      </c>
      <c r="B145" s="104" t="str">
        <f aca="false">IF(IFERROR(INDEX(tsk_Name,GanttView[[#This Row],[_Row]])="",TRUE()),"",INDEX(tsk_WBS,GanttView[[#This Row],[_Row]]))</f>
        <v/>
      </c>
      <c r="C145" s="105" t="str">
        <f aca="false">IF(IFERROR(INDEX(tsk_Name,GanttView[[#This Row],[_Row]])="",TRUE()),"",REPT("    ",INDEX(tsk_Level,GanttView[[#This Row],[_Row]])-1)&amp;INDEX(tsk_Name,GanttView[[#This Row],[_Row]]))</f>
        <v/>
      </c>
      <c r="D14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45" s="106" t="str">
        <f aca="false">IF(IFERROR(INDEX(tsk_Name,GanttView[[#This Row],[_Row]])="",TRUE()),"",INDEX(tsk_PlanStart,GanttView[[#This Row],[_Row]]))</f>
        <v/>
      </c>
      <c r="F145" s="106" t="str">
        <f aca="false">IF(IFERROR(INDEX(tsk_Name,GanttView[[#This Row],[_Row]])="",TRUE()),"",INDEX(tsk_PlanFinish,GanttView[[#This Row],[_Row]]))</f>
        <v/>
      </c>
      <c r="G145" s="106" t="str">
        <f aca="false">IF(IFERROR(INDEX(tsk_Name,GanttView[[#This Row],[_Row]])="",TRUE()),"",INDEX(tsk_FcStart,GanttView[[#This Row],[_Row]]))</f>
        <v/>
      </c>
      <c r="H145" s="106" t="str">
        <f aca="false">IF(IFERROR(INDEX(tsk_Name,GanttView[[#This Row],[_Row]])="",TRUE()),"",INDEX(tsk_FcFinish,GanttView[[#This Row],[_Row]]))</f>
        <v/>
      </c>
      <c r="I145" s="107" t="str">
        <f aca="false">IF(IFERROR(INDEX(tsk_Name,GanttView[[#This Row],[_Row]])="",TRUE()),"",INDEX(tsk_Progress,GanttView[[#This Row],[_Row]]))</f>
        <v/>
      </c>
      <c r="J145" s="105" t="str">
        <f aca="false">IF(IFERROR(INDEX(tsk_Name,GanttView[[#This Row],[_Row]])="",TRUE()),"",INDEX(tsk_Resource,GanttView[[#This Row],[_Row]])&amp;"")</f>
        <v/>
      </c>
      <c r="K145" s="108" t="str">
        <f aca="false">IF(IFERROR(INDEX(tsk_Name,GanttView[[#This Row],[_Row]])="",TRUE()),"",INDEX(tsk_Status,GanttView[[#This Row],[_Row]]))</f>
        <v/>
      </c>
      <c r="L145" s="109" t="n">
        <f aca="false">ROW()-ROW(GanttView[[#Headers],[ID]])</f>
        <v>140</v>
      </c>
      <c r="M145" s="110" t="b">
        <f aca="false">IF(IFERROR(INDEX(tsk_Name,GanttView[[#This Row],[_Row]])="",TRUE()),FALSE(),INDEX(tsk_IsSummary,GanttView[[#This Row],[_Row]]))</f>
        <v>0</v>
      </c>
      <c r="N145" s="110" t="b">
        <f aca="false">IF(IFERROR(INDEX(tsk_Name,GanttView[[#This Row],[_Row]])="",TRUE()),FALSE(),AND(INDEX(tsk_IsLeaf,GanttView[[#This Row],[_Row]])=1,N(INDEX(tsk_Duration,GanttView[[#This Row],[_Row]]))=0))</f>
        <v>0</v>
      </c>
      <c r="O14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4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4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45" s="111" t="n">
        <f aca="false">IF(GanttView[[#This Row],[_RemFrom]]=0,0,GanttView[[#This Row],[Forecast Finish]])</f>
        <v>0</v>
      </c>
      <c r="S145" s="110" t="b">
        <f aca="false">IF(IFERROR(INDEX(tsk_Name,GanttView[[#This Row],[_Row]])="",TRUE()),FALSE(),N(INDEX(tsk_Variance,GanttView[[#This Row],[_Row]]))&gt;0)</f>
        <v>0</v>
      </c>
      <c r="T145" s="111" t="n">
        <f aca="false">IF(IFERROR(INDEX(tsk_Name,GanttView[[#This Row],[_Row]])="",TRUE()),0,N(INDEX(tsk_Deadline,GanttView[[#This Row],[_Row]])))</f>
        <v>0</v>
      </c>
      <c r="U145" s="110" t="b">
        <f aca="false">IF(IFERROR(INDEX(tsk_Name,GanttView[[#This Row],[_Row]])="",TRUE()),FALSE(),INDEX(tsk_Critical,GanttView[[#This Row],[_Row]])="Yes")</f>
        <v>0</v>
      </c>
    </row>
    <row r="146" customFormat="false" ht="15" hidden="false" customHeight="false" outlineLevel="0" collapsed="false">
      <c r="A146" s="104" t="str">
        <f aca="false">IF(IFERROR(INDEX(tsk_Name,GanttView[[#This Row],[_Row]])="",TRUE()),"",INDEX(tsk_ID,GanttView[[#This Row],[_Row]]))</f>
        <v/>
      </c>
      <c r="B146" s="104" t="str">
        <f aca="false">IF(IFERROR(INDEX(tsk_Name,GanttView[[#This Row],[_Row]])="",TRUE()),"",INDEX(tsk_WBS,GanttView[[#This Row],[_Row]]))</f>
        <v/>
      </c>
      <c r="C146" s="105" t="str">
        <f aca="false">IF(IFERROR(INDEX(tsk_Name,GanttView[[#This Row],[_Row]])="",TRUE()),"",REPT("    ",INDEX(tsk_Level,GanttView[[#This Row],[_Row]])-1)&amp;INDEX(tsk_Name,GanttView[[#This Row],[_Row]]))</f>
        <v/>
      </c>
      <c r="D14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46" s="106" t="str">
        <f aca="false">IF(IFERROR(INDEX(tsk_Name,GanttView[[#This Row],[_Row]])="",TRUE()),"",INDEX(tsk_PlanStart,GanttView[[#This Row],[_Row]]))</f>
        <v/>
      </c>
      <c r="F146" s="106" t="str">
        <f aca="false">IF(IFERROR(INDEX(tsk_Name,GanttView[[#This Row],[_Row]])="",TRUE()),"",INDEX(tsk_PlanFinish,GanttView[[#This Row],[_Row]]))</f>
        <v/>
      </c>
      <c r="G146" s="106" t="str">
        <f aca="false">IF(IFERROR(INDEX(tsk_Name,GanttView[[#This Row],[_Row]])="",TRUE()),"",INDEX(tsk_FcStart,GanttView[[#This Row],[_Row]]))</f>
        <v/>
      </c>
      <c r="H146" s="106" t="str">
        <f aca="false">IF(IFERROR(INDEX(tsk_Name,GanttView[[#This Row],[_Row]])="",TRUE()),"",INDEX(tsk_FcFinish,GanttView[[#This Row],[_Row]]))</f>
        <v/>
      </c>
      <c r="I146" s="107" t="str">
        <f aca="false">IF(IFERROR(INDEX(tsk_Name,GanttView[[#This Row],[_Row]])="",TRUE()),"",INDEX(tsk_Progress,GanttView[[#This Row],[_Row]]))</f>
        <v/>
      </c>
      <c r="J146" s="105" t="str">
        <f aca="false">IF(IFERROR(INDEX(tsk_Name,GanttView[[#This Row],[_Row]])="",TRUE()),"",INDEX(tsk_Resource,GanttView[[#This Row],[_Row]])&amp;"")</f>
        <v/>
      </c>
      <c r="K146" s="108" t="str">
        <f aca="false">IF(IFERROR(INDEX(tsk_Name,GanttView[[#This Row],[_Row]])="",TRUE()),"",INDEX(tsk_Status,GanttView[[#This Row],[_Row]]))</f>
        <v/>
      </c>
      <c r="L146" s="109" t="n">
        <f aca="false">ROW()-ROW(GanttView[[#Headers],[ID]])</f>
        <v>141</v>
      </c>
      <c r="M146" s="110" t="b">
        <f aca="false">IF(IFERROR(INDEX(tsk_Name,GanttView[[#This Row],[_Row]])="",TRUE()),FALSE(),INDEX(tsk_IsSummary,GanttView[[#This Row],[_Row]]))</f>
        <v>0</v>
      </c>
      <c r="N146" s="110" t="b">
        <f aca="false">IF(IFERROR(INDEX(tsk_Name,GanttView[[#This Row],[_Row]])="",TRUE()),FALSE(),AND(INDEX(tsk_IsLeaf,GanttView[[#This Row],[_Row]])=1,N(INDEX(tsk_Duration,GanttView[[#This Row],[_Row]]))=0))</f>
        <v>0</v>
      </c>
      <c r="O14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4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4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46" s="111" t="n">
        <f aca="false">IF(GanttView[[#This Row],[_RemFrom]]=0,0,GanttView[[#This Row],[Forecast Finish]])</f>
        <v>0</v>
      </c>
      <c r="S146" s="110" t="b">
        <f aca="false">IF(IFERROR(INDEX(tsk_Name,GanttView[[#This Row],[_Row]])="",TRUE()),FALSE(),N(INDEX(tsk_Variance,GanttView[[#This Row],[_Row]]))&gt;0)</f>
        <v>0</v>
      </c>
      <c r="T146" s="111" t="n">
        <f aca="false">IF(IFERROR(INDEX(tsk_Name,GanttView[[#This Row],[_Row]])="",TRUE()),0,N(INDEX(tsk_Deadline,GanttView[[#This Row],[_Row]])))</f>
        <v>0</v>
      </c>
      <c r="U146" s="110" t="b">
        <f aca="false">IF(IFERROR(INDEX(tsk_Name,GanttView[[#This Row],[_Row]])="",TRUE()),FALSE(),INDEX(tsk_Critical,GanttView[[#This Row],[_Row]])="Yes")</f>
        <v>0</v>
      </c>
    </row>
    <row r="147" customFormat="false" ht="15" hidden="false" customHeight="false" outlineLevel="0" collapsed="false">
      <c r="A147" s="104" t="str">
        <f aca="false">IF(IFERROR(INDEX(tsk_Name,GanttView[[#This Row],[_Row]])="",TRUE()),"",INDEX(tsk_ID,GanttView[[#This Row],[_Row]]))</f>
        <v/>
      </c>
      <c r="B147" s="104" t="str">
        <f aca="false">IF(IFERROR(INDEX(tsk_Name,GanttView[[#This Row],[_Row]])="",TRUE()),"",INDEX(tsk_WBS,GanttView[[#This Row],[_Row]]))</f>
        <v/>
      </c>
      <c r="C147" s="105" t="str">
        <f aca="false">IF(IFERROR(INDEX(tsk_Name,GanttView[[#This Row],[_Row]])="",TRUE()),"",REPT("    ",INDEX(tsk_Level,GanttView[[#This Row],[_Row]])-1)&amp;INDEX(tsk_Name,GanttView[[#This Row],[_Row]]))</f>
        <v/>
      </c>
      <c r="D14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47" s="106" t="str">
        <f aca="false">IF(IFERROR(INDEX(tsk_Name,GanttView[[#This Row],[_Row]])="",TRUE()),"",INDEX(tsk_PlanStart,GanttView[[#This Row],[_Row]]))</f>
        <v/>
      </c>
      <c r="F147" s="106" t="str">
        <f aca="false">IF(IFERROR(INDEX(tsk_Name,GanttView[[#This Row],[_Row]])="",TRUE()),"",INDEX(tsk_PlanFinish,GanttView[[#This Row],[_Row]]))</f>
        <v/>
      </c>
      <c r="G147" s="106" t="str">
        <f aca="false">IF(IFERROR(INDEX(tsk_Name,GanttView[[#This Row],[_Row]])="",TRUE()),"",INDEX(tsk_FcStart,GanttView[[#This Row],[_Row]]))</f>
        <v/>
      </c>
      <c r="H147" s="106" t="str">
        <f aca="false">IF(IFERROR(INDEX(tsk_Name,GanttView[[#This Row],[_Row]])="",TRUE()),"",INDEX(tsk_FcFinish,GanttView[[#This Row],[_Row]]))</f>
        <v/>
      </c>
      <c r="I147" s="107" t="str">
        <f aca="false">IF(IFERROR(INDEX(tsk_Name,GanttView[[#This Row],[_Row]])="",TRUE()),"",INDEX(tsk_Progress,GanttView[[#This Row],[_Row]]))</f>
        <v/>
      </c>
      <c r="J147" s="105" t="str">
        <f aca="false">IF(IFERROR(INDEX(tsk_Name,GanttView[[#This Row],[_Row]])="",TRUE()),"",INDEX(tsk_Resource,GanttView[[#This Row],[_Row]])&amp;"")</f>
        <v/>
      </c>
      <c r="K147" s="108" t="str">
        <f aca="false">IF(IFERROR(INDEX(tsk_Name,GanttView[[#This Row],[_Row]])="",TRUE()),"",INDEX(tsk_Status,GanttView[[#This Row],[_Row]]))</f>
        <v/>
      </c>
      <c r="L147" s="109" t="n">
        <f aca="false">ROW()-ROW(GanttView[[#Headers],[ID]])</f>
        <v>142</v>
      </c>
      <c r="M147" s="110" t="b">
        <f aca="false">IF(IFERROR(INDEX(tsk_Name,GanttView[[#This Row],[_Row]])="",TRUE()),FALSE(),INDEX(tsk_IsSummary,GanttView[[#This Row],[_Row]]))</f>
        <v>0</v>
      </c>
      <c r="N147" s="110" t="b">
        <f aca="false">IF(IFERROR(INDEX(tsk_Name,GanttView[[#This Row],[_Row]])="",TRUE()),FALSE(),AND(INDEX(tsk_IsLeaf,GanttView[[#This Row],[_Row]])=1,N(INDEX(tsk_Duration,GanttView[[#This Row],[_Row]]))=0))</f>
        <v>0</v>
      </c>
      <c r="O14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4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4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47" s="111" t="n">
        <f aca="false">IF(GanttView[[#This Row],[_RemFrom]]=0,0,GanttView[[#This Row],[Forecast Finish]])</f>
        <v>0</v>
      </c>
      <c r="S147" s="110" t="b">
        <f aca="false">IF(IFERROR(INDEX(tsk_Name,GanttView[[#This Row],[_Row]])="",TRUE()),FALSE(),N(INDEX(tsk_Variance,GanttView[[#This Row],[_Row]]))&gt;0)</f>
        <v>0</v>
      </c>
      <c r="T147" s="111" t="n">
        <f aca="false">IF(IFERROR(INDEX(tsk_Name,GanttView[[#This Row],[_Row]])="",TRUE()),0,N(INDEX(tsk_Deadline,GanttView[[#This Row],[_Row]])))</f>
        <v>0</v>
      </c>
      <c r="U147" s="110" t="b">
        <f aca="false">IF(IFERROR(INDEX(tsk_Name,GanttView[[#This Row],[_Row]])="",TRUE()),FALSE(),INDEX(tsk_Critical,GanttView[[#This Row],[_Row]])="Yes")</f>
        <v>0</v>
      </c>
    </row>
    <row r="148" customFormat="false" ht="15" hidden="false" customHeight="false" outlineLevel="0" collapsed="false">
      <c r="A148" s="104" t="str">
        <f aca="false">IF(IFERROR(INDEX(tsk_Name,GanttView[[#This Row],[_Row]])="",TRUE()),"",INDEX(tsk_ID,GanttView[[#This Row],[_Row]]))</f>
        <v/>
      </c>
      <c r="B148" s="104" t="str">
        <f aca="false">IF(IFERROR(INDEX(tsk_Name,GanttView[[#This Row],[_Row]])="",TRUE()),"",INDEX(tsk_WBS,GanttView[[#This Row],[_Row]]))</f>
        <v/>
      </c>
      <c r="C148" s="105" t="str">
        <f aca="false">IF(IFERROR(INDEX(tsk_Name,GanttView[[#This Row],[_Row]])="",TRUE()),"",REPT("    ",INDEX(tsk_Level,GanttView[[#This Row],[_Row]])-1)&amp;INDEX(tsk_Name,GanttView[[#This Row],[_Row]]))</f>
        <v/>
      </c>
      <c r="D14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48" s="106" t="str">
        <f aca="false">IF(IFERROR(INDEX(tsk_Name,GanttView[[#This Row],[_Row]])="",TRUE()),"",INDEX(tsk_PlanStart,GanttView[[#This Row],[_Row]]))</f>
        <v/>
      </c>
      <c r="F148" s="106" t="str">
        <f aca="false">IF(IFERROR(INDEX(tsk_Name,GanttView[[#This Row],[_Row]])="",TRUE()),"",INDEX(tsk_PlanFinish,GanttView[[#This Row],[_Row]]))</f>
        <v/>
      </c>
      <c r="G148" s="106" t="str">
        <f aca="false">IF(IFERROR(INDEX(tsk_Name,GanttView[[#This Row],[_Row]])="",TRUE()),"",INDEX(tsk_FcStart,GanttView[[#This Row],[_Row]]))</f>
        <v/>
      </c>
      <c r="H148" s="106" t="str">
        <f aca="false">IF(IFERROR(INDEX(tsk_Name,GanttView[[#This Row],[_Row]])="",TRUE()),"",INDEX(tsk_FcFinish,GanttView[[#This Row],[_Row]]))</f>
        <v/>
      </c>
      <c r="I148" s="107" t="str">
        <f aca="false">IF(IFERROR(INDEX(tsk_Name,GanttView[[#This Row],[_Row]])="",TRUE()),"",INDEX(tsk_Progress,GanttView[[#This Row],[_Row]]))</f>
        <v/>
      </c>
      <c r="J148" s="105" t="str">
        <f aca="false">IF(IFERROR(INDEX(tsk_Name,GanttView[[#This Row],[_Row]])="",TRUE()),"",INDEX(tsk_Resource,GanttView[[#This Row],[_Row]])&amp;"")</f>
        <v/>
      </c>
      <c r="K148" s="108" t="str">
        <f aca="false">IF(IFERROR(INDEX(tsk_Name,GanttView[[#This Row],[_Row]])="",TRUE()),"",INDEX(tsk_Status,GanttView[[#This Row],[_Row]]))</f>
        <v/>
      </c>
      <c r="L148" s="109" t="n">
        <f aca="false">ROW()-ROW(GanttView[[#Headers],[ID]])</f>
        <v>143</v>
      </c>
      <c r="M148" s="110" t="b">
        <f aca="false">IF(IFERROR(INDEX(tsk_Name,GanttView[[#This Row],[_Row]])="",TRUE()),FALSE(),INDEX(tsk_IsSummary,GanttView[[#This Row],[_Row]]))</f>
        <v>0</v>
      </c>
      <c r="N148" s="110" t="b">
        <f aca="false">IF(IFERROR(INDEX(tsk_Name,GanttView[[#This Row],[_Row]])="",TRUE()),FALSE(),AND(INDEX(tsk_IsLeaf,GanttView[[#This Row],[_Row]])=1,N(INDEX(tsk_Duration,GanttView[[#This Row],[_Row]]))=0))</f>
        <v>0</v>
      </c>
      <c r="O14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4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4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48" s="111" t="n">
        <f aca="false">IF(GanttView[[#This Row],[_RemFrom]]=0,0,GanttView[[#This Row],[Forecast Finish]])</f>
        <v>0</v>
      </c>
      <c r="S148" s="110" t="b">
        <f aca="false">IF(IFERROR(INDEX(tsk_Name,GanttView[[#This Row],[_Row]])="",TRUE()),FALSE(),N(INDEX(tsk_Variance,GanttView[[#This Row],[_Row]]))&gt;0)</f>
        <v>0</v>
      </c>
      <c r="T148" s="111" t="n">
        <f aca="false">IF(IFERROR(INDEX(tsk_Name,GanttView[[#This Row],[_Row]])="",TRUE()),0,N(INDEX(tsk_Deadline,GanttView[[#This Row],[_Row]])))</f>
        <v>0</v>
      </c>
      <c r="U148" s="110" t="b">
        <f aca="false">IF(IFERROR(INDEX(tsk_Name,GanttView[[#This Row],[_Row]])="",TRUE()),FALSE(),INDEX(tsk_Critical,GanttView[[#This Row],[_Row]])="Yes")</f>
        <v>0</v>
      </c>
    </row>
    <row r="149" customFormat="false" ht="15" hidden="false" customHeight="false" outlineLevel="0" collapsed="false">
      <c r="A149" s="104" t="str">
        <f aca="false">IF(IFERROR(INDEX(tsk_Name,GanttView[[#This Row],[_Row]])="",TRUE()),"",INDEX(tsk_ID,GanttView[[#This Row],[_Row]]))</f>
        <v/>
      </c>
      <c r="B149" s="104" t="str">
        <f aca="false">IF(IFERROR(INDEX(tsk_Name,GanttView[[#This Row],[_Row]])="",TRUE()),"",INDEX(tsk_WBS,GanttView[[#This Row],[_Row]]))</f>
        <v/>
      </c>
      <c r="C149" s="105" t="str">
        <f aca="false">IF(IFERROR(INDEX(tsk_Name,GanttView[[#This Row],[_Row]])="",TRUE()),"",REPT("    ",INDEX(tsk_Level,GanttView[[#This Row],[_Row]])-1)&amp;INDEX(tsk_Name,GanttView[[#This Row],[_Row]]))</f>
        <v/>
      </c>
      <c r="D14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49" s="106" t="str">
        <f aca="false">IF(IFERROR(INDEX(tsk_Name,GanttView[[#This Row],[_Row]])="",TRUE()),"",INDEX(tsk_PlanStart,GanttView[[#This Row],[_Row]]))</f>
        <v/>
      </c>
      <c r="F149" s="106" t="str">
        <f aca="false">IF(IFERROR(INDEX(tsk_Name,GanttView[[#This Row],[_Row]])="",TRUE()),"",INDEX(tsk_PlanFinish,GanttView[[#This Row],[_Row]]))</f>
        <v/>
      </c>
      <c r="G149" s="106" t="str">
        <f aca="false">IF(IFERROR(INDEX(tsk_Name,GanttView[[#This Row],[_Row]])="",TRUE()),"",INDEX(tsk_FcStart,GanttView[[#This Row],[_Row]]))</f>
        <v/>
      </c>
      <c r="H149" s="106" t="str">
        <f aca="false">IF(IFERROR(INDEX(tsk_Name,GanttView[[#This Row],[_Row]])="",TRUE()),"",INDEX(tsk_FcFinish,GanttView[[#This Row],[_Row]]))</f>
        <v/>
      </c>
      <c r="I149" s="107" t="str">
        <f aca="false">IF(IFERROR(INDEX(tsk_Name,GanttView[[#This Row],[_Row]])="",TRUE()),"",INDEX(tsk_Progress,GanttView[[#This Row],[_Row]]))</f>
        <v/>
      </c>
      <c r="J149" s="105" t="str">
        <f aca="false">IF(IFERROR(INDEX(tsk_Name,GanttView[[#This Row],[_Row]])="",TRUE()),"",INDEX(tsk_Resource,GanttView[[#This Row],[_Row]])&amp;"")</f>
        <v/>
      </c>
      <c r="K149" s="108" t="str">
        <f aca="false">IF(IFERROR(INDEX(tsk_Name,GanttView[[#This Row],[_Row]])="",TRUE()),"",INDEX(tsk_Status,GanttView[[#This Row],[_Row]]))</f>
        <v/>
      </c>
      <c r="L149" s="109" t="n">
        <f aca="false">ROW()-ROW(GanttView[[#Headers],[ID]])</f>
        <v>144</v>
      </c>
      <c r="M149" s="110" t="b">
        <f aca="false">IF(IFERROR(INDEX(tsk_Name,GanttView[[#This Row],[_Row]])="",TRUE()),FALSE(),INDEX(tsk_IsSummary,GanttView[[#This Row],[_Row]]))</f>
        <v>0</v>
      </c>
      <c r="N149" s="110" t="b">
        <f aca="false">IF(IFERROR(INDEX(tsk_Name,GanttView[[#This Row],[_Row]])="",TRUE()),FALSE(),AND(INDEX(tsk_IsLeaf,GanttView[[#This Row],[_Row]])=1,N(INDEX(tsk_Duration,GanttView[[#This Row],[_Row]]))=0))</f>
        <v>0</v>
      </c>
      <c r="O14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4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4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49" s="111" t="n">
        <f aca="false">IF(GanttView[[#This Row],[_RemFrom]]=0,0,GanttView[[#This Row],[Forecast Finish]])</f>
        <v>0</v>
      </c>
      <c r="S149" s="110" t="b">
        <f aca="false">IF(IFERROR(INDEX(tsk_Name,GanttView[[#This Row],[_Row]])="",TRUE()),FALSE(),N(INDEX(tsk_Variance,GanttView[[#This Row],[_Row]]))&gt;0)</f>
        <v>0</v>
      </c>
      <c r="T149" s="111" t="n">
        <f aca="false">IF(IFERROR(INDEX(tsk_Name,GanttView[[#This Row],[_Row]])="",TRUE()),0,N(INDEX(tsk_Deadline,GanttView[[#This Row],[_Row]])))</f>
        <v>0</v>
      </c>
      <c r="U149" s="110" t="b">
        <f aca="false">IF(IFERROR(INDEX(tsk_Name,GanttView[[#This Row],[_Row]])="",TRUE()),FALSE(),INDEX(tsk_Critical,GanttView[[#This Row],[_Row]])="Yes")</f>
        <v>0</v>
      </c>
    </row>
    <row r="150" customFormat="false" ht="15" hidden="false" customHeight="false" outlineLevel="0" collapsed="false">
      <c r="A150" s="104" t="str">
        <f aca="false">IF(IFERROR(INDEX(tsk_Name,GanttView[[#This Row],[_Row]])="",TRUE()),"",INDEX(tsk_ID,GanttView[[#This Row],[_Row]]))</f>
        <v/>
      </c>
      <c r="B150" s="104" t="str">
        <f aca="false">IF(IFERROR(INDEX(tsk_Name,GanttView[[#This Row],[_Row]])="",TRUE()),"",INDEX(tsk_WBS,GanttView[[#This Row],[_Row]]))</f>
        <v/>
      </c>
      <c r="C150" s="105" t="str">
        <f aca="false">IF(IFERROR(INDEX(tsk_Name,GanttView[[#This Row],[_Row]])="",TRUE()),"",REPT("    ",INDEX(tsk_Level,GanttView[[#This Row],[_Row]])-1)&amp;INDEX(tsk_Name,GanttView[[#This Row],[_Row]]))</f>
        <v/>
      </c>
      <c r="D15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50" s="106" t="str">
        <f aca="false">IF(IFERROR(INDEX(tsk_Name,GanttView[[#This Row],[_Row]])="",TRUE()),"",INDEX(tsk_PlanStart,GanttView[[#This Row],[_Row]]))</f>
        <v/>
      </c>
      <c r="F150" s="106" t="str">
        <f aca="false">IF(IFERROR(INDEX(tsk_Name,GanttView[[#This Row],[_Row]])="",TRUE()),"",INDEX(tsk_PlanFinish,GanttView[[#This Row],[_Row]]))</f>
        <v/>
      </c>
      <c r="G150" s="106" t="str">
        <f aca="false">IF(IFERROR(INDEX(tsk_Name,GanttView[[#This Row],[_Row]])="",TRUE()),"",INDEX(tsk_FcStart,GanttView[[#This Row],[_Row]]))</f>
        <v/>
      </c>
      <c r="H150" s="106" t="str">
        <f aca="false">IF(IFERROR(INDEX(tsk_Name,GanttView[[#This Row],[_Row]])="",TRUE()),"",INDEX(tsk_FcFinish,GanttView[[#This Row],[_Row]]))</f>
        <v/>
      </c>
      <c r="I150" s="107" t="str">
        <f aca="false">IF(IFERROR(INDEX(tsk_Name,GanttView[[#This Row],[_Row]])="",TRUE()),"",INDEX(tsk_Progress,GanttView[[#This Row],[_Row]]))</f>
        <v/>
      </c>
      <c r="J150" s="105" t="str">
        <f aca="false">IF(IFERROR(INDEX(tsk_Name,GanttView[[#This Row],[_Row]])="",TRUE()),"",INDEX(tsk_Resource,GanttView[[#This Row],[_Row]])&amp;"")</f>
        <v/>
      </c>
      <c r="K150" s="108" t="str">
        <f aca="false">IF(IFERROR(INDEX(tsk_Name,GanttView[[#This Row],[_Row]])="",TRUE()),"",INDEX(tsk_Status,GanttView[[#This Row],[_Row]]))</f>
        <v/>
      </c>
      <c r="L150" s="109" t="n">
        <f aca="false">ROW()-ROW(GanttView[[#Headers],[ID]])</f>
        <v>145</v>
      </c>
      <c r="M150" s="110" t="b">
        <f aca="false">IF(IFERROR(INDEX(tsk_Name,GanttView[[#This Row],[_Row]])="",TRUE()),FALSE(),INDEX(tsk_IsSummary,GanttView[[#This Row],[_Row]]))</f>
        <v>0</v>
      </c>
      <c r="N150" s="110" t="b">
        <f aca="false">IF(IFERROR(INDEX(tsk_Name,GanttView[[#This Row],[_Row]])="",TRUE()),FALSE(),AND(INDEX(tsk_IsLeaf,GanttView[[#This Row],[_Row]])=1,N(INDEX(tsk_Duration,GanttView[[#This Row],[_Row]]))=0))</f>
        <v>0</v>
      </c>
      <c r="O15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5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5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50" s="111" t="n">
        <f aca="false">IF(GanttView[[#This Row],[_RemFrom]]=0,0,GanttView[[#This Row],[Forecast Finish]])</f>
        <v>0</v>
      </c>
      <c r="S150" s="110" t="b">
        <f aca="false">IF(IFERROR(INDEX(tsk_Name,GanttView[[#This Row],[_Row]])="",TRUE()),FALSE(),N(INDEX(tsk_Variance,GanttView[[#This Row],[_Row]]))&gt;0)</f>
        <v>0</v>
      </c>
      <c r="T150" s="111" t="n">
        <f aca="false">IF(IFERROR(INDEX(tsk_Name,GanttView[[#This Row],[_Row]])="",TRUE()),0,N(INDEX(tsk_Deadline,GanttView[[#This Row],[_Row]])))</f>
        <v>0</v>
      </c>
      <c r="U150" s="110" t="b">
        <f aca="false">IF(IFERROR(INDEX(tsk_Name,GanttView[[#This Row],[_Row]])="",TRUE()),FALSE(),INDEX(tsk_Critical,GanttView[[#This Row],[_Row]])="Yes")</f>
        <v>0</v>
      </c>
    </row>
    <row r="151" customFormat="false" ht="15" hidden="false" customHeight="false" outlineLevel="0" collapsed="false">
      <c r="A151" s="104" t="str">
        <f aca="false">IF(IFERROR(INDEX(tsk_Name,GanttView[[#This Row],[_Row]])="",TRUE()),"",INDEX(tsk_ID,GanttView[[#This Row],[_Row]]))</f>
        <v/>
      </c>
      <c r="B151" s="104" t="str">
        <f aca="false">IF(IFERROR(INDEX(tsk_Name,GanttView[[#This Row],[_Row]])="",TRUE()),"",INDEX(tsk_WBS,GanttView[[#This Row],[_Row]]))</f>
        <v/>
      </c>
      <c r="C151" s="105" t="str">
        <f aca="false">IF(IFERROR(INDEX(tsk_Name,GanttView[[#This Row],[_Row]])="",TRUE()),"",REPT("    ",INDEX(tsk_Level,GanttView[[#This Row],[_Row]])-1)&amp;INDEX(tsk_Name,GanttView[[#This Row],[_Row]]))</f>
        <v/>
      </c>
      <c r="D15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51" s="106" t="str">
        <f aca="false">IF(IFERROR(INDEX(tsk_Name,GanttView[[#This Row],[_Row]])="",TRUE()),"",INDEX(tsk_PlanStart,GanttView[[#This Row],[_Row]]))</f>
        <v/>
      </c>
      <c r="F151" s="106" t="str">
        <f aca="false">IF(IFERROR(INDEX(tsk_Name,GanttView[[#This Row],[_Row]])="",TRUE()),"",INDEX(tsk_PlanFinish,GanttView[[#This Row],[_Row]]))</f>
        <v/>
      </c>
      <c r="G151" s="106" t="str">
        <f aca="false">IF(IFERROR(INDEX(tsk_Name,GanttView[[#This Row],[_Row]])="",TRUE()),"",INDEX(tsk_FcStart,GanttView[[#This Row],[_Row]]))</f>
        <v/>
      </c>
      <c r="H151" s="106" t="str">
        <f aca="false">IF(IFERROR(INDEX(tsk_Name,GanttView[[#This Row],[_Row]])="",TRUE()),"",INDEX(tsk_FcFinish,GanttView[[#This Row],[_Row]]))</f>
        <v/>
      </c>
      <c r="I151" s="107" t="str">
        <f aca="false">IF(IFERROR(INDEX(tsk_Name,GanttView[[#This Row],[_Row]])="",TRUE()),"",INDEX(tsk_Progress,GanttView[[#This Row],[_Row]]))</f>
        <v/>
      </c>
      <c r="J151" s="105" t="str">
        <f aca="false">IF(IFERROR(INDEX(tsk_Name,GanttView[[#This Row],[_Row]])="",TRUE()),"",INDEX(tsk_Resource,GanttView[[#This Row],[_Row]])&amp;"")</f>
        <v/>
      </c>
      <c r="K151" s="108" t="str">
        <f aca="false">IF(IFERROR(INDEX(tsk_Name,GanttView[[#This Row],[_Row]])="",TRUE()),"",INDEX(tsk_Status,GanttView[[#This Row],[_Row]]))</f>
        <v/>
      </c>
      <c r="L151" s="109" t="n">
        <f aca="false">ROW()-ROW(GanttView[[#Headers],[ID]])</f>
        <v>146</v>
      </c>
      <c r="M151" s="110" t="b">
        <f aca="false">IF(IFERROR(INDEX(tsk_Name,GanttView[[#This Row],[_Row]])="",TRUE()),FALSE(),INDEX(tsk_IsSummary,GanttView[[#This Row],[_Row]]))</f>
        <v>0</v>
      </c>
      <c r="N151" s="110" t="b">
        <f aca="false">IF(IFERROR(INDEX(tsk_Name,GanttView[[#This Row],[_Row]])="",TRUE()),FALSE(),AND(INDEX(tsk_IsLeaf,GanttView[[#This Row],[_Row]])=1,N(INDEX(tsk_Duration,GanttView[[#This Row],[_Row]]))=0))</f>
        <v>0</v>
      </c>
      <c r="O15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5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5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51" s="111" t="n">
        <f aca="false">IF(GanttView[[#This Row],[_RemFrom]]=0,0,GanttView[[#This Row],[Forecast Finish]])</f>
        <v>0</v>
      </c>
      <c r="S151" s="110" t="b">
        <f aca="false">IF(IFERROR(INDEX(tsk_Name,GanttView[[#This Row],[_Row]])="",TRUE()),FALSE(),N(INDEX(tsk_Variance,GanttView[[#This Row],[_Row]]))&gt;0)</f>
        <v>0</v>
      </c>
      <c r="T151" s="111" t="n">
        <f aca="false">IF(IFERROR(INDEX(tsk_Name,GanttView[[#This Row],[_Row]])="",TRUE()),0,N(INDEX(tsk_Deadline,GanttView[[#This Row],[_Row]])))</f>
        <v>0</v>
      </c>
      <c r="U151" s="110" t="b">
        <f aca="false">IF(IFERROR(INDEX(tsk_Name,GanttView[[#This Row],[_Row]])="",TRUE()),FALSE(),INDEX(tsk_Critical,GanttView[[#This Row],[_Row]])="Yes")</f>
        <v>0</v>
      </c>
    </row>
    <row r="152" customFormat="false" ht="15" hidden="false" customHeight="false" outlineLevel="0" collapsed="false">
      <c r="A152" s="104" t="str">
        <f aca="false">IF(IFERROR(INDEX(tsk_Name,GanttView[[#This Row],[_Row]])="",TRUE()),"",INDEX(tsk_ID,GanttView[[#This Row],[_Row]]))</f>
        <v/>
      </c>
      <c r="B152" s="104" t="str">
        <f aca="false">IF(IFERROR(INDEX(tsk_Name,GanttView[[#This Row],[_Row]])="",TRUE()),"",INDEX(tsk_WBS,GanttView[[#This Row],[_Row]]))</f>
        <v/>
      </c>
      <c r="C152" s="105" t="str">
        <f aca="false">IF(IFERROR(INDEX(tsk_Name,GanttView[[#This Row],[_Row]])="",TRUE()),"",REPT("    ",INDEX(tsk_Level,GanttView[[#This Row],[_Row]])-1)&amp;INDEX(tsk_Name,GanttView[[#This Row],[_Row]]))</f>
        <v/>
      </c>
      <c r="D15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52" s="106" t="str">
        <f aca="false">IF(IFERROR(INDEX(tsk_Name,GanttView[[#This Row],[_Row]])="",TRUE()),"",INDEX(tsk_PlanStart,GanttView[[#This Row],[_Row]]))</f>
        <v/>
      </c>
      <c r="F152" s="106" t="str">
        <f aca="false">IF(IFERROR(INDEX(tsk_Name,GanttView[[#This Row],[_Row]])="",TRUE()),"",INDEX(tsk_PlanFinish,GanttView[[#This Row],[_Row]]))</f>
        <v/>
      </c>
      <c r="G152" s="106" t="str">
        <f aca="false">IF(IFERROR(INDEX(tsk_Name,GanttView[[#This Row],[_Row]])="",TRUE()),"",INDEX(tsk_FcStart,GanttView[[#This Row],[_Row]]))</f>
        <v/>
      </c>
      <c r="H152" s="106" t="str">
        <f aca="false">IF(IFERROR(INDEX(tsk_Name,GanttView[[#This Row],[_Row]])="",TRUE()),"",INDEX(tsk_FcFinish,GanttView[[#This Row],[_Row]]))</f>
        <v/>
      </c>
      <c r="I152" s="107" t="str">
        <f aca="false">IF(IFERROR(INDEX(tsk_Name,GanttView[[#This Row],[_Row]])="",TRUE()),"",INDEX(tsk_Progress,GanttView[[#This Row],[_Row]]))</f>
        <v/>
      </c>
      <c r="J152" s="105" t="str">
        <f aca="false">IF(IFERROR(INDEX(tsk_Name,GanttView[[#This Row],[_Row]])="",TRUE()),"",INDEX(tsk_Resource,GanttView[[#This Row],[_Row]])&amp;"")</f>
        <v/>
      </c>
      <c r="K152" s="108" t="str">
        <f aca="false">IF(IFERROR(INDEX(tsk_Name,GanttView[[#This Row],[_Row]])="",TRUE()),"",INDEX(tsk_Status,GanttView[[#This Row],[_Row]]))</f>
        <v/>
      </c>
      <c r="L152" s="109" t="n">
        <f aca="false">ROW()-ROW(GanttView[[#Headers],[ID]])</f>
        <v>147</v>
      </c>
      <c r="M152" s="110" t="b">
        <f aca="false">IF(IFERROR(INDEX(tsk_Name,GanttView[[#This Row],[_Row]])="",TRUE()),FALSE(),INDEX(tsk_IsSummary,GanttView[[#This Row],[_Row]]))</f>
        <v>0</v>
      </c>
      <c r="N152" s="110" t="b">
        <f aca="false">IF(IFERROR(INDEX(tsk_Name,GanttView[[#This Row],[_Row]])="",TRUE()),FALSE(),AND(INDEX(tsk_IsLeaf,GanttView[[#This Row],[_Row]])=1,N(INDEX(tsk_Duration,GanttView[[#This Row],[_Row]]))=0))</f>
        <v>0</v>
      </c>
      <c r="O15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5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5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52" s="111" t="n">
        <f aca="false">IF(GanttView[[#This Row],[_RemFrom]]=0,0,GanttView[[#This Row],[Forecast Finish]])</f>
        <v>0</v>
      </c>
      <c r="S152" s="110" t="b">
        <f aca="false">IF(IFERROR(INDEX(tsk_Name,GanttView[[#This Row],[_Row]])="",TRUE()),FALSE(),N(INDEX(tsk_Variance,GanttView[[#This Row],[_Row]]))&gt;0)</f>
        <v>0</v>
      </c>
      <c r="T152" s="111" t="n">
        <f aca="false">IF(IFERROR(INDEX(tsk_Name,GanttView[[#This Row],[_Row]])="",TRUE()),0,N(INDEX(tsk_Deadline,GanttView[[#This Row],[_Row]])))</f>
        <v>0</v>
      </c>
      <c r="U152" s="110" t="b">
        <f aca="false">IF(IFERROR(INDEX(tsk_Name,GanttView[[#This Row],[_Row]])="",TRUE()),FALSE(),INDEX(tsk_Critical,GanttView[[#This Row],[_Row]])="Yes")</f>
        <v>0</v>
      </c>
    </row>
    <row r="153" customFormat="false" ht="15" hidden="false" customHeight="false" outlineLevel="0" collapsed="false">
      <c r="A153" s="104" t="str">
        <f aca="false">IF(IFERROR(INDEX(tsk_Name,GanttView[[#This Row],[_Row]])="",TRUE()),"",INDEX(tsk_ID,GanttView[[#This Row],[_Row]]))</f>
        <v/>
      </c>
      <c r="B153" s="104" t="str">
        <f aca="false">IF(IFERROR(INDEX(tsk_Name,GanttView[[#This Row],[_Row]])="",TRUE()),"",INDEX(tsk_WBS,GanttView[[#This Row],[_Row]]))</f>
        <v/>
      </c>
      <c r="C153" s="105" t="str">
        <f aca="false">IF(IFERROR(INDEX(tsk_Name,GanttView[[#This Row],[_Row]])="",TRUE()),"",REPT("    ",INDEX(tsk_Level,GanttView[[#This Row],[_Row]])-1)&amp;INDEX(tsk_Name,GanttView[[#This Row],[_Row]]))</f>
        <v/>
      </c>
      <c r="D15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53" s="106" t="str">
        <f aca="false">IF(IFERROR(INDEX(tsk_Name,GanttView[[#This Row],[_Row]])="",TRUE()),"",INDEX(tsk_PlanStart,GanttView[[#This Row],[_Row]]))</f>
        <v/>
      </c>
      <c r="F153" s="106" t="str">
        <f aca="false">IF(IFERROR(INDEX(tsk_Name,GanttView[[#This Row],[_Row]])="",TRUE()),"",INDEX(tsk_PlanFinish,GanttView[[#This Row],[_Row]]))</f>
        <v/>
      </c>
      <c r="G153" s="106" t="str">
        <f aca="false">IF(IFERROR(INDEX(tsk_Name,GanttView[[#This Row],[_Row]])="",TRUE()),"",INDEX(tsk_FcStart,GanttView[[#This Row],[_Row]]))</f>
        <v/>
      </c>
      <c r="H153" s="106" t="str">
        <f aca="false">IF(IFERROR(INDEX(tsk_Name,GanttView[[#This Row],[_Row]])="",TRUE()),"",INDEX(tsk_FcFinish,GanttView[[#This Row],[_Row]]))</f>
        <v/>
      </c>
      <c r="I153" s="107" t="str">
        <f aca="false">IF(IFERROR(INDEX(tsk_Name,GanttView[[#This Row],[_Row]])="",TRUE()),"",INDEX(tsk_Progress,GanttView[[#This Row],[_Row]]))</f>
        <v/>
      </c>
      <c r="J153" s="105" t="str">
        <f aca="false">IF(IFERROR(INDEX(tsk_Name,GanttView[[#This Row],[_Row]])="",TRUE()),"",INDEX(tsk_Resource,GanttView[[#This Row],[_Row]])&amp;"")</f>
        <v/>
      </c>
      <c r="K153" s="108" t="str">
        <f aca="false">IF(IFERROR(INDEX(tsk_Name,GanttView[[#This Row],[_Row]])="",TRUE()),"",INDEX(tsk_Status,GanttView[[#This Row],[_Row]]))</f>
        <v/>
      </c>
      <c r="L153" s="109" t="n">
        <f aca="false">ROW()-ROW(GanttView[[#Headers],[ID]])</f>
        <v>148</v>
      </c>
      <c r="M153" s="110" t="b">
        <f aca="false">IF(IFERROR(INDEX(tsk_Name,GanttView[[#This Row],[_Row]])="",TRUE()),FALSE(),INDEX(tsk_IsSummary,GanttView[[#This Row],[_Row]]))</f>
        <v>0</v>
      </c>
      <c r="N153" s="110" t="b">
        <f aca="false">IF(IFERROR(INDEX(tsk_Name,GanttView[[#This Row],[_Row]])="",TRUE()),FALSE(),AND(INDEX(tsk_IsLeaf,GanttView[[#This Row],[_Row]])=1,N(INDEX(tsk_Duration,GanttView[[#This Row],[_Row]]))=0))</f>
        <v>0</v>
      </c>
      <c r="O15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5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5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53" s="111" t="n">
        <f aca="false">IF(GanttView[[#This Row],[_RemFrom]]=0,0,GanttView[[#This Row],[Forecast Finish]])</f>
        <v>0</v>
      </c>
      <c r="S153" s="110" t="b">
        <f aca="false">IF(IFERROR(INDEX(tsk_Name,GanttView[[#This Row],[_Row]])="",TRUE()),FALSE(),N(INDEX(tsk_Variance,GanttView[[#This Row],[_Row]]))&gt;0)</f>
        <v>0</v>
      </c>
      <c r="T153" s="111" t="n">
        <f aca="false">IF(IFERROR(INDEX(tsk_Name,GanttView[[#This Row],[_Row]])="",TRUE()),0,N(INDEX(tsk_Deadline,GanttView[[#This Row],[_Row]])))</f>
        <v>0</v>
      </c>
      <c r="U153" s="110" t="b">
        <f aca="false">IF(IFERROR(INDEX(tsk_Name,GanttView[[#This Row],[_Row]])="",TRUE()),FALSE(),INDEX(tsk_Critical,GanttView[[#This Row],[_Row]])="Yes")</f>
        <v>0</v>
      </c>
    </row>
    <row r="154" customFormat="false" ht="15" hidden="false" customHeight="false" outlineLevel="0" collapsed="false">
      <c r="A154" s="104" t="str">
        <f aca="false">IF(IFERROR(INDEX(tsk_Name,GanttView[[#This Row],[_Row]])="",TRUE()),"",INDEX(tsk_ID,GanttView[[#This Row],[_Row]]))</f>
        <v/>
      </c>
      <c r="B154" s="104" t="str">
        <f aca="false">IF(IFERROR(INDEX(tsk_Name,GanttView[[#This Row],[_Row]])="",TRUE()),"",INDEX(tsk_WBS,GanttView[[#This Row],[_Row]]))</f>
        <v/>
      </c>
      <c r="C154" s="105" t="str">
        <f aca="false">IF(IFERROR(INDEX(tsk_Name,GanttView[[#This Row],[_Row]])="",TRUE()),"",REPT("    ",INDEX(tsk_Level,GanttView[[#This Row],[_Row]])-1)&amp;INDEX(tsk_Name,GanttView[[#This Row],[_Row]]))</f>
        <v/>
      </c>
      <c r="D15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54" s="106" t="str">
        <f aca="false">IF(IFERROR(INDEX(tsk_Name,GanttView[[#This Row],[_Row]])="",TRUE()),"",INDEX(tsk_PlanStart,GanttView[[#This Row],[_Row]]))</f>
        <v/>
      </c>
      <c r="F154" s="106" t="str">
        <f aca="false">IF(IFERROR(INDEX(tsk_Name,GanttView[[#This Row],[_Row]])="",TRUE()),"",INDEX(tsk_PlanFinish,GanttView[[#This Row],[_Row]]))</f>
        <v/>
      </c>
      <c r="G154" s="106" t="str">
        <f aca="false">IF(IFERROR(INDEX(tsk_Name,GanttView[[#This Row],[_Row]])="",TRUE()),"",INDEX(tsk_FcStart,GanttView[[#This Row],[_Row]]))</f>
        <v/>
      </c>
      <c r="H154" s="106" t="str">
        <f aca="false">IF(IFERROR(INDEX(tsk_Name,GanttView[[#This Row],[_Row]])="",TRUE()),"",INDEX(tsk_FcFinish,GanttView[[#This Row],[_Row]]))</f>
        <v/>
      </c>
      <c r="I154" s="107" t="str">
        <f aca="false">IF(IFERROR(INDEX(tsk_Name,GanttView[[#This Row],[_Row]])="",TRUE()),"",INDEX(tsk_Progress,GanttView[[#This Row],[_Row]]))</f>
        <v/>
      </c>
      <c r="J154" s="105" t="str">
        <f aca="false">IF(IFERROR(INDEX(tsk_Name,GanttView[[#This Row],[_Row]])="",TRUE()),"",INDEX(tsk_Resource,GanttView[[#This Row],[_Row]])&amp;"")</f>
        <v/>
      </c>
      <c r="K154" s="108" t="str">
        <f aca="false">IF(IFERROR(INDEX(tsk_Name,GanttView[[#This Row],[_Row]])="",TRUE()),"",INDEX(tsk_Status,GanttView[[#This Row],[_Row]]))</f>
        <v/>
      </c>
      <c r="L154" s="109" t="n">
        <f aca="false">ROW()-ROW(GanttView[[#Headers],[ID]])</f>
        <v>149</v>
      </c>
      <c r="M154" s="110" t="b">
        <f aca="false">IF(IFERROR(INDEX(tsk_Name,GanttView[[#This Row],[_Row]])="",TRUE()),FALSE(),INDEX(tsk_IsSummary,GanttView[[#This Row],[_Row]]))</f>
        <v>0</v>
      </c>
      <c r="N154" s="110" t="b">
        <f aca="false">IF(IFERROR(INDEX(tsk_Name,GanttView[[#This Row],[_Row]])="",TRUE()),FALSE(),AND(INDEX(tsk_IsLeaf,GanttView[[#This Row],[_Row]])=1,N(INDEX(tsk_Duration,GanttView[[#This Row],[_Row]]))=0))</f>
        <v>0</v>
      </c>
      <c r="O15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5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5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54" s="111" t="n">
        <f aca="false">IF(GanttView[[#This Row],[_RemFrom]]=0,0,GanttView[[#This Row],[Forecast Finish]])</f>
        <v>0</v>
      </c>
      <c r="S154" s="110" t="b">
        <f aca="false">IF(IFERROR(INDEX(tsk_Name,GanttView[[#This Row],[_Row]])="",TRUE()),FALSE(),N(INDEX(tsk_Variance,GanttView[[#This Row],[_Row]]))&gt;0)</f>
        <v>0</v>
      </c>
      <c r="T154" s="111" t="n">
        <f aca="false">IF(IFERROR(INDEX(tsk_Name,GanttView[[#This Row],[_Row]])="",TRUE()),0,N(INDEX(tsk_Deadline,GanttView[[#This Row],[_Row]])))</f>
        <v>0</v>
      </c>
      <c r="U154" s="110" t="b">
        <f aca="false">IF(IFERROR(INDEX(tsk_Name,GanttView[[#This Row],[_Row]])="",TRUE()),FALSE(),INDEX(tsk_Critical,GanttView[[#This Row],[_Row]])="Yes")</f>
        <v>0</v>
      </c>
    </row>
    <row r="155" customFormat="false" ht="15" hidden="false" customHeight="false" outlineLevel="0" collapsed="false">
      <c r="A155" s="104" t="str">
        <f aca="false">IF(IFERROR(INDEX(tsk_Name,GanttView[[#This Row],[_Row]])="",TRUE()),"",INDEX(tsk_ID,GanttView[[#This Row],[_Row]]))</f>
        <v/>
      </c>
      <c r="B155" s="104" t="str">
        <f aca="false">IF(IFERROR(INDEX(tsk_Name,GanttView[[#This Row],[_Row]])="",TRUE()),"",INDEX(tsk_WBS,GanttView[[#This Row],[_Row]]))</f>
        <v/>
      </c>
      <c r="C155" s="105" t="str">
        <f aca="false">IF(IFERROR(INDEX(tsk_Name,GanttView[[#This Row],[_Row]])="",TRUE()),"",REPT("    ",INDEX(tsk_Level,GanttView[[#This Row],[_Row]])-1)&amp;INDEX(tsk_Name,GanttView[[#This Row],[_Row]]))</f>
        <v/>
      </c>
      <c r="D15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55" s="106" t="str">
        <f aca="false">IF(IFERROR(INDEX(tsk_Name,GanttView[[#This Row],[_Row]])="",TRUE()),"",INDEX(tsk_PlanStart,GanttView[[#This Row],[_Row]]))</f>
        <v/>
      </c>
      <c r="F155" s="106" t="str">
        <f aca="false">IF(IFERROR(INDEX(tsk_Name,GanttView[[#This Row],[_Row]])="",TRUE()),"",INDEX(tsk_PlanFinish,GanttView[[#This Row],[_Row]]))</f>
        <v/>
      </c>
      <c r="G155" s="106" t="str">
        <f aca="false">IF(IFERROR(INDEX(tsk_Name,GanttView[[#This Row],[_Row]])="",TRUE()),"",INDEX(tsk_FcStart,GanttView[[#This Row],[_Row]]))</f>
        <v/>
      </c>
      <c r="H155" s="106" t="str">
        <f aca="false">IF(IFERROR(INDEX(tsk_Name,GanttView[[#This Row],[_Row]])="",TRUE()),"",INDEX(tsk_FcFinish,GanttView[[#This Row],[_Row]]))</f>
        <v/>
      </c>
      <c r="I155" s="107" t="str">
        <f aca="false">IF(IFERROR(INDEX(tsk_Name,GanttView[[#This Row],[_Row]])="",TRUE()),"",INDEX(tsk_Progress,GanttView[[#This Row],[_Row]]))</f>
        <v/>
      </c>
      <c r="J155" s="105" t="str">
        <f aca="false">IF(IFERROR(INDEX(tsk_Name,GanttView[[#This Row],[_Row]])="",TRUE()),"",INDEX(tsk_Resource,GanttView[[#This Row],[_Row]])&amp;"")</f>
        <v/>
      </c>
      <c r="K155" s="108" t="str">
        <f aca="false">IF(IFERROR(INDEX(tsk_Name,GanttView[[#This Row],[_Row]])="",TRUE()),"",INDEX(tsk_Status,GanttView[[#This Row],[_Row]]))</f>
        <v/>
      </c>
      <c r="L155" s="109" t="n">
        <f aca="false">ROW()-ROW(GanttView[[#Headers],[ID]])</f>
        <v>150</v>
      </c>
      <c r="M155" s="110" t="b">
        <f aca="false">IF(IFERROR(INDEX(tsk_Name,GanttView[[#This Row],[_Row]])="",TRUE()),FALSE(),INDEX(tsk_IsSummary,GanttView[[#This Row],[_Row]]))</f>
        <v>0</v>
      </c>
      <c r="N155" s="110" t="b">
        <f aca="false">IF(IFERROR(INDEX(tsk_Name,GanttView[[#This Row],[_Row]])="",TRUE()),FALSE(),AND(INDEX(tsk_IsLeaf,GanttView[[#This Row],[_Row]])=1,N(INDEX(tsk_Duration,GanttView[[#This Row],[_Row]]))=0))</f>
        <v>0</v>
      </c>
      <c r="O15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5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5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55" s="111" t="n">
        <f aca="false">IF(GanttView[[#This Row],[_RemFrom]]=0,0,GanttView[[#This Row],[Forecast Finish]])</f>
        <v>0</v>
      </c>
      <c r="S155" s="110" t="b">
        <f aca="false">IF(IFERROR(INDEX(tsk_Name,GanttView[[#This Row],[_Row]])="",TRUE()),FALSE(),N(INDEX(tsk_Variance,GanttView[[#This Row],[_Row]]))&gt;0)</f>
        <v>0</v>
      </c>
      <c r="T155" s="111" t="n">
        <f aca="false">IF(IFERROR(INDEX(tsk_Name,GanttView[[#This Row],[_Row]])="",TRUE()),0,N(INDEX(tsk_Deadline,GanttView[[#This Row],[_Row]])))</f>
        <v>0</v>
      </c>
      <c r="U155" s="110" t="b">
        <f aca="false">IF(IFERROR(INDEX(tsk_Name,GanttView[[#This Row],[_Row]])="",TRUE()),FALSE(),INDEX(tsk_Critical,GanttView[[#This Row],[_Row]])="Yes")</f>
        <v>0</v>
      </c>
    </row>
    <row r="156" customFormat="false" ht="15" hidden="false" customHeight="false" outlineLevel="0" collapsed="false">
      <c r="A156" s="104" t="str">
        <f aca="false">IF(IFERROR(INDEX(tsk_Name,GanttView[[#This Row],[_Row]])="",TRUE()),"",INDEX(tsk_ID,GanttView[[#This Row],[_Row]]))</f>
        <v/>
      </c>
      <c r="B156" s="104" t="str">
        <f aca="false">IF(IFERROR(INDEX(tsk_Name,GanttView[[#This Row],[_Row]])="",TRUE()),"",INDEX(tsk_WBS,GanttView[[#This Row],[_Row]]))</f>
        <v/>
      </c>
      <c r="C156" s="105" t="str">
        <f aca="false">IF(IFERROR(INDEX(tsk_Name,GanttView[[#This Row],[_Row]])="",TRUE()),"",REPT("    ",INDEX(tsk_Level,GanttView[[#This Row],[_Row]])-1)&amp;INDEX(tsk_Name,GanttView[[#This Row],[_Row]]))</f>
        <v/>
      </c>
      <c r="D15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56" s="106" t="str">
        <f aca="false">IF(IFERROR(INDEX(tsk_Name,GanttView[[#This Row],[_Row]])="",TRUE()),"",INDEX(tsk_PlanStart,GanttView[[#This Row],[_Row]]))</f>
        <v/>
      </c>
      <c r="F156" s="106" t="str">
        <f aca="false">IF(IFERROR(INDEX(tsk_Name,GanttView[[#This Row],[_Row]])="",TRUE()),"",INDEX(tsk_PlanFinish,GanttView[[#This Row],[_Row]]))</f>
        <v/>
      </c>
      <c r="G156" s="106" t="str">
        <f aca="false">IF(IFERROR(INDEX(tsk_Name,GanttView[[#This Row],[_Row]])="",TRUE()),"",INDEX(tsk_FcStart,GanttView[[#This Row],[_Row]]))</f>
        <v/>
      </c>
      <c r="H156" s="106" t="str">
        <f aca="false">IF(IFERROR(INDEX(tsk_Name,GanttView[[#This Row],[_Row]])="",TRUE()),"",INDEX(tsk_FcFinish,GanttView[[#This Row],[_Row]]))</f>
        <v/>
      </c>
      <c r="I156" s="107" t="str">
        <f aca="false">IF(IFERROR(INDEX(tsk_Name,GanttView[[#This Row],[_Row]])="",TRUE()),"",INDEX(tsk_Progress,GanttView[[#This Row],[_Row]]))</f>
        <v/>
      </c>
      <c r="J156" s="105" t="str">
        <f aca="false">IF(IFERROR(INDEX(tsk_Name,GanttView[[#This Row],[_Row]])="",TRUE()),"",INDEX(tsk_Resource,GanttView[[#This Row],[_Row]])&amp;"")</f>
        <v/>
      </c>
      <c r="K156" s="108" t="str">
        <f aca="false">IF(IFERROR(INDEX(tsk_Name,GanttView[[#This Row],[_Row]])="",TRUE()),"",INDEX(tsk_Status,GanttView[[#This Row],[_Row]]))</f>
        <v/>
      </c>
      <c r="L156" s="109" t="n">
        <f aca="false">ROW()-ROW(GanttView[[#Headers],[ID]])</f>
        <v>151</v>
      </c>
      <c r="M156" s="110" t="b">
        <f aca="false">IF(IFERROR(INDEX(tsk_Name,GanttView[[#This Row],[_Row]])="",TRUE()),FALSE(),INDEX(tsk_IsSummary,GanttView[[#This Row],[_Row]]))</f>
        <v>0</v>
      </c>
      <c r="N156" s="110" t="b">
        <f aca="false">IF(IFERROR(INDEX(tsk_Name,GanttView[[#This Row],[_Row]])="",TRUE()),FALSE(),AND(INDEX(tsk_IsLeaf,GanttView[[#This Row],[_Row]])=1,N(INDEX(tsk_Duration,GanttView[[#This Row],[_Row]]))=0))</f>
        <v>0</v>
      </c>
      <c r="O15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5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5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56" s="111" t="n">
        <f aca="false">IF(GanttView[[#This Row],[_RemFrom]]=0,0,GanttView[[#This Row],[Forecast Finish]])</f>
        <v>0</v>
      </c>
      <c r="S156" s="110" t="b">
        <f aca="false">IF(IFERROR(INDEX(tsk_Name,GanttView[[#This Row],[_Row]])="",TRUE()),FALSE(),N(INDEX(tsk_Variance,GanttView[[#This Row],[_Row]]))&gt;0)</f>
        <v>0</v>
      </c>
      <c r="T156" s="111" t="n">
        <f aca="false">IF(IFERROR(INDEX(tsk_Name,GanttView[[#This Row],[_Row]])="",TRUE()),0,N(INDEX(tsk_Deadline,GanttView[[#This Row],[_Row]])))</f>
        <v>0</v>
      </c>
      <c r="U156" s="110" t="b">
        <f aca="false">IF(IFERROR(INDEX(tsk_Name,GanttView[[#This Row],[_Row]])="",TRUE()),FALSE(),INDEX(tsk_Critical,GanttView[[#This Row],[_Row]])="Yes")</f>
        <v>0</v>
      </c>
    </row>
    <row r="157" customFormat="false" ht="15" hidden="false" customHeight="false" outlineLevel="0" collapsed="false">
      <c r="A157" s="104" t="str">
        <f aca="false">IF(IFERROR(INDEX(tsk_Name,GanttView[[#This Row],[_Row]])="",TRUE()),"",INDEX(tsk_ID,GanttView[[#This Row],[_Row]]))</f>
        <v/>
      </c>
      <c r="B157" s="104" t="str">
        <f aca="false">IF(IFERROR(INDEX(tsk_Name,GanttView[[#This Row],[_Row]])="",TRUE()),"",INDEX(tsk_WBS,GanttView[[#This Row],[_Row]]))</f>
        <v/>
      </c>
      <c r="C157" s="105" t="str">
        <f aca="false">IF(IFERROR(INDEX(tsk_Name,GanttView[[#This Row],[_Row]])="",TRUE()),"",REPT("    ",INDEX(tsk_Level,GanttView[[#This Row],[_Row]])-1)&amp;INDEX(tsk_Name,GanttView[[#This Row],[_Row]]))</f>
        <v/>
      </c>
      <c r="D15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57" s="106" t="str">
        <f aca="false">IF(IFERROR(INDEX(tsk_Name,GanttView[[#This Row],[_Row]])="",TRUE()),"",INDEX(tsk_PlanStart,GanttView[[#This Row],[_Row]]))</f>
        <v/>
      </c>
      <c r="F157" s="106" t="str">
        <f aca="false">IF(IFERROR(INDEX(tsk_Name,GanttView[[#This Row],[_Row]])="",TRUE()),"",INDEX(tsk_PlanFinish,GanttView[[#This Row],[_Row]]))</f>
        <v/>
      </c>
      <c r="G157" s="106" t="str">
        <f aca="false">IF(IFERROR(INDEX(tsk_Name,GanttView[[#This Row],[_Row]])="",TRUE()),"",INDEX(tsk_FcStart,GanttView[[#This Row],[_Row]]))</f>
        <v/>
      </c>
      <c r="H157" s="106" t="str">
        <f aca="false">IF(IFERROR(INDEX(tsk_Name,GanttView[[#This Row],[_Row]])="",TRUE()),"",INDEX(tsk_FcFinish,GanttView[[#This Row],[_Row]]))</f>
        <v/>
      </c>
      <c r="I157" s="107" t="str">
        <f aca="false">IF(IFERROR(INDEX(tsk_Name,GanttView[[#This Row],[_Row]])="",TRUE()),"",INDEX(tsk_Progress,GanttView[[#This Row],[_Row]]))</f>
        <v/>
      </c>
      <c r="J157" s="105" t="str">
        <f aca="false">IF(IFERROR(INDEX(tsk_Name,GanttView[[#This Row],[_Row]])="",TRUE()),"",INDEX(tsk_Resource,GanttView[[#This Row],[_Row]])&amp;"")</f>
        <v/>
      </c>
      <c r="K157" s="108" t="str">
        <f aca="false">IF(IFERROR(INDEX(tsk_Name,GanttView[[#This Row],[_Row]])="",TRUE()),"",INDEX(tsk_Status,GanttView[[#This Row],[_Row]]))</f>
        <v/>
      </c>
      <c r="L157" s="109" t="n">
        <f aca="false">ROW()-ROW(GanttView[[#Headers],[ID]])</f>
        <v>152</v>
      </c>
      <c r="M157" s="110" t="b">
        <f aca="false">IF(IFERROR(INDEX(tsk_Name,GanttView[[#This Row],[_Row]])="",TRUE()),FALSE(),INDEX(tsk_IsSummary,GanttView[[#This Row],[_Row]]))</f>
        <v>0</v>
      </c>
      <c r="N157" s="110" t="b">
        <f aca="false">IF(IFERROR(INDEX(tsk_Name,GanttView[[#This Row],[_Row]])="",TRUE()),FALSE(),AND(INDEX(tsk_IsLeaf,GanttView[[#This Row],[_Row]])=1,N(INDEX(tsk_Duration,GanttView[[#This Row],[_Row]]))=0))</f>
        <v>0</v>
      </c>
      <c r="O15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5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5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57" s="111" t="n">
        <f aca="false">IF(GanttView[[#This Row],[_RemFrom]]=0,0,GanttView[[#This Row],[Forecast Finish]])</f>
        <v>0</v>
      </c>
      <c r="S157" s="110" t="b">
        <f aca="false">IF(IFERROR(INDEX(tsk_Name,GanttView[[#This Row],[_Row]])="",TRUE()),FALSE(),N(INDEX(tsk_Variance,GanttView[[#This Row],[_Row]]))&gt;0)</f>
        <v>0</v>
      </c>
      <c r="T157" s="111" t="n">
        <f aca="false">IF(IFERROR(INDEX(tsk_Name,GanttView[[#This Row],[_Row]])="",TRUE()),0,N(INDEX(tsk_Deadline,GanttView[[#This Row],[_Row]])))</f>
        <v>0</v>
      </c>
      <c r="U157" s="110" t="b">
        <f aca="false">IF(IFERROR(INDEX(tsk_Name,GanttView[[#This Row],[_Row]])="",TRUE()),FALSE(),INDEX(tsk_Critical,GanttView[[#This Row],[_Row]])="Yes")</f>
        <v>0</v>
      </c>
    </row>
    <row r="158" customFormat="false" ht="15" hidden="false" customHeight="false" outlineLevel="0" collapsed="false">
      <c r="A158" s="104" t="str">
        <f aca="false">IF(IFERROR(INDEX(tsk_Name,GanttView[[#This Row],[_Row]])="",TRUE()),"",INDEX(tsk_ID,GanttView[[#This Row],[_Row]]))</f>
        <v/>
      </c>
      <c r="B158" s="104" t="str">
        <f aca="false">IF(IFERROR(INDEX(tsk_Name,GanttView[[#This Row],[_Row]])="",TRUE()),"",INDEX(tsk_WBS,GanttView[[#This Row],[_Row]]))</f>
        <v/>
      </c>
      <c r="C158" s="105" t="str">
        <f aca="false">IF(IFERROR(INDEX(tsk_Name,GanttView[[#This Row],[_Row]])="",TRUE()),"",REPT("    ",INDEX(tsk_Level,GanttView[[#This Row],[_Row]])-1)&amp;INDEX(tsk_Name,GanttView[[#This Row],[_Row]]))</f>
        <v/>
      </c>
      <c r="D15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58" s="106" t="str">
        <f aca="false">IF(IFERROR(INDEX(tsk_Name,GanttView[[#This Row],[_Row]])="",TRUE()),"",INDEX(tsk_PlanStart,GanttView[[#This Row],[_Row]]))</f>
        <v/>
      </c>
      <c r="F158" s="106" t="str">
        <f aca="false">IF(IFERROR(INDEX(tsk_Name,GanttView[[#This Row],[_Row]])="",TRUE()),"",INDEX(tsk_PlanFinish,GanttView[[#This Row],[_Row]]))</f>
        <v/>
      </c>
      <c r="G158" s="106" t="str">
        <f aca="false">IF(IFERROR(INDEX(tsk_Name,GanttView[[#This Row],[_Row]])="",TRUE()),"",INDEX(tsk_FcStart,GanttView[[#This Row],[_Row]]))</f>
        <v/>
      </c>
      <c r="H158" s="106" t="str">
        <f aca="false">IF(IFERROR(INDEX(tsk_Name,GanttView[[#This Row],[_Row]])="",TRUE()),"",INDEX(tsk_FcFinish,GanttView[[#This Row],[_Row]]))</f>
        <v/>
      </c>
      <c r="I158" s="107" t="str">
        <f aca="false">IF(IFERROR(INDEX(tsk_Name,GanttView[[#This Row],[_Row]])="",TRUE()),"",INDEX(tsk_Progress,GanttView[[#This Row],[_Row]]))</f>
        <v/>
      </c>
      <c r="J158" s="105" t="str">
        <f aca="false">IF(IFERROR(INDEX(tsk_Name,GanttView[[#This Row],[_Row]])="",TRUE()),"",INDEX(tsk_Resource,GanttView[[#This Row],[_Row]])&amp;"")</f>
        <v/>
      </c>
      <c r="K158" s="108" t="str">
        <f aca="false">IF(IFERROR(INDEX(tsk_Name,GanttView[[#This Row],[_Row]])="",TRUE()),"",INDEX(tsk_Status,GanttView[[#This Row],[_Row]]))</f>
        <v/>
      </c>
      <c r="L158" s="109" t="n">
        <f aca="false">ROW()-ROW(GanttView[[#Headers],[ID]])</f>
        <v>153</v>
      </c>
      <c r="M158" s="110" t="b">
        <f aca="false">IF(IFERROR(INDEX(tsk_Name,GanttView[[#This Row],[_Row]])="",TRUE()),FALSE(),INDEX(tsk_IsSummary,GanttView[[#This Row],[_Row]]))</f>
        <v>0</v>
      </c>
      <c r="N158" s="110" t="b">
        <f aca="false">IF(IFERROR(INDEX(tsk_Name,GanttView[[#This Row],[_Row]])="",TRUE()),FALSE(),AND(INDEX(tsk_IsLeaf,GanttView[[#This Row],[_Row]])=1,N(INDEX(tsk_Duration,GanttView[[#This Row],[_Row]]))=0))</f>
        <v>0</v>
      </c>
      <c r="O15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5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5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58" s="111" t="n">
        <f aca="false">IF(GanttView[[#This Row],[_RemFrom]]=0,0,GanttView[[#This Row],[Forecast Finish]])</f>
        <v>0</v>
      </c>
      <c r="S158" s="110" t="b">
        <f aca="false">IF(IFERROR(INDEX(tsk_Name,GanttView[[#This Row],[_Row]])="",TRUE()),FALSE(),N(INDEX(tsk_Variance,GanttView[[#This Row],[_Row]]))&gt;0)</f>
        <v>0</v>
      </c>
      <c r="T158" s="111" t="n">
        <f aca="false">IF(IFERROR(INDEX(tsk_Name,GanttView[[#This Row],[_Row]])="",TRUE()),0,N(INDEX(tsk_Deadline,GanttView[[#This Row],[_Row]])))</f>
        <v>0</v>
      </c>
      <c r="U158" s="110" t="b">
        <f aca="false">IF(IFERROR(INDEX(tsk_Name,GanttView[[#This Row],[_Row]])="",TRUE()),FALSE(),INDEX(tsk_Critical,GanttView[[#This Row],[_Row]])="Yes")</f>
        <v>0</v>
      </c>
    </row>
    <row r="159" customFormat="false" ht="15" hidden="false" customHeight="false" outlineLevel="0" collapsed="false">
      <c r="A159" s="104" t="str">
        <f aca="false">IF(IFERROR(INDEX(tsk_Name,GanttView[[#This Row],[_Row]])="",TRUE()),"",INDEX(tsk_ID,GanttView[[#This Row],[_Row]]))</f>
        <v/>
      </c>
      <c r="B159" s="104" t="str">
        <f aca="false">IF(IFERROR(INDEX(tsk_Name,GanttView[[#This Row],[_Row]])="",TRUE()),"",INDEX(tsk_WBS,GanttView[[#This Row],[_Row]]))</f>
        <v/>
      </c>
      <c r="C159" s="105" t="str">
        <f aca="false">IF(IFERROR(INDEX(tsk_Name,GanttView[[#This Row],[_Row]])="",TRUE()),"",REPT("    ",INDEX(tsk_Level,GanttView[[#This Row],[_Row]])-1)&amp;INDEX(tsk_Name,GanttView[[#This Row],[_Row]]))</f>
        <v/>
      </c>
      <c r="D15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59" s="106" t="str">
        <f aca="false">IF(IFERROR(INDEX(tsk_Name,GanttView[[#This Row],[_Row]])="",TRUE()),"",INDEX(tsk_PlanStart,GanttView[[#This Row],[_Row]]))</f>
        <v/>
      </c>
      <c r="F159" s="106" t="str">
        <f aca="false">IF(IFERROR(INDEX(tsk_Name,GanttView[[#This Row],[_Row]])="",TRUE()),"",INDEX(tsk_PlanFinish,GanttView[[#This Row],[_Row]]))</f>
        <v/>
      </c>
      <c r="G159" s="106" t="str">
        <f aca="false">IF(IFERROR(INDEX(tsk_Name,GanttView[[#This Row],[_Row]])="",TRUE()),"",INDEX(tsk_FcStart,GanttView[[#This Row],[_Row]]))</f>
        <v/>
      </c>
      <c r="H159" s="106" t="str">
        <f aca="false">IF(IFERROR(INDEX(tsk_Name,GanttView[[#This Row],[_Row]])="",TRUE()),"",INDEX(tsk_FcFinish,GanttView[[#This Row],[_Row]]))</f>
        <v/>
      </c>
      <c r="I159" s="107" t="str">
        <f aca="false">IF(IFERROR(INDEX(tsk_Name,GanttView[[#This Row],[_Row]])="",TRUE()),"",INDEX(tsk_Progress,GanttView[[#This Row],[_Row]]))</f>
        <v/>
      </c>
      <c r="J159" s="105" t="str">
        <f aca="false">IF(IFERROR(INDEX(tsk_Name,GanttView[[#This Row],[_Row]])="",TRUE()),"",INDEX(tsk_Resource,GanttView[[#This Row],[_Row]])&amp;"")</f>
        <v/>
      </c>
      <c r="K159" s="108" t="str">
        <f aca="false">IF(IFERROR(INDEX(tsk_Name,GanttView[[#This Row],[_Row]])="",TRUE()),"",INDEX(tsk_Status,GanttView[[#This Row],[_Row]]))</f>
        <v/>
      </c>
      <c r="L159" s="109" t="n">
        <f aca="false">ROW()-ROW(GanttView[[#Headers],[ID]])</f>
        <v>154</v>
      </c>
      <c r="M159" s="110" t="b">
        <f aca="false">IF(IFERROR(INDEX(tsk_Name,GanttView[[#This Row],[_Row]])="",TRUE()),FALSE(),INDEX(tsk_IsSummary,GanttView[[#This Row],[_Row]]))</f>
        <v>0</v>
      </c>
      <c r="N159" s="110" t="b">
        <f aca="false">IF(IFERROR(INDEX(tsk_Name,GanttView[[#This Row],[_Row]])="",TRUE()),FALSE(),AND(INDEX(tsk_IsLeaf,GanttView[[#This Row],[_Row]])=1,N(INDEX(tsk_Duration,GanttView[[#This Row],[_Row]]))=0))</f>
        <v>0</v>
      </c>
      <c r="O15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5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5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59" s="111" t="n">
        <f aca="false">IF(GanttView[[#This Row],[_RemFrom]]=0,0,GanttView[[#This Row],[Forecast Finish]])</f>
        <v>0</v>
      </c>
      <c r="S159" s="110" t="b">
        <f aca="false">IF(IFERROR(INDEX(tsk_Name,GanttView[[#This Row],[_Row]])="",TRUE()),FALSE(),N(INDEX(tsk_Variance,GanttView[[#This Row],[_Row]]))&gt;0)</f>
        <v>0</v>
      </c>
      <c r="T159" s="111" t="n">
        <f aca="false">IF(IFERROR(INDEX(tsk_Name,GanttView[[#This Row],[_Row]])="",TRUE()),0,N(INDEX(tsk_Deadline,GanttView[[#This Row],[_Row]])))</f>
        <v>0</v>
      </c>
      <c r="U159" s="110" t="b">
        <f aca="false">IF(IFERROR(INDEX(tsk_Name,GanttView[[#This Row],[_Row]])="",TRUE()),FALSE(),INDEX(tsk_Critical,GanttView[[#This Row],[_Row]])="Yes")</f>
        <v>0</v>
      </c>
    </row>
    <row r="160" customFormat="false" ht="15" hidden="false" customHeight="false" outlineLevel="0" collapsed="false">
      <c r="A160" s="104" t="str">
        <f aca="false">IF(IFERROR(INDEX(tsk_Name,GanttView[[#This Row],[_Row]])="",TRUE()),"",INDEX(tsk_ID,GanttView[[#This Row],[_Row]]))</f>
        <v/>
      </c>
      <c r="B160" s="104" t="str">
        <f aca="false">IF(IFERROR(INDEX(tsk_Name,GanttView[[#This Row],[_Row]])="",TRUE()),"",INDEX(tsk_WBS,GanttView[[#This Row],[_Row]]))</f>
        <v/>
      </c>
      <c r="C160" s="105" t="str">
        <f aca="false">IF(IFERROR(INDEX(tsk_Name,GanttView[[#This Row],[_Row]])="",TRUE()),"",REPT("    ",INDEX(tsk_Level,GanttView[[#This Row],[_Row]])-1)&amp;INDEX(tsk_Name,GanttView[[#This Row],[_Row]]))</f>
        <v/>
      </c>
      <c r="D16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60" s="106" t="str">
        <f aca="false">IF(IFERROR(INDEX(tsk_Name,GanttView[[#This Row],[_Row]])="",TRUE()),"",INDEX(tsk_PlanStart,GanttView[[#This Row],[_Row]]))</f>
        <v/>
      </c>
      <c r="F160" s="106" t="str">
        <f aca="false">IF(IFERROR(INDEX(tsk_Name,GanttView[[#This Row],[_Row]])="",TRUE()),"",INDEX(tsk_PlanFinish,GanttView[[#This Row],[_Row]]))</f>
        <v/>
      </c>
      <c r="G160" s="106" t="str">
        <f aca="false">IF(IFERROR(INDEX(tsk_Name,GanttView[[#This Row],[_Row]])="",TRUE()),"",INDEX(tsk_FcStart,GanttView[[#This Row],[_Row]]))</f>
        <v/>
      </c>
      <c r="H160" s="106" t="str">
        <f aca="false">IF(IFERROR(INDEX(tsk_Name,GanttView[[#This Row],[_Row]])="",TRUE()),"",INDEX(tsk_FcFinish,GanttView[[#This Row],[_Row]]))</f>
        <v/>
      </c>
      <c r="I160" s="107" t="str">
        <f aca="false">IF(IFERROR(INDEX(tsk_Name,GanttView[[#This Row],[_Row]])="",TRUE()),"",INDEX(tsk_Progress,GanttView[[#This Row],[_Row]]))</f>
        <v/>
      </c>
      <c r="J160" s="105" t="str">
        <f aca="false">IF(IFERROR(INDEX(tsk_Name,GanttView[[#This Row],[_Row]])="",TRUE()),"",INDEX(tsk_Resource,GanttView[[#This Row],[_Row]])&amp;"")</f>
        <v/>
      </c>
      <c r="K160" s="108" t="str">
        <f aca="false">IF(IFERROR(INDEX(tsk_Name,GanttView[[#This Row],[_Row]])="",TRUE()),"",INDEX(tsk_Status,GanttView[[#This Row],[_Row]]))</f>
        <v/>
      </c>
      <c r="L160" s="109" t="n">
        <f aca="false">ROW()-ROW(GanttView[[#Headers],[ID]])</f>
        <v>155</v>
      </c>
      <c r="M160" s="110" t="b">
        <f aca="false">IF(IFERROR(INDEX(tsk_Name,GanttView[[#This Row],[_Row]])="",TRUE()),FALSE(),INDEX(tsk_IsSummary,GanttView[[#This Row],[_Row]]))</f>
        <v>0</v>
      </c>
      <c r="N160" s="110" t="b">
        <f aca="false">IF(IFERROR(INDEX(tsk_Name,GanttView[[#This Row],[_Row]])="",TRUE()),FALSE(),AND(INDEX(tsk_IsLeaf,GanttView[[#This Row],[_Row]])=1,N(INDEX(tsk_Duration,GanttView[[#This Row],[_Row]]))=0))</f>
        <v>0</v>
      </c>
      <c r="O16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6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6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60" s="111" t="n">
        <f aca="false">IF(GanttView[[#This Row],[_RemFrom]]=0,0,GanttView[[#This Row],[Forecast Finish]])</f>
        <v>0</v>
      </c>
      <c r="S160" s="110" t="b">
        <f aca="false">IF(IFERROR(INDEX(tsk_Name,GanttView[[#This Row],[_Row]])="",TRUE()),FALSE(),N(INDEX(tsk_Variance,GanttView[[#This Row],[_Row]]))&gt;0)</f>
        <v>0</v>
      </c>
      <c r="T160" s="111" t="n">
        <f aca="false">IF(IFERROR(INDEX(tsk_Name,GanttView[[#This Row],[_Row]])="",TRUE()),0,N(INDEX(tsk_Deadline,GanttView[[#This Row],[_Row]])))</f>
        <v>0</v>
      </c>
      <c r="U160" s="110" t="b">
        <f aca="false">IF(IFERROR(INDEX(tsk_Name,GanttView[[#This Row],[_Row]])="",TRUE()),FALSE(),INDEX(tsk_Critical,GanttView[[#This Row],[_Row]])="Yes")</f>
        <v>0</v>
      </c>
    </row>
    <row r="161" customFormat="false" ht="15" hidden="false" customHeight="false" outlineLevel="0" collapsed="false">
      <c r="A161" s="104" t="str">
        <f aca="false">IF(IFERROR(INDEX(tsk_Name,GanttView[[#This Row],[_Row]])="",TRUE()),"",INDEX(tsk_ID,GanttView[[#This Row],[_Row]]))</f>
        <v/>
      </c>
      <c r="B161" s="104" t="str">
        <f aca="false">IF(IFERROR(INDEX(tsk_Name,GanttView[[#This Row],[_Row]])="",TRUE()),"",INDEX(tsk_WBS,GanttView[[#This Row],[_Row]]))</f>
        <v/>
      </c>
      <c r="C161" s="105" t="str">
        <f aca="false">IF(IFERROR(INDEX(tsk_Name,GanttView[[#This Row],[_Row]])="",TRUE()),"",REPT("    ",INDEX(tsk_Level,GanttView[[#This Row],[_Row]])-1)&amp;INDEX(tsk_Name,GanttView[[#This Row],[_Row]]))</f>
        <v/>
      </c>
      <c r="D16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61" s="106" t="str">
        <f aca="false">IF(IFERROR(INDEX(tsk_Name,GanttView[[#This Row],[_Row]])="",TRUE()),"",INDEX(tsk_PlanStart,GanttView[[#This Row],[_Row]]))</f>
        <v/>
      </c>
      <c r="F161" s="106" t="str">
        <f aca="false">IF(IFERROR(INDEX(tsk_Name,GanttView[[#This Row],[_Row]])="",TRUE()),"",INDEX(tsk_PlanFinish,GanttView[[#This Row],[_Row]]))</f>
        <v/>
      </c>
      <c r="G161" s="106" t="str">
        <f aca="false">IF(IFERROR(INDEX(tsk_Name,GanttView[[#This Row],[_Row]])="",TRUE()),"",INDEX(tsk_FcStart,GanttView[[#This Row],[_Row]]))</f>
        <v/>
      </c>
      <c r="H161" s="106" t="str">
        <f aca="false">IF(IFERROR(INDEX(tsk_Name,GanttView[[#This Row],[_Row]])="",TRUE()),"",INDEX(tsk_FcFinish,GanttView[[#This Row],[_Row]]))</f>
        <v/>
      </c>
      <c r="I161" s="107" t="str">
        <f aca="false">IF(IFERROR(INDEX(tsk_Name,GanttView[[#This Row],[_Row]])="",TRUE()),"",INDEX(tsk_Progress,GanttView[[#This Row],[_Row]]))</f>
        <v/>
      </c>
      <c r="J161" s="105" t="str">
        <f aca="false">IF(IFERROR(INDEX(tsk_Name,GanttView[[#This Row],[_Row]])="",TRUE()),"",INDEX(tsk_Resource,GanttView[[#This Row],[_Row]])&amp;"")</f>
        <v/>
      </c>
      <c r="K161" s="108" t="str">
        <f aca="false">IF(IFERROR(INDEX(tsk_Name,GanttView[[#This Row],[_Row]])="",TRUE()),"",INDEX(tsk_Status,GanttView[[#This Row],[_Row]]))</f>
        <v/>
      </c>
      <c r="L161" s="109" t="n">
        <f aca="false">ROW()-ROW(GanttView[[#Headers],[ID]])</f>
        <v>156</v>
      </c>
      <c r="M161" s="110" t="b">
        <f aca="false">IF(IFERROR(INDEX(tsk_Name,GanttView[[#This Row],[_Row]])="",TRUE()),FALSE(),INDEX(tsk_IsSummary,GanttView[[#This Row],[_Row]]))</f>
        <v>0</v>
      </c>
      <c r="N161" s="110" t="b">
        <f aca="false">IF(IFERROR(INDEX(tsk_Name,GanttView[[#This Row],[_Row]])="",TRUE()),FALSE(),AND(INDEX(tsk_IsLeaf,GanttView[[#This Row],[_Row]])=1,N(INDEX(tsk_Duration,GanttView[[#This Row],[_Row]]))=0))</f>
        <v>0</v>
      </c>
      <c r="O16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6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6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61" s="111" t="n">
        <f aca="false">IF(GanttView[[#This Row],[_RemFrom]]=0,0,GanttView[[#This Row],[Forecast Finish]])</f>
        <v>0</v>
      </c>
      <c r="S161" s="110" t="b">
        <f aca="false">IF(IFERROR(INDEX(tsk_Name,GanttView[[#This Row],[_Row]])="",TRUE()),FALSE(),N(INDEX(tsk_Variance,GanttView[[#This Row],[_Row]]))&gt;0)</f>
        <v>0</v>
      </c>
      <c r="T161" s="111" t="n">
        <f aca="false">IF(IFERROR(INDEX(tsk_Name,GanttView[[#This Row],[_Row]])="",TRUE()),0,N(INDEX(tsk_Deadline,GanttView[[#This Row],[_Row]])))</f>
        <v>0</v>
      </c>
      <c r="U161" s="110" t="b">
        <f aca="false">IF(IFERROR(INDEX(tsk_Name,GanttView[[#This Row],[_Row]])="",TRUE()),FALSE(),INDEX(tsk_Critical,GanttView[[#This Row],[_Row]])="Yes")</f>
        <v>0</v>
      </c>
    </row>
    <row r="162" customFormat="false" ht="15" hidden="false" customHeight="false" outlineLevel="0" collapsed="false">
      <c r="A162" s="104" t="str">
        <f aca="false">IF(IFERROR(INDEX(tsk_Name,GanttView[[#This Row],[_Row]])="",TRUE()),"",INDEX(tsk_ID,GanttView[[#This Row],[_Row]]))</f>
        <v/>
      </c>
      <c r="B162" s="104" t="str">
        <f aca="false">IF(IFERROR(INDEX(tsk_Name,GanttView[[#This Row],[_Row]])="",TRUE()),"",INDEX(tsk_WBS,GanttView[[#This Row],[_Row]]))</f>
        <v/>
      </c>
      <c r="C162" s="105" t="str">
        <f aca="false">IF(IFERROR(INDEX(tsk_Name,GanttView[[#This Row],[_Row]])="",TRUE()),"",REPT("    ",INDEX(tsk_Level,GanttView[[#This Row],[_Row]])-1)&amp;INDEX(tsk_Name,GanttView[[#This Row],[_Row]]))</f>
        <v/>
      </c>
      <c r="D16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62" s="106" t="str">
        <f aca="false">IF(IFERROR(INDEX(tsk_Name,GanttView[[#This Row],[_Row]])="",TRUE()),"",INDEX(tsk_PlanStart,GanttView[[#This Row],[_Row]]))</f>
        <v/>
      </c>
      <c r="F162" s="106" t="str">
        <f aca="false">IF(IFERROR(INDEX(tsk_Name,GanttView[[#This Row],[_Row]])="",TRUE()),"",INDEX(tsk_PlanFinish,GanttView[[#This Row],[_Row]]))</f>
        <v/>
      </c>
      <c r="G162" s="106" t="str">
        <f aca="false">IF(IFERROR(INDEX(tsk_Name,GanttView[[#This Row],[_Row]])="",TRUE()),"",INDEX(tsk_FcStart,GanttView[[#This Row],[_Row]]))</f>
        <v/>
      </c>
      <c r="H162" s="106" t="str">
        <f aca="false">IF(IFERROR(INDEX(tsk_Name,GanttView[[#This Row],[_Row]])="",TRUE()),"",INDEX(tsk_FcFinish,GanttView[[#This Row],[_Row]]))</f>
        <v/>
      </c>
      <c r="I162" s="107" t="str">
        <f aca="false">IF(IFERROR(INDEX(tsk_Name,GanttView[[#This Row],[_Row]])="",TRUE()),"",INDEX(tsk_Progress,GanttView[[#This Row],[_Row]]))</f>
        <v/>
      </c>
      <c r="J162" s="105" t="str">
        <f aca="false">IF(IFERROR(INDEX(tsk_Name,GanttView[[#This Row],[_Row]])="",TRUE()),"",INDEX(tsk_Resource,GanttView[[#This Row],[_Row]])&amp;"")</f>
        <v/>
      </c>
      <c r="K162" s="108" t="str">
        <f aca="false">IF(IFERROR(INDEX(tsk_Name,GanttView[[#This Row],[_Row]])="",TRUE()),"",INDEX(tsk_Status,GanttView[[#This Row],[_Row]]))</f>
        <v/>
      </c>
      <c r="L162" s="109" t="n">
        <f aca="false">ROW()-ROW(GanttView[[#Headers],[ID]])</f>
        <v>157</v>
      </c>
      <c r="M162" s="110" t="b">
        <f aca="false">IF(IFERROR(INDEX(tsk_Name,GanttView[[#This Row],[_Row]])="",TRUE()),FALSE(),INDEX(tsk_IsSummary,GanttView[[#This Row],[_Row]]))</f>
        <v>0</v>
      </c>
      <c r="N162" s="110" t="b">
        <f aca="false">IF(IFERROR(INDEX(tsk_Name,GanttView[[#This Row],[_Row]])="",TRUE()),FALSE(),AND(INDEX(tsk_IsLeaf,GanttView[[#This Row],[_Row]])=1,N(INDEX(tsk_Duration,GanttView[[#This Row],[_Row]]))=0))</f>
        <v>0</v>
      </c>
      <c r="O16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6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6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62" s="111" t="n">
        <f aca="false">IF(GanttView[[#This Row],[_RemFrom]]=0,0,GanttView[[#This Row],[Forecast Finish]])</f>
        <v>0</v>
      </c>
      <c r="S162" s="110" t="b">
        <f aca="false">IF(IFERROR(INDEX(tsk_Name,GanttView[[#This Row],[_Row]])="",TRUE()),FALSE(),N(INDEX(tsk_Variance,GanttView[[#This Row],[_Row]]))&gt;0)</f>
        <v>0</v>
      </c>
      <c r="T162" s="111" t="n">
        <f aca="false">IF(IFERROR(INDEX(tsk_Name,GanttView[[#This Row],[_Row]])="",TRUE()),0,N(INDEX(tsk_Deadline,GanttView[[#This Row],[_Row]])))</f>
        <v>0</v>
      </c>
      <c r="U162" s="110" t="b">
        <f aca="false">IF(IFERROR(INDEX(tsk_Name,GanttView[[#This Row],[_Row]])="",TRUE()),FALSE(),INDEX(tsk_Critical,GanttView[[#This Row],[_Row]])="Yes")</f>
        <v>0</v>
      </c>
    </row>
    <row r="163" customFormat="false" ht="15" hidden="false" customHeight="false" outlineLevel="0" collapsed="false">
      <c r="A163" s="104" t="str">
        <f aca="false">IF(IFERROR(INDEX(tsk_Name,GanttView[[#This Row],[_Row]])="",TRUE()),"",INDEX(tsk_ID,GanttView[[#This Row],[_Row]]))</f>
        <v/>
      </c>
      <c r="B163" s="104" t="str">
        <f aca="false">IF(IFERROR(INDEX(tsk_Name,GanttView[[#This Row],[_Row]])="",TRUE()),"",INDEX(tsk_WBS,GanttView[[#This Row],[_Row]]))</f>
        <v/>
      </c>
      <c r="C163" s="105" t="str">
        <f aca="false">IF(IFERROR(INDEX(tsk_Name,GanttView[[#This Row],[_Row]])="",TRUE()),"",REPT("    ",INDEX(tsk_Level,GanttView[[#This Row],[_Row]])-1)&amp;INDEX(tsk_Name,GanttView[[#This Row],[_Row]]))</f>
        <v/>
      </c>
      <c r="D16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63" s="106" t="str">
        <f aca="false">IF(IFERROR(INDEX(tsk_Name,GanttView[[#This Row],[_Row]])="",TRUE()),"",INDEX(tsk_PlanStart,GanttView[[#This Row],[_Row]]))</f>
        <v/>
      </c>
      <c r="F163" s="106" t="str">
        <f aca="false">IF(IFERROR(INDEX(tsk_Name,GanttView[[#This Row],[_Row]])="",TRUE()),"",INDEX(tsk_PlanFinish,GanttView[[#This Row],[_Row]]))</f>
        <v/>
      </c>
      <c r="G163" s="106" t="str">
        <f aca="false">IF(IFERROR(INDEX(tsk_Name,GanttView[[#This Row],[_Row]])="",TRUE()),"",INDEX(tsk_FcStart,GanttView[[#This Row],[_Row]]))</f>
        <v/>
      </c>
      <c r="H163" s="106" t="str">
        <f aca="false">IF(IFERROR(INDEX(tsk_Name,GanttView[[#This Row],[_Row]])="",TRUE()),"",INDEX(tsk_FcFinish,GanttView[[#This Row],[_Row]]))</f>
        <v/>
      </c>
      <c r="I163" s="107" t="str">
        <f aca="false">IF(IFERROR(INDEX(tsk_Name,GanttView[[#This Row],[_Row]])="",TRUE()),"",INDEX(tsk_Progress,GanttView[[#This Row],[_Row]]))</f>
        <v/>
      </c>
      <c r="J163" s="105" t="str">
        <f aca="false">IF(IFERROR(INDEX(tsk_Name,GanttView[[#This Row],[_Row]])="",TRUE()),"",INDEX(tsk_Resource,GanttView[[#This Row],[_Row]])&amp;"")</f>
        <v/>
      </c>
      <c r="K163" s="108" t="str">
        <f aca="false">IF(IFERROR(INDEX(tsk_Name,GanttView[[#This Row],[_Row]])="",TRUE()),"",INDEX(tsk_Status,GanttView[[#This Row],[_Row]]))</f>
        <v/>
      </c>
      <c r="L163" s="109" t="n">
        <f aca="false">ROW()-ROW(GanttView[[#Headers],[ID]])</f>
        <v>158</v>
      </c>
      <c r="M163" s="110" t="b">
        <f aca="false">IF(IFERROR(INDEX(tsk_Name,GanttView[[#This Row],[_Row]])="",TRUE()),FALSE(),INDEX(tsk_IsSummary,GanttView[[#This Row],[_Row]]))</f>
        <v>0</v>
      </c>
      <c r="N163" s="110" t="b">
        <f aca="false">IF(IFERROR(INDEX(tsk_Name,GanttView[[#This Row],[_Row]])="",TRUE()),FALSE(),AND(INDEX(tsk_IsLeaf,GanttView[[#This Row],[_Row]])=1,N(INDEX(tsk_Duration,GanttView[[#This Row],[_Row]]))=0))</f>
        <v>0</v>
      </c>
      <c r="O16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6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6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63" s="111" t="n">
        <f aca="false">IF(GanttView[[#This Row],[_RemFrom]]=0,0,GanttView[[#This Row],[Forecast Finish]])</f>
        <v>0</v>
      </c>
      <c r="S163" s="110" t="b">
        <f aca="false">IF(IFERROR(INDEX(tsk_Name,GanttView[[#This Row],[_Row]])="",TRUE()),FALSE(),N(INDEX(tsk_Variance,GanttView[[#This Row],[_Row]]))&gt;0)</f>
        <v>0</v>
      </c>
      <c r="T163" s="111" t="n">
        <f aca="false">IF(IFERROR(INDEX(tsk_Name,GanttView[[#This Row],[_Row]])="",TRUE()),0,N(INDEX(tsk_Deadline,GanttView[[#This Row],[_Row]])))</f>
        <v>0</v>
      </c>
      <c r="U163" s="110" t="b">
        <f aca="false">IF(IFERROR(INDEX(tsk_Name,GanttView[[#This Row],[_Row]])="",TRUE()),FALSE(),INDEX(tsk_Critical,GanttView[[#This Row],[_Row]])="Yes")</f>
        <v>0</v>
      </c>
    </row>
    <row r="164" customFormat="false" ht="15" hidden="false" customHeight="false" outlineLevel="0" collapsed="false">
      <c r="A164" s="104" t="str">
        <f aca="false">IF(IFERROR(INDEX(tsk_Name,GanttView[[#This Row],[_Row]])="",TRUE()),"",INDEX(tsk_ID,GanttView[[#This Row],[_Row]]))</f>
        <v/>
      </c>
      <c r="B164" s="104" t="str">
        <f aca="false">IF(IFERROR(INDEX(tsk_Name,GanttView[[#This Row],[_Row]])="",TRUE()),"",INDEX(tsk_WBS,GanttView[[#This Row],[_Row]]))</f>
        <v/>
      </c>
      <c r="C164" s="105" t="str">
        <f aca="false">IF(IFERROR(INDEX(tsk_Name,GanttView[[#This Row],[_Row]])="",TRUE()),"",REPT("    ",INDEX(tsk_Level,GanttView[[#This Row],[_Row]])-1)&amp;INDEX(tsk_Name,GanttView[[#This Row],[_Row]]))</f>
        <v/>
      </c>
      <c r="D16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64" s="106" t="str">
        <f aca="false">IF(IFERROR(INDEX(tsk_Name,GanttView[[#This Row],[_Row]])="",TRUE()),"",INDEX(tsk_PlanStart,GanttView[[#This Row],[_Row]]))</f>
        <v/>
      </c>
      <c r="F164" s="106" t="str">
        <f aca="false">IF(IFERROR(INDEX(tsk_Name,GanttView[[#This Row],[_Row]])="",TRUE()),"",INDEX(tsk_PlanFinish,GanttView[[#This Row],[_Row]]))</f>
        <v/>
      </c>
      <c r="G164" s="106" t="str">
        <f aca="false">IF(IFERROR(INDEX(tsk_Name,GanttView[[#This Row],[_Row]])="",TRUE()),"",INDEX(tsk_FcStart,GanttView[[#This Row],[_Row]]))</f>
        <v/>
      </c>
      <c r="H164" s="106" t="str">
        <f aca="false">IF(IFERROR(INDEX(tsk_Name,GanttView[[#This Row],[_Row]])="",TRUE()),"",INDEX(tsk_FcFinish,GanttView[[#This Row],[_Row]]))</f>
        <v/>
      </c>
      <c r="I164" s="107" t="str">
        <f aca="false">IF(IFERROR(INDEX(tsk_Name,GanttView[[#This Row],[_Row]])="",TRUE()),"",INDEX(tsk_Progress,GanttView[[#This Row],[_Row]]))</f>
        <v/>
      </c>
      <c r="J164" s="105" t="str">
        <f aca="false">IF(IFERROR(INDEX(tsk_Name,GanttView[[#This Row],[_Row]])="",TRUE()),"",INDEX(tsk_Resource,GanttView[[#This Row],[_Row]])&amp;"")</f>
        <v/>
      </c>
      <c r="K164" s="108" t="str">
        <f aca="false">IF(IFERROR(INDEX(tsk_Name,GanttView[[#This Row],[_Row]])="",TRUE()),"",INDEX(tsk_Status,GanttView[[#This Row],[_Row]]))</f>
        <v/>
      </c>
      <c r="L164" s="109" t="n">
        <f aca="false">ROW()-ROW(GanttView[[#Headers],[ID]])</f>
        <v>159</v>
      </c>
      <c r="M164" s="110" t="b">
        <f aca="false">IF(IFERROR(INDEX(tsk_Name,GanttView[[#This Row],[_Row]])="",TRUE()),FALSE(),INDEX(tsk_IsSummary,GanttView[[#This Row],[_Row]]))</f>
        <v>0</v>
      </c>
      <c r="N164" s="110" t="b">
        <f aca="false">IF(IFERROR(INDEX(tsk_Name,GanttView[[#This Row],[_Row]])="",TRUE()),FALSE(),AND(INDEX(tsk_IsLeaf,GanttView[[#This Row],[_Row]])=1,N(INDEX(tsk_Duration,GanttView[[#This Row],[_Row]]))=0))</f>
        <v>0</v>
      </c>
      <c r="O16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6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6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64" s="111" t="n">
        <f aca="false">IF(GanttView[[#This Row],[_RemFrom]]=0,0,GanttView[[#This Row],[Forecast Finish]])</f>
        <v>0</v>
      </c>
      <c r="S164" s="110" t="b">
        <f aca="false">IF(IFERROR(INDEX(tsk_Name,GanttView[[#This Row],[_Row]])="",TRUE()),FALSE(),N(INDEX(tsk_Variance,GanttView[[#This Row],[_Row]]))&gt;0)</f>
        <v>0</v>
      </c>
      <c r="T164" s="111" t="n">
        <f aca="false">IF(IFERROR(INDEX(tsk_Name,GanttView[[#This Row],[_Row]])="",TRUE()),0,N(INDEX(tsk_Deadline,GanttView[[#This Row],[_Row]])))</f>
        <v>0</v>
      </c>
      <c r="U164" s="110" t="b">
        <f aca="false">IF(IFERROR(INDEX(tsk_Name,GanttView[[#This Row],[_Row]])="",TRUE()),FALSE(),INDEX(tsk_Critical,GanttView[[#This Row],[_Row]])="Yes")</f>
        <v>0</v>
      </c>
    </row>
    <row r="165" customFormat="false" ht="15" hidden="false" customHeight="false" outlineLevel="0" collapsed="false">
      <c r="A165" s="104" t="str">
        <f aca="false">IF(IFERROR(INDEX(tsk_Name,GanttView[[#This Row],[_Row]])="",TRUE()),"",INDEX(tsk_ID,GanttView[[#This Row],[_Row]]))</f>
        <v/>
      </c>
      <c r="B165" s="104" t="str">
        <f aca="false">IF(IFERROR(INDEX(tsk_Name,GanttView[[#This Row],[_Row]])="",TRUE()),"",INDEX(tsk_WBS,GanttView[[#This Row],[_Row]]))</f>
        <v/>
      </c>
      <c r="C165" s="105" t="str">
        <f aca="false">IF(IFERROR(INDEX(tsk_Name,GanttView[[#This Row],[_Row]])="",TRUE()),"",REPT("    ",INDEX(tsk_Level,GanttView[[#This Row],[_Row]])-1)&amp;INDEX(tsk_Name,GanttView[[#This Row],[_Row]]))</f>
        <v/>
      </c>
      <c r="D16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65" s="106" t="str">
        <f aca="false">IF(IFERROR(INDEX(tsk_Name,GanttView[[#This Row],[_Row]])="",TRUE()),"",INDEX(tsk_PlanStart,GanttView[[#This Row],[_Row]]))</f>
        <v/>
      </c>
      <c r="F165" s="106" t="str">
        <f aca="false">IF(IFERROR(INDEX(tsk_Name,GanttView[[#This Row],[_Row]])="",TRUE()),"",INDEX(tsk_PlanFinish,GanttView[[#This Row],[_Row]]))</f>
        <v/>
      </c>
      <c r="G165" s="106" t="str">
        <f aca="false">IF(IFERROR(INDEX(tsk_Name,GanttView[[#This Row],[_Row]])="",TRUE()),"",INDEX(tsk_FcStart,GanttView[[#This Row],[_Row]]))</f>
        <v/>
      </c>
      <c r="H165" s="106" t="str">
        <f aca="false">IF(IFERROR(INDEX(tsk_Name,GanttView[[#This Row],[_Row]])="",TRUE()),"",INDEX(tsk_FcFinish,GanttView[[#This Row],[_Row]]))</f>
        <v/>
      </c>
      <c r="I165" s="107" t="str">
        <f aca="false">IF(IFERROR(INDEX(tsk_Name,GanttView[[#This Row],[_Row]])="",TRUE()),"",INDEX(tsk_Progress,GanttView[[#This Row],[_Row]]))</f>
        <v/>
      </c>
      <c r="J165" s="105" t="str">
        <f aca="false">IF(IFERROR(INDEX(tsk_Name,GanttView[[#This Row],[_Row]])="",TRUE()),"",INDEX(tsk_Resource,GanttView[[#This Row],[_Row]])&amp;"")</f>
        <v/>
      </c>
      <c r="K165" s="108" t="str">
        <f aca="false">IF(IFERROR(INDEX(tsk_Name,GanttView[[#This Row],[_Row]])="",TRUE()),"",INDEX(tsk_Status,GanttView[[#This Row],[_Row]]))</f>
        <v/>
      </c>
      <c r="L165" s="109" t="n">
        <f aca="false">ROW()-ROW(GanttView[[#Headers],[ID]])</f>
        <v>160</v>
      </c>
      <c r="M165" s="110" t="b">
        <f aca="false">IF(IFERROR(INDEX(tsk_Name,GanttView[[#This Row],[_Row]])="",TRUE()),FALSE(),INDEX(tsk_IsSummary,GanttView[[#This Row],[_Row]]))</f>
        <v>0</v>
      </c>
      <c r="N165" s="110" t="b">
        <f aca="false">IF(IFERROR(INDEX(tsk_Name,GanttView[[#This Row],[_Row]])="",TRUE()),FALSE(),AND(INDEX(tsk_IsLeaf,GanttView[[#This Row],[_Row]])=1,N(INDEX(tsk_Duration,GanttView[[#This Row],[_Row]]))=0))</f>
        <v>0</v>
      </c>
      <c r="O16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6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6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65" s="111" t="n">
        <f aca="false">IF(GanttView[[#This Row],[_RemFrom]]=0,0,GanttView[[#This Row],[Forecast Finish]])</f>
        <v>0</v>
      </c>
      <c r="S165" s="110" t="b">
        <f aca="false">IF(IFERROR(INDEX(tsk_Name,GanttView[[#This Row],[_Row]])="",TRUE()),FALSE(),N(INDEX(tsk_Variance,GanttView[[#This Row],[_Row]]))&gt;0)</f>
        <v>0</v>
      </c>
      <c r="T165" s="111" t="n">
        <f aca="false">IF(IFERROR(INDEX(tsk_Name,GanttView[[#This Row],[_Row]])="",TRUE()),0,N(INDEX(tsk_Deadline,GanttView[[#This Row],[_Row]])))</f>
        <v>0</v>
      </c>
      <c r="U165" s="110" t="b">
        <f aca="false">IF(IFERROR(INDEX(tsk_Name,GanttView[[#This Row],[_Row]])="",TRUE()),FALSE(),INDEX(tsk_Critical,GanttView[[#This Row],[_Row]])="Yes")</f>
        <v>0</v>
      </c>
    </row>
    <row r="166" customFormat="false" ht="15" hidden="false" customHeight="false" outlineLevel="0" collapsed="false">
      <c r="A166" s="104" t="str">
        <f aca="false">IF(IFERROR(INDEX(tsk_Name,GanttView[[#This Row],[_Row]])="",TRUE()),"",INDEX(tsk_ID,GanttView[[#This Row],[_Row]]))</f>
        <v/>
      </c>
      <c r="B166" s="104" t="str">
        <f aca="false">IF(IFERROR(INDEX(tsk_Name,GanttView[[#This Row],[_Row]])="",TRUE()),"",INDEX(tsk_WBS,GanttView[[#This Row],[_Row]]))</f>
        <v/>
      </c>
      <c r="C166" s="105" t="str">
        <f aca="false">IF(IFERROR(INDEX(tsk_Name,GanttView[[#This Row],[_Row]])="",TRUE()),"",REPT("    ",INDEX(tsk_Level,GanttView[[#This Row],[_Row]])-1)&amp;INDEX(tsk_Name,GanttView[[#This Row],[_Row]]))</f>
        <v/>
      </c>
      <c r="D16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66" s="106" t="str">
        <f aca="false">IF(IFERROR(INDEX(tsk_Name,GanttView[[#This Row],[_Row]])="",TRUE()),"",INDEX(tsk_PlanStart,GanttView[[#This Row],[_Row]]))</f>
        <v/>
      </c>
      <c r="F166" s="106" t="str">
        <f aca="false">IF(IFERROR(INDEX(tsk_Name,GanttView[[#This Row],[_Row]])="",TRUE()),"",INDEX(tsk_PlanFinish,GanttView[[#This Row],[_Row]]))</f>
        <v/>
      </c>
      <c r="G166" s="106" t="str">
        <f aca="false">IF(IFERROR(INDEX(tsk_Name,GanttView[[#This Row],[_Row]])="",TRUE()),"",INDEX(tsk_FcStart,GanttView[[#This Row],[_Row]]))</f>
        <v/>
      </c>
      <c r="H166" s="106" t="str">
        <f aca="false">IF(IFERROR(INDEX(tsk_Name,GanttView[[#This Row],[_Row]])="",TRUE()),"",INDEX(tsk_FcFinish,GanttView[[#This Row],[_Row]]))</f>
        <v/>
      </c>
      <c r="I166" s="107" t="str">
        <f aca="false">IF(IFERROR(INDEX(tsk_Name,GanttView[[#This Row],[_Row]])="",TRUE()),"",INDEX(tsk_Progress,GanttView[[#This Row],[_Row]]))</f>
        <v/>
      </c>
      <c r="J166" s="105" t="str">
        <f aca="false">IF(IFERROR(INDEX(tsk_Name,GanttView[[#This Row],[_Row]])="",TRUE()),"",INDEX(tsk_Resource,GanttView[[#This Row],[_Row]])&amp;"")</f>
        <v/>
      </c>
      <c r="K166" s="108" t="str">
        <f aca="false">IF(IFERROR(INDEX(tsk_Name,GanttView[[#This Row],[_Row]])="",TRUE()),"",INDEX(tsk_Status,GanttView[[#This Row],[_Row]]))</f>
        <v/>
      </c>
      <c r="L166" s="109" t="n">
        <f aca="false">ROW()-ROW(GanttView[[#Headers],[ID]])</f>
        <v>161</v>
      </c>
      <c r="M166" s="110" t="b">
        <f aca="false">IF(IFERROR(INDEX(tsk_Name,GanttView[[#This Row],[_Row]])="",TRUE()),FALSE(),INDEX(tsk_IsSummary,GanttView[[#This Row],[_Row]]))</f>
        <v>0</v>
      </c>
      <c r="N166" s="110" t="b">
        <f aca="false">IF(IFERROR(INDEX(tsk_Name,GanttView[[#This Row],[_Row]])="",TRUE()),FALSE(),AND(INDEX(tsk_IsLeaf,GanttView[[#This Row],[_Row]])=1,N(INDEX(tsk_Duration,GanttView[[#This Row],[_Row]]))=0))</f>
        <v>0</v>
      </c>
      <c r="O16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6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6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66" s="111" t="n">
        <f aca="false">IF(GanttView[[#This Row],[_RemFrom]]=0,0,GanttView[[#This Row],[Forecast Finish]])</f>
        <v>0</v>
      </c>
      <c r="S166" s="110" t="b">
        <f aca="false">IF(IFERROR(INDEX(tsk_Name,GanttView[[#This Row],[_Row]])="",TRUE()),FALSE(),N(INDEX(tsk_Variance,GanttView[[#This Row],[_Row]]))&gt;0)</f>
        <v>0</v>
      </c>
      <c r="T166" s="111" t="n">
        <f aca="false">IF(IFERROR(INDEX(tsk_Name,GanttView[[#This Row],[_Row]])="",TRUE()),0,N(INDEX(tsk_Deadline,GanttView[[#This Row],[_Row]])))</f>
        <v>0</v>
      </c>
      <c r="U166" s="110" t="b">
        <f aca="false">IF(IFERROR(INDEX(tsk_Name,GanttView[[#This Row],[_Row]])="",TRUE()),FALSE(),INDEX(tsk_Critical,GanttView[[#This Row],[_Row]])="Yes")</f>
        <v>0</v>
      </c>
    </row>
    <row r="167" customFormat="false" ht="15" hidden="false" customHeight="false" outlineLevel="0" collapsed="false">
      <c r="A167" s="104" t="str">
        <f aca="false">IF(IFERROR(INDEX(tsk_Name,GanttView[[#This Row],[_Row]])="",TRUE()),"",INDEX(tsk_ID,GanttView[[#This Row],[_Row]]))</f>
        <v/>
      </c>
      <c r="B167" s="104" t="str">
        <f aca="false">IF(IFERROR(INDEX(tsk_Name,GanttView[[#This Row],[_Row]])="",TRUE()),"",INDEX(tsk_WBS,GanttView[[#This Row],[_Row]]))</f>
        <v/>
      </c>
      <c r="C167" s="105" t="str">
        <f aca="false">IF(IFERROR(INDEX(tsk_Name,GanttView[[#This Row],[_Row]])="",TRUE()),"",REPT("    ",INDEX(tsk_Level,GanttView[[#This Row],[_Row]])-1)&amp;INDEX(tsk_Name,GanttView[[#This Row],[_Row]]))</f>
        <v/>
      </c>
      <c r="D16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67" s="106" t="str">
        <f aca="false">IF(IFERROR(INDEX(tsk_Name,GanttView[[#This Row],[_Row]])="",TRUE()),"",INDEX(tsk_PlanStart,GanttView[[#This Row],[_Row]]))</f>
        <v/>
      </c>
      <c r="F167" s="106" t="str">
        <f aca="false">IF(IFERROR(INDEX(tsk_Name,GanttView[[#This Row],[_Row]])="",TRUE()),"",INDEX(tsk_PlanFinish,GanttView[[#This Row],[_Row]]))</f>
        <v/>
      </c>
      <c r="G167" s="106" t="str">
        <f aca="false">IF(IFERROR(INDEX(tsk_Name,GanttView[[#This Row],[_Row]])="",TRUE()),"",INDEX(tsk_FcStart,GanttView[[#This Row],[_Row]]))</f>
        <v/>
      </c>
      <c r="H167" s="106" t="str">
        <f aca="false">IF(IFERROR(INDEX(tsk_Name,GanttView[[#This Row],[_Row]])="",TRUE()),"",INDEX(tsk_FcFinish,GanttView[[#This Row],[_Row]]))</f>
        <v/>
      </c>
      <c r="I167" s="107" t="str">
        <f aca="false">IF(IFERROR(INDEX(tsk_Name,GanttView[[#This Row],[_Row]])="",TRUE()),"",INDEX(tsk_Progress,GanttView[[#This Row],[_Row]]))</f>
        <v/>
      </c>
      <c r="J167" s="105" t="str">
        <f aca="false">IF(IFERROR(INDEX(tsk_Name,GanttView[[#This Row],[_Row]])="",TRUE()),"",INDEX(tsk_Resource,GanttView[[#This Row],[_Row]])&amp;"")</f>
        <v/>
      </c>
      <c r="K167" s="108" t="str">
        <f aca="false">IF(IFERROR(INDEX(tsk_Name,GanttView[[#This Row],[_Row]])="",TRUE()),"",INDEX(tsk_Status,GanttView[[#This Row],[_Row]]))</f>
        <v/>
      </c>
      <c r="L167" s="109" t="n">
        <f aca="false">ROW()-ROW(GanttView[[#Headers],[ID]])</f>
        <v>162</v>
      </c>
      <c r="M167" s="110" t="b">
        <f aca="false">IF(IFERROR(INDEX(tsk_Name,GanttView[[#This Row],[_Row]])="",TRUE()),FALSE(),INDEX(tsk_IsSummary,GanttView[[#This Row],[_Row]]))</f>
        <v>0</v>
      </c>
      <c r="N167" s="110" t="b">
        <f aca="false">IF(IFERROR(INDEX(tsk_Name,GanttView[[#This Row],[_Row]])="",TRUE()),FALSE(),AND(INDEX(tsk_IsLeaf,GanttView[[#This Row],[_Row]])=1,N(INDEX(tsk_Duration,GanttView[[#This Row],[_Row]]))=0))</f>
        <v>0</v>
      </c>
      <c r="O16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6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6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67" s="111" t="n">
        <f aca="false">IF(GanttView[[#This Row],[_RemFrom]]=0,0,GanttView[[#This Row],[Forecast Finish]])</f>
        <v>0</v>
      </c>
      <c r="S167" s="110" t="b">
        <f aca="false">IF(IFERROR(INDEX(tsk_Name,GanttView[[#This Row],[_Row]])="",TRUE()),FALSE(),N(INDEX(tsk_Variance,GanttView[[#This Row],[_Row]]))&gt;0)</f>
        <v>0</v>
      </c>
      <c r="T167" s="111" t="n">
        <f aca="false">IF(IFERROR(INDEX(tsk_Name,GanttView[[#This Row],[_Row]])="",TRUE()),0,N(INDEX(tsk_Deadline,GanttView[[#This Row],[_Row]])))</f>
        <v>0</v>
      </c>
      <c r="U167" s="110" t="b">
        <f aca="false">IF(IFERROR(INDEX(tsk_Name,GanttView[[#This Row],[_Row]])="",TRUE()),FALSE(),INDEX(tsk_Critical,GanttView[[#This Row],[_Row]])="Yes")</f>
        <v>0</v>
      </c>
    </row>
    <row r="168" customFormat="false" ht="15" hidden="false" customHeight="false" outlineLevel="0" collapsed="false">
      <c r="A168" s="104" t="str">
        <f aca="false">IF(IFERROR(INDEX(tsk_Name,GanttView[[#This Row],[_Row]])="",TRUE()),"",INDEX(tsk_ID,GanttView[[#This Row],[_Row]]))</f>
        <v/>
      </c>
      <c r="B168" s="104" t="str">
        <f aca="false">IF(IFERROR(INDEX(tsk_Name,GanttView[[#This Row],[_Row]])="",TRUE()),"",INDEX(tsk_WBS,GanttView[[#This Row],[_Row]]))</f>
        <v/>
      </c>
      <c r="C168" s="105" t="str">
        <f aca="false">IF(IFERROR(INDEX(tsk_Name,GanttView[[#This Row],[_Row]])="",TRUE()),"",REPT("    ",INDEX(tsk_Level,GanttView[[#This Row],[_Row]])-1)&amp;INDEX(tsk_Name,GanttView[[#This Row],[_Row]]))</f>
        <v/>
      </c>
      <c r="D16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68" s="106" t="str">
        <f aca="false">IF(IFERROR(INDEX(tsk_Name,GanttView[[#This Row],[_Row]])="",TRUE()),"",INDEX(tsk_PlanStart,GanttView[[#This Row],[_Row]]))</f>
        <v/>
      </c>
      <c r="F168" s="106" t="str">
        <f aca="false">IF(IFERROR(INDEX(tsk_Name,GanttView[[#This Row],[_Row]])="",TRUE()),"",INDEX(tsk_PlanFinish,GanttView[[#This Row],[_Row]]))</f>
        <v/>
      </c>
      <c r="G168" s="106" t="str">
        <f aca="false">IF(IFERROR(INDEX(tsk_Name,GanttView[[#This Row],[_Row]])="",TRUE()),"",INDEX(tsk_FcStart,GanttView[[#This Row],[_Row]]))</f>
        <v/>
      </c>
      <c r="H168" s="106" t="str">
        <f aca="false">IF(IFERROR(INDEX(tsk_Name,GanttView[[#This Row],[_Row]])="",TRUE()),"",INDEX(tsk_FcFinish,GanttView[[#This Row],[_Row]]))</f>
        <v/>
      </c>
      <c r="I168" s="107" t="str">
        <f aca="false">IF(IFERROR(INDEX(tsk_Name,GanttView[[#This Row],[_Row]])="",TRUE()),"",INDEX(tsk_Progress,GanttView[[#This Row],[_Row]]))</f>
        <v/>
      </c>
      <c r="J168" s="105" t="str">
        <f aca="false">IF(IFERROR(INDEX(tsk_Name,GanttView[[#This Row],[_Row]])="",TRUE()),"",INDEX(tsk_Resource,GanttView[[#This Row],[_Row]])&amp;"")</f>
        <v/>
      </c>
      <c r="K168" s="108" t="str">
        <f aca="false">IF(IFERROR(INDEX(tsk_Name,GanttView[[#This Row],[_Row]])="",TRUE()),"",INDEX(tsk_Status,GanttView[[#This Row],[_Row]]))</f>
        <v/>
      </c>
      <c r="L168" s="109" t="n">
        <f aca="false">ROW()-ROW(GanttView[[#Headers],[ID]])</f>
        <v>163</v>
      </c>
      <c r="M168" s="110" t="b">
        <f aca="false">IF(IFERROR(INDEX(tsk_Name,GanttView[[#This Row],[_Row]])="",TRUE()),FALSE(),INDEX(tsk_IsSummary,GanttView[[#This Row],[_Row]]))</f>
        <v>0</v>
      </c>
      <c r="N168" s="110" t="b">
        <f aca="false">IF(IFERROR(INDEX(tsk_Name,GanttView[[#This Row],[_Row]])="",TRUE()),FALSE(),AND(INDEX(tsk_IsLeaf,GanttView[[#This Row],[_Row]])=1,N(INDEX(tsk_Duration,GanttView[[#This Row],[_Row]]))=0))</f>
        <v>0</v>
      </c>
      <c r="O16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6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6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68" s="111" t="n">
        <f aca="false">IF(GanttView[[#This Row],[_RemFrom]]=0,0,GanttView[[#This Row],[Forecast Finish]])</f>
        <v>0</v>
      </c>
      <c r="S168" s="110" t="b">
        <f aca="false">IF(IFERROR(INDEX(tsk_Name,GanttView[[#This Row],[_Row]])="",TRUE()),FALSE(),N(INDEX(tsk_Variance,GanttView[[#This Row],[_Row]]))&gt;0)</f>
        <v>0</v>
      </c>
      <c r="T168" s="111" t="n">
        <f aca="false">IF(IFERROR(INDEX(tsk_Name,GanttView[[#This Row],[_Row]])="",TRUE()),0,N(INDEX(tsk_Deadline,GanttView[[#This Row],[_Row]])))</f>
        <v>0</v>
      </c>
      <c r="U168" s="110" t="b">
        <f aca="false">IF(IFERROR(INDEX(tsk_Name,GanttView[[#This Row],[_Row]])="",TRUE()),FALSE(),INDEX(tsk_Critical,GanttView[[#This Row],[_Row]])="Yes")</f>
        <v>0</v>
      </c>
    </row>
    <row r="169" customFormat="false" ht="15" hidden="false" customHeight="false" outlineLevel="0" collapsed="false">
      <c r="A169" s="104" t="str">
        <f aca="false">IF(IFERROR(INDEX(tsk_Name,GanttView[[#This Row],[_Row]])="",TRUE()),"",INDEX(tsk_ID,GanttView[[#This Row],[_Row]]))</f>
        <v/>
      </c>
      <c r="B169" s="104" t="str">
        <f aca="false">IF(IFERROR(INDEX(tsk_Name,GanttView[[#This Row],[_Row]])="",TRUE()),"",INDEX(tsk_WBS,GanttView[[#This Row],[_Row]]))</f>
        <v/>
      </c>
      <c r="C169" s="105" t="str">
        <f aca="false">IF(IFERROR(INDEX(tsk_Name,GanttView[[#This Row],[_Row]])="",TRUE()),"",REPT("    ",INDEX(tsk_Level,GanttView[[#This Row],[_Row]])-1)&amp;INDEX(tsk_Name,GanttView[[#This Row],[_Row]]))</f>
        <v/>
      </c>
      <c r="D16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69" s="106" t="str">
        <f aca="false">IF(IFERROR(INDEX(tsk_Name,GanttView[[#This Row],[_Row]])="",TRUE()),"",INDEX(tsk_PlanStart,GanttView[[#This Row],[_Row]]))</f>
        <v/>
      </c>
      <c r="F169" s="106" t="str">
        <f aca="false">IF(IFERROR(INDEX(tsk_Name,GanttView[[#This Row],[_Row]])="",TRUE()),"",INDEX(tsk_PlanFinish,GanttView[[#This Row],[_Row]]))</f>
        <v/>
      </c>
      <c r="G169" s="106" t="str">
        <f aca="false">IF(IFERROR(INDEX(tsk_Name,GanttView[[#This Row],[_Row]])="",TRUE()),"",INDEX(tsk_FcStart,GanttView[[#This Row],[_Row]]))</f>
        <v/>
      </c>
      <c r="H169" s="106" t="str">
        <f aca="false">IF(IFERROR(INDEX(tsk_Name,GanttView[[#This Row],[_Row]])="",TRUE()),"",INDEX(tsk_FcFinish,GanttView[[#This Row],[_Row]]))</f>
        <v/>
      </c>
      <c r="I169" s="107" t="str">
        <f aca="false">IF(IFERROR(INDEX(tsk_Name,GanttView[[#This Row],[_Row]])="",TRUE()),"",INDEX(tsk_Progress,GanttView[[#This Row],[_Row]]))</f>
        <v/>
      </c>
      <c r="J169" s="105" t="str">
        <f aca="false">IF(IFERROR(INDEX(tsk_Name,GanttView[[#This Row],[_Row]])="",TRUE()),"",INDEX(tsk_Resource,GanttView[[#This Row],[_Row]])&amp;"")</f>
        <v/>
      </c>
      <c r="K169" s="108" t="str">
        <f aca="false">IF(IFERROR(INDEX(tsk_Name,GanttView[[#This Row],[_Row]])="",TRUE()),"",INDEX(tsk_Status,GanttView[[#This Row],[_Row]]))</f>
        <v/>
      </c>
      <c r="L169" s="109" t="n">
        <f aca="false">ROW()-ROW(GanttView[[#Headers],[ID]])</f>
        <v>164</v>
      </c>
      <c r="M169" s="110" t="b">
        <f aca="false">IF(IFERROR(INDEX(tsk_Name,GanttView[[#This Row],[_Row]])="",TRUE()),FALSE(),INDEX(tsk_IsSummary,GanttView[[#This Row],[_Row]]))</f>
        <v>0</v>
      </c>
      <c r="N169" s="110" t="b">
        <f aca="false">IF(IFERROR(INDEX(tsk_Name,GanttView[[#This Row],[_Row]])="",TRUE()),FALSE(),AND(INDEX(tsk_IsLeaf,GanttView[[#This Row],[_Row]])=1,N(INDEX(tsk_Duration,GanttView[[#This Row],[_Row]]))=0))</f>
        <v>0</v>
      </c>
      <c r="O16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6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6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69" s="111" t="n">
        <f aca="false">IF(GanttView[[#This Row],[_RemFrom]]=0,0,GanttView[[#This Row],[Forecast Finish]])</f>
        <v>0</v>
      </c>
      <c r="S169" s="110" t="b">
        <f aca="false">IF(IFERROR(INDEX(tsk_Name,GanttView[[#This Row],[_Row]])="",TRUE()),FALSE(),N(INDEX(tsk_Variance,GanttView[[#This Row],[_Row]]))&gt;0)</f>
        <v>0</v>
      </c>
      <c r="T169" s="111" t="n">
        <f aca="false">IF(IFERROR(INDEX(tsk_Name,GanttView[[#This Row],[_Row]])="",TRUE()),0,N(INDEX(tsk_Deadline,GanttView[[#This Row],[_Row]])))</f>
        <v>0</v>
      </c>
      <c r="U169" s="110" t="b">
        <f aca="false">IF(IFERROR(INDEX(tsk_Name,GanttView[[#This Row],[_Row]])="",TRUE()),FALSE(),INDEX(tsk_Critical,GanttView[[#This Row],[_Row]])="Yes")</f>
        <v>0</v>
      </c>
    </row>
    <row r="170" customFormat="false" ht="15" hidden="false" customHeight="false" outlineLevel="0" collapsed="false">
      <c r="A170" s="104" t="str">
        <f aca="false">IF(IFERROR(INDEX(tsk_Name,GanttView[[#This Row],[_Row]])="",TRUE()),"",INDEX(tsk_ID,GanttView[[#This Row],[_Row]]))</f>
        <v/>
      </c>
      <c r="B170" s="104" t="str">
        <f aca="false">IF(IFERROR(INDEX(tsk_Name,GanttView[[#This Row],[_Row]])="",TRUE()),"",INDEX(tsk_WBS,GanttView[[#This Row],[_Row]]))</f>
        <v/>
      </c>
      <c r="C170" s="105" t="str">
        <f aca="false">IF(IFERROR(INDEX(tsk_Name,GanttView[[#This Row],[_Row]])="",TRUE()),"",REPT("    ",INDEX(tsk_Level,GanttView[[#This Row],[_Row]])-1)&amp;INDEX(tsk_Name,GanttView[[#This Row],[_Row]]))</f>
        <v/>
      </c>
      <c r="D17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70" s="106" t="str">
        <f aca="false">IF(IFERROR(INDEX(tsk_Name,GanttView[[#This Row],[_Row]])="",TRUE()),"",INDEX(tsk_PlanStart,GanttView[[#This Row],[_Row]]))</f>
        <v/>
      </c>
      <c r="F170" s="106" t="str">
        <f aca="false">IF(IFERROR(INDEX(tsk_Name,GanttView[[#This Row],[_Row]])="",TRUE()),"",INDEX(tsk_PlanFinish,GanttView[[#This Row],[_Row]]))</f>
        <v/>
      </c>
      <c r="G170" s="106" t="str">
        <f aca="false">IF(IFERROR(INDEX(tsk_Name,GanttView[[#This Row],[_Row]])="",TRUE()),"",INDEX(tsk_FcStart,GanttView[[#This Row],[_Row]]))</f>
        <v/>
      </c>
      <c r="H170" s="106" t="str">
        <f aca="false">IF(IFERROR(INDEX(tsk_Name,GanttView[[#This Row],[_Row]])="",TRUE()),"",INDEX(tsk_FcFinish,GanttView[[#This Row],[_Row]]))</f>
        <v/>
      </c>
      <c r="I170" s="107" t="str">
        <f aca="false">IF(IFERROR(INDEX(tsk_Name,GanttView[[#This Row],[_Row]])="",TRUE()),"",INDEX(tsk_Progress,GanttView[[#This Row],[_Row]]))</f>
        <v/>
      </c>
      <c r="J170" s="105" t="str">
        <f aca="false">IF(IFERROR(INDEX(tsk_Name,GanttView[[#This Row],[_Row]])="",TRUE()),"",INDEX(tsk_Resource,GanttView[[#This Row],[_Row]])&amp;"")</f>
        <v/>
      </c>
      <c r="K170" s="108" t="str">
        <f aca="false">IF(IFERROR(INDEX(tsk_Name,GanttView[[#This Row],[_Row]])="",TRUE()),"",INDEX(tsk_Status,GanttView[[#This Row],[_Row]]))</f>
        <v/>
      </c>
      <c r="L170" s="109" t="n">
        <f aca="false">ROW()-ROW(GanttView[[#Headers],[ID]])</f>
        <v>165</v>
      </c>
      <c r="M170" s="110" t="b">
        <f aca="false">IF(IFERROR(INDEX(tsk_Name,GanttView[[#This Row],[_Row]])="",TRUE()),FALSE(),INDEX(tsk_IsSummary,GanttView[[#This Row],[_Row]]))</f>
        <v>0</v>
      </c>
      <c r="N170" s="110" t="b">
        <f aca="false">IF(IFERROR(INDEX(tsk_Name,GanttView[[#This Row],[_Row]])="",TRUE()),FALSE(),AND(INDEX(tsk_IsLeaf,GanttView[[#This Row],[_Row]])=1,N(INDEX(tsk_Duration,GanttView[[#This Row],[_Row]]))=0))</f>
        <v>0</v>
      </c>
      <c r="O17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7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7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70" s="111" t="n">
        <f aca="false">IF(GanttView[[#This Row],[_RemFrom]]=0,0,GanttView[[#This Row],[Forecast Finish]])</f>
        <v>0</v>
      </c>
      <c r="S170" s="110" t="b">
        <f aca="false">IF(IFERROR(INDEX(tsk_Name,GanttView[[#This Row],[_Row]])="",TRUE()),FALSE(),N(INDEX(tsk_Variance,GanttView[[#This Row],[_Row]]))&gt;0)</f>
        <v>0</v>
      </c>
      <c r="T170" s="111" t="n">
        <f aca="false">IF(IFERROR(INDEX(tsk_Name,GanttView[[#This Row],[_Row]])="",TRUE()),0,N(INDEX(tsk_Deadline,GanttView[[#This Row],[_Row]])))</f>
        <v>0</v>
      </c>
      <c r="U170" s="110" t="b">
        <f aca="false">IF(IFERROR(INDEX(tsk_Name,GanttView[[#This Row],[_Row]])="",TRUE()),FALSE(),INDEX(tsk_Critical,GanttView[[#This Row],[_Row]])="Yes")</f>
        <v>0</v>
      </c>
    </row>
    <row r="171" customFormat="false" ht="15" hidden="false" customHeight="false" outlineLevel="0" collapsed="false">
      <c r="A171" s="104" t="str">
        <f aca="false">IF(IFERROR(INDEX(tsk_Name,GanttView[[#This Row],[_Row]])="",TRUE()),"",INDEX(tsk_ID,GanttView[[#This Row],[_Row]]))</f>
        <v/>
      </c>
      <c r="B171" s="104" t="str">
        <f aca="false">IF(IFERROR(INDEX(tsk_Name,GanttView[[#This Row],[_Row]])="",TRUE()),"",INDEX(tsk_WBS,GanttView[[#This Row],[_Row]]))</f>
        <v/>
      </c>
      <c r="C171" s="105" t="str">
        <f aca="false">IF(IFERROR(INDEX(tsk_Name,GanttView[[#This Row],[_Row]])="",TRUE()),"",REPT("    ",INDEX(tsk_Level,GanttView[[#This Row],[_Row]])-1)&amp;INDEX(tsk_Name,GanttView[[#This Row],[_Row]]))</f>
        <v/>
      </c>
      <c r="D17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71" s="106" t="str">
        <f aca="false">IF(IFERROR(INDEX(tsk_Name,GanttView[[#This Row],[_Row]])="",TRUE()),"",INDEX(tsk_PlanStart,GanttView[[#This Row],[_Row]]))</f>
        <v/>
      </c>
      <c r="F171" s="106" t="str">
        <f aca="false">IF(IFERROR(INDEX(tsk_Name,GanttView[[#This Row],[_Row]])="",TRUE()),"",INDEX(tsk_PlanFinish,GanttView[[#This Row],[_Row]]))</f>
        <v/>
      </c>
      <c r="G171" s="106" t="str">
        <f aca="false">IF(IFERROR(INDEX(tsk_Name,GanttView[[#This Row],[_Row]])="",TRUE()),"",INDEX(tsk_FcStart,GanttView[[#This Row],[_Row]]))</f>
        <v/>
      </c>
      <c r="H171" s="106" t="str">
        <f aca="false">IF(IFERROR(INDEX(tsk_Name,GanttView[[#This Row],[_Row]])="",TRUE()),"",INDEX(tsk_FcFinish,GanttView[[#This Row],[_Row]]))</f>
        <v/>
      </c>
      <c r="I171" s="107" t="str">
        <f aca="false">IF(IFERROR(INDEX(tsk_Name,GanttView[[#This Row],[_Row]])="",TRUE()),"",INDEX(tsk_Progress,GanttView[[#This Row],[_Row]]))</f>
        <v/>
      </c>
      <c r="J171" s="105" t="str">
        <f aca="false">IF(IFERROR(INDEX(tsk_Name,GanttView[[#This Row],[_Row]])="",TRUE()),"",INDEX(tsk_Resource,GanttView[[#This Row],[_Row]])&amp;"")</f>
        <v/>
      </c>
      <c r="K171" s="108" t="str">
        <f aca="false">IF(IFERROR(INDEX(tsk_Name,GanttView[[#This Row],[_Row]])="",TRUE()),"",INDEX(tsk_Status,GanttView[[#This Row],[_Row]]))</f>
        <v/>
      </c>
      <c r="L171" s="109" t="n">
        <f aca="false">ROW()-ROW(GanttView[[#Headers],[ID]])</f>
        <v>166</v>
      </c>
      <c r="M171" s="110" t="b">
        <f aca="false">IF(IFERROR(INDEX(tsk_Name,GanttView[[#This Row],[_Row]])="",TRUE()),FALSE(),INDEX(tsk_IsSummary,GanttView[[#This Row],[_Row]]))</f>
        <v>0</v>
      </c>
      <c r="N171" s="110" t="b">
        <f aca="false">IF(IFERROR(INDEX(tsk_Name,GanttView[[#This Row],[_Row]])="",TRUE()),FALSE(),AND(INDEX(tsk_IsLeaf,GanttView[[#This Row],[_Row]])=1,N(INDEX(tsk_Duration,GanttView[[#This Row],[_Row]]))=0))</f>
        <v>0</v>
      </c>
      <c r="O17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7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7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71" s="111" t="n">
        <f aca="false">IF(GanttView[[#This Row],[_RemFrom]]=0,0,GanttView[[#This Row],[Forecast Finish]])</f>
        <v>0</v>
      </c>
      <c r="S171" s="110" t="b">
        <f aca="false">IF(IFERROR(INDEX(tsk_Name,GanttView[[#This Row],[_Row]])="",TRUE()),FALSE(),N(INDEX(tsk_Variance,GanttView[[#This Row],[_Row]]))&gt;0)</f>
        <v>0</v>
      </c>
      <c r="T171" s="111" t="n">
        <f aca="false">IF(IFERROR(INDEX(tsk_Name,GanttView[[#This Row],[_Row]])="",TRUE()),0,N(INDEX(tsk_Deadline,GanttView[[#This Row],[_Row]])))</f>
        <v>0</v>
      </c>
      <c r="U171" s="110" t="b">
        <f aca="false">IF(IFERROR(INDEX(tsk_Name,GanttView[[#This Row],[_Row]])="",TRUE()),FALSE(),INDEX(tsk_Critical,GanttView[[#This Row],[_Row]])="Yes")</f>
        <v>0</v>
      </c>
    </row>
    <row r="172" customFormat="false" ht="15" hidden="false" customHeight="false" outlineLevel="0" collapsed="false">
      <c r="A172" s="104" t="str">
        <f aca="false">IF(IFERROR(INDEX(tsk_Name,GanttView[[#This Row],[_Row]])="",TRUE()),"",INDEX(tsk_ID,GanttView[[#This Row],[_Row]]))</f>
        <v/>
      </c>
      <c r="B172" s="104" t="str">
        <f aca="false">IF(IFERROR(INDEX(tsk_Name,GanttView[[#This Row],[_Row]])="",TRUE()),"",INDEX(tsk_WBS,GanttView[[#This Row],[_Row]]))</f>
        <v/>
      </c>
      <c r="C172" s="105" t="str">
        <f aca="false">IF(IFERROR(INDEX(tsk_Name,GanttView[[#This Row],[_Row]])="",TRUE()),"",REPT("    ",INDEX(tsk_Level,GanttView[[#This Row],[_Row]])-1)&amp;INDEX(tsk_Name,GanttView[[#This Row],[_Row]]))</f>
        <v/>
      </c>
      <c r="D17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72" s="106" t="str">
        <f aca="false">IF(IFERROR(INDEX(tsk_Name,GanttView[[#This Row],[_Row]])="",TRUE()),"",INDEX(tsk_PlanStart,GanttView[[#This Row],[_Row]]))</f>
        <v/>
      </c>
      <c r="F172" s="106" t="str">
        <f aca="false">IF(IFERROR(INDEX(tsk_Name,GanttView[[#This Row],[_Row]])="",TRUE()),"",INDEX(tsk_PlanFinish,GanttView[[#This Row],[_Row]]))</f>
        <v/>
      </c>
      <c r="G172" s="106" t="str">
        <f aca="false">IF(IFERROR(INDEX(tsk_Name,GanttView[[#This Row],[_Row]])="",TRUE()),"",INDEX(tsk_FcStart,GanttView[[#This Row],[_Row]]))</f>
        <v/>
      </c>
      <c r="H172" s="106" t="str">
        <f aca="false">IF(IFERROR(INDEX(tsk_Name,GanttView[[#This Row],[_Row]])="",TRUE()),"",INDEX(tsk_FcFinish,GanttView[[#This Row],[_Row]]))</f>
        <v/>
      </c>
      <c r="I172" s="107" t="str">
        <f aca="false">IF(IFERROR(INDEX(tsk_Name,GanttView[[#This Row],[_Row]])="",TRUE()),"",INDEX(tsk_Progress,GanttView[[#This Row],[_Row]]))</f>
        <v/>
      </c>
      <c r="J172" s="105" t="str">
        <f aca="false">IF(IFERROR(INDEX(tsk_Name,GanttView[[#This Row],[_Row]])="",TRUE()),"",INDEX(tsk_Resource,GanttView[[#This Row],[_Row]])&amp;"")</f>
        <v/>
      </c>
      <c r="K172" s="108" t="str">
        <f aca="false">IF(IFERROR(INDEX(tsk_Name,GanttView[[#This Row],[_Row]])="",TRUE()),"",INDEX(tsk_Status,GanttView[[#This Row],[_Row]]))</f>
        <v/>
      </c>
      <c r="L172" s="109" t="n">
        <f aca="false">ROW()-ROW(GanttView[[#Headers],[ID]])</f>
        <v>167</v>
      </c>
      <c r="M172" s="110" t="b">
        <f aca="false">IF(IFERROR(INDEX(tsk_Name,GanttView[[#This Row],[_Row]])="",TRUE()),FALSE(),INDEX(tsk_IsSummary,GanttView[[#This Row],[_Row]]))</f>
        <v>0</v>
      </c>
      <c r="N172" s="110" t="b">
        <f aca="false">IF(IFERROR(INDEX(tsk_Name,GanttView[[#This Row],[_Row]])="",TRUE()),FALSE(),AND(INDEX(tsk_IsLeaf,GanttView[[#This Row],[_Row]])=1,N(INDEX(tsk_Duration,GanttView[[#This Row],[_Row]]))=0))</f>
        <v>0</v>
      </c>
      <c r="O17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7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7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72" s="111" t="n">
        <f aca="false">IF(GanttView[[#This Row],[_RemFrom]]=0,0,GanttView[[#This Row],[Forecast Finish]])</f>
        <v>0</v>
      </c>
      <c r="S172" s="110" t="b">
        <f aca="false">IF(IFERROR(INDEX(tsk_Name,GanttView[[#This Row],[_Row]])="",TRUE()),FALSE(),N(INDEX(tsk_Variance,GanttView[[#This Row],[_Row]]))&gt;0)</f>
        <v>0</v>
      </c>
      <c r="T172" s="111" t="n">
        <f aca="false">IF(IFERROR(INDEX(tsk_Name,GanttView[[#This Row],[_Row]])="",TRUE()),0,N(INDEX(tsk_Deadline,GanttView[[#This Row],[_Row]])))</f>
        <v>0</v>
      </c>
      <c r="U172" s="110" t="b">
        <f aca="false">IF(IFERROR(INDEX(tsk_Name,GanttView[[#This Row],[_Row]])="",TRUE()),FALSE(),INDEX(tsk_Critical,GanttView[[#This Row],[_Row]])="Yes")</f>
        <v>0</v>
      </c>
    </row>
    <row r="173" customFormat="false" ht="15" hidden="false" customHeight="false" outlineLevel="0" collapsed="false">
      <c r="A173" s="104" t="str">
        <f aca="false">IF(IFERROR(INDEX(tsk_Name,GanttView[[#This Row],[_Row]])="",TRUE()),"",INDEX(tsk_ID,GanttView[[#This Row],[_Row]]))</f>
        <v/>
      </c>
      <c r="B173" s="104" t="str">
        <f aca="false">IF(IFERROR(INDEX(tsk_Name,GanttView[[#This Row],[_Row]])="",TRUE()),"",INDEX(tsk_WBS,GanttView[[#This Row],[_Row]]))</f>
        <v/>
      </c>
      <c r="C173" s="105" t="str">
        <f aca="false">IF(IFERROR(INDEX(tsk_Name,GanttView[[#This Row],[_Row]])="",TRUE()),"",REPT("    ",INDEX(tsk_Level,GanttView[[#This Row],[_Row]])-1)&amp;INDEX(tsk_Name,GanttView[[#This Row],[_Row]]))</f>
        <v/>
      </c>
      <c r="D17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73" s="106" t="str">
        <f aca="false">IF(IFERROR(INDEX(tsk_Name,GanttView[[#This Row],[_Row]])="",TRUE()),"",INDEX(tsk_PlanStart,GanttView[[#This Row],[_Row]]))</f>
        <v/>
      </c>
      <c r="F173" s="106" t="str">
        <f aca="false">IF(IFERROR(INDEX(tsk_Name,GanttView[[#This Row],[_Row]])="",TRUE()),"",INDEX(tsk_PlanFinish,GanttView[[#This Row],[_Row]]))</f>
        <v/>
      </c>
      <c r="G173" s="106" t="str">
        <f aca="false">IF(IFERROR(INDEX(tsk_Name,GanttView[[#This Row],[_Row]])="",TRUE()),"",INDEX(tsk_FcStart,GanttView[[#This Row],[_Row]]))</f>
        <v/>
      </c>
      <c r="H173" s="106" t="str">
        <f aca="false">IF(IFERROR(INDEX(tsk_Name,GanttView[[#This Row],[_Row]])="",TRUE()),"",INDEX(tsk_FcFinish,GanttView[[#This Row],[_Row]]))</f>
        <v/>
      </c>
      <c r="I173" s="107" t="str">
        <f aca="false">IF(IFERROR(INDEX(tsk_Name,GanttView[[#This Row],[_Row]])="",TRUE()),"",INDEX(tsk_Progress,GanttView[[#This Row],[_Row]]))</f>
        <v/>
      </c>
      <c r="J173" s="105" t="str">
        <f aca="false">IF(IFERROR(INDEX(tsk_Name,GanttView[[#This Row],[_Row]])="",TRUE()),"",INDEX(tsk_Resource,GanttView[[#This Row],[_Row]])&amp;"")</f>
        <v/>
      </c>
      <c r="K173" s="108" t="str">
        <f aca="false">IF(IFERROR(INDEX(tsk_Name,GanttView[[#This Row],[_Row]])="",TRUE()),"",INDEX(tsk_Status,GanttView[[#This Row],[_Row]]))</f>
        <v/>
      </c>
      <c r="L173" s="109" t="n">
        <f aca="false">ROW()-ROW(GanttView[[#Headers],[ID]])</f>
        <v>168</v>
      </c>
      <c r="M173" s="110" t="b">
        <f aca="false">IF(IFERROR(INDEX(tsk_Name,GanttView[[#This Row],[_Row]])="",TRUE()),FALSE(),INDEX(tsk_IsSummary,GanttView[[#This Row],[_Row]]))</f>
        <v>0</v>
      </c>
      <c r="N173" s="110" t="b">
        <f aca="false">IF(IFERROR(INDEX(tsk_Name,GanttView[[#This Row],[_Row]])="",TRUE()),FALSE(),AND(INDEX(tsk_IsLeaf,GanttView[[#This Row],[_Row]])=1,N(INDEX(tsk_Duration,GanttView[[#This Row],[_Row]]))=0))</f>
        <v>0</v>
      </c>
      <c r="O17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7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7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73" s="111" t="n">
        <f aca="false">IF(GanttView[[#This Row],[_RemFrom]]=0,0,GanttView[[#This Row],[Forecast Finish]])</f>
        <v>0</v>
      </c>
      <c r="S173" s="110" t="b">
        <f aca="false">IF(IFERROR(INDEX(tsk_Name,GanttView[[#This Row],[_Row]])="",TRUE()),FALSE(),N(INDEX(tsk_Variance,GanttView[[#This Row],[_Row]]))&gt;0)</f>
        <v>0</v>
      </c>
      <c r="T173" s="111" t="n">
        <f aca="false">IF(IFERROR(INDEX(tsk_Name,GanttView[[#This Row],[_Row]])="",TRUE()),0,N(INDEX(tsk_Deadline,GanttView[[#This Row],[_Row]])))</f>
        <v>0</v>
      </c>
      <c r="U173" s="110" t="b">
        <f aca="false">IF(IFERROR(INDEX(tsk_Name,GanttView[[#This Row],[_Row]])="",TRUE()),FALSE(),INDEX(tsk_Critical,GanttView[[#This Row],[_Row]])="Yes")</f>
        <v>0</v>
      </c>
    </row>
    <row r="174" customFormat="false" ht="15" hidden="false" customHeight="false" outlineLevel="0" collapsed="false">
      <c r="A174" s="104" t="str">
        <f aca="false">IF(IFERROR(INDEX(tsk_Name,GanttView[[#This Row],[_Row]])="",TRUE()),"",INDEX(tsk_ID,GanttView[[#This Row],[_Row]]))</f>
        <v/>
      </c>
      <c r="B174" s="104" t="str">
        <f aca="false">IF(IFERROR(INDEX(tsk_Name,GanttView[[#This Row],[_Row]])="",TRUE()),"",INDEX(tsk_WBS,GanttView[[#This Row],[_Row]]))</f>
        <v/>
      </c>
      <c r="C174" s="105" t="str">
        <f aca="false">IF(IFERROR(INDEX(tsk_Name,GanttView[[#This Row],[_Row]])="",TRUE()),"",REPT("    ",INDEX(tsk_Level,GanttView[[#This Row],[_Row]])-1)&amp;INDEX(tsk_Name,GanttView[[#This Row],[_Row]]))</f>
        <v/>
      </c>
      <c r="D17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74" s="106" t="str">
        <f aca="false">IF(IFERROR(INDEX(tsk_Name,GanttView[[#This Row],[_Row]])="",TRUE()),"",INDEX(tsk_PlanStart,GanttView[[#This Row],[_Row]]))</f>
        <v/>
      </c>
      <c r="F174" s="106" t="str">
        <f aca="false">IF(IFERROR(INDEX(tsk_Name,GanttView[[#This Row],[_Row]])="",TRUE()),"",INDEX(tsk_PlanFinish,GanttView[[#This Row],[_Row]]))</f>
        <v/>
      </c>
      <c r="G174" s="106" t="str">
        <f aca="false">IF(IFERROR(INDEX(tsk_Name,GanttView[[#This Row],[_Row]])="",TRUE()),"",INDEX(tsk_FcStart,GanttView[[#This Row],[_Row]]))</f>
        <v/>
      </c>
      <c r="H174" s="106" t="str">
        <f aca="false">IF(IFERROR(INDEX(tsk_Name,GanttView[[#This Row],[_Row]])="",TRUE()),"",INDEX(tsk_FcFinish,GanttView[[#This Row],[_Row]]))</f>
        <v/>
      </c>
      <c r="I174" s="107" t="str">
        <f aca="false">IF(IFERROR(INDEX(tsk_Name,GanttView[[#This Row],[_Row]])="",TRUE()),"",INDEX(tsk_Progress,GanttView[[#This Row],[_Row]]))</f>
        <v/>
      </c>
      <c r="J174" s="105" t="str">
        <f aca="false">IF(IFERROR(INDEX(tsk_Name,GanttView[[#This Row],[_Row]])="",TRUE()),"",INDEX(tsk_Resource,GanttView[[#This Row],[_Row]])&amp;"")</f>
        <v/>
      </c>
      <c r="K174" s="108" t="str">
        <f aca="false">IF(IFERROR(INDEX(tsk_Name,GanttView[[#This Row],[_Row]])="",TRUE()),"",INDEX(tsk_Status,GanttView[[#This Row],[_Row]]))</f>
        <v/>
      </c>
      <c r="L174" s="109" t="n">
        <f aca="false">ROW()-ROW(GanttView[[#Headers],[ID]])</f>
        <v>169</v>
      </c>
      <c r="M174" s="110" t="b">
        <f aca="false">IF(IFERROR(INDEX(tsk_Name,GanttView[[#This Row],[_Row]])="",TRUE()),FALSE(),INDEX(tsk_IsSummary,GanttView[[#This Row],[_Row]]))</f>
        <v>0</v>
      </c>
      <c r="N174" s="110" t="b">
        <f aca="false">IF(IFERROR(INDEX(tsk_Name,GanttView[[#This Row],[_Row]])="",TRUE()),FALSE(),AND(INDEX(tsk_IsLeaf,GanttView[[#This Row],[_Row]])=1,N(INDEX(tsk_Duration,GanttView[[#This Row],[_Row]]))=0))</f>
        <v>0</v>
      </c>
      <c r="O17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7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7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74" s="111" t="n">
        <f aca="false">IF(GanttView[[#This Row],[_RemFrom]]=0,0,GanttView[[#This Row],[Forecast Finish]])</f>
        <v>0</v>
      </c>
      <c r="S174" s="110" t="b">
        <f aca="false">IF(IFERROR(INDEX(tsk_Name,GanttView[[#This Row],[_Row]])="",TRUE()),FALSE(),N(INDEX(tsk_Variance,GanttView[[#This Row],[_Row]]))&gt;0)</f>
        <v>0</v>
      </c>
      <c r="T174" s="111" t="n">
        <f aca="false">IF(IFERROR(INDEX(tsk_Name,GanttView[[#This Row],[_Row]])="",TRUE()),0,N(INDEX(tsk_Deadline,GanttView[[#This Row],[_Row]])))</f>
        <v>0</v>
      </c>
      <c r="U174" s="110" t="b">
        <f aca="false">IF(IFERROR(INDEX(tsk_Name,GanttView[[#This Row],[_Row]])="",TRUE()),FALSE(),INDEX(tsk_Critical,GanttView[[#This Row],[_Row]])="Yes")</f>
        <v>0</v>
      </c>
    </row>
    <row r="175" customFormat="false" ht="15" hidden="false" customHeight="false" outlineLevel="0" collapsed="false">
      <c r="A175" s="104" t="str">
        <f aca="false">IF(IFERROR(INDEX(tsk_Name,GanttView[[#This Row],[_Row]])="",TRUE()),"",INDEX(tsk_ID,GanttView[[#This Row],[_Row]]))</f>
        <v/>
      </c>
      <c r="B175" s="104" t="str">
        <f aca="false">IF(IFERROR(INDEX(tsk_Name,GanttView[[#This Row],[_Row]])="",TRUE()),"",INDEX(tsk_WBS,GanttView[[#This Row],[_Row]]))</f>
        <v/>
      </c>
      <c r="C175" s="105" t="str">
        <f aca="false">IF(IFERROR(INDEX(tsk_Name,GanttView[[#This Row],[_Row]])="",TRUE()),"",REPT("    ",INDEX(tsk_Level,GanttView[[#This Row],[_Row]])-1)&amp;INDEX(tsk_Name,GanttView[[#This Row],[_Row]]))</f>
        <v/>
      </c>
      <c r="D17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75" s="106" t="str">
        <f aca="false">IF(IFERROR(INDEX(tsk_Name,GanttView[[#This Row],[_Row]])="",TRUE()),"",INDEX(tsk_PlanStart,GanttView[[#This Row],[_Row]]))</f>
        <v/>
      </c>
      <c r="F175" s="106" t="str">
        <f aca="false">IF(IFERROR(INDEX(tsk_Name,GanttView[[#This Row],[_Row]])="",TRUE()),"",INDEX(tsk_PlanFinish,GanttView[[#This Row],[_Row]]))</f>
        <v/>
      </c>
      <c r="G175" s="106" t="str">
        <f aca="false">IF(IFERROR(INDEX(tsk_Name,GanttView[[#This Row],[_Row]])="",TRUE()),"",INDEX(tsk_FcStart,GanttView[[#This Row],[_Row]]))</f>
        <v/>
      </c>
      <c r="H175" s="106" t="str">
        <f aca="false">IF(IFERROR(INDEX(tsk_Name,GanttView[[#This Row],[_Row]])="",TRUE()),"",INDEX(tsk_FcFinish,GanttView[[#This Row],[_Row]]))</f>
        <v/>
      </c>
      <c r="I175" s="107" t="str">
        <f aca="false">IF(IFERROR(INDEX(tsk_Name,GanttView[[#This Row],[_Row]])="",TRUE()),"",INDEX(tsk_Progress,GanttView[[#This Row],[_Row]]))</f>
        <v/>
      </c>
      <c r="J175" s="105" t="str">
        <f aca="false">IF(IFERROR(INDEX(tsk_Name,GanttView[[#This Row],[_Row]])="",TRUE()),"",INDEX(tsk_Resource,GanttView[[#This Row],[_Row]])&amp;"")</f>
        <v/>
      </c>
      <c r="K175" s="108" t="str">
        <f aca="false">IF(IFERROR(INDEX(tsk_Name,GanttView[[#This Row],[_Row]])="",TRUE()),"",INDEX(tsk_Status,GanttView[[#This Row],[_Row]]))</f>
        <v/>
      </c>
      <c r="L175" s="109" t="n">
        <f aca="false">ROW()-ROW(GanttView[[#Headers],[ID]])</f>
        <v>170</v>
      </c>
      <c r="M175" s="110" t="b">
        <f aca="false">IF(IFERROR(INDEX(tsk_Name,GanttView[[#This Row],[_Row]])="",TRUE()),FALSE(),INDEX(tsk_IsSummary,GanttView[[#This Row],[_Row]]))</f>
        <v>0</v>
      </c>
      <c r="N175" s="110" t="b">
        <f aca="false">IF(IFERROR(INDEX(tsk_Name,GanttView[[#This Row],[_Row]])="",TRUE()),FALSE(),AND(INDEX(tsk_IsLeaf,GanttView[[#This Row],[_Row]])=1,N(INDEX(tsk_Duration,GanttView[[#This Row],[_Row]]))=0))</f>
        <v>0</v>
      </c>
      <c r="O17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7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7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75" s="111" t="n">
        <f aca="false">IF(GanttView[[#This Row],[_RemFrom]]=0,0,GanttView[[#This Row],[Forecast Finish]])</f>
        <v>0</v>
      </c>
      <c r="S175" s="110" t="b">
        <f aca="false">IF(IFERROR(INDEX(tsk_Name,GanttView[[#This Row],[_Row]])="",TRUE()),FALSE(),N(INDEX(tsk_Variance,GanttView[[#This Row],[_Row]]))&gt;0)</f>
        <v>0</v>
      </c>
      <c r="T175" s="111" t="n">
        <f aca="false">IF(IFERROR(INDEX(tsk_Name,GanttView[[#This Row],[_Row]])="",TRUE()),0,N(INDEX(tsk_Deadline,GanttView[[#This Row],[_Row]])))</f>
        <v>0</v>
      </c>
      <c r="U175" s="110" t="b">
        <f aca="false">IF(IFERROR(INDEX(tsk_Name,GanttView[[#This Row],[_Row]])="",TRUE()),FALSE(),INDEX(tsk_Critical,GanttView[[#This Row],[_Row]])="Yes")</f>
        <v>0</v>
      </c>
    </row>
    <row r="176" customFormat="false" ht="15" hidden="false" customHeight="false" outlineLevel="0" collapsed="false">
      <c r="A176" s="104" t="str">
        <f aca="false">IF(IFERROR(INDEX(tsk_Name,GanttView[[#This Row],[_Row]])="",TRUE()),"",INDEX(tsk_ID,GanttView[[#This Row],[_Row]]))</f>
        <v/>
      </c>
      <c r="B176" s="104" t="str">
        <f aca="false">IF(IFERROR(INDEX(tsk_Name,GanttView[[#This Row],[_Row]])="",TRUE()),"",INDEX(tsk_WBS,GanttView[[#This Row],[_Row]]))</f>
        <v/>
      </c>
      <c r="C176" s="105" t="str">
        <f aca="false">IF(IFERROR(INDEX(tsk_Name,GanttView[[#This Row],[_Row]])="",TRUE()),"",REPT("    ",INDEX(tsk_Level,GanttView[[#This Row],[_Row]])-1)&amp;INDEX(tsk_Name,GanttView[[#This Row],[_Row]]))</f>
        <v/>
      </c>
      <c r="D17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76" s="106" t="str">
        <f aca="false">IF(IFERROR(INDEX(tsk_Name,GanttView[[#This Row],[_Row]])="",TRUE()),"",INDEX(tsk_PlanStart,GanttView[[#This Row],[_Row]]))</f>
        <v/>
      </c>
      <c r="F176" s="106" t="str">
        <f aca="false">IF(IFERROR(INDEX(tsk_Name,GanttView[[#This Row],[_Row]])="",TRUE()),"",INDEX(tsk_PlanFinish,GanttView[[#This Row],[_Row]]))</f>
        <v/>
      </c>
      <c r="G176" s="106" t="str">
        <f aca="false">IF(IFERROR(INDEX(tsk_Name,GanttView[[#This Row],[_Row]])="",TRUE()),"",INDEX(tsk_FcStart,GanttView[[#This Row],[_Row]]))</f>
        <v/>
      </c>
      <c r="H176" s="106" t="str">
        <f aca="false">IF(IFERROR(INDEX(tsk_Name,GanttView[[#This Row],[_Row]])="",TRUE()),"",INDEX(tsk_FcFinish,GanttView[[#This Row],[_Row]]))</f>
        <v/>
      </c>
      <c r="I176" s="107" t="str">
        <f aca="false">IF(IFERROR(INDEX(tsk_Name,GanttView[[#This Row],[_Row]])="",TRUE()),"",INDEX(tsk_Progress,GanttView[[#This Row],[_Row]]))</f>
        <v/>
      </c>
      <c r="J176" s="105" t="str">
        <f aca="false">IF(IFERROR(INDEX(tsk_Name,GanttView[[#This Row],[_Row]])="",TRUE()),"",INDEX(tsk_Resource,GanttView[[#This Row],[_Row]])&amp;"")</f>
        <v/>
      </c>
      <c r="K176" s="108" t="str">
        <f aca="false">IF(IFERROR(INDEX(tsk_Name,GanttView[[#This Row],[_Row]])="",TRUE()),"",INDEX(tsk_Status,GanttView[[#This Row],[_Row]]))</f>
        <v/>
      </c>
      <c r="L176" s="109" t="n">
        <f aca="false">ROW()-ROW(GanttView[[#Headers],[ID]])</f>
        <v>171</v>
      </c>
      <c r="M176" s="110" t="b">
        <f aca="false">IF(IFERROR(INDEX(tsk_Name,GanttView[[#This Row],[_Row]])="",TRUE()),FALSE(),INDEX(tsk_IsSummary,GanttView[[#This Row],[_Row]]))</f>
        <v>0</v>
      </c>
      <c r="N176" s="110" t="b">
        <f aca="false">IF(IFERROR(INDEX(tsk_Name,GanttView[[#This Row],[_Row]])="",TRUE()),FALSE(),AND(INDEX(tsk_IsLeaf,GanttView[[#This Row],[_Row]])=1,N(INDEX(tsk_Duration,GanttView[[#This Row],[_Row]]))=0))</f>
        <v>0</v>
      </c>
      <c r="O17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7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7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76" s="111" t="n">
        <f aca="false">IF(GanttView[[#This Row],[_RemFrom]]=0,0,GanttView[[#This Row],[Forecast Finish]])</f>
        <v>0</v>
      </c>
      <c r="S176" s="110" t="b">
        <f aca="false">IF(IFERROR(INDEX(tsk_Name,GanttView[[#This Row],[_Row]])="",TRUE()),FALSE(),N(INDEX(tsk_Variance,GanttView[[#This Row],[_Row]]))&gt;0)</f>
        <v>0</v>
      </c>
      <c r="T176" s="111" t="n">
        <f aca="false">IF(IFERROR(INDEX(tsk_Name,GanttView[[#This Row],[_Row]])="",TRUE()),0,N(INDEX(tsk_Deadline,GanttView[[#This Row],[_Row]])))</f>
        <v>0</v>
      </c>
      <c r="U176" s="110" t="b">
        <f aca="false">IF(IFERROR(INDEX(tsk_Name,GanttView[[#This Row],[_Row]])="",TRUE()),FALSE(),INDEX(tsk_Critical,GanttView[[#This Row],[_Row]])="Yes")</f>
        <v>0</v>
      </c>
    </row>
    <row r="177" customFormat="false" ht="15" hidden="false" customHeight="false" outlineLevel="0" collapsed="false">
      <c r="A177" s="104" t="str">
        <f aca="false">IF(IFERROR(INDEX(tsk_Name,GanttView[[#This Row],[_Row]])="",TRUE()),"",INDEX(tsk_ID,GanttView[[#This Row],[_Row]]))</f>
        <v/>
      </c>
      <c r="B177" s="104" t="str">
        <f aca="false">IF(IFERROR(INDEX(tsk_Name,GanttView[[#This Row],[_Row]])="",TRUE()),"",INDEX(tsk_WBS,GanttView[[#This Row],[_Row]]))</f>
        <v/>
      </c>
      <c r="C177" s="105" t="str">
        <f aca="false">IF(IFERROR(INDEX(tsk_Name,GanttView[[#This Row],[_Row]])="",TRUE()),"",REPT("    ",INDEX(tsk_Level,GanttView[[#This Row],[_Row]])-1)&amp;INDEX(tsk_Name,GanttView[[#This Row],[_Row]]))</f>
        <v/>
      </c>
      <c r="D17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77" s="106" t="str">
        <f aca="false">IF(IFERROR(INDEX(tsk_Name,GanttView[[#This Row],[_Row]])="",TRUE()),"",INDEX(tsk_PlanStart,GanttView[[#This Row],[_Row]]))</f>
        <v/>
      </c>
      <c r="F177" s="106" t="str">
        <f aca="false">IF(IFERROR(INDEX(tsk_Name,GanttView[[#This Row],[_Row]])="",TRUE()),"",INDEX(tsk_PlanFinish,GanttView[[#This Row],[_Row]]))</f>
        <v/>
      </c>
      <c r="G177" s="106" t="str">
        <f aca="false">IF(IFERROR(INDEX(tsk_Name,GanttView[[#This Row],[_Row]])="",TRUE()),"",INDEX(tsk_FcStart,GanttView[[#This Row],[_Row]]))</f>
        <v/>
      </c>
      <c r="H177" s="106" t="str">
        <f aca="false">IF(IFERROR(INDEX(tsk_Name,GanttView[[#This Row],[_Row]])="",TRUE()),"",INDEX(tsk_FcFinish,GanttView[[#This Row],[_Row]]))</f>
        <v/>
      </c>
      <c r="I177" s="107" t="str">
        <f aca="false">IF(IFERROR(INDEX(tsk_Name,GanttView[[#This Row],[_Row]])="",TRUE()),"",INDEX(tsk_Progress,GanttView[[#This Row],[_Row]]))</f>
        <v/>
      </c>
      <c r="J177" s="105" t="str">
        <f aca="false">IF(IFERROR(INDEX(tsk_Name,GanttView[[#This Row],[_Row]])="",TRUE()),"",INDEX(tsk_Resource,GanttView[[#This Row],[_Row]])&amp;"")</f>
        <v/>
      </c>
      <c r="K177" s="108" t="str">
        <f aca="false">IF(IFERROR(INDEX(tsk_Name,GanttView[[#This Row],[_Row]])="",TRUE()),"",INDEX(tsk_Status,GanttView[[#This Row],[_Row]]))</f>
        <v/>
      </c>
      <c r="L177" s="109" t="n">
        <f aca="false">ROW()-ROW(GanttView[[#Headers],[ID]])</f>
        <v>172</v>
      </c>
      <c r="M177" s="110" t="b">
        <f aca="false">IF(IFERROR(INDEX(tsk_Name,GanttView[[#This Row],[_Row]])="",TRUE()),FALSE(),INDEX(tsk_IsSummary,GanttView[[#This Row],[_Row]]))</f>
        <v>0</v>
      </c>
      <c r="N177" s="110" t="b">
        <f aca="false">IF(IFERROR(INDEX(tsk_Name,GanttView[[#This Row],[_Row]])="",TRUE()),FALSE(),AND(INDEX(tsk_IsLeaf,GanttView[[#This Row],[_Row]])=1,N(INDEX(tsk_Duration,GanttView[[#This Row],[_Row]]))=0))</f>
        <v>0</v>
      </c>
      <c r="O17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7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7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77" s="111" t="n">
        <f aca="false">IF(GanttView[[#This Row],[_RemFrom]]=0,0,GanttView[[#This Row],[Forecast Finish]])</f>
        <v>0</v>
      </c>
      <c r="S177" s="110" t="b">
        <f aca="false">IF(IFERROR(INDEX(tsk_Name,GanttView[[#This Row],[_Row]])="",TRUE()),FALSE(),N(INDEX(tsk_Variance,GanttView[[#This Row],[_Row]]))&gt;0)</f>
        <v>0</v>
      </c>
      <c r="T177" s="111" t="n">
        <f aca="false">IF(IFERROR(INDEX(tsk_Name,GanttView[[#This Row],[_Row]])="",TRUE()),0,N(INDEX(tsk_Deadline,GanttView[[#This Row],[_Row]])))</f>
        <v>0</v>
      </c>
      <c r="U177" s="110" t="b">
        <f aca="false">IF(IFERROR(INDEX(tsk_Name,GanttView[[#This Row],[_Row]])="",TRUE()),FALSE(),INDEX(tsk_Critical,GanttView[[#This Row],[_Row]])="Yes")</f>
        <v>0</v>
      </c>
    </row>
    <row r="178" customFormat="false" ht="15" hidden="false" customHeight="false" outlineLevel="0" collapsed="false">
      <c r="A178" s="104" t="str">
        <f aca="false">IF(IFERROR(INDEX(tsk_Name,GanttView[[#This Row],[_Row]])="",TRUE()),"",INDEX(tsk_ID,GanttView[[#This Row],[_Row]]))</f>
        <v/>
      </c>
      <c r="B178" s="104" t="str">
        <f aca="false">IF(IFERROR(INDEX(tsk_Name,GanttView[[#This Row],[_Row]])="",TRUE()),"",INDEX(tsk_WBS,GanttView[[#This Row],[_Row]]))</f>
        <v/>
      </c>
      <c r="C178" s="105" t="str">
        <f aca="false">IF(IFERROR(INDEX(tsk_Name,GanttView[[#This Row],[_Row]])="",TRUE()),"",REPT("    ",INDEX(tsk_Level,GanttView[[#This Row],[_Row]])-1)&amp;INDEX(tsk_Name,GanttView[[#This Row],[_Row]]))</f>
        <v/>
      </c>
      <c r="D17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78" s="106" t="str">
        <f aca="false">IF(IFERROR(INDEX(tsk_Name,GanttView[[#This Row],[_Row]])="",TRUE()),"",INDEX(tsk_PlanStart,GanttView[[#This Row],[_Row]]))</f>
        <v/>
      </c>
      <c r="F178" s="106" t="str">
        <f aca="false">IF(IFERROR(INDEX(tsk_Name,GanttView[[#This Row],[_Row]])="",TRUE()),"",INDEX(tsk_PlanFinish,GanttView[[#This Row],[_Row]]))</f>
        <v/>
      </c>
      <c r="G178" s="106" t="str">
        <f aca="false">IF(IFERROR(INDEX(tsk_Name,GanttView[[#This Row],[_Row]])="",TRUE()),"",INDEX(tsk_FcStart,GanttView[[#This Row],[_Row]]))</f>
        <v/>
      </c>
      <c r="H178" s="106" t="str">
        <f aca="false">IF(IFERROR(INDEX(tsk_Name,GanttView[[#This Row],[_Row]])="",TRUE()),"",INDEX(tsk_FcFinish,GanttView[[#This Row],[_Row]]))</f>
        <v/>
      </c>
      <c r="I178" s="107" t="str">
        <f aca="false">IF(IFERROR(INDEX(tsk_Name,GanttView[[#This Row],[_Row]])="",TRUE()),"",INDEX(tsk_Progress,GanttView[[#This Row],[_Row]]))</f>
        <v/>
      </c>
      <c r="J178" s="105" t="str">
        <f aca="false">IF(IFERROR(INDEX(tsk_Name,GanttView[[#This Row],[_Row]])="",TRUE()),"",INDEX(tsk_Resource,GanttView[[#This Row],[_Row]])&amp;"")</f>
        <v/>
      </c>
      <c r="K178" s="108" t="str">
        <f aca="false">IF(IFERROR(INDEX(tsk_Name,GanttView[[#This Row],[_Row]])="",TRUE()),"",INDEX(tsk_Status,GanttView[[#This Row],[_Row]]))</f>
        <v/>
      </c>
      <c r="L178" s="109" t="n">
        <f aca="false">ROW()-ROW(GanttView[[#Headers],[ID]])</f>
        <v>173</v>
      </c>
      <c r="M178" s="110" t="b">
        <f aca="false">IF(IFERROR(INDEX(tsk_Name,GanttView[[#This Row],[_Row]])="",TRUE()),FALSE(),INDEX(tsk_IsSummary,GanttView[[#This Row],[_Row]]))</f>
        <v>0</v>
      </c>
      <c r="N178" s="110" t="b">
        <f aca="false">IF(IFERROR(INDEX(tsk_Name,GanttView[[#This Row],[_Row]])="",TRUE()),FALSE(),AND(INDEX(tsk_IsLeaf,GanttView[[#This Row],[_Row]])=1,N(INDEX(tsk_Duration,GanttView[[#This Row],[_Row]]))=0))</f>
        <v>0</v>
      </c>
      <c r="O17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7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7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78" s="111" t="n">
        <f aca="false">IF(GanttView[[#This Row],[_RemFrom]]=0,0,GanttView[[#This Row],[Forecast Finish]])</f>
        <v>0</v>
      </c>
      <c r="S178" s="110" t="b">
        <f aca="false">IF(IFERROR(INDEX(tsk_Name,GanttView[[#This Row],[_Row]])="",TRUE()),FALSE(),N(INDEX(tsk_Variance,GanttView[[#This Row],[_Row]]))&gt;0)</f>
        <v>0</v>
      </c>
      <c r="T178" s="111" t="n">
        <f aca="false">IF(IFERROR(INDEX(tsk_Name,GanttView[[#This Row],[_Row]])="",TRUE()),0,N(INDEX(tsk_Deadline,GanttView[[#This Row],[_Row]])))</f>
        <v>0</v>
      </c>
      <c r="U178" s="110" t="b">
        <f aca="false">IF(IFERROR(INDEX(tsk_Name,GanttView[[#This Row],[_Row]])="",TRUE()),FALSE(),INDEX(tsk_Critical,GanttView[[#This Row],[_Row]])="Yes")</f>
        <v>0</v>
      </c>
    </row>
    <row r="179" customFormat="false" ht="15" hidden="false" customHeight="false" outlineLevel="0" collapsed="false">
      <c r="A179" s="104" t="str">
        <f aca="false">IF(IFERROR(INDEX(tsk_Name,GanttView[[#This Row],[_Row]])="",TRUE()),"",INDEX(tsk_ID,GanttView[[#This Row],[_Row]]))</f>
        <v/>
      </c>
      <c r="B179" s="104" t="str">
        <f aca="false">IF(IFERROR(INDEX(tsk_Name,GanttView[[#This Row],[_Row]])="",TRUE()),"",INDEX(tsk_WBS,GanttView[[#This Row],[_Row]]))</f>
        <v/>
      </c>
      <c r="C179" s="105" t="str">
        <f aca="false">IF(IFERROR(INDEX(tsk_Name,GanttView[[#This Row],[_Row]])="",TRUE()),"",REPT("    ",INDEX(tsk_Level,GanttView[[#This Row],[_Row]])-1)&amp;INDEX(tsk_Name,GanttView[[#This Row],[_Row]]))</f>
        <v/>
      </c>
      <c r="D17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79" s="106" t="str">
        <f aca="false">IF(IFERROR(INDEX(tsk_Name,GanttView[[#This Row],[_Row]])="",TRUE()),"",INDEX(tsk_PlanStart,GanttView[[#This Row],[_Row]]))</f>
        <v/>
      </c>
      <c r="F179" s="106" t="str">
        <f aca="false">IF(IFERROR(INDEX(tsk_Name,GanttView[[#This Row],[_Row]])="",TRUE()),"",INDEX(tsk_PlanFinish,GanttView[[#This Row],[_Row]]))</f>
        <v/>
      </c>
      <c r="G179" s="106" t="str">
        <f aca="false">IF(IFERROR(INDEX(tsk_Name,GanttView[[#This Row],[_Row]])="",TRUE()),"",INDEX(tsk_FcStart,GanttView[[#This Row],[_Row]]))</f>
        <v/>
      </c>
      <c r="H179" s="106" t="str">
        <f aca="false">IF(IFERROR(INDEX(tsk_Name,GanttView[[#This Row],[_Row]])="",TRUE()),"",INDEX(tsk_FcFinish,GanttView[[#This Row],[_Row]]))</f>
        <v/>
      </c>
      <c r="I179" s="107" t="str">
        <f aca="false">IF(IFERROR(INDEX(tsk_Name,GanttView[[#This Row],[_Row]])="",TRUE()),"",INDEX(tsk_Progress,GanttView[[#This Row],[_Row]]))</f>
        <v/>
      </c>
      <c r="J179" s="105" t="str">
        <f aca="false">IF(IFERROR(INDEX(tsk_Name,GanttView[[#This Row],[_Row]])="",TRUE()),"",INDEX(tsk_Resource,GanttView[[#This Row],[_Row]])&amp;"")</f>
        <v/>
      </c>
      <c r="K179" s="108" t="str">
        <f aca="false">IF(IFERROR(INDEX(tsk_Name,GanttView[[#This Row],[_Row]])="",TRUE()),"",INDEX(tsk_Status,GanttView[[#This Row],[_Row]]))</f>
        <v/>
      </c>
      <c r="L179" s="109" t="n">
        <f aca="false">ROW()-ROW(GanttView[[#Headers],[ID]])</f>
        <v>174</v>
      </c>
      <c r="M179" s="110" t="b">
        <f aca="false">IF(IFERROR(INDEX(tsk_Name,GanttView[[#This Row],[_Row]])="",TRUE()),FALSE(),INDEX(tsk_IsSummary,GanttView[[#This Row],[_Row]]))</f>
        <v>0</v>
      </c>
      <c r="N179" s="110" t="b">
        <f aca="false">IF(IFERROR(INDEX(tsk_Name,GanttView[[#This Row],[_Row]])="",TRUE()),FALSE(),AND(INDEX(tsk_IsLeaf,GanttView[[#This Row],[_Row]])=1,N(INDEX(tsk_Duration,GanttView[[#This Row],[_Row]]))=0))</f>
        <v>0</v>
      </c>
      <c r="O17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7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7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79" s="111" t="n">
        <f aca="false">IF(GanttView[[#This Row],[_RemFrom]]=0,0,GanttView[[#This Row],[Forecast Finish]])</f>
        <v>0</v>
      </c>
      <c r="S179" s="110" t="b">
        <f aca="false">IF(IFERROR(INDEX(tsk_Name,GanttView[[#This Row],[_Row]])="",TRUE()),FALSE(),N(INDEX(tsk_Variance,GanttView[[#This Row],[_Row]]))&gt;0)</f>
        <v>0</v>
      </c>
      <c r="T179" s="111" t="n">
        <f aca="false">IF(IFERROR(INDEX(tsk_Name,GanttView[[#This Row],[_Row]])="",TRUE()),0,N(INDEX(tsk_Deadline,GanttView[[#This Row],[_Row]])))</f>
        <v>0</v>
      </c>
      <c r="U179" s="110" t="b">
        <f aca="false">IF(IFERROR(INDEX(tsk_Name,GanttView[[#This Row],[_Row]])="",TRUE()),FALSE(),INDEX(tsk_Critical,GanttView[[#This Row],[_Row]])="Yes")</f>
        <v>0</v>
      </c>
    </row>
    <row r="180" customFormat="false" ht="15" hidden="false" customHeight="false" outlineLevel="0" collapsed="false">
      <c r="A180" s="104" t="str">
        <f aca="false">IF(IFERROR(INDEX(tsk_Name,GanttView[[#This Row],[_Row]])="",TRUE()),"",INDEX(tsk_ID,GanttView[[#This Row],[_Row]]))</f>
        <v/>
      </c>
      <c r="B180" s="104" t="str">
        <f aca="false">IF(IFERROR(INDEX(tsk_Name,GanttView[[#This Row],[_Row]])="",TRUE()),"",INDEX(tsk_WBS,GanttView[[#This Row],[_Row]]))</f>
        <v/>
      </c>
      <c r="C180" s="105" t="str">
        <f aca="false">IF(IFERROR(INDEX(tsk_Name,GanttView[[#This Row],[_Row]])="",TRUE()),"",REPT("    ",INDEX(tsk_Level,GanttView[[#This Row],[_Row]])-1)&amp;INDEX(tsk_Name,GanttView[[#This Row],[_Row]]))</f>
        <v/>
      </c>
      <c r="D18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80" s="106" t="str">
        <f aca="false">IF(IFERROR(INDEX(tsk_Name,GanttView[[#This Row],[_Row]])="",TRUE()),"",INDEX(tsk_PlanStart,GanttView[[#This Row],[_Row]]))</f>
        <v/>
      </c>
      <c r="F180" s="106" t="str">
        <f aca="false">IF(IFERROR(INDEX(tsk_Name,GanttView[[#This Row],[_Row]])="",TRUE()),"",INDEX(tsk_PlanFinish,GanttView[[#This Row],[_Row]]))</f>
        <v/>
      </c>
      <c r="G180" s="106" t="str">
        <f aca="false">IF(IFERROR(INDEX(tsk_Name,GanttView[[#This Row],[_Row]])="",TRUE()),"",INDEX(tsk_FcStart,GanttView[[#This Row],[_Row]]))</f>
        <v/>
      </c>
      <c r="H180" s="106" t="str">
        <f aca="false">IF(IFERROR(INDEX(tsk_Name,GanttView[[#This Row],[_Row]])="",TRUE()),"",INDEX(tsk_FcFinish,GanttView[[#This Row],[_Row]]))</f>
        <v/>
      </c>
      <c r="I180" s="107" t="str">
        <f aca="false">IF(IFERROR(INDEX(tsk_Name,GanttView[[#This Row],[_Row]])="",TRUE()),"",INDEX(tsk_Progress,GanttView[[#This Row],[_Row]]))</f>
        <v/>
      </c>
      <c r="J180" s="105" t="str">
        <f aca="false">IF(IFERROR(INDEX(tsk_Name,GanttView[[#This Row],[_Row]])="",TRUE()),"",INDEX(tsk_Resource,GanttView[[#This Row],[_Row]])&amp;"")</f>
        <v/>
      </c>
      <c r="K180" s="108" t="str">
        <f aca="false">IF(IFERROR(INDEX(tsk_Name,GanttView[[#This Row],[_Row]])="",TRUE()),"",INDEX(tsk_Status,GanttView[[#This Row],[_Row]]))</f>
        <v/>
      </c>
      <c r="L180" s="109" t="n">
        <f aca="false">ROW()-ROW(GanttView[[#Headers],[ID]])</f>
        <v>175</v>
      </c>
      <c r="M180" s="110" t="b">
        <f aca="false">IF(IFERROR(INDEX(tsk_Name,GanttView[[#This Row],[_Row]])="",TRUE()),FALSE(),INDEX(tsk_IsSummary,GanttView[[#This Row],[_Row]]))</f>
        <v>0</v>
      </c>
      <c r="N180" s="110" t="b">
        <f aca="false">IF(IFERROR(INDEX(tsk_Name,GanttView[[#This Row],[_Row]])="",TRUE()),FALSE(),AND(INDEX(tsk_IsLeaf,GanttView[[#This Row],[_Row]])=1,N(INDEX(tsk_Duration,GanttView[[#This Row],[_Row]]))=0))</f>
        <v>0</v>
      </c>
      <c r="O18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8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8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80" s="111" t="n">
        <f aca="false">IF(GanttView[[#This Row],[_RemFrom]]=0,0,GanttView[[#This Row],[Forecast Finish]])</f>
        <v>0</v>
      </c>
      <c r="S180" s="110" t="b">
        <f aca="false">IF(IFERROR(INDEX(tsk_Name,GanttView[[#This Row],[_Row]])="",TRUE()),FALSE(),N(INDEX(tsk_Variance,GanttView[[#This Row],[_Row]]))&gt;0)</f>
        <v>0</v>
      </c>
      <c r="T180" s="111" t="n">
        <f aca="false">IF(IFERROR(INDEX(tsk_Name,GanttView[[#This Row],[_Row]])="",TRUE()),0,N(INDEX(tsk_Deadline,GanttView[[#This Row],[_Row]])))</f>
        <v>0</v>
      </c>
      <c r="U180" s="110" t="b">
        <f aca="false">IF(IFERROR(INDEX(tsk_Name,GanttView[[#This Row],[_Row]])="",TRUE()),FALSE(),INDEX(tsk_Critical,GanttView[[#This Row],[_Row]])="Yes")</f>
        <v>0</v>
      </c>
    </row>
    <row r="181" customFormat="false" ht="15" hidden="false" customHeight="false" outlineLevel="0" collapsed="false">
      <c r="A181" s="104" t="str">
        <f aca="false">IF(IFERROR(INDEX(tsk_Name,GanttView[[#This Row],[_Row]])="",TRUE()),"",INDEX(tsk_ID,GanttView[[#This Row],[_Row]]))</f>
        <v/>
      </c>
      <c r="B181" s="104" t="str">
        <f aca="false">IF(IFERROR(INDEX(tsk_Name,GanttView[[#This Row],[_Row]])="",TRUE()),"",INDEX(tsk_WBS,GanttView[[#This Row],[_Row]]))</f>
        <v/>
      </c>
      <c r="C181" s="105" t="str">
        <f aca="false">IF(IFERROR(INDEX(tsk_Name,GanttView[[#This Row],[_Row]])="",TRUE()),"",REPT("    ",INDEX(tsk_Level,GanttView[[#This Row],[_Row]])-1)&amp;INDEX(tsk_Name,GanttView[[#This Row],[_Row]]))</f>
        <v/>
      </c>
      <c r="D18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81" s="106" t="str">
        <f aca="false">IF(IFERROR(INDEX(tsk_Name,GanttView[[#This Row],[_Row]])="",TRUE()),"",INDEX(tsk_PlanStart,GanttView[[#This Row],[_Row]]))</f>
        <v/>
      </c>
      <c r="F181" s="106" t="str">
        <f aca="false">IF(IFERROR(INDEX(tsk_Name,GanttView[[#This Row],[_Row]])="",TRUE()),"",INDEX(tsk_PlanFinish,GanttView[[#This Row],[_Row]]))</f>
        <v/>
      </c>
      <c r="G181" s="106" t="str">
        <f aca="false">IF(IFERROR(INDEX(tsk_Name,GanttView[[#This Row],[_Row]])="",TRUE()),"",INDEX(tsk_FcStart,GanttView[[#This Row],[_Row]]))</f>
        <v/>
      </c>
      <c r="H181" s="106" t="str">
        <f aca="false">IF(IFERROR(INDEX(tsk_Name,GanttView[[#This Row],[_Row]])="",TRUE()),"",INDEX(tsk_FcFinish,GanttView[[#This Row],[_Row]]))</f>
        <v/>
      </c>
      <c r="I181" s="107" t="str">
        <f aca="false">IF(IFERROR(INDEX(tsk_Name,GanttView[[#This Row],[_Row]])="",TRUE()),"",INDEX(tsk_Progress,GanttView[[#This Row],[_Row]]))</f>
        <v/>
      </c>
      <c r="J181" s="105" t="str">
        <f aca="false">IF(IFERROR(INDEX(tsk_Name,GanttView[[#This Row],[_Row]])="",TRUE()),"",INDEX(tsk_Resource,GanttView[[#This Row],[_Row]])&amp;"")</f>
        <v/>
      </c>
      <c r="K181" s="108" t="str">
        <f aca="false">IF(IFERROR(INDEX(tsk_Name,GanttView[[#This Row],[_Row]])="",TRUE()),"",INDEX(tsk_Status,GanttView[[#This Row],[_Row]]))</f>
        <v/>
      </c>
      <c r="L181" s="109" t="n">
        <f aca="false">ROW()-ROW(GanttView[[#Headers],[ID]])</f>
        <v>176</v>
      </c>
      <c r="M181" s="110" t="b">
        <f aca="false">IF(IFERROR(INDEX(tsk_Name,GanttView[[#This Row],[_Row]])="",TRUE()),FALSE(),INDEX(tsk_IsSummary,GanttView[[#This Row],[_Row]]))</f>
        <v>0</v>
      </c>
      <c r="N181" s="110" t="b">
        <f aca="false">IF(IFERROR(INDEX(tsk_Name,GanttView[[#This Row],[_Row]])="",TRUE()),FALSE(),AND(INDEX(tsk_IsLeaf,GanttView[[#This Row],[_Row]])=1,N(INDEX(tsk_Duration,GanttView[[#This Row],[_Row]]))=0))</f>
        <v>0</v>
      </c>
      <c r="O18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8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8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81" s="111" t="n">
        <f aca="false">IF(GanttView[[#This Row],[_RemFrom]]=0,0,GanttView[[#This Row],[Forecast Finish]])</f>
        <v>0</v>
      </c>
      <c r="S181" s="110" t="b">
        <f aca="false">IF(IFERROR(INDEX(tsk_Name,GanttView[[#This Row],[_Row]])="",TRUE()),FALSE(),N(INDEX(tsk_Variance,GanttView[[#This Row],[_Row]]))&gt;0)</f>
        <v>0</v>
      </c>
      <c r="T181" s="111" t="n">
        <f aca="false">IF(IFERROR(INDEX(tsk_Name,GanttView[[#This Row],[_Row]])="",TRUE()),0,N(INDEX(tsk_Deadline,GanttView[[#This Row],[_Row]])))</f>
        <v>0</v>
      </c>
      <c r="U181" s="110" t="b">
        <f aca="false">IF(IFERROR(INDEX(tsk_Name,GanttView[[#This Row],[_Row]])="",TRUE()),FALSE(),INDEX(tsk_Critical,GanttView[[#This Row],[_Row]])="Yes")</f>
        <v>0</v>
      </c>
    </row>
    <row r="182" customFormat="false" ht="15" hidden="false" customHeight="false" outlineLevel="0" collapsed="false">
      <c r="A182" s="104" t="str">
        <f aca="false">IF(IFERROR(INDEX(tsk_Name,GanttView[[#This Row],[_Row]])="",TRUE()),"",INDEX(tsk_ID,GanttView[[#This Row],[_Row]]))</f>
        <v/>
      </c>
      <c r="B182" s="104" t="str">
        <f aca="false">IF(IFERROR(INDEX(tsk_Name,GanttView[[#This Row],[_Row]])="",TRUE()),"",INDEX(tsk_WBS,GanttView[[#This Row],[_Row]]))</f>
        <v/>
      </c>
      <c r="C182" s="105" t="str">
        <f aca="false">IF(IFERROR(INDEX(tsk_Name,GanttView[[#This Row],[_Row]])="",TRUE()),"",REPT("    ",INDEX(tsk_Level,GanttView[[#This Row],[_Row]])-1)&amp;INDEX(tsk_Name,GanttView[[#This Row],[_Row]]))</f>
        <v/>
      </c>
      <c r="D18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82" s="106" t="str">
        <f aca="false">IF(IFERROR(INDEX(tsk_Name,GanttView[[#This Row],[_Row]])="",TRUE()),"",INDEX(tsk_PlanStart,GanttView[[#This Row],[_Row]]))</f>
        <v/>
      </c>
      <c r="F182" s="106" t="str">
        <f aca="false">IF(IFERROR(INDEX(tsk_Name,GanttView[[#This Row],[_Row]])="",TRUE()),"",INDEX(tsk_PlanFinish,GanttView[[#This Row],[_Row]]))</f>
        <v/>
      </c>
      <c r="G182" s="106" t="str">
        <f aca="false">IF(IFERROR(INDEX(tsk_Name,GanttView[[#This Row],[_Row]])="",TRUE()),"",INDEX(tsk_FcStart,GanttView[[#This Row],[_Row]]))</f>
        <v/>
      </c>
      <c r="H182" s="106" t="str">
        <f aca="false">IF(IFERROR(INDEX(tsk_Name,GanttView[[#This Row],[_Row]])="",TRUE()),"",INDEX(tsk_FcFinish,GanttView[[#This Row],[_Row]]))</f>
        <v/>
      </c>
      <c r="I182" s="107" t="str">
        <f aca="false">IF(IFERROR(INDEX(tsk_Name,GanttView[[#This Row],[_Row]])="",TRUE()),"",INDEX(tsk_Progress,GanttView[[#This Row],[_Row]]))</f>
        <v/>
      </c>
      <c r="J182" s="105" t="str">
        <f aca="false">IF(IFERROR(INDEX(tsk_Name,GanttView[[#This Row],[_Row]])="",TRUE()),"",INDEX(tsk_Resource,GanttView[[#This Row],[_Row]])&amp;"")</f>
        <v/>
      </c>
      <c r="K182" s="108" t="str">
        <f aca="false">IF(IFERROR(INDEX(tsk_Name,GanttView[[#This Row],[_Row]])="",TRUE()),"",INDEX(tsk_Status,GanttView[[#This Row],[_Row]]))</f>
        <v/>
      </c>
      <c r="L182" s="109" t="n">
        <f aca="false">ROW()-ROW(GanttView[[#Headers],[ID]])</f>
        <v>177</v>
      </c>
      <c r="M182" s="110" t="b">
        <f aca="false">IF(IFERROR(INDEX(tsk_Name,GanttView[[#This Row],[_Row]])="",TRUE()),FALSE(),INDEX(tsk_IsSummary,GanttView[[#This Row],[_Row]]))</f>
        <v>0</v>
      </c>
      <c r="N182" s="110" t="b">
        <f aca="false">IF(IFERROR(INDEX(tsk_Name,GanttView[[#This Row],[_Row]])="",TRUE()),FALSE(),AND(INDEX(tsk_IsLeaf,GanttView[[#This Row],[_Row]])=1,N(INDEX(tsk_Duration,GanttView[[#This Row],[_Row]]))=0))</f>
        <v>0</v>
      </c>
      <c r="O18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8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8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82" s="111" t="n">
        <f aca="false">IF(GanttView[[#This Row],[_RemFrom]]=0,0,GanttView[[#This Row],[Forecast Finish]])</f>
        <v>0</v>
      </c>
      <c r="S182" s="110" t="b">
        <f aca="false">IF(IFERROR(INDEX(tsk_Name,GanttView[[#This Row],[_Row]])="",TRUE()),FALSE(),N(INDEX(tsk_Variance,GanttView[[#This Row],[_Row]]))&gt;0)</f>
        <v>0</v>
      </c>
      <c r="T182" s="111" t="n">
        <f aca="false">IF(IFERROR(INDEX(tsk_Name,GanttView[[#This Row],[_Row]])="",TRUE()),0,N(INDEX(tsk_Deadline,GanttView[[#This Row],[_Row]])))</f>
        <v>0</v>
      </c>
      <c r="U182" s="110" t="b">
        <f aca="false">IF(IFERROR(INDEX(tsk_Name,GanttView[[#This Row],[_Row]])="",TRUE()),FALSE(),INDEX(tsk_Critical,GanttView[[#This Row],[_Row]])="Yes")</f>
        <v>0</v>
      </c>
    </row>
    <row r="183" customFormat="false" ht="15" hidden="false" customHeight="false" outlineLevel="0" collapsed="false">
      <c r="A183" s="104" t="str">
        <f aca="false">IF(IFERROR(INDEX(tsk_Name,GanttView[[#This Row],[_Row]])="",TRUE()),"",INDEX(tsk_ID,GanttView[[#This Row],[_Row]]))</f>
        <v/>
      </c>
      <c r="B183" s="104" t="str">
        <f aca="false">IF(IFERROR(INDEX(tsk_Name,GanttView[[#This Row],[_Row]])="",TRUE()),"",INDEX(tsk_WBS,GanttView[[#This Row],[_Row]]))</f>
        <v/>
      </c>
      <c r="C183" s="105" t="str">
        <f aca="false">IF(IFERROR(INDEX(tsk_Name,GanttView[[#This Row],[_Row]])="",TRUE()),"",REPT("    ",INDEX(tsk_Level,GanttView[[#This Row],[_Row]])-1)&amp;INDEX(tsk_Name,GanttView[[#This Row],[_Row]]))</f>
        <v/>
      </c>
      <c r="D18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83" s="106" t="str">
        <f aca="false">IF(IFERROR(INDEX(tsk_Name,GanttView[[#This Row],[_Row]])="",TRUE()),"",INDEX(tsk_PlanStart,GanttView[[#This Row],[_Row]]))</f>
        <v/>
      </c>
      <c r="F183" s="106" t="str">
        <f aca="false">IF(IFERROR(INDEX(tsk_Name,GanttView[[#This Row],[_Row]])="",TRUE()),"",INDEX(tsk_PlanFinish,GanttView[[#This Row],[_Row]]))</f>
        <v/>
      </c>
      <c r="G183" s="106" t="str">
        <f aca="false">IF(IFERROR(INDEX(tsk_Name,GanttView[[#This Row],[_Row]])="",TRUE()),"",INDEX(tsk_FcStart,GanttView[[#This Row],[_Row]]))</f>
        <v/>
      </c>
      <c r="H183" s="106" t="str">
        <f aca="false">IF(IFERROR(INDEX(tsk_Name,GanttView[[#This Row],[_Row]])="",TRUE()),"",INDEX(tsk_FcFinish,GanttView[[#This Row],[_Row]]))</f>
        <v/>
      </c>
      <c r="I183" s="107" t="str">
        <f aca="false">IF(IFERROR(INDEX(tsk_Name,GanttView[[#This Row],[_Row]])="",TRUE()),"",INDEX(tsk_Progress,GanttView[[#This Row],[_Row]]))</f>
        <v/>
      </c>
      <c r="J183" s="105" t="str">
        <f aca="false">IF(IFERROR(INDEX(tsk_Name,GanttView[[#This Row],[_Row]])="",TRUE()),"",INDEX(tsk_Resource,GanttView[[#This Row],[_Row]])&amp;"")</f>
        <v/>
      </c>
      <c r="K183" s="108" t="str">
        <f aca="false">IF(IFERROR(INDEX(tsk_Name,GanttView[[#This Row],[_Row]])="",TRUE()),"",INDEX(tsk_Status,GanttView[[#This Row],[_Row]]))</f>
        <v/>
      </c>
      <c r="L183" s="109" t="n">
        <f aca="false">ROW()-ROW(GanttView[[#Headers],[ID]])</f>
        <v>178</v>
      </c>
      <c r="M183" s="110" t="b">
        <f aca="false">IF(IFERROR(INDEX(tsk_Name,GanttView[[#This Row],[_Row]])="",TRUE()),FALSE(),INDEX(tsk_IsSummary,GanttView[[#This Row],[_Row]]))</f>
        <v>0</v>
      </c>
      <c r="N183" s="110" t="b">
        <f aca="false">IF(IFERROR(INDEX(tsk_Name,GanttView[[#This Row],[_Row]])="",TRUE()),FALSE(),AND(INDEX(tsk_IsLeaf,GanttView[[#This Row],[_Row]])=1,N(INDEX(tsk_Duration,GanttView[[#This Row],[_Row]]))=0))</f>
        <v>0</v>
      </c>
      <c r="O18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8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8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83" s="111" t="n">
        <f aca="false">IF(GanttView[[#This Row],[_RemFrom]]=0,0,GanttView[[#This Row],[Forecast Finish]])</f>
        <v>0</v>
      </c>
      <c r="S183" s="110" t="b">
        <f aca="false">IF(IFERROR(INDEX(tsk_Name,GanttView[[#This Row],[_Row]])="",TRUE()),FALSE(),N(INDEX(tsk_Variance,GanttView[[#This Row],[_Row]]))&gt;0)</f>
        <v>0</v>
      </c>
      <c r="T183" s="111" t="n">
        <f aca="false">IF(IFERROR(INDEX(tsk_Name,GanttView[[#This Row],[_Row]])="",TRUE()),0,N(INDEX(tsk_Deadline,GanttView[[#This Row],[_Row]])))</f>
        <v>0</v>
      </c>
      <c r="U183" s="110" t="b">
        <f aca="false">IF(IFERROR(INDEX(tsk_Name,GanttView[[#This Row],[_Row]])="",TRUE()),FALSE(),INDEX(tsk_Critical,GanttView[[#This Row],[_Row]])="Yes")</f>
        <v>0</v>
      </c>
    </row>
    <row r="184" customFormat="false" ht="15" hidden="false" customHeight="false" outlineLevel="0" collapsed="false">
      <c r="A184" s="104" t="str">
        <f aca="false">IF(IFERROR(INDEX(tsk_Name,GanttView[[#This Row],[_Row]])="",TRUE()),"",INDEX(tsk_ID,GanttView[[#This Row],[_Row]]))</f>
        <v/>
      </c>
      <c r="B184" s="104" t="str">
        <f aca="false">IF(IFERROR(INDEX(tsk_Name,GanttView[[#This Row],[_Row]])="",TRUE()),"",INDEX(tsk_WBS,GanttView[[#This Row],[_Row]]))</f>
        <v/>
      </c>
      <c r="C184" s="105" t="str">
        <f aca="false">IF(IFERROR(INDEX(tsk_Name,GanttView[[#This Row],[_Row]])="",TRUE()),"",REPT("    ",INDEX(tsk_Level,GanttView[[#This Row],[_Row]])-1)&amp;INDEX(tsk_Name,GanttView[[#This Row],[_Row]]))</f>
        <v/>
      </c>
      <c r="D18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84" s="106" t="str">
        <f aca="false">IF(IFERROR(INDEX(tsk_Name,GanttView[[#This Row],[_Row]])="",TRUE()),"",INDEX(tsk_PlanStart,GanttView[[#This Row],[_Row]]))</f>
        <v/>
      </c>
      <c r="F184" s="106" t="str">
        <f aca="false">IF(IFERROR(INDEX(tsk_Name,GanttView[[#This Row],[_Row]])="",TRUE()),"",INDEX(tsk_PlanFinish,GanttView[[#This Row],[_Row]]))</f>
        <v/>
      </c>
      <c r="G184" s="106" t="str">
        <f aca="false">IF(IFERROR(INDEX(tsk_Name,GanttView[[#This Row],[_Row]])="",TRUE()),"",INDEX(tsk_FcStart,GanttView[[#This Row],[_Row]]))</f>
        <v/>
      </c>
      <c r="H184" s="106" t="str">
        <f aca="false">IF(IFERROR(INDEX(tsk_Name,GanttView[[#This Row],[_Row]])="",TRUE()),"",INDEX(tsk_FcFinish,GanttView[[#This Row],[_Row]]))</f>
        <v/>
      </c>
      <c r="I184" s="107" t="str">
        <f aca="false">IF(IFERROR(INDEX(tsk_Name,GanttView[[#This Row],[_Row]])="",TRUE()),"",INDEX(tsk_Progress,GanttView[[#This Row],[_Row]]))</f>
        <v/>
      </c>
      <c r="J184" s="105" t="str">
        <f aca="false">IF(IFERROR(INDEX(tsk_Name,GanttView[[#This Row],[_Row]])="",TRUE()),"",INDEX(tsk_Resource,GanttView[[#This Row],[_Row]])&amp;"")</f>
        <v/>
      </c>
      <c r="K184" s="108" t="str">
        <f aca="false">IF(IFERROR(INDEX(tsk_Name,GanttView[[#This Row],[_Row]])="",TRUE()),"",INDEX(tsk_Status,GanttView[[#This Row],[_Row]]))</f>
        <v/>
      </c>
      <c r="L184" s="109" t="n">
        <f aca="false">ROW()-ROW(GanttView[[#Headers],[ID]])</f>
        <v>179</v>
      </c>
      <c r="M184" s="110" t="b">
        <f aca="false">IF(IFERROR(INDEX(tsk_Name,GanttView[[#This Row],[_Row]])="",TRUE()),FALSE(),INDEX(tsk_IsSummary,GanttView[[#This Row],[_Row]]))</f>
        <v>0</v>
      </c>
      <c r="N184" s="110" t="b">
        <f aca="false">IF(IFERROR(INDEX(tsk_Name,GanttView[[#This Row],[_Row]])="",TRUE()),FALSE(),AND(INDEX(tsk_IsLeaf,GanttView[[#This Row],[_Row]])=1,N(INDEX(tsk_Duration,GanttView[[#This Row],[_Row]]))=0))</f>
        <v>0</v>
      </c>
      <c r="O18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8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8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84" s="111" t="n">
        <f aca="false">IF(GanttView[[#This Row],[_RemFrom]]=0,0,GanttView[[#This Row],[Forecast Finish]])</f>
        <v>0</v>
      </c>
      <c r="S184" s="110" t="b">
        <f aca="false">IF(IFERROR(INDEX(tsk_Name,GanttView[[#This Row],[_Row]])="",TRUE()),FALSE(),N(INDEX(tsk_Variance,GanttView[[#This Row],[_Row]]))&gt;0)</f>
        <v>0</v>
      </c>
      <c r="T184" s="111" t="n">
        <f aca="false">IF(IFERROR(INDEX(tsk_Name,GanttView[[#This Row],[_Row]])="",TRUE()),0,N(INDEX(tsk_Deadline,GanttView[[#This Row],[_Row]])))</f>
        <v>0</v>
      </c>
      <c r="U184" s="110" t="b">
        <f aca="false">IF(IFERROR(INDEX(tsk_Name,GanttView[[#This Row],[_Row]])="",TRUE()),FALSE(),INDEX(tsk_Critical,GanttView[[#This Row],[_Row]])="Yes")</f>
        <v>0</v>
      </c>
    </row>
    <row r="185" customFormat="false" ht="15" hidden="false" customHeight="false" outlineLevel="0" collapsed="false">
      <c r="A185" s="104" t="str">
        <f aca="false">IF(IFERROR(INDEX(tsk_Name,GanttView[[#This Row],[_Row]])="",TRUE()),"",INDEX(tsk_ID,GanttView[[#This Row],[_Row]]))</f>
        <v/>
      </c>
      <c r="B185" s="104" t="str">
        <f aca="false">IF(IFERROR(INDEX(tsk_Name,GanttView[[#This Row],[_Row]])="",TRUE()),"",INDEX(tsk_WBS,GanttView[[#This Row],[_Row]]))</f>
        <v/>
      </c>
      <c r="C185" s="105" t="str">
        <f aca="false">IF(IFERROR(INDEX(tsk_Name,GanttView[[#This Row],[_Row]])="",TRUE()),"",REPT("    ",INDEX(tsk_Level,GanttView[[#This Row],[_Row]])-1)&amp;INDEX(tsk_Name,GanttView[[#This Row],[_Row]]))</f>
        <v/>
      </c>
      <c r="D18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85" s="106" t="str">
        <f aca="false">IF(IFERROR(INDEX(tsk_Name,GanttView[[#This Row],[_Row]])="",TRUE()),"",INDEX(tsk_PlanStart,GanttView[[#This Row],[_Row]]))</f>
        <v/>
      </c>
      <c r="F185" s="106" t="str">
        <f aca="false">IF(IFERROR(INDEX(tsk_Name,GanttView[[#This Row],[_Row]])="",TRUE()),"",INDEX(tsk_PlanFinish,GanttView[[#This Row],[_Row]]))</f>
        <v/>
      </c>
      <c r="G185" s="106" t="str">
        <f aca="false">IF(IFERROR(INDEX(tsk_Name,GanttView[[#This Row],[_Row]])="",TRUE()),"",INDEX(tsk_FcStart,GanttView[[#This Row],[_Row]]))</f>
        <v/>
      </c>
      <c r="H185" s="106" t="str">
        <f aca="false">IF(IFERROR(INDEX(tsk_Name,GanttView[[#This Row],[_Row]])="",TRUE()),"",INDEX(tsk_FcFinish,GanttView[[#This Row],[_Row]]))</f>
        <v/>
      </c>
      <c r="I185" s="107" t="str">
        <f aca="false">IF(IFERROR(INDEX(tsk_Name,GanttView[[#This Row],[_Row]])="",TRUE()),"",INDEX(tsk_Progress,GanttView[[#This Row],[_Row]]))</f>
        <v/>
      </c>
      <c r="J185" s="105" t="str">
        <f aca="false">IF(IFERROR(INDEX(tsk_Name,GanttView[[#This Row],[_Row]])="",TRUE()),"",INDEX(tsk_Resource,GanttView[[#This Row],[_Row]])&amp;"")</f>
        <v/>
      </c>
      <c r="K185" s="108" t="str">
        <f aca="false">IF(IFERROR(INDEX(tsk_Name,GanttView[[#This Row],[_Row]])="",TRUE()),"",INDEX(tsk_Status,GanttView[[#This Row],[_Row]]))</f>
        <v/>
      </c>
      <c r="L185" s="109" t="n">
        <f aca="false">ROW()-ROW(GanttView[[#Headers],[ID]])</f>
        <v>180</v>
      </c>
      <c r="M185" s="110" t="b">
        <f aca="false">IF(IFERROR(INDEX(tsk_Name,GanttView[[#This Row],[_Row]])="",TRUE()),FALSE(),INDEX(tsk_IsSummary,GanttView[[#This Row],[_Row]]))</f>
        <v>0</v>
      </c>
      <c r="N185" s="110" t="b">
        <f aca="false">IF(IFERROR(INDEX(tsk_Name,GanttView[[#This Row],[_Row]])="",TRUE()),FALSE(),AND(INDEX(tsk_IsLeaf,GanttView[[#This Row],[_Row]])=1,N(INDEX(tsk_Duration,GanttView[[#This Row],[_Row]]))=0))</f>
        <v>0</v>
      </c>
      <c r="O18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8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8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85" s="111" t="n">
        <f aca="false">IF(GanttView[[#This Row],[_RemFrom]]=0,0,GanttView[[#This Row],[Forecast Finish]])</f>
        <v>0</v>
      </c>
      <c r="S185" s="110" t="b">
        <f aca="false">IF(IFERROR(INDEX(tsk_Name,GanttView[[#This Row],[_Row]])="",TRUE()),FALSE(),N(INDEX(tsk_Variance,GanttView[[#This Row],[_Row]]))&gt;0)</f>
        <v>0</v>
      </c>
      <c r="T185" s="111" t="n">
        <f aca="false">IF(IFERROR(INDEX(tsk_Name,GanttView[[#This Row],[_Row]])="",TRUE()),0,N(INDEX(tsk_Deadline,GanttView[[#This Row],[_Row]])))</f>
        <v>0</v>
      </c>
      <c r="U185" s="110" t="b">
        <f aca="false">IF(IFERROR(INDEX(tsk_Name,GanttView[[#This Row],[_Row]])="",TRUE()),FALSE(),INDEX(tsk_Critical,GanttView[[#This Row],[_Row]])="Yes")</f>
        <v>0</v>
      </c>
    </row>
    <row r="186" customFormat="false" ht="15" hidden="false" customHeight="false" outlineLevel="0" collapsed="false">
      <c r="A186" s="104" t="str">
        <f aca="false">IF(IFERROR(INDEX(tsk_Name,GanttView[[#This Row],[_Row]])="",TRUE()),"",INDEX(tsk_ID,GanttView[[#This Row],[_Row]]))</f>
        <v/>
      </c>
      <c r="B186" s="104" t="str">
        <f aca="false">IF(IFERROR(INDEX(tsk_Name,GanttView[[#This Row],[_Row]])="",TRUE()),"",INDEX(tsk_WBS,GanttView[[#This Row],[_Row]]))</f>
        <v/>
      </c>
      <c r="C186" s="105" t="str">
        <f aca="false">IF(IFERROR(INDEX(tsk_Name,GanttView[[#This Row],[_Row]])="",TRUE()),"",REPT("    ",INDEX(tsk_Level,GanttView[[#This Row],[_Row]])-1)&amp;INDEX(tsk_Name,GanttView[[#This Row],[_Row]]))</f>
        <v/>
      </c>
      <c r="D18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86" s="106" t="str">
        <f aca="false">IF(IFERROR(INDEX(tsk_Name,GanttView[[#This Row],[_Row]])="",TRUE()),"",INDEX(tsk_PlanStart,GanttView[[#This Row],[_Row]]))</f>
        <v/>
      </c>
      <c r="F186" s="106" t="str">
        <f aca="false">IF(IFERROR(INDEX(tsk_Name,GanttView[[#This Row],[_Row]])="",TRUE()),"",INDEX(tsk_PlanFinish,GanttView[[#This Row],[_Row]]))</f>
        <v/>
      </c>
      <c r="G186" s="106" t="str">
        <f aca="false">IF(IFERROR(INDEX(tsk_Name,GanttView[[#This Row],[_Row]])="",TRUE()),"",INDEX(tsk_FcStart,GanttView[[#This Row],[_Row]]))</f>
        <v/>
      </c>
      <c r="H186" s="106" t="str">
        <f aca="false">IF(IFERROR(INDEX(tsk_Name,GanttView[[#This Row],[_Row]])="",TRUE()),"",INDEX(tsk_FcFinish,GanttView[[#This Row],[_Row]]))</f>
        <v/>
      </c>
      <c r="I186" s="107" t="str">
        <f aca="false">IF(IFERROR(INDEX(tsk_Name,GanttView[[#This Row],[_Row]])="",TRUE()),"",INDEX(tsk_Progress,GanttView[[#This Row],[_Row]]))</f>
        <v/>
      </c>
      <c r="J186" s="105" t="str">
        <f aca="false">IF(IFERROR(INDEX(tsk_Name,GanttView[[#This Row],[_Row]])="",TRUE()),"",INDEX(tsk_Resource,GanttView[[#This Row],[_Row]])&amp;"")</f>
        <v/>
      </c>
      <c r="K186" s="108" t="str">
        <f aca="false">IF(IFERROR(INDEX(tsk_Name,GanttView[[#This Row],[_Row]])="",TRUE()),"",INDEX(tsk_Status,GanttView[[#This Row],[_Row]]))</f>
        <v/>
      </c>
      <c r="L186" s="109" t="n">
        <f aca="false">ROW()-ROW(GanttView[[#Headers],[ID]])</f>
        <v>181</v>
      </c>
      <c r="M186" s="110" t="b">
        <f aca="false">IF(IFERROR(INDEX(tsk_Name,GanttView[[#This Row],[_Row]])="",TRUE()),FALSE(),INDEX(tsk_IsSummary,GanttView[[#This Row],[_Row]]))</f>
        <v>0</v>
      </c>
      <c r="N186" s="110" t="b">
        <f aca="false">IF(IFERROR(INDEX(tsk_Name,GanttView[[#This Row],[_Row]])="",TRUE()),FALSE(),AND(INDEX(tsk_IsLeaf,GanttView[[#This Row],[_Row]])=1,N(INDEX(tsk_Duration,GanttView[[#This Row],[_Row]]))=0))</f>
        <v>0</v>
      </c>
      <c r="O18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8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8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86" s="111" t="n">
        <f aca="false">IF(GanttView[[#This Row],[_RemFrom]]=0,0,GanttView[[#This Row],[Forecast Finish]])</f>
        <v>0</v>
      </c>
      <c r="S186" s="110" t="b">
        <f aca="false">IF(IFERROR(INDEX(tsk_Name,GanttView[[#This Row],[_Row]])="",TRUE()),FALSE(),N(INDEX(tsk_Variance,GanttView[[#This Row],[_Row]]))&gt;0)</f>
        <v>0</v>
      </c>
      <c r="T186" s="111" t="n">
        <f aca="false">IF(IFERROR(INDEX(tsk_Name,GanttView[[#This Row],[_Row]])="",TRUE()),0,N(INDEX(tsk_Deadline,GanttView[[#This Row],[_Row]])))</f>
        <v>0</v>
      </c>
      <c r="U186" s="110" t="b">
        <f aca="false">IF(IFERROR(INDEX(tsk_Name,GanttView[[#This Row],[_Row]])="",TRUE()),FALSE(),INDEX(tsk_Critical,GanttView[[#This Row],[_Row]])="Yes")</f>
        <v>0</v>
      </c>
    </row>
    <row r="187" customFormat="false" ht="15" hidden="false" customHeight="false" outlineLevel="0" collapsed="false">
      <c r="A187" s="104" t="str">
        <f aca="false">IF(IFERROR(INDEX(tsk_Name,GanttView[[#This Row],[_Row]])="",TRUE()),"",INDEX(tsk_ID,GanttView[[#This Row],[_Row]]))</f>
        <v/>
      </c>
      <c r="B187" s="104" t="str">
        <f aca="false">IF(IFERROR(INDEX(tsk_Name,GanttView[[#This Row],[_Row]])="",TRUE()),"",INDEX(tsk_WBS,GanttView[[#This Row],[_Row]]))</f>
        <v/>
      </c>
      <c r="C187" s="105" t="str">
        <f aca="false">IF(IFERROR(INDEX(tsk_Name,GanttView[[#This Row],[_Row]])="",TRUE()),"",REPT("    ",INDEX(tsk_Level,GanttView[[#This Row],[_Row]])-1)&amp;INDEX(tsk_Name,GanttView[[#This Row],[_Row]]))</f>
        <v/>
      </c>
      <c r="D18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87" s="106" t="str">
        <f aca="false">IF(IFERROR(INDEX(tsk_Name,GanttView[[#This Row],[_Row]])="",TRUE()),"",INDEX(tsk_PlanStart,GanttView[[#This Row],[_Row]]))</f>
        <v/>
      </c>
      <c r="F187" s="106" t="str">
        <f aca="false">IF(IFERROR(INDEX(tsk_Name,GanttView[[#This Row],[_Row]])="",TRUE()),"",INDEX(tsk_PlanFinish,GanttView[[#This Row],[_Row]]))</f>
        <v/>
      </c>
      <c r="G187" s="106" t="str">
        <f aca="false">IF(IFERROR(INDEX(tsk_Name,GanttView[[#This Row],[_Row]])="",TRUE()),"",INDEX(tsk_FcStart,GanttView[[#This Row],[_Row]]))</f>
        <v/>
      </c>
      <c r="H187" s="106" t="str">
        <f aca="false">IF(IFERROR(INDEX(tsk_Name,GanttView[[#This Row],[_Row]])="",TRUE()),"",INDEX(tsk_FcFinish,GanttView[[#This Row],[_Row]]))</f>
        <v/>
      </c>
      <c r="I187" s="107" t="str">
        <f aca="false">IF(IFERROR(INDEX(tsk_Name,GanttView[[#This Row],[_Row]])="",TRUE()),"",INDEX(tsk_Progress,GanttView[[#This Row],[_Row]]))</f>
        <v/>
      </c>
      <c r="J187" s="105" t="str">
        <f aca="false">IF(IFERROR(INDEX(tsk_Name,GanttView[[#This Row],[_Row]])="",TRUE()),"",INDEX(tsk_Resource,GanttView[[#This Row],[_Row]])&amp;"")</f>
        <v/>
      </c>
      <c r="K187" s="108" t="str">
        <f aca="false">IF(IFERROR(INDEX(tsk_Name,GanttView[[#This Row],[_Row]])="",TRUE()),"",INDEX(tsk_Status,GanttView[[#This Row],[_Row]]))</f>
        <v/>
      </c>
      <c r="L187" s="109" t="n">
        <f aca="false">ROW()-ROW(GanttView[[#Headers],[ID]])</f>
        <v>182</v>
      </c>
      <c r="M187" s="110" t="b">
        <f aca="false">IF(IFERROR(INDEX(tsk_Name,GanttView[[#This Row],[_Row]])="",TRUE()),FALSE(),INDEX(tsk_IsSummary,GanttView[[#This Row],[_Row]]))</f>
        <v>0</v>
      </c>
      <c r="N187" s="110" t="b">
        <f aca="false">IF(IFERROR(INDEX(tsk_Name,GanttView[[#This Row],[_Row]])="",TRUE()),FALSE(),AND(INDEX(tsk_IsLeaf,GanttView[[#This Row],[_Row]])=1,N(INDEX(tsk_Duration,GanttView[[#This Row],[_Row]]))=0))</f>
        <v>0</v>
      </c>
      <c r="O18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8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8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87" s="111" t="n">
        <f aca="false">IF(GanttView[[#This Row],[_RemFrom]]=0,0,GanttView[[#This Row],[Forecast Finish]])</f>
        <v>0</v>
      </c>
      <c r="S187" s="110" t="b">
        <f aca="false">IF(IFERROR(INDEX(tsk_Name,GanttView[[#This Row],[_Row]])="",TRUE()),FALSE(),N(INDEX(tsk_Variance,GanttView[[#This Row],[_Row]]))&gt;0)</f>
        <v>0</v>
      </c>
      <c r="T187" s="111" t="n">
        <f aca="false">IF(IFERROR(INDEX(tsk_Name,GanttView[[#This Row],[_Row]])="",TRUE()),0,N(INDEX(tsk_Deadline,GanttView[[#This Row],[_Row]])))</f>
        <v>0</v>
      </c>
      <c r="U187" s="110" t="b">
        <f aca="false">IF(IFERROR(INDEX(tsk_Name,GanttView[[#This Row],[_Row]])="",TRUE()),FALSE(),INDEX(tsk_Critical,GanttView[[#This Row],[_Row]])="Yes")</f>
        <v>0</v>
      </c>
    </row>
    <row r="188" customFormat="false" ht="15" hidden="false" customHeight="false" outlineLevel="0" collapsed="false">
      <c r="A188" s="104" t="str">
        <f aca="false">IF(IFERROR(INDEX(tsk_Name,GanttView[[#This Row],[_Row]])="",TRUE()),"",INDEX(tsk_ID,GanttView[[#This Row],[_Row]]))</f>
        <v/>
      </c>
      <c r="B188" s="104" t="str">
        <f aca="false">IF(IFERROR(INDEX(tsk_Name,GanttView[[#This Row],[_Row]])="",TRUE()),"",INDEX(tsk_WBS,GanttView[[#This Row],[_Row]]))</f>
        <v/>
      </c>
      <c r="C188" s="105" t="str">
        <f aca="false">IF(IFERROR(INDEX(tsk_Name,GanttView[[#This Row],[_Row]])="",TRUE()),"",REPT("    ",INDEX(tsk_Level,GanttView[[#This Row],[_Row]])-1)&amp;INDEX(tsk_Name,GanttView[[#This Row],[_Row]]))</f>
        <v/>
      </c>
      <c r="D18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88" s="106" t="str">
        <f aca="false">IF(IFERROR(INDEX(tsk_Name,GanttView[[#This Row],[_Row]])="",TRUE()),"",INDEX(tsk_PlanStart,GanttView[[#This Row],[_Row]]))</f>
        <v/>
      </c>
      <c r="F188" s="106" t="str">
        <f aca="false">IF(IFERROR(INDEX(tsk_Name,GanttView[[#This Row],[_Row]])="",TRUE()),"",INDEX(tsk_PlanFinish,GanttView[[#This Row],[_Row]]))</f>
        <v/>
      </c>
      <c r="G188" s="106" t="str">
        <f aca="false">IF(IFERROR(INDEX(tsk_Name,GanttView[[#This Row],[_Row]])="",TRUE()),"",INDEX(tsk_FcStart,GanttView[[#This Row],[_Row]]))</f>
        <v/>
      </c>
      <c r="H188" s="106" t="str">
        <f aca="false">IF(IFERROR(INDEX(tsk_Name,GanttView[[#This Row],[_Row]])="",TRUE()),"",INDEX(tsk_FcFinish,GanttView[[#This Row],[_Row]]))</f>
        <v/>
      </c>
      <c r="I188" s="107" t="str">
        <f aca="false">IF(IFERROR(INDEX(tsk_Name,GanttView[[#This Row],[_Row]])="",TRUE()),"",INDEX(tsk_Progress,GanttView[[#This Row],[_Row]]))</f>
        <v/>
      </c>
      <c r="J188" s="105" t="str">
        <f aca="false">IF(IFERROR(INDEX(tsk_Name,GanttView[[#This Row],[_Row]])="",TRUE()),"",INDEX(tsk_Resource,GanttView[[#This Row],[_Row]])&amp;"")</f>
        <v/>
      </c>
      <c r="K188" s="108" t="str">
        <f aca="false">IF(IFERROR(INDEX(tsk_Name,GanttView[[#This Row],[_Row]])="",TRUE()),"",INDEX(tsk_Status,GanttView[[#This Row],[_Row]]))</f>
        <v/>
      </c>
      <c r="L188" s="109" t="n">
        <f aca="false">ROW()-ROW(GanttView[[#Headers],[ID]])</f>
        <v>183</v>
      </c>
      <c r="M188" s="110" t="b">
        <f aca="false">IF(IFERROR(INDEX(tsk_Name,GanttView[[#This Row],[_Row]])="",TRUE()),FALSE(),INDEX(tsk_IsSummary,GanttView[[#This Row],[_Row]]))</f>
        <v>0</v>
      </c>
      <c r="N188" s="110" t="b">
        <f aca="false">IF(IFERROR(INDEX(tsk_Name,GanttView[[#This Row],[_Row]])="",TRUE()),FALSE(),AND(INDEX(tsk_IsLeaf,GanttView[[#This Row],[_Row]])=1,N(INDEX(tsk_Duration,GanttView[[#This Row],[_Row]]))=0))</f>
        <v>0</v>
      </c>
      <c r="O18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8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8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88" s="111" t="n">
        <f aca="false">IF(GanttView[[#This Row],[_RemFrom]]=0,0,GanttView[[#This Row],[Forecast Finish]])</f>
        <v>0</v>
      </c>
      <c r="S188" s="110" t="b">
        <f aca="false">IF(IFERROR(INDEX(tsk_Name,GanttView[[#This Row],[_Row]])="",TRUE()),FALSE(),N(INDEX(tsk_Variance,GanttView[[#This Row],[_Row]]))&gt;0)</f>
        <v>0</v>
      </c>
      <c r="T188" s="111" t="n">
        <f aca="false">IF(IFERROR(INDEX(tsk_Name,GanttView[[#This Row],[_Row]])="",TRUE()),0,N(INDEX(tsk_Deadline,GanttView[[#This Row],[_Row]])))</f>
        <v>0</v>
      </c>
      <c r="U188" s="110" t="b">
        <f aca="false">IF(IFERROR(INDEX(tsk_Name,GanttView[[#This Row],[_Row]])="",TRUE()),FALSE(),INDEX(tsk_Critical,GanttView[[#This Row],[_Row]])="Yes")</f>
        <v>0</v>
      </c>
    </row>
    <row r="189" customFormat="false" ht="15" hidden="false" customHeight="false" outlineLevel="0" collapsed="false">
      <c r="A189" s="104" t="str">
        <f aca="false">IF(IFERROR(INDEX(tsk_Name,GanttView[[#This Row],[_Row]])="",TRUE()),"",INDEX(tsk_ID,GanttView[[#This Row],[_Row]]))</f>
        <v/>
      </c>
      <c r="B189" s="104" t="str">
        <f aca="false">IF(IFERROR(INDEX(tsk_Name,GanttView[[#This Row],[_Row]])="",TRUE()),"",INDEX(tsk_WBS,GanttView[[#This Row],[_Row]]))</f>
        <v/>
      </c>
      <c r="C189" s="105" t="str">
        <f aca="false">IF(IFERROR(INDEX(tsk_Name,GanttView[[#This Row],[_Row]])="",TRUE()),"",REPT("    ",INDEX(tsk_Level,GanttView[[#This Row],[_Row]])-1)&amp;INDEX(tsk_Name,GanttView[[#This Row],[_Row]]))</f>
        <v/>
      </c>
      <c r="D18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89" s="106" t="str">
        <f aca="false">IF(IFERROR(INDEX(tsk_Name,GanttView[[#This Row],[_Row]])="",TRUE()),"",INDEX(tsk_PlanStart,GanttView[[#This Row],[_Row]]))</f>
        <v/>
      </c>
      <c r="F189" s="106" t="str">
        <f aca="false">IF(IFERROR(INDEX(tsk_Name,GanttView[[#This Row],[_Row]])="",TRUE()),"",INDEX(tsk_PlanFinish,GanttView[[#This Row],[_Row]]))</f>
        <v/>
      </c>
      <c r="G189" s="106" t="str">
        <f aca="false">IF(IFERROR(INDEX(tsk_Name,GanttView[[#This Row],[_Row]])="",TRUE()),"",INDEX(tsk_FcStart,GanttView[[#This Row],[_Row]]))</f>
        <v/>
      </c>
      <c r="H189" s="106" t="str">
        <f aca="false">IF(IFERROR(INDEX(tsk_Name,GanttView[[#This Row],[_Row]])="",TRUE()),"",INDEX(tsk_FcFinish,GanttView[[#This Row],[_Row]]))</f>
        <v/>
      </c>
      <c r="I189" s="107" t="str">
        <f aca="false">IF(IFERROR(INDEX(tsk_Name,GanttView[[#This Row],[_Row]])="",TRUE()),"",INDEX(tsk_Progress,GanttView[[#This Row],[_Row]]))</f>
        <v/>
      </c>
      <c r="J189" s="105" t="str">
        <f aca="false">IF(IFERROR(INDEX(tsk_Name,GanttView[[#This Row],[_Row]])="",TRUE()),"",INDEX(tsk_Resource,GanttView[[#This Row],[_Row]])&amp;"")</f>
        <v/>
      </c>
      <c r="K189" s="108" t="str">
        <f aca="false">IF(IFERROR(INDEX(tsk_Name,GanttView[[#This Row],[_Row]])="",TRUE()),"",INDEX(tsk_Status,GanttView[[#This Row],[_Row]]))</f>
        <v/>
      </c>
      <c r="L189" s="109" t="n">
        <f aca="false">ROW()-ROW(GanttView[[#Headers],[ID]])</f>
        <v>184</v>
      </c>
      <c r="M189" s="110" t="b">
        <f aca="false">IF(IFERROR(INDEX(tsk_Name,GanttView[[#This Row],[_Row]])="",TRUE()),FALSE(),INDEX(tsk_IsSummary,GanttView[[#This Row],[_Row]]))</f>
        <v>0</v>
      </c>
      <c r="N189" s="110" t="b">
        <f aca="false">IF(IFERROR(INDEX(tsk_Name,GanttView[[#This Row],[_Row]])="",TRUE()),FALSE(),AND(INDEX(tsk_IsLeaf,GanttView[[#This Row],[_Row]])=1,N(INDEX(tsk_Duration,GanttView[[#This Row],[_Row]]))=0))</f>
        <v>0</v>
      </c>
      <c r="O18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8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8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89" s="111" t="n">
        <f aca="false">IF(GanttView[[#This Row],[_RemFrom]]=0,0,GanttView[[#This Row],[Forecast Finish]])</f>
        <v>0</v>
      </c>
      <c r="S189" s="110" t="b">
        <f aca="false">IF(IFERROR(INDEX(tsk_Name,GanttView[[#This Row],[_Row]])="",TRUE()),FALSE(),N(INDEX(tsk_Variance,GanttView[[#This Row],[_Row]]))&gt;0)</f>
        <v>0</v>
      </c>
      <c r="T189" s="111" t="n">
        <f aca="false">IF(IFERROR(INDEX(tsk_Name,GanttView[[#This Row],[_Row]])="",TRUE()),0,N(INDEX(tsk_Deadline,GanttView[[#This Row],[_Row]])))</f>
        <v>0</v>
      </c>
      <c r="U189" s="110" t="b">
        <f aca="false">IF(IFERROR(INDEX(tsk_Name,GanttView[[#This Row],[_Row]])="",TRUE()),FALSE(),INDEX(tsk_Critical,GanttView[[#This Row],[_Row]])="Yes")</f>
        <v>0</v>
      </c>
    </row>
    <row r="190" customFormat="false" ht="15" hidden="false" customHeight="false" outlineLevel="0" collapsed="false">
      <c r="A190" s="104" t="str">
        <f aca="false">IF(IFERROR(INDEX(tsk_Name,GanttView[[#This Row],[_Row]])="",TRUE()),"",INDEX(tsk_ID,GanttView[[#This Row],[_Row]]))</f>
        <v/>
      </c>
      <c r="B190" s="104" t="str">
        <f aca="false">IF(IFERROR(INDEX(tsk_Name,GanttView[[#This Row],[_Row]])="",TRUE()),"",INDEX(tsk_WBS,GanttView[[#This Row],[_Row]]))</f>
        <v/>
      </c>
      <c r="C190" s="105" t="str">
        <f aca="false">IF(IFERROR(INDEX(tsk_Name,GanttView[[#This Row],[_Row]])="",TRUE()),"",REPT("    ",INDEX(tsk_Level,GanttView[[#This Row],[_Row]])-1)&amp;INDEX(tsk_Name,GanttView[[#This Row],[_Row]]))</f>
        <v/>
      </c>
      <c r="D19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90" s="106" t="str">
        <f aca="false">IF(IFERROR(INDEX(tsk_Name,GanttView[[#This Row],[_Row]])="",TRUE()),"",INDEX(tsk_PlanStart,GanttView[[#This Row],[_Row]]))</f>
        <v/>
      </c>
      <c r="F190" s="106" t="str">
        <f aca="false">IF(IFERROR(INDEX(tsk_Name,GanttView[[#This Row],[_Row]])="",TRUE()),"",INDEX(tsk_PlanFinish,GanttView[[#This Row],[_Row]]))</f>
        <v/>
      </c>
      <c r="G190" s="106" t="str">
        <f aca="false">IF(IFERROR(INDEX(tsk_Name,GanttView[[#This Row],[_Row]])="",TRUE()),"",INDEX(tsk_FcStart,GanttView[[#This Row],[_Row]]))</f>
        <v/>
      </c>
      <c r="H190" s="106" t="str">
        <f aca="false">IF(IFERROR(INDEX(tsk_Name,GanttView[[#This Row],[_Row]])="",TRUE()),"",INDEX(tsk_FcFinish,GanttView[[#This Row],[_Row]]))</f>
        <v/>
      </c>
      <c r="I190" s="107" t="str">
        <f aca="false">IF(IFERROR(INDEX(tsk_Name,GanttView[[#This Row],[_Row]])="",TRUE()),"",INDEX(tsk_Progress,GanttView[[#This Row],[_Row]]))</f>
        <v/>
      </c>
      <c r="J190" s="105" t="str">
        <f aca="false">IF(IFERROR(INDEX(tsk_Name,GanttView[[#This Row],[_Row]])="",TRUE()),"",INDEX(tsk_Resource,GanttView[[#This Row],[_Row]])&amp;"")</f>
        <v/>
      </c>
      <c r="K190" s="108" t="str">
        <f aca="false">IF(IFERROR(INDEX(tsk_Name,GanttView[[#This Row],[_Row]])="",TRUE()),"",INDEX(tsk_Status,GanttView[[#This Row],[_Row]]))</f>
        <v/>
      </c>
      <c r="L190" s="109" t="n">
        <f aca="false">ROW()-ROW(GanttView[[#Headers],[ID]])</f>
        <v>185</v>
      </c>
      <c r="M190" s="110" t="b">
        <f aca="false">IF(IFERROR(INDEX(tsk_Name,GanttView[[#This Row],[_Row]])="",TRUE()),FALSE(),INDEX(tsk_IsSummary,GanttView[[#This Row],[_Row]]))</f>
        <v>0</v>
      </c>
      <c r="N190" s="110" t="b">
        <f aca="false">IF(IFERROR(INDEX(tsk_Name,GanttView[[#This Row],[_Row]])="",TRUE()),FALSE(),AND(INDEX(tsk_IsLeaf,GanttView[[#This Row],[_Row]])=1,N(INDEX(tsk_Duration,GanttView[[#This Row],[_Row]]))=0))</f>
        <v>0</v>
      </c>
      <c r="O19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9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9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90" s="111" t="n">
        <f aca="false">IF(GanttView[[#This Row],[_RemFrom]]=0,0,GanttView[[#This Row],[Forecast Finish]])</f>
        <v>0</v>
      </c>
      <c r="S190" s="110" t="b">
        <f aca="false">IF(IFERROR(INDEX(tsk_Name,GanttView[[#This Row],[_Row]])="",TRUE()),FALSE(),N(INDEX(tsk_Variance,GanttView[[#This Row],[_Row]]))&gt;0)</f>
        <v>0</v>
      </c>
      <c r="T190" s="111" t="n">
        <f aca="false">IF(IFERROR(INDEX(tsk_Name,GanttView[[#This Row],[_Row]])="",TRUE()),0,N(INDEX(tsk_Deadline,GanttView[[#This Row],[_Row]])))</f>
        <v>0</v>
      </c>
      <c r="U190" s="110" t="b">
        <f aca="false">IF(IFERROR(INDEX(tsk_Name,GanttView[[#This Row],[_Row]])="",TRUE()),FALSE(),INDEX(tsk_Critical,GanttView[[#This Row],[_Row]])="Yes")</f>
        <v>0</v>
      </c>
    </row>
    <row r="191" customFormat="false" ht="15" hidden="false" customHeight="false" outlineLevel="0" collapsed="false">
      <c r="A191" s="104" t="str">
        <f aca="false">IF(IFERROR(INDEX(tsk_Name,GanttView[[#This Row],[_Row]])="",TRUE()),"",INDEX(tsk_ID,GanttView[[#This Row],[_Row]]))</f>
        <v/>
      </c>
      <c r="B191" s="104" t="str">
        <f aca="false">IF(IFERROR(INDEX(tsk_Name,GanttView[[#This Row],[_Row]])="",TRUE()),"",INDEX(tsk_WBS,GanttView[[#This Row],[_Row]]))</f>
        <v/>
      </c>
      <c r="C191" s="105" t="str">
        <f aca="false">IF(IFERROR(INDEX(tsk_Name,GanttView[[#This Row],[_Row]])="",TRUE()),"",REPT("    ",INDEX(tsk_Level,GanttView[[#This Row],[_Row]])-1)&amp;INDEX(tsk_Name,GanttView[[#This Row],[_Row]]))</f>
        <v/>
      </c>
      <c r="D19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91" s="106" t="str">
        <f aca="false">IF(IFERROR(INDEX(tsk_Name,GanttView[[#This Row],[_Row]])="",TRUE()),"",INDEX(tsk_PlanStart,GanttView[[#This Row],[_Row]]))</f>
        <v/>
      </c>
      <c r="F191" s="106" t="str">
        <f aca="false">IF(IFERROR(INDEX(tsk_Name,GanttView[[#This Row],[_Row]])="",TRUE()),"",INDEX(tsk_PlanFinish,GanttView[[#This Row],[_Row]]))</f>
        <v/>
      </c>
      <c r="G191" s="106" t="str">
        <f aca="false">IF(IFERROR(INDEX(tsk_Name,GanttView[[#This Row],[_Row]])="",TRUE()),"",INDEX(tsk_FcStart,GanttView[[#This Row],[_Row]]))</f>
        <v/>
      </c>
      <c r="H191" s="106" t="str">
        <f aca="false">IF(IFERROR(INDEX(tsk_Name,GanttView[[#This Row],[_Row]])="",TRUE()),"",INDEX(tsk_FcFinish,GanttView[[#This Row],[_Row]]))</f>
        <v/>
      </c>
      <c r="I191" s="107" t="str">
        <f aca="false">IF(IFERROR(INDEX(tsk_Name,GanttView[[#This Row],[_Row]])="",TRUE()),"",INDEX(tsk_Progress,GanttView[[#This Row],[_Row]]))</f>
        <v/>
      </c>
      <c r="J191" s="105" t="str">
        <f aca="false">IF(IFERROR(INDEX(tsk_Name,GanttView[[#This Row],[_Row]])="",TRUE()),"",INDEX(tsk_Resource,GanttView[[#This Row],[_Row]])&amp;"")</f>
        <v/>
      </c>
      <c r="K191" s="108" t="str">
        <f aca="false">IF(IFERROR(INDEX(tsk_Name,GanttView[[#This Row],[_Row]])="",TRUE()),"",INDEX(tsk_Status,GanttView[[#This Row],[_Row]]))</f>
        <v/>
      </c>
      <c r="L191" s="109" t="n">
        <f aca="false">ROW()-ROW(GanttView[[#Headers],[ID]])</f>
        <v>186</v>
      </c>
      <c r="M191" s="110" t="b">
        <f aca="false">IF(IFERROR(INDEX(tsk_Name,GanttView[[#This Row],[_Row]])="",TRUE()),FALSE(),INDEX(tsk_IsSummary,GanttView[[#This Row],[_Row]]))</f>
        <v>0</v>
      </c>
      <c r="N191" s="110" t="b">
        <f aca="false">IF(IFERROR(INDEX(tsk_Name,GanttView[[#This Row],[_Row]])="",TRUE()),FALSE(),AND(INDEX(tsk_IsLeaf,GanttView[[#This Row],[_Row]])=1,N(INDEX(tsk_Duration,GanttView[[#This Row],[_Row]]))=0))</f>
        <v>0</v>
      </c>
      <c r="O19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9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9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91" s="111" t="n">
        <f aca="false">IF(GanttView[[#This Row],[_RemFrom]]=0,0,GanttView[[#This Row],[Forecast Finish]])</f>
        <v>0</v>
      </c>
      <c r="S191" s="110" t="b">
        <f aca="false">IF(IFERROR(INDEX(tsk_Name,GanttView[[#This Row],[_Row]])="",TRUE()),FALSE(),N(INDEX(tsk_Variance,GanttView[[#This Row],[_Row]]))&gt;0)</f>
        <v>0</v>
      </c>
      <c r="T191" s="111" t="n">
        <f aca="false">IF(IFERROR(INDEX(tsk_Name,GanttView[[#This Row],[_Row]])="",TRUE()),0,N(INDEX(tsk_Deadline,GanttView[[#This Row],[_Row]])))</f>
        <v>0</v>
      </c>
      <c r="U191" s="110" t="b">
        <f aca="false">IF(IFERROR(INDEX(tsk_Name,GanttView[[#This Row],[_Row]])="",TRUE()),FALSE(),INDEX(tsk_Critical,GanttView[[#This Row],[_Row]])="Yes")</f>
        <v>0</v>
      </c>
    </row>
    <row r="192" customFormat="false" ht="15" hidden="false" customHeight="false" outlineLevel="0" collapsed="false">
      <c r="A192" s="104" t="str">
        <f aca="false">IF(IFERROR(INDEX(tsk_Name,GanttView[[#This Row],[_Row]])="",TRUE()),"",INDEX(tsk_ID,GanttView[[#This Row],[_Row]]))</f>
        <v/>
      </c>
      <c r="B192" s="104" t="str">
        <f aca="false">IF(IFERROR(INDEX(tsk_Name,GanttView[[#This Row],[_Row]])="",TRUE()),"",INDEX(tsk_WBS,GanttView[[#This Row],[_Row]]))</f>
        <v/>
      </c>
      <c r="C192" s="105" t="str">
        <f aca="false">IF(IFERROR(INDEX(tsk_Name,GanttView[[#This Row],[_Row]])="",TRUE()),"",REPT("    ",INDEX(tsk_Level,GanttView[[#This Row],[_Row]])-1)&amp;INDEX(tsk_Name,GanttView[[#This Row],[_Row]]))</f>
        <v/>
      </c>
      <c r="D19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92" s="106" t="str">
        <f aca="false">IF(IFERROR(INDEX(tsk_Name,GanttView[[#This Row],[_Row]])="",TRUE()),"",INDEX(tsk_PlanStart,GanttView[[#This Row],[_Row]]))</f>
        <v/>
      </c>
      <c r="F192" s="106" t="str">
        <f aca="false">IF(IFERROR(INDEX(tsk_Name,GanttView[[#This Row],[_Row]])="",TRUE()),"",INDEX(tsk_PlanFinish,GanttView[[#This Row],[_Row]]))</f>
        <v/>
      </c>
      <c r="G192" s="106" t="str">
        <f aca="false">IF(IFERROR(INDEX(tsk_Name,GanttView[[#This Row],[_Row]])="",TRUE()),"",INDEX(tsk_FcStart,GanttView[[#This Row],[_Row]]))</f>
        <v/>
      </c>
      <c r="H192" s="106" t="str">
        <f aca="false">IF(IFERROR(INDEX(tsk_Name,GanttView[[#This Row],[_Row]])="",TRUE()),"",INDEX(tsk_FcFinish,GanttView[[#This Row],[_Row]]))</f>
        <v/>
      </c>
      <c r="I192" s="107" t="str">
        <f aca="false">IF(IFERROR(INDEX(tsk_Name,GanttView[[#This Row],[_Row]])="",TRUE()),"",INDEX(tsk_Progress,GanttView[[#This Row],[_Row]]))</f>
        <v/>
      </c>
      <c r="J192" s="105" t="str">
        <f aca="false">IF(IFERROR(INDEX(tsk_Name,GanttView[[#This Row],[_Row]])="",TRUE()),"",INDEX(tsk_Resource,GanttView[[#This Row],[_Row]])&amp;"")</f>
        <v/>
      </c>
      <c r="K192" s="108" t="str">
        <f aca="false">IF(IFERROR(INDEX(tsk_Name,GanttView[[#This Row],[_Row]])="",TRUE()),"",INDEX(tsk_Status,GanttView[[#This Row],[_Row]]))</f>
        <v/>
      </c>
      <c r="L192" s="109" t="n">
        <f aca="false">ROW()-ROW(GanttView[[#Headers],[ID]])</f>
        <v>187</v>
      </c>
      <c r="M192" s="110" t="b">
        <f aca="false">IF(IFERROR(INDEX(tsk_Name,GanttView[[#This Row],[_Row]])="",TRUE()),FALSE(),INDEX(tsk_IsSummary,GanttView[[#This Row],[_Row]]))</f>
        <v>0</v>
      </c>
      <c r="N192" s="110" t="b">
        <f aca="false">IF(IFERROR(INDEX(tsk_Name,GanttView[[#This Row],[_Row]])="",TRUE()),FALSE(),AND(INDEX(tsk_IsLeaf,GanttView[[#This Row],[_Row]])=1,N(INDEX(tsk_Duration,GanttView[[#This Row],[_Row]]))=0))</f>
        <v>0</v>
      </c>
      <c r="O19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9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9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92" s="111" t="n">
        <f aca="false">IF(GanttView[[#This Row],[_RemFrom]]=0,0,GanttView[[#This Row],[Forecast Finish]])</f>
        <v>0</v>
      </c>
      <c r="S192" s="110" t="b">
        <f aca="false">IF(IFERROR(INDEX(tsk_Name,GanttView[[#This Row],[_Row]])="",TRUE()),FALSE(),N(INDEX(tsk_Variance,GanttView[[#This Row],[_Row]]))&gt;0)</f>
        <v>0</v>
      </c>
      <c r="T192" s="111" t="n">
        <f aca="false">IF(IFERROR(INDEX(tsk_Name,GanttView[[#This Row],[_Row]])="",TRUE()),0,N(INDEX(tsk_Deadline,GanttView[[#This Row],[_Row]])))</f>
        <v>0</v>
      </c>
      <c r="U192" s="110" t="b">
        <f aca="false">IF(IFERROR(INDEX(tsk_Name,GanttView[[#This Row],[_Row]])="",TRUE()),FALSE(),INDEX(tsk_Critical,GanttView[[#This Row],[_Row]])="Yes")</f>
        <v>0</v>
      </c>
    </row>
    <row r="193" customFormat="false" ht="15" hidden="false" customHeight="false" outlineLevel="0" collapsed="false">
      <c r="A193" s="104" t="str">
        <f aca="false">IF(IFERROR(INDEX(tsk_Name,GanttView[[#This Row],[_Row]])="",TRUE()),"",INDEX(tsk_ID,GanttView[[#This Row],[_Row]]))</f>
        <v/>
      </c>
      <c r="B193" s="104" t="str">
        <f aca="false">IF(IFERROR(INDEX(tsk_Name,GanttView[[#This Row],[_Row]])="",TRUE()),"",INDEX(tsk_WBS,GanttView[[#This Row],[_Row]]))</f>
        <v/>
      </c>
      <c r="C193" s="105" t="str">
        <f aca="false">IF(IFERROR(INDEX(tsk_Name,GanttView[[#This Row],[_Row]])="",TRUE()),"",REPT("    ",INDEX(tsk_Level,GanttView[[#This Row],[_Row]])-1)&amp;INDEX(tsk_Name,GanttView[[#This Row],[_Row]]))</f>
        <v/>
      </c>
      <c r="D19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93" s="106" t="str">
        <f aca="false">IF(IFERROR(INDEX(tsk_Name,GanttView[[#This Row],[_Row]])="",TRUE()),"",INDEX(tsk_PlanStart,GanttView[[#This Row],[_Row]]))</f>
        <v/>
      </c>
      <c r="F193" s="106" t="str">
        <f aca="false">IF(IFERROR(INDEX(tsk_Name,GanttView[[#This Row],[_Row]])="",TRUE()),"",INDEX(tsk_PlanFinish,GanttView[[#This Row],[_Row]]))</f>
        <v/>
      </c>
      <c r="G193" s="106" t="str">
        <f aca="false">IF(IFERROR(INDEX(tsk_Name,GanttView[[#This Row],[_Row]])="",TRUE()),"",INDEX(tsk_FcStart,GanttView[[#This Row],[_Row]]))</f>
        <v/>
      </c>
      <c r="H193" s="106" t="str">
        <f aca="false">IF(IFERROR(INDEX(tsk_Name,GanttView[[#This Row],[_Row]])="",TRUE()),"",INDEX(tsk_FcFinish,GanttView[[#This Row],[_Row]]))</f>
        <v/>
      </c>
      <c r="I193" s="107" t="str">
        <f aca="false">IF(IFERROR(INDEX(tsk_Name,GanttView[[#This Row],[_Row]])="",TRUE()),"",INDEX(tsk_Progress,GanttView[[#This Row],[_Row]]))</f>
        <v/>
      </c>
      <c r="J193" s="105" t="str">
        <f aca="false">IF(IFERROR(INDEX(tsk_Name,GanttView[[#This Row],[_Row]])="",TRUE()),"",INDEX(tsk_Resource,GanttView[[#This Row],[_Row]])&amp;"")</f>
        <v/>
      </c>
      <c r="K193" s="108" t="str">
        <f aca="false">IF(IFERROR(INDEX(tsk_Name,GanttView[[#This Row],[_Row]])="",TRUE()),"",INDEX(tsk_Status,GanttView[[#This Row],[_Row]]))</f>
        <v/>
      </c>
      <c r="L193" s="109" t="n">
        <f aca="false">ROW()-ROW(GanttView[[#Headers],[ID]])</f>
        <v>188</v>
      </c>
      <c r="M193" s="110" t="b">
        <f aca="false">IF(IFERROR(INDEX(tsk_Name,GanttView[[#This Row],[_Row]])="",TRUE()),FALSE(),INDEX(tsk_IsSummary,GanttView[[#This Row],[_Row]]))</f>
        <v>0</v>
      </c>
      <c r="N193" s="110" t="b">
        <f aca="false">IF(IFERROR(INDEX(tsk_Name,GanttView[[#This Row],[_Row]])="",TRUE()),FALSE(),AND(INDEX(tsk_IsLeaf,GanttView[[#This Row],[_Row]])=1,N(INDEX(tsk_Duration,GanttView[[#This Row],[_Row]]))=0))</f>
        <v>0</v>
      </c>
      <c r="O19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9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9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93" s="111" t="n">
        <f aca="false">IF(GanttView[[#This Row],[_RemFrom]]=0,0,GanttView[[#This Row],[Forecast Finish]])</f>
        <v>0</v>
      </c>
      <c r="S193" s="110" t="b">
        <f aca="false">IF(IFERROR(INDEX(tsk_Name,GanttView[[#This Row],[_Row]])="",TRUE()),FALSE(),N(INDEX(tsk_Variance,GanttView[[#This Row],[_Row]]))&gt;0)</f>
        <v>0</v>
      </c>
      <c r="T193" s="111" t="n">
        <f aca="false">IF(IFERROR(INDEX(tsk_Name,GanttView[[#This Row],[_Row]])="",TRUE()),0,N(INDEX(tsk_Deadline,GanttView[[#This Row],[_Row]])))</f>
        <v>0</v>
      </c>
      <c r="U193" s="110" t="b">
        <f aca="false">IF(IFERROR(INDEX(tsk_Name,GanttView[[#This Row],[_Row]])="",TRUE()),FALSE(),INDEX(tsk_Critical,GanttView[[#This Row],[_Row]])="Yes")</f>
        <v>0</v>
      </c>
    </row>
    <row r="194" customFormat="false" ht="15" hidden="false" customHeight="false" outlineLevel="0" collapsed="false">
      <c r="A194" s="104" t="str">
        <f aca="false">IF(IFERROR(INDEX(tsk_Name,GanttView[[#This Row],[_Row]])="",TRUE()),"",INDEX(tsk_ID,GanttView[[#This Row],[_Row]]))</f>
        <v/>
      </c>
      <c r="B194" s="104" t="str">
        <f aca="false">IF(IFERROR(INDEX(tsk_Name,GanttView[[#This Row],[_Row]])="",TRUE()),"",INDEX(tsk_WBS,GanttView[[#This Row],[_Row]]))</f>
        <v/>
      </c>
      <c r="C194" s="105" t="str">
        <f aca="false">IF(IFERROR(INDEX(tsk_Name,GanttView[[#This Row],[_Row]])="",TRUE()),"",REPT("    ",INDEX(tsk_Level,GanttView[[#This Row],[_Row]])-1)&amp;INDEX(tsk_Name,GanttView[[#This Row],[_Row]]))</f>
        <v/>
      </c>
      <c r="D19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94" s="106" t="str">
        <f aca="false">IF(IFERROR(INDEX(tsk_Name,GanttView[[#This Row],[_Row]])="",TRUE()),"",INDEX(tsk_PlanStart,GanttView[[#This Row],[_Row]]))</f>
        <v/>
      </c>
      <c r="F194" s="106" t="str">
        <f aca="false">IF(IFERROR(INDEX(tsk_Name,GanttView[[#This Row],[_Row]])="",TRUE()),"",INDEX(tsk_PlanFinish,GanttView[[#This Row],[_Row]]))</f>
        <v/>
      </c>
      <c r="G194" s="106" t="str">
        <f aca="false">IF(IFERROR(INDEX(tsk_Name,GanttView[[#This Row],[_Row]])="",TRUE()),"",INDEX(tsk_FcStart,GanttView[[#This Row],[_Row]]))</f>
        <v/>
      </c>
      <c r="H194" s="106" t="str">
        <f aca="false">IF(IFERROR(INDEX(tsk_Name,GanttView[[#This Row],[_Row]])="",TRUE()),"",INDEX(tsk_FcFinish,GanttView[[#This Row],[_Row]]))</f>
        <v/>
      </c>
      <c r="I194" s="107" t="str">
        <f aca="false">IF(IFERROR(INDEX(tsk_Name,GanttView[[#This Row],[_Row]])="",TRUE()),"",INDEX(tsk_Progress,GanttView[[#This Row],[_Row]]))</f>
        <v/>
      </c>
      <c r="J194" s="105" t="str">
        <f aca="false">IF(IFERROR(INDEX(tsk_Name,GanttView[[#This Row],[_Row]])="",TRUE()),"",INDEX(tsk_Resource,GanttView[[#This Row],[_Row]])&amp;"")</f>
        <v/>
      </c>
      <c r="K194" s="108" t="str">
        <f aca="false">IF(IFERROR(INDEX(tsk_Name,GanttView[[#This Row],[_Row]])="",TRUE()),"",INDEX(tsk_Status,GanttView[[#This Row],[_Row]]))</f>
        <v/>
      </c>
      <c r="L194" s="109" t="n">
        <f aca="false">ROW()-ROW(GanttView[[#Headers],[ID]])</f>
        <v>189</v>
      </c>
      <c r="M194" s="110" t="b">
        <f aca="false">IF(IFERROR(INDEX(tsk_Name,GanttView[[#This Row],[_Row]])="",TRUE()),FALSE(),INDEX(tsk_IsSummary,GanttView[[#This Row],[_Row]]))</f>
        <v>0</v>
      </c>
      <c r="N194" s="110" t="b">
        <f aca="false">IF(IFERROR(INDEX(tsk_Name,GanttView[[#This Row],[_Row]])="",TRUE()),FALSE(),AND(INDEX(tsk_IsLeaf,GanttView[[#This Row],[_Row]])=1,N(INDEX(tsk_Duration,GanttView[[#This Row],[_Row]]))=0))</f>
        <v>0</v>
      </c>
      <c r="O19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9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9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94" s="111" t="n">
        <f aca="false">IF(GanttView[[#This Row],[_RemFrom]]=0,0,GanttView[[#This Row],[Forecast Finish]])</f>
        <v>0</v>
      </c>
      <c r="S194" s="110" t="b">
        <f aca="false">IF(IFERROR(INDEX(tsk_Name,GanttView[[#This Row],[_Row]])="",TRUE()),FALSE(),N(INDEX(tsk_Variance,GanttView[[#This Row],[_Row]]))&gt;0)</f>
        <v>0</v>
      </c>
      <c r="T194" s="111" t="n">
        <f aca="false">IF(IFERROR(INDEX(tsk_Name,GanttView[[#This Row],[_Row]])="",TRUE()),0,N(INDEX(tsk_Deadline,GanttView[[#This Row],[_Row]])))</f>
        <v>0</v>
      </c>
      <c r="U194" s="110" t="b">
        <f aca="false">IF(IFERROR(INDEX(tsk_Name,GanttView[[#This Row],[_Row]])="",TRUE()),FALSE(),INDEX(tsk_Critical,GanttView[[#This Row],[_Row]])="Yes")</f>
        <v>0</v>
      </c>
    </row>
    <row r="195" customFormat="false" ht="15" hidden="false" customHeight="false" outlineLevel="0" collapsed="false">
      <c r="A195" s="104" t="str">
        <f aca="false">IF(IFERROR(INDEX(tsk_Name,GanttView[[#This Row],[_Row]])="",TRUE()),"",INDEX(tsk_ID,GanttView[[#This Row],[_Row]]))</f>
        <v/>
      </c>
      <c r="B195" s="104" t="str">
        <f aca="false">IF(IFERROR(INDEX(tsk_Name,GanttView[[#This Row],[_Row]])="",TRUE()),"",INDEX(tsk_WBS,GanttView[[#This Row],[_Row]]))</f>
        <v/>
      </c>
      <c r="C195" s="105" t="str">
        <f aca="false">IF(IFERROR(INDEX(tsk_Name,GanttView[[#This Row],[_Row]])="",TRUE()),"",REPT("    ",INDEX(tsk_Level,GanttView[[#This Row],[_Row]])-1)&amp;INDEX(tsk_Name,GanttView[[#This Row],[_Row]]))</f>
        <v/>
      </c>
      <c r="D19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95" s="106" t="str">
        <f aca="false">IF(IFERROR(INDEX(tsk_Name,GanttView[[#This Row],[_Row]])="",TRUE()),"",INDEX(tsk_PlanStart,GanttView[[#This Row],[_Row]]))</f>
        <v/>
      </c>
      <c r="F195" s="106" t="str">
        <f aca="false">IF(IFERROR(INDEX(tsk_Name,GanttView[[#This Row],[_Row]])="",TRUE()),"",INDEX(tsk_PlanFinish,GanttView[[#This Row],[_Row]]))</f>
        <v/>
      </c>
      <c r="G195" s="106" t="str">
        <f aca="false">IF(IFERROR(INDEX(tsk_Name,GanttView[[#This Row],[_Row]])="",TRUE()),"",INDEX(tsk_FcStart,GanttView[[#This Row],[_Row]]))</f>
        <v/>
      </c>
      <c r="H195" s="106" t="str">
        <f aca="false">IF(IFERROR(INDEX(tsk_Name,GanttView[[#This Row],[_Row]])="",TRUE()),"",INDEX(tsk_FcFinish,GanttView[[#This Row],[_Row]]))</f>
        <v/>
      </c>
      <c r="I195" s="107" t="str">
        <f aca="false">IF(IFERROR(INDEX(tsk_Name,GanttView[[#This Row],[_Row]])="",TRUE()),"",INDEX(tsk_Progress,GanttView[[#This Row],[_Row]]))</f>
        <v/>
      </c>
      <c r="J195" s="105" t="str">
        <f aca="false">IF(IFERROR(INDEX(tsk_Name,GanttView[[#This Row],[_Row]])="",TRUE()),"",INDEX(tsk_Resource,GanttView[[#This Row],[_Row]])&amp;"")</f>
        <v/>
      </c>
      <c r="K195" s="108" t="str">
        <f aca="false">IF(IFERROR(INDEX(tsk_Name,GanttView[[#This Row],[_Row]])="",TRUE()),"",INDEX(tsk_Status,GanttView[[#This Row],[_Row]]))</f>
        <v/>
      </c>
      <c r="L195" s="109" t="n">
        <f aca="false">ROW()-ROW(GanttView[[#Headers],[ID]])</f>
        <v>190</v>
      </c>
      <c r="M195" s="110" t="b">
        <f aca="false">IF(IFERROR(INDEX(tsk_Name,GanttView[[#This Row],[_Row]])="",TRUE()),FALSE(),INDEX(tsk_IsSummary,GanttView[[#This Row],[_Row]]))</f>
        <v>0</v>
      </c>
      <c r="N195" s="110" t="b">
        <f aca="false">IF(IFERROR(INDEX(tsk_Name,GanttView[[#This Row],[_Row]])="",TRUE()),FALSE(),AND(INDEX(tsk_IsLeaf,GanttView[[#This Row],[_Row]])=1,N(INDEX(tsk_Duration,GanttView[[#This Row],[_Row]]))=0))</f>
        <v>0</v>
      </c>
      <c r="O19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9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9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95" s="111" t="n">
        <f aca="false">IF(GanttView[[#This Row],[_RemFrom]]=0,0,GanttView[[#This Row],[Forecast Finish]])</f>
        <v>0</v>
      </c>
      <c r="S195" s="110" t="b">
        <f aca="false">IF(IFERROR(INDEX(tsk_Name,GanttView[[#This Row],[_Row]])="",TRUE()),FALSE(),N(INDEX(tsk_Variance,GanttView[[#This Row],[_Row]]))&gt;0)</f>
        <v>0</v>
      </c>
      <c r="T195" s="111" t="n">
        <f aca="false">IF(IFERROR(INDEX(tsk_Name,GanttView[[#This Row],[_Row]])="",TRUE()),0,N(INDEX(tsk_Deadline,GanttView[[#This Row],[_Row]])))</f>
        <v>0</v>
      </c>
      <c r="U195" s="110" t="b">
        <f aca="false">IF(IFERROR(INDEX(tsk_Name,GanttView[[#This Row],[_Row]])="",TRUE()),FALSE(),INDEX(tsk_Critical,GanttView[[#This Row],[_Row]])="Yes")</f>
        <v>0</v>
      </c>
    </row>
    <row r="196" customFormat="false" ht="15" hidden="false" customHeight="false" outlineLevel="0" collapsed="false">
      <c r="A196" s="104" t="str">
        <f aca="false">IF(IFERROR(INDEX(tsk_Name,GanttView[[#This Row],[_Row]])="",TRUE()),"",INDEX(tsk_ID,GanttView[[#This Row],[_Row]]))</f>
        <v/>
      </c>
      <c r="B196" s="104" t="str">
        <f aca="false">IF(IFERROR(INDEX(tsk_Name,GanttView[[#This Row],[_Row]])="",TRUE()),"",INDEX(tsk_WBS,GanttView[[#This Row],[_Row]]))</f>
        <v/>
      </c>
      <c r="C196" s="105" t="str">
        <f aca="false">IF(IFERROR(INDEX(tsk_Name,GanttView[[#This Row],[_Row]])="",TRUE()),"",REPT("    ",INDEX(tsk_Level,GanttView[[#This Row],[_Row]])-1)&amp;INDEX(tsk_Name,GanttView[[#This Row],[_Row]]))</f>
        <v/>
      </c>
      <c r="D196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96" s="106" t="str">
        <f aca="false">IF(IFERROR(INDEX(tsk_Name,GanttView[[#This Row],[_Row]])="",TRUE()),"",INDEX(tsk_PlanStart,GanttView[[#This Row],[_Row]]))</f>
        <v/>
      </c>
      <c r="F196" s="106" t="str">
        <f aca="false">IF(IFERROR(INDEX(tsk_Name,GanttView[[#This Row],[_Row]])="",TRUE()),"",INDEX(tsk_PlanFinish,GanttView[[#This Row],[_Row]]))</f>
        <v/>
      </c>
      <c r="G196" s="106" t="str">
        <f aca="false">IF(IFERROR(INDEX(tsk_Name,GanttView[[#This Row],[_Row]])="",TRUE()),"",INDEX(tsk_FcStart,GanttView[[#This Row],[_Row]]))</f>
        <v/>
      </c>
      <c r="H196" s="106" t="str">
        <f aca="false">IF(IFERROR(INDEX(tsk_Name,GanttView[[#This Row],[_Row]])="",TRUE()),"",INDEX(tsk_FcFinish,GanttView[[#This Row],[_Row]]))</f>
        <v/>
      </c>
      <c r="I196" s="107" t="str">
        <f aca="false">IF(IFERROR(INDEX(tsk_Name,GanttView[[#This Row],[_Row]])="",TRUE()),"",INDEX(tsk_Progress,GanttView[[#This Row],[_Row]]))</f>
        <v/>
      </c>
      <c r="J196" s="105" t="str">
        <f aca="false">IF(IFERROR(INDEX(tsk_Name,GanttView[[#This Row],[_Row]])="",TRUE()),"",INDEX(tsk_Resource,GanttView[[#This Row],[_Row]])&amp;"")</f>
        <v/>
      </c>
      <c r="K196" s="108" t="str">
        <f aca="false">IF(IFERROR(INDEX(tsk_Name,GanttView[[#This Row],[_Row]])="",TRUE()),"",INDEX(tsk_Status,GanttView[[#This Row],[_Row]]))</f>
        <v/>
      </c>
      <c r="L196" s="109" t="n">
        <f aca="false">ROW()-ROW(GanttView[[#Headers],[ID]])</f>
        <v>191</v>
      </c>
      <c r="M196" s="110" t="b">
        <f aca="false">IF(IFERROR(INDEX(tsk_Name,GanttView[[#This Row],[_Row]])="",TRUE()),FALSE(),INDEX(tsk_IsSummary,GanttView[[#This Row],[_Row]]))</f>
        <v>0</v>
      </c>
      <c r="N196" s="110" t="b">
        <f aca="false">IF(IFERROR(INDEX(tsk_Name,GanttView[[#This Row],[_Row]])="",TRUE()),FALSE(),AND(INDEX(tsk_IsLeaf,GanttView[[#This Row],[_Row]])=1,N(INDEX(tsk_Duration,GanttView[[#This Row],[_Row]]))=0))</f>
        <v>0</v>
      </c>
      <c r="O196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96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96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96" s="111" t="n">
        <f aca="false">IF(GanttView[[#This Row],[_RemFrom]]=0,0,GanttView[[#This Row],[Forecast Finish]])</f>
        <v>0</v>
      </c>
      <c r="S196" s="110" t="b">
        <f aca="false">IF(IFERROR(INDEX(tsk_Name,GanttView[[#This Row],[_Row]])="",TRUE()),FALSE(),N(INDEX(tsk_Variance,GanttView[[#This Row],[_Row]]))&gt;0)</f>
        <v>0</v>
      </c>
      <c r="T196" s="111" t="n">
        <f aca="false">IF(IFERROR(INDEX(tsk_Name,GanttView[[#This Row],[_Row]])="",TRUE()),0,N(INDEX(tsk_Deadline,GanttView[[#This Row],[_Row]])))</f>
        <v>0</v>
      </c>
      <c r="U196" s="110" t="b">
        <f aca="false">IF(IFERROR(INDEX(tsk_Name,GanttView[[#This Row],[_Row]])="",TRUE()),FALSE(),INDEX(tsk_Critical,GanttView[[#This Row],[_Row]])="Yes")</f>
        <v>0</v>
      </c>
    </row>
    <row r="197" customFormat="false" ht="15" hidden="false" customHeight="false" outlineLevel="0" collapsed="false">
      <c r="A197" s="104" t="str">
        <f aca="false">IF(IFERROR(INDEX(tsk_Name,GanttView[[#This Row],[_Row]])="",TRUE()),"",INDEX(tsk_ID,GanttView[[#This Row],[_Row]]))</f>
        <v/>
      </c>
      <c r="B197" s="104" t="str">
        <f aca="false">IF(IFERROR(INDEX(tsk_Name,GanttView[[#This Row],[_Row]])="",TRUE()),"",INDEX(tsk_WBS,GanttView[[#This Row],[_Row]]))</f>
        <v/>
      </c>
      <c r="C197" s="105" t="str">
        <f aca="false">IF(IFERROR(INDEX(tsk_Name,GanttView[[#This Row],[_Row]])="",TRUE()),"",REPT("    ",INDEX(tsk_Level,GanttView[[#This Row],[_Row]])-1)&amp;INDEX(tsk_Name,GanttView[[#This Row],[_Row]]))</f>
        <v/>
      </c>
      <c r="D197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97" s="106" t="str">
        <f aca="false">IF(IFERROR(INDEX(tsk_Name,GanttView[[#This Row],[_Row]])="",TRUE()),"",INDEX(tsk_PlanStart,GanttView[[#This Row],[_Row]]))</f>
        <v/>
      </c>
      <c r="F197" s="106" t="str">
        <f aca="false">IF(IFERROR(INDEX(tsk_Name,GanttView[[#This Row],[_Row]])="",TRUE()),"",INDEX(tsk_PlanFinish,GanttView[[#This Row],[_Row]]))</f>
        <v/>
      </c>
      <c r="G197" s="106" t="str">
        <f aca="false">IF(IFERROR(INDEX(tsk_Name,GanttView[[#This Row],[_Row]])="",TRUE()),"",INDEX(tsk_FcStart,GanttView[[#This Row],[_Row]]))</f>
        <v/>
      </c>
      <c r="H197" s="106" t="str">
        <f aca="false">IF(IFERROR(INDEX(tsk_Name,GanttView[[#This Row],[_Row]])="",TRUE()),"",INDEX(tsk_FcFinish,GanttView[[#This Row],[_Row]]))</f>
        <v/>
      </c>
      <c r="I197" s="107" t="str">
        <f aca="false">IF(IFERROR(INDEX(tsk_Name,GanttView[[#This Row],[_Row]])="",TRUE()),"",INDEX(tsk_Progress,GanttView[[#This Row],[_Row]]))</f>
        <v/>
      </c>
      <c r="J197" s="105" t="str">
        <f aca="false">IF(IFERROR(INDEX(tsk_Name,GanttView[[#This Row],[_Row]])="",TRUE()),"",INDEX(tsk_Resource,GanttView[[#This Row],[_Row]])&amp;"")</f>
        <v/>
      </c>
      <c r="K197" s="108" t="str">
        <f aca="false">IF(IFERROR(INDEX(tsk_Name,GanttView[[#This Row],[_Row]])="",TRUE()),"",INDEX(tsk_Status,GanttView[[#This Row],[_Row]]))</f>
        <v/>
      </c>
      <c r="L197" s="109" t="n">
        <f aca="false">ROW()-ROW(GanttView[[#Headers],[ID]])</f>
        <v>192</v>
      </c>
      <c r="M197" s="110" t="b">
        <f aca="false">IF(IFERROR(INDEX(tsk_Name,GanttView[[#This Row],[_Row]])="",TRUE()),FALSE(),INDEX(tsk_IsSummary,GanttView[[#This Row],[_Row]]))</f>
        <v>0</v>
      </c>
      <c r="N197" s="110" t="b">
        <f aca="false">IF(IFERROR(INDEX(tsk_Name,GanttView[[#This Row],[_Row]])="",TRUE()),FALSE(),AND(INDEX(tsk_IsLeaf,GanttView[[#This Row],[_Row]])=1,N(INDEX(tsk_Duration,GanttView[[#This Row],[_Row]]))=0))</f>
        <v>0</v>
      </c>
      <c r="O197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97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97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97" s="111" t="n">
        <f aca="false">IF(GanttView[[#This Row],[_RemFrom]]=0,0,GanttView[[#This Row],[Forecast Finish]])</f>
        <v>0</v>
      </c>
      <c r="S197" s="110" t="b">
        <f aca="false">IF(IFERROR(INDEX(tsk_Name,GanttView[[#This Row],[_Row]])="",TRUE()),FALSE(),N(INDEX(tsk_Variance,GanttView[[#This Row],[_Row]]))&gt;0)</f>
        <v>0</v>
      </c>
      <c r="T197" s="111" t="n">
        <f aca="false">IF(IFERROR(INDEX(tsk_Name,GanttView[[#This Row],[_Row]])="",TRUE()),0,N(INDEX(tsk_Deadline,GanttView[[#This Row],[_Row]])))</f>
        <v>0</v>
      </c>
      <c r="U197" s="110" t="b">
        <f aca="false">IF(IFERROR(INDEX(tsk_Name,GanttView[[#This Row],[_Row]])="",TRUE()),FALSE(),INDEX(tsk_Critical,GanttView[[#This Row],[_Row]])="Yes")</f>
        <v>0</v>
      </c>
    </row>
    <row r="198" customFormat="false" ht="15" hidden="false" customHeight="false" outlineLevel="0" collapsed="false">
      <c r="A198" s="104" t="str">
        <f aca="false">IF(IFERROR(INDEX(tsk_Name,GanttView[[#This Row],[_Row]])="",TRUE()),"",INDEX(tsk_ID,GanttView[[#This Row],[_Row]]))</f>
        <v/>
      </c>
      <c r="B198" s="104" t="str">
        <f aca="false">IF(IFERROR(INDEX(tsk_Name,GanttView[[#This Row],[_Row]])="",TRUE()),"",INDEX(tsk_WBS,GanttView[[#This Row],[_Row]]))</f>
        <v/>
      </c>
      <c r="C198" s="105" t="str">
        <f aca="false">IF(IFERROR(INDEX(tsk_Name,GanttView[[#This Row],[_Row]])="",TRUE()),"",REPT("    ",INDEX(tsk_Level,GanttView[[#This Row],[_Row]])-1)&amp;INDEX(tsk_Name,GanttView[[#This Row],[_Row]]))</f>
        <v/>
      </c>
      <c r="D198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98" s="106" t="str">
        <f aca="false">IF(IFERROR(INDEX(tsk_Name,GanttView[[#This Row],[_Row]])="",TRUE()),"",INDEX(tsk_PlanStart,GanttView[[#This Row],[_Row]]))</f>
        <v/>
      </c>
      <c r="F198" s="106" t="str">
        <f aca="false">IF(IFERROR(INDEX(tsk_Name,GanttView[[#This Row],[_Row]])="",TRUE()),"",INDEX(tsk_PlanFinish,GanttView[[#This Row],[_Row]]))</f>
        <v/>
      </c>
      <c r="G198" s="106" t="str">
        <f aca="false">IF(IFERROR(INDEX(tsk_Name,GanttView[[#This Row],[_Row]])="",TRUE()),"",INDEX(tsk_FcStart,GanttView[[#This Row],[_Row]]))</f>
        <v/>
      </c>
      <c r="H198" s="106" t="str">
        <f aca="false">IF(IFERROR(INDEX(tsk_Name,GanttView[[#This Row],[_Row]])="",TRUE()),"",INDEX(tsk_FcFinish,GanttView[[#This Row],[_Row]]))</f>
        <v/>
      </c>
      <c r="I198" s="107" t="str">
        <f aca="false">IF(IFERROR(INDEX(tsk_Name,GanttView[[#This Row],[_Row]])="",TRUE()),"",INDEX(tsk_Progress,GanttView[[#This Row],[_Row]]))</f>
        <v/>
      </c>
      <c r="J198" s="105" t="str">
        <f aca="false">IF(IFERROR(INDEX(tsk_Name,GanttView[[#This Row],[_Row]])="",TRUE()),"",INDEX(tsk_Resource,GanttView[[#This Row],[_Row]])&amp;"")</f>
        <v/>
      </c>
      <c r="K198" s="108" t="str">
        <f aca="false">IF(IFERROR(INDEX(tsk_Name,GanttView[[#This Row],[_Row]])="",TRUE()),"",INDEX(tsk_Status,GanttView[[#This Row],[_Row]]))</f>
        <v/>
      </c>
      <c r="L198" s="109" t="n">
        <f aca="false">ROW()-ROW(GanttView[[#Headers],[ID]])</f>
        <v>193</v>
      </c>
      <c r="M198" s="110" t="b">
        <f aca="false">IF(IFERROR(INDEX(tsk_Name,GanttView[[#This Row],[_Row]])="",TRUE()),FALSE(),INDEX(tsk_IsSummary,GanttView[[#This Row],[_Row]]))</f>
        <v>0</v>
      </c>
      <c r="N198" s="110" t="b">
        <f aca="false">IF(IFERROR(INDEX(tsk_Name,GanttView[[#This Row],[_Row]])="",TRUE()),FALSE(),AND(INDEX(tsk_IsLeaf,GanttView[[#This Row],[_Row]])=1,N(INDEX(tsk_Duration,GanttView[[#This Row],[_Row]]))=0))</f>
        <v>0</v>
      </c>
      <c r="O198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98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98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98" s="111" t="n">
        <f aca="false">IF(GanttView[[#This Row],[_RemFrom]]=0,0,GanttView[[#This Row],[Forecast Finish]])</f>
        <v>0</v>
      </c>
      <c r="S198" s="110" t="b">
        <f aca="false">IF(IFERROR(INDEX(tsk_Name,GanttView[[#This Row],[_Row]])="",TRUE()),FALSE(),N(INDEX(tsk_Variance,GanttView[[#This Row],[_Row]]))&gt;0)</f>
        <v>0</v>
      </c>
      <c r="T198" s="111" t="n">
        <f aca="false">IF(IFERROR(INDEX(tsk_Name,GanttView[[#This Row],[_Row]])="",TRUE()),0,N(INDEX(tsk_Deadline,GanttView[[#This Row],[_Row]])))</f>
        <v>0</v>
      </c>
      <c r="U198" s="110" t="b">
        <f aca="false">IF(IFERROR(INDEX(tsk_Name,GanttView[[#This Row],[_Row]])="",TRUE()),FALSE(),INDEX(tsk_Critical,GanttView[[#This Row],[_Row]])="Yes")</f>
        <v>0</v>
      </c>
    </row>
    <row r="199" customFormat="false" ht="15" hidden="false" customHeight="false" outlineLevel="0" collapsed="false">
      <c r="A199" s="104" t="str">
        <f aca="false">IF(IFERROR(INDEX(tsk_Name,GanttView[[#This Row],[_Row]])="",TRUE()),"",INDEX(tsk_ID,GanttView[[#This Row],[_Row]]))</f>
        <v/>
      </c>
      <c r="B199" s="104" t="str">
        <f aca="false">IF(IFERROR(INDEX(tsk_Name,GanttView[[#This Row],[_Row]])="",TRUE()),"",INDEX(tsk_WBS,GanttView[[#This Row],[_Row]]))</f>
        <v/>
      </c>
      <c r="C199" s="105" t="str">
        <f aca="false">IF(IFERROR(INDEX(tsk_Name,GanttView[[#This Row],[_Row]])="",TRUE()),"",REPT("    ",INDEX(tsk_Level,GanttView[[#This Row],[_Row]])-1)&amp;INDEX(tsk_Name,GanttView[[#This Row],[_Row]]))</f>
        <v/>
      </c>
      <c r="D199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199" s="106" t="str">
        <f aca="false">IF(IFERROR(INDEX(tsk_Name,GanttView[[#This Row],[_Row]])="",TRUE()),"",INDEX(tsk_PlanStart,GanttView[[#This Row],[_Row]]))</f>
        <v/>
      </c>
      <c r="F199" s="106" t="str">
        <f aca="false">IF(IFERROR(INDEX(tsk_Name,GanttView[[#This Row],[_Row]])="",TRUE()),"",INDEX(tsk_PlanFinish,GanttView[[#This Row],[_Row]]))</f>
        <v/>
      </c>
      <c r="G199" s="106" t="str">
        <f aca="false">IF(IFERROR(INDEX(tsk_Name,GanttView[[#This Row],[_Row]])="",TRUE()),"",INDEX(tsk_FcStart,GanttView[[#This Row],[_Row]]))</f>
        <v/>
      </c>
      <c r="H199" s="106" t="str">
        <f aca="false">IF(IFERROR(INDEX(tsk_Name,GanttView[[#This Row],[_Row]])="",TRUE()),"",INDEX(tsk_FcFinish,GanttView[[#This Row],[_Row]]))</f>
        <v/>
      </c>
      <c r="I199" s="107" t="str">
        <f aca="false">IF(IFERROR(INDEX(tsk_Name,GanttView[[#This Row],[_Row]])="",TRUE()),"",INDEX(tsk_Progress,GanttView[[#This Row],[_Row]]))</f>
        <v/>
      </c>
      <c r="J199" s="105" t="str">
        <f aca="false">IF(IFERROR(INDEX(tsk_Name,GanttView[[#This Row],[_Row]])="",TRUE()),"",INDEX(tsk_Resource,GanttView[[#This Row],[_Row]])&amp;"")</f>
        <v/>
      </c>
      <c r="K199" s="108" t="str">
        <f aca="false">IF(IFERROR(INDEX(tsk_Name,GanttView[[#This Row],[_Row]])="",TRUE()),"",INDEX(tsk_Status,GanttView[[#This Row],[_Row]]))</f>
        <v/>
      </c>
      <c r="L199" s="109" t="n">
        <f aca="false">ROW()-ROW(GanttView[[#Headers],[ID]])</f>
        <v>194</v>
      </c>
      <c r="M199" s="110" t="b">
        <f aca="false">IF(IFERROR(INDEX(tsk_Name,GanttView[[#This Row],[_Row]])="",TRUE()),FALSE(),INDEX(tsk_IsSummary,GanttView[[#This Row],[_Row]]))</f>
        <v>0</v>
      </c>
      <c r="N199" s="110" t="b">
        <f aca="false">IF(IFERROR(INDEX(tsk_Name,GanttView[[#This Row],[_Row]])="",TRUE()),FALSE(),AND(INDEX(tsk_IsLeaf,GanttView[[#This Row],[_Row]])=1,N(INDEX(tsk_Duration,GanttView[[#This Row],[_Row]]))=0))</f>
        <v>0</v>
      </c>
      <c r="O199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199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199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199" s="111" t="n">
        <f aca="false">IF(GanttView[[#This Row],[_RemFrom]]=0,0,GanttView[[#This Row],[Forecast Finish]])</f>
        <v>0</v>
      </c>
      <c r="S199" s="110" t="b">
        <f aca="false">IF(IFERROR(INDEX(tsk_Name,GanttView[[#This Row],[_Row]])="",TRUE()),FALSE(),N(INDEX(tsk_Variance,GanttView[[#This Row],[_Row]]))&gt;0)</f>
        <v>0</v>
      </c>
      <c r="T199" s="111" t="n">
        <f aca="false">IF(IFERROR(INDEX(tsk_Name,GanttView[[#This Row],[_Row]])="",TRUE()),0,N(INDEX(tsk_Deadline,GanttView[[#This Row],[_Row]])))</f>
        <v>0</v>
      </c>
      <c r="U199" s="110" t="b">
        <f aca="false">IF(IFERROR(INDEX(tsk_Name,GanttView[[#This Row],[_Row]])="",TRUE()),FALSE(),INDEX(tsk_Critical,GanttView[[#This Row],[_Row]])="Yes")</f>
        <v>0</v>
      </c>
    </row>
    <row r="200" customFormat="false" ht="15" hidden="false" customHeight="false" outlineLevel="0" collapsed="false">
      <c r="A200" s="104" t="str">
        <f aca="false">IF(IFERROR(INDEX(tsk_Name,GanttView[[#This Row],[_Row]])="",TRUE()),"",INDEX(tsk_ID,GanttView[[#This Row],[_Row]]))</f>
        <v/>
      </c>
      <c r="B200" s="104" t="str">
        <f aca="false">IF(IFERROR(INDEX(tsk_Name,GanttView[[#This Row],[_Row]])="",TRUE()),"",INDEX(tsk_WBS,GanttView[[#This Row],[_Row]]))</f>
        <v/>
      </c>
      <c r="C200" s="105" t="str">
        <f aca="false">IF(IFERROR(INDEX(tsk_Name,GanttView[[#This Row],[_Row]])="",TRUE()),"",REPT("    ",INDEX(tsk_Level,GanttView[[#This Row],[_Row]])-1)&amp;INDEX(tsk_Name,GanttView[[#This Row],[_Row]]))</f>
        <v/>
      </c>
      <c r="D200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200" s="106" t="str">
        <f aca="false">IF(IFERROR(INDEX(tsk_Name,GanttView[[#This Row],[_Row]])="",TRUE()),"",INDEX(tsk_PlanStart,GanttView[[#This Row],[_Row]]))</f>
        <v/>
      </c>
      <c r="F200" s="106" t="str">
        <f aca="false">IF(IFERROR(INDEX(tsk_Name,GanttView[[#This Row],[_Row]])="",TRUE()),"",INDEX(tsk_PlanFinish,GanttView[[#This Row],[_Row]]))</f>
        <v/>
      </c>
      <c r="G200" s="106" t="str">
        <f aca="false">IF(IFERROR(INDEX(tsk_Name,GanttView[[#This Row],[_Row]])="",TRUE()),"",INDEX(tsk_FcStart,GanttView[[#This Row],[_Row]]))</f>
        <v/>
      </c>
      <c r="H200" s="106" t="str">
        <f aca="false">IF(IFERROR(INDEX(tsk_Name,GanttView[[#This Row],[_Row]])="",TRUE()),"",INDEX(tsk_FcFinish,GanttView[[#This Row],[_Row]]))</f>
        <v/>
      </c>
      <c r="I200" s="107" t="str">
        <f aca="false">IF(IFERROR(INDEX(tsk_Name,GanttView[[#This Row],[_Row]])="",TRUE()),"",INDEX(tsk_Progress,GanttView[[#This Row],[_Row]]))</f>
        <v/>
      </c>
      <c r="J200" s="105" t="str">
        <f aca="false">IF(IFERROR(INDEX(tsk_Name,GanttView[[#This Row],[_Row]])="",TRUE()),"",INDEX(tsk_Resource,GanttView[[#This Row],[_Row]])&amp;"")</f>
        <v/>
      </c>
      <c r="K200" s="108" t="str">
        <f aca="false">IF(IFERROR(INDEX(tsk_Name,GanttView[[#This Row],[_Row]])="",TRUE()),"",INDEX(tsk_Status,GanttView[[#This Row],[_Row]]))</f>
        <v/>
      </c>
      <c r="L200" s="109" t="n">
        <f aca="false">ROW()-ROW(GanttView[[#Headers],[ID]])</f>
        <v>195</v>
      </c>
      <c r="M200" s="110" t="b">
        <f aca="false">IF(IFERROR(INDEX(tsk_Name,GanttView[[#This Row],[_Row]])="",TRUE()),FALSE(),INDEX(tsk_IsSummary,GanttView[[#This Row],[_Row]]))</f>
        <v>0</v>
      </c>
      <c r="N200" s="110" t="b">
        <f aca="false">IF(IFERROR(INDEX(tsk_Name,GanttView[[#This Row],[_Row]])="",TRUE()),FALSE(),AND(INDEX(tsk_IsLeaf,GanttView[[#This Row],[_Row]])=1,N(INDEX(tsk_Duration,GanttView[[#This Row],[_Row]]))=0))</f>
        <v>0</v>
      </c>
      <c r="O200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00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00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200" s="111" t="n">
        <f aca="false">IF(GanttView[[#This Row],[_RemFrom]]=0,0,GanttView[[#This Row],[Forecast Finish]])</f>
        <v>0</v>
      </c>
      <c r="S200" s="110" t="b">
        <f aca="false">IF(IFERROR(INDEX(tsk_Name,GanttView[[#This Row],[_Row]])="",TRUE()),FALSE(),N(INDEX(tsk_Variance,GanttView[[#This Row],[_Row]]))&gt;0)</f>
        <v>0</v>
      </c>
      <c r="T200" s="111" t="n">
        <f aca="false">IF(IFERROR(INDEX(tsk_Name,GanttView[[#This Row],[_Row]])="",TRUE()),0,N(INDEX(tsk_Deadline,GanttView[[#This Row],[_Row]])))</f>
        <v>0</v>
      </c>
      <c r="U200" s="110" t="b">
        <f aca="false">IF(IFERROR(INDEX(tsk_Name,GanttView[[#This Row],[_Row]])="",TRUE()),FALSE(),INDEX(tsk_Critical,GanttView[[#This Row],[_Row]])="Yes")</f>
        <v>0</v>
      </c>
    </row>
    <row r="201" customFormat="false" ht="15" hidden="false" customHeight="false" outlineLevel="0" collapsed="false">
      <c r="A201" s="104" t="str">
        <f aca="false">IF(IFERROR(INDEX(tsk_Name,GanttView[[#This Row],[_Row]])="",TRUE()),"",INDEX(tsk_ID,GanttView[[#This Row],[_Row]]))</f>
        <v/>
      </c>
      <c r="B201" s="104" t="str">
        <f aca="false">IF(IFERROR(INDEX(tsk_Name,GanttView[[#This Row],[_Row]])="",TRUE()),"",INDEX(tsk_WBS,GanttView[[#This Row],[_Row]]))</f>
        <v/>
      </c>
      <c r="C201" s="105" t="str">
        <f aca="false">IF(IFERROR(INDEX(tsk_Name,GanttView[[#This Row],[_Row]])="",TRUE()),"",REPT("    ",INDEX(tsk_Level,GanttView[[#This Row],[_Row]])-1)&amp;INDEX(tsk_Name,GanttView[[#This Row],[_Row]]))</f>
        <v/>
      </c>
      <c r="D201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201" s="106" t="str">
        <f aca="false">IF(IFERROR(INDEX(tsk_Name,GanttView[[#This Row],[_Row]])="",TRUE()),"",INDEX(tsk_PlanStart,GanttView[[#This Row],[_Row]]))</f>
        <v/>
      </c>
      <c r="F201" s="106" t="str">
        <f aca="false">IF(IFERROR(INDEX(tsk_Name,GanttView[[#This Row],[_Row]])="",TRUE()),"",INDEX(tsk_PlanFinish,GanttView[[#This Row],[_Row]]))</f>
        <v/>
      </c>
      <c r="G201" s="106" t="str">
        <f aca="false">IF(IFERROR(INDEX(tsk_Name,GanttView[[#This Row],[_Row]])="",TRUE()),"",INDEX(tsk_FcStart,GanttView[[#This Row],[_Row]]))</f>
        <v/>
      </c>
      <c r="H201" s="106" t="str">
        <f aca="false">IF(IFERROR(INDEX(tsk_Name,GanttView[[#This Row],[_Row]])="",TRUE()),"",INDEX(tsk_FcFinish,GanttView[[#This Row],[_Row]]))</f>
        <v/>
      </c>
      <c r="I201" s="107" t="str">
        <f aca="false">IF(IFERROR(INDEX(tsk_Name,GanttView[[#This Row],[_Row]])="",TRUE()),"",INDEX(tsk_Progress,GanttView[[#This Row],[_Row]]))</f>
        <v/>
      </c>
      <c r="J201" s="105" t="str">
        <f aca="false">IF(IFERROR(INDEX(tsk_Name,GanttView[[#This Row],[_Row]])="",TRUE()),"",INDEX(tsk_Resource,GanttView[[#This Row],[_Row]])&amp;"")</f>
        <v/>
      </c>
      <c r="K201" s="108" t="str">
        <f aca="false">IF(IFERROR(INDEX(tsk_Name,GanttView[[#This Row],[_Row]])="",TRUE()),"",INDEX(tsk_Status,GanttView[[#This Row],[_Row]]))</f>
        <v/>
      </c>
      <c r="L201" s="109" t="n">
        <f aca="false">ROW()-ROW(GanttView[[#Headers],[ID]])</f>
        <v>196</v>
      </c>
      <c r="M201" s="110" t="b">
        <f aca="false">IF(IFERROR(INDEX(tsk_Name,GanttView[[#This Row],[_Row]])="",TRUE()),FALSE(),INDEX(tsk_IsSummary,GanttView[[#This Row],[_Row]]))</f>
        <v>0</v>
      </c>
      <c r="N201" s="110" t="b">
        <f aca="false">IF(IFERROR(INDEX(tsk_Name,GanttView[[#This Row],[_Row]])="",TRUE()),FALSE(),AND(INDEX(tsk_IsLeaf,GanttView[[#This Row],[_Row]])=1,N(INDEX(tsk_Duration,GanttView[[#This Row],[_Row]]))=0))</f>
        <v>0</v>
      </c>
      <c r="O201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01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01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201" s="111" t="n">
        <f aca="false">IF(GanttView[[#This Row],[_RemFrom]]=0,0,GanttView[[#This Row],[Forecast Finish]])</f>
        <v>0</v>
      </c>
      <c r="S201" s="110" t="b">
        <f aca="false">IF(IFERROR(INDEX(tsk_Name,GanttView[[#This Row],[_Row]])="",TRUE()),FALSE(),N(INDEX(tsk_Variance,GanttView[[#This Row],[_Row]]))&gt;0)</f>
        <v>0</v>
      </c>
      <c r="T201" s="111" t="n">
        <f aca="false">IF(IFERROR(INDEX(tsk_Name,GanttView[[#This Row],[_Row]])="",TRUE()),0,N(INDEX(tsk_Deadline,GanttView[[#This Row],[_Row]])))</f>
        <v>0</v>
      </c>
      <c r="U201" s="110" t="b">
        <f aca="false">IF(IFERROR(INDEX(tsk_Name,GanttView[[#This Row],[_Row]])="",TRUE()),FALSE(),INDEX(tsk_Critical,GanttView[[#This Row],[_Row]])="Yes")</f>
        <v>0</v>
      </c>
    </row>
    <row r="202" customFormat="false" ht="15" hidden="false" customHeight="false" outlineLevel="0" collapsed="false">
      <c r="A202" s="104" t="str">
        <f aca="false">IF(IFERROR(INDEX(tsk_Name,GanttView[[#This Row],[_Row]])="",TRUE()),"",INDEX(tsk_ID,GanttView[[#This Row],[_Row]]))</f>
        <v/>
      </c>
      <c r="B202" s="104" t="str">
        <f aca="false">IF(IFERROR(INDEX(tsk_Name,GanttView[[#This Row],[_Row]])="",TRUE()),"",INDEX(tsk_WBS,GanttView[[#This Row],[_Row]]))</f>
        <v/>
      </c>
      <c r="C202" s="105" t="str">
        <f aca="false">IF(IFERROR(INDEX(tsk_Name,GanttView[[#This Row],[_Row]])="",TRUE()),"",REPT("    ",INDEX(tsk_Level,GanttView[[#This Row],[_Row]])-1)&amp;INDEX(tsk_Name,GanttView[[#This Row],[_Row]]))</f>
        <v/>
      </c>
      <c r="D202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202" s="106" t="str">
        <f aca="false">IF(IFERROR(INDEX(tsk_Name,GanttView[[#This Row],[_Row]])="",TRUE()),"",INDEX(tsk_PlanStart,GanttView[[#This Row],[_Row]]))</f>
        <v/>
      </c>
      <c r="F202" s="106" t="str">
        <f aca="false">IF(IFERROR(INDEX(tsk_Name,GanttView[[#This Row],[_Row]])="",TRUE()),"",INDEX(tsk_PlanFinish,GanttView[[#This Row],[_Row]]))</f>
        <v/>
      </c>
      <c r="G202" s="106" t="str">
        <f aca="false">IF(IFERROR(INDEX(tsk_Name,GanttView[[#This Row],[_Row]])="",TRUE()),"",INDEX(tsk_FcStart,GanttView[[#This Row],[_Row]]))</f>
        <v/>
      </c>
      <c r="H202" s="106" t="str">
        <f aca="false">IF(IFERROR(INDEX(tsk_Name,GanttView[[#This Row],[_Row]])="",TRUE()),"",INDEX(tsk_FcFinish,GanttView[[#This Row],[_Row]]))</f>
        <v/>
      </c>
      <c r="I202" s="107" t="str">
        <f aca="false">IF(IFERROR(INDEX(tsk_Name,GanttView[[#This Row],[_Row]])="",TRUE()),"",INDEX(tsk_Progress,GanttView[[#This Row],[_Row]]))</f>
        <v/>
      </c>
      <c r="J202" s="105" t="str">
        <f aca="false">IF(IFERROR(INDEX(tsk_Name,GanttView[[#This Row],[_Row]])="",TRUE()),"",INDEX(tsk_Resource,GanttView[[#This Row],[_Row]])&amp;"")</f>
        <v/>
      </c>
      <c r="K202" s="108" t="str">
        <f aca="false">IF(IFERROR(INDEX(tsk_Name,GanttView[[#This Row],[_Row]])="",TRUE()),"",INDEX(tsk_Status,GanttView[[#This Row],[_Row]]))</f>
        <v/>
      </c>
      <c r="L202" s="109" t="n">
        <f aca="false">ROW()-ROW(GanttView[[#Headers],[ID]])</f>
        <v>197</v>
      </c>
      <c r="M202" s="110" t="b">
        <f aca="false">IF(IFERROR(INDEX(tsk_Name,GanttView[[#This Row],[_Row]])="",TRUE()),FALSE(),INDEX(tsk_IsSummary,GanttView[[#This Row],[_Row]]))</f>
        <v>0</v>
      </c>
      <c r="N202" s="110" t="b">
        <f aca="false">IF(IFERROR(INDEX(tsk_Name,GanttView[[#This Row],[_Row]])="",TRUE()),FALSE(),AND(INDEX(tsk_IsLeaf,GanttView[[#This Row],[_Row]])=1,N(INDEX(tsk_Duration,GanttView[[#This Row],[_Row]]))=0))</f>
        <v>0</v>
      </c>
      <c r="O202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02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02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202" s="111" t="n">
        <f aca="false">IF(GanttView[[#This Row],[_RemFrom]]=0,0,GanttView[[#This Row],[Forecast Finish]])</f>
        <v>0</v>
      </c>
      <c r="S202" s="110" t="b">
        <f aca="false">IF(IFERROR(INDEX(tsk_Name,GanttView[[#This Row],[_Row]])="",TRUE()),FALSE(),N(INDEX(tsk_Variance,GanttView[[#This Row],[_Row]]))&gt;0)</f>
        <v>0</v>
      </c>
      <c r="T202" s="111" t="n">
        <f aca="false">IF(IFERROR(INDEX(tsk_Name,GanttView[[#This Row],[_Row]])="",TRUE()),0,N(INDEX(tsk_Deadline,GanttView[[#This Row],[_Row]])))</f>
        <v>0</v>
      </c>
      <c r="U202" s="110" t="b">
        <f aca="false">IF(IFERROR(INDEX(tsk_Name,GanttView[[#This Row],[_Row]])="",TRUE()),FALSE(),INDEX(tsk_Critical,GanttView[[#This Row],[_Row]])="Yes")</f>
        <v>0</v>
      </c>
    </row>
    <row r="203" customFormat="false" ht="15" hidden="false" customHeight="false" outlineLevel="0" collapsed="false">
      <c r="A203" s="104" t="str">
        <f aca="false">IF(IFERROR(INDEX(tsk_Name,GanttView[[#This Row],[_Row]])="",TRUE()),"",INDEX(tsk_ID,GanttView[[#This Row],[_Row]]))</f>
        <v/>
      </c>
      <c r="B203" s="104" t="str">
        <f aca="false">IF(IFERROR(INDEX(tsk_Name,GanttView[[#This Row],[_Row]])="",TRUE()),"",INDEX(tsk_WBS,GanttView[[#This Row],[_Row]]))</f>
        <v/>
      </c>
      <c r="C203" s="105" t="str">
        <f aca="false">IF(IFERROR(INDEX(tsk_Name,GanttView[[#This Row],[_Row]])="",TRUE()),"",REPT("    ",INDEX(tsk_Level,GanttView[[#This Row],[_Row]])-1)&amp;INDEX(tsk_Name,GanttView[[#This Row],[_Row]]))</f>
        <v/>
      </c>
      <c r="D203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203" s="106" t="str">
        <f aca="false">IF(IFERROR(INDEX(tsk_Name,GanttView[[#This Row],[_Row]])="",TRUE()),"",INDEX(tsk_PlanStart,GanttView[[#This Row],[_Row]]))</f>
        <v/>
      </c>
      <c r="F203" s="106" t="str">
        <f aca="false">IF(IFERROR(INDEX(tsk_Name,GanttView[[#This Row],[_Row]])="",TRUE()),"",INDEX(tsk_PlanFinish,GanttView[[#This Row],[_Row]]))</f>
        <v/>
      </c>
      <c r="G203" s="106" t="str">
        <f aca="false">IF(IFERROR(INDEX(tsk_Name,GanttView[[#This Row],[_Row]])="",TRUE()),"",INDEX(tsk_FcStart,GanttView[[#This Row],[_Row]]))</f>
        <v/>
      </c>
      <c r="H203" s="106" t="str">
        <f aca="false">IF(IFERROR(INDEX(tsk_Name,GanttView[[#This Row],[_Row]])="",TRUE()),"",INDEX(tsk_FcFinish,GanttView[[#This Row],[_Row]]))</f>
        <v/>
      </c>
      <c r="I203" s="107" t="str">
        <f aca="false">IF(IFERROR(INDEX(tsk_Name,GanttView[[#This Row],[_Row]])="",TRUE()),"",INDEX(tsk_Progress,GanttView[[#This Row],[_Row]]))</f>
        <v/>
      </c>
      <c r="J203" s="105" t="str">
        <f aca="false">IF(IFERROR(INDEX(tsk_Name,GanttView[[#This Row],[_Row]])="",TRUE()),"",INDEX(tsk_Resource,GanttView[[#This Row],[_Row]])&amp;"")</f>
        <v/>
      </c>
      <c r="K203" s="108" t="str">
        <f aca="false">IF(IFERROR(INDEX(tsk_Name,GanttView[[#This Row],[_Row]])="",TRUE()),"",INDEX(tsk_Status,GanttView[[#This Row],[_Row]]))</f>
        <v/>
      </c>
      <c r="L203" s="109" t="n">
        <f aca="false">ROW()-ROW(GanttView[[#Headers],[ID]])</f>
        <v>198</v>
      </c>
      <c r="M203" s="110" t="b">
        <f aca="false">IF(IFERROR(INDEX(tsk_Name,GanttView[[#This Row],[_Row]])="",TRUE()),FALSE(),INDEX(tsk_IsSummary,GanttView[[#This Row],[_Row]]))</f>
        <v>0</v>
      </c>
      <c r="N203" s="110" t="b">
        <f aca="false">IF(IFERROR(INDEX(tsk_Name,GanttView[[#This Row],[_Row]])="",TRUE()),FALSE(),AND(INDEX(tsk_IsLeaf,GanttView[[#This Row],[_Row]])=1,N(INDEX(tsk_Duration,GanttView[[#This Row],[_Row]]))=0))</f>
        <v>0</v>
      </c>
      <c r="O203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03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03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203" s="111" t="n">
        <f aca="false">IF(GanttView[[#This Row],[_RemFrom]]=0,0,GanttView[[#This Row],[Forecast Finish]])</f>
        <v>0</v>
      </c>
      <c r="S203" s="110" t="b">
        <f aca="false">IF(IFERROR(INDEX(tsk_Name,GanttView[[#This Row],[_Row]])="",TRUE()),FALSE(),N(INDEX(tsk_Variance,GanttView[[#This Row],[_Row]]))&gt;0)</f>
        <v>0</v>
      </c>
      <c r="T203" s="111" t="n">
        <f aca="false">IF(IFERROR(INDEX(tsk_Name,GanttView[[#This Row],[_Row]])="",TRUE()),0,N(INDEX(tsk_Deadline,GanttView[[#This Row],[_Row]])))</f>
        <v>0</v>
      </c>
      <c r="U203" s="110" t="b">
        <f aca="false">IF(IFERROR(INDEX(tsk_Name,GanttView[[#This Row],[_Row]])="",TRUE()),FALSE(),INDEX(tsk_Critical,GanttView[[#This Row],[_Row]])="Yes")</f>
        <v>0</v>
      </c>
    </row>
    <row r="204" customFormat="false" ht="15" hidden="false" customHeight="false" outlineLevel="0" collapsed="false">
      <c r="A204" s="104" t="str">
        <f aca="false">IF(IFERROR(INDEX(tsk_Name,GanttView[[#This Row],[_Row]])="",TRUE()),"",INDEX(tsk_ID,GanttView[[#This Row],[_Row]]))</f>
        <v/>
      </c>
      <c r="B204" s="104" t="str">
        <f aca="false">IF(IFERROR(INDEX(tsk_Name,GanttView[[#This Row],[_Row]])="",TRUE()),"",INDEX(tsk_WBS,GanttView[[#This Row],[_Row]]))</f>
        <v/>
      </c>
      <c r="C204" s="105" t="str">
        <f aca="false">IF(IFERROR(INDEX(tsk_Name,GanttView[[#This Row],[_Row]])="",TRUE()),"",REPT("    ",INDEX(tsk_Level,GanttView[[#This Row],[_Row]])-1)&amp;INDEX(tsk_Name,GanttView[[#This Row],[_Row]]))</f>
        <v/>
      </c>
      <c r="D204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204" s="106" t="str">
        <f aca="false">IF(IFERROR(INDEX(tsk_Name,GanttView[[#This Row],[_Row]])="",TRUE()),"",INDEX(tsk_PlanStart,GanttView[[#This Row],[_Row]]))</f>
        <v/>
      </c>
      <c r="F204" s="106" t="str">
        <f aca="false">IF(IFERROR(INDEX(tsk_Name,GanttView[[#This Row],[_Row]])="",TRUE()),"",INDEX(tsk_PlanFinish,GanttView[[#This Row],[_Row]]))</f>
        <v/>
      </c>
      <c r="G204" s="106" t="str">
        <f aca="false">IF(IFERROR(INDEX(tsk_Name,GanttView[[#This Row],[_Row]])="",TRUE()),"",INDEX(tsk_FcStart,GanttView[[#This Row],[_Row]]))</f>
        <v/>
      </c>
      <c r="H204" s="106" t="str">
        <f aca="false">IF(IFERROR(INDEX(tsk_Name,GanttView[[#This Row],[_Row]])="",TRUE()),"",INDEX(tsk_FcFinish,GanttView[[#This Row],[_Row]]))</f>
        <v/>
      </c>
      <c r="I204" s="107" t="str">
        <f aca="false">IF(IFERROR(INDEX(tsk_Name,GanttView[[#This Row],[_Row]])="",TRUE()),"",INDEX(tsk_Progress,GanttView[[#This Row],[_Row]]))</f>
        <v/>
      </c>
      <c r="J204" s="105" t="str">
        <f aca="false">IF(IFERROR(INDEX(tsk_Name,GanttView[[#This Row],[_Row]])="",TRUE()),"",INDEX(tsk_Resource,GanttView[[#This Row],[_Row]])&amp;"")</f>
        <v/>
      </c>
      <c r="K204" s="108" t="str">
        <f aca="false">IF(IFERROR(INDEX(tsk_Name,GanttView[[#This Row],[_Row]])="",TRUE()),"",INDEX(tsk_Status,GanttView[[#This Row],[_Row]]))</f>
        <v/>
      </c>
      <c r="L204" s="109" t="n">
        <f aca="false">ROW()-ROW(GanttView[[#Headers],[ID]])</f>
        <v>199</v>
      </c>
      <c r="M204" s="110" t="b">
        <f aca="false">IF(IFERROR(INDEX(tsk_Name,GanttView[[#This Row],[_Row]])="",TRUE()),FALSE(),INDEX(tsk_IsSummary,GanttView[[#This Row],[_Row]]))</f>
        <v>0</v>
      </c>
      <c r="N204" s="110" t="b">
        <f aca="false">IF(IFERROR(INDEX(tsk_Name,GanttView[[#This Row],[_Row]])="",TRUE()),FALSE(),AND(INDEX(tsk_IsLeaf,GanttView[[#This Row],[_Row]])=1,N(INDEX(tsk_Duration,GanttView[[#This Row],[_Row]]))=0))</f>
        <v>0</v>
      </c>
      <c r="O204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04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04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204" s="111" t="n">
        <f aca="false">IF(GanttView[[#This Row],[_RemFrom]]=0,0,GanttView[[#This Row],[Forecast Finish]])</f>
        <v>0</v>
      </c>
      <c r="S204" s="110" t="b">
        <f aca="false">IF(IFERROR(INDEX(tsk_Name,GanttView[[#This Row],[_Row]])="",TRUE()),FALSE(),N(INDEX(tsk_Variance,GanttView[[#This Row],[_Row]]))&gt;0)</f>
        <v>0</v>
      </c>
      <c r="T204" s="111" t="n">
        <f aca="false">IF(IFERROR(INDEX(tsk_Name,GanttView[[#This Row],[_Row]])="",TRUE()),0,N(INDEX(tsk_Deadline,GanttView[[#This Row],[_Row]])))</f>
        <v>0</v>
      </c>
      <c r="U204" s="110" t="b">
        <f aca="false">IF(IFERROR(INDEX(tsk_Name,GanttView[[#This Row],[_Row]])="",TRUE()),FALSE(),INDEX(tsk_Critical,GanttView[[#This Row],[_Row]])="Yes")</f>
        <v>0</v>
      </c>
    </row>
    <row r="205" customFormat="false" ht="15" hidden="false" customHeight="false" outlineLevel="0" collapsed="false">
      <c r="A205" s="104" t="str">
        <f aca="false">IF(IFERROR(INDEX(tsk_Name,GanttView[[#This Row],[_Row]])="",TRUE()),"",INDEX(tsk_ID,GanttView[[#This Row],[_Row]]))</f>
        <v/>
      </c>
      <c r="B205" s="104" t="str">
        <f aca="false">IF(IFERROR(INDEX(tsk_Name,GanttView[[#This Row],[_Row]])="",TRUE()),"",INDEX(tsk_WBS,GanttView[[#This Row],[_Row]]))</f>
        <v/>
      </c>
      <c r="C205" s="105" t="str">
        <f aca="false">IF(IFERROR(INDEX(tsk_Name,GanttView[[#This Row],[_Row]])="",TRUE()),"",REPT("    ",INDEX(tsk_Level,GanttView[[#This Row],[_Row]])-1)&amp;INDEX(tsk_Name,GanttView[[#This Row],[_Row]]))</f>
        <v/>
      </c>
      <c r="D205" s="104" t="str">
        <f aca="false">IF(IFERROR(INDEX(tsk_Name,GanttView[[#This Row],[_Row]])="",TRUE()),"",IF(INDEX(tsk_IsSummary,GanttView[[#This Row],[_Row]]),NETWORKDAYS.INTL(INDEX(tsk_FcStart,GanttView[[#This Row],[_Row]]),INDEX(tsk_FcFinish,GanttView[[#This Row],[_Row]]),WorkWeek,Holidays),N(INDEX(tsk_Duration,GanttView[[#This Row],[_Row]]))))</f>
        <v/>
      </c>
      <c r="E205" s="106" t="str">
        <f aca="false">IF(IFERROR(INDEX(tsk_Name,GanttView[[#This Row],[_Row]])="",TRUE()),"",INDEX(tsk_PlanStart,GanttView[[#This Row],[_Row]]))</f>
        <v/>
      </c>
      <c r="F205" s="106" t="str">
        <f aca="false">IF(IFERROR(INDEX(tsk_Name,GanttView[[#This Row],[_Row]])="",TRUE()),"",INDEX(tsk_PlanFinish,GanttView[[#This Row],[_Row]]))</f>
        <v/>
      </c>
      <c r="G205" s="106" t="str">
        <f aca="false">IF(IFERROR(INDEX(tsk_Name,GanttView[[#This Row],[_Row]])="",TRUE()),"",INDEX(tsk_FcStart,GanttView[[#This Row],[_Row]]))</f>
        <v/>
      </c>
      <c r="H205" s="106" t="str">
        <f aca="false">IF(IFERROR(INDEX(tsk_Name,GanttView[[#This Row],[_Row]])="",TRUE()),"",INDEX(tsk_FcFinish,GanttView[[#This Row],[_Row]]))</f>
        <v/>
      </c>
      <c r="I205" s="107" t="str">
        <f aca="false">IF(IFERROR(INDEX(tsk_Name,GanttView[[#This Row],[_Row]])="",TRUE()),"",INDEX(tsk_Progress,GanttView[[#This Row],[_Row]]))</f>
        <v/>
      </c>
      <c r="J205" s="105" t="str">
        <f aca="false">IF(IFERROR(INDEX(tsk_Name,GanttView[[#This Row],[_Row]])="",TRUE()),"",INDEX(tsk_Resource,GanttView[[#This Row],[_Row]])&amp;"")</f>
        <v/>
      </c>
      <c r="K205" s="108" t="str">
        <f aca="false">IF(IFERROR(INDEX(tsk_Name,GanttView[[#This Row],[_Row]])="",TRUE()),"",INDEX(tsk_Status,GanttView[[#This Row],[_Row]]))</f>
        <v/>
      </c>
      <c r="L205" s="109" t="n">
        <f aca="false">ROW()-ROW(GanttView[[#Headers],[ID]])</f>
        <v>200</v>
      </c>
      <c r="M205" s="110" t="b">
        <f aca="false">IF(IFERROR(INDEX(tsk_Name,GanttView[[#This Row],[_Row]])="",TRUE()),FALSE(),INDEX(tsk_IsSummary,GanttView[[#This Row],[_Row]]))</f>
        <v>0</v>
      </c>
      <c r="N205" s="110" t="b">
        <f aca="false">IF(IFERROR(INDEX(tsk_Name,GanttView[[#This Row],[_Row]])="",TRUE()),FALSE(),AND(INDEX(tsk_IsLeaf,GanttView[[#This Row],[_Row]])=1,N(INDEX(tsk_Duration,GanttView[[#This Row],[_Row]]))=0))</f>
        <v>0</v>
      </c>
      <c r="O205" s="111" t="n">
        <f aca="false">IF(IFERROR(INDEX(tsk_Name,GanttView[[#This Row],[_Row]])="",TRUE()),0,IF(AND(INDEX(tsk_IsLeaf,GanttView[[#This Row],[_Row]])=1,NOT(GanttView[[#This Row],[_IsMilestone]]),N(GanttView[[#This Row],[%]])&gt;0),GanttView[[#This Row],[Forecast Start]],0))</f>
        <v>0</v>
      </c>
      <c r="P205" s="111" t="n">
        <f aca="false">IF(GanttView[[#This Row],[_DoneFrom]]=0,0,IF(GanttView[[#This Row],[%]]&gt;=1,GanttView[[#This Row],[Forecast Finish]],MAX(GanttView[[#This Row],[_DoneFrom]],GanttView[[#This Row],[Forecast Start]]+ROUND((GanttView[[#This Row],[Forecast Finish]]-GanttView[[#This Row],[Forecast Start]]+1)*GanttView[[#This Row],[%]],0)-1)))</f>
        <v>0</v>
      </c>
      <c r="Q205" s="111" t="n">
        <f aca="false">IF(IFERROR(INDEX(tsk_Name,GanttView[[#This Row],[_Row]])="",TRUE()),0,IF(OR(INDEX(tsk_IsLeaf,GanttView[[#This Row],[_Row]])&lt;&gt;1,GanttView[[#This Row],[_IsMilestone]],N(GanttView[[#This Row],[%]])&gt;=1),0,IF(GanttView[[#This Row],[_DoneTo]]&gt;0,GanttView[[#This Row],[_DoneTo]]+1,GanttView[[#This Row],[Forecast Start]])))</f>
        <v>0</v>
      </c>
      <c r="R205" s="111" t="n">
        <f aca="false">IF(GanttView[[#This Row],[_RemFrom]]=0,0,GanttView[[#This Row],[Forecast Finish]])</f>
        <v>0</v>
      </c>
      <c r="S205" s="110" t="b">
        <f aca="false">IF(IFERROR(INDEX(tsk_Name,GanttView[[#This Row],[_Row]])="",TRUE()),FALSE(),N(INDEX(tsk_Variance,GanttView[[#This Row],[_Row]]))&gt;0)</f>
        <v>0</v>
      </c>
      <c r="T205" s="111" t="n">
        <f aca="false">IF(IFERROR(INDEX(tsk_Name,GanttView[[#This Row],[_Row]])="",TRUE()),0,N(INDEX(tsk_Deadline,GanttView[[#This Row],[_Row]])))</f>
        <v>0</v>
      </c>
      <c r="U205" s="110" t="b">
        <f aca="false">IF(IFERROR(INDEX(tsk_Name,GanttView[[#This Row],[_Row]])="",TRUE()),FALSE(),INDEX(tsk_Critical,GanttView[[#This Row],[_Row]])="Yes")</f>
        <v>0</v>
      </c>
    </row>
  </sheetData>
  <conditionalFormatting sqref="W6:FP205">
    <cfRule type="expression" priority="2" aboveAverage="0" equalAverage="0" bottom="0" percent="0" rank="0" text="" dxfId="39">
      <formula>AND($T6&gt;0,$T6&gt;=W$5,$T6&lt;W$5+GanttPeriod)</formula>
    </cfRule>
    <cfRule type="expression" priority="3" aboveAverage="0" equalAverage="0" bottom="0" percent="0" rank="0" text="" dxfId="40">
      <formula>AND($M6,AND($G6&gt;0,W$5&lt;=$H6,W$5+GanttPeriod-1&gt;=$G6))</formula>
    </cfRule>
    <cfRule type="expression" priority="4" aboveAverage="0" equalAverage="0" bottom="0" percent="0" rank="0" text="" dxfId="41">
      <formula>AND($N6,AND($G6&gt;0,$G6&gt;=W$5,$G6&lt;W$5+GanttPeriod))</formula>
    </cfRule>
    <cfRule type="expression" priority="5" aboveAverage="0" equalAverage="0" bottom="0" percent="0" rank="0" text="" dxfId="42">
      <formula>AND($O6&gt;0,W$5&lt;=$P6,W$5+GanttPeriod-1&gt;=$O6)</formula>
    </cfRule>
    <cfRule type="expression" priority="6" aboveAverage="0" equalAverage="0" bottom="0" percent="0" rank="0" text="" dxfId="43">
      <formula>AND($U6,AND($Q6&gt;0,W$5&lt;=$R6,W$5+GanttPeriod-1&gt;=$Q6))</formula>
    </cfRule>
    <cfRule type="expression" priority="7" aboveAverage="0" equalAverage="0" bottom="0" percent="0" rank="0" text="" dxfId="44">
      <formula>AND($S6,AND($Q6&gt;0,W$5&lt;=$R6,W$5+GanttPeriod-1&gt;=$Q6))</formula>
    </cfRule>
    <cfRule type="expression" priority="8" aboveAverage="0" equalAverage="0" bottom="0" percent="0" rank="0" text="" dxfId="45">
      <formula>AND($Q6&gt;0,W$5&lt;=$R6,W$5+GanttPeriod-1&gt;=$Q6)</formula>
    </cfRule>
    <cfRule type="expression" priority="9" aboveAverage="0" equalAverage="0" bottom="0" percent="0" rank="0" text="" dxfId="46">
      <formula>AND(ISNUMBER($E6),AND($E6&gt;0,W$5&lt;=$F6,W$5+GanttPeriod-1&gt;=$E6))</formula>
    </cfRule>
    <cfRule type="expression" priority="10" aboveAverage="0" equalAverage="0" bottom="0" percent="0" rank="0" text="" dxfId="47">
      <formula>AND(StatusDate&gt;0,StatusDate&gt;=W$5,StatusDate&lt;W$5+GanttPeriod)</formula>
    </cfRule>
    <cfRule type="expression" priority="11" aboveAverage="0" equalAverage="0" bottom="0" percent="0" rank="0" text="" dxfId="48">
      <formula>AND(GanttPeriod=1,NETWORKDAYS.INTL(W$5,W$5,WorkWeek,Holidays)=0)</formula>
    </cfRule>
  </conditionalFormatting>
  <conditionalFormatting sqref="W5:FP5">
    <cfRule type="expression" priority="12" aboveAverage="0" equalAverage="0" bottom="0" percent="0" rank="0" text="" dxfId="39">
      <formula>AND(StatusDate&gt;0,StatusDate&gt;=W$5,StatusDate&lt;W$5+GanttPeriod)</formula>
    </cfRule>
  </conditionalFormatting>
  <conditionalFormatting sqref="A6:K205">
    <cfRule type="expression" priority="13" aboveAverage="0" equalAverage="0" bottom="0" percent="0" rank="0" text="" dxfId="31">
      <formula>$M6</formula>
    </cfRule>
  </conditionalFormatting>
  <conditionalFormatting sqref="K6:K205">
    <cfRule type="expression" priority="14" aboveAverage="0" equalAverage="0" bottom="0" percent="0" rank="0" text="" dxfId="12">
      <formula>$K6="Complete"</formula>
    </cfRule>
    <cfRule type="expression" priority="15" aboveAverage="0" equalAverage="0" bottom="0" percent="0" rank="0" text="" dxfId="33">
      <formula>$K6="In Progress"</formula>
    </cfRule>
    <cfRule type="expression" priority="16" aboveAverage="0" equalAverage="0" bottom="0" percent="0" rank="0" text="" dxfId="24">
      <formula>$K6="Behind"</formula>
    </cfRule>
    <cfRule type="expression" priority="17" aboveAverage="0" equalAverage="0" bottom="0" percent="0" rank="0" text="" dxfId="34">
      <formula>$K6="Late Start"</formula>
    </cfRule>
    <cfRule type="expression" priority="18" aboveAverage="0" equalAverage="0" bottom="0" percent="0" rank="0" text="" dxfId="35">
      <formula>$K6="Not Started"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2" min="10" style="0" width="13"/>
    <col collapsed="false" customWidth="true" hidden="false" outlineLevel="0" max="13" min="13" style="0" width="30"/>
  </cols>
  <sheetData>
    <row r="1" customFormat="false" ht="19.7" hidden="false" customHeight="false" outlineLevel="0" collapsed="false">
      <c r="A1" s="26" t="s">
        <v>530</v>
      </c>
    </row>
    <row r="2" customFormat="false" ht="15" hidden="false" customHeight="false" outlineLevel="0" collapsed="false">
      <c r="A2" s="8" t="s">
        <v>531</v>
      </c>
    </row>
    <row r="5" customFormat="false" ht="15" hidden="false" customHeight="false" outlineLevel="0" collapsed="false">
      <c r="B5" s="27" t="s">
        <v>532</v>
      </c>
      <c r="C5" s="27" t="s">
        <v>533</v>
      </c>
      <c r="D5" s="27" t="s">
        <v>534</v>
      </c>
      <c r="E5" s="27" t="s">
        <v>535</v>
      </c>
      <c r="F5" s="27" t="s">
        <v>194</v>
      </c>
      <c r="G5" s="27" t="s">
        <v>536</v>
      </c>
      <c r="H5" s="27" t="s">
        <v>537</v>
      </c>
      <c r="I5" s="9" t="s">
        <v>195</v>
      </c>
      <c r="J5" s="9" t="s">
        <v>196</v>
      </c>
      <c r="K5" s="9" t="s">
        <v>199</v>
      </c>
      <c r="L5" s="9" t="s">
        <v>200</v>
      </c>
      <c r="M5" s="27" t="s">
        <v>161</v>
      </c>
    </row>
    <row r="6" customFormat="false" ht="15" hidden="false" customHeight="false" outlineLevel="0" collapsed="false">
      <c r="B6" s="30" t="s">
        <v>239</v>
      </c>
      <c r="C6" s="30" t="s">
        <v>538</v>
      </c>
      <c r="D6" s="30" t="s">
        <v>539</v>
      </c>
      <c r="E6" s="30" t="s">
        <v>196</v>
      </c>
      <c r="F6" s="74" t="n">
        <v>0.5</v>
      </c>
      <c r="G6" s="83" t="n">
        <v>95</v>
      </c>
      <c r="H6" s="30" t="s">
        <v>540</v>
      </c>
      <c r="I6" s="79" t="n">
        <f aca="false">IF(ResourceTable[[#This Row],[Resource Name]]="","",COUNTIFS(tsk_Resource,ResourceTable[[#This Row],[Resource Name]],tsk_IsLeaf,1))</f>
        <v>4</v>
      </c>
      <c r="J6" s="81" t="n">
        <f aca="false">IF(ResourceTable[[#This Row],[Resource Name]]="","",SUMIFS(tsk_Work,tsk_Resource,ResourceTable[[#This Row],[Resource Name]],tsk_IsLeaf,1))</f>
        <v>56</v>
      </c>
      <c r="K6" s="82" t="n">
        <f aca="false">IF(ResourceTable[[#This Row],[Resource Name]]="","",SUMIFS(tsk_Cost,tsk_Resource,ResourceTable[[#This Row],[Resource Name]],tsk_IsLeaf,1))</f>
        <v>5320</v>
      </c>
      <c r="L6" s="82" t="n">
        <f aca="false">IF(ResourceTable[[#This Row],[Resource Name]]="","",SUMIFS(tsk_LeafAC,tsk_Resource,ResourceTable[[#This Row],[Resource Name]]))</f>
        <v>3040</v>
      </c>
      <c r="M6" s="30"/>
    </row>
    <row r="7" customFormat="false" ht="15" hidden="false" customHeight="false" outlineLevel="0" collapsed="false">
      <c r="B7" s="30" t="s">
        <v>465</v>
      </c>
      <c r="C7" s="30" t="s">
        <v>541</v>
      </c>
      <c r="D7" s="30" t="s">
        <v>542</v>
      </c>
      <c r="E7" s="30" t="s">
        <v>196</v>
      </c>
      <c r="F7" s="74" t="n">
        <v>1</v>
      </c>
      <c r="G7" s="83" t="n">
        <v>70</v>
      </c>
      <c r="H7" s="30" t="s">
        <v>543</v>
      </c>
      <c r="I7" s="79" t="n">
        <f aca="false">IF(ResourceTable[[#This Row],[Resource Name]]="","",COUNTIFS(tsk_Resource,ResourceTable[[#This Row],[Resource Name]],tsk_IsLeaf,1))</f>
        <v>3</v>
      </c>
      <c r="J7" s="81" t="n">
        <f aca="false">IF(ResourceTable[[#This Row],[Resource Name]]="","",SUMIFS(tsk_Work,tsk_Resource,ResourceTable[[#This Row],[Resource Name]],tsk_IsLeaf,1))</f>
        <v>128</v>
      </c>
      <c r="K7" s="82" t="n">
        <f aca="false">IF(ResourceTable[[#This Row],[Resource Name]]="","",SUMIFS(tsk_Cost,tsk_Resource,ResourceTable[[#This Row],[Resource Name]],tsk_IsLeaf,1))</f>
        <v>8960</v>
      </c>
      <c r="L7" s="82" t="n">
        <f aca="false">IF(ResourceTable[[#This Row],[Resource Name]]="","",SUMIFS(tsk_LeafAC,tsk_Resource,ResourceTable[[#This Row],[Resource Name]]))</f>
        <v>6160</v>
      </c>
      <c r="M7" s="30"/>
    </row>
    <row r="8" customFormat="false" ht="15" hidden="false" customHeight="false" outlineLevel="0" collapsed="false">
      <c r="B8" s="30" t="s">
        <v>472</v>
      </c>
      <c r="C8" s="30" t="s">
        <v>178</v>
      </c>
      <c r="D8" s="30" t="s">
        <v>544</v>
      </c>
      <c r="E8" s="30" t="s">
        <v>196</v>
      </c>
      <c r="F8" s="74" t="n">
        <v>0.5</v>
      </c>
      <c r="G8" s="83" t="n">
        <v>110</v>
      </c>
      <c r="H8" s="30" t="s">
        <v>545</v>
      </c>
      <c r="I8" s="79" t="n">
        <f aca="false">IF(ResourceTable[[#This Row],[Resource Name]]="","",COUNTIFS(tsk_Resource,ResourceTable[[#This Row],[Resource Name]],tsk_IsLeaf,1))</f>
        <v>1</v>
      </c>
      <c r="J8" s="81" t="n">
        <f aca="false">IF(ResourceTable[[#This Row],[Resource Name]]="","",SUMIFS(tsk_Work,tsk_Resource,ResourceTable[[#This Row],[Resource Name]],tsk_IsLeaf,1))</f>
        <v>40</v>
      </c>
      <c r="K8" s="82" t="n">
        <f aca="false">IF(ResourceTable[[#This Row],[Resource Name]]="","",SUMIFS(tsk_Cost,tsk_Resource,ResourceTable[[#This Row],[Resource Name]],tsk_IsLeaf,1))</f>
        <v>4400</v>
      </c>
      <c r="L8" s="82" t="n">
        <f aca="false">IF(ResourceTable[[#This Row],[Resource Name]]="","",SUMIFS(tsk_LeafAC,tsk_Resource,ResourceTable[[#This Row],[Resource Name]]))</f>
        <v>4400</v>
      </c>
      <c r="M8" s="30"/>
    </row>
    <row r="9" customFormat="false" ht="15" hidden="false" customHeight="false" outlineLevel="0" collapsed="false">
      <c r="B9" s="30" t="s">
        <v>475</v>
      </c>
      <c r="C9" s="30" t="s">
        <v>546</v>
      </c>
      <c r="D9" s="30" t="s">
        <v>547</v>
      </c>
      <c r="E9" s="30" t="s">
        <v>196</v>
      </c>
      <c r="F9" s="74" t="n">
        <v>1</v>
      </c>
      <c r="G9" s="83" t="n">
        <v>75</v>
      </c>
      <c r="H9" s="30" t="s">
        <v>548</v>
      </c>
      <c r="I9" s="79" t="n">
        <f aca="false">IF(ResourceTable[[#This Row],[Resource Name]]="","",COUNTIFS(tsk_Resource,ResourceTable[[#This Row],[Resource Name]],tsk_IsLeaf,1))</f>
        <v>3</v>
      </c>
      <c r="J9" s="81" t="n">
        <f aca="false">IF(ResourceTable[[#This Row],[Resource Name]]="","",SUMIFS(tsk_Work,tsk_Resource,ResourceTable[[#This Row],[Resource Name]],tsk_IsLeaf,1))</f>
        <v>80</v>
      </c>
      <c r="K9" s="82" t="n">
        <f aca="false">IF(ResourceTable[[#This Row],[Resource Name]]="","",SUMIFS(tsk_Cost,tsk_Resource,ResourceTable[[#This Row],[Resource Name]],tsk_IsLeaf,1))</f>
        <v>6000</v>
      </c>
      <c r="L9" s="82" t="n">
        <f aca="false">IF(ResourceTable[[#This Row],[Resource Name]]="","",SUMIFS(tsk_LeafAC,tsk_Resource,ResourceTable[[#This Row],[Resource Name]]))</f>
        <v>3600</v>
      </c>
      <c r="M9" s="30"/>
    </row>
    <row r="10" customFormat="false" ht="15" hidden="false" customHeight="false" outlineLevel="0" collapsed="false">
      <c r="B10" s="30" t="s">
        <v>482</v>
      </c>
      <c r="C10" s="30" t="s">
        <v>549</v>
      </c>
      <c r="D10" s="30" t="s">
        <v>550</v>
      </c>
      <c r="E10" s="30" t="s">
        <v>196</v>
      </c>
      <c r="F10" s="74" t="n">
        <v>1</v>
      </c>
      <c r="G10" s="83" t="n">
        <v>85</v>
      </c>
      <c r="H10" s="30" t="s">
        <v>551</v>
      </c>
      <c r="I10" s="79" t="n">
        <f aca="false">IF(ResourceTable[[#This Row],[Resource Name]]="","",COUNTIFS(tsk_Resource,ResourceTable[[#This Row],[Resource Name]],tsk_IsLeaf,1))</f>
        <v>4</v>
      </c>
      <c r="J10" s="81" t="n">
        <f aca="false">IF(ResourceTable[[#This Row],[Resource Name]]="","",SUMIFS(tsk_Work,tsk_Resource,ResourceTable[[#This Row],[Resource Name]],tsk_IsLeaf,1))</f>
        <v>208</v>
      </c>
      <c r="K10" s="82" t="n">
        <f aca="false">IF(ResourceTable[[#This Row],[Resource Name]]="","",SUMIFS(tsk_Cost,tsk_Resource,ResourceTable[[#This Row],[Resource Name]],tsk_IsLeaf,1))</f>
        <v>17680</v>
      </c>
      <c r="L10" s="82" t="n">
        <f aca="false">IF(ResourceTable[[#This Row],[Resource Name]]="","",SUMIFS(tsk_LeafAC,tsk_Resource,ResourceTable[[#This Row],[Resource Name]]))</f>
        <v>7480</v>
      </c>
      <c r="M10" s="30"/>
    </row>
    <row r="11" customFormat="false" ht="15" hidden="false" customHeight="false" outlineLevel="0" collapsed="false">
      <c r="B11" s="30" t="s">
        <v>488</v>
      </c>
      <c r="C11" s="30" t="s">
        <v>552</v>
      </c>
      <c r="D11" s="30" t="s">
        <v>553</v>
      </c>
      <c r="E11" s="30" t="s">
        <v>196</v>
      </c>
      <c r="F11" s="74" t="n">
        <v>1</v>
      </c>
      <c r="G11" s="83" t="n">
        <v>80</v>
      </c>
      <c r="H11" s="30" t="s">
        <v>554</v>
      </c>
      <c r="I11" s="79" t="n">
        <f aca="false">IF(ResourceTable[[#This Row],[Resource Name]]="","",COUNTIFS(tsk_Resource,ResourceTable[[#This Row],[Resource Name]],tsk_IsLeaf,1))</f>
        <v>2</v>
      </c>
      <c r="J11" s="81" t="n">
        <f aca="false">IF(ResourceTable[[#This Row],[Resource Name]]="","",SUMIFS(tsk_Work,tsk_Resource,ResourceTable[[#This Row],[Resource Name]],tsk_IsLeaf,1))</f>
        <v>144</v>
      </c>
      <c r="K11" s="82" t="n">
        <f aca="false">IF(ResourceTable[[#This Row],[Resource Name]]="","",SUMIFS(tsk_Cost,tsk_Resource,ResourceTable[[#This Row],[Resource Name]],tsk_IsLeaf,1))</f>
        <v>11520</v>
      </c>
      <c r="L11" s="82" t="n">
        <f aca="false">IF(ResourceTable[[#This Row],[Resource Name]]="","",SUMIFS(tsk_LeafAC,tsk_Resource,ResourceTable[[#This Row],[Resource Name]]))</f>
        <v>5760</v>
      </c>
      <c r="M11" s="30"/>
    </row>
    <row r="12" customFormat="false" ht="15" hidden="false" customHeight="false" outlineLevel="0" collapsed="false">
      <c r="B12" s="30" t="s">
        <v>497</v>
      </c>
      <c r="C12" s="30" t="s">
        <v>555</v>
      </c>
      <c r="D12" s="30" t="s">
        <v>556</v>
      </c>
      <c r="E12" s="30" t="s">
        <v>196</v>
      </c>
      <c r="F12" s="74" t="n">
        <v>1</v>
      </c>
      <c r="G12" s="83" t="n">
        <v>65</v>
      </c>
      <c r="H12" s="30" t="s">
        <v>557</v>
      </c>
      <c r="I12" s="79" t="n">
        <f aca="false">IF(ResourceTable[[#This Row],[Resource Name]]="","",COUNTIFS(tsk_Resource,ResourceTable[[#This Row],[Resource Name]],tsk_IsLeaf,1))</f>
        <v>1</v>
      </c>
      <c r="J12" s="81" t="n">
        <f aca="false">IF(ResourceTable[[#This Row],[Resource Name]]="","",SUMIFS(tsk_Work,tsk_Resource,ResourceTable[[#This Row],[Resource Name]],tsk_IsLeaf,1))</f>
        <v>64</v>
      </c>
      <c r="K12" s="82" t="n">
        <f aca="false">IF(ResourceTable[[#This Row],[Resource Name]]="","",SUMIFS(tsk_Cost,tsk_Resource,ResourceTable[[#This Row],[Resource Name]],tsk_IsLeaf,1))</f>
        <v>4160</v>
      </c>
      <c r="L12" s="82" t="n">
        <f aca="false">IF(ResourceTable[[#This Row],[Resource Name]]="","",SUMIFS(tsk_LeafAC,tsk_Resource,ResourceTable[[#This Row],[Resource Name]]))</f>
        <v>0</v>
      </c>
      <c r="M12" s="30"/>
    </row>
    <row r="13" customFormat="false" ht="15" hidden="false" customHeight="false" outlineLevel="0" collapsed="false">
      <c r="B13" s="30"/>
      <c r="C13" s="30"/>
      <c r="D13" s="30"/>
      <c r="E13" s="30"/>
      <c r="F13" s="74"/>
      <c r="G13" s="83"/>
      <c r="H13" s="30"/>
      <c r="I13" s="79" t="str">
        <f aca="false">IF(ResourceTable[[#This Row],[Resource Name]]="","",COUNTIFS(tsk_Resource,ResourceTable[[#This Row],[Resource Name]],tsk_IsLeaf,1))</f>
        <v/>
      </c>
      <c r="J13" s="81" t="str">
        <f aca="false">IF(ResourceTable[[#This Row],[Resource Name]]="","",SUMIFS(tsk_Work,tsk_Resource,ResourceTable[[#This Row],[Resource Name]],tsk_IsLeaf,1))</f>
        <v/>
      </c>
      <c r="K13" s="82" t="str">
        <f aca="false">IF(ResourceTable[[#This Row],[Resource Name]]="","",SUMIFS(tsk_Cost,tsk_Resource,ResourceTable[[#This Row],[Resource Name]],tsk_IsLeaf,1))</f>
        <v/>
      </c>
      <c r="L13" s="82" t="str">
        <f aca="false">IF(ResourceTable[[#This Row],[Resource Name]]="","",SUMIFS(tsk_LeafAC,tsk_Resource,ResourceTable[[#This Row],[Resource Name]]))</f>
        <v/>
      </c>
      <c r="M13" s="30"/>
    </row>
    <row r="14" customFormat="false" ht="15" hidden="false" customHeight="false" outlineLevel="0" collapsed="false">
      <c r="B14" s="30"/>
      <c r="C14" s="30"/>
      <c r="D14" s="30"/>
      <c r="E14" s="30"/>
      <c r="F14" s="74"/>
      <c r="G14" s="83"/>
      <c r="H14" s="30"/>
      <c r="I14" s="79" t="str">
        <f aca="false">IF(ResourceTable[[#This Row],[Resource Name]]="","",COUNTIFS(tsk_Resource,ResourceTable[[#This Row],[Resource Name]],tsk_IsLeaf,1))</f>
        <v/>
      </c>
      <c r="J14" s="81" t="str">
        <f aca="false">IF(ResourceTable[[#This Row],[Resource Name]]="","",SUMIFS(tsk_Work,tsk_Resource,ResourceTable[[#This Row],[Resource Name]],tsk_IsLeaf,1))</f>
        <v/>
      </c>
      <c r="K14" s="82" t="str">
        <f aca="false">IF(ResourceTable[[#This Row],[Resource Name]]="","",SUMIFS(tsk_Cost,tsk_Resource,ResourceTable[[#This Row],[Resource Name]],tsk_IsLeaf,1))</f>
        <v/>
      </c>
      <c r="L14" s="82" t="str">
        <f aca="false">IF(ResourceTable[[#This Row],[Resource Name]]="","",SUMIFS(tsk_LeafAC,tsk_Resource,ResourceTable[[#This Row],[Resource Name]]))</f>
        <v/>
      </c>
      <c r="M14" s="30"/>
    </row>
    <row r="15" customFormat="false" ht="15" hidden="false" customHeight="false" outlineLevel="0" collapsed="false">
      <c r="B15" s="30"/>
      <c r="C15" s="30"/>
      <c r="D15" s="30"/>
      <c r="E15" s="30"/>
      <c r="F15" s="74"/>
      <c r="G15" s="83"/>
      <c r="H15" s="30"/>
      <c r="I15" s="79" t="str">
        <f aca="false">IF(ResourceTable[[#This Row],[Resource Name]]="","",COUNTIFS(tsk_Resource,ResourceTable[[#This Row],[Resource Name]],tsk_IsLeaf,1))</f>
        <v/>
      </c>
      <c r="J15" s="81" t="str">
        <f aca="false">IF(ResourceTable[[#This Row],[Resource Name]]="","",SUMIFS(tsk_Work,tsk_Resource,ResourceTable[[#This Row],[Resource Name]],tsk_IsLeaf,1))</f>
        <v/>
      </c>
      <c r="K15" s="82" t="str">
        <f aca="false">IF(ResourceTable[[#This Row],[Resource Name]]="","",SUMIFS(tsk_Cost,tsk_Resource,ResourceTable[[#This Row],[Resource Name]],tsk_IsLeaf,1))</f>
        <v/>
      </c>
      <c r="L15" s="82" t="str">
        <f aca="false">IF(ResourceTable[[#This Row],[Resource Name]]="","",SUMIFS(tsk_LeafAC,tsk_Resource,ResourceTable[[#This Row],[Resource Name]]))</f>
        <v/>
      </c>
      <c r="M15" s="30"/>
    </row>
    <row r="16" customFormat="false" ht="15" hidden="false" customHeight="false" outlineLevel="0" collapsed="false">
      <c r="B16" s="30"/>
      <c r="C16" s="30"/>
      <c r="D16" s="30"/>
      <c r="E16" s="30"/>
      <c r="F16" s="74"/>
      <c r="G16" s="83"/>
      <c r="H16" s="30"/>
      <c r="I16" s="79" t="str">
        <f aca="false">IF(ResourceTable[[#This Row],[Resource Name]]="","",COUNTIFS(tsk_Resource,ResourceTable[[#This Row],[Resource Name]],tsk_IsLeaf,1))</f>
        <v/>
      </c>
      <c r="J16" s="81" t="str">
        <f aca="false">IF(ResourceTable[[#This Row],[Resource Name]]="","",SUMIFS(tsk_Work,tsk_Resource,ResourceTable[[#This Row],[Resource Name]],tsk_IsLeaf,1))</f>
        <v/>
      </c>
      <c r="K16" s="82" t="str">
        <f aca="false">IF(ResourceTable[[#This Row],[Resource Name]]="","",SUMIFS(tsk_Cost,tsk_Resource,ResourceTable[[#This Row],[Resource Name]],tsk_IsLeaf,1))</f>
        <v/>
      </c>
      <c r="L16" s="82" t="str">
        <f aca="false">IF(ResourceTable[[#This Row],[Resource Name]]="","",SUMIFS(tsk_LeafAC,tsk_Resource,ResourceTable[[#This Row],[Resource Name]]))</f>
        <v/>
      </c>
      <c r="M16" s="30"/>
    </row>
    <row r="17" customFormat="false" ht="15" hidden="false" customHeight="false" outlineLevel="0" collapsed="false">
      <c r="B17" s="30"/>
      <c r="C17" s="30"/>
      <c r="D17" s="30"/>
      <c r="E17" s="30"/>
      <c r="F17" s="74"/>
      <c r="G17" s="83"/>
      <c r="H17" s="30"/>
      <c r="I17" s="79" t="str">
        <f aca="false">IF(ResourceTable[[#This Row],[Resource Name]]="","",COUNTIFS(tsk_Resource,ResourceTable[[#This Row],[Resource Name]],tsk_IsLeaf,1))</f>
        <v/>
      </c>
      <c r="J17" s="81" t="str">
        <f aca="false">IF(ResourceTable[[#This Row],[Resource Name]]="","",SUMIFS(tsk_Work,tsk_Resource,ResourceTable[[#This Row],[Resource Name]],tsk_IsLeaf,1))</f>
        <v/>
      </c>
      <c r="K17" s="82" t="str">
        <f aca="false">IF(ResourceTable[[#This Row],[Resource Name]]="","",SUMIFS(tsk_Cost,tsk_Resource,ResourceTable[[#This Row],[Resource Name]],tsk_IsLeaf,1))</f>
        <v/>
      </c>
      <c r="L17" s="82" t="str">
        <f aca="false">IF(ResourceTable[[#This Row],[Resource Name]]="","",SUMIFS(tsk_LeafAC,tsk_Resource,ResourceTable[[#This Row],[Resource Name]]))</f>
        <v/>
      </c>
      <c r="M17" s="30"/>
    </row>
    <row r="18" customFormat="false" ht="15" hidden="false" customHeight="false" outlineLevel="0" collapsed="false">
      <c r="B18" s="30"/>
      <c r="C18" s="30"/>
      <c r="D18" s="30"/>
      <c r="E18" s="30"/>
      <c r="F18" s="74"/>
      <c r="G18" s="83"/>
      <c r="H18" s="30"/>
      <c r="I18" s="79" t="str">
        <f aca="false">IF(ResourceTable[[#This Row],[Resource Name]]="","",COUNTIFS(tsk_Resource,ResourceTable[[#This Row],[Resource Name]],tsk_IsLeaf,1))</f>
        <v/>
      </c>
      <c r="J18" s="81" t="str">
        <f aca="false">IF(ResourceTable[[#This Row],[Resource Name]]="","",SUMIFS(tsk_Work,tsk_Resource,ResourceTable[[#This Row],[Resource Name]],tsk_IsLeaf,1))</f>
        <v/>
      </c>
      <c r="K18" s="82" t="str">
        <f aca="false">IF(ResourceTable[[#This Row],[Resource Name]]="","",SUMIFS(tsk_Cost,tsk_Resource,ResourceTable[[#This Row],[Resource Name]],tsk_IsLeaf,1))</f>
        <v/>
      </c>
      <c r="L18" s="82" t="str">
        <f aca="false">IF(ResourceTable[[#This Row],[Resource Name]]="","",SUMIFS(tsk_LeafAC,tsk_Resource,ResourceTable[[#This Row],[Resource Name]]))</f>
        <v/>
      </c>
      <c r="M18" s="30"/>
    </row>
    <row r="19" customFormat="false" ht="15" hidden="false" customHeight="false" outlineLevel="0" collapsed="false">
      <c r="B19" s="30"/>
      <c r="C19" s="30"/>
      <c r="D19" s="30"/>
      <c r="E19" s="30"/>
      <c r="F19" s="74"/>
      <c r="G19" s="83"/>
      <c r="H19" s="30"/>
      <c r="I19" s="79" t="str">
        <f aca="false">IF(ResourceTable[[#This Row],[Resource Name]]="","",COUNTIFS(tsk_Resource,ResourceTable[[#This Row],[Resource Name]],tsk_IsLeaf,1))</f>
        <v/>
      </c>
      <c r="J19" s="81" t="str">
        <f aca="false">IF(ResourceTable[[#This Row],[Resource Name]]="","",SUMIFS(tsk_Work,tsk_Resource,ResourceTable[[#This Row],[Resource Name]],tsk_IsLeaf,1))</f>
        <v/>
      </c>
      <c r="K19" s="82" t="str">
        <f aca="false">IF(ResourceTable[[#This Row],[Resource Name]]="","",SUMIFS(tsk_Cost,tsk_Resource,ResourceTable[[#This Row],[Resource Name]],tsk_IsLeaf,1))</f>
        <v/>
      </c>
      <c r="L19" s="82" t="str">
        <f aca="false">IF(ResourceTable[[#This Row],[Resource Name]]="","",SUMIFS(tsk_LeafAC,tsk_Resource,ResourceTable[[#This Row],[Resource Name]]))</f>
        <v/>
      </c>
      <c r="M19" s="30"/>
    </row>
    <row r="20" customFormat="false" ht="15" hidden="false" customHeight="false" outlineLevel="0" collapsed="false">
      <c r="B20" s="30"/>
      <c r="C20" s="30"/>
      <c r="D20" s="30"/>
      <c r="E20" s="30"/>
      <c r="F20" s="74"/>
      <c r="G20" s="83"/>
      <c r="H20" s="30"/>
      <c r="I20" s="79" t="str">
        <f aca="false">IF(ResourceTable[[#This Row],[Resource Name]]="","",COUNTIFS(tsk_Resource,ResourceTable[[#This Row],[Resource Name]],tsk_IsLeaf,1))</f>
        <v/>
      </c>
      <c r="J20" s="81" t="str">
        <f aca="false">IF(ResourceTable[[#This Row],[Resource Name]]="","",SUMIFS(tsk_Work,tsk_Resource,ResourceTable[[#This Row],[Resource Name]],tsk_IsLeaf,1))</f>
        <v/>
      </c>
      <c r="K20" s="82" t="str">
        <f aca="false">IF(ResourceTable[[#This Row],[Resource Name]]="","",SUMIFS(tsk_Cost,tsk_Resource,ResourceTable[[#This Row],[Resource Name]],tsk_IsLeaf,1))</f>
        <v/>
      </c>
      <c r="L20" s="82" t="str">
        <f aca="false">IF(ResourceTable[[#This Row],[Resource Name]]="","",SUMIFS(tsk_LeafAC,tsk_Resource,ResourceTable[[#This Row],[Resource Name]]))</f>
        <v/>
      </c>
      <c r="M20" s="30"/>
    </row>
    <row r="21" customFormat="false" ht="15" hidden="false" customHeight="false" outlineLevel="0" collapsed="false">
      <c r="B21" s="30"/>
      <c r="C21" s="30"/>
      <c r="D21" s="30"/>
      <c r="E21" s="30"/>
      <c r="F21" s="74"/>
      <c r="G21" s="83"/>
      <c r="H21" s="30"/>
      <c r="I21" s="79" t="str">
        <f aca="false">IF(ResourceTable[[#This Row],[Resource Name]]="","",COUNTIFS(tsk_Resource,ResourceTable[[#This Row],[Resource Name]],tsk_IsLeaf,1))</f>
        <v/>
      </c>
      <c r="J21" s="81" t="str">
        <f aca="false">IF(ResourceTable[[#This Row],[Resource Name]]="","",SUMIFS(tsk_Work,tsk_Resource,ResourceTable[[#This Row],[Resource Name]],tsk_IsLeaf,1))</f>
        <v/>
      </c>
      <c r="K21" s="82" t="str">
        <f aca="false">IF(ResourceTable[[#This Row],[Resource Name]]="","",SUMIFS(tsk_Cost,tsk_Resource,ResourceTable[[#This Row],[Resource Name]],tsk_IsLeaf,1))</f>
        <v/>
      </c>
      <c r="L21" s="82" t="str">
        <f aca="false">IF(ResourceTable[[#This Row],[Resource Name]]="","",SUMIFS(tsk_LeafAC,tsk_Resource,ResourceTable[[#This Row],[Resource Name]]))</f>
        <v/>
      </c>
      <c r="M21" s="30"/>
    </row>
    <row r="22" customFormat="false" ht="15" hidden="false" customHeight="false" outlineLevel="0" collapsed="false">
      <c r="B22" s="30"/>
      <c r="C22" s="30"/>
      <c r="D22" s="30"/>
      <c r="E22" s="30"/>
      <c r="F22" s="74"/>
      <c r="G22" s="83"/>
      <c r="H22" s="30"/>
      <c r="I22" s="79" t="str">
        <f aca="false">IF(ResourceTable[[#This Row],[Resource Name]]="","",COUNTIFS(tsk_Resource,ResourceTable[[#This Row],[Resource Name]],tsk_IsLeaf,1))</f>
        <v/>
      </c>
      <c r="J22" s="81" t="str">
        <f aca="false">IF(ResourceTable[[#This Row],[Resource Name]]="","",SUMIFS(tsk_Work,tsk_Resource,ResourceTable[[#This Row],[Resource Name]],tsk_IsLeaf,1))</f>
        <v/>
      </c>
      <c r="K22" s="82" t="str">
        <f aca="false">IF(ResourceTable[[#This Row],[Resource Name]]="","",SUMIFS(tsk_Cost,tsk_Resource,ResourceTable[[#This Row],[Resource Name]],tsk_IsLeaf,1))</f>
        <v/>
      </c>
      <c r="L22" s="82" t="str">
        <f aca="false">IF(ResourceTable[[#This Row],[Resource Name]]="","",SUMIFS(tsk_LeafAC,tsk_Resource,ResourceTable[[#This Row],[Resource Name]]))</f>
        <v/>
      </c>
      <c r="M22" s="30"/>
    </row>
    <row r="23" customFormat="false" ht="15" hidden="false" customHeight="false" outlineLevel="0" collapsed="false">
      <c r="B23" s="30"/>
      <c r="C23" s="30"/>
      <c r="D23" s="30"/>
      <c r="E23" s="30"/>
      <c r="F23" s="74"/>
      <c r="G23" s="83"/>
      <c r="H23" s="30"/>
      <c r="I23" s="79" t="str">
        <f aca="false">IF(ResourceTable[[#This Row],[Resource Name]]="","",COUNTIFS(tsk_Resource,ResourceTable[[#This Row],[Resource Name]],tsk_IsLeaf,1))</f>
        <v/>
      </c>
      <c r="J23" s="81" t="str">
        <f aca="false">IF(ResourceTable[[#This Row],[Resource Name]]="","",SUMIFS(tsk_Work,tsk_Resource,ResourceTable[[#This Row],[Resource Name]],tsk_IsLeaf,1))</f>
        <v/>
      </c>
      <c r="K23" s="82" t="str">
        <f aca="false">IF(ResourceTable[[#This Row],[Resource Name]]="","",SUMIFS(tsk_Cost,tsk_Resource,ResourceTable[[#This Row],[Resource Name]],tsk_IsLeaf,1))</f>
        <v/>
      </c>
      <c r="L23" s="82" t="str">
        <f aca="false">IF(ResourceTable[[#This Row],[Resource Name]]="","",SUMIFS(tsk_LeafAC,tsk_Resource,ResourceTable[[#This Row],[Resource Name]]))</f>
        <v/>
      </c>
      <c r="M23" s="30"/>
    </row>
    <row r="24" customFormat="false" ht="15" hidden="false" customHeight="false" outlineLevel="0" collapsed="false">
      <c r="B24" s="30"/>
      <c r="C24" s="30"/>
      <c r="D24" s="30"/>
      <c r="E24" s="30"/>
      <c r="F24" s="74"/>
      <c r="G24" s="83"/>
      <c r="H24" s="30"/>
      <c r="I24" s="79" t="str">
        <f aca="false">IF(ResourceTable[[#This Row],[Resource Name]]="","",COUNTIFS(tsk_Resource,ResourceTable[[#This Row],[Resource Name]],tsk_IsLeaf,1))</f>
        <v/>
      </c>
      <c r="J24" s="81" t="str">
        <f aca="false">IF(ResourceTable[[#This Row],[Resource Name]]="","",SUMIFS(tsk_Work,tsk_Resource,ResourceTable[[#This Row],[Resource Name]],tsk_IsLeaf,1))</f>
        <v/>
      </c>
      <c r="K24" s="82" t="str">
        <f aca="false">IF(ResourceTable[[#This Row],[Resource Name]]="","",SUMIFS(tsk_Cost,tsk_Resource,ResourceTable[[#This Row],[Resource Name]],tsk_IsLeaf,1))</f>
        <v/>
      </c>
      <c r="L24" s="82" t="str">
        <f aca="false">IF(ResourceTable[[#This Row],[Resource Name]]="","",SUMIFS(tsk_LeafAC,tsk_Resource,ResourceTable[[#This Row],[Resource Name]]))</f>
        <v/>
      </c>
      <c r="M24" s="30"/>
    </row>
    <row r="25" customFormat="false" ht="15" hidden="false" customHeight="false" outlineLevel="0" collapsed="false">
      <c r="B25" s="30"/>
      <c r="C25" s="30"/>
      <c r="D25" s="30"/>
      <c r="E25" s="30"/>
      <c r="F25" s="74"/>
      <c r="G25" s="83"/>
      <c r="H25" s="30"/>
      <c r="I25" s="79" t="str">
        <f aca="false">IF(ResourceTable[[#This Row],[Resource Name]]="","",COUNTIFS(tsk_Resource,ResourceTable[[#This Row],[Resource Name]],tsk_IsLeaf,1))</f>
        <v/>
      </c>
      <c r="J25" s="81" t="str">
        <f aca="false">IF(ResourceTable[[#This Row],[Resource Name]]="","",SUMIFS(tsk_Work,tsk_Resource,ResourceTable[[#This Row],[Resource Name]],tsk_IsLeaf,1))</f>
        <v/>
      </c>
      <c r="K25" s="82" t="str">
        <f aca="false">IF(ResourceTable[[#This Row],[Resource Name]]="","",SUMIFS(tsk_Cost,tsk_Resource,ResourceTable[[#This Row],[Resource Name]],tsk_IsLeaf,1))</f>
        <v/>
      </c>
      <c r="L25" s="82" t="str">
        <f aca="false">IF(ResourceTable[[#This Row],[Resource Name]]="","",SUMIFS(tsk_LeafAC,tsk_Resource,ResourceTable[[#This Row],[Resource Name]]))</f>
        <v/>
      </c>
      <c r="M25" s="30"/>
    </row>
    <row r="26" customFormat="false" ht="15" hidden="false" customHeight="false" outlineLevel="0" collapsed="false">
      <c r="B26" s="30"/>
      <c r="C26" s="30"/>
      <c r="D26" s="30"/>
      <c r="E26" s="30"/>
      <c r="F26" s="74"/>
      <c r="G26" s="83"/>
      <c r="H26" s="30"/>
      <c r="I26" s="79" t="str">
        <f aca="false">IF(ResourceTable[[#This Row],[Resource Name]]="","",COUNTIFS(tsk_Resource,ResourceTable[[#This Row],[Resource Name]],tsk_IsLeaf,1))</f>
        <v/>
      </c>
      <c r="J26" s="81" t="str">
        <f aca="false">IF(ResourceTable[[#This Row],[Resource Name]]="","",SUMIFS(tsk_Work,tsk_Resource,ResourceTable[[#This Row],[Resource Name]],tsk_IsLeaf,1))</f>
        <v/>
      </c>
      <c r="K26" s="82" t="str">
        <f aca="false">IF(ResourceTable[[#This Row],[Resource Name]]="","",SUMIFS(tsk_Cost,tsk_Resource,ResourceTable[[#This Row],[Resource Name]],tsk_IsLeaf,1))</f>
        <v/>
      </c>
      <c r="L26" s="82" t="str">
        <f aca="false">IF(ResourceTable[[#This Row],[Resource Name]]="","",SUMIFS(tsk_LeafAC,tsk_Resource,ResourceTable[[#This Row],[Resource Name]]))</f>
        <v/>
      </c>
      <c r="M26" s="30"/>
    </row>
    <row r="27" customFormat="false" ht="15" hidden="false" customHeight="false" outlineLevel="0" collapsed="false">
      <c r="B27" s="30"/>
      <c r="C27" s="30"/>
      <c r="D27" s="30"/>
      <c r="E27" s="30"/>
      <c r="F27" s="74"/>
      <c r="G27" s="83"/>
      <c r="H27" s="30"/>
      <c r="I27" s="79" t="str">
        <f aca="false">IF(ResourceTable[[#This Row],[Resource Name]]="","",COUNTIFS(tsk_Resource,ResourceTable[[#This Row],[Resource Name]],tsk_IsLeaf,1))</f>
        <v/>
      </c>
      <c r="J27" s="81" t="str">
        <f aca="false">IF(ResourceTable[[#This Row],[Resource Name]]="","",SUMIFS(tsk_Work,tsk_Resource,ResourceTable[[#This Row],[Resource Name]],tsk_IsLeaf,1))</f>
        <v/>
      </c>
      <c r="K27" s="82" t="str">
        <f aca="false">IF(ResourceTable[[#This Row],[Resource Name]]="","",SUMIFS(tsk_Cost,tsk_Resource,ResourceTable[[#This Row],[Resource Name]],tsk_IsLeaf,1))</f>
        <v/>
      </c>
      <c r="L27" s="82" t="str">
        <f aca="false">IF(ResourceTable[[#This Row],[Resource Name]]="","",SUMIFS(tsk_LeafAC,tsk_Resource,ResourceTable[[#This Row],[Resource Name]]))</f>
        <v/>
      </c>
      <c r="M27" s="30"/>
    </row>
    <row r="28" customFormat="false" ht="15" hidden="false" customHeight="false" outlineLevel="0" collapsed="false">
      <c r="B28" s="30"/>
      <c r="C28" s="30"/>
      <c r="D28" s="30"/>
      <c r="E28" s="30"/>
      <c r="F28" s="74"/>
      <c r="G28" s="83"/>
      <c r="H28" s="30"/>
      <c r="I28" s="79" t="str">
        <f aca="false">IF(ResourceTable[[#This Row],[Resource Name]]="","",COUNTIFS(tsk_Resource,ResourceTable[[#This Row],[Resource Name]],tsk_IsLeaf,1))</f>
        <v/>
      </c>
      <c r="J28" s="81" t="str">
        <f aca="false">IF(ResourceTable[[#This Row],[Resource Name]]="","",SUMIFS(tsk_Work,tsk_Resource,ResourceTable[[#This Row],[Resource Name]],tsk_IsLeaf,1))</f>
        <v/>
      </c>
      <c r="K28" s="82" t="str">
        <f aca="false">IF(ResourceTable[[#This Row],[Resource Name]]="","",SUMIFS(tsk_Cost,tsk_Resource,ResourceTable[[#This Row],[Resource Name]],tsk_IsLeaf,1))</f>
        <v/>
      </c>
      <c r="L28" s="82" t="str">
        <f aca="false">IF(ResourceTable[[#This Row],[Resource Name]]="","",SUMIFS(tsk_LeafAC,tsk_Resource,ResourceTable[[#This Row],[Resource Name]]))</f>
        <v/>
      </c>
      <c r="M28" s="30"/>
    </row>
    <row r="29" customFormat="false" ht="15" hidden="false" customHeight="false" outlineLevel="0" collapsed="false">
      <c r="B29" s="30"/>
      <c r="C29" s="30"/>
      <c r="D29" s="30"/>
      <c r="E29" s="30"/>
      <c r="F29" s="74"/>
      <c r="G29" s="83"/>
      <c r="H29" s="30"/>
      <c r="I29" s="79" t="str">
        <f aca="false">IF(ResourceTable[[#This Row],[Resource Name]]="","",COUNTIFS(tsk_Resource,ResourceTable[[#This Row],[Resource Name]],tsk_IsLeaf,1))</f>
        <v/>
      </c>
      <c r="J29" s="81" t="str">
        <f aca="false">IF(ResourceTable[[#This Row],[Resource Name]]="","",SUMIFS(tsk_Work,tsk_Resource,ResourceTable[[#This Row],[Resource Name]],tsk_IsLeaf,1))</f>
        <v/>
      </c>
      <c r="K29" s="82" t="str">
        <f aca="false">IF(ResourceTable[[#This Row],[Resource Name]]="","",SUMIFS(tsk_Cost,tsk_Resource,ResourceTable[[#This Row],[Resource Name]],tsk_IsLeaf,1))</f>
        <v/>
      </c>
      <c r="L29" s="82" t="str">
        <f aca="false">IF(ResourceTable[[#This Row],[Resource Name]]="","",SUMIFS(tsk_LeafAC,tsk_Resource,ResourceTable[[#This Row],[Resource Name]]))</f>
        <v/>
      </c>
      <c r="M29" s="30"/>
    </row>
    <row r="30" customFormat="false" ht="15" hidden="false" customHeight="false" outlineLevel="0" collapsed="false">
      <c r="B30" s="30"/>
      <c r="C30" s="30"/>
      <c r="D30" s="30"/>
      <c r="E30" s="30"/>
      <c r="F30" s="74"/>
      <c r="G30" s="83"/>
      <c r="H30" s="30"/>
      <c r="I30" s="79" t="str">
        <f aca="false">IF(ResourceTable[[#This Row],[Resource Name]]="","",COUNTIFS(tsk_Resource,ResourceTable[[#This Row],[Resource Name]],tsk_IsLeaf,1))</f>
        <v/>
      </c>
      <c r="J30" s="81" t="str">
        <f aca="false">IF(ResourceTable[[#This Row],[Resource Name]]="","",SUMIFS(tsk_Work,tsk_Resource,ResourceTable[[#This Row],[Resource Name]],tsk_IsLeaf,1))</f>
        <v/>
      </c>
      <c r="K30" s="82" t="str">
        <f aca="false">IF(ResourceTable[[#This Row],[Resource Name]]="","",SUMIFS(tsk_Cost,tsk_Resource,ResourceTable[[#This Row],[Resource Name]],tsk_IsLeaf,1))</f>
        <v/>
      </c>
      <c r="L30" s="82" t="str">
        <f aca="false">IF(ResourceTable[[#This Row],[Resource Name]]="","",SUMIFS(tsk_LeafAC,tsk_Resource,ResourceTable[[#This Row],[Resource Name]]))</f>
        <v/>
      </c>
      <c r="M30" s="30"/>
    </row>
    <row r="31" customFormat="false" ht="15" hidden="false" customHeight="false" outlineLevel="0" collapsed="false">
      <c r="B31" s="30"/>
      <c r="C31" s="30"/>
      <c r="D31" s="30"/>
      <c r="E31" s="30"/>
      <c r="F31" s="74"/>
      <c r="G31" s="83"/>
      <c r="H31" s="30"/>
      <c r="I31" s="79" t="str">
        <f aca="false">IF(ResourceTable[[#This Row],[Resource Name]]="","",COUNTIFS(tsk_Resource,ResourceTable[[#This Row],[Resource Name]],tsk_IsLeaf,1))</f>
        <v/>
      </c>
      <c r="J31" s="81" t="str">
        <f aca="false">IF(ResourceTable[[#This Row],[Resource Name]]="","",SUMIFS(tsk_Work,tsk_Resource,ResourceTable[[#This Row],[Resource Name]],tsk_IsLeaf,1))</f>
        <v/>
      </c>
      <c r="K31" s="82" t="str">
        <f aca="false">IF(ResourceTable[[#This Row],[Resource Name]]="","",SUMIFS(tsk_Cost,tsk_Resource,ResourceTable[[#This Row],[Resource Name]],tsk_IsLeaf,1))</f>
        <v/>
      </c>
      <c r="L31" s="82" t="str">
        <f aca="false">IF(ResourceTable[[#This Row],[Resource Name]]="","",SUMIFS(tsk_LeafAC,tsk_Resource,ResourceTable[[#This Row],[Resource Name]]))</f>
        <v/>
      </c>
      <c r="M31" s="30"/>
    </row>
    <row r="32" customFormat="false" ht="15" hidden="false" customHeight="false" outlineLevel="0" collapsed="false">
      <c r="B32" s="30"/>
      <c r="C32" s="30"/>
      <c r="D32" s="30"/>
      <c r="E32" s="30"/>
      <c r="F32" s="74"/>
      <c r="G32" s="83"/>
      <c r="H32" s="30"/>
      <c r="I32" s="79" t="str">
        <f aca="false">IF(ResourceTable[[#This Row],[Resource Name]]="","",COUNTIFS(tsk_Resource,ResourceTable[[#This Row],[Resource Name]],tsk_IsLeaf,1))</f>
        <v/>
      </c>
      <c r="J32" s="81" t="str">
        <f aca="false">IF(ResourceTable[[#This Row],[Resource Name]]="","",SUMIFS(tsk_Work,tsk_Resource,ResourceTable[[#This Row],[Resource Name]],tsk_IsLeaf,1))</f>
        <v/>
      </c>
      <c r="K32" s="82" t="str">
        <f aca="false">IF(ResourceTable[[#This Row],[Resource Name]]="","",SUMIFS(tsk_Cost,tsk_Resource,ResourceTable[[#This Row],[Resource Name]],tsk_IsLeaf,1))</f>
        <v/>
      </c>
      <c r="L32" s="82" t="str">
        <f aca="false">IF(ResourceTable[[#This Row],[Resource Name]]="","",SUMIFS(tsk_LeafAC,tsk_Resource,ResourceTable[[#This Row],[Resource Name]]))</f>
        <v/>
      </c>
      <c r="M32" s="30"/>
    </row>
    <row r="33" customFormat="false" ht="15" hidden="false" customHeight="false" outlineLevel="0" collapsed="false">
      <c r="B33" s="30"/>
      <c r="C33" s="30"/>
      <c r="D33" s="30"/>
      <c r="E33" s="30"/>
      <c r="F33" s="74"/>
      <c r="G33" s="83"/>
      <c r="H33" s="30"/>
      <c r="I33" s="79" t="str">
        <f aca="false">IF(ResourceTable[[#This Row],[Resource Name]]="","",COUNTIFS(tsk_Resource,ResourceTable[[#This Row],[Resource Name]],tsk_IsLeaf,1))</f>
        <v/>
      </c>
      <c r="J33" s="81" t="str">
        <f aca="false">IF(ResourceTable[[#This Row],[Resource Name]]="","",SUMIFS(tsk_Work,tsk_Resource,ResourceTable[[#This Row],[Resource Name]],tsk_IsLeaf,1))</f>
        <v/>
      </c>
      <c r="K33" s="82" t="str">
        <f aca="false">IF(ResourceTable[[#This Row],[Resource Name]]="","",SUMIFS(tsk_Cost,tsk_Resource,ResourceTable[[#This Row],[Resource Name]],tsk_IsLeaf,1))</f>
        <v/>
      </c>
      <c r="L33" s="82" t="str">
        <f aca="false">IF(ResourceTable[[#This Row],[Resource Name]]="","",SUMIFS(tsk_LeafAC,tsk_Resource,ResourceTable[[#This Row],[Resource Name]]))</f>
        <v/>
      </c>
      <c r="M33" s="30"/>
    </row>
    <row r="34" customFormat="false" ht="15" hidden="false" customHeight="false" outlineLevel="0" collapsed="false">
      <c r="B34" s="30"/>
      <c r="C34" s="30"/>
      <c r="D34" s="30"/>
      <c r="E34" s="30"/>
      <c r="F34" s="74"/>
      <c r="G34" s="83"/>
      <c r="H34" s="30"/>
      <c r="I34" s="79" t="str">
        <f aca="false">IF(ResourceTable[[#This Row],[Resource Name]]="","",COUNTIFS(tsk_Resource,ResourceTable[[#This Row],[Resource Name]],tsk_IsLeaf,1))</f>
        <v/>
      </c>
      <c r="J34" s="81" t="str">
        <f aca="false">IF(ResourceTable[[#This Row],[Resource Name]]="","",SUMIFS(tsk_Work,tsk_Resource,ResourceTable[[#This Row],[Resource Name]],tsk_IsLeaf,1))</f>
        <v/>
      </c>
      <c r="K34" s="82" t="str">
        <f aca="false">IF(ResourceTable[[#This Row],[Resource Name]]="","",SUMIFS(tsk_Cost,tsk_Resource,ResourceTable[[#This Row],[Resource Name]],tsk_IsLeaf,1))</f>
        <v/>
      </c>
      <c r="L34" s="82" t="str">
        <f aca="false">IF(ResourceTable[[#This Row],[Resource Name]]="","",SUMIFS(tsk_LeafAC,tsk_Resource,ResourceTable[[#This Row],[Resource Name]]))</f>
        <v/>
      </c>
      <c r="M34" s="30"/>
    </row>
    <row r="35" customFormat="false" ht="15" hidden="false" customHeight="false" outlineLevel="0" collapsed="false">
      <c r="B35" s="30"/>
      <c r="C35" s="30"/>
      <c r="D35" s="30"/>
      <c r="E35" s="30"/>
      <c r="F35" s="74"/>
      <c r="G35" s="83"/>
      <c r="H35" s="30"/>
      <c r="I35" s="79" t="str">
        <f aca="false">IF(ResourceTable[[#This Row],[Resource Name]]="","",COUNTIFS(tsk_Resource,ResourceTable[[#This Row],[Resource Name]],tsk_IsLeaf,1))</f>
        <v/>
      </c>
      <c r="J35" s="81" t="str">
        <f aca="false">IF(ResourceTable[[#This Row],[Resource Name]]="","",SUMIFS(tsk_Work,tsk_Resource,ResourceTable[[#This Row],[Resource Name]],tsk_IsLeaf,1))</f>
        <v/>
      </c>
      <c r="K35" s="82" t="str">
        <f aca="false">IF(ResourceTable[[#This Row],[Resource Name]]="","",SUMIFS(tsk_Cost,tsk_Resource,ResourceTable[[#This Row],[Resource Name]],tsk_IsLeaf,1))</f>
        <v/>
      </c>
      <c r="L35" s="82" t="str">
        <f aca="false">IF(ResourceTable[[#This Row],[Resource Name]]="","",SUMIFS(tsk_LeafAC,tsk_Resource,ResourceTable[[#This Row],[Resource Name]]))</f>
        <v/>
      </c>
      <c r="M35" s="30"/>
    </row>
    <row r="36" customFormat="false" ht="15" hidden="false" customHeight="false" outlineLevel="0" collapsed="false">
      <c r="B36" s="30"/>
      <c r="C36" s="30"/>
      <c r="D36" s="30"/>
      <c r="E36" s="30"/>
      <c r="F36" s="74"/>
      <c r="G36" s="83"/>
      <c r="H36" s="30"/>
      <c r="I36" s="79" t="str">
        <f aca="false">IF(ResourceTable[[#This Row],[Resource Name]]="","",COUNTIFS(tsk_Resource,ResourceTable[[#This Row],[Resource Name]],tsk_IsLeaf,1))</f>
        <v/>
      </c>
      <c r="J36" s="81" t="str">
        <f aca="false">IF(ResourceTable[[#This Row],[Resource Name]]="","",SUMIFS(tsk_Work,tsk_Resource,ResourceTable[[#This Row],[Resource Name]],tsk_IsLeaf,1))</f>
        <v/>
      </c>
      <c r="K36" s="82" t="str">
        <f aca="false">IF(ResourceTable[[#This Row],[Resource Name]]="","",SUMIFS(tsk_Cost,tsk_Resource,ResourceTable[[#This Row],[Resource Name]],tsk_IsLeaf,1))</f>
        <v/>
      </c>
      <c r="L36" s="82" t="str">
        <f aca="false">IF(ResourceTable[[#This Row],[Resource Name]]="","",SUMIFS(tsk_LeafAC,tsk_Resource,ResourceTable[[#This Row],[Resource Name]]))</f>
        <v/>
      </c>
      <c r="M36" s="30"/>
    </row>
    <row r="37" customFormat="false" ht="15" hidden="false" customHeight="false" outlineLevel="0" collapsed="false">
      <c r="B37" s="30"/>
      <c r="C37" s="30"/>
      <c r="D37" s="30"/>
      <c r="E37" s="30"/>
      <c r="F37" s="74"/>
      <c r="G37" s="83"/>
      <c r="H37" s="30"/>
      <c r="I37" s="79" t="str">
        <f aca="false">IF(ResourceTable[[#This Row],[Resource Name]]="","",COUNTIFS(tsk_Resource,ResourceTable[[#This Row],[Resource Name]],tsk_IsLeaf,1))</f>
        <v/>
      </c>
      <c r="J37" s="81" t="str">
        <f aca="false">IF(ResourceTable[[#This Row],[Resource Name]]="","",SUMIFS(tsk_Work,tsk_Resource,ResourceTable[[#This Row],[Resource Name]],tsk_IsLeaf,1))</f>
        <v/>
      </c>
      <c r="K37" s="82" t="str">
        <f aca="false">IF(ResourceTable[[#This Row],[Resource Name]]="","",SUMIFS(tsk_Cost,tsk_Resource,ResourceTable[[#This Row],[Resource Name]],tsk_IsLeaf,1))</f>
        <v/>
      </c>
      <c r="L37" s="82" t="str">
        <f aca="false">IF(ResourceTable[[#This Row],[Resource Name]]="","",SUMIFS(tsk_LeafAC,tsk_Resource,ResourceTable[[#This Row],[Resource Name]]))</f>
        <v/>
      </c>
      <c r="M37" s="30"/>
    </row>
    <row r="38" customFormat="false" ht="15" hidden="false" customHeight="false" outlineLevel="0" collapsed="false">
      <c r="B38" s="30"/>
      <c r="C38" s="30"/>
      <c r="D38" s="30"/>
      <c r="E38" s="30"/>
      <c r="F38" s="74"/>
      <c r="G38" s="83"/>
      <c r="H38" s="30"/>
      <c r="I38" s="79" t="str">
        <f aca="false">IF(ResourceTable[[#This Row],[Resource Name]]="","",COUNTIFS(tsk_Resource,ResourceTable[[#This Row],[Resource Name]],tsk_IsLeaf,1))</f>
        <v/>
      </c>
      <c r="J38" s="81" t="str">
        <f aca="false">IF(ResourceTable[[#This Row],[Resource Name]]="","",SUMIFS(tsk_Work,tsk_Resource,ResourceTable[[#This Row],[Resource Name]],tsk_IsLeaf,1))</f>
        <v/>
      </c>
      <c r="K38" s="82" t="str">
        <f aca="false">IF(ResourceTable[[#This Row],[Resource Name]]="","",SUMIFS(tsk_Cost,tsk_Resource,ResourceTable[[#This Row],[Resource Name]],tsk_IsLeaf,1))</f>
        <v/>
      </c>
      <c r="L38" s="82" t="str">
        <f aca="false">IF(ResourceTable[[#This Row],[Resource Name]]="","",SUMIFS(tsk_LeafAC,tsk_Resource,ResourceTable[[#This Row],[Resource Name]]))</f>
        <v/>
      </c>
      <c r="M38" s="30"/>
    </row>
    <row r="39" customFormat="false" ht="15" hidden="false" customHeight="false" outlineLevel="0" collapsed="false">
      <c r="B39" s="30"/>
      <c r="C39" s="30"/>
      <c r="D39" s="30"/>
      <c r="E39" s="30"/>
      <c r="F39" s="74"/>
      <c r="G39" s="83"/>
      <c r="H39" s="30"/>
      <c r="I39" s="79" t="str">
        <f aca="false">IF(ResourceTable[[#This Row],[Resource Name]]="","",COUNTIFS(tsk_Resource,ResourceTable[[#This Row],[Resource Name]],tsk_IsLeaf,1))</f>
        <v/>
      </c>
      <c r="J39" s="81" t="str">
        <f aca="false">IF(ResourceTable[[#This Row],[Resource Name]]="","",SUMIFS(tsk_Work,tsk_Resource,ResourceTable[[#This Row],[Resource Name]],tsk_IsLeaf,1))</f>
        <v/>
      </c>
      <c r="K39" s="82" t="str">
        <f aca="false">IF(ResourceTable[[#This Row],[Resource Name]]="","",SUMIFS(tsk_Cost,tsk_Resource,ResourceTable[[#This Row],[Resource Name]],tsk_IsLeaf,1))</f>
        <v/>
      </c>
      <c r="L39" s="82" t="str">
        <f aca="false">IF(ResourceTable[[#This Row],[Resource Name]]="","",SUMIFS(tsk_LeafAC,tsk_Resource,ResourceTable[[#This Row],[Resource Name]]))</f>
        <v/>
      </c>
      <c r="M39" s="30"/>
    </row>
    <row r="40" customFormat="false" ht="15" hidden="false" customHeight="false" outlineLevel="0" collapsed="false">
      <c r="B40" s="30"/>
      <c r="C40" s="30"/>
      <c r="D40" s="30"/>
      <c r="E40" s="30"/>
      <c r="F40" s="74"/>
      <c r="G40" s="83"/>
      <c r="H40" s="30"/>
      <c r="I40" s="79" t="str">
        <f aca="false">IF(ResourceTable[[#This Row],[Resource Name]]="","",COUNTIFS(tsk_Resource,ResourceTable[[#This Row],[Resource Name]],tsk_IsLeaf,1))</f>
        <v/>
      </c>
      <c r="J40" s="81" t="str">
        <f aca="false">IF(ResourceTable[[#This Row],[Resource Name]]="","",SUMIFS(tsk_Work,tsk_Resource,ResourceTable[[#This Row],[Resource Name]],tsk_IsLeaf,1))</f>
        <v/>
      </c>
      <c r="K40" s="82" t="str">
        <f aca="false">IF(ResourceTable[[#This Row],[Resource Name]]="","",SUMIFS(tsk_Cost,tsk_Resource,ResourceTable[[#This Row],[Resource Name]],tsk_IsLeaf,1))</f>
        <v/>
      </c>
      <c r="L40" s="82" t="str">
        <f aca="false">IF(ResourceTable[[#This Row],[Resource Name]]="","",SUMIFS(tsk_LeafAC,tsk_Resource,ResourceTable[[#This Row],[Resource Name]]))</f>
        <v/>
      </c>
      <c r="M40" s="30"/>
    </row>
    <row r="41" customFormat="false" ht="15" hidden="false" customHeight="false" outlineLevel="0" collapsed="false">
      <c r="B41" s="30"/>
      <c r="C41" s="30"/>
      <c r="D41" s="30"/>
      <c r="E41" s="30"/>
      <c r="F41" s="74"/>
      <c r="G41" s="83"/>
      <c r="H41" s="30"/>
      <c r="I41" s="79" t="str">
        <f aca="false">IF(ResourceTable[[#This Row],[Resource Name]]="","",COUNTIFS(tsk_Resource,ResourceTable[[#This Row],[Resource Name]],tsk_IsLeaf,1))</f>
        <v/>
      </c>
      <c r="J41" s="81" t="str">
        <f aca="false">IF(ResourceTable[[#This Row],[Resource Name]]="","",SUMIFS(tsk_Work,tsk_Resource,ResourceTable[[#This Row],[Resource Name]],tsk_IsLeaf,1))</f>
        <v/>
      </c>
      <c r="K41" s="82" t="str">
        <f aca="false">IF(ResourceTable[[#This Row],[Resource Name]]="","",SUMIFS(tsk_Cost,tsk_Resource,ResourceTable[[#This Row],[Resource Name]],tsk_IsLeaf,1))</f>
        <v/>
      </c>
      <c r="L41" s="82" t="str">
        <f aca="false">IF(ResourceTable[[#This Row],[Resource Name]]="","",SUMIFS(tsk_LeafAC,tsk_Resource,ResourceTable[[#This Row],[Resource Name]]))</f>
        <v/>
      </c>
      <c r="M41" s="30"/>
    </row>
    <row r="42" customFormat="false" ht="15" hidden="false" customHeight="false" outlineLevel="0" collapsed="false">
      <c r="B42" s="30"/>
      <c r="C42" s="30"/>
      <c r="D42" s="30"/>
      <c r="E42" s="30"/>
      <c r="F42" s="74"/>
      <c r="G42" s="83"/>
      <c r="H42" s="30"/>
      <c r="I42" s="79" t="str">
        <f aca="false">IF(ResourceTable[[#This Row],[Resource Name]]="","",COUNTIFS(tsk_Resource,ResourceTable[[#This Row],[Resource Name]],tsk_IsLeaf,1))</f>
        <v/>
      </c>
      <c r="J42" s="81" t="str">
        <f aca="false">IF(ResourceTable[[#This Row],[Resource Name]]="","",SUMIFS(tsk_Work,tsk_Resource,ResourceTable[[#This Row],[Resource Name]],tsk_IsLeaf,1))</f>
        <v/>
      </c>
      <c r="K42" s="82" t="str">
        <f aca="false">IF(ResourceTable[[#This Row],[Resource Name]]="","",SUMIFS(tsk_Cost,tsk_Resource,ResourceTable[[#This Row],[Resource Name]],tsk_IsLeaf,1))</f>
        <v/>
      </c>
      <c r="L42" s="82" t="str">
        <f aca="false">IF(ResourceTable[[#This Row],[Resource Name]]="","",SUMIFS(tsk_LeafAC,tsk_Resource,ResourceTable[[#This Row],[Resource Name]]))</f>
        <v/>
      </c>
      <c r="M42" s="30"/>
    </row>
    <row r="43" customFormat="false" ht="15" hidden="false" customHeight="false" outlineLevel="0" collapsed="false">
      <c r="B43" s="30"/>
      <c r="C43" s="30"/>
      <c r="D43" s="30"/>
      <c r="E43" s="30"/>
      <c r="F43" s="74"/>
      <c r="G43" s="83"/>
      <c r="H43" s="30"/>
      <c r="I43" s="79" t="str">
        <f aca="false">IF(ResourceTable[[#This Row],[Resource Name]]="","",COUNTIFS(tsk_Resource,ResourceTable[[#This Row],[Resource Name]],tsk_IsLeaf,1))</f>
        <v/>
      </c>
      <c r="J43" s="81" t="str">
        <f aca="false">IF(ResourceTable[[#This Row],[Resource Name]]="","",SUMIFS(tsk_Work,tsk_Resource,ResourceTable[[#This Row],[Resource Name]],tsk_IsLeaf,1))</f>
        <v/>
      </c>
      <c r="K43" s="82" t="str">
        <f aca="false">IF(ResourceTable[[#This Row],[Resource Name]]="","",SUMIFS(tsk_Cost,tsk_Resource,ResourceTable[[#This Row],[Resource Name]],tsk_IsLeaf,1))</f>
        <v/>
      </c>
      <c r="L43" s="82" t="str">
        <f aca="false">IF(ResourceTable[[#This Row],[Resource Name]]="","",SUMIFS(tsk_LeafAC,tsk_Resource,ResourceTable[[#This Row],[Resource Name]]))</f>
        <v/>
      </c>
      <c r="M43" s="30"/>
    </row>
    <row r="44" customFormat="false" ht="15" hidden="false" customHeight="false" outlineLevel="0" collapsed="false">
      <c r="B44" s="30"/>
      <c r="C44" s="30"/>
      <c r="D44" s="30"/>
      <c r="E44" s="30"/>
      <c r="F44" s="74"/>
      <c r="G44" s="83"/>
      <c r="H44" s="30"/>
      <c r="I44" s="79" t="str">
        <f aca="false">IF(ResourceTable[[#This Row],[Resource Name]]="","",COUNTIFS(tsk_Resource,ResourceTable[[#This Row],[Resource Name]],tsk_IsLeaf,1))</f>
        <v/>
      </c>
      <c r="J44" s="81" t="str">
        <f aca="false">IF(ResourceTable[[#This Row],[Resource Name]]="","",SUMIFS(tsk_Work,tsk_Resource,ResourceTable[[#This Row],[Resource Name]],tsk_IsLeaf,1))</f>
        <v/>
      </c>
      <c r="K44" s="82" t="str">
        <f aca="false">IF(ResourceTable[[#This Row],[Resource Name]]="","",SUMIFS(tsk_Cost,tsk_Resource,ResourceTable[[#This Row],[Resource Name]],tsk_IsLeaf,1))</f>
        <v/>
      </c>
      <c r="L44" s="82" t="str">
        <f aca="false">IF(ResourceTable[[#This Row],[Resource Name]]="","",SUMIFS(tsk_LeafAC,tsk_Resource,ResourceTable[[#This Row],[Resource Name]]))</f>
        <v/>
      </c>
      <c r="M44" s="30"/>
    </row>
    <row r="45" customFormat="false" ht="15" hidden="false" customHeight="false" outlineLevel="0" collapsed="false">
      <c r="B45" s="30"/>
      <c r="C45" s="30"/>
      <c r="D45" s="30"/>
      <c r="E45" s="30"/>
      <c r="F45" s="74"/>
      <c r="G45" s="83"/>
      <c r="H45" s="30"/>
      <c r="I45" s="79" t="str">
        <f aca="false">IF(ResourceTable[[#This Row],[Resource Name]]="","",COUNTIFS(tsk_Resource,ResourceTable[[#This Row],[Resource Name]],tsk_IsLeaf,1))</f>
        <v/>
      </c>
      <c r="J45" s="81" t="str">
        <f aca="false">IF(ResourceTable[[#This Row],[Resource Name]]="","",SUMIFS(tsk_Work,tsk_Resource,ResourceTable[[#This Row],[Resource Name]],tsk_IsLeaf,1))</f>
        <v/>
      </c>
      <c r="K45" s="82" t="str">
        <f aca="false">IF(ResourceTable[[#This Row],[Resource Name]]="","",SUMIFS(tsk_Cost,tsk_Resource,ResourceTable[[#This Row],[Resource Name]],tsk_IsLeaf,1))</f>
        <v/>
      </c>
      <c r="L45" s="82" t="str">
        <f aca="false">IF(ResourceTable[[#This Row],[Resource Name]]="","",SUMIFS(tsk_LeafAC,tsk_Resource,ResourceTable[[#This Row],[Resource Name]]))</f>
        <v/>
      </c>
      <c r="M45" s="30"/>
    </row>
    <row r="46" customFormat="false" ht="15" hidden="false" customHeight="false" outlineLevel="0" collapsed="false">
      <c r="B46" s="30"/>
      <c r="C46" s="30"/>
      <c r="D46" s="30"/>
      <c r="E46" s="30"/>
      <c r="F46" s="74"/>
      <c r="G46" s="83"/>
      <c r="H46" s="30"/>
      <c r="I46" s="79" t="str">
        <f aca="false">IF(ResourceTable[[#This Row],[Resource Name]]="","",COUNTIFS(tsk_Resource,ResourceTable[[#This Row],[Resource Name]],tsk_IsLeaf,1))</f>
        <v/>
      </c>
      <c r="J46" s="81" t="str">
        <f aca="false">IF(ResourceTable[[#This Row],[Resource Name]]="","",SUMIFS(tsk_Work,tsk_Resource,ResourceTable[[#This Row],[Resource Name]],tsk_IsLeaf,1))</f>
        <v/>
      </c>
      <c r="K46" s="82" t="str">
        <f aca="false">IF(ResourceTable[[#This Row],[Resource Name]]="","",SUMIFS(tsk_Cost,tsk_Resource,ResourceTable[[#This Row],[Resource Name]],tsk_IsLeaf,1))</f>
        <v/>
      </c>
      <c r="L46" s="82" t="str">
        <f aca="false">IF(ResourceTable[[#This Row],[Resource Name]]="","",SUMIFS(tsk_LeafAC,tsk_Resource,ResourceTable[[#This Row],[Resource Name]]))</f>
        <v/>
      </c>
      <c r="M46" s="30"/>
    </row>
    <row r="47" customFormat="false" ht="15" hidden="false" customHeight="false" outlineLevel="0" collapsed="false">
      <c r="B47" s="30"/>
      <c r="C47" s="30"/>
      <c r="D47" s="30"/>
      <c r="E47" s="30"/>
      <c r="F47" s="74"/>
      <c r="G47" s="83"/>
      <c r="H47" s="30"/>
      <c r="I47" s="79" t="str">
        <f aca="false">IF(ResourceTable[[#This Row],[Resource Name]]="","",COUNTIFS(tsk_Resource,ResourceTable[[#This Row],[Resource Name]],tsk_IsLeaf,1))</f>
        <v/>
      </c>
      <c r="J47" s="81" t="str">
        <f aca="false">IF(ResourceTable[[#This Row],[Resource Name]]="","",SUMIFS(tsk_Work,tsk_Resource,ResourceTable[[#This Row],[Resource Name]],tsk_IsLeaf,1))</f>
        <v/>
      </c>
      <c r="K47" s="82" t="str">
        <f aca="false">IF(ResourceTable[[#This Row],[Resource Name]]="","",SUMIFS(tsk_Cost,tsk_Resource,ResourceTable[[#This Row],[Resource Name]],tsk_IsLeaf,1))</f>
        <v/>
      </c>
      <c r="L47" s="82" t="str">
        <f aca="false">IF(ResourceTable[[#This Row],[Resource Name]]="","",SUMIFS(tsk_LeafAC,tsk_Resource,ResourceTable[[#This Row],[Resource Name]]))</f>
        <v/>
      </c>
      <c r="M47" s="30"/>
    </row>
    <row r="48" customFormat="false" ht="15" hidden="false" customHeight="false" outlineLevel="0" collapsed="false">
      <c r="B48" s="30"/>
      <c r="C48" s="30"/>
      <c r="D48" s="30"/>
      <c r="E48" s="30"/>
      <c r="F48" s="74"/>
      <c r="G48" s="83"/>
      <c r="H48" s="30"/>
      <c r="I48" s="79" t="str">
        <f aca="false">IF(ResourceTable[[#This Row],[Resource Name]]="","",COUNTIFS(tsk_Resource,ResourceTable[[#This Row],[Resource Name]],tsk_IsLeaf,1))</f>
        <v/>
      </c>
      <c r="J48" s="81" t="str">
        <f aca="false">IF(ResourceTable[[#This Row],[Resource Name]]="","",SUMIFS(tsk_Work,tsk_Resource,ResourceTable[[#This Row],[Resource Name]],tsk_IsLeaf,1))</f>
        <v/>
      </c>
      <c r="K48" s="82" t="str">
        <f aca="false">IF(ResourceTable[[#This Row],[Resource Name]]="","",SUMIFS(tsk_Cost,tsk_Resource,ResourceTable[[#This Row],[Resource Name]],tsk_IsLeaf,1))</f>
        <v/>
      </c>
      <c r="L48" s="82" t="str">
        <f aca="false">IF(ResourceTable[[#This Row],[Resource Name]]="","",SUMIFS(tsk_LeafAC,tsk_Resource,ResourceTable[[#This Row],[Resource Name]]))</f>
        <v/>
      </c>
      <c r="M48" s="30"/>
    </row>
    <row r="49" customFormat="false" ht="15" hidden="false" customHeight="false" outlineLevel="0" collapsed="false">
      <c r="B49" s="30"/>
      <c r="C49" s="30"/>
      <c r="D49" s="30"/>
      <c r="E49" s="30"/>
      <c r="F49" s="74"/>
      <c r="G49" s="83"/>
      <c r="H49" s="30"/>
      <c r="I49" s="79" t="str">
        <f aca="false">IF(ResourceTable[[#This Row],[Resource Name]]="","",COUNTIFS(tsk_Resource,ResourceTable[[#This Row],[Resource Name]],tsk_IsLeaf,1))</f>
        <v/>
      </c>
      <c r="J49" s="81" t="str">
        <f aca="false">IF(ResourceTable[[#This Row],[Resource Name]]="","",SUMIFS(tsk_Work,tsk_Resource,ResourceTable[[#This Row],[Resource Name]],tsk_IsLeaf,1))</f>
        <v/>
      </c>
      <c r="K49" s="82" t="str">
        <f aca="false">IF(ResourceTable[[#This Row],[Resource Name]]="","",SUMIFS(tsk_Cost,tsk_Resource,ResourceTable[[#This Row],[Resource Name]],tsk_IsLeaf,1))</f>
        <v/>
      </c>
      <c r="L49" s="82" t="str">
        <f aca="false">IF(ResourceTable[[#This Row],[Resource Name]]="","",SUMIFS(tsk_LeafAC,tsk_Resource,ResourceTable[[#This Row],[Resource Name]]))</f>
        <v/>
      </c>
      <c r="M49" s="30"/>
    </row>
    <row r="50" customFormat="false" ht="15" hidden="false" customHeight="false" outlineLevel="0" collapsed="false">
      <c r="B50" s="30"/>
      <c r="C50" s="30"/>
      <c r="D50" s="30"/>
      <c r="E50" s="30"/>
      <c r="F50" s="74"/>
      <c r="G50" s="83"/>
      <c r="H50" s="30"/>
      <c r="I50" s="79" t="str">
        <f aca="false">IF(ResourceTable[[#This Row],[Resource Name]]="","",COUNTIFS(tsk_Resource,ResourceTable[[#This Row],[Resource Name]],tsk_IsLeaf,1))</f>
        <v/>
      </c>
      <c r="J50" s="81" t="str">
        <f aca="false">IF(ResourceTable[[#This Row],[Resource Name]]="","",SUMIFS(tsk_Work,tsk_Resource,ResourceTable[[#This Row],[Resource Name]],tsk_IsLeaf,1))</f>
        <v/>
      </c>
      <c r="K50" s="82" t="str">
        <f aca="false">IF(ResourceTable[[#This Row],[Resource Name]]="","",SUMIFS(tsk_Cost,tsk_Resource,ResourceTable[[#This Row],[Resource Name]],tsk_IsLeaf,1))</f>
        <v/>
      </c>
      <c r="L50" s="82" t="str">
        <f aca="false">IF(ResourceTable[[#This Row],[Resource Name]]="","",SUMIFS(tsk_LeafAC,tsk_Resource,ResourceTable[[#This Row],[Resource Name]]))</f>
        <v/>
      </c>
      <c r="M50" s="30"/>
    </row>
    <row r="51" customFormat="false" ht="15" hidden="false" customHeight="false" outlineLevel="0" collapsed="false">
      <c r="B51" s="30"/>
      <c r="C51" s="30"/>
      <c r="D51" s="30"/>
      <c r="E51" s="30"/>
      <c r="F51" s="74"/>
      <c r="G51" s="83"/>
      <c r="H51" s="30"/>
      <c r="I51" s="79" t="str">
        <f aca="false">IF(ResourceTable[[#This Row],[Resource Name]]="","",COUNTIFS(tsk_Resource,ResourceTable[[#This Row],[Resource Name]],tsk_IsLeaf,1))</f>
        <v/>
      </c>
      <c r="J51" s="81" t="str">
        <f aca="false">IF(ResourceTable[[#This Row],[Resource Name]]="","",SUMIFS(tsk_Work,tsk_Resource,ResourceTable[[#This Row],[Resource Name]],tsk_IsLeaf,1))</f>
        <v/>
      </c>
      <c r="K51" s="82" t="str">
        <f aca="false">IF(ResourceTable[[#This Row],[Resource Name]]="","",SUMIFS(tsk_Cost,tsk_Resource,ResourceTable[[#This Row],[Resource Name]],tsk_IsLeaf,1))</f>
        <v/>
      </c>
      <c r="L51" s="82" t="str">
        <f aca="false">IF(ResourceTable[[#This Row],[Resource Name]]="","",SUMIFS(tsk_LeafAC,tsk_Resource,ResourceTable[[#This Row],[Resource Name]]))</f>
        <v/>
      </c>
      <c r="M51" s="30"/>
    </row>
    <row r="52" customFormat="false" ht="15" hidden="false" customHeight="false" outlineLevel="0" collapsed="false">
      <c r="B52" s="30"/>
      <c r="C52" s="30"/>
      <c r="D52" s="30"/>
      <c r="E52" s="30"/>
      <c r="F52" s="74"/>
      <c r="G52" s="83"/>
      <c r="H52" s="30"/>
      <c r="I52" s="79" t="str">
        <f aca="false">IF(ResourceTable[[#This Row],[Resource Name]]="","",COUNTIFS(tsk_Resource,ResourceTable[[#This Row],[Resource Name]],tsk_IsLeaf,1))</f>
        <v/>
      </c>
      <c r="J52" s="81" t="str">
        <f aca="false">IF(ResourceTable[[#This Row],[Resource Name]]="","",SUMIFS(tsk_Work,tsk_Resource,ResourceTable[[#This Row],[Resource Name]],tsk_IsLeaf,1))</f>
        <v/>
      </c>
      <c r="K52" s="82" t="str">
        <f aca="false">IF(ResourceTable[[#This Row],[Resource Name]]="","",SUMIFS(tsk_Cost,tsk_Resource,ResourceTable[[#This Row],[Resource Name]],tsk_IsLeaf,1))</f>
        <v/>
      </c>
      <c r="L52" s="82" t="str">
        <f aca="false">IF(ResourceTable[[#This Row],[Resource Name]]="","",SUMIFS(tsk_LeafAC,tsk_Resource,ResourceTable[[#This Row],[Resource Name]]))</f>
        <v/>
      </c>
      <c r="M52" s="30"/>
    </row>
    <row r="53" customFormat="false" ht="15" hidden="false" customHeight="false" outlineLevel="0" collapsed="false">
      <c r="B53" s="30"/>
      <c r="C53" s="30"/>
      <c r="D53" s="30"/>
      <c r="E53" s="30"/>
      <c r="F53" s="74"/>
      <c r="G53" s="83"/>
      <c r="H53" s="30"/>
      <c r="I53" s="79" t="str">
        <f aca="false">IF(ResourceTable[[#This Row],[Resource Name]]="","",COUNTIFS(tsk_Resource,ResourceTable[[#This Row],[Resource Name]],tsk_IsLeaf,1))</f>
        <v/>
      </c>
      <c r="J53" s="81" t="str">
        <f aca="false">IF(ResourceTable[[#This Row],[Resource Name]]="","",SUMIFS(tsk_Work,tsk_Resource,ResourceTable[[#This Row],[Resource Name]],tsk_IsLeaf,1))</f>
        <v/>
      </c>
      <c r="K53" s="82" t="str">
        <f aca="false">IF(ResourceTable[[#This Row],[Resource Name]]="","",SUMIFS(tsk_Cost,tsk_Resource,ResourceTable[[#This Row],[Resource Name]],tsk_IsLeaf,1))</f>
        <v/>
      </c>
      <c r="L53" s="82" t="str">
        <f aca="false">IF(ResourceTable[[#This Row],[Resource Name]]="","",SUMIFS(tsk_LeafAC,tsk_Resource,ResourceTable[[#This Row],[Resource Name]]))</f>
        <v/>
      </c>
      <c r="M53" s="30"/>
    </row>
    <row r="54" customFormat="false" ht="15" hidden="false" customHeight="false" outlineLevel="0" collapsed="false">
      <c r="B54" s="30"/>
      <c r="C54" s="30"/>
      <c r="D54" s="30"/>
      <c r="E54" s="30"/>
      <c r="F54" s="74"/>
      <c r="G54" s="83"/>
      <c r="H54" s="30"/>
      <c r="I54" s="79" t="str">
        <f aca="false">IF(ResourceTable[[#This Row],[Resource Name]]="","",COUNTIFS(tsk_Resource,ResourceTable[[#This Row],[Resource Name]],tsk_IsLeaf,1))</f>
        <v/>
      </c>
      <c r="J54" s="81" t="str">
        <f aca="false">IF(ResourceTable[[#This Row],[Resource Name]]="","",SUMIFS(tsk_Work,tsk_Resource,ResourceTable[[#This Row],[Resource Name]],tsk_IsLeaf,1))</f>
        <v/>
      </c>
      <c r="K54" s="82" t="str">
        <f aca="false">IF(ResourceTable[[#This Row],[Resource Name]]="","",SUMIFS(tsk_Cost,tsk_Resource,ResourceTable[[#This Row],[Resource Name]],tsk_IsLeaf,1))</f>
        <v/>
      </c>
      <c r="L54" s="82" t="str">
        <f aca="false">IF(ResourceTable[[#This Row],[Resource Name]]="","",SUMIFS(tsk_LeafAC,tsk_Resource,ResourceTable[[#This Row],[Resource Name]]))</f>
        <v/>
      </c>
      <c r="M54" s="30"/>
    </row>
    <row r="55" customFormat="false" ht="15" hidden="false" customHeight="false" outlineLevel="0" collapsed="false">
      <c r="B55" s="30"/>
      <c r="C55" s="30"/>
      <c r="D55" s="30"/>
      <c r="E55" s="30"/>
      <c r="F55" s="74"/>
      <c r="G55" s="83"/>
      <c r="H55" s="30"/>
      <c r="I55" s="79" t="str">
        <f aca="false">IF(ResourceTable[[#This Row],[Resource Name]]="","",COUNTIFS(tsk_Resource,ResourceTable[[#This Row],[Resource Name]],tsk_IsLeaf,1))</f>
        <v/>
      </c>
      <c r="J55" s="81" t="str">
        <f aca="false">IF(ResourceTable[[#This Row],[Resource Name]]="","",SUMIFS(tsk_Work,tsk_Resource,ResourceTable[[#This Row],[Resource Name]],tsk_IsLeaf,1))</f>
        <v/>
      </c>
      <c r="K55" s="82" t="str">
        <f aca="false">IF(ResourceTable[[#This Row],[Resource Name]]="","",SUMIFS(tsk_Cost,tsk_Resource,ResourceTable[[#This Row],[Resource Name]],tsk_IsLeaf,1))</f>
        <v/>
      </c>
      <c r="L55" s="82" t="str">
        <f aca="false">IF(ResourceTable[[#This Row],[Resource Name]]="","",SUMIFS(tsk_LeafAC,tsk_Resource,ResourceTable[[#This Row],[Resource Name]]))</f>
        <v/>
      </c>
      <c r="M55" s="30"/>
    </row>
  </sheetData>
  <dataValidations count="1">
    <dataValidation allowBlank="false" errorStyle="stop" operator="between" showDropDown="false" showErrorMessage="false" showInputMessage="false" sqref="E6:E55" type="list">
      <formula1>L_ResType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AC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18" min="4" style="0" width="10"/>
    <col collapsed="false" customWidth="true" hidden="true" outlineLevel="0" max="19" min="19" style="0" width="10"/>
    <col collapsed="false" customWidth="true" hidden="false" outlineLevel="0" max="29" min="20" style="0" width="10"/>
  </cols>
  <sheetData>
    <row r="1" customFormat="false" ht="19.7" hidden="false" customHeight="false" outlineLevel="0" collapsed="false">
      <c r="A1" s="26" t="str">
        <f aca="false">ProjectName&amp;"  -  Sprint &amp; Capacity Planning"</f>
        <v>Customer Portal Implementation  -  Sprint &amp; Capacity Planning</v>
      </c>
    </row>
    <row r="2" customFormat="false" ht="15" hidden="false" customHeight="false" outlineLevel="0" collapsed="false">
      <c r="A2" s="8" t="s">
        <v>558</v>
      </c>
    </row>
    <row r="5" customFormat="false" ht="23.85" hidden="false" customHeight="false" outlineLevel="0" collapsed="false">
      <c r="A5" s="9" t="s">
        <v>277</v>
      </c>
      <c r="B5" s="9" t="s">
        <v>382</v>
      </c>
      <c r="C5" s="9" t="s">
        <v>559</v>
      </c>
      <c r="D5" s="9" t="s">
        <v>560</v>
      </c>
      <c r="E5" s="9" t="s">
        <v>561</v>
      </c>
      <c r="F5" s="27" t="s">
        <v>562</v>
      </c>
      <c r="G5" s="9" t="s">
        <v>563</v>
      </c>
      <c r="H5" s="9" t="s">
        <v>564</v>
      </c>
      <c r="I5" s="9" t="s">
        <v>53</v>
      </c>
      <c r="J5" s="9" t="s">
        <v>565</v>
      </c>
      <c r="K5" s="9" t="s">
        <v>81</v>
      </c>
      <c r="L5" s="27" t="s">
        <v>566</v>
      </c>
      <c r="M5" s="9" t="s">
        <v>567</v>
      </c>
      <c r="N5" s="9" t="s">
        <v>568</v>
      </c>
      <c r="O5" s="9" t="s">
        <v>569</v>
      </c>
      <c r="P5" s="9" t="s">
        <v>570</v>
      </c>
      <c r="Q5" s="9" t="s">
        <v>571</v>
      </c>
      <c r="R5" s="9" t="s">
        <v>572</v>
      </c>
      <c r="S5" s="42" t="s">
        <v>228</v>
      </c>
    </row>
    <row r="6" customFormat="false" ht="15" hidden="false" customHeight="false" outlineLevel="0" collapsed="false">
      <c r="A6" s="28" t="n">
        <f aca="false">ROW()-ROW(SprintTable[[#Headers],[No]])</f>
        <v>1</v>
      </c>
      <c r="B6" s="24" t="str">
        <f aca="false">IF(SprintTable[[#This Row],[No]]&lt;=SprintCount,SprintPrefix&amp;SprintTable[[#This Row],[No]],"")</f>
        <v>Sprint 1</v>
      </c>
      <c r="C6" s="25" t="n">
        <f aca="false">Sprint1Start+(SprintTable[[#This Row],[No]]-1)*SprintLength</f>
        <v>46272</v>
      </c>
      <c r="D6" s="25" t="n">
        <f aca="false">SprintTable[[#This Row],[Start]]+SprintLength-1</f>
        <v>46285</v>
      </c>
      <c r="E6" s="28" t="n">
        <f aca="false">NETWORKDAYS.INTL(SprintTable[[#This Row],[Start]],SprintTable[[#This Row],[End]],WorkWeek,Holidays)</f>
        <v>10</v>
      </c>
      <c r="F6" s="30" t="s">
        <v>573</v>
      </c>
      <c r="G6" s="28" t="n">
        <f aca="false">IF(SprintTable[[#This Row],[Sprint]]="","",COUNTIF(tsk_Sprint,SprintTable[[#This Row],[Sprint]]))</f>
        <v>5</v>
      </c>
      <c r="H6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75.1111111111111</v>
      </c>
      <c r="I6" s="81" t="n">
        <f aca="false">IF(SprintTable[[#This Row],[Sprint]]="","",SUMIFS(res_MaxUnits,res_Type,"Work")*HoursPerDay*SprintTable[[#This Row],[Working Days]])</f>
        <v>480</v>
      </c>
      <c r="J6" s="80" t="n">
        <f aca="false">IF(OR(SprintTable[[#This Row],[Sprint]]="",N(SprintTable[[#This Row],[Capacity]])=0),"",SprintTable[[#This Row],[Planned Work]]/SprintTable[[#This Row],[Capacity]])</f>
        <v>0.156481481481482</v>
      </c>
      <c r="K6" s="28" t="str">
        <f aca="false">IF(SprintTable[[#This Row],[Sprint]]="","",IF(StatusDate&gt;SprintTable[[#This Row],[End]],"Closed",IF(StatusDate&gt;=SprintTable[[#This Row],[Start]],"Active","Future")))</f>
        <v>Closed</v>
      </c>
      <c r="L6" s="84"/>
      <c r="M6" s="112" t="n">
        <f aca="false">IF(SprintTable[[#This Row],[Sprint]]="","",SUMIFS(tsk_LeafPoints,tsk_Sprint,SprintTable[[#This Row],[Sprint]]))</f>
        <v>18</v>
      </c>
      <c r="N6" s="112" t="n">
        <f aca="false">IF(OR(SprintTable[[#This Row],[Sprint]]="",SprintTable[[#This Row],[Status]]="Future"),"",SUMIFS(tsk_LeafPoints,tsk_DoneDate,"&gt;="&amp;SprintTable[[#This Row],[Start]],tsk_DoneDate,"&lt;="&amp;SprintTable[[#This Row],[End]]))</f>
        <v>5</v>
      </c>
      <c r="O6" s="113" t="n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>5</v>
      </c>
      <c r="P6" s="112" t="n">
        <f aca="false">IF(OR(SprintTable[[#This Row],[Sprint]]="",SprintTable[[#This Row],[Status]]="Future"),"",TotalPoints-SUMIFS(tsk_LeafPoints,tsk_DoneDate,"&lt;="&amp;MIN(SprintTable[[#This Row],[End]],StatusDate)))</f>
        <v>77</v>
      </c>
      <c r="Q6" s="112" t="n">
        <f aca="false">IF(SprintTable[[#This Row],[Sprint]]="","",TotalPoints-SUMIFS(tsk_LeafPoints,tsk_FcFinish,"&lt;="&amp;SprintTable[[#This Row],[End]]))</f>
        <v>77</v>
      </c>
      <c r="R6" s="112" t="n">
        <f aca="false">IF(SprintTable[[#This Row],[Sprint]]="","",TotalPoints*MAX(0,1-SprintTable[[#This Row],[No]]/SprintCount))</f>
        <v>75.1666666666667</v>
      </c>
      <c r="S6" s="69" t="n">
        <f aca="false">IF(SprintTable[[#This Row],[Remaining Points]]="",NA(),SprintTable[[#This Row],[Remaining Points]])</f>
        <v>77</v>
      </c>
    </row>
    <row r="7" customFormat="false" ht="15" hidden="false" customHeight="false" outlineLevel="0" collapsed="false">
      <c r="A7" s="28" t="n">
        <f aca="false">ROW()-ROW(SprintTable[[#Headers],[No]])</f>
        <v>2</v>
      </c>
      <c r="B7" s="24" t="str">
        <f aca="false">IF(SprintTable[[#This Row],[No]]&lt;=SprintCount,SprintPrefix&amp;SprintTable[[#This Row],[No]],"")</f>
        <v>Sprint 2</v>
      </c>
      <c r="C7" s="25" t="n">
        <f aca="false">Sprint1Start+(SprintTable[[#This Row],[No]]-1)*SprintLength</f>
        <v>46286</v>
      </c>
      <c r="D7" s="25" t="n">
        <f aca="false">SprintTable[[#This Row],[Start]]+SprintLength-1</f>
        <v>46299</v>
      </c>
      <c r="E7" s="28" t="n">
        <f aca="false">NETWORKDAYS.INTL(SprintTable[[#This Row],[Start]],SprintTable[[#This Row],[End]],WorkWeek,Holidays)</f>
        <v>10</v>
      </c>
      <c r="F7" s="30" t="s">
        <v>574</v>
      </c>
      <c r="G7" s="28" t="n">
        <f aca="false">IF(SprintTable[[#This Row],[Sprint]]="","",COUNTIF(tsk_Sprint,SprintTable[[#This Row],[Sprint]]))</f>
        <v>1</v>
      </c>
      <c r="H7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103.174603174603</v>
      </c>
      <c r="I7" s="81" t="n">
        <f aca="false">IF(SprintTable[[#This Row],[Sprint]]="","",SUMIFS(res_MaxUnits,res_Type,"Work")*HoursPerDay*SprintTable[[#This Row],[Working Days]])</f>
        <v>480</v>
      </c>
      <c r="J7" s="80" t="n">
        <f aca="false">IF(OR(SprintTable[[#This Row],[Sprint]]="",N(SprintTable[[#This Row],[Capacity]])=0),"",SprintTable[[#This Row],[Planned Work]]/SprintTable[[#This Row],[Capacity]])</f>
        <v>0.21494708994709</v>
      </c>
      <c r="K7" s="28" t="str">
        <f aca="false">IF(SprintTable[[#This Row],[Sprint]]="","",IF(StatusDate&gt;SprintTable[[#This Row],[End]],"Closed",IF(StatusDate&gt;=SprintTable[[#This Row],[Start]],"Active","Future")))</f>
        <v>Closed</v>
      </c>
      <c r="L7" s="84"/>
      <c r="M7" s="112" t="n">
        <f aca="false">IF(SprintTable[[#This Row],[Sprint]]="","",SUMIFS(tsk_LeafPoints,tsk_Sprint,SprintTable[[#This Row],[Sprint]]))</f>
        <v>5</v>
      </c>
      <c r="N7" s="112" t="n">
        <f aca="false">IF(OR(SprintTable[[#This Row],[Sprint]]="",SprintTable[[#This Row],[Status]]="Future"),"",SUMIFS(tsk_LeafPoints,tsk_DoneDate,"&gt;="&amp;SprintTable[[#This Row],[Start]],tsk_DoneDate,"&lt;="&amp;SprintTable[[#This Row],[End]]))</f>
        <v>13</v>
      </c>
      <c r="O7" s="113" t="n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>9</v>
      </c>
      <c r="P7" s="112" t="n">
        <f aca="false">IF(OR(SprintTable[[#This Row],[Sprint]]="",SprintTable[[#This Row],[Status]]="Future"),"",TotalPoints-SUMIFS(tsk_LeafPoints,tsk_DoneDate,"&lt;="&amp;MIN(SprintTable[[#This Row],[End]],StatusDate)))</f>
        <v>64</v>
      </c>
      <c r="Q7" s="112" t="n">
        <f aca="false">IF(SprintTable[[#This Row],[Sprint]]="","",TotalPoints-SUMIFS(tsk_LeafPoints,tsk_FcFinish,"&lt;="&amp;SprintTable[[#This Row],[End]]))</f>
        <v>64</v>
      </c>
      <c r="R7" s="112" t="n">
        <f aca="false">IF(SprintTable[[#This Row],[Sprint]]="","",TotalPoints*MAX(0,1-SprintTable[[#This Row],[No]]/SprintCount))</f>
        <v>68.3333333333333</v>
      </c>
      <c r="S7" s="69" t="n">
        <f aca="false">IF(SprintTable[[#This Row],[Remaining Points]]="",NA(),SprintTable[[#This Row],[Remaining Points]])</f>
        <v>64</v>
      </c>
    </row>
    <row r="8" customFormat="false" ht="15" hidden="false" customHeight="false" outlineLevel="0" collapsed="false">
      <c r="A8" s="28" t="n">
        <f aca="false">ROW()-ROW(SprintTable[[#Headers],[No]])</f>
        <v>3</v>
      </c>
      <c r="B8" s="24" t="str">
        <f aca="false">IF(SprintTable[[#This Row],[No]]&lt;=SprintCount,SprintPrefix&amp;SprintTable[[#This Row],[No]],"")</f>
        <v>Sprint 3</v>
      </c>
      <c r="C8" s="25" t="n">
        <f aca="false">Sprint1Start+(SprintTable[[#This Row],[No]]-1)*SprintLength</f>
        <v>46300</v>
      </c>
      <c r="D8" s="25" t="n">
        <f aca="false">SprintTable[[#This Row],[Start]]+SprintLength-1</f>
        <v>46313</v>
      </c>
      <c r="E8" s="28" t="n">
        <f aca="false">NETWORKDAYS.INTL(SprintTable[[#This Row],[Start]],SprintTable[[#This Row],[End]],WorkWeek,Holidays)</f>
        <v>10</v>
      </c>
      <c r="F8" s="30" t="s">
        <v>575</v>
      </c>
      <c r="G8" s="28" t="n">
        <f aca="false">IF(SprintTable[[#This Row],[Sprint]]="","",COUNTIF(tsk_Sprint,SprintTable[[#This Row],[Sprint]]))</f>
        <v>4</v>
      </c>
      <c r="H8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115.047619047619</v>
      </c>
      <c r="I8" s="81" t="n">
        <f aca="false">IF(SprintTable[[#This Row],[Sprint]]="","",SUMIFS(res_MaxUnits,res_Type,"Work")*HoursPerDay*SprintTable[[#This Row],[Working Days]])</f>
        <v>480</v>
      </c>
      <c r="J8" s="80" t="n">
        <f aca="false">IF(OR(SprintTable[[#This Row],[Sprint]]="",N(SprintTable[[#This Row],[Capacity]])=0),"",SprintTable[[#This Row],[Planned Work]]/SprintTable[[#This Row],[Capacity]])</f>
        <v>0.23968253968254</v>
      </c>
      <c r="K8" s="28" t="str">
        <f aca="false">IF(SprintTable[[#This Row],[Sprint]]="","",IF(StatusDate&gt;SprintTable[[#This Row],[End]],"Closed",IF(StatusDate&gt;=SprintTable[[#This Row],[Start]],"Active","Future")))</f>
        <v>Closed</v>
      </c>
      <c r="L8" s="84"/>
      <c r="M8" s="112" t="n">
        <f aca="false">IF(SprintTable[[#This Row],[Sprint]]="","",SUMIFS(tsk_LeafPoints,tsk_Sprint,SprintTable[[#This Row],[Sprint]]))</f>
        <v>18</v>
      </c>
      <c r="N8" s="112" t="n">
        <f aca="false">IF(OR(SprintTable[[#This Row],[Sprint]]="",SprintTable[[#This Row],[Status]]="Future"),"",SUMIFS(tsk_LeafPoints,tsk_DoneDate,"&gt;="&amp;SprintTable[[#This Row],[Start]],tsk_DoneDate,"&lt;="&amp;SprintTable[[#This Row],[End]]))</f>
        <v>15</v>
      </c>
      <c r="O8" s="113" t="n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>11</v>
      </c>
      <c r="P8" s="112" t="n">
        <f aca="false">IF(OR(SprintTable[[#This Row],[Sprint]]="",SprintTable[[#This Row],[Status]]="Future"),"",TotalPoints-SUMIFS(tsk_LeafPoints,tsk_DoneDate,"&lt;="&amp;MIN(SprintTable[[#This Row],[End]],StatusDate)))</f>
        <v>49</v>
      </c>
      <c r="Q8" s="112" t="n">
        <f aca="false">IF(SprintTable[[#This Row],[Sprint]]="","",TotalPoints-SUMIFS(tsk_LeafPoints,tsk_FcFinish,"&lt;="&amp;SprintTable[[#This Row],[End]]))</f>
        <v>49</v>
      </c>
      <c r="R8" s="112" t="n">
        <f aca="false">IF(SprintTable[[#This Row],[Sprint]]="","",TotalPoints*MAX(0,1-SprintTable[[#This Row],[No]]/SprintCount))</f>
        <v>61.5</v>
      </c>
      <c r="S8" s="69" t="n">
        <f aca="false">IF(SprintTable[[#This Row],[Remaining Points]]="",NA(),SprintTable[[#This Row],[Remaining Points]])</f>
        <v>49</v>
      </c>
    </row>
    <row r="9" customFormat="false" ht="15" hidden="false" customHeight="false" outlineLevel="0" collapsed="false">
      <c r="A9" s="28" t="n">
        <f aca="false">ROW()-ROW(SprintTable[[#Headers],[No]])</f>
        <v>4</v>
      </c>
      <c r="B9" s="24" t="str">
        <f aca="false">IF(SprintTable[[#This Row],[No]]&lt;=SprintCount,SprintPrefix&amp;SprintTable[[#This Row],[No]],"")</f>
        <v>Sprint 4</v>
      </c>
      <c r="C9" s="25" t="n">
        <f aca="false">Sprint1Start+(SprintTable[[#This Row],[No]]-1)*SprintLength</f>
        <v>46314</v>
      </c>
      <c r="D9" s="25" t="n">
        <f aca="false">SprintTable[[#This Row],[Start]]+SprintLength-1</f>
        <v>46327</v>
      </c>
      <c r="E9" s="28" t="n">
        <f aca="false">NETWORKDAYS.INTL(SprintTable[[#This Row],[Start]],SprintTable[[#This Row],[End]],WorkWeek,Holidays)</f>
        <v>10</v>
      </c>
      <c r="F9" s="30" t="s">
        <v>576</v>
      </c>
      <c r="G9" s="28" t="n">
        <f aca="false">IF(SprintTable[[#This Row],[Sprint]]="","",COUNTIF(tsk_Sprint,SprintTable[[#This Row],[Sprint]]))</f>
        <v>1</v>
      </c>
      <c r="H9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135.238095238095</v>
      </c>
      <c r="I9" s="81" t="n">
        <f aca="false">IF(SprintTable[[#This Row],[Sprint]]="","",SUMIFS(res_MaxUnits,res_Type,"Work")*HoursPerDay*SprintTable[[#This Row],[Working Days]])</f>
        <v>480</v>
      </c>
      <c r="J9" s="80" t="n">
        <f aca="false">IF(OR(SprintTable[[#This Row],[Sprint]]="",N(SprintTable[[#This Row],[Capacity]])=0),"",SprintTable[[#This Row],[Planned Work]]/SprintTable[[#This Row],[Capacity]])</f>
        <v>0.281746031746032</v>
      </c>
      <c r="K9" s="28" t="str">
        <f aca="false">IF(SprintTable[[#This Row],[Sprint]]="","",IF(StatusDate&gt;SprintTable[[#This Row],[End]],"Closed",IF(StatusDate&gt;=SprintTable[[#This Row],[Start]],"Active","Future")))</f>
        <v>Active</v>
      </c>
      <c r="L9" s="84"/>
      <c r="M9" s="112" t="n">
        <f aca="false">IF(SprintTable[[#This Row],[Sprint]]="","",SUMIFS(tsk_LeafPoints,tsk_Sprint,SprintTable[[#This Row],[Sprint]]))</f>
        <v>8</v>
      </c>
      <c r="N9" s="112" t="n">
        <f aca="false">IF(OR(SprintTable[[#This Row],[Sprint]]="",SprintTable[[#This Row],[Status]]="Future"),"",SUMIFS(tsk_LeafPoints,tsk_DoneDate,"&gt;="&amp;SprintTable[[#This Row],[Start]],tsk_DoneDate,"&lt;="&amp;SprintTable[[#This Row],[End]]))</f>
        <v>0</v>
      </c>
      <c r="O9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9" s="112" t="n">
        <f aca="false">IF(OR(SprintTable[[#This Row],[Sprint]]="",SprintTable[[#This Row],[Status]]="Future"),"",TotalPoints-SUMIFS(tsk_LeafPoints,tsk_DoneDate,"&lt;="&amp;MIN(SprintTable[[#This Row],[End]],StatusDate)))</f>
        <v>49</v>
      </c>
      <c r="Q9" s="112" t="n">
        <f aca="false">IF(SprintTable[[#This Row],[Sprint]]="","",TotalPoints-SUMIFS(tsk_LeafPoints,tsk_FcFinish,"&lt;="&amp;SprintTable[[#This Row],[End]]))</f>
        <v>41</v>
      </c>
      <c r="R9" s="112" t="n">
        <f aca="false">IF(SprintTable[[#This Row],[Sprint]]="","",TotalPoints*MAX(0,1-SprintTable[[#This Row],[No]]/SprintCount))</f>
        <v>54.6666666666667</v>
      </c>
      <c r="S9" s="69" t="n">
        <f aca="false">IF(SprintTable[[#This Row],[Remaining Points]]="",NA(),SprintTable[[#This Row],[Remaining Points]])</f>
        <v>49</v>
      </c>
    </row>
    <row r="10" customFormat="false" ht="15" hidden="false" customHeight="false" outlineLevel="0" collapsed="false">
      <c r="A10" s="28" t="n">
        <f aca="false">ROW()-ROW(SprintTable[[#Headers],[No]])</f>
        <v>5</v>
      </c>
      <c r="B10" s="24" t="str">
        <f aca="false">IF(SprintTable[[#This Row],[No]]&lt;=SprintCount,SprintPrefix&amp;SprintTable[[#This Row],[No]],"")</f>
        <v>Sprint 5</v>
      </c>
      <c r="C10" s="25" t="n">
        <f aca="false">Sprint1Start+(SprintTable[[#This Row],[No]]-1)*SprintLength</f>
        <v>46328</v>
      </c>
      <c r="D10" s="25" t="n">
        <f aca="false">SprintTable[[#This Row],[Start]]+SprintLength-1</f>
        <v>46341</v>
      </c>
      <c r="E10" s="28" t="n">
        <f aca="false">NETWORKDAYS.INTL(SprintTable[[#This Row],[Start]],SprintTable[[#This Row],[End]],WorkWeek,Holidays)</f>
        <v>10</v>
      </c>
      <c r="F10" s="30" t="s">
        <v>577</v>
      </c>
      <c r="G10" s="28" t="n">
        <f aca="false">IF(SprintTable[[#This Row],[Sprint]]="","",COUNTIF(tsk_Sprint,SprintTable[[#This Row],[Sprint]]))</f>
        <v>5</v>
      </c>
      <c r="H10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127.428571428571</v>
      </c>
      <c r="I10" s="81" t="n">
        <f aca="false">IF(SprintTable[[#This Row],[Sprint]]="","",SUMIFS(res_MaxUnits,res_Type,"Work")*HoursPerDay*SprintTable[[#This Row],[Working Days]])</f>
        <v>480</v>
      </c>
      <c r="J10" s="80" t="n">
        <f aca="false">IF(OR(SprintTable[[#This Row],[Sprint]]="",N(SprintTable[[#This Row],[Capacity]])=0),"",SprintTable[[#This Row],[Planned Work]]/SprintTable[[#This Row],[Capacity]])</f>
        <v>0.265476190476191</v>
      </c>
      <c r="K10" s="28" t="str">
        <f aca="false">IF(SprintTable[[#This Row],[Sprint]]="","",IF(StatusDate&gt;SprintTable[[#This Row],[End]],"Closed",IF(StatusDate&gt;=SprintTable[[#This Row],[Start]],"Active","Future")))</f>
        <v>Future</v>
      </c>
      <c r="L10" s="84"/>
      <c r="M10" s="112" t="n">
        <f aca="false">IF(SprintTable[[#This Row],[Sprint]]="","",SUMIFS(tsk_LeafPoints,tsk_Sprint,SprintTable[[#This Row],[Sprint]]))</f>
        <v>19</v>
      </c>
      <c r="N10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10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10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10" s="112" t="n">
        <f aca="false">IF(SprintTable[[#This Row],[Sprint]]="","",TotalPoints-SUMIFS(tsk_LeafPoints,tsk_FcFinish,"&lt;="&amp;SprintTable[[#This Row],[End]]))</f>
        <v>25</v>
      </c>
      <c r="R10" s="112" t="n">
        <f aca="false">IF(SprintTable[[#This Row],[Sprint]]="","",TotalPoints*MAX(0,1-SprintTable[[#This Row],[No]]/SprintCount))</f>
        <v>47.8333333333333</v>
      </c>
      <c r="S10" s="43" t="e">
        <f aca="false">IF(SprintTable[[#This Row],[Remaining Points]]="",NA(),SprintTable[[#This Row],[Remaining Points]])</f>
        <v>#N/A</v>
      </c>
    </row>
    <row r="11" customFormat="false" ht="15" hidden="false" customHeight="false" outlineLevel="0" collapsed="false">
      <c r="A11" s="28" t="n">
        <f aca="false">ROW()-ROW(SprintTable[[#Headers],[No]])</f>
        <v>6</v>
      </c>
      <c r="B11" s="24" t="str">
        <f aca="false">IF(SprintTable[[#This Row],[No]]&lt;=SprintCount,SprintPrefix&amp;SprintTable[[#This Row],[No]],"")</f>
        <v>Sprint 6</v>
      </c>
      <c r="C11" s="25" t="n">
        <f aca="false">Sprint1Start+(SprintTable[[#This Row],[No]]-1)*SprintLength</f>
        <v>46342</v>
      </c>
      <c r="D11" s="25" t="n">
        <f aca="false">SprintTable[[#This Row],[Start]]+SprintLength-1</f>
        <v>46355</v>
      </c>
      <c r="E11" s="28" t="n">
        <f aca="false">NETWORKDAYS.INTL(SprintTable[[#This Row],[Start]],SprintTable[[#This Row],[End]],WorkWeek,Holidays)</f>
        <v>10</v>
      </c>
      <c r="F11" s="30" t="s">
        <v>578</v>
      </c>
      <c r="G11" s="28" t="n">
        <f aca="false">IF(SprintTable[[#This Row],[Sprint]]="","",COUNTIF(tsk_Sprint,SprintTable[[#This Row],[Sprint]]))</f>
        <v>1</v>
      </c>
      <c r="H11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52</v>
      </c>
      <c r="I11" s="81" t="n">
        <f aca="false">IF(SprintTable[[#This Row],[Sprint]]="","",SUMIFS(res_MaxUnits,res_Type,"Work")*HoursPerDay*SprintTable[[#This Row],[Working Days]])</f>
        <v>480</v>
      </c>
      <c r="J11" s="80" t="n">
        <f aca="false">IF(OR(SprintTable[[#This Row],[Sprint]]="",N(SprintTable[[#This Row],[Capacity]])=0),"",SprintTable[[#This Row],[Planned Work]]/SprintTable[[#This Row],[Capacity]])</f>
        <v>0.108333333333333</v>
      </c>
      <c r="K11" s="28" t="str">
        <f aca="false">IF(SprintTable[[#This Row],[Sprint]]="","",IF(StatusDate&gt;SprintTable[[#This Row],[End]],"Closed",IF(StatusDate&gt;=SprintTable[[#This Row],[Start]],"Active","Future")))</f>
        <v>Future</v>
      </c>
      <c r="L11" s="84"/>
      <c r="M11" s="112" t="n">
        <f aca="false">IF(SprintTable[[#This Row],[Sprint]]="","",SUMIFS(tsk_LeafPoints,tsk_Sprint,SprintTable[[#This Row],[Sprint]]))</f>
        <v>1</v>
      </c>
      <c r="N11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11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11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11" s="112" t="n">
        <f aca="false">IF(SprintTable[[#This Row],[Sprint]]="","",TotalPoints-SUMIFS(tsk_LeafPoints,tsk_FcFinish,"&lt;="&amp;SprintTable[[#This Row],[End]]))</f>
        <v>13</v>
      </c>
      <c r="R11" s="112" t="n">
        <f aca="false">IF(SprintTable[[#This Row],[Sprint]]="","",TotalPoints*MAX(0,1-SprintTable[[#This Row],[No]]/SprintCount))</f>
        <v>41</v>
      </c>
      <c r="S11" s="43" t="e">
        <f aca="false">IF(SprintTable[[#This Row],[Remaining Points]]="",NA(),SprintTable[[#This Row],[Remaining Points]])</f>
        <v>#N/A</v>
      </c>
    </row>
    <row r="12" customFormat="false" ht="15" hidden="false" customHeight="false" outlineLevel="0" collapsed="false">
      <c r="A12" s="28" t="n">
        <f aca="false">ROW()-ROW(SprintTable[[#Headers],[No]])</f>
        <v>7</v>
      </c>
      <c r="B12" s="24" t="str">
        <f aca="false">IF(SprintTable[[#This Row],[No]]&lt;=SprintCount,SprintPrefix&amp;SprintTable[[#This Row],[No]],"")</f>
        <v>Sprint 7</v>
      </c>
      <c r="C12" s="25" t="n">
        <f aca="false">Sprint1Start+(SprintTable[[#This Row],[No]]-1)*SprintLength</f>
        <v>46356</v>
      </c>
      <c r="D12" s="25" t="n">
        <f aca="false">SprintTable[[#This Row],[Start]]+SprintLength-1</f>
        <v>46369</v>
      </c>
      <c r="E12" s="28" t="n">
        <f aca="false">NETWORKDAYS.INTL(SprintTable[[#This Row],[Start]],SprintTable[[#This Row],[End]],WorkWeek,Holidays)</f>
        <v>10</v>
      </c>
      <c r="F12" s="30" t="s">
        <v>579</v>
      </c>
      <c r="G12" s="28" t="n">
        <f aca="false">IF(SprintTable[[#This Row],[Sprint]]="","",COUNTIF(tsk_Sprint,SprintTable[[#This Row],[Sprint]]))</f>
        <v>1</v>
      </c>
      <c r="H12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40</v>
      </c>
      <c r="I12" s="81" t="n">
        <f aca="false">IF(SprintTable[[#This Row],[Sprint]]="","",SUMIFS(res_MaxUnits,res_Type,"Work")*HoursPerDay*SprintTable[[#This Row],[Working Days]])</f>
        <v>480</v>
      </c>
      <c r="J12" s="80" t="n">
        <f aca="false">IF(OR(SprintTable[[#This Row],[Sprint]]="",N(SprintTable[[#This Row],[Capacity]])=0),"",SprintTable[[#This Row],[Planned Work]]/SprintTable[[#This Row],[Capacity]])</f>
        <v>0.0833333333333333</v>
      </c>
      <c r="K12" s="28" t="str">
        <f aca="false">IF(SprintTable[[#This Row],[Sprint]]="","",IF(StatusDate&gt;SprintTable[[#This Row],[End]],"Closed",IF(StatusDate&gt;=SprintTable[[#This Row],[Start]],"Active","Future")))</f>
        <v>Future</v>
      </c>
      <c r="L12" s="84"/>
      <c r="M12" s="112" t="n">
        <f aca="false">IF(SprintTable[[#This Row],[Sprint]]="","",SUMIFS(tsk_LeafPoints,tsk_Sprint,SprintTable[[#This Row],[Sprint]]))</f>
        <v>5</v>
      </c>
      <c r="N12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12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12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12" s="112" t="n">
        <f aca="false">IF(SprintTable[[#This Row],[Sprint]]="","",TotalPoints-SUMIFS(tsk_LeafPoints,tsk_FcFinish,"&lt;="&amp;SprintTable[[#This Row],[End]]))</f>
        <v>13</v>
      </c>
      <c r="R12" s="112" t="n">
        <f aca="false">IF(SprintTable[[#This Row],[Sprint]]="","",TotalPoints*MAX(0,1-SprintTable[[#This Row],[No]]/SprintCount))</f>
        <v>34.1666666666667</v>
      </c>
      <c r="S12" s="43" t="e">
        <f aca="false">IF(SprintTable[[#This Row],[Remaining Points]]="",NA(),SprintTable[[#This Row],[Remaining Points]])</f>
        <v>#N/A</v>
      </c>
    </row>
    <row r="13" customFormat="false" ht="15" hidden="false" customHeight="false" outlineLevel="0" collapsed="false">
      <c r="A13" s="28" t="n">
        <f aca="false">ROW()-ROW(SprintTable[[#Headers],[No]])</f>
        <v>8</v>
      </c>
      <c r="B13" s="24" t="str">
        <f aca="false">IF(SprintTable[[#This Row],[No]]&lt;=SprintCount,SprintPrefix&amp;SprintTable[[#This Row],[No]],"")</f>
        <v>Sprint 8</v>
      </c>
      <c r="C13" s="25" t="n">
        <f aca="false">Sprint1Start+(SprintTable[[#This Row],[No]]-1)*SprintLength</f>
        <v>46370</v>
      </c>
      <c r="D13" s="25" t="n">
        <f aca="false">SprintTable[[#This Row],[Start]]+SprintLength-1</f>
        <v>46383</v>
      </c>
      <c r="E13" s="28" t="n">
        <f aca="false">NETWORKDAYS.INTL(SprintTable[[#This Row],[Start]],SprintTable[[#This Row],[End]],WorkWeek,Holidays)</f>
        <v>8</v>
      </c>
      <c r="F13" s="30" t="s">
        <v>580</v>
      </c>
      <c r="G13" s="28" t="n">
        <f aca="false">IF(SprintTable[[#This Row],[Sprint]]="","",COUNTIF(tsk_Sprint,SprintTable[[#This Row],[Sprint]]))</f>
        <v>3</v>
      </c>
      <c r="H13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40</v>
      </c>
      <c r="I13" s="81" t="n">
        <f aca="false">IF(SprintTable[[#This Row],[Sprint]]="","",SUMIFS(res_MaxUnits,res_Type,"Work")*HoursPerDay*SprintTable[[#This Row],[Working Days]])</f>
        <v>384</v>
      </c>
      <c r="J13" s="80" t="n">
        <f aca="false">IF(OR(SprintTable[[#This Row],[Sprint]]="",N(SprintTable[[#This Row],[Capacity]])=0),"",SprintTable[[#This Row],[Planned Work]]/SprintTable[[#This Row],[Capacity]])</f>
        <v>0.104166666666667</v>
      </c>
      <c r="K13" s="28" t="str">
        <f aca="false">IF(SprintTable[[#This Row],[Sprint]]="","",IF(StatusDate&gt;SprintTable[[#This Row],[End]],"Closed",IF(StatusDate&gt;=SprintTable[[#This Row],[Start]],"Active","Future")))</f>
        <v>Future</v>
      </c>
      <c r="L13" s="84"/>
      <c r="M13" s="112" t="n">
        <f aca="false">IF(SprintTable[[#This Row],[Sprint]]="","",SUMIFS(tsk_LeafPoints,tsk_Sprint,SprintTable[[#This Row],[Sprint]]))</f>
        <v>6</v>
      </c>
      <c r="N13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13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13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13" s="112" t="n">
        <f aca="false">IF(SprintTable[[#This Row],[Sprint]]="","",TotalPoints-SUMIFS(tsk_LeafPoints,tsk_FcFinish,"&lt;="&amp;SprintTable[[#This Row],[End]]))</f>
        <v>7</v>
      </c>
      <c r="R13" s="112" t="n">
        <f aca="false">IF(SprintTable[[#This Row],[Sprint]]="","",TotalPoints*MAX(0,1-SprintTable[[#This Row],[No]]/SprintCount))</f>
        <v>27.3333333333333</v>
      </c>
      <c r="S13" s="43" t="e">
        <f aca="false">IF(SprintTable[[#This Row],[Remaining Points]]="",NA(),SprintTable[[#This Row],[Remaining Points]])</f>
        <v>#N/A</v>
      </c>
    </row>
    <row r="14" customFormat="false" ht="15" hidden="false" customHeight="false" outlineLevel="0" collapsed="false">
      <c r="A14" s="28" t="n">
        <f aca="false">ROW()-ROW(SprintTable[[#Headers],[No]])</f>
        <v>9</v>
      </c>
      <c r="B14" s="24" t="str">
        <f aca="false">IF(SprintTable[[#This Row],[No]]&lt;=SprintCount,SprintPrefix&amp;SprintTable[[#This Row],[No]],"")</f>
        <v>Sprint 9</v>
      </c>
      <c r="C14" s="25" t="n">
        <f aca="false">Sprint1Start+(SprintTable[[#This Row],[No]]-1)*SprintLength</f>
        <v>46384</v>
      </c>
      <c r="D14" s="25" t="n">
        <f aca="false">SprintTable[[#This Row],[Start]]+SprintLength-1</f>
        <v>46397</v>
      </c>
      <c r="E14" s="28" t="n">
        <f aca="false">NETWORKDAYS.INTL(SprintTable[[#This Row],[Start]],SprintTable[[#This Row],[End]],WorkWeek,Holidays)</f>
        <v>8</v>
      </c>
      <c r="F14" s="30" t="s">
        <v>581</v>
      </c>
      <c r="G14" s="28" t="n">
        <f aca="false">IF(SprintTable[[#This Row],[Sprint]]="","",COUNTIF(tsk_Sprint,SprintTable[[#This Row],[Sprint]]))</f>
        <v>2</v>
      </c>
      <c r="H14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32</v>
      </c>
      <c r="I14" s="81" t="n">
        <f aca="false">IF(SprintTable[[#This Row],[Sprint]]="","",SUMIFS(res_MaxUnits,res_Type,"Work")*HoursPerDay*SprintTable[[#This Row],[Working Days]])</f>
        <v>384</v>
      </c>
      <c r="J14" s="80" t="n">
        <f aca="false">IF(OR(SprintTable[[#This Row],[Sprint]]="",N(SprintTable[[#This Row],[Capacity]])=0),"",SprintTable[[#This Row],[Planned Work]]/SprintTable[[#This Row],[Capacity]])</f>
        <v>0.0833333333333333</v>
      </c>
      <c r="K14" s="28" t="str">
        <f aca="false">IF(SprintTable[[#This Row],[Sprint]]="","",IF(StatusDate&gt;SprintTable[[#This Row],[End]],"Closed",IF(StatusDate&gt;=SprintTable[[#This Row],[Start]],"Active","Future")))</f>
        <v>Future</v>
      </c>
      <c r="L14" s="84"/>
      <c r="M14" s="112" t="n">
        <f aca="false">IF(SprintTable[[#This Row],[Sprint]]="","",SUMIFS(tsk_LeafPoints,tsk_Sprint,SprintTable[[#This Row],[Sprint]]))</f>
        <v>2</v>
      </c>
      <c r="N14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14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14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14" s="112" t="n">
        <f aca="false">IF(SprintTable[[#This Row],[Sprint]]="","",TotalPoints-SUMIFS(tsk_LeafPoints,tsk_FcFinish,"&lt;="&amp;SprintTable[[#This Row],[End]]))</f>
        <v>0</v>
      </c>
      <c r="R14" s="112" t="n">
        <f aca="false">IF(SprintTable[[#This Row],[Sprint]]="","",TotalPoints*MAX(0,1-SprintTable[[#This Row],[No]]/SprintCount))</f>
        <v>20.5</v>
      </c>
      <c r="S14" s="43" t="e">
        <f aca="false">IF(SprintTable[[#This Row],[Remaining Points]]="",NA(),SprintTable[[#This Row],[Remaining Points]])</f>
        <v>#N/A</v>
      </c>
    </row>
    <row r="15" customFormat="false" ht="15" hidden="false" customHeight="false" outlineLevel="0" collapsed="false">
      <c r="A15" s="28" t="n">
        <f aca="false">ROW()-ROW(SprintTable[[#Headers],[No]])</f>
        <v>10</v>
      </c>
      <c r="B15" s="24" t="str">
        <f aca="false">IF(SprintTable[[#This Row],[No]]&lt;=SprintCount,SprintPrefix&amp;SprintTable[[#This Row],[No]],"")</f>
        <v>Sprint 10</v>
      </c>
      <c r="C15" s="25" t="n">
        <f aca="false">Sprint1Start+(SprintTable[[#This Row],[No]]-1)*SprintLength</f>
        <v>46398</v>
      </c>
      <c r="D15" s="25" t="n">
        <f aca="false">SprintTable[[#This Row],[Start]]+SprintLength-1</f>
        <v>46411</v>
      </c>
      <c r="E15" s="28" t="n">
        <f aca="false">NETWORKDAYS.INTL(SprintTable[[#This Row],[Start]],SprintTable[[#This Row],[End]],WorkWeek,Holidays)</f>
        <v>10</v>
      </c>
      <c r="F15" s="30" t="s">
        <v>582</v>
      </c>
      <c r="G15" s="28" t="n">
        <f aca="false">IF(SprintTable[[#This Row],[Sprint]]="","",COUNTIF(tsk_Sprint,SprintTable[[#This Row],[Sprint]]))</f>
        <v>0</v>
      </c>
      <c r="H15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0</v>
      </c>
      <c r="I15" s="81" t="n">
        <f aca="false">IF(SprintTable[[#This Row],[Sprint]]="","",SUMIFS(res_MaxUnits,res_Type,"Work")*HoursPerDay*SprintTable[[#This Row],[Working Days]])</f>
        <v>480</v>
      </c>
      <c r="J15" s="80" t="n">
        <f aca="false">IF(OR(SprintTable[[#This Row],[Sprint]]="",N(SprintTable[[#This Row],[Capacity]])=0),"",SprintTable[[#This Row],[Planned Work]]/SprintTable[[#This Row],[Capacity]])</f>
        <v>0</v>
      </c>
      <c r="K15" s="28" t="str">
        <f aca="false">IF(SprintTable[[#This Row],[Sprint]]="","",IF(StatusDate&gt;SprintTable[[#This Row],[End]],"Closed",IF(StatusDate&gt;=SprintTable[[#This Row],[Start]],"Active","Future")))</f>
        <v>Future</v>
      </c>
      <c r="L15" s="84"/>
      <c r="M15" s="112" t="n">
        <f aca="false">IF(SprintTable[[#This Row],[Sprint]]="","",SUMIFS(tsk_LeafPoints,tsk_Sprint,SprintTable[[#This Row],[Sprint]]))</f>
        <v>0</v>
      </c>
      <c r="N15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15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15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15" s="112" t="n">
        <f aca="false">IF(SprintTable[[#This Row],[Sprint]]="","",TotalPoints-SUMIFS(tsk_LeafPoints,tsk_FcFinish,"&lt;="&amp;SprintTable[[#This Row],[End]]))</f>
        <v>0</v>
      </c>
      <c r="R15" s="112" t="n">
        <f aca="false">IF(SprintTable[[#This Row],[Sprint]]="","",TotalPoints*MAX(0,1-SprintTable[[#This Row],[No]]/SprintCount))</f>
        <v>13.6666666666667</v>
      </c>
      <c r="S15" s="43" t="e">
        <f aca="false">IF(SprintTable[[#This Row],[Remaining Points]]="",NA(),SprintTable[[#This Row],[Remaining Points]])</f>
        <v>#N/A</v>
      </c>
    </row>
    <row r="16" customFormat="false" ht="15" hidden="false" customHeight="false" outlineLevel="0" collapsed="false">
      <c r="A16" s="28" t="n">
        <f aca="false">ROW()-ROW(SprintTable[[#Headers],[No]])</f>
        <v>11</v>
      </c>
      <c r="B16" s="24" t="str">
        <f aca="false">IF(SprintTable[[#This Row],[No]]&lt;=SprintCount,SprintPrefix&amp;SprintTable[[#This Row],[No]],"")</f>
        <v>Sprint 11</v>
      </c>
      <c r="C16" s="25" t="n">
        <f aca="false">Sprint1Start+(SprintTable[[#This Row],[No]]-1)*SprintLength</f>
        <v>46412</v>
      </c>
      <c r="D16" s="25" t="n">
        <f aca="false">SprintTable[[#This Row],[Start]]+SprintLength-1</f>
        <v>46425</v>
      </c>
      <c r="E16" s="28" t="n">
        <f aca="false">NETWORKDAYS.INTL(SprintTable[[#This Row],[Start]],SprintTable[[#This Row],[End]],WorkWeek,Holidays)</f>
        <v>10</v>
      </c>
      <c r="F16" s="30" t="s">
        <v>583</v>
      </c>
      <c r="G16" s="28" t="n">
        <f aca="false">IF(SprintTable[[#This Row],[Sprint]]="","",COUNTIF(tsk_Sprint,SprintTable[[#This Row],[Sprint]]))</f>
        <v>0</v>
      </c>
      <c r="H16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0</v>
      </c>
      <c r="I16" s="81" t="n">
        <f aca="false">IF(SprintTable[[#This Row],[Sprint]]="","",SUMIFS(res_MaxUnits,res_Type,"Work")*HoursPerDay*SprintTable[[#This Row],[Working Days]])</f>
        <v>480</v>
      </c>
      <c r="J16" s="80" t="n">
        <f aca="false">IF(OR(SprintTable[[#This Row],[Sprint]]="",N(SprintTable[[#This Row],[Capacity]])=0),"",SprintTable[[#This Row],[Planned Work]]/SprintTable[[#This Row],[Capacity]])</f>
        <v>0</v>
      </c>
      <c r="K16" s="28" t="str">
        <f aca="false">IF(SprintTable[[#This Row],[Sprint]]="","",IF(StatusDate&gt;SprintTable[[#This Row],[End]],"Closed",IF(StatusDate&gt;=SprintTable[[#This Row],[Start]],"Active","Future")))</f>
        <v>Future</v>
      </c>
      <c r="L16" s="84"/>
      <c r="M16" s="112" t="n">
        <f aca="false">IF(SprintTable[[#This Row],[Sprint]]="","",SUMIFS(tsk_LeafPoints,tsk_Sprint,SprintTable[[#This Row],[Sprint]]))</f>
        <v>0</v>
      </c>
      <c r="N16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16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16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16" s="112" t="n">
        <f aca="false">IF(SprintTable[[#This Row],[Sprint]]="","",TotalPoints-SUMIFS(tsk_LeafPoints,tsk_FcFinish,"&lt;="&amp;SprintTable[[#This Row],[End]]))</f>
        <v>0</v>
      </c>
      <c r="R16" s="112" t="n">
        <f aca="false">IF(SprintTable[[#This Row],[Sprint]]="","",TotalPoints*MAX(0,1-SprintTable[[#This Row],[No]]/SprintCount))</f>
        <v>6.83333333333334</v>
      </c>
      <c r="S16" s="43" t="e">
        <f aca="false">IF(SprintTable[[#This Row],[Remaining Points]]="",NA(),SprintTable[[#This Row],[Remaining Points]])</f>
        <v>#N/A</v>
      </c>
    </row>
    <row r="17" customFormat="false" ht="15" hidden="false" customHeight="false" outlineLevel="0" collapsed="false">
      <c r="A17" s="28" t="n">
        <f aca="false">ROW()-ROW(SprintTable[[#Headers],[No]])</f>
        <v>12</v>
      </c>
      <c r="B17" s="24" t="str">
        <f aca="false">IF(SprintTable[[#This Row],[No]]&lt;=SprintCount,SprintPrefix&amp;SprintTable[[#This Row],[No]],"")</f>
        <v>Sprint 12</v>
      </c>
      <c r="C17" s="25" t="n">
        <f aca="false">Sprint1Start+(SprintTable[[#This Row],[No]]-1)*SprintLength</f>
        <v>46426</v>
      </c>
      <c r="D17" s="25" t="n">
        <f aca="false">SprintTable[[#This Row],[Start]]+SprintLength-1</f>
        <v>46439</v>
      </c>
      <c r="E17" s="28" t="n">
        <f aca="false">NETWORKDAYS.INTL(SprintTable[[#This Row],[Start]],SprintTable[[#This Row],[End]],WorkWeek,Holidays)</f>
        <v>10</v>
      </c>
      <c r="F17" s="30" t="s">
        <v>584</v>
      </c>
      <c r="G17" s="28" t="n">
        <f aca="false">IF(SprintTable[[#This Row],[Sprint]]="","",COUNTIF(tsk_Sprint,SprintTable[[#This Row],[Sprint]]))</f>
        <v>0</v>
      </c>
      <c r="H17" s="81" t="n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>0</v>
      </c>
      <c r="I17" s="81" t="n">
        <f aca="false">IF(SprintTable[[#This Row],[Sprint]]="","",SUMIFS(res_MaxUnits,res_Type,"Work")*HoursPerDay*SprintTable[[#This Row],[Working Days]])</f>
        <v>480</v>
      </c>
      <c r="J17" s="80" t="n">
        <f aca="false">IF(OR(SprintTable[[#This Row],[Sprint]]="",N(SprintTable[[#This Row],[Capacity]])=0),"",SprintTable[[#This Row],[Planned Work]]/SprintTable[[#This Row],[Capacity]])</f>
        <v>0</v>
      </c>
      <c r="K17" s="28" t="str">
        <f aca="false">IF(SprintTable[[#This Row],[Sprint]]="","",IF(StatusDate&gt;SprintTable[[#This Row],[End]],"Closed",IF(StatusDate&gt;=SprintTable[[#This Row],[Start]],"Active","Future")))</f>
        <v>Future</v>
      </c>
      <c r="L17" s="84"/>
      <c r="M17" s="112" t="n">
        <f aca="false">IF(SprintTable[[#This Row],[Sprint]]="","",SUMIFS(tsk_LeafPoints,tsk_Sprint,SprintTable[[#This Row],[Sprint]]))</f>
        <v>0</v>
      </c>
      <c r="N17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17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17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17" s="112" t="n">
        <f aca="false">IF(SprintTable[[#This Row],[Sprint]]="","",TotalPoints-SUMIFS(tsk_LeafPoints,tsk_FcFinish,"&lt;="&amp;SprintTable[[#This Row],[End]]))</f>
        <v>0</v>
      </c>
      <c r="R17" s="112" t="n">
        <f aca="false">IF(SprintTable[[#This Row],[Sprint]]="","",TotalPoints*MAX(0,1-SprintTable[[#This Row],[No]]/SprintCount))</f>
        <v>0</v>
      </c>
      <c r="S17" s="43" t="e">
        <f aca="false">IF(SprintTable[[#This Row],[Remaining Points]]="",NA(),SprintTable[[#This Row],[Remaining Points]])</f>
        <v>#N/A</v>
      </c>
    </row>
    <row r="18" customFormat="false" ht="15" hidden="false" customHeight="false" outlineLevel="0" collapsed="false">
      <c r="A18" s="28" t="n">
        <f aca="false">ROW()-ROW(SprintTable[[#Headers],[No]])</f>
        <v>13</v>
      </c>
      <c r="B18" s="24" t="str">
        <f aca="false">IF(SprintTable[[#This Row],[No]]&lt;=SprintCount,SprintPrefix&amp;SprintTable[[#This Row],[No]],"")</f>
        <v/>
      </c>
      <c r="C18" s="25" t="n">
        <f aca="false">Sprint1Start+(SprintTable[[#This Row],[No]]-1)*SprintLength</f>
        <v>46440</v>
      </c>
      <c r="D18" s="25" t="n">
        <f aca="false">SprintTable[[#This Row],[Start]]+SprintLength-1</f>
        <v>46453</v>
      </c>
      <c r="E18" s="28" t="n">
        <f aca="false">NETWORKDAYS.INTL(SprintTable[[#This Row],[Start]],SprintTable[[#This Row],[End]],WorkWeek,Holidays)</f>
        <v>10</v>
      </c>
      <c r="F18" s="30"/>
      <c r="G18" s="28" t="str">
        <f aca="false">IF(SprintTable[[#This Row],[Sprint]]="","",COUNTIF(tsk_Sprint,SprintTable[[#This Row],[Sprint]]))</f>
        <v/>
      </c>
      <c r="H18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18" s="81" t="str">
        <f aca="false">IF(SprintTable[[#This Row],[Sprint]]="","",SUMIFS(res_MaxUnits,res_Type,"Work")*HoursPerDay*SprintTable[[#This Row],[Working Days]])</f>
        <v/>
      </c>
      <c r="J18" s="80" t="str">
        <f aca="false">IF(OR(SprintTable[[#This Row],[Sprint]]="",N(SprintTable[[#This Row],[Capacity]])=0),"",SprintTable[[#This Row],[Planned Work]]/SprintTable[[#This Row],[Capacity]])</f>
        <v/>
      </c>
      <c r="K18" s="28" t="str">
        <f aca="false">IF(SprintTable[[#This Row],[Sprint]]="","",IF(StatusDate&gt;SprintTable[[#This Row],[End]],"Closed",IF(StatusDate&gt;=SprintTable[[#This Row],[Start]],"Active","Future")))</f>
        <v/>
      </c>
      <c r="L18" s="84"/>
      <c r="M18" s="112" t="str">
        <f aca="false">IF(SprintTable[[#This Row],[Sprint]]="","",SUMIFS(tsk_LeafPoints,tsk_Sprint,SprintTable[[#This Row],[Sprint]]))</f>
        <v/>
      </c>
      <c r="N18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18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18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18" s="112" t="str">
        <f aca="false">IF(SprintTable[[#This Row],[Sprint]]="","",TotalPoints-SUMIFS(tsk_LeafPoints,tsk_FcFinish,"&lt;="&amp;SprintTable[[#This Row],[End]]))</f>
        <v/>
      </c>
      <c r="R18" s="112" t="str">
        <f aca="false">IF(SprintTable[[#This Row],[Sprint]]="","",TotalPoints*MAX(0,1-SprintTable[[#This Row],[No]]/SprintCount))</f>
        <v/>
      </c>
      <c r="S18" s="43" t="e">
        <f aca="false">IF(SprintTable[[#This Row],[Remaining Points]]="",NA(),SprintTable[[#This Row],[Remaining Points]])</f>
        <v>#N/A</v>
      </c>
    </row>
    <row r="19" customFormat="false" ht="15" hidden="false" customHeight="false" outlineLevel="0" collapsed="false">
      <c r="A19" s="28" t="n">
        <f aca="false">ROW()-ROW(SprintTable[[#Headers],[No]])</f>
        <v>14</v>
      </c>
      <c r="B19" s="24" t="str">
        <f aca="false">IF(SprintTable[[#This Row],[No]]&lt;=SprintCount,SprintPrefix&amp;SprintTable[[#This Row],[No]],"")</f>
        <v/>
      </c>
      <c r="C19" s="25" t="n">
        <f aca="false">Sprint1Start+(SprintTable[[#This Row],[No]]-1)*SprintLength</f>
        <v>46454</v>
      </c>
      <c r="D19" s="25" t="n">
        <f aca="false">SprintTable[[#This Row],[Start]]+SprintLength-1</f>
        <v>46467</v>
      </c>
      <c r="E19" s="28" t="n">
        <f aca="false">NETWORKDAYS.INTL(SprintTable[[#This Row],[Start]],SprintTable[[#This Row],[End]],WorkWeek,Holidays)</f>
        <v>10</v>
      </c>
      <c r="F19" s="30"/>
      <c r="G19" s="28" t="str">
        <f aca="false">IF(SprintTable[[#This Row],[Sprint]]="","",COUNTIF(tsk_Sprint,SprintTable[[#This Row],[Sprint]]))</f>
        <v/>
      </c>
      <c r="H19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19" s="81" t="str">
        <f aca="false">IF(SprintTable[[#This Row],[Sprint]]="","",SUMIFS(res_MaxUnits,res_Type,"Work")*HoursPerDay*SprintTable[[#This Row],[Working Days]])</f>
        <v/>
      </c>
      <c r="J19" s="80" t="str">
        <f aca="false">IF(OR(SprintTable[[#This Row],[Sprint]]="",N(SprintTable[[#This Row],[Capacity]])=0),"",SprintTable[[#This Row],[Planned Work]]/SprintTable[[#This Row],[Capacity]])</f>
        <v/>
      </c>
      <c r="K19" s="28" t="str">
        <f aca="false">IF(SprintTable[[#This Row],[Sprint]]="","",IF(StatusDate&gt;SprintTable[[#This Row],[End]],"Closed",IF(StatusDate&gt;=SprintTable[[#This Row],[Start]],"Active","Future")))</f>
        <v/>
      </c>
      <c r="L19" s="84"/>
      <c r="M19" s="112" t="str">
        <f aca="false">IF(SprintTable[[#This Row],[Sprint]]="","",SUMIFS(tsk_LeafPoints,tsk_Sprint,SprintTable[[#This Row],[Sprint]]))</f>
        <v/>
      </c>
      <c r="N19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19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19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19" s="112" t="str">
        <f aca="false">IF(SprintTable[[#This Row],[Sprint]]="","",TotalPoints-SUMIFS(tsk_LeafPoints,tsk_FcFinish,"&lt;="&amp;SprintTable[[#This Row],[End]]))</f>
        <v/>
      </c>
      <c r="R19" s="112" t="str">
        <f aca="false">IF(SprintTable[[#This Row],[Sprint]]="","",TotalPoints*MAX(0,1-SprintTable[[#This Row],[No]]/SprintCount))</f>
        <v/>
      </c>
      <c r="S19" s="43" t="e">
        <f aca="false">IF(SprintTable[[#This Row],[Remaining Points]]="",NA(),SprintTable[[#This Row],[Remaining Points]])</f>
        <v>#N/A</v>
      </c>
    </row>
    <row r="20" customFormat="false" ht="15" hidden="false" customHeight="false" outlineLevel="0" collapsed="false">
      <c r="A20" s="28" t="n">
        <f aca="false">ROW()-ROW(SprintTable[[#Headers],[No]])</f>
        <v>15</v>
      </c>
      <c r="B20" s="24" t="str">
        <f aca="false">IF(SprintTable[[#This Row],[No]]&lt;=SprintCount,SprintPrefix&amp;SprintTable[[#This Row],[No]],"")</f>
        <v/>
      </c>
      <c r="C20" s="25" t="n">
        <f aca="false">Sprint1Start+(SprintTable[[#This Row],[No]]-1)*SprintLength</f>
        <v>46468</v>
      </c>
      <c r="D20" s="25" t="n">
        <f aca="false">SprintTable[[#This Row],[Start]]+SprintLength-1</f>
        <v>46481</v>
      </c>
      <c r="E20" s="28" t="n">
        <f aca="false">NETWORKDAYS.INTL(SprintTable[[#This Row],[Start]],SprintTable[[#This Row],[End]],WorkWeek,Holidays)</f>
        <v>10</v>
      </c>
      <c r="F20" s="30"/>
      <c r="G20" s="28" t="str">
        <f aca="false">IF(SprintTable[[#This Row],[Sprint]]="","",COUNTIF(tsk_Sprint,SprintTable[[#This Row],[Sprint]]))</f>
        <v/>
      </c>
      <c r="H20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20" s="81" t="str">
        <f aca="false">IF(SprintTable[[#This Row],[Sprint]]="","",SUMIFS(res_MaxUnits,res_Type,"Work")*HoursPerDay*SprintTable[[#This Row],[Working Days]])</f>
        <v/>
      </c>
      <c r="J20" s="80" t="str">
        <f aca="false">IF(OR(SprintTable[[#This Row],[Sprint]]="",N(SprintTable[[#This Row],[Capacity]])=0),"",SprintTable[[#This Row],[Planned Work]]/SprintTable[[#This Row],[Capacity]])</f>
        <v/>
      </c>
      <c r="K20" s="28" t="str">
        <f aca="false">IF(SprintTable[[#This Row],[Sprint]]="","",IF(StatusDate&gt;SprintTable[[#This Row],[End]],"Closed",IF(StatusDate&gt;=SprintTable[[#This Row],[Start]],"Active","Future")))</f>
        <v/>
      </c>
      <c r="L20" s="84"/>
      <c r="M20" s="112" t="str">
        <f aca="false">IF(SprintTable[[#This Row],[Sprint]]="","",SUMIFS(tsk_LeafPoints,tsk_Sprint,SprintTable[[#This Row],[Sprint]]))</f>
        <v/>
      </c>
      <c r="N20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20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20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20" s="112" t="str">
        <f aca="false">IF(SprintTable[[#This Row],[Sprint]]="","",TotalPoints-SUMIFS(tsk_LeafPoints,tsk_FcFinish,"&lt;="&amp;SprintTable[[#This Row],[End]]))</f>
        <v/>
      </c>
      <c r="R20" s="112" t="str">
        <f aca="false">IF(SprintTable[[#This Row],[Sprint]]="","",TotalPoints*MAX(0,1-SprintTable[[#This Row],[No]]/SprintCount))</f>
        <v/>
      </c>
      <c r="S20" s="43" t="e">
        <f aca="false">IF(SprintTable[[#This Row],[Remaining Points]]="",NA(),SprintTable[[#This Row],[Remaining Points]])</f>
        <v>#N/A</v>
      </c>
    </row>
    <row r="21" customFormat="false" ht="15" hidden="false" customHeight="false" outlineLevel="0" collapsed="false">
      <c r="A21" s="28" t="n">
        <f aca="false">ROW()-ROW(SprintTable[[#Headers],[No]])</f>
        <v>16</v>
      </c>
      <c r="B21" s="24" t="str">
        <f aca="false">IF(SprintTable[[#This Row],[No]]&lt;=SprintCount,SprintPrefix&amp;SprintTable[[#This Row],[No]],"")</f>
        <v/>
      </c>
      <c r="C21" s="25" t="n">
        <f aca="false">Sprint1Start+(SprintTable[[#This Row],[No]]-1)*SprintLength</f>
        <v>46482</v>
      </c>
      <c r="D21" s="25" t="n">
        <f aca="false">SprintTable[[#This Row],[Start]]+SprintLength-1</f>
        <v>46495</v>
      </c>
      <c r="E21" s="28" t="n">
        <f aca="false">NETWORKDAYS.INTL(SprintTable[[#This Row],[Start]],SprintTable[[#This Row],[End]],WorkWeek,Holidays)</f>
        <v>10</v>
      </c>
      <c r="F21" s="30"/>
      <c r="G21" s="28" t="str">
        <f aca="false">IF(SprintTable[[#This Row],[Sprint]]="","",COUNTIF(tsk_Sprint,SprintTable[[#This Row],[Sprint]]))</f>
        <v/>
      </c>
      <c r="H21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21" s="81" t="str">
        <f aca="false">IF(SprintTable[[#This Row],[Sprint]]="","",SUMIFS(res_MaxUnits,res_Type,"Work")*HoursPerDay*SprintTable[[#This Row],[Working Days]])</f>
        <v/>
      </c>
      <c r="J21" s="80" t="str">
        <f aca="false">IF(OR(SprintTable[[#This Row],[Sprint]]="",N(SprintTable[[#This Row],[Capacity]])=0),"",SprintTable[[#This Row],[Planned Work]]/SprintTable[[#This Row],[Capacity]])</f>
        <v/>
      </c>
      <c r="K21" s="28" t="str">
        <f aca="false">IF(SprintTable[[#This Row],[Sprint]]="","",IF(StatusDate&gt;SprintTable[[#This Row],[End]],"Closed",IF(StatusDate&gt;=SprintTable[[#This Row],[Start]],"Active","Future")))</f>
        <v/>
      </c>
      <c r="L21" s="84"/>
      <c r="M21" s="112" t="str">
        <f aca="false">IF(SprintTable[[#This Row],[Sprint]]="","",SUMIFS(tsk_LeafPoints,tsk_Sprint,SprintTable[[#This Row],[Sprint]]))</f>
        <v/>
      </c>
      <c r="N21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21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21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21" s="112" t="str">
        <f aca="false">IF(SprintTable[[#This Row],[Sprint]]="","",TotalPoints-SUMIFS(tsk_LeafPoints,tsk_FcFinish,"&lt;="&amp;SprintTable[[#This Row],[End]]))</f>
        <v/>
      </c>
      <c r="R21" s="112" t="str">
        <f aca="false">IF(SprintTable[[#This Row],[Sprint]]="","",TotalPoints*MAX(0,1-SprintTable[[#This Row],[No]]/SprintCount))</f>
        <v/>
      </c>
      <c r="S21" s="43" t="e">
        <f aca="false">IF(SprintTable[[#This Row],[Remaining Points]]="",NA(),SprintTable[[#This Row],[Remaining Points]])</f>
        <v>#N/A</v>
      </c>
    </row>
    <row r="22" customFormat="false" ht="15" hidden="false" customHeight="false" outlineLevel="0" collapsed="false">
      <c r="A22" s="28" t="n">
        <f aca="false">ROW()-ROW(SprintTable[[#Headers],[No]])</f>
        <v>17</v>
      </c>
      <c r="B22" s="24" t="str">
        <f aca="false">IF(SprintTable[[#This Row],[No]]&lt;=SprintCount,SprintPrefix&amp;SprintTable[[#This Row],[No]],"")</f>
        <v/>
      </c>
      <c r="C22" s="25" t="n">
        <f aca="false">Sprint1Start+(SprintTable[[#This Row],[No]]-1)*SprintLength</f>
        <v>46496</v>
      </c>
      <c r="D22" s="25" t="n">
        <f aca="false">SprintTable[[#This Row],[Start]]+SprintLength-1</f>
        <v>46509</v>
      </c>
      <c r="E22" s="28" t="n">
        <f aca="false">NETWORKDAYS.INTL(SprintTable[[#This Row],[Start]],SprintTable[[#This Row],[End]],WorkWeek,Holidays)</f>
        <v>10</v>
      </c>
      <c r="F22" s="30"/>
      <c r="G22" s="28" t="str">
        <f aca="false">IF(SprintTable[[#This Row],[Sprint]]="","",COUNTIF(tsk_Sprint,SprintTable[[#This Row],[Sprint]]))</f>
        <v/>
      </c>
      <c r="H22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22" s="81" t="str">
        <f aca="false">IF(SprintTable[[#This Row],[Sprint]]="","",SUMIFS(res_MaxUnits,res_Type,"Work")*HoursPerDay*SprintTable[[#This Row],[Working Days]])</f>
        <v/>
      </c>
      <c r="J22" s="80" t="str">
        <f aca="false">IF(OR(SprintTable[[#This Row],[Sprint]]="",N(SprintTable[[#This Row],[Capacity]])=0),"",SprintTable[[#This Row],[Planned Work]]/SprintTable[[#This Row],[Capacity]])</f>
        <v/>
      </c>
      <c r="K22" s="28" t="str">
        <f aca="false">IF(SprintTable[[#This Row],[Sprint]]="","",IF(StatusDate&gt;SprintTable[[#This Row],[End]],"Closed",IF(StatusDate&gt;=SprintTable[[#This Row],[Start]],"Active","Future")))</f>
        <v/>
      </c>
      <c r="L22" s="84"/>
      <c r="M22" s="112" t="str">
        <f aca="false">IF(SprintTable[[#This Row],[Sprint]]="","",SUMIFS(tsk_LeafPoints,tsk_Sprint,SprintTable[[#This Row],[Sprint]]))</f>
        <v/>
      </c>
      <c r="N22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22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22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22" s="112" t="str">
        <f aca="false">IF(SprintTable[[#This Row],[Sprint]]="","",TotalPoints-SUMIFS(tsk_LeafPoints,tsk_FcFinish,"&lt;="&amp;SprintTable[[#This Row],[End]]))</f>
        <v/>
      </c>
      <c r="R22" s="112" t="str">
        <f aca="false">IF(SprintTable[[#This Row],[Sprint]]="","",TotalPoints*MAX(0,1-SprintTable[[#This Row],[No]]/SprintCount))</f>
        <v/>
      </c>
      <c r="S22" s="43" t="e">
        <f aca="false">IF(SprintTable[[#This Row],[Remaining Points]]="",NA(),SprintTable[[#This Row],[Remaining Points]])</f>
        <v>#N/A</v>
      </c>
    </row>
    <row r="23" customFormat="false" ht="15" hidden="false" customHeight="false" outlineLevel="0" collapsed="false">
      <c r="A23" s="28" t="n">
        <f aca="false">ROW()-ROW(SprintTable[[#Headers],[No]])</f>
        <v>18</v>
      </c>
      <c r="B23" s="24" t="str">
        <f aca="false">IF(SprintTable[[#This Row],[No]]&lt;=SprintCount,SprintPrefix&amp;SprintTable[[#This Row],[No]],"")</f>
        <v/>
      </c>
      <c r="C23" s="25" t="n">
        <f aca="false">Sprint1Start+(SprintTable[[#This Row],[No]]-1)*SprintLength</f>
        <v>46510</v>
      </c>
      <c r="D23" s="25" t="n">
        <f aca="false">SprintTable[[#This Row],[Start]]+SprintLength-1</f>
        <v>46523</v>
      </c>
      <c r="E23" s="28" t="n">
        <f aca="false">NETWORKDAYS.INTL(SprintTable[[#This Row],[Start]],SprintTable[[#This Row],[End]],WorkWeek,Holidays)</f>
        <v>10</v>
      </c>
      <c r="F23" s="30"/>
      <c r="G23" s="28" t="str">
        <f aca="false">IF(SprintTable[[#This Row],[Sprint]]="","",COUNTIF(tsk_Sprint,SprintTable[[#This Row],[Sprint]]))</f>
        <v/>
      </c>
      <c r="H23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23" s="81" t="str">
        <f aca="false">IF(SprintTable[[#This Row],[Sprint]]="","",SUMIFS(res_MaxUnits,res_Type,"Work")*HoursPerDay*SprintTable[[#This Row],[Working Days]])</f>
        <v/>
      </c>
      <c r="J23" s="80" t="str">
        <f aca="false">IF(OR(SprintTable[[#This Row],[Sprint]]="",N(SprintTable[[#This Row],[Capacity]])=0),"",SprintTable[[#This Row],[Planned Work]]/SprintTable[[#This Row],[Capacity]])</f>
        <v/>
      </c>
      <c r="K23" s="28" t="str">
        <f aca="false">IF(SprintTable[[#This Row],[Sprint]]="","",IF(StatusDate&gt;SprintTable[[#This Row],[End]],"Closed",IF(StatusDate&gt;=SprintTable[[#This Row],[Start]],"Active","Future")))</f>
        <v/>
      </c>
      <c r="L23" s="84"/>
      <c r="M23" s="112" t="str">
        <f aca="false">IF(SprintTable[[#This Row],[Sprint]]="","",SUMIFS(tsk_LeafPoints,tsk_Sprint,SprintTable[[#This Row],[Sprint]]))</f>
        <v/>
      </c>
      <c r="N23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23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23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23" s="112" t="str">
        <f aca="false">IF(SprintTable[[#This Row],[Sprint]]="","",TotalPoints-SUMIFS(tsk_LeafPoints,tsk_FcFinish,"&lt;="&amp;SprintTable[[#This Row],[End]]))</f>
        <v/>
      </c>
      <c r="R23" s="112" t="str">
        <f aca="false">IF(SprintTable[[#This Row],[Sprint]]="","",TotalPoints*MAX(0,1-SprintTable[[#This Row],[No]]/SprintCount))</f>
        <v/>
      </c>
      <c r="S23" s="43" t="e">
        <f aca="false">IF(SprintTable[[#This Row],[Remaining Points]]="",NA(),SprintTable[[#This Row],[Remaining Points]])</f>
        <v>#N/A</v>
      </c>
    </row>
    <row r="24" customFormat="false" ht="15" hidden="false" customHeight="false" outlineLevel="0" collapsed="false">
      <c r="A24" s="28" t="n">
        <f aca="false">ROW()-ROW(SprintTable[[#Headers],[No]])</f>
        <v>19</v>
      </c>
      <c r="B24" s="24" t="str">
        <f aca="false">IF(SprintTable[[#This Row],[No]]&lt;=SprintCount,SprintPrefix&amp;SprintTable[[#This Row],[No]],"")</f>
        <v/>
      </c>
      <c r="C24" s="25" t="n">
        <f aca="false">Sprint1Start+(SprintTable[[#This Row],[No]]-1)*SprintLength</f>
        <v>46524</v>
      </c>
      <c r="D24" s="25" t="n">
        <f aca="false">SprintTable[[#This Row],[Start]]+SprintLength-1</f>
        <v>46537</v>
      </c>
      <c r="E24" s="28" t="n">
        <f aca="false">NETWORKDAYS.INTL(SprintTable[[#This Row],[Start]],SprintTable[[#This Row],[End]],WorkWeek,Holidays)</f>
        <v>10</v>
      </c>
      <c r="F24" s="30"/>
      <c r="G24" s="28" t="str">
        <f aca="false">IF(SprintTable[[#This Row],[Sprint]]="","",COUNTIF(tsk_Sprint,SprintTable[[#This Row],[Sprint]]))</f>
        <v/>
      </c>
      <c r="H24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24" s="81" t="str">
        <f aca="false">IF(SprintTable[[#This Row],[Sprint]]="","",SUMIFS(res_MaxUnits,res_Type,"Work")*HoursPerDay*SprintTable[[#This Row],[Working Days]])</f>
        <v/>
      </c>
      <c r="J24" s="80" t="str">
        <f aca="false">IF(OR(SprintTable[[#This Row],[Sprint]]="",N(SprintTable[[#This Row],[Capacity]])=0),"",SprintTable[[#This Row],[Planned Work]]/SprintTable[[#This Row],[Capacity]])</f>
        <v/>
      </c>
      <c r="K24" s="28" t="str">
        <f aca="false">IF(SprintTable[[#This Row],[Sprint]]="","",IF(StatusDate&gt;SprintTable[[#This Row],[End]],"Closed",IF(StatusDate&gt;=SprintTable[[#This Row],[Start]],"Active","Future")))</f>
        <v/>
      </c>
      <c r="L24" s="84"/>
      <c r="M24" s="112" t="str">
        <f aca="false">IF(SprintTable[[#This Row],[Sprint]]="","",SUMIFS(tsk_LeafPoints,tsk_Sprint,SprintTable[[#This Row],[Sprint]]))</f>
        <v/>
      </c>
      <c r="N24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24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24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24" s="112" t="str">
        <f aca="false">IF(SprintTable[[#This Row],[Sprint]]="","",TotalPoints-SUMIFS(tsk_LeafPoints,tsk_FcFinish,"&lt;="&amp;SprintTable[[#This Row],[End]]))</f>
        <v/>
      </c>
      <c r="R24" s="112" t="str">
        <f aca="false">IF(SprintTable[[#This Row],[Sprint]]="","",TotalPoints*MAX(0,1-SprintTable[[#This Row],[No]]/SprintCount))</f>
        <v/>
      </c>
      <c r="S24" s="43" t="e">
        <f aca="false">IF(SprintTable[[#This Row],[Remaining Points]]="",NA(),SprintTable[[#This Row],[Remaining Points]])</f>
        <v>#N/A</v>
      </c>
    </row>
    <row r="25" customFormat="false" ht="15" hidden="false" customHeight="false" outlineLevel="0" collapsed="false">
      <c r="A25" s="28" t="n">
        <f aca="false">ROW()-ROW(SprintTable[[#Headers],[No]])</f>
        <v>20</v>
      </c>
      <c r="B25" s="24" t="str">
        <f aca="false">IF(SprintTable[[#This Row],[No]]&lt;=SprintCount,SprintPrefix&amp;SprintTable[[#This Row],[No]],"")</f>
        <v/>
      </c>
      <c r="C25" s="25" t="n">
        <f aca="false">Sprint1Start+(SprintTable[[#This Row],[No]]-1)*SprintLength</f>
        <v>46538</v>
      </c>
      <c r="D25" s="25" t="n">
        <f aca="false">SprintTable[[#This Row],[Start]]+SprintLength-1</f>
        <v>46551</v>
      </c>
      <c r="E25" s="28" t="n">
        <f aca="false">NETWORKDAYS.INTL(SprintTable[[#This Row],[Start]],SprintTable[[#This Row],[End]],WorkWeek,Holidays)</f>
        <v>10</v>
      </c>
      <c r="F25" s="30"/>
      <c r="G25" s="28" t="str">
        <f aca="false">IF(SprintTable[[#This Row],[Sprint]]="","",COUNTIF(tsk_Sprint,SprintTable[[#This Row],[Sprint]]))</f>
        <v/>
      </c>
      <c r="H25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25" s="81" t="str">
        <f aca="false">IF(SprintTable[[#This Row],[Sprint]]="","",SUMIFS(res_MaxUnits,res_Type,"Work")*HoursPerDay*SprintTable[[#This Row],[Working Days]])</f>
        <v/>
      </c>
      <c r="J25" s="80" t="str">
        <f aca="false">IF(OR(SprintTable[[#This Row],[Sprint]]="",N(SprintTable[[#This Row],[Capacity]])=0),"",SprintTable[[#This Row],[Planned Work]]/SprintTable[[#This Row],[Capacity]])</f>
        <v/>
      </c>
      <c r="K25" s="28" t="str">
        <f aca="false">IF(SprintTable[[#This Row],[Sprint]]="","",IF(StatusDate&gt;SprintTable[[#This Row],[End]],"Closed",IF(StatusDate&gt;=SprintTable[[#This Row],[Start]],"Active","Future")))</f>
        <v/>
      </c>
      <c r="L25" s="84"/>
      <c r="M25" s="112" t="str">
        <f aca="false">IF(SprintTable[[#This Row],[Sprint]]="","",SUMIFS(tsk_LeafPoints,tsk_Sprint,SprintTable[[#This Row],[Sprint]]))</f>
        <v/>
      </c>
      <c r="N25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25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25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25" s="112" t="str">
        <f aca="false">IF(SprintTable[[#This Row],[Sprint]]="","",TotalPoints-SUMIFS(tsk_LeafPoints,tsk_FcFinish,"&lt;="&amp;SprintTable[[#This Row],[End]]))</f>
        <v/>
      </c>
      <c r="R25" s="112" t="str">
        <f aca="false">IF(SprintTable[[#This Row],[Sprint]]="","",TotalPoints*MAX(0,1-SprintTable[[#This Row],[No]]/SprintCount))</f>
        <v/>
      </c>
      <c r="S25" s="43" t="e">
        <f aca="false">IF(SprintTable[[#This Row],[Remaining Points]]="",NA(),SprintTable[[#This Row],[Remaining Points]])</f>
        <v>#N/A</v>
      </c>
    </row>
    <row r="26" customFormat="false" ht="15" hidden="false" customHeight="false" outlineLevel="0" collapsed="false">
      <c r="A26" s="28" t="n">
        <f aca="false">ROW()-ROW(SprintTable[[#Headers],[No]])</f>
        <v>21</v>
      </c>
      <c r="B26" s="24" t="str">
        <f aca="false">IF(SprintTable[[#This Row],[No]]&lt;=SprintCount,SprintPrefix&amp;SprintTable[[#This Row],[No]],"")</f>
        <v/>
      </c>
      <c r="C26" s="25" t="n">
        <f aca="false">Sprint1Start+(SprintTable[[#This Row],[No]]-1)*SprintLength</f>
        <v>46552</v>
      </c>
      <c r="D26" s="25" t="n">
        <f aca="false">SprintTable[[#This Row],[Start]]+SprintLength-1</f>
        <v>46565</v>
      </c>
      <c r="E26" s="28" t="n">
        <f aca="false">NETWORKDAYS.INTL(SprintTable[[#This Row],[Start]],SprintTable[[#This Row],[End]],WorkWeek,Holidays)</f>
        <v>10</v>
      </c>
      <c r="F26" s="30"/>
      <c r="G26" s="28" t="str">
        <f aca="false">IF(SprintTable[[#This Row],[Sprint]]="","",COUNTIF(tsk_Sprint,SprintTable[[#This Row],[Sprint]]))</f>
        <v/>
      </c>
      <c r="H26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26" s="81" t="str">
        <f aca="false">IF(SprintTable[[#This Row],[Sprint]]="","",SUMIFS(res_MaxUnits,res_Type,"Work")*HoursPerDay*SprintTable[[#This Row],[Working Days]])</f>
        <v/>
      </c>
      <c r="J26" s="80" t="str">
        <f aca="false">IF(OR(SprintTable[[#This Row],[Sprint]]="",N(SprintTable[[#This Row],[Capacity]])=0),"",SprintTable[[#This Row],[Planned Work]]/SprintTable[[#This Row],[Capacity]])</f>
        <v/>
      </c>
      <c r="K26" s="28" t="str">
        <f aca="false">IF(SprintTable[[#This Row],[Sprint]]="","",IF(StatusDate&gt;SprintTable[[#This Row],[End]],"Closed",IF(StatusDate&gt;=SprintTable[[#This Row],[Start]],"Active","Future")))</f>
        <v/>
      </c>
      <c r="L26" s="84"/>
      <c r="M26" s="112" t="str">
        <f aca="false">IF(SprintTable[[#This Row],[Sprint]]="","",SUMIFS(tsk_LeafPoints,tsk_Sprint,SprintTable[[#This Row],[Sprint]]))</f>
        <v/>
      </c>
      <c r="N26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26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26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26" s="112" t="str">
        <f aca="false">IF(SprintTable[[#This Row],[Sprint]]="","",TotalPoints-SUMIFS(tsk_LeafPoints,tsk_FcFinish,"&lt;="&amp;SprintTable[[#This Row],[End]]))</f>
        <v/>
      </c>
      <c r="R26" s="112" t="str">
        <f aca="false">IF(SprintTable[[#This Row],[Sprint]]="","",TotalPoints*MAX(0,1-SprintTable[[#This Row],[No]]/SprintCount))</f>
        <v/>
      </c>
      <c r="S26" s="43" t="e">
        <f aca="false">IF(SprintTable[[#This Row],[Remaining Points]]="",NA(),SprintTable[[#This Row],[Remaining Points]])</f>
        <v>#N/A</v>
      </c>
    </row>
    <row r="27" customFormat="false" ht="15" hidden="false" customHeight="false" outlineLevel="0" collapsed="false">
      <c r="A27" s="28" t="n">
        <f aca="false">ROW()-ROW(SprintTable[[#Headers],[No]])</f>
        <v>22</v>
      </c>
      <c r="B27" s="24" t="str">
        <f aca="false">IF(SprintTable[[#This Row],[No]]&lt;=SprintCount,SprintPrefix&amp;SprintTable[[#This Row],[No]],"")</f>
        <v/>
      </c>
      <c r="C27" s="25" t="n">
        <f aca="false">Sprint1Start+(SprintTable[[#This Row],[No]]-1)*SprintLength</f>
        <v>46566</v>
      </c>
      <c r="D27" s="25" t="n">
        <f aca="false">SprintTable[[#This Row],[Start]]+SprintLength-1</f>
        <v>46579</v>
      </c>
      <c r="E27" s="28" t="n">
        <f aca="false">NETWORKDAYS.INTL(SprintTable[[#This Row],[Start]],SprintTable[[#This Row],[End]],WorkWeek,Holidays)</f>
        <v>10</v>
      </c>
      <c r="F27" s="30"/>
      <c r="G27" s="28" t="str">
        <f aca="false">IF(SprintTable[[#This Row],[Sprint]]="","",COUNTIF(tsk_Sprint,SprintTable[[#This Row],[Sprint]]))</f>
        <v/>
      </c>
      <c r="H27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27" s="81" t="str">
        <f aca="false">IF(SprintTable[[#This Row],[Sprint]]="","",SUMIFS(res_MaxUnits,res_Type,"Work")*HoursPerDay*SprintTable[[#This Row],[Working Days]])</f>
        <v/>
      </c>
      <c r="J27" s="80" t="str">
        <f aca="false">IF(OR(SprintTable[[#This Row],[Sprint]]="",N(SprintTable[[#This Row],[Capacity]])=0),"",SprintTable[[#This Row],[Planned Work]]/SprintTable[[#This Row],[Capacity]])</f>
        <v/>
      </c>
      <c r="K27" s="28" t="str">
        <f aca="false">IF(SprintTable[[#This Row],[Sprint]]="","",IF(StatusDate&gt;SprintTable[[#This Row],[End]],"Closed",IF(StatusDate&gt;=SprintTable[[#This Row],[Start]],"Active","Future")))</f>
        <v/>
      </c>
      <c r="L27" s="84"/>
      <c r="M27" s="112" t="str">
        <f aca="false">IF(SprintTable[[#This Row],[Sprint]]="","",SUMIFS(tsk_LeafPoints,tsk_Sprint,SprintTable[[#This Row],[Sprint]]))</f>
        <v/>
      </c>
      <c r="N27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27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27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27" s="112" t="str">
        <f aca="false">IF(SprintTable[[#This Row],[Sprint]]="","",TotalPoints-SUMIFS(tsk_LeafPoints,tsk_FcFinish,"&lt;="&amp;SprintTable[[#This Row],[End]]))</f>
        <v/>
      </c>
      <c r="R27" s="112" t="str">
        <f aca="false">IF(SprintTable[[#This Row],[Sprint]]="","",TotalPoints*MAX(0,1-SprintTable[[#This Row],[No]]/SprintCount))</f>
        <v/>
      </c>
      <c r="S27" s="43" t="e">
        <f aca="false">IF(SprintTable[[#This Row],[Remaining Points]]="",NA(),SprintTable[[#This Row],[Remaining Points]])</f>
        <v>#N/A</v>
      </c>
    </row>
    <row r="28" customFormat="false" ht="15" hidden="false" customHeight="false" outlineLevel="0" collapsed="false">
      <c r="A28" s="28" t="n">
        <f aca="false">ROW()-ROW(SprintTable[[#Headers],[No]])</f>
        <v>23</v>
      </c>
      <c r="B28" s="24" t="str">
        <f aca="false">IF(SprintTable[[#This Row],[No]]&lt;=SprintCount,SprintPrefix&amp;SprintTable[[#This Row],[No]],"")</f>
        <v/>
      </c>
      <c r="C28" s="25" t="n">
        <f aca="false">Sprint1Start+(SprintTable[[#This Row],[No]]-1)*SprintLength</f>
        <v>46580</v>
      </c>
      <c r="D28" s="25" t="n">
        <f aca="false">SprintTable[[#This Row],[Start]]+SprintLength-1</f>
        <v>46593</v>
      </c>
      <c r="E28" s="28" t="n">
        <f aca="false">NETWORKDAYS.INTL(SprintTable[[#This Row],[Start]],SprintTable[[#This Row],[End]],WorkWeek,Holidays)</f>
        <v>10</v>
      </c>
      <c r="F28" s="30"/>
      <c r="G28" s="28" t="str">
        <f aca="false">IF(SprintTable[[#This Row],[Sprint]]="","",COUNTIF(tsk_Sprint,SprintTable[[#This Row],[Sprint]]))</f>
        <v/>
      </c>
      <c r="H28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28" s="81" t="str">
        <f aca="false">IF(SprintTable[[#This Row],[Sprint]]="","",SUMIFS(res_MaxUnits,res_Type,"Work")*HoursPerDay*SprintTable[[#This Row],[Working Days]])</f>
        <v/>
      </c>
      <c r="J28" s="80" t="str">
        <f aca="false">IF(OR(SprintTable[[#This Row],[Sprint]]="",N(SprintTable[[#This Row],[Capacity]])=0),"",SprintTable[[#This Row],[Planned Work]]/SprintTable[[#This Row],[Capacity]])</f>
        <v/>
      </c>
      <c r="K28" s="28" t="str">
        <f aca="false">IF(SprintTable[[#This Row],[Sprint]]="","",IF(StatusDate&gt;SprintTable[[#This Row],[End]],"Closed",IF(StatusDate&gt;=SprintTable[[#This Row],[Start]],"Active","Future")))</f>
        <v/>
      </c>
      <c r="L28" s="84"/>
      <c r="M28" s="112" t="str">
        <f aca="false">IF(SprintTable[[#This Row],[Sprint]]="","",SUMIFS(tsk_LeafPoints,tsk_Sprint,SprintTable[[#This Row],[Sprint]]))</f>
        <v/>
      </c>
      <c r="N28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28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28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28" s="112" t="str">
        <f aca="false">IF(SprintTable[[#This Row],[Sprint]]="","",TotalPoints-SUMIFS(tsk_LeafPoints,tsk_FcFinish,"&lt;="&amp;SprintTable[[#This Row],[End]]))</f>
        <v/>
      </c>
      <c r="R28" s="112" t="str">
        <f aca="false">IF(SprintTable[[#This Row],[Sprint]]="","",TotalPoints*MAX(0,1-SprintTable[[#This Row],[No]]/SprintCount))</f>
        <v/>
      </c>
      <c r="S28" s="43" t="e">
        <f aca="false">IF(SprintTable[[#This Row],[Remaining Points]]="",NA(),SprintTable[[#This Row],[Remaining Points]])</f>
        <v>#N/A</v>
      </c>
    </row>
    <row r="29" customFormat="false" ht="15" hidden="false" customHeight="false" outlineLevel="0" collapsed="false">
      <c r="A29" s="28" t="n">
        <f aca="false">ROW()-ROW(SprintTable[[#Headers],[No]])</f>
        <v>24</v>
      </c>
      <c r="B29" s="24" t="str">
        <f aca="false">IF(SprintTable[[#This Row],[No]]&lt;=SprintCount,SprintPrefix&amp;SprintTable[[#This Row],[No]],"")</f>
        <v/>
      </c>
      <c r="C29" s="25" t="n">
        <f aca="false">Sprint1Start+(SprintTable[[#This Row],[No]]-1)*SprintLength</f>
        <v>46594</v>
      </c>
      <c r="D29" s="25" t="n">
        <f aca="false">SprintTable[[#This Row],[Start]]+SprintLength-1</f>
        <v>46607</v>
      </c>
      <c r="E29" s="28" t="n">
        <f aca="false">NETWORKDAYS.INTL(SprintTable[[#This Row],[Start]],SprintTable[[#This Row],[End]],WorkWeek,Holidays)</f>
        <v>10</v>
      </c>
      <c r="F29" s="30"/>
      <c r="G29" s="28" t="str">
        <f aca="false">IF(SprintTable[[#This Row],[Sprint]]="","",COUNTIF(tsk_Sprint,SprintTable[[#This Row],[Sprint]]))</f>
        <v/>
      </c>
      <c r="H29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29" s="81" t="str">
        <f aca="false">IF(SprintTable[[#This Row],[Sprint]]="","",SUMIFS(res_MaxUnits,res_Type,"Work")*HoursPerDay*SprintTable[[#This Row],[Working Days]])</f>
        <v/>
      </c>
      <c r="J29" s="80" t="str">
        <f aca="false">IF(OR(SprintTable[[#This Row],[Sprint]]="",N(SprintTable[[#This Row],[Capacity]])=0),"",SprintTable[[#This Row],[Planned Work]]/SprintTable[[#This Row],[Capacity]])</f>
        <v/>
      </c>
      <c r="K29" s="28" t="str">
        <f aca="false">IF(SprintTable[[#This Row],[Sprint]]="","",IF(StatusDate&gt;SprintTable[[#This Row],[End]],"Closed",IF(StatusDate&gt;=SprintTable[[#This Row],[Start]],"Active","Future")))</f>
        <v/>
      </c>
      <c r="L29" s="84"/>
      <c r="M29" s="112" t="str">
        <f aca="false">IF(SprintTable[[#This Row],[Sprint]]="","",SUMIFS(tsk_LeafPoints,tsk_Sprint,SprintTable[[#This Row],[Sprint]]))</f>
        <v/>
      </c>
      <c r="N29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29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29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29" s="112" t="str">
        <f aca="false">IF(SprintTable[[#This Row],[Sprint]]="","",TotalPoints-SUMIFS(tsk_LeafPoints,tsk_FcFinish,"&lt;="&amp;SprintTable[[#This Row],[End]]))</f>
        <v/>
      </c>
      <c r="R29" s="112" t="str">
        <f aca="false">IF(SprintTable[[#This Row],[Sprint]]="","",TotalPoints*MAX(0,1-SprintTable[[#This Row],[No]]/SprintCount))</f>
        <v/>
      </c>
      <c r="S29" s="43" t="e">
        <f aca="false">IF(SprintTable[[#This Row],[Remaining Points]]="",NA(),SprintTable[[#This Row],[Remaining Points]])</f>
        <v>#N/A</v>
      </c>
    </row>
    <row r="30" customFormat="false" ht="15" hidden="false" customHeight="false" outlineLevel="0" collapsed="false">
      <c r="A30" s="28" t="n">
        <f aca="false">ROW()-ROW(SprintTable[[#Headers],[No]])</f>
        <v>25</v>
      </c>
      <c r="B30" s="24" t="str">
        <f aca="false">IF(SprintTable[[#This Row],[No]]&lt;=SprintCount,SprintPrefix&amp;SprintTable[[#This Row],[No]],"")</f>
        <v/>
      </c>
      <c r="C30" s="25" t="n">
        <f aca="false">Sprint1Start+(SprintTable[[#This Row],[No]]-1)*SprintLength</f>
        <v>46608</v>
      </c>
      <c r="D30" s="25" t="n">
        <f aca="false">SprintTable[[#This Row],[Start]]+SprintLength-1</f>
        <v>46621</v>
      </c>
      <c r="E30" s="28" t="n">
        <f aca="false">NETWORKDAYS.INTL(SprintTable[[#This Row],[Start]],SprintTable[[#This Row],[End]],WorkWeek,Holidays)</f>
        <v>10</v>
      </c>
      <c r="F30" s="30"/>
      <c r="G30" s="28" t="str">
        <f aca="false">IF(SprintTable[[#This Row],[Sprint]]="","",COUNTIF(tsk_Sprint,SprintTable[[#This Row],[Sprint]]))</f>
        <v/>
      </c>
      <c r="H30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30" s="81" t="str">
        <f aca="false">IF(SprintTable[[#This Row],[Sprint]]="","",SUMIFS(res_MaxUnits,res_Type,"Work")*HoursPerDay*SprintTable[[#This Row],[Working Days]])</f>
        <v/>
      </c>
      <c r="J30" s="80" t="str">
        <f aca="false">IF(OR(SprintTable[[#This Row],[Sprint]]="",N(SprintTable[[#This Row],[Capacity]])=0),"",SprintTable[[#This Row],[Planned Work]]/SprintTable[[#This Row],[Capacity]])</f>
        <v/>
      </c>
      <c r="K30" s="28" t="str">
        <f aca="false">IF(SprintTable[[#This Row],[Sprint]]="","",IF(StatusDate&gt;SprintTable[[#This Row],[End]],"Closed",IF(StatusDate&gt;=SprintTable[[#This Row],[Start]],"Active","Future")))</f>
        <v/>
      </c>
      <c r="L30" s="84"/>
      <c r="M30" s="112" t="str">
        <f aca="false">IF(SprintTable[[#This Row],[Sprint]]="","",SUMIFS(tsk_LeafPoints,tsk_Sprint,SprintTable[[#This Row],[Sprint]]))</f>
        <v/>
      </c>
      <c r="N30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30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30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30" s="112" t="str">
        <f aca="false">IF(SprintTable[[#This Row],[Sprint]]="","",TotalPoints-SUMIFS(tsk_LeafPoints,tsk_FcFinish,"&lt;="&amp;SprintTable[[#This Row],[End]]))</f>
        <v/>
      </c>
      <c r="R30" s="112" t="str">
        <f aca="false">IF(SprintTable[[#This Row],[Sprint]]="","",TotalPoints*MAX(0,1-SprintTable[[#This Row],[No]]/SprintCount))</f>
        <v/>
      </c>
      <c r="S30" s="43" t="e">
        <f aca="false">IF(SprintTable[[#This Row],[Remaining Points]]="",NA(),SprintTable[[#This Row],[Remaining Points]])</f>
        <v>#N/A</v>
      </c>
    </row>
    <row r="31" customFormat="false" ht="15" hidden="false" customHeight="false" outlineLevel="0" collapsed="false">
      <c r="A31" s="28" t="n">
        <f aca="false">ROW()-ROW(SprintTable[[#Headers],[No]])</f>
        <v>26</v>
      </c>
      <c r="B31" s="24" t="str">
        <f aca="false">IF(SprintTable[[#This Row],[No]]&lt;=SprintCount,SprintPrefix&amp;SprintTable[[#This Row],[No]],"")</f>
        <v/>
      </c>
      <c r="C31" s="25" t="n">
        <f aca="false">Sprint1Start+(SprintTable[[#This Row],[No]]-1)*SprintLength</f>
        <v>46622</v>
      </c>
      <c r="D31" s="25" t="n">
        <f aca="false">SprintTable[[#This Row],[Start]]+SprintLength-1</f>
        <v>46635</v>
      </c>
      <c r="E31" s="28" t="n">
        <f aca="false">NETWORKDAYS.INTL(SprintTable[[#This Row],[Start]],SprintTable[[#This Row],[End]],WorkWeek,Holidays)</f>
        <v>10</v>
      </c>
      <c r="F31" s="30"/>
      <c r="G31" s="28" t="str">
        <f aca="false">IF(SprintTable[[#This Row],[Sprint]]="","",COUNTIF(tsk_Sprint,SprintTable[[#This Row],[Sprint]]))</f>
        <v/>
      </c>
      <c r="H31" s="81" t="str">
        <f aca="false">IF(SprintTable[[#This Row],[Sprint]]="","",((SUMIFS(tsk_LeafWork,tsk_FinishWD,"&lt;"&amp;NETWORKDAYS.INTL(ProjectStart,SprintTable[[#This Row],[End]],WorkWeek,Holidays),tsk_FinishWD,"&gt;0")+NETWORKDAYS.INTL(ProjectStart,SprintTable[[#This Row],[End]],WorkWeek,Holidays)*SUMIFS(tsk_WorkPerWD,tsk_StartWD,"&lt;="&amp;NETWORKDAYS.INTL(ProjectStart,SprintTable[[#This Row],[End]],WorkWeek,Holidays),tsk_FinishWD,"&gt;="&amp;NETWORKDAYS.INTL(ProjectStart,SprintTable[[#This Row],[End]],WorkWeek,Holidays))-SUMIFS(tsk_WorkBeforeStart,tsk_StartWD,"&lt;="&amp;NETWORKDAYS.INTL(ProjectStart,SprintTable[[#This Row],[End]],WorkWeek,Holidays),tsk_FinishWD,"&gt;="&amp;NETWORKDAYS.INTL(ProjectStart,SprintTable[[#This Row],[End]],WorkWeek,Holidays)))-(SUMIFS(tsk_LeafWork,tsk_FinishWD,"&lt;"&amp;(NETWORKDAYS.INTL(ProjectStart,SprintTable[[#This Row],[Start]],WorkWeek,Holidays)-1),tsk_FinishWD,"&gt;0")+(NETWORKDAYS.INTL(ProjectStart,SprintTable[[#This Row],[Start]],WorkWeek,Holidays)-1)*SUMIFS(tsk_WorkPerWD,tsk_StartWD,"&lt;="&amp;(NETWORKDAYS.INTL(ProjectStart,SprintTable[[#This Row],[Start]],WorkWeek,Holidays)-1),tsk_FinishWD,"&gt;="&amp;(NETWORKDAYS.INTL(ProjectStart,SprintTable[[#This Row],[Start]],WorkWeek,Holidays)-1))-SUMIFS(tsk_WorkBeforeStart,tsk_StartWD,"&lt;="&amp;(NETWORKDAYS.INTL(ProjectStart,SprintTable[[#This Row],[Start]],WorkWeek,Holidays)-1),tsk_FinishWD,"&gt;="&amp;(NETWORKDAYS.INTL(ProjectStart,SprintTable[[#This Row],[Start]],WorkWeek,Holidays)-1)))))</f>
        <v/>
      </c>
      <c r="I31" s="81" t="str">
        <f aca="false">IF(SprintTable[[#This Row],[Sprint]]="","",SUMIFS(res_MaxUnits,res_Type,"Work")*HoursPerDay*SprintTable[[#This Row],[Working Days]])</f>
        <v/>
      </c>
      <c r="J31" s="80" t="str">
        <f aca="false">IF(OR(SprintTable[[#This Row],[Sprint]]="",N(SprintTable[[#This Row],[Capacity]])=0),"",SprintTable[[#This Row],[Planned Work]]/SprintTable[[#This Row],[Capacity]])</f>
        <v/>
      </c>
      <c r="K31" s="28" t="str">
        <f aca="false">IF(SprintTable[[#This Row],[Sprint]]="","",IF(StatusDate&gt;SprintTable[[#This Row],[End]],"Closed",IF(StatusDate&gt;=SprintTable[[#This Row],[Start]],"Active","Future")))</f>
        <v/>
      </c>
      <c r="L31" s="84"/>
      <c r="M31" s="112" t="str">
        <f aca="false">IF(SprintTable[[#This Row],[Sprint]]="","",SUMIFS(tsk_LeafPoints,tsk_Sprint,SprintTable[[#This Row],[Sprint]]))</f>
        <v/>
      </c>
      <c r="N31" s="112" t="str">
        <f aca="false">IF(OR(SprintTable[[#This Row],[Sprint]]="",SprintTable[[#This Row],[Status]]="Future"),"",SUMIFS(tsk_LeafPoints,tsk_DoneDate,"&gt;="&amp;SprintTable[[#This Row],[Start]],tsk_DoneDate,"&lt;="&amp;SprintTable[[#This Row],[End]]))</f>
        <v/>
      </c>
      <c r="O31" s="113" t="str">
        <f aca="false">IF(OR(SprintTable[[#This Row],[Sprint]]="",SprintTable[[#This Row],[Status]]&lt;&gt;"Closed"),"",AVERAGE(INDEX(SprintTable[Done Points],MAX(1,SprintTable[[#This Row],[No]]-2)):INDEX(SprintTable[Done Points],SprintTable[[#This Row],[No]])))</f>
        <v/>
      </c>
      <c r="P31" s="112" t="str">
        <f aca="false">IF(OR(SprintTable[[#This Row],[Sprint]]="",SprintTable[[#This Row],[Status]]="Future"),"",TotalPoints-SUMIFS(tsk_LeafPoints,tsk_DoneDate,"&lt;="&amp;MIN(SprintTable[[#This Row],[End]],StatusDate)))</f>
        <v/>
      </c>
      <c r="Q31" s="112" t="str">
        <f aca="false">IF(SprintTable[[#This Row],[Sprint]]="","",TotalPoints-SUMIFS(tsk_LeafPoints,tsk_FcFinish,"&lt;="&amp;SprintTable[[#This Row],[End]]))</f>
        <v/>
      </c>
      <c r="R31" s="112" t="str">
        <f aca="false">IF(SprintTable[[#This Row],[Sprint]]="","",TotalPoints*MAX(0,1-SprintTable[[#This Row],[No]]/SprintCount))</f>
        <v/>
      </c>
      <c r="S31" s="43" t="e">
        <f aca="false">IF(SprintTable[[#This Row],[Remaining Points]]="",NA(),SprintTable[[#This Row],[Remaining Points]])</f>
        <v>#N/A</v>
      </c>
    </row>
    <row r="33" customFormat="false" ht="15" hidden="false" customHeight="false" outlineLevel="0" collapsed="false">
      <c r="A33" s="52" t="s">
        <v>585</v>
      </c>
    </row>
    <row r="34" customFormat="false" ht="15" hidden="false" customHeight="false" outlineLevel="0" collapsed="false">
      <c r="B34" s="9" t="s">
        <v>188</v>
      </c>
      <c r="C34" s="9" t="s">
        <v>194</v>
      </c>
      <c r="D34" s="9" t="str">
        <f aca="false">IFERROR(INDEX(spr_Name,(COLUMN()-COLUMN(load_Origin)-1))&amp;"","")</f>
        <v>Sprint 1</v>
      </c>
      <c r="E34" s="9" t="str">
        <f aca="false">IFERROR(INDEX(spr_Name,(COLUMN()-COLUMN(load_Origin)-1))&amp;"","")</f>
        <v>Sprint 2</v>
      </c>
      <c r="F34" s="9" t="str">
        <f aca="false">IFERROR(INDEX(spr_Name,(COLUMN()-COLUMN(load_Origin)-1))&amp;"","")</f>
        <v>Sprint 3</v>
      </c>
      <c r="G34" s="9" t="str">
        <f aca="false">IFERROR(INDEX(spr_Name,(COLUMN()-COLUMN(load_Origin)-1))&amp;"","")</f>
        <v>Sprint 4</v>
      </c>
      <c r="H34" s="9" t="str">
        <f aca="false">IFERROR(INDEX(spr_Name,(COLUMN()-COLUMN(load_Origin)-1))&amp;"","")</f>
        <v>Sprint 5</v>
      </c>
      <c r="I34" s="9" t="str">
        <f aca="false">IFERROR(INDEX(spr_Name,(COLUMN()-COLUMN(load_Origin)-1))&amp;"","")</f>
        <v>Sprint 6</v>
      </c>
      <c r="J34" s="9" t="str">
        <f aca="false">IFERROR(INDEX(spr_Name,(COLUMN()-COLUMN(load_Origin)-1))&amp;"","")</f>
        <v>Sprint 7</v>
      </c>
      <c r="K34" s="9" t="str">
        <f aca="false">IFERROR(INDEX(spr_Name,(COLUMN()-COLUMN(load_Origin)-1))&amp;"","")</f>
        <v>Sprint 8</v>
      </c>
      <c r="L34" s="9" t="str">
        <f aca="false">IFERROR(INDEX(spr_Name,(COLUMN()-COLUMN(load_Origin)-1))&amp;"","")</f>
        <v>Sprint 9</v>
      </c>
      <c r="M34" s="9" t="str">
        <f aca="false">IFERROR(INDEX(spr_Name,(COLUMN()-COLUMN(load_Origin)-1))&amp;"","")</f>
        <v>Sprint 10</v>
      </c>
      <c r="N34" s="9" t="str">
        <f aca="false">IFERROR(INDEX(spr_Name,(COLUMN()-COLUMN(load_Origin)-1))&amp;"","")</f>
        <v>Sprint 11</v>
      </c>
      <c r="O34" s="9" t="str">
        <f aca="false">IFERROR(INDEX(spr_Name,(COLUMN()-COLUMN(load_Origin)-1))&amp;"","")</f>
        <v>Sprint 12</v>
      </c>
      <c r="P34" s="9" t="str">
        <f aca="false">IFERROR(INDEX(spr_Name,(COLUMN()-COLUMN(load_Origin)-1))&amp;"","")</f>
        <v/>
      </c>
      <c r="Q34" s="9" t="str">
        <f aca="false">IFERROR(INDEX(spr_Name,(COLUMN()-COLUMN(load_Origin)-1))&amp;"","")</f>
        <v/>
      </c>
      <c r="R34" s="9" t="str">
        <f aca="false">IFERROR(INDEX(spr_Name,(COLUMN()-COLUMN(load_Origin)-1))&amp;"","")</f>
        <v/>
      </c>
      <c r="S34" s="9" t="str">
        <f aca="false">IFERROR(INDEX(spr_Name,(COLUMN()-COLUMN(load_Origin)-1))&amp;"","")</f>
        <v/>
      </c>
      <c r="T34" s="9" t="str">
        <f aca="false">IFERROR(INDEX(spr_Name,(COLUMN()-COLUMN(load_Origin)-1))&amp;"","")</f>
        <v/>
      </c>
      <c r="U34" s="9" t="str">
        <f aca="false">IFERROR(INDEX(spr_Name,(COLUMN()-COLUMN(load_Origin)-1))&amp;"","")</f>
        <v/>
      </c>
      <c r="V34" s="9" t="str">
        <f aca="false">IFERROR(INDEX(spr_Name,(COLUMN()-COLUMN(load_Origin)-1))&amp;"","")</f>
        <v/>
      </c>
      <c r="W34" s="9" t="str">
        <f aca="false">IFERROR(INDEX(spr_Name,(COLUMN()-COLUMN(load_Origin)-1))&amp;"","")</f>
        <v/>
      </c>
      <c r="X34" s="9" t="str">
        <f aca="false">IFERROR(INDEX(spr_Name,(COLUMN()-COLUMN(load_Origin)-1))&amp;"","")</f>
        <v/>
      </c>
      <c r="Y34" s="9" t="str">
        <f aca="false">IFERROR(INDEX(spr_Name,(COLUMN()-COLUMN(load_Origin)-1))&amp;"","")</f>
        <v/>
      </c>
      <c r="Z34" s="9" t="str">
        <f aca="false">IFERROR(INDEX(spr_Name,(COLUMN()-COLUMN(load_Origin)-1))&amp;"","")</f>
        <v/>
      </c>
      <c r="AA34" s="9" t="str">
        <f aca="false">IFERROR(INDEX(spr_Name,(COLUMN()-COLUMN(load_Origin)-1))&amp;"","")</f>
        <v/>
      </c>
      <c r="AB34" s="9" t="str">
        <f aca="false">IFERROR(INDEX(spr_Name,(COLUMN()-COLUMN(load_Origin)-1))&amp;"","")</f>
        <v/>
      </c>
      <c r="AC34" s="9" t="str">
        <f aca="false">IFERROR(INDEX(spr_Name,(COLUMN()-COLUMN(load_Origin)-1))&amp;"","")</f>
        <v/>
      </c>
    </row>
    <row r="35" customFormat="false" ht="15" hidden="false" customHeight="false" outlineLevel="0" collapsed="false">
      <c r="B35" s="54" t="s">
        <v>586</v>
      </c>
      <c r="D35" s="114" t="n">
        <f aca="false">IFERROR(IF(INDEX(spr_Name,(COLUMN()-COLUMN(load_Origin)-1))="","",INDEX(spr_Start,(COLUMN()-COLUMN(load_Origin)-1))),"")</f>
        <v>46272</v>
      </c>
      <c r="E35" s="114" t="n">
        <f aca="false">IFERROR(IF(INDEX(spr_Name,(COLUMN()-COLUMN(load_Origin)-1))="","",INDEX(spr_Start,(COLUMN()-COLUMN(load_Origin)-1))),"")</f>
        <v>46286</v>
      </c>
      <c r="F35" s="114" t="n">
        <f aca="false">IFERROR(IF(INDEX(spr_Name,(COLUMN()-COLUMN(load_Origin)-1))="","",INDEX(spr_Start,(COLUMN()-COLUMN(load_Origin)-1))),"")</f>
        <v>46300</v>
      </c>
      <c r="G35" s="114" t="n">
        <f aca="false">IFERROR(IF(INDEX(spr_Name,(COLUMN()-COLUMN(load_Origin)-1))="","",INDEX(spr_Start,(COLUMN()-COLUMN(load_Origin)-1))),"")</f>
        <v>46314</v>
      </c>
      <c r="H35" s="114" t="n">
        <f aca="false">IFERROR(IF(INDEX(spr_Name,(COLUMN()-COLUMN(load_Origin)-1))="","",INDEX(spr_Start,(COLUMN()-COLUMN(load_Origin)-1))),"")</f>
        <v>46328</v>
      </c>
      <c r="I35" s="114" t="n">
        <f aca="false">IFERROR(IF(INDEX(spr_Name,(COLUMN()-COLUMN(load_Origin)-1))="","",INDEX(spr_Start,(COLUMN()-COLUMN(load_Origin)-1))),"")</f>
        <v>46342</v>
      </c>
      <c r="J35" s="114" t="n">
        <f aca="false">IFERROR(IF(INDEX(spr_Name,(COLUMN()-COLUMN(load_Origin)-1))="","",INDEX(spr_Start,(COLUMN()-COLUMN(load_Origin)-1))),"")</f>
        <v>46356</v>
      </c>
      <c r="K35" s="114" t="n">
        <f aca="false">IFERROR(IF(INDEX(spr_Name,(COLUMN()-COLUMN(load_Origin)-1))="","",INDEX(spr_Start,(COLUMN()-COLUMN(load_Origin)-1))),"")</f>
        <v>46370</v>
      </c>
      <c r="L35" s="114" t="n">
        <f aca="false">IFERROR(IF(INDEX(spr_Name,(COLUMN()-COLUMN(load_Origin)-1))="","",INDEX(spr_Start,(COLUMN()-COLUMN(load_Origin)-1))),"")</f>
        <v>46384</v>
      </c>
      <c r="M35" s="114" t="n">
        <f aca="false">IFERROR(IF(INDEX(spr_Name,(COLUMN()-COLUMN(load_Origin)-1))="","",INDEX(spr_Start,(COLUMN()-COLUMN(load_Origin)-1))),"")</f>
        <v>46398</v>
      </c>
      <c r="N35" s="114" t="n">
        <f aca="false">IFERROR(IF(INDEX(spr_Name,(COLUMN()-COLUMN(load_Origin)-1))="","",INDEX(spr_Start,(COLUMN()-COLUMN(load_Origin)-1))),"")</f>
        <v>46412</v>
      </c>
      <c r="O35" s="114" t="n">
        <f aca="false">IFERROR(IF(INDEX(spr_Name,(COLUMN()-COLUMN(load_Origin)-1))="","",INDEX(spr_Start,(COLUMN()-COLUMN(load_Origin)-1))),"")</f>
        <v>46426</v>
      </c>
      <c r="P35" s="114" t="str">
        <f aca="false">IFERROR(IF(INDEX(spr_Name,(COLUMN()-COLUMN(load_Origin)-1))="","",INDEX(spr_Start,(COLUMN()-COLUMN(load_Origin)-1))),"")</f>
        <v/>
      </c>
      <c r="Q35" s="114" t="str">
        <f aca="false">IFERROR(IF(INDEX(spr_Name,(COLUMN()-COLUMN(load_Origin)-1))="","",INDEX(spr_Start,(COLUMN()-COLUMN(load_Origin)-1))),"")</f>
        <v/>
      </c>
      <c r="R35" s="114" t="str">
        <f aca="false">IFERROR(IF(INDEX(spr_Name,(COLUMN()-COLUMN(load_Origin)-1))="","",INDEX(spr_Start,(COLUMN()-COLUMN(load_Origin)-1))),"")</f>
        <v/>
      </c>
      <c r="S35" s="114" t="str">
        <f aca="false">IFERROR(IF(INDEX(spr_Name,(COLUMN()-COLUMN(load_Origin)-1))="","",INDEX(spr_Start,(COLUMN()-COLUMN(load_Origin)-1))),"")</f>
        <v/>
      </c>
      <c r="T35" s="114" t="str">
        <f aca="false">IFERROR(IF(INDEX(spr_Name,(COLUMN()-COLUMN(load_Origin)-1))="","",INDEX(spr_Start,(COLUMN()-COLUMN(load_Origin)-1))),"")</f>
        <v/>
      </c>
      <c r="U35" s="114" t="str">
        <f aca="false">IFERROR(IF(INDEX(spr_Name,(COLUMN()-COLUMN(load_Origin)-1))="","",INDEX(spr_Start,(COLUMN()-COLUMN(load_Origin)-1))),"")</f>
        <v/>
      </c>
      <c r="V35" s="114" t="str">
        <f aca="false">IFERROR(IF(INDEX(spr_Name,(COLUMN()-COLUMN(load_Origin)-1))="","",INDEX(spr_Start,(COLUMN()-COLUMN(load_Origin)-1))),"")</f>
        <v/>
      </c>
      <c r="W35" s="114" t="str">
        <f aca="false">IFERROR(IF(INDEX(spr_Name,(COLUMN()-COLUMN(load_Origin)-1))="","",INDEX(spr_Start,(COLUMN()-COLUMN(load_Origin)-1))),"")</f>
        <v/>
      </c>
      <c r="X35" s="114" t="str">
        <f aca="false">IFERROR(IF(INDEX(spr_Name,(COLUMN()-COLUMN(load_Origin)-1))="","",INDEX(spr_Start,(COLUMN()-COLUMN(load_Origin)-1))),"")</f>
        <v/>
      </c>
      <c r="Y35" s="114" t="str">
        <f aca="false">IFERROR(IF(INDEX(spr_Name,(COLUMN()-COLUMN(load_Origin)-1))="","",INDEX(spr_Start,(COLUMN()-COLUMN(load_Origin)-1))),"")</f>
        <v/>
      </c>
      <c r="Z35" s="114" t="str">
        <f aca="false">IFERROR(IF(INDEX(spr_Name,(COLUMN()-COLUMN(load_Origin)-1))="","",INDEX(spr_Start,(COLUMN()-COLUMN(load_Origin)-1))),"")</f>
        <v/>
      </c>
      <c r="AA35" s="114" t="str">
        <f aca="false">IFERROR(IF(INDEX(spr_Name,(COLUMN()-COLUMN(load_Origin)-1))="","",INDEX(spr_Start,(COLUMN()-COLUMN(load_Origin)-1))),"")</f>
        <v/>
      </c>
      <c r="AB35" s="114" t="str">
        <f aca="false">IFERROR(IF(INDEX(spr_Name,(COLUMN()-COLUMN(load_Origin)-1))="","",INDEX(spr_Start,(COLUMN()-COLUMN(load_Origin)-1))),"")</f>
        <v/>
      </c>
      <c r="AC35" s="114" t="str">
        <f aca="false">IFERROR(IF(INDEX(spr_Name,(COLUMN()-COLUMN(load_Origin)-1))="","",INDEX(spr_Start,(COLUMN()-COLUMN(load_Origin)-1))),"")</f>
        <v/>
      </c>
    </row>
    <row r="36" customFormat="false" ht="15" hidden="false" customHeight="false" outlineLevel="0" collapsed="false">
      <c r="B36" s="31" t="str">
        <f aca="false">IFERROR(INDEX(res_Name,(ROW()-ROW(load_Origin)-1))&amp;"","")</f>
        <v>Priya Sharma</v>
      </c>
      <c r="C36" s="56" t="n">
        <f aca="false">IFERROR(IF(INDEX(res_Name,(ROW()-ROW(load_Origin)-1))="","",INDEX(res_MaxUnits,(ROW()-ROW(load_Origin)-1))),"")</f>
        <v>0.5</v>
      </c>
      <c r="D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24</v>
      </c>
      <c r="E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F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G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H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I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8</v>
      </c>
      <c r="J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K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8</v>
      </c>
      <c r="L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16</v>
      </c>
      <c r="M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N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O36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P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3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37" customFormat="false" ht="15" hidden="false" customHeight="false" outlineLevel="0" collapsed="false">
      <c r="B37" s="31" t="str">
        <f aca="false">IFERROR(INDEX(res_Name,(ROW()-ROW(load_Origin)-1))&amp;"","")</f>
        <v>Morgan Patel</v>
      </c>
      <c r="C37" s="56" t="n">
        <f aca="false">IFERROR(IF(INDEX(res_Name,(ROW()-ROW(load_Origin)-1))="","",INDEX(res_MaxUnits,(ROW()-ROW(load_Origin)-1))),"")</f>
        <v>1</v>
      </c>
      <c r="D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44.4444444444445</v>
      </c>
      <c r="E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35.5555555555556</v>
      </c>
      <c r="F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G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H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I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J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40</v>
      </c>
      <c r="K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8</v>
      </c>
      <c r="L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M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N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O37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P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3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38" customFormat="false" ht="15" hidden="false" customHeight="false" outlineLevel="0" collapsed="false">
      <c r="B38" s="31" t="str">
        <f aca="false">IFERROR(INDEX(res_Name,(ROW()-ROW(load_Origin)-1))&amp;"","")</f>
        <v>Alex Chen</v>
      </c>
      <c r="C38" s="56" t="n">
        <f aca="false">IFERROR(IF(INDEX(res_Name,(ROW()-ROW(load_Origin)-1))="","",INDEX(res_MaxUnits,(ROW()-ROW(load_Origin)-1))),"")</f>
        <v>0.5</v>
      </c>
      <c r="D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6.66666666666667</v>
      </c>
      <c r="E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33.3333333333333</v>
      </c>
      <c r="F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G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H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I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J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K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L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M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N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O38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P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3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39" customFormat="false" ht="15" hidden="false" customHeight="false" outlineLevel="0" collapsed="false">
      <c r="B39" s="31" t="str">
        <f aca="false">IFERROR(INDEX(res_Name,(ROW()-ROW(load_Origin)-1))&amp;"","")</f>
        <v>Casey Kim</v>
      </c>
      <c r="C39" s="56" t="n">
        <f aca="false">IFERROR(IF(INDEX(res_Name,(ROW()-ROW(load_Origin)-1))="","",INDEX(res_MaxUnits,(ROW()-ROW(load_Origin)-1))),"")</f>
        <v>1</v>
      </c>
      <c r="D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E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34.2857142857143</v>
      </c>
      <c r="F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13.7142857142857</v>
      </c>
      <c r="G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H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20</v>
      </c>
      <c r="I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12</v>
      </c>
      <c r="J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K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L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M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N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O39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P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3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40" customFormat="false" ht="15" hidden="false" customHeight="false" outlineLevel="0" collapsed="false">
      <c r="B40" s="31" t="str">
        <f aca="false">IFERROR(INDEX(res_Name,(ROW()-ROW(load_Origin)-1))&amp;"","")</f>
        <v>Jordan Lee</v>
      </c>
      <c r="C40" s="56" t="n">
        <f aca="false">IFERROR(IF(INDEX(res_Name,(ROW()-ROW(load_Origin)-1))="","",INDEX(res_MaxUnits,(ROW()-ROW(load_Origin)-1))),"")</f>
        <v>1</v>
      </c>
      <c r="D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E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F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53.3333333333333</v>
      </c>
      <c r="G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66.6666666666667</v>
      </c>
      <c r="H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48</v>
      </c>
      <c r="I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J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K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24</v>
      </c>
      <c r="L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16</v>
      </c>
      <c r="M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N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O40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P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4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41" customFormat="false" ht="15" hidden="false" customHeight="false" outlineLevel="0" collapsed="false">
      <c r="B41" s="31" t="str">
        <f aca="false">IFERROR(INDEX(res_Name,(ROW()-ROW(load_Origin)-1))&amp;"","")</f>
        <v>Sam Rivera</v>
      </c>
      <c r="C41" s="56" t="n">
        <f aca="false">IFERROR(IF(INDEX(res_Name,(ROW()-ROW(load_Origin)-1))="","",INDEX(res_MaxUnits,(ROW()-ROW(load_Origin)-1))),"")</f>
        <v>1</v>
      </c>
      <c r="D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E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F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48</v>
      </c>
      <c r="G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68.5714285714286</v>
      </c>
      <c r="H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27.4285714285714</v>
      </c>
      <c r="I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J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K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L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M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N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O41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P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4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42" customFormat="false" ht="15" hidden="false" customHeight="false" outlineLevel="0" collapsed="false">
      <c r="B42" s="31" t="str">
        <f aca="false">IFERROR(INDEX(res_Name,(ROW()-ROW(load_Origin)-1))&amp;"","")</f>
        <v>Taylor Morgan</v>
      </c>
      <c r="C42" s="56" t="n">
        <f aca="false">IFERROR(IF(INDEX(res_Name,(ROW()-ROW(load_Origin)-1))="","",INDEX(res_MaxUnits,(ROW()-ROW(load_Origin)-1))),"")</f>
        <v>1</v>
      </c>
      <c r="D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E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F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G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H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32</v>
      </c>
      <c r="I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32</v>
      </c>
      <c r="J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K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L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M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N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O42" s="57" t="n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>0</v>
      </c>
      <c r="P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4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43" customFormat="false" ht="15" hidden="false" customHeight="false" outlineLevel="0" collapsed="false">
      <c r="B43" s="31" t="str">
        <f aca="false">IFERROR(INDEX(res_Name,(ROW()-ROW(load_Origin)-1))&amp;"","")</f>
        <v/>
      </c>
      <c r="C43" s="56" t="str">
        <f aca="false">IFERROR(IF(INDEX(res_Name,(ROW()-ROW(load_Origin)-1))="","",INDEX(res_MaxUnits,(ROW()-ROW(load_Origin)-1))),"")</f>
        <v/>
      </c>
      <c r="D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4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44" customFormat="false" ht="15" hidden="false" customHeight="false" outlineLevel="0" collapsed="false">
      <c r="B44" s="31" t="str">
        <f aca="false">IFERROR(INDEX(res_Name,(ROW()-ROW(load_Origin)-1))&amp;"","")</f>
        <v/>
      </c>
      <c r="C44" s="56" t="str">
        <f aca="false">IFERROR(IF(INDEX(res_Name,(ROW()-ROW(load_Origin)-1))="","",INDEX(res_MaxUnits,(ROW()-ROW(load_Origin)-1))),"")</f>
        <v/>
      </c>
      <c r="D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4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45" customFormat="false" ht="15" hidden="false" customHeight="false" outlineLevel="0" collapsed="false">
      <c r="B45" s="31" t="str">
        <f aca="false">IFERROR(INDEX(res_Name,(ROW()-ROW(load_Origin)-1))&amp;"","")</f>
        <v/>
      </c>
      <c r="C45" s="56" t="str">
        <f aca="false">IFERROR(IF(INDEX(res_Name,(ROW()-ROW(load_Origin)-1))="","",INDEX(res_MaxUnits,(ROW()-ROW(load_Origin)-1))),"")</f>
        <v/>
      </c>
      <c r="D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4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46" customFormat="false" ht="15" hidden="false" customHeight="false" outlineLevel="0" collapsed="false">
      <c r="B46" s="31" t="str">
        <f aca="false">IFERROR(INDEX(res_Name,(ROW()-ROW(load_Origin)-1))&amp;"","")</f>
        <v/>
      </c>
      <c r="C46" s="56" t="str">
        <f aca="false">IFERROR(IF(INDEX(res_Name,(ROW()-ROW(load_Origin)-1))="","",INDEX(res_MaxUnits,(ROW()-ROW(load_Origin)-1))),"")</f>
        <v/>
      </c>
      <c r="D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4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47" customFormat="false" ht="15" hidden="false" customHeight="false" outlineLevel="0" collapsed="false">
      <c r="B47" s="31" t="str">
        <f aca="false">IFERROR(INDEX(res_Name,(ROW()-ROW(load_Origin)-1))&amp;"","")</f>
        <v/>
      </c>
      <c r="C47" s="56" t="str">
        <f aca="false">IFERROR(IF(INDEX(res_Name,(ROW()-ROW(load_Origin)-1))="","",INDEX(res_MaxUnits,(ROW()-ROW(load_Origin)-1))),"")</f>
        <v/>
      </c>
      <c r="D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4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48" customFormat="false" ht="15" hidden="false" customHeight="false" outlineLevel="0" collapsed="false">
      <c r="B48" s="31" t="str">
        <f aca="false">IFERROR(INDEX(res_Name,(ROW()-ROW(load_Origin)-1))&amp;"","")</f>
        <v/>
      </c>
      <c r="C48" s="56" t="str">
        <f aca="false">IFERROR(IF(INDEX(res_Name,(ROW()-ROW(load_Origin)-1))="","",INDEX(res_MaxUnits,(ROW()-ROW(load_Origin)-1))),"")</f>
        <v/>
      </c>
      <c r="D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4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49" customFormat="false" ht="15" hidden="false" customHeight="false" outlineLevel="0" collapsed="false">
      <c r="B49" s="31" t="str">
        <f aca="false">IFERROR(INDEX(res_Name,(ROW()-ROW(load_Origin)-1))&amp;"","")</f>
        <v/>
      </c>
      <c r="C49" s="56" t="str">
        <f aca="false">IFERROR(IF(INDEX(res_Name,(ROW()-ROW(load_Origin)-1))="","",INDEX(res_MaxUnits,(ROW()-ROW(load_Origin)-1))),"")</f>
        <v/>
      </c>
      <c r="D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4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50" customFormat="false" ht="15" hidden="false" customHeight="false" outlineLevel="0" collapsed="false">
      <c r="B50" s="31" t="str">
        <f aca="false">IFERROR(INDEX(res_Name,(ROW()-ROW(load_Origin)-1))&amp;"","")</f>
        <v/>
      </c>
      <c r="C50" s="56" t="str">
        <f aca="false">IFERROR(IF(INDEX(res_Name,(ROW()-ROW(load_Origin)-1))="","",INDEX(res_MaxUnits,(ROW()-ROW(load_Origin)-1))),"")</f>
        <v/>
      </c>
      <c r="D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5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51" customFormat="false" ht="15" hidden="false" customHeight="false" outlineLevel="0" collapsed="false">
      <c r="B51" s="31" t="str">
        <f aca="false">IFERROR(INDEX(res_Name,(ROW()-ROW(load_Origin)-1))&amp;"","")</f>
        <v/>
      </c>
      <c r="C51" s="56" t="str">
        <f aca="false">IFERROR(IF(INDEX(res_Name,(ROW()-ROW(load_Origin)-1))="","",INDEX(res_MaxUnits,(ROW()-ROW(load_Origin)-1))),"")</f>
        <v/>
      </c>
      <c r="D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51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52" customFormat="false" ht="15" hidden="false" customHeight="false" outlineLevel="0" collapsed="false">
      <c r="B52" s="31" t="str">
        <f aca="false">IFERROR(INDEX(res_Name,(ROW()-ROW(load_Origin)-1))&amp;"","")</f>
        <v/>
      </c>
      <c r="C52" s="56" t="str">
        <f aca="false">IFERROR(IF(INDEX(res_Name,(ROW()-ROW(load_Origin)-1))="","",INDEX(res_MaxUnits,(ROW()-ROW(load_Origin)-1))),"")</f>
        <v/>
      </c>
      <c r="D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52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53" customFormat="false" ht="15" hidden="false" customHeight="false" outlineLevel="0" collapsed="false">
      <c r="B53" s="31" t="str">
        <f aca="false">IFERROR(INDEX(res_Name,(ROW()-ROW(load_Origin)-1))&amp;"","")</f>
        <v/>
      </c>
      <c r="C53" s="56" t="str">
        <f aca="false">IFERROR(IF(INDEX(res_Name,(ROW()-ROW(load_Origin)-1))="","",INDEX(res_MaxUnits,(ROW()-ROW(load_Origin)-1))),"")</f>
        <v/>
      </c>
      <c r="D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53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54" customFormat="false" ht="15" hidden="false" customHeight="false" outlineLevel="0" collapsed="false">
      <c r="B54" s="31" t="str">
        <f aca="false">IFERROR(INDEX(res_Name,(ROW()-ROW(load_Origin)-1))&amp;"","")</f>
        <v/>
      </c>
      <c r="C54" s="56" t="str">
        <f aca="false">IFERROR(IF(INDEX(res_Name,(ROW()-ROW(load_Origin)-1))="","",INDEX(res_MaxUnits,(ROW()-ROW(load_Origin)-1))),"")</f>
        <v/>
      </c>
      <c r="D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54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55" customFormat="false" ht="15" hidden="false" customHeight="false" outlineLevel="0" collapsed="false">
      <c r="B55" s="31" t="str">
        <f aca="false">IFERROR(INDEX(res_Name,(ROW()-ROW(load_Origin)-1))&amp;"","")</f>
        <v/>
      </c>
      <c r="C55" s="56" t="str">
        <f aca="false">IFERROR(IF(INDEX(res_Name,(ROW()-ROW(load_Origin)-1))="","",INDEX(res_MaxUnits,(ROW()-ROW(load_Origin)-1))),"")</f>
        <v/>
      </c>
      <c r="D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55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56" customFormat="false" ht="15" hidden="false" customHeight="false" outlineLevel="0" collapsed="false">
      <c r="B56" s="31" t="str">
        <f aca="false">IFERROR(INDEX(res_Name,(ROW()-ROW(load_Origin)-1))&amp;"","")</f>
        <v/>
      </c>
      <c r="C56" s="56" t="str">
        <f aca="false">IFERROR(IF(INDEX(res_Name,(ROW()-ROW(load_Origin)-1))="","",INDEX(res_MaxUnits,(ROW()-ROW(load_Origin)-1))),"")</f>
        <v/>
      </c>
      <c r="D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56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57" customFormat="false" ht="15" hidden="false" customHeight="false" outlineLevel="0" collapsed="false">
      <c r="B57" s="31" t="str">
        <f aca="false">IFERROR(INDEX(res_Name,(ROW()-ROW(load_Origin)-1))&amp;"","")</f>
        <v/>
      </c>
      <c r="C57" s="56" t="str">
        <f aca="false">IFERROR(IF(INDEX(res_Name,(ROW()-ROW(load_Origin)-1))="","",INDEX(res_MaxUnits,(ROW()-ROW(load_Origin)-1))),"")</f>
        <v/>
      </c>
      <c r="D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57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58" customFormat="false" ht="15" hidden="false" customHeight="false" outlineLevel="0" collapsed="false">
      <c r="B58" s="31" t="str">
        <f aca="false">IFERROR(INDEX(res_Name,(ROW()-ROW(load_Origin)-1))&amp;"","")</f>
        <v/>
      </c>
      <c r="C58" s="56" t="str">
        <f aca="false">IFERROR(IF(INDEX(res_Name,(ROW()-ROW(load_Origin)-1))="","",INDEX(res_MaxUnits,(ROW()-ROW(load_Origin)-1))),"")</f>
        <v/>
      </c>
      <c r="D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58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59" customFormat="false" ht="15" hidden="false" customHeight="false" outlineLevel="0" collapsed="false">
      <c r="B59" s="31" t="str">
        <f aca="false">IFERROR(INDEX(res_Name,(ROW()-ROW(load_Origin)-1))&amp;"","")</f>
        <v/>
      </c>
      <c r="C59" s="56" t="str">
        <f aca="false">IFERROR(IF(INDEX(res_Name,(ROW()-ROW(load_Origin)-1))="","",INDEX(res_MaxUnits,(ROW()-ROW(load_Origin)-1))),"")</f>
        <v/>
      </c>
      <c r="D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59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60" customFormat="false" ht="15" hidden="false" customHeight="false" outlineLevel="0" collapsed="false">
      <c r="B60" s="31" t="str">
        <f aca="false">IFERROR(INDEX(res_Name,(ROW()-ROW(load_Origin)-1))&amp;"","")</f>
        <v/>
      </c>
      <c r="C60" s="56" t="str">
        <f aca="false">IFERROR(IF(INDEX(res_Name,(ROW()-ROW(load_Origin)-1))="","",INDEX(res_MaxUnits,(ROW()-ROW(load_Origin)-1))),"")</f>
        <v/>
      </c>
      <c r="D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E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F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G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H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I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J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K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L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M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N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O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P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Q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R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S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T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U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V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W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X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Y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Z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A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B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  <c r="AC60" s="57" t="str">
        <f aca="false">IFERROR(IF(OR(INDEX(res_Name,(ROW()-ROW(load_Origin)-1))="",INDEX(spr_Name,(COLUMN()-COLUMN(load_Origin)-1))=""),"",((SUMIFS(tsk_LeafWork,tsk_FinishWD,"&lt;"&amp;NETWORKDAYS.INTL(ProjectStart,INDEX(spr_End,(COLUMN()-COLUMN(load_Origin)-1)),WorkWeek,Holidays),tsk_FinishWD,"&gt;0",tsk_Resource,INDEX(res_Name,(ROW()-ROW(load_Origin)-1)))+NETWORKDAYS.INTL(ProjectStart,INDEX(spr_End,(COLUMN()-COLUMN(load_Origin)-1)),WorkWeek,Holidays)*SUMIFS(tsk_WorkPerWD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-SUMIFS(tsk_WorkBeforeStart,tsk_StartWD,"&lt;="&amp;NETWORKDAYS.INTL(ProjectStart,INDEX(spr_End,(COLUMN()-COLUMN(load_Origin)-1)),WorkWeek,Holidays),tsk_FinishWD,"&gt;="&amp;NETWORKDAYS.INTL(ProjectStart,INDEX(spr_End,(COLUMN()-COLUMN(load_Origin)-1)),WorkWeek,Holidays),tsk_Resource,INDEX(res_Name,(ROW()-ROW(load_Origin)-1))))-(SUMIFS(tsk_LeafWork,tsk_FinishWD,"&lt;"&amp;(NETWORKDAYS.INTL(ProjectStart,INDEX(spr_Start,(COLUMN()-COLUMN(load_Origin)-1)),WorkWeek,Holidays)-1),tsk_FinishWD,"&gt;0",tsk_Resource,INDEX(res_Name,(ROW()-ROW(load_Origin)-1)))+(NETWORKDAYS.INTL(ProjectStart,INDEX(spr_Start,(COLUMN()-COLUMN(load_Origin)-1)),WorkWeek,Holidays)-1)*SUMIFS(tsk_WorkPerWD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-SUMIFS(tsk_WorkBeforeStart,tsk_StartWD,"&lt;="&amp;(NETWORKDAYS.INTL(ProjectStart,INDEX(spr_Start,(COLUMN()-COLUMN(load_Origin)-1)),WorkWeek,Holidays)-1),tsk_FinishWD,"&gt;="&amp;(NETWORKDAYS.INTL(ProjectStart,INDEX(spr_Start,(COLUMN()-COLUMN(load_Origin)-1)),WorkWeek,Holidays)-1),tsk_Resource,INDEX(res_Name,(ROW()-ROW(load_Origin)-1)))))),"")</f>
        <v/>
      </c>
    </row>
    <row r="63" customFormat="false" ht="15" hidden="false" customHeight="false" outlineLevel="0" collapsed="false">
      <c r="A63" s="52" t="s">
        <v>587</v>
      </c>
    </row>
    <row r="64" customFormat="false" ht="15" hidden="false" customHeight="false" outlineLevel="0" collapsed="false">
      <c r="B64" s="9" t="s">
        <v>188</v>
      </c>
      <c r="C64" s="9" t="s">
        <v>194</v>
      </c>
      <c r="D64" s="9" t="str">
        <f aca="false">IFERROR(INDEX(spr_Name,(COLUMN()-COLUMN(util_Origin)-1))&amp;"","")</f>
        <v>Sprint 1</v>
      </c>
      <c r="E64" s="9" t="str">
        <f aca="false">IFERROR(INDEX(spr_Name,(COLUMN()-COLUMN(util_Origin)-1))&amp;"","")</f>
        <v>Sprint 2</v>
      </c>
      <c r="F64" s="9" t="str">
        <f aca="false">IFERROR(INDEX(spr_Name,(COLUMN()-COLUMN(util_Origin)-1))&amp;"","")</f>
        <v>Sprint 3</v>
      </c>
      <c r="G64" s="9" t="str">
        <f aca="false">IFERROR(INDEX(spr_Name,(COLUMN()-COLUMN(util_Origin)-1))&amp;"","")</f>
        <v>Sprint 4</v>
      </c>
      <c r="H64" s="9" t="str">
        <f aca="false">IFERROR(INDEX(spr_Name,(COLUMN()-COLUMN(util_Origin)-1))&amp;"","")</f>
        <v>Sprint 5</v>
      </c>
      <c r="I64" s="9" t="str">
        <f aca="false">IFERROR(INDEX(spr_Name,(COLUMN()-COLUMN(util_Origin)-1))&amp;"","")</f>
        <v>Sprint 6</v>
      </c>
      <c r="J64" s="9" t="str">
        <f aca="false">IFERROR(INDEX(spr_Name,(COLUMN()-COLUMN(util_Origin)-1))&amp;"","")</f>
        <v>Sprint 7</v>
      </c>
      <c r="K64" s="9" t="str">
        <f aca="false">IFERROR(INDEX(spr_Name,(COLUMN()-COLUMN(util_Origin)-1))&amp;"","")</f>
        <v>Sprint 8</v>
      </c>
      <c r="L64" s="9" t="str">
        <f aca="false">IFERROR(INDEX(spr_Name,(COLUMN()-COLUMN(util_Origin)-1))&amp;"","")</f>
        <v>Sprint 9</v>
      </c>
      <c r="M64" s="9" t="str">
        <f aca="false">IFERROR(INDEX(spr_Name,(COLUMN()-COLUMN(util_Origin)-1))&amp;"","")</f>
        <v>Sprint 10</v>
      </c>
      <c r="N64" s="9" t="str">
        <f aca="false">IFERROR(INDEX(spr_Name,(COLUMN()-COLUMN(util_Origin)-1))&amp;"","")</f>
        <v>Sprint 11</v>
      </c>
      <c r="O64" s="9" t="str">
        <f aca="false">IFERROR(INDEX(spr_Name,(COLUMN()-COLUMN(util_Origin)-1))&amp;"","")</f>
        <v>Sprint 12</v>
      </c>
      <c r="P64" s="9" t="str">
        <f aca="false">IFERROR(INDEX(spr_Name,(COLUMN()-COLUMN(util_Origin)-1))&amp;"","")</f>
        <v/>
      </c>
      <c r="Q64" s="9" t="str">
        <f aca="false">IFERROR(INDEX(spr_Name,(COLUMN()-COLUMN(util_Origin)-1))&amp;"","")</f>
        <v/>
      </c>
      <c r="R64" s="9" t="str">
        <f aca="false">IFERROR(INDEX(spr_Name,(COLUMN()-COLUMN(util_Origin)-1))&amp;"","")</f>
        <v/>
      </c>
      <c r="S64" s="9" t="str">
        <f aca="false">IFERROR(INDEX(spr_Name,(COLUMN()-COLUMN(util_Origin)-1))&amp;"","")</f>
        <v/>
      </c>
      <c r="T64" s="9" t="str">
        <f aca="false">IFERROR(INDEX(spr_Name,(COLUMN()-COLUMN(util_Origin)-1))&amp;"","")</f>
        <v/>
      </c>
      <c r="U64" s="9" t="str">
        <f aca="false">IFERROR(INDEX(spr_Name,(COLUMN()-COLUMN(util_Origin)-1))&amp;"","")</f>
        <v/>
      </c>
      <c r="V64" s="9" t="str">
        <f aca="false">IFERROR(INDEX(spr_Name,(COLUMN()-COLUMN(util_Origin)-1))&amp;"","")</f>
        <v/>
      </c>
      <c r="W64" s="9" t="str">
        <f aca="false">IFERROR(INDEX(spr_Name,(COLUMN()-COLUMN(util_Origin)-1))&amp;"","")</f>
        <v/>
      </c>
      <c r="X64" s="9" t="str">
        <f aca="false">IFERROR(INDEX(spr_Name,(COLUMN()-COLUMN(util_Origin)-1))&amp;"","")</f>
        <v/>
      </c>
      <c r="Y64" s="9" t="str">
        <f aca="false">IFERROR(INDEX(spr_Name,(COLUMN()-COLUMN(util_Origin)-1))&amp;"","")</f>
        <v/>
      </c>
      <c r="Z64" s="9" t="str">
        <f aca="false">IFERROR(INDEX(spr_Name,(COLUMN()-COLUMN(util_Origin)-1))&amp;"","")</f>
        <v/>
      </c>
      <c r="AA64" s="9" t="str">
        <f aca="false">IFERROR(INDEX(spr_Name,(COLUMN()-COLUMN(util_Origin)-1))&amp;"","")</f>
        <v/>
      </c>
      <c r="AB64" s="9" t="str">
        <f aca="false">IFERROR(INDEX(spr_Name,(COLUMN()-COLUMN(util_Origin)-1))&amp;"","")</f>
        <v/>
      </c>
      <c r="AC64" s="9" t="str">
        <f aca="false">IFERROR(INDEX(spr_Name,(COLUMN()-COLUMN(util_Origin)-1))&amp;"","")</f>
        <v/>
      </c>
    </row>
    <row r="65" customFormat="false" ht="15" hidden="false" customHeight="false" outlineLevel="0" collapsed="false">
      <c r="B65" s="54" t="s">
        <v>586</v>
      </c>
      <c r="D65" s="114" t="n">
        <f aca="false">IFERROR(IF(INDEX(spr_Name,(COLUMN()-COLUMN(util_Origin)-1))="","",INDEX(spr_Start,(COLUMN()-COLUMN(util_Origin)-1))),"")</f>
        <v>46272</v>
      </c>
      <c r="E65" s="114" t="n">
        <f aca="false">IFERROR(IF(INDEX(spr_Name,(COLUMN()-COLUMN(util_Origin)-1))="","",INDEX(spr_Start,(COLUMN()-COLUMN(util_Origin)-1))),"")</f>
        <v>46286</v>
      </c>
      <c r="F65" s="114" t="n">
        <f aca="false">IFERROR(IF(INDEX(spr_Name,(COLUMN()-COLUMN(util_Origin)-1))="","",INDEX(spr_Start,(COLUMN()-COLUMN(util_Origin)-1))),"")</f>
        <v>46300</v>
      </c>
      <c r="G65" s="114" t="n">
        <f aca="false">IFERROR(IF(INDEX(spr_Name,(COLUMN()-COLUMN(util_Origin)-1))="","",INDEX(spr_Start,(COLUMN()-COLUMN(util_Origin)-1))),"")</f>
        <v>46314</v>
      </c>
      <c r="H65" s="114" t="n">
        <f aca="false">IFERROR(IF(INDEX(spr_Name,(COLUMN()-COLUMN(util_Origin)-1))="","",INDEX(spr_Start,(COLUMN()-COLUMN(util_Origin)-1))),"")</f>
        <v>46328</v>
      </c>
      <c r="I65" s="114" t="n">
        <f aca="false">IFERROR(IF(INDEX(spr_Name,(COLUMN()-COLUMN(util_Origin)-1))="","",INDEX(spr_Start,(COLUMN()-COLUMN(util_Origin)-1))),"")</f>
        <v>46342</v>
      </c>
      <c r="J65" s="114" t="n">
        <f aca="false">IFERROR(IF(INDEX(spr_Name,(COLUMN()-COLUMN(util_Origin)-1))="","",INDEX(spr_Start,(COLUMN()-COLUMN(util_Origin)-1))),"")</f>
        <v>46356</v>
      </c>
      <c r="K65" s="114" t="n">
        <f aca="false">IFERROR(IF(INDEX(spr_Name,(COLUMN()-COLUMN(util_Origin)-1))="","",INDEX(spr_Start,(COLUMN()-COLUMN(util_Origin)-1))),"")</f>
        <v>46370</v>
      </c>
      <c r="L65" s="114" t="n">
        <f aca="false">IFERROR(IF(INDEX(spr_Name,(COLUMN()-COLUMN(util_Origin)-1))="","",INDEX(spr_Start,(COLUMN()-COLUMN(util_Origin)-1))),"")</f>
        <v>46384</v>
      </c>
      <c r="M65" s="114" t="n">
        <f aca="false">IFERROR(IF(INDEX(spr_Name,(COLUMN()-COLUMN(util_Origin)-1))="","",INDEX(spr_Start,(COLUMN()-COLUMN(util_Origin)-1))),"")</f>
        <v>46398</v>
      </c>
      <c r="N65" s="114" t="n">
        <f aca="false">IFERROR(IF(INDEX(spr_Name,(COLUMN()-COLUMN(util_Origin)-1))="","",INDEX(spr_Start,(COLUMN()-COLUMN(util_Origin)-1))),"")</f>
        <v>46412</v>
      </c>
      <c r="O65" s="114" t="n">
        <f aca="false">IFERROR(IF(INDEX(spr_Name,(COLUMN()-COLUMN(util_Origin)-1))="","",INDEX(spr_Start,(COLUMN()-COLUMN(util_Origin)-1))),"")</f>
        <v>46426</v>
      </c>
      <c r="P65" s="114" t="str">
        <f aca="false">IFERROR(IF(INDEX(spr_Name,(COLUMN()-COLUMN(util_Origin)-1))="","",INDEX(spr_Start,(COLUMN()-COLUMN(util_Origin)-1))),"")</f>
        <v/>
      </c>
      <c r="Q65" s="114" t="str">
        <f aca="false">IFERROR(IF(INDEX(spr_Name,(COLUMN()-COLUMN(util_Origin)-1))="","",INDEX(spr_Start,(COLUMN()-COLUMN(util_Origin)-1))),"")</f>
        <v/>
      </c>
      <c r="R65" s="114" t="str">
        <f aca="false">IFERROR(IF(INDEX(spr_Name,(COLUMN()-COLUMN(util_Origin)-1))="","",INDEX(spr_Start,(COLUMN()-COLUMN(util_Origin)-1))),"")</f>
        <v/>
      </c>
      <c r="S65" s="114" t="str">
        <f aca="false">IFERROR(IF(INDEX(spr_Name,(COLUMN()-COLUMN(util_Origin)-1))="","",INDEX(spr_Start,(COLUMN()-COLUMN(util_Origin)-1))),"")</f>
        <v/>
      </c>
      <c r="T65" s="114" t="str">
        <f aca="false">IFERROR(IF(INDEX(spr_Name,(COLUMN()-COLUMN(util_Origin)-1))="","",INDEX(spr_Start,(COLUMN()-COLUMN(util_Origin)-1))),"")</f>
        <v/>
      </c>
      <c r="U65" s="114" t="str">
        <f aca="false">IFERROR(IF(INDEX(spr_Name,(COLUMN()-COLUMN(util_Origin)-1))="","",INDEX(spr_Start,(COLUMN()-COLUMN(util_Origin)-1))),"")</f>
        <v/>
      </c>
      <c r="V65" s="114" t="str">
        <f aca="false">IFERROR(IF(INDEX(spr_Name,(COLUMN()-COLUMN(util_Origin)-1))="","",INDEX(spr_Start,(COLUMN()-COLUMN(util_Origin)-1))),"")</f>
        <v/>
      </c>
      <c r="W65" s="114" t="str">
        <f aca="false">IFERROR(IF(INDEX(spr_Name,(COLUMN()-COLUMN(util_Origin)-1))="","",INDEX(spr_Start,(COLUMN()-COLUMN(util_Origin)-1))),"")</f>
        <v/>
      </c>
      <c r="X65" s="114" t="str">
        <f aca="false">IFERROR(IF(INDEX(spr_Name,(COLUMN()-COLUMN(util_Origin)-1))="","",INDEX(spr_Start,(COLUMN()-COLUMN(util_Origin)-1))),"")</f>
        <v/>
      </c>
      <c r="Y65" s="114" t="str">
        <f aca="false">IFERROR(IF(INDEX(spr_Name,(COLUMN()-COLUMN(util_Origin)-1))="","",INDEX(spr_Start,(COLUMN()-COLUMN(util_Origin)-1))),"")</f>
        <v/>
      </c>
      <c r="Z65" s="114" t="str">
        <f aca="false">IFERROR(IF(INDEX(spr_Name,(COLUMN()-COLUMN(util_Origin)-1))="","",INDEX(spr_Start,(COLUMN()-COLUMN(util_Origin)-1))),"")</f>
        <v/>
      </c>
      <c r="AA65" s="114" t="str">
        <f aca="false">IFERROR(IF(INDEX(spr_Name,(COLUMN()-COLUMN(util_Origin)-1))="","",INDEX(spr_Start,(COLUMN()-COLUMN(util_Origin)-1))),"")</f>
        <v/>
      </c>
      <c r="AB65" s="114" t="str">
        <f aca="false">IFERROR(IF(INDEX(spr_Name,(COLUMN()-COLUMN(util_Origin)-1))="","",INDEX(spr_Start,(COLUMN()-COLUMN(util_Origin)-1))),"")</f>
        <v/>
      </c>
      <c r="AC65" s="114" t="str">
        <f aca="false">IFERROR(IF(INDEX(spr_Name,(COLUMN()-COLUMN(util_Origin)-1))="","",INDEX(spr_Start,(COLUMN()-COLUMN(util_Origin)-1))),"")</f>
        <v/>
      </c>
    </row>
    <row r="66" customFormat="false" ht="15" hidden="false" customHeight="false" outlineLevel="0" collapsed="false">
      <c r="B66" s="31" t="str">
        <f aca="false">IFERROR(INDEX(res_Name,(ROW()-ROW(util_Origin)-1))&amp;"","")</f>
        <v>Priya Sharma</v>
      </c>
      <c r="C66" s="56" t="n">
        <f aca="false">IFERROR(IF(INDEX(res_Name,(ROW()-ROW(util_Origin)-1))="","",INDEX(res_MaxUnits,(ROW()-ROW(util_Origin)-1))),"")</f>
        <v>0.5</v>
      </c>
      <c r="D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0.6</v>
      </c>
      <c r="E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F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G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H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I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0.2</v>
      </c>
      <c r="J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K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0.25</v>
      </c>
      <c r="L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0.5</v>
      </c>
      <c r="M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N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O66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P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6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67" customFormat="false" ht="15" hidden="false" customHeight="false" outlineLevel="0" collapsed="false">
      <c r="B67" s="31" t="str">
        <f aca="false">IFERROR(INDEX(res_Name,(ROW()-ROW(util_Origin)-1))&amp;"","")</f>
        <v>Morgan Patel</v>
      </c>
      <c r="C67" s="56" t="n">
        <f aca="false">IFERROR(IF(INDEX(res_Name,(ROW()-ROW(util_Origin)-1))="","",INDEX(res_MaxUnits,(ROW()-ROW(util_Origin)-1))),"")</f>
        <v>1</v>
      </c>
      <c r="D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0.555555555555556</v>
      </c>
      <c r="E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0.444444444444444</v>
      </c>
      <c r="F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G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H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I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J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0.5</v>
      </c>
      <c r="K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0.125</v>
      </c>
      <c r="L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M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N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O67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P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6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68" customFormat="false" ht="15" hidden="false" customHeight="false" outlineLevel="0" collapsed="false">
      <c r="B68" s="31" t="str">
        <f aca="false">IFERROR(INDEX(res_Name,(ROW()-ROW(util_Origin)-1))&amp;"","")</f>
        <v>Alex Chen</v>
      </c>
      <c r="C68" s="56" t="n">
        <f aca="false">IFERROR(IF(INDEX(res_Name,(ROW()-ROW(util_Origin)-1))="","",INDEX(res_MaxUnits,(ROW()-ROW(util_Origin)-1))),"")</f>
        <v>0.5</v>
      </c>
      <c r="D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0.166666666666667</v>
      </c>
      <c r="E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0.833333333333333</v>
      </c>
      <c r="F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G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H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I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J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K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L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M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N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O68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P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6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69" customFormat="false" ht="15" hidden="false" customHeight="false" outlineLevel="0" collapsed="false">
      <c r="B69" s="31" t="str">
        <f aca="false">IFERROR(INDEX(res_Name,(ROW()-ROW(util_Origin)-1))&amp;"","")</f>
        <v>Casey Kim</v>
      </c>
      <c r="C69" s="56" t="n">
        <f aca="false">IFERROR(IF(INDEX(res_Name,(ROW()-ROW(util_Origin)-1))="","",INDEX(res_MaxUnits,(ROW()-ROW(util_Origin)-1))),"")</f>
        <v>1</v>
      </c>
      <c r="D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E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0.428571428571429</v>
      </c>
      <c r="F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0.171428571428571</v>
      </c>
      <c r="G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H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0.25</v>
      </c>
      <c r="I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0.15</v>
      </c>
      <c r="J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K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L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M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N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O69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P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6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70" customFormat="false" ht="15" hidden="false" customHeight="false" outlineLevel="0" collapsed="false">
      <c r="B70" s="31" t="str">
        <f aca="false">IFERROR(INDEX(res_Name,(ROW()-ROW(util_Origin)-1))&amp;"","")</f>
        <v>Jordan Lee</v>
      </c>
      <c r="C70" s="56" t="n">
        <f aca="false">IFERROR(IF(INDEX(res_Name,(ROW()-ROW(util_Origin)-1))="","",INDEX(res_MaxUnits,(ROW()-ROW(util_Origin)-1))),"")</f>
        <v>1</v>
      </c>
      <c r="D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E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F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0.666666666666666</v>
      </c>
      <c r="G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0.833333333333334</v>
      </c>
      <c r="H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0.6</v>
      </c>
      <c r="I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J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K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0.375</v>
      </c>
      <c r="L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0.25</v>
      </c>
      <c r="M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N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O70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P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7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71" customFormat="false" ht="15" hidden="false" customHeight="false" outlineLevel="0" collapsed="false">
      <c r="B71" s="31" t="str">
        <f aca="false">IFERROR(INDEX(res_Name,(ROW()-ROW(util_Origin)-1))&amp;"","")</f>
        <v>Sam Rivera</v>
      </c>
      <c r="C71" s="56" t="n">
        <f aca="false">IFERROR(IF(INDEX(res_Name,(ROW()-ROW(util_Origin)-1))="","",INDEX(res_MaxUnits,(ROW()-ROW(util_Origin)-1))),"")</f>
        <v>1</v>
      </c>
      <c r="D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E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F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0.6</v>
      </c>
      <c r="G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0.857142857142857</v>
      </c>
      <c r="H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0.342857142857143</v>
      </c>
      <c r="I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J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K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L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M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N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O71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P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7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72" customFormat="false" ht="15" hidden="false" customHeight="false" outlineLevel="0" collapsed="false">
      <c r="B72" s="31" t="str">
        <f aca="false">IFERROR(INDEX(res_Name,(ROW()-ROW(util_Origin)-1))&amp;"","")</f>
        <v>Taylor Morgan</v>
      </c>
      <c r="C72" s="56" t="n">
        <f aca="false">IFERROR(IF(INDEX(res_Name,(ROW()-ROW(util_Origin)-1))="","",INDEX(res_MaxUnits,(ROW()-ROW(util_Origin)-1))),"")</f>
        <v>1</v>
      </c>
      <c r="D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E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F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G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H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0.4</v>
      </c>
      <c r="I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0.4</v>
      </c>
      <c r="J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K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L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M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N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O72" s="59" t="n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>0</v>
      </c>
      <c r="P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7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73" customFormat="false" ht="15" hidden="false" customHeight="false" outlineLevel="0" collapsed="false">
      <c r="B73" s="31" t="str">
        <f aca="false">IFERROR(INDEX(res_Name,(ROW()-ROW(util_Origin)-1))&amp;"","")</f>
        <v/>
      </c>
      <c r="C73" s="56" t="str">
        <f aca="false">IFERROR(IF(INDEX(res_Name,(ROW()-ROW(util_Origin)-1))="","",INDEX(res_MaxUnits,(ROW()-ROW(util_Origin)-1))),"")</f>
        <v/>
      </c>
      <c r="D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7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74" customFormat="false" ht="15" hidden="false" customHeight="false" outlineLevel="0" collapsed="false">
      <c r="B74" s="31" t="str">
        <f aca="false">IFERROR(INDEX(res_Name,(ROW()-ROW(util_Origin)-1))&amp;"","")</f>
        <v/>
      </c>
      <c r="C74" s="56" t="str">
        <f aca="false">IFERROR(IF(INDEX(res_Name,(ROW()-ROW(util_Origin)-1))="","",INDEX(res_MaxUnits,(ROW()-ROW(util_Origin)-1))),"")</f>
        <v/>
      </c>
      <c r="D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7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75" customFormat="false" ht="15" hidden="false" customHeight="false" outlineLevel="0" collapsed="false">
      <c r="B75" s="31" t="str">
        <f aca="false">IFERROR(INDEX(res_Name,(ROW()-ROW(util_Origin)-1))&amp;"","")</f>
        <v/>
      </c>
      <c r="C75" s="56" t="str">
        <f aca="false">IFERROR(IF(INDEX(res_Name,(ROW()-ROW(util_Origin)-1))="","",INDEX(res_MaxUnits,(ROW()-ROW(util_Origin)-1))),"")</f>
        <v/>
      </c>
      <c r="D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7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76" customFormat="false" ht="15" hidden="false" customHeight="false" outlineLevel="0" collapsed="false">
      <c r="B76" s="31" t="str">
        <f aca="false">IFERROR(INDEX(res_Name,(ROW()-ROW(util_Origin)-1))&amp;"","")</f>
        <v/>
      </c>
      <c r="C76" s="56" t="str">
        <f aca="false">IFERROR(IF(INDEX(res_Name,(ROW()-ROW(util_Origin)-1))="","",INDEX(res_MaxUnits,(ROW()-ROW(util_Origin)-1))),"")</f>
        <v/>
      </c>
      <c r="D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7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77" customFormat="false" ht="15" hidden="false" customHeight="false" outlineLevel="0" collapsed="false">
      <c r="B77" s="31" t="str">
        <f aca="false">IFERROR(INDEX(res_Name,(ROW()-ROW(util_Origin)-1))&amp;"","")</f>
        <v/>
      </c>
      <c r="C77" s="56" t="str">
        <f aca="false">IFERROR(IF(INDEX(res_Name,(ROW()-ROW(util_Origin)-1))="","",INDEX(res_MaxUnits,(ROW()-ROW(util_Origin)-1))),"")</f>
        <v/>
      </c>
      <c r="D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7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78" customFormat="false" ht="15" hidden="false" customHeight="false" outlineLevel="0" collapsed="false">
      <c r="B78" s="31" t="str">
        <f aca="false">IFERROR(INDEX(res_Name,(ROW()-ROW(util_Origin)-1))&amp;"","")</f>
        <v/>
      </c>
      <c r="C78" s="56" t="str">
        <f aca="false">IFERROR(IF(INDEX(res_Name,(ROW()-ROW(util_Origin)-1))="","",INDEX(res_MaxUnits,(ROW()-ROW(util_Origin)-1))),"")</f>
        <v/>
      </c>
      <c r="D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7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79" customFormat="false" ht="15" hidden="false" customHeight="false" outlineLevel="0" collapsed="false">
      <c r="B79" s="31" t="str">
        <f aca="false">IFERROR(INDEX(res_Name,(ROW()-ROW(util_Origin)-1))&amp;"","")</f>
        <v/>
      </c>
      <c r="C79" s="56" t="str">
        <f aca="false">IFERROR(IF(INDEX(res_Name,(ROW()-ROW(util_Origin)-1))="","",INDEX(res_MaxUnits,(ROW()-ROW(util_Origin)-1))),"")</f>
        <v/>
      </c>
      <c r="D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7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80" customFormat="false" ht="15" hidden="false" customHeight="false" outlineLevel="0" collapsed="false">
      <c r="B80" s="31" t="str">
        <f aca="false">IFERROR(INDEX(res_Name,(ROW()-ROW(util_Origin)-1))&amp;"","")</f>
        <v/>
      </c>
      <c r="C80" s="56" t="str">
        <f aca="false">IFERROR(IF(INDEX(res_Name,(ROW()-ROW(util_Origin)-1))="","",INDEX(res_MaxUnits,(ROW()-ROW(util_Origin)-1))),"")</f>
        <v/>
      </c>
      <c r="D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8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81" customFormat="false" ht="15" hidden="false" customHeight="false" outlineLevel="0" collapsed="false">
      <c r="B81" s="31" t="str">
        <f aca="false">IFERROR(INDEX(res_Name,(ROW()-ROW(util_Origin)-1))&amp;"","")</f>
        <v/>
      </c>
      <c r="C81" s="56" t="str">
        <f aca="false">IFERROR(IF(INDEX(res_Name,(ROW()-ROW(util_Origin)-1))="","",INDEX(res_MaxUnits,(ROW()-ROW(util_Origin)-1))),"")</f>
        <v/>
      </c>
      <c r="D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81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82" customFormat="false" ht="15" hidden="false" customHeight="false" outlineLevel="0" collapsed="false">
      <c r="B82" s="31" t="str">
        <f aca="false">IFERROR(INDEX(res_Name,(ROW()-ROW(util_Origin)-1))&amp;"","")</f>
        <v/>
      </c>
      <c r="C82" s="56" t="str">
        <f aca="false">IFERROR(IF(INDEX(res_Name,(ROW()-ROW(util_Origin)-1))="","",INDEX(res_MaxUnits,(ROW()-ROW(util_Origin)-1))),"")</f>
        <v/>
      </c>
      <c r="D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82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83" customFormat="false" ht="15" hidden="false" customHeight="false" outlineLevel="0" collapsed="false">
      <c r="B83" s="31" t="str">
        <f aca="false">IFERROR(INDEX(res_Name,(ROW()-ROW(util_Origin)-1))&amp;"","")</f>
        <v/>
      </c>
      <c r="C83" s="56" t="str">
        <f aca="false">IFERROR(IF(INDEX(res_Name,(ROW()-ROW(util_Origin)-1))="","",INDEX(res_MaxUnits,(ROW()-ROW(util_Origin)-1))),"")</f>
        <v/>
      </c>
      <c r="D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83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84" customFormat="false" ht="15" hidden="false" customHeight="false" outlineLevel="0" collapsed="false">
      <c r="B84" s="31" t="str">
        <f aca="false">IFERROR(INDEX(res_Name,(ROW()-ROW(util_Origin)-1))&amp;"","")</f>
        <v/>
      </c>
      <c r="C84" s="56" t="str">
        <f aca="false">IFERROR(IF(INDEX(res_Name,(ROW()-ROW(util_Origin)-1))="","",INDEX(res_MaxUnits,(ROW()-ROW(util_Origin)-1))),"")</f>
        <v/>
      </c>
      <c r="D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84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85" customFormat="false" ht="15" hidden="false" customHeight="false" outlineLevel="0" collapsed="false">
      <c r="B85" s="31" t="str">
        <f aca="false">IFERROR(INDEX(res_Name,(ROW()-ROW(util_Origin)-1))&amp;"","")</f>
        <v/>
      </c>
      <c r="C85" s="56" t="str">
        <f aca="false">IFERROR(IF(INDEX(res_Name,(ROW()-ROW(util_Origin)-1))="","",INDEX(res_MaxUnits,(ROW()-ROW(util_Origin)-1))),"")</f>
        <v/>
      </c>
      <c r="D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85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86" customFormat="false" ht="15" hidden="false" customHeight="false" outlineLevel="0" collapsed="false">
      <c r="B86" s="31" t="str">
        <f aca="false">IFERROR(INDEX(res_Name,(ROW()-ROW(util_Origin)-1))&amp;"","")</f>
        <v/>
      </c>
      <c r="C86" s="56" t="str">
        <f aca="false">IFERROR(IF(INDEX(res_Name,(ROW()-ROW(util_Origin)-1))="","",INDEX(res_MaxUnits,(ROW()-ROW(util_Origin)-1))),"")</f>
        <v/>
      </c>
      <c r="D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86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87" customFormat="false" ht="15" hidden="false" customHeight="false" outlineLevel="0" collapsed="false">
      <c r="B87" s="31" t="str">
        <f aca="false">IFERROR(INDEX(res_Name,(ROW()-ROW(util_Origin)-1))&amp;"","")</f>
        <v/>
      </c>
      <c r="C87" s="56" t="str">
        <f aca="false">IFERROR(IF(INDEX(res_Name,(ROW()-ROW(util_Origin)-1))="","",INDEX(res_MaxUnits,(ROW()-ROW(util_Origin)-1))),"")</f>
        <v/>
      </c>
      <c r="D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87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88" customFormat="false" ht="15" hidden="false" customHeight="false" outlineLevel="0" collapsed="false">
      <c r="B88" s="31" t="str">
        <f aca="false">IFERROR(INDEX(res_Name,(ROW()-ROW(util_Origin)-1))&amp;"","")</f>
        <v/>
      </c>
      <c r="C88" s="56" t="str">
        <f aca="false">IFERROR(IF(INDEX(res_Name,(ROW()-ROW(util_Origin)-1))="","",INDEX(res_MaxUnits,(ROW()-ROW(util_Origin)-1))),"")</f>
        <v/>
      </c>
      <c r="D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88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89" customFormat="false" ht="15" hidden="false" customHeight="false" outlineLevel="0" collapsed="false">
      <c r="B89" s="31" t="str">
        <f aca="false">IFERROR(INDEX(res_Name,(ROW()-ROW(util_Origin)-1))&amp;"","")</f>
        <v/>
      </c>
      <c r="C89" s="56" t="str">
        <f aca="false">IFERROR(IF(INDEX(res_Name,(ROW()-ROW(util_Origin)-1))="","",INDEX(res_MaxUnits,(ROW()-ROW(util_Origin)-1))),"")</f>
        <v/>
      </c>
      <c r="D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89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  <row r="90" customFormat="false" ht="15" hidden="false" customHeight="false" outlineLevel="0" collapsed="false">
      <c r="B90" s="31" t="str">
        <f aca="false">IFERROR(INDEX(res_Name,(ROW()-ROW(util_Origin)-1))&amp;"","")</f>
        <v/>
      </c>
      <c r="C90" s="56" t="str">
        <f aca="false">IFERROR(IF(INDEX(res_Name,(ROW()-ROW(util_Origin)-1))="","",INDEX(res_MaxUnits,(ROW()-ROW(util_Origin)-1))),"")</f>
        <v/>
      </c>
      <c r="D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E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F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G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H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I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J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K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L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M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N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O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P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Q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R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S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T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U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V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W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X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Y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Z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A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B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  <c r="AC90" s="59" t="str">
        <f aca="false">IFERROR(IF(OR(INDEX(res_Name,(ROW()-ROW(util_Origin)-1))="",INDEX(spr_Name,(COLUMN()-COLUMN(util_Origin)-1))="",N(INDEX(res_MaxUnits,(ROW()-ROW(util_Origin)-1)))=0),"",INDEX(load_Grid,(ROW()-ROW(util_Origin)-1),(COLUMN()-COLUMN(util_Origin)-1))/(INDEX(res_MaxUnits,(ROW()-ROW(util_Origin)-1))*HoursPerDay*INDEX(spr_WorkDays,(COLUMN()-COLUMN(util_Origin)-1)))),"")</f>
        <v/>
      </c>
    </row>
  </sheetData>
  <conditionalFormatting sqref="A6:R31">
    <cfRule type="expression" priority="2" aboveAverage="0" equalAverage="0" bottom="0" percent="0" rank="0" text="" dxfId="51">
      <formula>$B6=""</formula>
    </cfRule>
    <cfRule type="expression" priority="3" aboveAverage="0" equalAverage="0" bottom="0" percent="0" rank="0" text="" dxfId="52">
      <formula>$K6="Active"</formula>
    </cfRule>
  </conditionalFormatting>
  <conditionalFormatting sqref="J6:J31">
    <cfRule type="expression" priority="4" aboveAverage="0" equalAverage="0" bottom="0" percent="0" rank="0" text="" dxfId="11">
      <formula>AND(ISNUMBER($J6),$J6&gt;1)</formula>
    </cfRule>
  </conditionalFormatting>
  <conditionalFormatting sqref="M6:M31">
    <cfRule type="expression" priority="5" aboveAverage="0" equalAverage="0" bottom="0" percent="0" rank="0" text="" dxfId="11">
      <formula>AND(N($L6)&gt;0,N($M6)&gt;$L6)</formula>
    </cfRule>
  </conditionalFormatting>
  <conditionalFormatting sqref="D36:AC60">
    <cfRule type="expression" priority="6" aboveAverage="0" equalAverage="0" bottom="0" percent="0" rank="0" text="" dxfId="15">
      <formula>AND(ISNUMBER(D36),D36&gt;$C36*HoursPerDay*INDEX(spr_WorkDays,COLUMN()-COLUMN(load_Origin)-1))</formula>
    </cfRule>
  </conditionalFormatting>
  <conditionalFormatting sqref="D66:AC90">
    <cfRule type="colorScale" priority="7">
      <colorScale>
        <cfvo type="num" val="0"/>
        <cfvo type="num" val="0.8"/>
        <cfvo type="num" val="1.2"/>
        <color rgb="FFFFFFFF"/>
        <color rgb="FFC6EFCE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C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26" t="s">
        <v>588</v>
      </c>
    </row>
    <row r="2" customFormat="false" ht="15" hidden="false" customHeight="false" outlineLevel="0" collapsed="false">
      <c r="A2" s="8" t="s">
        <v>589</v>
      </c>
    </row>
    <row r="4" customFormat="false" ht="15" hidden="false" customHeight="false" outlineLevel="0" collapsed="false">
      <c r="B4" s="27" t="s">
        <v>590</v>
      </c>
      <c r="C4" s="27" t="s">
        <v>591</v>
      </c>
    </row>
    <row r="5" customFormat="false" ht="15" hidden="false" customHeight="false" outlineLevel="0" collapsed="false">
      <c r="B5" s="72" t="n">
        <v>46380</v>
      </c>
      <c r="C5" s="30" t="s">
        <v>592</v>
      </c>
    </row>
    <row r="6" customFormat="false" ht="15" hidden="false" customHeight="false" outlineLevel="0" collapsed="false">
      <c r="B6" s="72" t="n">
        <v>46381</v>
      </c>
      <c r="C6" s="30" t="s">
        <v>593</v>
      </c>
    </row>
    <row r="7" customFormat="false" ht="15" hidden="false" customHeight="false" outlineLevel="0" collapsed="false">
      <c r="B7" s="72" t="n">
        <v>46387</v>
      </c>
      <c r="C7" s="30" t="s">
        <v>594</v>
      </c>
    </row>
    <row r="8" customFormat="false" ht="15" hidden="false" customHeight="false" outlineLevel="0" collapsed="false">
      <c r="B8" s="72" t="n">
        <v>46388</v>
      </c>
      <c r="C8" s="30" t="s">
        <v>595</v>
      </c>
    </row>
    <row r="9" customFormat="false" ht="15" hidden="false" customHeight="false" outlineLevel="0" collapsed="false">
      <c r="B9" s="72"/>
      <c r="C9" s="30"/>
    </row>
    <row r="10" customFormat="false" ht="15" hidden="false" customHeight="false" outlineLevel="0" collapsed="false">
      <c r="B10" s="72"/>
      <c r="C10" s="30"/>
    </row>
    <row r="11" customFormat="false" ht="15" hidden="false" customHeight="false" outlineLevel="0" collapsed="false">
      <c r="B11" s="72"/>
      <c r="C11" s="30"/>
    </row>
    <row r="12" customFormat="false" ht="15" hidden="false" customHeight="false" outlineLevel="0" collapsed="false">
      <c r="B12" s="72"/>
      <c r="C12" s="30"/>
    </row>
    <row r="13" customFormat="false" ht="15" hidden="false" customHeight="false" outlineLevel="0" collapsed="false">
      <c r="B13" s="72"/>
      <c r="C13" s="30"/>
    </row>
    <row r="14" customFormat="false" ht="15" hidden="false" customHeight="false" outlineLevel="0" collapsed="false">
      <c r="B14" s="72"/>
      <c r="C14" s="30"/>
    </row>
    <row r="15" customFormat="false" ht="15" hidden="false" customHeight="false" outlineLevel="0" collapsed="false">
      <c r="B15" s="72"/>
      <c r="C15" s="30"/>
    </row>
    <row r="16" customFormat="false" ht="15" hidden="false" customHeight="false" outlineLevel="0" collapsed="false">
      <c r="B16" s="72"/>
      <c r="C16" s="30"/>
    </row>
    <row r="17" customFormat="false" ht="15" hidden="false" customHeight="false" outlineLevel="0" collapsed="false">
      <c r="B17" s="72"/>
      <c r="C17" s="30"/>
    </row>
    <row r="18" customFormat="false" ht="15" hidden="false" customHeight="false" outlineLevel="0" collapsed="false">
      <c r="B18" s="72"/>
      <c r="C18" s="30"/>
    </row>
    <row r="19" customFormat="false" ht="15" hidden="false" customHeight="false" outlineLevel="0" collapsed="false">
      <c r="B19" s="72"/>
      <c r="C19" s="30"/>
    </row>
    <row r="20" customFormat="false" ht="15" hidden="false" customHeight="false" outlineLevel="0" collapsed="false">
      <c r="B20" s="72"/>
      <c r="C20" s="30"/>
    </row>
    <row r="21" customFormat="false" ht="15" hidden="false" customHeight="false" outlineLevel="0" collapsed="false">
      <c r="B21" s="72"/>
      <c r="C21" s="30"/>
    </row>
    <row r="22" customFormat="false" ht="15" hidden="false" customHeight="false" outlineLevel="0" collapsed="false">
      <c r="B22" s="72"/>
      <c r="C22" s="30"/>
    </row>
    <row r="23" customFormat="false" ht="15" hidden="false" customHeight="false" outlineLevel="0" collapsed="false">
      <c r="B23" s="72"/>
      <c r="C23" s="30"/>
    </row>
    <row r="24" customFormat="false" ht="15" hidden="false" customHeight="false" outlineLevel="0" collapsed="false">
      <c r="B24" s="72"/>
      <c r="C24" s="30"/>
    </row>
    <row r="25" customFormat="false" ht="15" hidden="false" customHeight="false" outlineLevel="0" collapsed="false">
      <c r="B25" s="72"/>
      <c r="C25" s="30"/>
    </row>
    <row r="26" customFormat="false" ht="15" hidden="false" customHeight="false" outlineLevel="0" collapsed="false">
      <c r="B26" s="72"/>
      <c r="C26" s="30"/>
    </row>
    <row r="27" customFormat="false" ht="15" hidden="false" customHeight="false" outlineLevel="0" collapsed="false">
      <c r="B27" s="72"/>
      <c r="C27" s="30"/>
    </row>
    <row r="28" customFormat="false" ht="15" hidden="false" customHeight="false" outlineLevel="0" collapsed="false">
      <c r="B28" s="72"/>
      <c r="C28" s="30"/>
    </row>
    <row r="29" customFormat="false" ht="15" hidden="false" customHeight="false" outlineLevel="0" collapsed="false">
      <c r="B29" s="72"/>
      <c r="C29" s="30"/>
    </row>
    <row r="30" customFormat="false" ht="15" hidden="false" customHeight="false" outlineLevel="0" collapsed="false">
      <c r="B30" s="72"/>
      <c r="C30" s="30"/>
    </row>
    <row r="31" customFormat="false" ht="15" hidden="false" customHeight="false" outlineLevel="0" collapsed="false">
      <c r="B31" s="72"/>
      <c r="C31" s="30"/>
    </row>
    <row r="32" customFormat="false" ht="15" hidden="false" customHeight="false" outlineLevel="0" collapsed="false">
      <c r="B32" s="72"/>
      <c r="C32" s="30"/>
    </row>
    <row r="33" customFormat="false" ht="15" hidden="false" customHeight="false" outlineLevel="0" collapsed="false">
      <c r="B33" s="72"/>
      <c r="C33" s="30"/>
    </row>
    <row r="34" customFormat="false" ht="15" hidden="false" customHeight="false" outlineLevel="0" collapsed="false">
      <c r="B34" s="72"/>
      <c r="C34" s="30"/>
    </row>
    <row r="35" customFormat="false" ht="15" hidden="false" customHeight="false" outlineLevel="0" collapsed="false">
      <c r="B35" s="72"/>
      <c r="C35" s="30"/>
    </row>
    <row r="36" customFormat="false" ht="15" hidden="false" customHeight="false" outlineLevel="0" collapsed="false">
      <c r="B36" s="72"/>
      <c r="C36" s="30"/>
    </row>
    <row r="37" customFormat="false" ht="15" hidden="false" customHeight="false" outlineLevel="0" collapsed="false">
      <c r="B37" s="72"/>
      <c r="C37" s="30"/>
    </row>
    <row r="38" customFormat="false" ht="15" hidden="false" customHeight="false" outlineLevel="0" collapsed="false">
      <c r="B38" s="72"/>
      <c r="C38" s="30"/>
    </row>
    <row r="39" customFormat="false" ht="15" hidden="false" customHeight="false" outlineLevel="0" collapsed="false">
      <c r="B39" s="72"/>
      <c r="C39" s="30"/>
    </row>
    <row r="40" customFormat="false" ht="15" hidden="false" customHeight="false" outlineLevel="0" collapsed="false">
      <c r="B40" s="72"/>
      <c r="C40" s="30"/>
    </row>
    <row r="41" customFormat="false" ht="15" hidden="false" customHeight="false" outlineLevel="0" collapsed="false">
      <c r="B41" s="72"/>
      <c r="C41" s="30"/>
    </row>
    <row r="42" customFormat="false" ht="15" hidden="false" customHeight="false" outlineLevel="0" collapsed="false">
      <c r="B42" s="72"/>
      <c r="C42" s="30"/>
    </row>
    <row r="43" customFormat="false" ht="15" hidden="false" customHeight="false" outlineLevel="0" collapsed="false">
      <c r="B43" s="72"/>
      <c r="C43" s="30"/>
    </row>
    <row r="44" customFormat="false" ht="15" hidden="false" customHeight="false" outlineLevel="0" collapsed="false">
      <c r="B44" s="72"/>
      <c r="C44" s="30"/>
    </row>
    <row r="45" customFormat="false" ht="15" hidden="false" customHeight="false" outlineLevel="0" collapsed="false">
      <c r="B45" s="72"/>
      <c r="C45" s="30"/>
    </row>
    <row r="46" customFormat="false" ht="15" hidden="false" customHeight="false" outlineLevel="0" collapsed="false">
      <c r="B46" s="72"/>
      <c r="C46" s="30"/>
    </row>
    <row r="47" customFormat="false" ht="15" hidden="false" customHeight="false" outlineLevel="0" collapsed="false">
      <c r="B47" s="72"/>
      <c r="C47" s="30"/>
    </row>
    <row r="48" customFormat="false" ht="15" hidden="false" customHeight="false" outlineLevel="0" collapsed="false">
      <c r="B48" s="72"/>
      <c r="C48" s="30"/>
    </row>
    <row r="49" customFormat="false" ht="15" hidden="false" customHeight="false" outlineLevel="0" collapsed="false">
      <c r="B49" s="72"/>
      <c r="C49" s="30"/>
    </row>
    <row r="50" customFormat="false" ht="15" hidden="false" customHeight="false" outlineLevel="0" collapsed="false">
      <c r="B50" s="72"/>
      <c r="C50" s="30"/>
    </row>
    <row r="51" customFormat="false" ht="15" hidden="false" customHeight="false" outlineLevel="0" collapsed="false">
      <c r="B51" s="72"/>
      <c r="C51" s="30"/>
    </row>
    <row r="52" customFormat="false" ht="15" hidden="false" customHeight="false" outlineLevel="0" collapsed="false">
      <c r="B52" s="72"/>
      <c r="C52" s="30"/>
    </row>
    <row r="53" customFormat="false" ht="15" hidden="false" customHeight="false" outlineLevel="0" collapsed="false">
      <c r="B53" s="72"/>
      <c r="C53" s="30"/>
    </row>
    <row r="54" customFormat="false" ht="15" hidden="false" customHeight="false" outlineLevel="0" collapsed="false">
      <c r="B54" s="72"/>
      <c r="C54" s="30"/>
    </row>
    <row r="55" customFormat="false" ht="15" hidden="false" customHeight="false" outlineLevel="0" collapsed="false">
      <c r="B55" s="72"/>
      <c r="C55" s="30"/>
    </row>
    <row r="56" customFormat="false" ht="15" hidden="false" customHeight="false" outlineLevel="0" collapsed="false">
      <c r="B56" s="72"/>
      <c r="C56" s="30"/>
    </row>
    <row r="57" customFormat="false" ht="15" hidden="false" customHeight="false" outlineLevel="0" collapsed="false">
      <c r="B57" s="72"/>
      <c r="C57" s="30"/>
    </row>
    <row r="58" customFormat="false" ht="15" hidden="false" customHeight="false" outlineLevel="0" collapsed="false">
      <c r="B58" s="72"/>
      <c r="C58" s="30"/>
    </row>
    <row r="59" customFormat="false" ht="15" hidden="false" customHeight="false" outlineLevel="0" collapsed="false">
      <c r="B59" s="72"/>
      <c r="C59" s="30"/>
    </row>
    <row r="60" customFormat="false" ht="15" hidden="false" customHeight="false" outlineLevel="0" collapsed="false">
      <c r="B60" s="72"/>
      <c r="C60" s="30"/>
    </row>
    <row r="61" customFormat="false" ht="15" hidden="false" customHeight="false" outlineLevel="0" collapsed="false">
      <c r="B61" s="72"/>
      <c r="C61" s="30"/>
    </row>
    <row r="62" customFormat="false" ht="15" hidden="false" customHeight="false" outlineLevel="0" collapsed="false">
      <c r="B62" s="72"/>
      <c r="C62" s="30"/>
    </row>
    <row r="63" customFormat="false" ht="15" hidden="false" customHeight="false" outlineLevel="0" collapsed="false">
      <c r="B63" s="72"/>
      <c r="C63" s="30"/>
    </row>
    <row r="64" customFormat="false" ht="15" hidden="false" customHeight="false" outlineLevel="0" collapsed="false">
      <c r="B64" s="72"/>
      <c r="C64" s="30"/>
    </row>
    <row r="65" customFormat="false" ht="15" hidden="false" customHeight="false" outlineLevel="0" collapsed="false">
      <c r="B65" s="72"/>
      <c r="C65" s="30"/>
    </row>
    <row r="66" customFormat="false" ht="15" hidden="false" customHeight="false" outlineLevel="0" collapsed="false">
      <c r="B66" s="72"/>
      <c r="C66" s="30"/>
    </row>
    <row r="67" customFormat="false" ht="15" hidden="false" customHeight="false" outlineLevel="0" collapsed="false">
      <c r="B67" s="72"/>
      <c r="C67" s="30"/>
    </row>
    <row r="68" customFormat="false" ht="15" hidden="false" customHeight="false" outlineLevel="0" collapsed="false">
      <c r="B68" s="72"/>
      <c r="C68" s="30"/>
    </row>
    <row r="69" customFormat="false" ht="15" hidden="false" customHeight="false" outlineLevel="0" collapsed="false">
      <c r="B69" s="72"/>
      <c r="C69" s="30"/>
    </row>
    <row r="70" customFormat="false" ht="15" hidden="false" customHeight="false" outlineLevel="0" collapsed="false">
      <c r="B70" s="72"/>
      <c r="C70" s="30"/>
    </row>
    <row r="71" customFormat="false" ht="15" hidden="false" customHeight="false" outlineLevel="0" collapsed="false">
      <c r="B71" s="72"/>
      <c r="C71" s="30"/>
    </row>
    <row r="72" customFormat="false" ht="15" hidden="false" customHeight="false" outlineLevel="0" collapsed="false">
      <c r="B72" s="72"/>
      <c r="C72" s="30"/>
    </row>
    <row r="73" customFormat="false" ht="15" hidden="false" customHeight="false" outlineLevel="0" collapsed="false">
      <c r="B73" s="72"/>
      <c r="C73" s="30"/>
    </row>
    <row r="74" customFormat="false" ht="15" hidden="false" customHeight="false" outlineLevel="0" collapsed="false">
      <c r="B74" s="72"/>
      <c r="C74" s="30"/>
    </row>
    <row r="75" customFormat="false" ht="15" hidden="false" customHeight="false" outlineLevel="0" collapsed="false">
      <c r="B75" s="72"/>
      <c r="C75" s="30"/>
    </row>
    <row r="76" customFormat="false" ht="15" hidden="false" customHeight="false" outlineLevel="0" collapsed="false">
      <c r="B76" s="72"/>
      <c r="C76" s="30"/>
    </row>
    <row r="77" customFormat="false" ht="15" hidden="false" customHeight="false" outlineLevel="0" collapsed="false">
      <c r="B77" s="72"/>
      <c r="C77" s="30"/>
    </row>
    <row r="78" customFormat="false" ht="15" hidden="false" customHeight="false" outlineLevel="0" collapsed="false">
      <c r="B78" s="72"/>
      <c r="C78" s="30"/>
    </row>
    <row r="79" customFormat="false" ht="15" hidden="false" customHeight="false" outlineLevel="0" collapsed="false">
      <c r="B79" s="72"/>
      <c r="C79" s="30"/>
    </row>
    <row r="80" customFormat="false" ht="15" hidden="false" customHeight="false" outlineLevel="0" collapsed="false">
      <c r="B80" s="72"/>
      <c r="C80" s="30"/>
    </row>
    <row r="81" customFormat="false" ht="15" hidden="false" customHeight="false" outlineLevel="0" collapsed="false">
      <c r="B81" s="72"/>
      <c r="C81" s="30"/>
    </row>
    <row r="82" customFormat="false" ht="15" hidden="false" customHeight="false" outlineLevel="0" collapsed="false">
      <c r="B82" s="72"/>
      <c r="C82" s="30"/>
    </row>
    <row r="83" customFormat="false" ht="15" hidden="false" customHeight="false" outlineLevel="0" collapsed="false">
      <c r="B83" s="72"/>
      <c r="C83" s="30"/>
    </row>
    <row r="84" customFormat="false" ht="15" hidden="false" customHeight="false" outlineLevel="0" collapsed="false">
      <c r="B84" s="72"/>
      <c r="C84" s="30"/>
    </row>
    <row r="85" customFormat="false" ht="15" hidden="false" customHeight="false" outlineLevel="0" collapsed="false">
      <c r="B85" s="72"/>
      <c r="C85" s="30"/>
    </row>
    <row r="86" customFormat="false" ht="15" hidden="false" customHeight="false" outlineLevel="0" collapsed="false">
      <c r="B86" s="72"/>
      <c r="C86" s="30"/>
    </row>
    <row r="87" customFormat="false" ht="15" hidden="false" customHeight="false" outlineLevel="0" collapsed="false">
      <c r="B87" s="72"/>
      <c r="C87" s="30"/>
    </row>
    <row r="88" customFormat="false" ht="15" hidden="false" customHeight="false" outlineLevel="0" collapsed="false">
      <c r="B88" s="72"/>
      <c r="C88" s="30"/>
    </row>
    <row r="89" customFormat="false" ht="15" hidden="false" customHeight="false" outlineLevel="0" collapsed="false">
      <c r="B89" s="72"/>
      <c r="C89" s="30"/>
    </row>
    <row r="90" customFormat="false" ht="15" hidden="false" customHeight="false" outlineLevel="0" collapsed="false">
      <c r="B90" s="72"/>
      <c r="C90" s="30"/>
    </row>
    <row r="91" customFormat="false" ht="15" hidden="false" customHeight="false" outlineLevel="0" collapsed="false">
      <c r="B91" s="72"/>
      <c r="C91" s="30"/>
    </row>
    <row r="92" customFormat="false" ht="15" hidden="false" customHeight="false" outlineLevel="0" collapsed="false">
      <c r="B92" s="72"/>
      <c r="C92" s="30"/>
    </row>
    <row r="93" customFormat="false" ht="15" hidden="false" customHeight="false" outlineLevel="0" collapsed="false">
      <c r="B93" s="72"/>
      <c r="C93" s="30"/>
    </row>
    <row r="94" customFormat="false" ht="15" hidden="false" customHeight="false" outlineLevel="0" collapsed="false">
      <c r="B94" s="72"/>
      <c r="C94" s="30"/>
    </row>
    <row r="95" customFormat="false" ht="15" hidden="false" customHeight="false" outlineLevel="0" collapsed="false">
      <c r="B95" s="72"/>
      <c r="C95" s="30"/>
    </row>
    <row r="96" customFormat="false" ht="15" hidden="false" customHeight="false" outlineLevel="0" collapsed="false">
      <c r="B96" s="72"/>
      <c r="C96" s="30"/>
    </row>
    <row r="97" customFormat="false" ht="15" hidden="false" customHeight="false" outlineLevel="0" collapsed="false">
      <c r="B97" s="72"/>
      <c r="C97" s="30"/>
    </row>
    <row r="98" customFormat="false" ht="15" hidden="false" customHeight="false" outlineLevel="0" collapsed="false">
      <c r="B98" s="72"/>
      <c r="C98" s="30"/>
    </row>
    <row r="99" customFormat="false" ht="15" hidden="false" customHeight="false" outlineLevel="0" collapsed="false">
      <c r="B99" s="72"/>
      <c r="C99" s="30"/>
    </row>
    <row r="100" customFormat="false" ht="15" hidden="false" customHeight="false" outlineLevel="0" collapsed="false">
      <c r="B100" s="72"/>
      <c r="C100" s="30"/>
    </row>
    <row r="101" customFormat="false" ht="15" hidden="false" customHeight="false" outlineLevel="0" collapsed="false">
      <c r="B101" s="72"/>
      <c r="C101" s="30"/>
    </row>
    <row r="102" customFormat="false" ht="15" hidden="false" customHeight="false" outlineLevel="0" collapsed="false">
      <c r="B102" s="72"/>
      <c r="C102" s="30"/>
    </row>
    <row r="103" customFormat="false" ht="15" hidden="false" customHeight="false" outlineLevel="0" collapsed="false">
      <c r="B103" s="72"/>
      <c r="C103" s="30"/>
    </row>
    <row r="104" customFormat="false" ht="15" hidden="false" customHeight="false" outlineLevel="0" collapsed="false">
      <c r="B104" s="72"/>
      <c r="C104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Z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10" min="9" style="0" width="14"/>
    <col collapsed="false" customWidth="true" hidden="false" outlineLevel="0" max="11" min="11" style="0" width="22"/>
    <col collapsed="false" customWidth="true" hidden="false" outlineLevel="0" max="12" min="12" style="0" width="9"/>
    <col collapsed="false" customWidth="true" hidden="false" outlineLevel="0" max="16" min="13" style="0" width="12"/>
    <col collapsed="false" customWidth="true" hidden="false" outlineLevel="0" max="18" min="17" style="0" width="9"/>
    <col collapsed="false" customWidth="true" hidden="false" outlineLevel="0" max="20" min="19" style="0" width="11"/>
    <col collapsed="false" customWidth="true" hidden="false" outlineLevel="0" max="21" min="21" style="0" width="22"/>
    <col collapsed="false" customWidth="true" hidden="false" outlineLevel="0" max="23" min="22" style="0" width="12"/>
    <col collapsed="false" customWidth="true" hidden="false" outlineLevel="0" max="24" min="24" style="0" width="10"/>
    <col collapsed="false" customWidth="true" hidden="false" outlineLevel="0" max="25" min="25" style="0" width="8"/>
    <col collapsed="false" customWidth="true" hidden="false" outlineLevel="0" max="26" min="26" style="0" width="40"/>
  </cols>
  <sheetData>
    <row r="1" customFormat="false" ht="46.25" hidden="false" customHeight="false" outlineLevel="0" collapsed="false">
      <c r="A1" s="9" t="s">
        <v>361</v>
      </c>
      <c r="B1" s="9" t="s">
        <v>596</v>
      </c>
      <c r="C1" s="9" t="s">
        <v>597</v>
      </c>
      <c r="D1" s="9" t="s">
        <v>598</v>
      </c>
      <c r="E1" s="9" t="s">
        <v>599</v>
      </c>
      <c r="F1" s="9" t="s">
        <v>191</v>
      </c>
      <c r="G1" s="9" t="s">
        <v>559</v>
      </c>
      <c r="H1" s="9" t="s">
        <v>600</v>
      </c>
      <c r="I1" s="9" t="s">
        <v>47</v>
      </c>
      <c r="J1" s="9" t="s">
        <v>601</v>
      </c>
      <c r="K1" s="9" t="s">
        <v>602</v>
      </c>
      <c r="L1" s="9" t="s">
        <v>379</v>
      </c>
      <c r="M1" s="9" t="s">
        <v>373</v>
      </c>
      <c r="N1" s="9" t="s">
        <v>374</v>
      </c>
      <c r="O1" s="9" t="s">
        <v>388</v>
      </c>
      <c r="P1" s="9" t="s">
        <v>389</v>
      </c>
      <c r="Q1" s="9" t="s">
        <v>390</v>
      </c>
      <c r="R1" s="9" t="s">
        <v>391</v>
      </c>
      <c r="S1" s="9" t="s">
        <v>392</v>
      </c>
      <c r="T1" s="9" t="s">
        <v>200</v>
      </c>
      <c r="U1" s="9" t="s">
        <v>603</v>
      </c>
      <c r="V1" s="9" t="s">
        <v>604</v>
      </c>
      <c r="W1" s="9" t="s">
        <v>185</v>
      </c>
      <c r="X1" s="9" t="s">
        <v>605</v>
      </c>
      <c r="Y1" s="9" t="s">
        <v>606</v>
      </c>
      <c r="Z1" s="9" t="s">
        <v>161</v>
      </c>
    </row>
    <row r="2" customFormat="false" ht="15" hidden="false" customHeight="false" outlineLevel="0" collapsed="false">
      <c r="A2" s="24" t="n">
        <f aca="false">IF(IFERROR(INDEX(tsk_Name,(ROW()-ROW(MSPTasks[[#Headers],[ID]])))="",TRUE()),"",INDEX(tsk_ID,(ROW()-ROW(MSPTasks[[#Headers],[ID]]))))</f>
        <v>1</v>
      </c>
      <c r="B2" s="24" t="n">
        <f aca="false">IF(IFERROR(INDEX(tsk_Name,(ROW()-ROW(MSPTasks[[#Headers],[ID]])))="",TRUE()),"",INDEX(tsk_UID,(ROW()-ROW(MSPTasks[[#Headers],[ID]]))))</f>
        <v>1</v>
      </c>
      <c r="C2" s="24" t="str">
        <f aca="false">IF(IFERROR(INDEX(tsk_Name,(ROW()-ROW(MSPTasks[[#Headers],[ID]])))="",TRUE()),"",INDEX(tsk_Name,(ROW()-ROW(MSPTasks[[#Headers],[ID]]))))</f>
        <v>Initiation</v>
      </c>
      <c r="D2" s="24" t="n">
        <f aca="false">IF(IFERROR(INDEX(tsk_Name,(ROW()-ROW(MSPTasks[[#Headers],[ID]])))="",TRUE()),"",INDEX(tsk_Level,(ROW()-ROW(MSPTasks[[#Headers],[ID]]))))</f>
        <v>1</v>
      </c>
      <c r="E2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2" s="115" t="n">
        <f aca="false">IF(IFERROR(INDEX(tsk_Name,(ROW()-ROW(MSPTasks[[#Headers],[ID]])))="",TRUE()),"",INDEX(tsk_FcStart,(ROW()-ROW(MSPTasks[[#Headers],[ID]]))))</f>
        <v>46272</v>
      </c>
      <c r="H2" s="115" t="n">
        <f aca="false">IF(IFERROR(INDEX(tsk_Name,(ROW()-ROW(MSPTasks[[#Headers],[ID]])))="",TRUE()),"",INDEX(tsk_FcFinish,(ROW()-ROW(MSPTasks[[#Headers],[ID]]))))</f>
        <v>46279</v>
      </c>
      <c r="I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" s="115" t="n">
        <f aca="false">IF(IFERROR(INDEX(tsk_Name,(ROW()-ROW(MSPTasks[[#Headers],[ID]])))="",TRUE()),"",INDEX(tsk_PlanStart,(ROW()-ROW(MSPTasks[[#Headers],[ID]]))))</f>
        <v>46272</v>
      </c>
      <c r="P2" s="115" t="n">
        <f aca="false">IF(IFERROR(INDEX(tsk_Name,(ROW()-ROW(MSPTasks[[#Headers],[ID]])))="",TRUE()),"",INDEX(tsk_PlanFinish,(ROW()-ROW(MSPTasks[[#Headers],[ID]]))))</f>
        <v>46276</v>
      </c>
      <c r="Q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2" s="24" t="str">
        <f aca="false">IF(IFERROR(INDEX(tsk_Name,(ROW()-ROW(MSPTasks[[#Headers],[ID]])))="",TRUE()),"",INDEX(tsk_Notes,(ROW()-ROW(MSPTasks[[#Headers],[ID]])))&amp;"")</f>
        <v>Phase 1 - summary rows roll up dates, work, cost and progress automatically.</v>
      </c>
    </row>
    <row r="3" customFormat="false" ht="15" hidden="false" customHeight="false" outlineLevel="0" collapsed="false">
      <c r="A3" s="24" t="n">
        <f aca="false">IF(IFERROR(INDEX(tsk_Name,(ROW()-ROW(MSPTasks[[#Headers],[ID]])))="",TRUE()),"",INDEX(tsk_ID,(ROW()-ROW(MSPTasks[[#Headers],[ID]]))))</f>
        <v>2</v>
      </c>
      <c r="B3" s="24" t="n">
        <f aca="false">IF(IFERROR(INDEX(tsk_Name,(ROW()-ROW(MSPTasks[[#Headers],[ID]])))="",TRUE()),"",INDEX(tsk_UID,(ROW()-ROW(MSPTasks[[#Headers],[ID]]))))</f>
        <v>2</v>
      </c>
      <c r="C3" s="24" t="str">
        <f aca="false">IF(IFERROR(INDEX(tsk_Name,(ROW()-ROW(MSPTasks[[#Headers],[ID]])))="",TRUE()),"",INDEX(tsk_Name,(ROW()-ROW(MSPTasks[[#Headers],[ID]]))))</f>
        <v>Project charter &amp; scope statement</v>
      </c>
      <c r="D3" s="24" t="n">
        <f aca="false">IF(IFERROR(INDEX(tsk_Name,(ROW()-ROW(MSPTasks[[#Headers],[ID]])))="",TRUE()),"",INDEX(tsk_Level,(ROW()-ROW(MSPTasks[[#Headers],[ID]]))))</f>
        <v>2</v>
      </c>
      <c r="E3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3" s="24" t="str">
        <f aca="false">IF(IFERROR(INDEX(tsk_Name,(ROW()-ROW(MSPTasks[[#Headers],[ID]])))="",TRUE()),"",IF(INDEX(tsk_IsSummary,(ROW()-ROW(MSPTasks[[#Headers],[ID]]))),"",N(INDEX(tsk_Duration,(ROW()-ROW(MSPTasks[[#Headers],[ID]]))))&amp;"d"))</f>
        <v>3d</v>
      </c>
      <c r="G3" s="115" t="n">
        <f aca="false">IF(IFERROR(INDEX(tsk_Name,(ROW()-ROW(MSPTasks[[#Headers],[ID]])))="",TRUE()),"",INDEX(tsk_FcStart,(ROW()-ROW(MSPTasks[[#Headers],[ID]]))))</f>
        <v>46272</v>
      </c>
      <c r="H3" s="115" t="n">
        <f aca="false">IF(IFERROR(INDEX(tsk_Name,(ROW()-ROW(MSPTasks[[#Headers],[ID]])))="",TRUE()),"",INDEX(tsk_FcFinish,(ROW()-ROW(MSPTasks[[#Headers],[ID]]))))</f>
        <v>46275</v>
      </c>
      <c r="I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Priya Sharma</v>
      </c>
      <c r="L3" s="24" t="n">
        <f aca="false">IF(IFERROR(INDEX(tsk_Name,(ROW()-ROW(MSPTasks[[#Headers],[ID]])))="",TRUE()),"",IF(INDEX(tsk_IsSummary,(ROW()-ROW(MSPTasks[[#Headers],[ID]]))),"",ROUND(INDEX(tsk_Progress,(ROW()-ROW(MSPTasks[[#Headers],[ID]])))*100,0)))</f>
        <v>100</v>
      </c>
      <c r="M3" s="115" t="n">
        <f aca="false">IF(IFERROR(INDEX(tsk_Name,(ROW()-ROW(MSPTasks[[#Headers],[ID]])))="",TRUE()),"",IF(N(INDEX(tsk_ActStart,(ROW()-ROW(MSPTasks[[#Headers],[ID]]))))=0,"",INDEX(tsk_ActStart,(ROW()-ROW(MSPTasks[[#Headers],[ID]])))))</f>
        <v>46272</v>
      </c>
      <c r="N3" s="115" t="n">
        <f aca="false">IF(IFERROR(INDEX(tsk_Name,(ROW()-ROW(MSPTasks[[#Headers],[ID]])))="",TRUE()),"",IF(N(INDEX(tsk_ActFinish,(ROW()-ROW(MSPTasks[[#Headers],[ID]]))))=0,"",INDEX(tsk_ActFinish,(ROW()-ROW(MSPTasks[[#Headers],[ID]])))))</f>
        <v>46275</v>
      </c>
      <c r="O3" s="115" t="n">
        <f aca="false">IF(IFERROR(INDEX(tsk_Name,(ROW()-ROW(MSPTasks[[#Headers],[ID]])))="",TRUE()),"",INDEX(tsk_PlanStart,(ROW()-ROW(MSPTasks[[#Headers],[ID]]))))</f>
        <v>46272</v>
      </c>
      <c r="P3" s="115" t="n">
        <f aca="false">IF(IFERROR(INDEX(tsk_Name,(ROW()-ROW(MSPTasks[[#Headers],[ID]])))="",TRUE()),"",INDEX(tsk_PlanFinish,(ROW()-ROW(MSPTasks[[#Headers],[ID]]))))</f>
        <v>46274</v>
      </c>
      <c r="Q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3" s="82" t="n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>3040</v>
      </c>
      <c r="U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3" s="24" t="str">
        <f aca="false">IF(IFERROR(INDEX(tsk_Name,(ROW()-ROW(MSPTasks[[#Headers],[ID]])))="",TRUE()),"",IF(INDEX(tsk_IsSummary,(ROW()-ROW(MSPTasks[[#Headers],[ID]]))),"",INDEX(tsk_Sprint,(ROW()-ROW(MSPTasks[[#Headers],[ID]])))&amp;""))</f>
        <v>Sprint 1</v>
      </c>
      <c r="Y3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3</v>
      </c>
      <c r="Z3" s="24" t="str">
        <f aca="false">IF(IFERROR(INDEX(tsk_Name,(ROW()-ROW(MSPTasks[[#Headers],[ID]])))="",TRUE()),"",INDEX(tsk_Notes,(ROW()-ROW(MSPTasks[[#Headers],[ID]])))&amp;"")</f>
        <v>Took 1 extra day for sponsor sign-off.</v>
      </c>
    </row>
    <row r="4" customFormat="false" ht="15" hidden="false" customHeight="false" outlineLevel="0" collapsed="false">
      <c r="A4" s="24" t="n">
        <f aca="false">IF(IFERROR(INDEX(tsk_Name,(ROW()-ROW(MSPTasks[[#Headers],[ID]])))="",TRUE()),"",INDEX(tsk_ID,(ROW()-ROW(MSPTasks[[#Headers],[ID]]))))</f>
        <v>3</v>
      </c>
      <c r="B4" s="24" t="n">
        <f aca="false">IF(IFERROR(INDEX(tsk_Name,(ROW()-ROW(MSPTasks[[#Headers],[ID]])))="",TRUE()),"",INDEX(tsk_UID,(ROW()-ROW(MSPTasks[[#Headers],[ID]]))))</f>
        <v>3</v>
      </c>
      <c r="C4" s="24" t="str">
        <f aca="false">IF(IFERROR(INDEX(tsk_Name,(ROW()-ROW(MSPTasks[[#Headers],[ID]])))="",TRUE()),"",INDEX(tsk_Name,(ROW()-ROW(MSPTasks[[#Headers],[ID]]))))</f>
        <v>Stakeholder kickoff workshop</v>
      </c>
      <c r="D4" s="24" t="n">
        <f aca="false">IF(IFERROR(INDEX(tsk_Name,(ROW()-ROW(MSPTasks[[#Headers],[ID]])))="",TRUE()),"",INDEX(tsk_Level,(ROW()-ROW(MSPTasks[[#Headers],[ID]]))))</f>
        <v>2</v>
      </c>
      <c r="E4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4" s="24" t="str">
        <f aca="false">IF(IFERROR(INDEX(tsk_Name,(ROW()-ROW(MSPTasks[[#Headers],[ID]])))="",TRUE()),"",IF(INDEX(tsk_IsSummary,(ROW()-ROW(MSPTasks[[#Headers],[ID]]))),"",N(INDEX(tsk_Duration,(ROW()-ROW(MSPTasks[[#Headers],[ID]]))))&amp;"d"))</f>
        <v>2d</v>
      </c>
      <c r="G4" s="115" t="n">
        <f aca="false">IF(IFERROR(INDEX(tsk_Name,(ROW()-ROW(MSPTasks[[#Headers],[ID]])))="",TRUE()),"",INDEX(tsk_FcStart,(ROW()-ROW(MSPTasks[[#Headers],[ID]]))))</f>
        <v>46276</v>
      </c>
      <c r="H4" s="115" t="n">
        <f aca="false">IF(IFERROR(INDEX(tsk_Name,(ROW()-ROW(MSPTasks[[#Headers],[ID]])))="",TRUE()),"",INDEX(tsk_FcFinish,(ROW()-ROW(MSPTasks[[#Headers],[ID]]))))</f>
        <v>46279</v>
      </c>
      <c r="I4" s="24" t="str">
        <f aca="false">IF(IFERROR(INDEX(tsk_Name,(ROW()-ROW(MSPTasks[[#Headers],[ID]])))="",TRUE()),"",IF(INDEX(tsk_IsSummary,(ROW()-ROW(MSPTasks[[#Headers],[ID]]))),"",INDEX(tsk_Predecessors,(ROW()-ROW(MSPTasks[[#Headers],[ID]])))))</f>
        <v>2</v>
      </c>
      <c r="J4" s="24" t="str">
        <f aca="false">IF(IFERROR(INDEX(tsk_Name,(ROW()-ROW(MSPTasks[[#Headers],[ID]])))="",TRUE()),"",IF(INDEX(tsk_IsSummary,(ROW()-ROW(MSPTasks[[#Headers],[ID]]))),"",INDEX(tsk_UIDPredecessors,(ROW()-ROW(MSPTasks[[#Headers],[ID]])))))</f>
        <v>2</v>
      </c>
      <c r="K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Morgan Patel</v>
      </c>
      <c r="L4" s="24" t="n">
        <f aca="false">IF(IFERROR(INDEX(tsk_Name,(ROW()-ROW(MSPTasks[[#Headers],[ID]])))="",TRUE()),"",IF(INDEX(tsk_IsSummary,(ROW()-ROW(MSPTasks[[#Headers],[ID]]))),"",ROUND(INDEX(tsk_Progress,(ROW()-ROW(MSPTasks[[#Headers],[ID]])))*100,0)))</f>
        <v>100</v>
      </c>
      <c r="M4" s="115" t="n">
        <f aca="false">IF(IFERROR(INDEX(tsk_Name,(ROW()-ROW(MSPTasks[[#Headers],[ID]])))="",TRUE()),"",IF(N(INDEX(tsk_ActStart,(ROW()-ROW(MSPTasks[[#Headers],[ID]]))))=0,"",INDEX(tsk_ActStart,(ROW()-ROW(MSPTasks[[#Headers],[ID]])))))</f>
        <v>46276</v>
      </c>
      <c r="N4" s="115" t="n">
        <f aca="false">IF(IFERROR(INDEX(tsk_Name,(ROW()-ROW(MSPTasks[[#Headers],[ID]])))="",TRUE()),"",IF(N(INDEX(tsk_ActFinish,(ROW()-ROW(MSPTasks[[#Headers],[ID]]))))=0,"",INDEX(tsk_ActFinish,(ROW()-ROW(MSPTasks[[#Headers],[ID]])))))</f>
        <v>46279</v>
      </c>
      <c r="O4" s="115" t="n">
        <f aca="false">IF(IFERROR(INDEX(tsk_Name,(ROW()-ROW(MSPTasks[[#Headers],[ID]])))="",TRUE()),"",INDEX(tsk_PlanStart,(ROW()-ROW(MSPTasks[[#Headers],[ID]]))))</f>
        <v>46275</v>
      </c>
      <c r="P4" s="115" t="n">
        <f aca="false">IF(IFERROR(INDEX(tsk_Name,(ROW()-ROW(MSPTasks[[#Headers],[ID]])))="",TRUE()),"",INDEX(tsk_PlanFinish,(ROW()-ROW(MSPTasks[[#Headers],[ID]]))))</f>
        <v>46276</v>
      </c>
      <c r="Q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4" s="24" t="str">
        <f aca="false">IF(IFERROR(INDEX(tsk_Name,(ROW()-ROW(MSPTasks[[#Headers],[ID]])))="",TRUE()),"",IF(INDEX(tsk_IsSummary,(ROW()-ROW(MSPTasks[[#Headers],[ID]]))),"",INDEX(tsk_Sprint,(ROW()-ROW(MSPTasks[[#Headers],[ID]])))&amp;""))</f>
        <v>Sprint 1</v>
      </c>
      <c r="Y4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2</v>
      </c>
      <c r="Z4" s="24" t="str">
        <f aca="false">IF(IFERROR(INDEX(tsk_Name,(ROW()-ROW(MSPTasks[[#Headers],[ID]])))="",TRUE()),"",INDEX(tsk_Notes,(ROW()-ROW(MSPTasks[[#Headers],[ID]])))&amp;"")</f>
        <v/>
      </c>
    </row>
    <row r="5" customFormat="false" ht="15" hidden="false" customHeight="false" outlineLevel="0" collapsed="false">
      <c r="A5" s="24" t="n">
        <f aca="false">IF(IFERROR(INDEX(tsk_Name,(ROW()-ROW(MSPTasks[[#Headers],[ID]])))="",TRUE()),"",INDEX(tsk_ID,(ROW()-ROW(MSPTasks[[#Headers],[ID]]))))</f>
        <v>4</v>
      </c>
      <c r="B5" s="24" t="n">
        <f aca="false">IF(IFERROR(INDEX(tsk_Name,(ROW()-ROW(MSPTasks[[#Headers],[ID]])))="",TRUE()),"",INDEX(tsk_UID,(ROW()-ROW(MSPTasks[[#Headers],[ID]]))))</f>
        <v>4</v>
      </c>
      <c r="C5" s="24" t="str">
        <f aca="false">IF(IFERROR(INDEX(tsk_Name,(ROW()-ROW(MSPTasks[[#Headers],[ID]])))="",TRUE()),"",INDEX(tsk_Name,(ROW()-ROW(MSPTasks[[#Headers],[ID]]))))</f>
        <v>Kickoff complete</v>
      </c>
      <c r="D5" s="24" t="n">
        <f aca="false">IF(IFERROR(INDEX(tsk_Name,(ROW()-ROW(MSPTasks[[#Headers],[ID]])))="",TRUE()),"",INDEX(tsk_Level,(ROW()-ROW(MSPTasks[[#Headers],[ID]]))))</f>
        <v>2</v>
      </c>
      <c r="E5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5" s="24" t="str">
        <f aca="false">IF(IFERROR(INDEX(tsk_Name,(ROW()-ROW(MSPTasks[[#Headers],[ID]])))="",TRUE()),"",IF(INDEX(tsk_IsSummary,(ROW()-ROW(MSPTasks[[#Headers],[ID]]))),"",N(INDEX(tsk_Duration,(ROW()-ROW(MSPTasks[[#Headers],[ID]]))))&amp;"d"))</f>
        <v>0d</v>
      </c>
      <c r="G5" s="115" t="n">
        <f aca="false">IF(IFERROR(INDEX(tsk_Name,(ROW()-ROW(MSPTasks[[#Headers],[ID]])))="",TRUE()),"",INDEX(tsk_FcStart,(ROW()-ROW(MSPTasks[[#Headers],[ID]]))))</f>
        <v>46279</v>
      </c>
      <c r="H5" s="115" t="n">
        <f aca="false">IF(IFERROR(INDEX(tsk_Name,(ROW()-ROW(MSPTasks[[#Headers],[ID]])))="",TRUE()),"",INDEX(tsk_FcFinish,(ROW()-ROW(MSPTasks[[#Headers],[ID]]))))</f>
        <v>46279</v>
      </c>
      <c r="I5" s="24" t="str">
        <f aca="false">IF(IFERROR(INDEX(tsk_Name,(ROW()-ROW(MSPTasks[[#Headers],[ID]])))="",TRUE()),"",IF(INDEX(tsk_IsSummary,(ROW()-ROW(MSPTasks[[#Headers],[ID]]))),"",INDEX(tsk_Predecessors,(ROW()-ROW(MSPTasks[[#Headers],[ID]])))))</f>
        <v>3</v>
      </c>
      <c r="J5" s="24" t="str">
        <f aca="false">IF(IFERROR(INDEX(tsk_Name,(ROW()-ROW(MSPTasks[[#Headers],[ID]])))="",TRUE()),"",IF(INDEX(tsk_IsSummary,(ROW()-ROW(MSPTasks[[#Headers],[ID]]))),"",INDEX(tsk_UIDPredecessors,(ROW()-ROW(MSPTasks[[#Headers],[ID]])))))</f>
        <v>3</v>
      </c>
      <c r="K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5" s="24" t="n">
        <f aca="false">IF(IFERROR(INDEX(tsk_Name,(ROW()-ROW(MSPTasks[[#Headers],[ID]])))="",TRUE()),"",IF(INDEX(tsk_IsSummary,(ROW()-ROW(MSPTasks[[#Headers],[ID]]))),"",ROUND(INDEX(tsk_Progress,(ROW()-ROW(MSPTasks[[#Headers],[ID]])))*100,0)))</f>
        <v>100</v>
      </c>
      <c r="M5" s="115" t="n">
        <f aca="false">IF(IFERROR(INDEX(tsk_Name,(ROW()-ROW(MSPTasks[[#Headers],[ID]])))="",TRUE()),"",IF(N(INDEX(tsk_ActStart,(ROW()-ROW(MSPTasks[[#Headers],[ID]]))))=0,"",INDEX(tsk_ActStart,(ROW()-ROW(MSPTasks[[#Headers],[ID]])))))</f>
        <v>46279</v>
      </c>
      <c r="N5" s="115" t="n">
        <f aca="false">IF(IFERROR(INDEX(tsk_Name,(ROW()-ROW(MSPTasks[[#Headers],[ID]])))="",TRUE()),"",IF(N(INDEX(tsk_ActFinish,(ROW()-ROW(MSPTasks[[#Headers],[ID]]))))=0,"",INDEX(tsk_ActFinish,(ROW()-ROW(MSPTasks[[#Headers],[ID]])))))</f>
        <v>46279</v>
      </c>
      <c r="O5" s="115" t="n">
        <f aca="false">IF(IFERROR(INDEX(tsk_Name,(ROW()-ROW(MSPTasks[[#Headers],[ID]])))="",TRUE()),"",INDEX(tsk_PlanStart,(ROW()-ROW(MSPTasks[[#Headers],[ID]]))))</f>
        <v>46276</v>
      </c>
      <c r="P5" s="115" t="n">
        <f aca="false">IF(IFERROR(INDEX(tsk_Name,(ROW()-ROW(MSPTasks[[#Headers],[ID]])))="",TRUE()),"",INDEX(tsk_PlanFinish,(ROW()-ROW(MSPTasks[[#Headers],[ID]]))))</f>
        <v>46276</v>
      </c>
      <c r="Q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5" s="24" t="str">
        <f aca="false">IF(IFERROR(INDEX(tsk_Name,(ROW()-ROW(MSPTasks[[#Headers],[ID]])))="",TRUE()),"",IF(INDEX(tsk_IsSummary,(ROW()-ROW(MSPTasks[[#Headers],[ID]]))),"",INDEX(tsk_Sprint,(ROW()-ROW(MSPTasks[[#Headers],[ID]])))&amp;""))</f>
        <v>Sprint 1</v>
      </c>
      <c r="Y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5" s="24" t="str">
        <f aca="false">IF(IFERROR(INDEX(tsk_Name,(ROW()-ROW(MSPTasks[[#Headers],[ID]])))="",TRUE()),"",INDEX(tsk_Notes,(ROW()-ROW(MSPTasks[[#Headers],[ID]])))&amp;"")</f>
        <v>Milestone (Duration 0).</v>
      </c>
    </row>
    <row r="6" customFormat="false" ht="15" hidden="false" customHeight="false" outlineLevel="0" collapsed="false">
      <c r="A6" s="24" t="n">
        <f aca="false">IF(IFERROR(INDEX(tsk_Name,(ROW()-ROW(MSPTasks[[#Headers],[ID]])))="",TRUE()),"",INDEX(tsk_ID,(ROW()-ROW(MSPTasks[[#Headers],[ID]]))))</f>
        <v>5</v>
      </c>
      <c r="B6" s="24" t="n">
        <f aca="false">IF(IFERROR(INDEX(tsk_Name,(ROW()-ROW(MSPTasks[[#Headers],[ID]])))="",TRUE()),"",INDEX(tsk_UID,(ROW()-ROW(MSPTasks[[#Headers],[ID]]))))</f>
        <v>5</v>
      </c>
      <c r="C6" s="24" t="str">
        <f aca="false">IF(IFERROR(INDEX(tsk_Name,(ROW()-ROW(MSPTasks[[#Headers],[ID]])))="",TRUE()),"",INDEX(tsk_Name,(ROW()-ROW(MSPTasks[[#Headers],[ID]]))))</f>
        <v>Requirements &amp; Design</v>
      </c>
      <c r="D6" s="24" t="n">
        <f aca="false">IF(IFERROR(INDEX(tsk_Name,(ROW()-ROW(MSPTasks[[#Headers],[ID]])))="",TRUE()),"",INDEX(tsk_Level,(ROW()-ROW(MSPTasks[[#Headers],[ID]]))))</f>
        <v>1</v>
      </c>
      <c r="E6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6" s="115" t="n">
        <f aca="false">IF(IFERROR(INDEX(tsk_Name,(ROW()-ROW(MSPTasks[[#Headers],[ID]])))="",TRUE()),"",INDEX(tsk_FcStart,(ROW()-ROW(MSPTasks[[#Headers],[ID]]))))</f>
        <v>46280</v>
      </c>
      <c r="H6" s="115" t="n">
        <f aca="false">IF(IFERROR(INDEX(tsk_Name,(ROW()-ROW(MSPTasks[[#Headers],[ID]])))="",TRUE()),"",INDEX(tsk_FcFinish,(ROW()-ROW(MSPTasks[[#Headers],[ID]]))))</f>
        <v>46301</v>
      </c>
      <c r="I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6" s="115" t="n">
        <f aca="false">IF(IFERROR(INDEX(tsk_Name,(ROW()-ROW(MSPTasks[[#Headers],[ID]])))="",TRUE()),"",INDEX(tsk_PlanStart,(ROW()-ROW(MSPTasks[[#Headers],[ID]]))))</f>
        <v>46279</v>
      </c>
      <c r="P6" s="115" t="n">
        <f aca="false">IF(IFERROR(INDEX(tsk_Name,(ROW()-ROW(MSPTasks[[#Headers],[ID]])))="",TRUE()),"",INDEX(tsk_PlanFinish,(ROW()-ROW(MSPTasks[[#Headers],[ID]]))))</f>
        <v>46296</v>
      </c>
      <c r="Q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6" s="24" t="str">
        <f aca="false">IF(IFERROR(INDEX(tsk_Name,(ROW()-ROW(MSPTasks[[#Headers],[ID]])))="",TRUE()),"",INDEX(tsk_Notes,(ROW()-ROW(MSPTasks[[#Headers],[ID]])))&amp;"")</f>
        <v/>
      </c>
    </row>
    <row r="7" customFormat="false" ht="15" hidden="false" customHeight="false" outlineLevel="0" collapsed="false">
      <c r="A7" s="24" t="n">
        <f aca="false">IF(IFERROR(INDEX(tsk_Name,(ROW()-ROW(MSPTasks[[#Headers],[ID]])))="",TRUE()),"",INDEX(tsk_ID,(ROW()-ROW(MSPTasks[[#Headers],[ID]]))))</f>
        <v>6</v>
      </c>
      <c r="B7" s="24" t="n">
        <f aca="false">IF(IFERROR(INDEX(tsk_Name,(ROW()-ROW(MSPTasks[[#Headers],[ID]])))="",TRUE()),"",INDEX(tsk_UID,(ROW()-ROW(MSPTasks[[#Headers],[ID]]))))</f>
        <v>6</v>
      </c>
      <c r="C7" s="24" t="str">
        <f aca="false">IF(IFERROR(INDEX(tsk_Name,(ROW()-ROW(MSPTasks[[#Headers],[ID]])))="",TRUE()),"",INDEX(tsk_Name,(ROW()-ROW(MSPTasks[[#Headers],[ID]]))))</f>
        <v>Requirements gathering</v>
      </c>
      <c r="D7" s="24" t="n">
        <f aca="false">IF(IFERROR(INDEX(tsk_Name,(ROW()-ROW(MSPTasks[[#Headers],[ID]])))="",TRUE()),"",INDEX(tsk_Level,(ROW()-ROW(MSPTasks[[#Headers],[ID]]))))</f>
        <v>2</v>
      </c>
      <c r="E7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7" s="24" t="str">
        <f aca="false">IF(IFERROR(INDEX(tsk_Name,(ROW()-ROW(MSPTasks[[#Headers],[ID]])))="",TRUE()),"",IF(INDEX(tsk_IsSummary,(ROW()-ROW(MSPTasks[[#Headers],[ID]]))),"",N(INDEX(tsk_Duration,(ROW()-ROW(MSPTasks[[#Headers],[ID]]))))&amp;"d"))</f>
        <v>8d</v>
      </c>
      <c r="G7" s="115" t="n">
        <f aca="false">IF(IFERROR(INDEX(tsk_Name,(ROW()-ROW(MSPTasks[[#Headers],[ID]])))="",TRUE()),"",INDEX(tsk_FcStart,(ROW()-ROW(MSPTasks[[#Headers],[ID]]))))</f>
        <v>46280</v>
      </c>
      <c r="H7" s="115" t="n">
        <f aca="false">IF(IFERROR(INDEX(tsk_Name,(ROW()-ROW(MSPTasks[[#Headers],[ID]])))="",TRUE()),"",INDEX(tsk_FcFinish,(ROW()-ROW(MSPTasks[[#Headers],[ID]]))))</f>
        <v>46290</v>
      </c>
      <c r="I7" s="24" t="str">
        <f aca="false">IF(IFERROR(INDEX(tsk_Name,(ROW()-ROW(MSPTasks[[#Headers],[ID]])))="",TRUE()),"",IF(INDEX(tsk_IsSummary,(ROW()-ROW(MSPTasks[[#Headers],[ID]]))),"",INDEX(tsk_Predecessors,(ROW()-ROW(MSPTasks[[#Headers],[ID]])))))</f>
        <v>4</v>
      </c>
      <c r="J7" s="24" t="str">
        <f aca="false">IF(IFERROR(INDEX(tsk_Name,(ROW()-ROW(MSPTasks[[#Headers],[ID]])))="",TRUE()),"",IF(INDEX(tsk_IsSummary,(ROW()-ROW(MSPTasks[[#Headers],[ID]]))),"",INDEX(tsk_UIDPredecessors,(ROW()-ROW(MSPTasks[[#Headers],[ID]])))))</f>
        <v>4</v>
      </c>
      <c r="K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Morgan Patel</v>
      </c>
      <c r="L7" s="24" t="n">
        <f aca="false">IF(IFERROR(INDEX(tsk_Name,(ROW()-ROW(MSPTasks[[#Headers],[ID]])))="",TRUE()),"",IF(INDEX(tsk_IsSummary,(ROW()-ROW(MSPTasks[[#Headers],[ID]]))),"",ROUND(INDEX(tsk_Progress,(ROW()-ROW(MSPTasks[[#Headers],[ID]])))*100,0)))</f>
        <v>100</v>
      </c>
      <c r="M7" s="115" t="n">
        <f aca="false">IF(IFERROR(INDEX(tsk_Name,(ROW()-ROW(MSPTasks[[#Headers],[ID]])))="",TRUE()),"",IF(N(INDEX(tsk_ActStart,(ROW()-ROW(MSPTasks[[#Headers],[ID]]))))=0,"",INDEX(tsk_ActStart,(ROW()-ROW(MSPTasks[[#Headers],[ID]])))))</f>
        <v>46280</v>
      </c>
      <c r="N7" s="115" t="n">
        <f aca="false">IF(IFERROR(INDEX(tsk_Name,(ROW()-ROW(MSPTasks[[#Headers],[ID]])))="",TRUE()),"",IF(N(INDEX(tsk_ActFinish,(ROW()-ROW(MSPTasks[[#Headers],[ID]]))))=0,"",INDEX(tsk_ActFinish,(ROW()-ROW(MSPTasks[[#Headers],[ID]])))))</f>
        <v>46290</v>
      </c>
      <c r="O7" s="115" t="n">
        <f aca="false">IF(IFERROR(INDEX(tsk_Name,(ROW()-ROW(MSPTasks[[#Headers],[ID]])))="",TRUE()),"",INDEX(tsk_PlanStart,(ROW()-ROW(MSPTasks[[#Headers],[ID]]))))</f>
        <v>46279</v>
      </c>
      <c r="P7" s="115" t="n">
        <f aca="false">IF(IFERROR(INDEX(tsk_Name,(ROW()-ROW(MSPTasks[[#Headers],[ID]])))="",TRUE()),"",INDEX(tsk_PlanFinish,(ROW()-ROW(MSPTasks[[#Headers],[ID]]))))</f>
        <v>46288</v>
      </c>
      <c r="Q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7" s="82" t="n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>5040</v>
      </c>
      <c r="U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7" s="24" t="str">
        <f aca="false">IF(IFERROR(INDEX(tsk_Name,(ROW()-ROW(MSPTasks[[#Headers],[ID]])))="",TRUE()),"",IF(INDEX(tsk_IsSummary,(ROW()-ROW(MSPTasks[[#Headers],[ID]]))),"",INDEX(tsk_Sprint,(ROW()-ROW(MSPTasks[[#Headers],[ID]])))&amp;""))</f>
        <v>Sprint 1</v>
      </c>
      <c r="Y7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8</v>
      </c>
      <c r="Z7" s="24" t="str">
        <f aca="false">IF(IFERROR(INDEX(tsk_Name,(ROW()-ROW(MSPTasks[[#Headers],[ID]])))="",TRUE()),"",INDEX(tsk_Notes,(ROW()-ROW(MSPTasks[[#Headers],[ID]])))&amp;"")</f>
        <v/>
      </c>
    </row>
    <row r="8" customFormat="false" ht="15" hidden="false" customHeight="false" outlineLevel="0" collapsed="false">
      <c r="A8" s="24" t="n">
        <f aca="false">IF(IFERROR(INDEX(tsk_Name,(ROW()-ROW(MSPTasks[[#Headers],[ID]])))="",TRUE()),"",INDEX(tsk_ID,(ROW()-ROW(MSPTasks[[#Headers],[ID]]))))</f>
        <v>7</v>
      </c>
      <c r="B8" s="24" t="n">
        <f aca="false">IF(IFERROR(INDEX(tsk_Name,(ROW()-ROW(MSPTasks[[#Headers],[ID]])))="",TRUE()),"",INDEX(tsk_UID,(ROW()-ROW(MSPTasks[[#Headers],[ID]]))))</f>
        <v>7</v>
      </c>
      <c r="C8" s="24" t="str">
        <f aca="false">IF(IFERROR(INDEX(tsk_Name,(ROW()-ROW(MSPTasks[[#Headers],[ID]])))="",TRUE()),"",INDEX(tsk_Name,(ROW()-ROW(MSPTasks[[#Headers],[ID]]))))</f>
        <v>Solution architecture</v>
      </c>
      <c r="D8" s="24" t="n">
        <f aca="false">IF(IFERROR(INDEX(tsk_Name,(ROW()-ROW(MSPTasks[[#Headers],[ID]])))="",TRUE()),"",INDEX(tsk_Level,(ROW()-ROW(MSPTasks[[#Headers],[ID]]))))</f>
        <v>2</v>
      </c>
      <c r="E8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8" s="24" t="str">
        <f aca="false">IF(IFERROR(INDEX(tsk_Name,(ROW()-ROW(MSPTasks[[#Headers],[ID]])))="",TRUE()),"",IF(INDEX(tsk_IsSummary,(ROW()-ROW(MSPTasks[[#Headers],[ID]]))),"",N(INDEX(tsk_Duration,(ROW()-ROW(MSPTasks[[#Headers],[ID]]))))&amp;"d"))</f>
        <v>5d</v>
      </c>
      <c r="G8" s="115" t="n">
        <f aca="false">IF(IFERROR(INDEX(tsk_Name,(ROW()-ROW(MSPTasks[[#Headers],[ID]])))="",TRUE()),"",INDEX(tsk_FcStart,(ROW()-ROW(MSPTasks[[#Headers],[ID]]))))</f>
        <v>46283</v>
      </c>
      <c r="H8" s="115" t="n">
        <f aca="false">IF(IFERROR(INDEX(tsk_Name,(ROW()-ROW(MSPTasks[[#Headers],[ID]])))="",TRUE()),"",INDEX(tsk_FcFinish,(ROW()-ROW(MSPTasks[[#Headers],[ID]]))))</f>
        <v>46290</v>
      </c>
      <c r="I8" s="24" t="str">
        <f aca="false">IF(IFERROR(INDEX(tsk_Name,(ROW()-ROW(MSPTasks[[#Headers],[ID]])))="",TRUE()),"",IF(INDEX(tsk_IsSummary,(ROW()-ROW(MSPTasks[[#Headers],[ID]]))),"",INDEX(tsk_Predecessors,(ROW()-ROW(MSPTasks[[#Headers],[ID]])))))</f>
        <v>6SS+3d</v>
      </c>
      <c r="J8" s="24" t="str">
        <f aca="false">IF(IFERROR(INDEX(tsk_Name,(ROW()-ROW(MSPTasks[[#Headers],[ID]])))="",TRUE()),"",IF(INDEX(tsk_IsSummary,(ROW()-ROW(MSPTasks[[#Headers],[ID]]))),"",INDEX(tsk_UIDPredecessors,(ROW()-ROW(MSPTasks[[#Headers],[ID]])))))</f>
        <v>6SS+3d</v>
      </c>
      <c r="K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Alex Chen</v>
      </c>
      <c r="L8" s="24" t="n">
        <f aca="false">IF(IFERROR(INDEX(tsk_Name,(ROW()-ROW(MSPTasks[[#Headers],[ID]])))="",TRUE()),"",IF(INDEX(tsk_IsSummary,(ROW()-ROW(MSPTasks[[#Headers],[ID]]))),"",ROUND(INDEX(tsk_Progress,(ROW()-ROW(MSPTasks[[#Headers],[ID]])))*100,0)))</f>
        <v>100</v>
      </c>
      <c r="M8" s="115" t="n">
        <f aca="false">IF(IFERROR(INDEX(tsk_Name,(ROW()-ROW(MSPTasks[[#Headers],[ID]])))="",TRUE()),"",IF(N(INDEX(tsk_ActStart,(ROW()-ROW(MSPTasks[[#Headers],[ID]]))))=0,"",INDEX(tsk_ActStart,(ROW()-ROW(MSPTasks[[#Headers],[ID]])))))</f>
        <v>46283</v>
      </c>
      <c r="N8" s="115" t="n">
        <f aca="false">IF(IFERROR(INDEX(tsk_Name,(ROW()-ROW(MSPTasks[[#Headers],[ID]])))="",TRUE()),"",IF(N(INDEX(tsk_ActFinish,(ROW()-ROW(MSPTasks[[#Headers],[ID]]))))=0,"",INDEX(tsk_ActFinish,(ROW()-ROW(MSPTasks[[#Headers],[ID]])))))</f>
        <v>46290</v>
      </c>
      <c r="O8" s="115" t="n">
        <f aca="false">IF(IFERROR(INDEX(tsk_Name,(ROW()-ROW(MSPTasks[[#Headers],[ID]])))="",TRUE()),"",INDEX(tsk_PlanStart,(ROW()-ROW(MSPTasks[[#Headers],[ID]]))))</f>
        <v>46282</v>
      </c>
      <c r="P8" s="115" t="n">
        <f aca="false">IF(IFERROR(INDEX(tsk_Name,(ROW()-ROW(MSPTasks[[#Headers],[ID]])))="",TRUE()),"",INDEX(tsk_PlanFinish,(ROW()-ROW(MSPTasks[[#Headers],[ID]]))))</f>
        <v>46288</v>
      </c>
      <c r="Q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8" s="24" t="str">
        <f aca="false">IF(IFERROR(INDEX(tsk_Name,(ROW()-ROW(MSPTasks[[#Headers],[ID]])))="",TRUE()),"",IF(INDEX(tsk_IsSummary,(ROW()-ROW(MSPTasks[[#Headers],[ID]]))),"",INDEX(tsk_Sprint,(ROW()-ROW(MSPTasks[[#Headers],[ID]])))&amp;""))</f>
        <v>Sprint 1</v>
      </c>
      <c r="Y8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5</v>
      </c>
      <c r="Z8" s="24" t="str">
        <f aca="false">IF(IFERROR(INDEX(tsk_Name,(ROW()-ROW(MSPTasks[[#Headers],[ID]])))="",TRUE()),"",INDEX(tsk_Notes,(ROW()-ROW(MSPTasks[[#Headers],[ID]])))&amp;"")</f>
        <v>Start-to-Start + 3 day lag example.</v>
      </c>
    </row>
    <row r="9" customFormat="false" ht="15" hidden="false" customHeight="false" outlineLevel="0" collapsed="false">
      <c r="A9" s="24" t="n">
        <f aca="false">IF(IFERROR(INDEX(tsk_Name,(ROW()-ROW(MSPTasks[[#Headers],[ID]])))="",TRUE()),"",INDEX(tsk_ID,(ROW()-ROW(MSPTasks[[#Headers],[ID]]))))</f>
        <v>8</v>
      </c>
      <c r="B9" s="24" t="n">
        <f aca="false">IF(IFERROR(INDEX(tsk_Name,(ROW()-ROW(MSPTasks[[#Headers],[ID]])))="",TRUE()),"",INDEX(tsk_UID,(ROW()-ROW(MSPTasks[[#Headers],[ID]]))))</f>
        <v>8</v>
      </c>
      <c r="C9" s="24" t="str">
        <f aca="false">IF(IFERROR(INDEX(tsk_Name,(ROW()-ROW(MSPTasks[[#Headers],[ID]])))="",TRUE()),"",INDEX(tsk_Name,(ROW()-ROW(MSPTasks[[#Headers],[ID]]))))</f>
        <v>UX wireframes &amp; prototype</v>
      </c>
      <c r="D9" s="24" t="n">
        <f aca="false">IF(IFERROR(INDEX(tsk_Name,(ROW()-ROW(MSPTasks[[#Headers],[ID]])))="",TRUE()),"",INDEX(tsk_Level,(ROW()-ROW(MSPTasks[[#Headers],[ID]]))))</f>
        <v>2</v>
      </c>
      <c r="E9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9" s="24" t="str">
        <f aca="false">IF(IFERROR(INDEX(tsk_Name,(ROW()-ROW(MSPTasks[[#Headers],[ID]])))="",TRUE()),"",IF(INDEX(tsk_IsSummary,(ROW()-ROW(MSPTasks[[#Headers],[ID]]))),"",N(INDEX(tsk_Duration,(ROW()-ROW(MSPTasks[[#Headers],[ID]]))))&amp;"d"))</f>
        <v>6d</v>
      </c>
      <c r="G9" s="115" t="n">
        <f aca="false">IF(IFERROR(INDEX(tsk_Name,(ROW()-ROW(MSPTasks[[#Headers],[ID]])))="",TRUE()),"",INDEX(tsk_FcStart,(ROW()-ROW(MSPTasks[[#Headers],[ID]]))))</f>
        <v>46293</v>
      </c>
      <c r="H9" s="115" t="n">
        <f aca="false">IF(IFERROR(INDEX(tsk_Name,(ROW()-ROW(MSPTasks[[#Headers],[ID]])))="",TRUE()),"",INDEX(tsk_FcFinish,(ROW()-ROW(MSPTasks[[#Headers],[ID]]))))</f>
        <v>46301</v>
      </c>
      <c r="I9" s="24" t="str">
        <f aca="false">IF(IFERROR(INDEX(tsk_Name,(ROW()-ROW(MSPTasks[[#Headers],[ID]])))="",TRUE()),"",IF(INDEX(tsk_IsSummary,(ROW()-ROW(MSPTasks[[#Headers],[ID]]))),"",INDEX(tsk_Predecessors,(ROW()-ROW(MSPTasks[[#Headers],[ID]])))))</f>
        <v>6</v>
      </c>
      <c r="J9" s="24" t="str">
        <f aca="false">IF(IFERROR(INDEX(tsk_Name,(ROW()-ROW(MSPTasks[[#Headers],[ID]])))="",TRUE()),"",IF(INDEX(tsk_IsSummary,(ROW()-ROW(MSPTasks[[#Headers],[ID]]))),"",INDEX(tsk_UIDPredecessors,(ROW()-ROW(MSPTasks[[#Headers],[ID]])))))</f>
        <v>6</v>
      </c>
      <c r="K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Casey Kim</v>
      </c>
      <c r="L9" s="24" t="n">
        <f aca="false">IF(IFERROR(INDEX(tsk_Name,(ROW()-ROW(MSPTasks[[#Headers],[ID]])))="",TRUE()),"",IF(INDEX(tsk_IsSummary,(ROW()-ROW(MSPTasks[[#Headers],[ID]]))),"",ROUND(INDEX(tsk_Progress,(ROW()-ROW(MSPTasks[[#Headers],[ID]])))*100,0)))</f>
        <v>100</v>
      </c>
      <c r="M9" s="115" t="n">
        <f aca="false">IF(IFERROR(INDEX(tsk_Name,(ROW()-ROW(MSPTasks[[#Headers],[ID]])))="",TRUE()),"",IF(N(INDEX(tsk_ActStart,(ROW()-ROW(MSPTasks[[#Headers],[ID]]))))=0,"",INDEX(tsk_ActStart,(ROW()-ROW(MSPTasks[[#Headers],[ID]])))))</f>
        <v>46293</v>
      </c>
      <c r="N9" s="115" t="n">
        <f aca="false">IF(IFERROR(INDEX(tsk_Name,(ROW()-ROW(MSPTasks[[#Headers],[ID]])))="",TRUE()),"",IF(N(INDEX(tsk_ActFinish,(ROW()-ROW(MSPTasks[[#Headers],[ID]]))))=0,"",INDEX(tsk_ActFinish,(ROW()-ROW(MSPTasks[[#Headers],[ID]])))))</f>
        <v>46301</v>
      </c>
      <c r="O9" s="115" t="n">
        <f aca="false">IF(IFERROR(INDEX(tsk_Name,(ROW()-ROW(MSPTasks[[#Headers],[ID]])))="",TRUE()),"",INDEX(tsk_PlanStart,(ROW()-ROW(MSPTasks[[#Headers],[ID]]))))</f>
        <v>46289</v>
      </c>
      <c r="P9" s="115" t="n">
        <f aca="false">IF(IFERROR(INDEX(tsk_Name,(ROW()-ROW(MSPTasks[[#Headers],[ID]])))="",TRUE()),"",INDEX(tsk_PlanFinish,(ROW()-ROW(MSPTasks[[#Headers],[ID]]))))</f>
        <v>46296</v>
      </c>
      <c r="Q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9" s="24" t="str">
        <f aca="false">IF(IFERROR(INDEX(tsk_Name,(ROW()-ROW(MSPTasks[[#Headers],[ID]])))="",TRUE()),"",IF(INDEX(tsk_IsSummary,(ROW()-ROW(MSPTasks[[#Headers],[ID]]))),"",INDEX(tsk_Sprint,(ROW()-ROW(MSPTasks[[#Headers],[ID]])))&amp;""))</f>
        <v>Sprint 2</v>
      </c>
      <c r="Y9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5</v>
      </c>
      <c r="Z9" s="24" t="str">
        <f aca="false">IF(IFERROR(INDEX(tsk_Name,(ROW()-ROW(MSPTasks[[#Headers],[ID]])))="",TRUE()),"",INDEX(tsk_Notes,(ROW()-ROW(MSPTasks[[#Headers],[ID]])))&amp;"")</f>
        <v/>
      </c>
    </row>
    <row r="10" customFormat="false" ht="15" hidden="false" customHeight="false" outlineLevel="0" collapsed="false">
      <c r="A10" s="24" t="n">
        <f aca="false">IF(IFERROR(INDEX(tsk_Name,(ROW()-ROW(MSPTasks[[#Headers],[ID]])))="",TRUE()),"",INDEX(tsk_ID,(ROW()-ROW(MSPTasks[[#Headers],[ID]]))))</f>
        <v>9</v>
      </c>
      <c r="B10" s="24" t="n">
        <f aca="false">IF(IFERROR(INDEX(tsk_Name,(ROW()-ROW(MSPTasks[[#Headers],[ID]])))="",TRUE()),"",INDEX(tsk_UID,(ROW()-ROW(MSPTasks[[#Headers],[ID]]))))</f>
        <v>9</v>
      </c>
      <c r="C10" s="24" t="str">
        <f aca="false">IF(IFERROR(INDEX(tsk_Name,(ROW()-ROW(MSPTasks[[#Headers],[ID]])))="",TRUE()),"",INDEX(tsk_Name,(ROW()-ROW(MSPTasks[[#Headers],[ID]]))))</f>
        <v>Design sign-off</v>
      </c>
      <c r="D10" s="24" t="n">
        <f aca="false">IF(IFERROR(INDEX(tsk_Name,(ROW()-ROW(MSPTasks[[#Headers],[ID]])))="",TRUE()),"",INDEX(tsk_Level,(ROW()-ROW(MSPTasks[[#Headers],[ID]]))))</f>
        <v>2</v>
      </c>
      <c r="E10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10" s="24" t="str">
        <f aca="false">IF(IFERROR(INDEX(tsk_Name,(ROW()-ROW(MSPTasks[[#Headers],[ID]])))="",TRUE()),"",IF(INDEX(tsk_IsSummary,(ROW()-ROW(MSPTasks[[#Headers],[ID]]))),"",N(INDEX(tsk_Duration,(ROW()-ROW(MSPTasks[[#Headers],[ID]]))))&amp;"d"))</f>
        <v>0d</v>
      </c>
      <c r="G10" s="115" t="n">
        <f aca="false">IF(IFERROR(INDEX(tsk_Name,(ROW()-ROW(MSPTasks[[#Headers],[ID]])))="",TRUE()),"",INDEX(tsk_FcStart,(ROW()-ROW(MSPTasks[[#Headers],[ID]]))))</f>
        <v>46301</v>
      </c>
      <c r="H10" s="115" t="n">
        <f aca="false">IF(IFERROR(INDEX(tsk_Name,(ROW()-ROW(MSPTasks[[#Headers],[ID]])))="",TRUE()),"",INDEX(tsk_FcFinish,(ROW()-ROW(MSPTasks[[#Headers],[ID]]))))</f>
        <v>46301</v>
      </c>
      <c r="I10" s="24" t="str">
        <f aca="false">IF(IFERROR(INDEX(tsk_Name,(ROW()-ROW(MSPTasks[[#Headers],[ID]])))="",TRUE()),"",IF(INDEX(tsk_IsSummary,(ROW()-ROW(MSPTasks[[#Headers],[ID]]))),"",INDEX(tsk_Predecessors,(ROW()-ROW(MSPTasks[[#Headers],[ID]])))))</f>
        <v>7,8</v>
      </c>
      <c r="J10" s="24" t="str">
        <f aca="false">IF(IFERROR(INDEX(tsk_Name,(ROW()-ROW(MSPTasks[[#Headers],[ID]])))="",TRUE()),"",IF(INDEX(tsk_IsSummary,(ROW()-ROW(MSPTasks[[#Headers],[ID]]))),"",INDEX(tsk_UIDPredecessors,(ROW()-ROW(MSPTasks[[#Headers],[ID]])))))</f>
        <v>7,8</v>
      </c>
      <c r="K1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0" s="24" t="n">
        <f aca="false">IF(IFERROR(INDEX(tsk_Name,(ROW()-ROW(MSPTasks[[#Headers],[ID]])))="",TRUE()),"",IF(INDEX(tsk_IsSummary,(ROW()-ROW(MSPTasks[[#Headers],[ID]]))),"",ROUND(INDEX(tsk_Progress,(ROW()-ROW(MSPTasks[[#Headers],[ID]])))*100,0)))</f>
        <v>100</v>
      </c>
      <c r="M10" s="115" t="n">
        <f aca="false">IF(IFERROR(INDEX(tsk_Name,(ROW()-ROW(MSPTasks[[#Headers],[ID]])))="",TRUE()),"",IF(N(INDEX(tsk_ActStart,(ROW()-ROW(MSPTasks[[#Headers],[ID]]))))=0,"",INDEX(tsk_ActStart,(ROW()-ROW(MSPTasks[[#Headers],[ID]])))))</f>
        <v>46301</v>
      </c>
      <c r="N10" s="115" t="n">
        <f aca="false">IF(IFERROR(INDEX(tsk_Name,(ROW()-ROW(MSPTasks[[#Headers],[ID]])))="",TRUE()),"",IF(N(INDEX(tsk_ActFinish,(ROW()-ROW(MSPTasks[[#Headers],[ID]]))))=0,"",INDEX(tsk_ActFinish,(ROW()-ROW(MSPTasks[[#Headers],[ID]])))))</f>
        <v>46301</v>
      </c>
      <c r="O10" s="115" t="n">
        <f aca="false">IF(IFERROR(INDEX(tsk_Name,(ROW()-ROW(MSPTasks[[#Headers],[ID]])))="",TRUE()),"",INDEX(tsk_PlanStart,(ROW()-ROW(MSPTasks[[#Headers],[ID]]))))</f>
        <v>46296</v>
      </c>
      <c r="P10" s="115" t="n">
        <f aca="false">IF(IFERROR(INDEX(tsk_Name,(ROW()-ROW(MSPTasks[[#Headers],[ID]])))="",TRUE()),"",INDEX(tsk_PlanFinish,(ROW()-ROW(MSPTasks[[#Headers],[ID]]))))</f>
        <v>46296</v>
      </c>
      <c r="Q1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1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0" s="24" t="str">
        <f aca="false">IF(IFERROR(INDEX(tsk_Name,(ROW()-ROW(MSPTasks[[#Headers],[ID]])))="",TRUE()),"",IF(INDEX(tsk_IsSummary,(ROW()-ROW(MSPTasks[[#Headers],[ID]]))),"",INDEX(tsk_Sprint,(ROW()-ROW(MSPTasks[[#Headers],[ID]])))&amp;""))</f>
        <v>Sprint 3</v>
      </c>
      <c r="Y1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0" s="24" t="str">
        <f aca="false">IF(IFERROR(INDEX(tsk_Name,(ROW()-ROW(MSPTasks[[#Headers],[ID]])))="",TRUE()),"",INDEX(tsk_Notes,(ROW()-ROW(MSPTasks[[#Headers],[ID]])))&amp;"")</f>
        <v>Two predecessors - waits for the later one.</v>
      </c>
    </row>
    <row r="11" customFormat="false" ht="15" hidden="false" customHeight="false" outlineLevel="0" collapsed="false">
      <c r="A11" s="24" t="n">
        <f aca="false">IF(IFERROR(INDEX(tsk_Name,(ROW()-ROW(MSPTasks[[#Headers],[ID]])))="",TRUE()),"",INDEX(tsk_ID,(ROW()-ROW(MSPTasks[[#Headers],[ID]]))))</f>
        <v>10</v>
      </c>
      <c r="B11" s="24" t="n">
        <f aca="false">IF(IFERROR(INDEX(tsk_Name,(ROW()-ROW(MSPTasks[[#Headers],[ID]])))="",TRUE()),"",INDEX(tsk_UID,(ROW()-ROW(MSPTasks[[#Headers],[ID]]))))</f>
        <v>10</v>
      </c>
      <c r="C11" s="24" t="str">
        <f aca="false">IF(IFERROR(INDEX(tsk_Name,(ROW()-ROW(MSPTasks[[#Headers],[ID]])))="",TRUE()),"",INDEX(tsk_Name,(ROW()-ROW(MSPTasks[[#Headers],[ID]]))))</f>
        <v>Build</v>
      </c>
      <c r="D11" s="24" t="n">
        <f aca="false">IF(IFERROR(INDEX(tsk_Name,(ROW()-ROW(MSPTasks[[#Headers],[ID]])))="",TRUE()),"",INDEX(tsk_Level,(ROW()-ROW(MSPTasks[[#Headers],[ID]]))))</f>
        <v>1</v>
      </c>
      <c r="E11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1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1" s="115" t="n">
        <f aca="false">IF(IFERROR(INDEX(tsk_Name,(ROW()-ROW(MSPTasks[[#Headers],[ID]])))="",TRUE()),"",INDEX(tsk_FcStart,(ROW()-ROW(MSPTasks[[#Headers],[ID]]))))</f>
        <v>46302</v>
      </c>
      <c r="H11" s="115" t="n">
        <f aca="false">IF(IFERROR(INDEX(tsk_Name,(ROW()-ROW(MSPTasks[[#Headers],[ID]])))="",TRUE()),"",INDEX(tsk_FcFinish,(ROW()-ROW(MSPTasks[[#Headers],[ID]]))))</f>
        <v>46335</v>
      </c>
      <c r="I1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1" s="115" t="n">
        <f aca="false">IF(IFERROR(INDEX(tsk_Name,(ROW()-ROW(MSPTasks[[#Headers],[ID]])))="",TRUE()),"",INDEX(tsk_PlanStart,(ROW()-ROW(MSPTasks[[#Headers],[ID]]))))</f>
        <v>46297</v>
      </c>
      <c r="P11" s="115" t="n">
        <f aca="false">IF(IFERROR(INDEX(tsk_Name,(ROW()-ROW(MSPTasks[[#Headers],[ID]])))="",TRUE()),"",INDEX(tsk_PlanFinish,(ROW()-ROW(MSPTasks[[#Headers],[ID]]))))</f>
        <v>46325</v>
      </c>
      <c r="Q1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1" s="24" t="str">
        <f aca="false">IF(IFERROR(INDEX(tsk_Name,(ROW()-ROW(MSPTasks[[#Headers],[ID]])))="",TRUE()),"",INDEX(tsk_Notes,(ROW()-ROW(MSPTasks[[#Headers],[ID]])))&amp;"")</f>
        <v/>
      </c>
    </row>
    <row r="12" customFormat="false" ht="15" hidden="false" customHeight="false" outlineLevel="0" collapsed="false">
      <c r="A12" s="24" t="n">
        <f aca="false">IF(IFERROR(INDEX(tsk_Name,(ROW()-ROW(MSPTasks[[#Headers],[ID]])))="",TRUE()),"",INDEX(tsk_ID,(ROW()-ROW(MSPTasks[[#Headers],[ID]]))))</f>
        <v>11</v>
      </c>
      <c r="B12" s="24" t="n">
        <f aca="false">IF(IFERROR(INDEX(tsk_Name,(ROW()-ROW(MSPTasks[[#Headers],[ID]])))="",TRUE()),"",INDEX(tsk_UID,(ROW()-ROW(MSPTasks[[#Headers],[ID]]))))</f>
        <v>11</v>
      </c>
      <c r="C12" s="24" t="str">
        <f aca="false">IF(IFERROR(INDEX(tsk_Name,(ROW()-ROW(MSPTasks[[#Headers],[ID]])))="",TRUE()),"",INDEX(tsk_Name,(ROW()-ROW(MSPTasks[[#Headers],[ID]]))))</f>
        <v>Backend</v>
      </c>
      <c r="D12" s="24" t="n">
        <f aca="false">IF(IFERROR(INDEX(tsk_Name,(ROW()-ROW(MSPTasks[[#Headers],[ID]])))="",TRUE()),"",INDEX(tsk_Level,(ROW()-ROW(MSPTasks[[#Headers],[ID]]))))</f>
        <v>2</v>
      </c>
      <c r="E12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1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2" s="115" t="n">
        <f aca="false">IF(IFERROR(INDEX(tsk_Name,(ROW()-ROW(MSPTasks[[#Headers],[ID]])))="",TRUE()),"",INDEX(tsk_FcStart,(ROW()-ROW(MSPTasks[[#Headers],[ID]]))))</f>
        <v>46302</v>
      </c>
      <c r="H12" s="115" t="n">
        <f aca="false">IF(IFERROR(INDEX(tsk_Name,(ROW()-ROW(MSPTasks[[#Headers],[ID]])))="",TRUE()),"",INDEX(tsk_FcFinish,(ROW()-ROW(MSPTasks[[#Headers],[ID]]))))</f>
        <v>46335</v>
      </c>
      <c r="I1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2" s="115" t="n">
        <f aca="false">IF(IFERROR(INDEX(tsk_Name,(ROW()-ROW(MSPTasks[[#Headers],[ID]])))="",TRUE()),"",INDEX(tsk_PlanStart,(ROW()-ROW(MSPTasks[[#Headers],[ID]]))))</f>
        <v>46297</v>
      </c>
      <c r="P12" s="115" t="n">
        <f aca="false">IF(IFERROR(INDEX(tsk_Name,(ROW()-ROW(MSPTasks[[#Headers],[ID]])))="",TRUE()),"",INDEX(tsk_PlanFinish,(ROW()-ROW(MSPTasks[[#Headers],[ID]]))))</f>
        <v>46325</v>
      </c>
      <c r="Q1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2" s="24" t="str">
        <f aca="false">IF(IFERROR(INDEX(tsk_Name,(ROW()-ROW(MSPTasks[[#Headers],[ID]])))="",TRUE()),"",INDEX(tsk_Notes,(ROW()-ROW(MSPTasks[[#Headers],[ID]])))&amp;"")</f>
        <v>Level-2 summary with sub-tasks.</v>
      </c>
    </row>
    <row r="13" customFormat="false" ht="15" hidden="false" customHeight="false" outlineLevel="0" collapsed="false">
      <c r="A13" s="24" t="n">
        <f aca="false">IF(IFERROR(INDEX(tsk_Name,(ROW()-ROW(MSPTasks[[#Headers],[ID]])))="",TRUE()),"",INDEX(tsk_ID,(ROW()-ROW(MSPTasks[[#Headers],[ID]]))))</f>
        <v>12</v>
      </c>
      <c r="B13" s="24" t="n">
        <f aca="false">IF(IFERROR(INDEX(tsk_Name,(ROW()-ROW(MSPTasks[[#Headers],[ID]])))="",TRUE()),"",INDEX(tsk_UID,(ROW()-ROW(MSPTasks[[#Headers],[ID]]))))</f>
        <v>12</v>
      </c>
      <c r="C13" s="24" t="str">
        <f aca="false">IF(IFERROR(INDEX(tsk_Name,(ROW()-ROW(MSPTasks[[#Headers],[ID]])))="",TRUE()),"",INDEX(tsk_Name,(ROW()-ROW(MSPTasks[[#Headers],[ID]]))))</f>
        <v>Data model &amp; database setup</v>
      </c>
      <c r="D13" s="24" t="n">
        <f aca="false">IF(IFERROR(INDEX(tsk_Name,(ROW()-ROW(MSPTasks[[#Headers],[ID]])))="",TRUE()),"",INDEX(tsk_Level,(ROW()-ROW(MSPTasks[[#Headers],[ID]]))))</f>
        <v>3</v>
      </c>
      <c r="E13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13" s="24" t="str">
        <f aca="false">IF(IFERROR(INDEX(tsk_Name,(ROW()-ROW(MSPTasks[[#Headers],[ID]])))="",TRUE()),"",IF(INDEX(tsk_IsSummary,(ROW()-ROW(MSPTasks[[#Headers],[ID]]))),"",N(INDEX(tsk_Duration,(ROW()-ROW(MSPTasks[[#Headers],[ID]]))))&amp;"d"))</f>
        <v>5d</v>
      </c>
      <c r="G13" s="115" t="n">
        <f aca="false">IF(IFERROR(INDEX(tsk_Name,(ROW()-ROW(MSPTasks[[#Headers],[ID]])))="",TRUE()),"",INDEX(tsk_FcStart,(ROW()-ROW(MSPTasks[[#Headers],[ID]]))))</f>
        <v>46302</v>
      </c>
      <c r="H13" s="115" t="n">
        <f aca="false">IF(IFERROR(INDEX(tsk_Name,(ROW()-ROW(MSPTasks[[#Headers],[ID]])))="",TRUE()),"",INDEX(tsk_FcFinish,(ROW()-ROW(MSPTasks[[#Headers],[ID]]))))</f>
        <v>46309</v>
      </c>
      <c r="I13" s="24" t="str">
        <f aca="false">IF(IFERROR(INDEX(tsk_Name,(ROW()-ROW(MSPTasks[[#Headers],[ID]])))="",TRUE()),"",IF(INDEX(tsk_IsSummary,(ROW()-ROW(MSPTasks[[#Headers],[ID]]))),"",INDEX(tsk_Predecessors,(ROW()-ROW(MSPTasks[[#Headers],[ID]])))))</f>
        <v>9</v>
      </c>
      <c r="J13" s="24" t="str">
        <f aca="false">IF(IFERROR(INDEX(tsk_Name,(ROW()-ROW(MSPTasks[[#Headers],[ID]])))="",TRUE()),"",IF(INDEX(tsk_IsSummary,(ROW()-ROW(MSPTasks[[#Headers],[ID]]))),"",INDEX(tsk_UIDPredecessors,(ROW()-ROW(MSPTasks[[#Headers],[ID]])))))</f>
        <v>9</v>
      </c>
      <c r="K1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Jordan Lee</v>
      </c>
      <c r="L13" s="24" t="n">
        <f aca="false">IF(IFERROR(INDEX(tsk_Name,(ROW()-ROW(MSPTasks[[#Headers],[ID]])))="",TRUE()),"",IF(INDEX(tsk_IsSummary,(ROW()-ROW(MSPTasks[[#Headers],[ID]]))),"",ROUND(INDEX(tsk_Progress,(ROW()-ROW(MSPTasks[[#Headers],[ID]])))*100,0)))</f>
        <v>100</v>
      </c>
      <c r="M13" s="115" t="n">
        <f aca="false">IF(IFERROR(INDEX(tsk_Name,(ROW()-ROW(MSPTasks[[#Headers],[ID]])))="",TRUE()),"",IF(N(INDEX(tsk_ActStart,(ROW()-ROW(MSPTasks[[#Headers],[ID]]))))=0,"",INDEX(tsk_ActStart,(ROW()-ROW(MSPTasks[[#Headers],[ID]])))))</f>
        <v>46302</v>
      </c>
      <c r="N13" s="115" t="n">
        <f aca="false">IF(IFERROR(INDEX(tsk_Name,(ROW()-ROW(MSPTasks[[#Headers],[ID]])))="",TRUE()),"",IF(N(INDEX(tsk_ActFinish,(ROW()-ROW(MSPTasks[[#Headers],[ID]]))))=0,"",INDEX(tsk_ActFinish,(ROW()-ROW(MSPTasks[[#Headers],[ID]])))))</f>
        <v>46309</v>
      </c>
      <c r="O13" s="115" t="n">
        <f aca="false">IF(IFERROR(INDEX(tsk_Name,(ROW()-ROW(MSPTasks[[#Headers],[ID]])))="",TRUE()),"",INDEX(tsk_PlanStart,(ROW()-ROW(MSPTasks[[#Headers],[ID]]))))</f>
        <v>46297</v>
      </c>
      <c r="P13" s="115" t="n">
        <f aca="false">IF(IFERROR(INDEX(tsk_Name,(ROW()-ROW(MSPTasks[[#Headers],[ID]])))="",TRUE()),"",INDEX(tsk_PlanFinish,(ROW()-ROW(MSPTasks[[#Headers],[ID]]))))</f>
        <v>46303</v>
      </c>
      <c r="Q1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1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3" s="24" t="str">
        <f aca="false">IF(IFERROR(INDEX(tsk_Name,(ROW()-ROW(MSPTasks[[#Headers],[ID]])))="",TRUE()),"",IF(INDEX(tsk_IsSummary,(ROW()-ROW(MSPTasks[[#Headers],[ID]]))),"",INDEX(tsk_Sprint,(ROW()-ROW(MSPTasks[[#Headers],[ID]])))&amp;""))</f>
        <v>Sprint 3</v>
      </c>
      <c r="Y13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5</v>
      </c>
      <c r="Z13" s="24" t="str">
        <f aca="false">IF(IFERROR(INDEX(tsk_Name,(ROW()-ROW(MSPTasks[[#Headers],[ID]])))="",TRUE()),"",INDEX(tsk_Notes,(ROW()-ROW(MSPTasks[[#Headers],[ID]])))&amp;"")</f>
        <v/>
      </c>
    </row>
    <row r="14" customFormat="false" ht="15" hidden="false" customHeight="false" outlineLevel="0" collapsed="false">
      <c r="A14" s="24" t="n">
        <f aca="false">IF(IFERROR(INDEX(tsk_Name,(ROW()-ROW(MSPTasks[[#Headers],[ID]])))="",TRUE()),"",INDEX(tsk_ID,(ROW()-ROW(MSPTasks[[#Headers],[ID]]))))</f>
        <v>13</v>
      </c>
      <c r="B14" s="24" t="n">
        <f aca="false">IF(IFERROR(INDEX(tsk_Name,(ROW()-ROW(MSPTasks[[#Headers],[ID]])))="",TRUE()),"",INDEX(tsk_UID,(ROW()-ROW(MSPTasks[[#Headers],[ID]]))))</f>
        <v>13</v>
      </c>
      <c r="C14" s="24" t="str">
        <f aca="false">IF(IFERROR(INDEX(tsk_Name,(ROW()-ROW(MSPTasks[[#Headers],[ID]])))="",TRUE()),"",INDEX(tsk_Name,(ROW()-ROW(MSPTasks[[#Headers],[ID]]))))</f>
        <v>Core API endpoints</v>
      </c>
      <c r="D14" s="24" t="n">
        <f aca="false">IF(IFERROR(INDEX(tsk_Name,(ROW()-ROW(MSPTasks[[#Headers],[ID]])))="",TRUE()),"",INDEX(tsk_Level,(ROW()-ROW(MSPTasks[[#Headers],[ID]]))))</f>
        <v>3</v>
      </c>
      <c r="E14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14" s="24" t="str">
        <f aca="false">IF(IFERROR(INDEX(tsk_Name,(ROW()-ROW(MSPTasks[[#Headers],[ID]])))="",TRUE()),"",IF(INDEX(tsk_IsSummary,(ROW()-ROW(MSPTasks[[#Headers],[ID]]))),"",N(INDEX(tsk_Duration,(ROW()-ROW(MSPTasks[[#Headers],[ID]]))))&amp;"d"))</f>
        <v>10d</v>
      </c>
      <c r="G14" s="115" t="n">
        <f aca="false">IF(IFERROR(INDEX(tsk_Name,(ROW()-ROW(MSPTasks[[#Headers],[ID]])))="",TRUE()),"",INDEX(tsk_FcStart,(ROW()-ROW(MSPTasks[[#Headers],[ID]]))))</f>
        <v>46310</v>
      </c>
      <c r="H14" s="115" t="n">
        <f aca="false">IF(IFERROR(INDEX(tsk_Name,(ROW()-ROW(MSPTasks[[#Headers],[ID]])))="",TRUE()),"",INDEX(tsk_FcFinish,(ROW()-ROW(MSPTasks[[#Headers],[ID]]))))</f>
        <v>46325</v>
      </c>
      <c r="I14" s="24" t="str">
        <f aca="false">IF(IFERROR(INDEX(tsk_Name,(ROW()-ROW(MSPTasks[[#Headers],[ID]])))="",TRUE()),"",IF(INDEX(tsk_IsSummary,(ROW()-ROW(MSPTasks[[#Headers],[ID]]))),"",INDEX(tsk_Predecessors,(ROW()-ROW(MSPTasks[[#Headers],[ID]])))))</f>
        <v>12</v>
      </c>
      <c r="J14" s="24" t="str">
        <f aca="false">IF(IFERROR(INDEX(tsk_Name,(ROW()-ROW(MSPTasks[[#Headers],[ID]])))="",TRUE()),"",IF(INDEX(tsk_IsSummary,(ROW()-ROW(MSPTasks[[#Headers],[ID]]))),"",INDEX(tsk_UIDPredecessors,(ROW()-ROW(MSPTasks[[#Headers],[ID]])))))</f>
        <v>12</v>
      </c>
      <c r="K1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Jordan Lee</v>
      </c>
      <c r="L14" s="24" t="n">
        <f aca="false">IF(IFERROR(INDEX(tsk_Name,(ROW()-ROW(MSPTasks[[#Headers],[ID]])))="",TRUE()),"",IF(INDEX(tsk_IsSummary,(ROW()-ROW(MSPTasks[[#Headers],[ID]]))),"",ROUND(INDEX(tsk_Progress,(ROW()-ROW(MSPTasks[[#Headers],[ID]])))*100,0)))</f>
        <v>50</v>
      </c>
      <c r="M14" s="115" t="n">
        <f aca="false">IF(IFERROR(INDEX(tsk_Name,(ROW()-ROW(MSPTasks[[#Headers],[ID]])))="",TRUE()),"",IF(N(INDEX(tsk_ActStart,(ROW()-ROW(MSPTasks[[#Headers],[ID]]))))=0,"",INDEX(tsk_ActStart,(ROW()-ROW(MSPTasks[[#Headers],[ID]])))))</f>
        <v>46310</v>
      </c>
      <c r="N1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4" s="115" t="n">
        <f aca="false">IF(IFERROR(INDEX(tsk_Name,(ROW()-ROW(MSPTasks[[#Headers],[ID]])))="",TRUE()),"",INDEX(tsk_PlanStart,(ROW()-ROW(MSPTasks[[#Headers],[ID]]))))</f>
        <v>46304</v>
      </c>
      <c r="P14" s="115" t="n">
        <f aca="false">IF(IFERROR(INDEX(tsk_Name,(ROW()-ROW(MSPTasks[[#Headers],[ID]])))="",TRUE()),"",INDEX(tsk_PlanFinish,(ROW()-ROW(MSPTasks[[#Headers],[ID]]))))</f>
        <v>46317</v>
      </c>
      <c r="Q1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4" s="82" t="n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>4080</v>
      </c>
      <c r="U1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1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4" s="24" t="str">
        <f aca="false">IF(IFERROR(INDEX(tsk_Name,(ROW()-ROW(MSPTasks[[#Headers],[ID]])))="",TRUE()),"",IF(INDEX(tsk_IsSummary,(ROW()-ROW(MSPTasks[[#Headers],[ID]]))),"",INDEX(tsk_Sprint,(ROW()-ROW(MSPTasks[[#Headers],[ID]])))&amp;""))</f>
        <v>Sprint 3</v>
      </c>
      <c r="Y14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8</v>
      </c>
      <c r="Z14" s="24" t="str">
        <f aca="false">IF(IFERROR(INDEX(tsk_Name,(ROW()-ROW(MSPTasks[[#Headers],[ID]])))="",TRUE()),"",INDEX(tsk_Notes,(ROW()-ROW(MSPTasks[[#Headers],[ID]])))&amp;"")</f>
        <v>In progress - enter % Complete; forecast finish adjusts.</v>
      </c>
    </row>
    <row r="15" customFormat="false" ht="15" hidden="false" customHeight="false" outlineLevel="0" collapsed="false">
      <c r="A15" s="24" t="n">
        <f aca="false">IF(IFERROR(INDEX(tsk_Name,(ROW()-ROW(MSPTasks[[#Headers],[ID]])))="",TRUE()),"",INDEX(tsk_ID,(ROW()-ROW(MSPTasks[[#Headers],[ID]]))))</f>
        <v>14</v>
      </c>
      <c r="B15" s="24" t="n">
        <f aca="false">IF(IFERROR(INDEX(tsk_Name,(ROW()-ROW(MSPTasks[[#Headers],[ID]])))="",TRUE()),"",INDEX(tsk_UID,(ROW()-ROW(MSPTasks[[#Headers],[ID]]))))</f>
        <v>14</v>
      </c>
      <c r="C15" s="24" t="str">
        <f aca="false">IF(IFERROR(INDEX(tsk_Name,(ROW()-ROW(MSPTasks[[#Headers],[ID]])))="",TRUE()),"",INDEX(tsk_Name,(ROW()-ROW(MSPTasks[[#Headers],[ID]]))))</f>
        <v>Payment gateway integration</v>
      </c>
      <c r="D15" s="24" t="n">
        <f aca="false">IF(IFERROR(INDEX(tsk_Name,(ROW()-ROW(MSPTasks[[#Headers],[ID]])))="",TRUE()),"",INDEX(tsk_Level,(ROW()-ROW(MSPTasks[[#Headers],[ID]]))))</f>
        <v>3</v>
      </c>
      <c r="E15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15" s="24" t="str">
        <f aca="false">IF(IFERROR(INDEX(tsk_Name,(ROW()-ROW(MSPTasks[[#Headers],[ID]])))="",TRUE()),"",IF(INDEX(tsk_IsSummary,(ROW()-ROW(MSPTasks[[#Headers],[ID]]))),"",N(INDEX(tsk_Duration,(ROW()-ROW(MSPTasks[[#Headers],[ID]]))))&amp;"d"))</f>
        <v>6d</v>
      </c>
      <c r="G15" s="115" t="n">
        <f aca="false">IF(IFERROR(INDEX(tsk_Name,(ROW()-ROW(MSPTasks[[#Headers],[ID]])))="",TRUE()),"",INDEX(tsk_FcStart,(ROW()-ROW(MSPTasks[[#Headers],[ID]]))))</f>
        <v>46328</v>
      </c>
      <c r="H15" s="115" t="n">
        <f aca="false">IF(IFERROR(INDEX(tsk_Name,(ROW()-ROW(MSPTasks[[#Headers],[ID]])))="",TRUE()),"",INDEX(tsk_FcFinish,(ROW()-ROW(MSPTasks[[#Headers],[ID]]))))</f>
        <v>46335</v>
      </c>
      <c r="I15" s="24" t="str">
        <f aca="false">IF(IFERROR(INDEX(tsk_Name,(ROW()-ROW(MSPTasks[[#Headers],[ID]])))="",TRUE()),"",IF(INDEX(tsk_IsSummary,(ROW()-ROW(MSPTasks[[#Headers],[ID]]))),"",INDEX(tsk_Predecessors,(ROW()-ROW(MSPTasks[[#Headers],[ID]])))))</f>
        <v>13</v>
      </c>
      <c r="J15" s="24" t="str">
        <f aca="false">IF(IFERROR(INDEX(tsk_Name,(ROW()-ROW(MSPTasks[[#Headers],[ID]])))="",TRUE()),"",IF(INDEX(tsk_IsSummary,(ROW()-ROW(MSPTasks[[#Headers],[ID]]))),"",INDEX(tsk_UIDPredecessors,(ROW()-ROW(MSPTasks[[#Headers],[ID]])))))</f>
        <v>13</v>
      </c>
      <c r="K1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Jordan Lee</v>
      </c>
      <c r="L15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1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5" s="115" t="n">
        <f aca="false">IF(IFERROR(INDEX(tsk_Name,(ROW()-ROW(MSPTasks[[#Headers],[ID]])))="",TRUE()),"",INDEX(tsk_PlanStart,(ROW()-ROW(MSPTasks[[#Headers],[ID]]))))</f>
        <v>46318</v>
      </c>
      <c r="P15" s="115" t="n">
        <f aca="false">IF(IFERROR(INDEX(tsk_Name,(ROW()-ROW(MSPTasks[[#Headers],[ID]])))="",TRUE()),"",INDEX(tsk_PlanFinish,(ROW()-ROW(MSPTasks[[#Headers],[ID]]))))</f>
        <v>46325</v>
      </c>
      <c r="Q1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1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5" s="24" t="str">
        <f aca="false">IF(IFERROR(INDEX(tsk_Name,(ROW()-ROW(MSPTasks[[#Headers],[ID]])))="",TRUE()),"",IF(INDEX(tsk_IsSummary,(ROW()-ROW(MSPTasks[[#Headers],[ID]]))),"",INDEX(tsk_Sprint,(ROW()-ROW(MSPTasks[[#Headers],[ID]])))&amp;""))</f>
        <v>Sprint 5</v>
      </c>
      <c r="Y15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5</v>
      </c>
      <c r="Z15" s="24" t="str">
        <f aca="false">IF(IFERROR(INDEX(tsk_Name,(ROW()-ROW(MSPTasks[[#Headers],[ID]])))="",TRUE()),"",INDEX(tsk_Notes,(ROW()-ROW(MSPTasks[[#Headers],[ID]])))&amp;"")</f>
        <v/>
      </c>
    </row>
    <row r="16" customFormat="false" ht="15" hidden="false" customHeight="false" outlineLevel="0" collapsed="false">
      <c r="A16" s="24" t="n">
        <f aca="false">IF(IFERROR(INDEX(tsk_Name,(ROW()-ROW(MSPTasks[[#Headers],[ID]])))="",TRUE()),"",INDEX(tsk_ID,(ROW()-ROW(MSPTasks[[#Headers],[ID]]))))</f>
        <v>15</v>
      </c>
      <c r="B16" s="24" t="n">
        <f aca="false">IF(IFERROR(INDEX(tsk_Name,(ROW()-ROW(MSPTasks[[#Headers],[ID]])))="",TRUE()),"",INDEX(tsk_UID,(ROW()-ROW(MSPTasks[[#Headers],[ID]]))))</f>
        <v>15</v>
      </c>
      <c r="C16" s="24" t="str">
        <f aca="false">IF(IFERROR(INDEX(tsk_Name,(ROW()-ROW(MSPTasks[[#Headers],[ID]])))="",TRUE()),"",INDEX(tsk_Name,(ROW()-ROW(MSPTasks[[#Headers],[ID]]))))</f>
        <v>Frontend</v>
      </c>
      <c r="D16" s="24" t="n">
        <f aca="false">IF(IFERROR(INDEX(tsk_Name,(ROW()-ROW(MSPTasks[[#Headers],[ID]])))="",TRUE()),"",INDEX(tsk_Level,(ROW()-ROW(MSPTasks[[#Headers],[ID]]))))</f>
        <v>2</v>
      </c>
      <c r="E16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1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6" s="115" t="n">
        <f aca="false">IF(IFERROR(INDEX(tsk_Name,(ROW()-ROW(MSPTasks[[#Headers],[ID]])))="",TRUE()),"",INDEX(tsk_FcStart,(ROW()-ROW(MSPTasks[[#Headers],[ID]]))))</f>
        <v>46302</v>
      </c>
      <c r="H16" s="115" t="n">
        <f aca="false">IF(IFERROR(INDEX(tsk_Name,(ROW()-ROW(MSPTasks[[#Headers],[ID]])))="",TRUE()),"",INDEX(tsk_FcFinish,(ROW()-ROW(MSPTasks[[#Headers],[ID]]))))</f>
        <v>46332</v>
      </c>
      <c r="I1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6" s="115" t="n">
        <f aca="false">IF(IFERROR(INDEX(tsk_Name,(ROW()-ROW(MSPTasks[[#Headers],[ID]])))="",TRUE()),"",INDEX(tsk_PlanStart,(ROW()-ROW(MSPTasks[[#Headers],[ID]]))))</f>
        <v>46297</v>
      </c>
      <c r="P16" s="115" t="n">
        <f aca="false">IF(IFERROR(INDEX(tsk_Name,(ROW()-ROW(MSPTasks[[#Headers],[ID]])))="",TRUE()),"",INDEX(tsk_PlanFinish,(ROW()-ROW(MSPTasks[[#Headers],[ID]]))))</f>
        <v>46324</v>
      </c>
      <c r="Q1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6" s="24" t="str">
        <f aca="false">IF(IFERROR(INDEX(tsk_Name,(ROW()-ROW(MSPTasks[[#Headers],[ID]])))="",TRUE()),"",INDEX(tsk_Notes,(ROW()-ROW(MSPTasks[[#Headers],[ID]])))&amp;"")</f>
        <v/>
      </c>
    </row>
    <row r="17" customFormat="false" ht="15" hidden="false" customHeight="false" outlineLevel="0" collapsed="false">
      <c r="A17" s="24" t="n">
        <f aca="false">IF(IFERROR(INDEX(tsk_Name,(ROW()-ROW(MSPTasks[[#Headers],[ID]])))="",TRUE()),"",INDEX(tsk_ID,(ROW()-ROW(MSPTasks[[#Headers],[ID]]))))</f>
        <v>16</v>
      </c>
      <c r="B17" s="24" t="n">
        <f aca="false">IF(IFERROR(INDEX(tsk_Name,(ROW()-ROW(MSPTasks[[#Headers],[ID]])))="",TRUE()),"",INDEX(tsk_UID,(ROW()-ROW(MSPTasks[[#Headers],[ID]]))))</f>
        <v>16</v>
      </c>
      <c r="C17" s="24" t="str">
        <f aca="false">IF(IFERROR(INDEX(tsk_Name,(ROW()-ROW(MSPTasks[[#Headers],[ID]])))="",TRUE()),"",INDEX(tsk_Name,(ROW()-ROW(MSPTasks[[#Headers],[ID]]))))</f>
        <v>UI component library</v>
      </c>
      <c r="D17" s="24" t="n">
        <f aca="false">IF(IFERROR(INDEX(tsk_Name,(ROW()-ROW(MSPTasks[[#Headers],[ID]])))="",TRUE()),"",INDEX(tsk_Level,(ROW()-ROW(MSPTasks[[#Headers],[ID]]))))</f>
        <v>3</v>
      </c>
      <c r="E17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17" s="24" t="str">
        <f aca="false">IF(IFERROR(INDEX(tsk_Name,(ROW()-ROW(MSPTasks[[#Headers],[ID]])))="",TRUE()),"",IF(INDEX(tsk_IsSummary,(ROW()-ROW(MSPTasks[[#Headers],[ID]]))),"",N(INDEX(tsk_Duration,(ROW()-ROW(MSPTasks[[#Headers],[ID]]))))&amp;"d"))</f>
        <v>6d</v>
      </c>
      <c r="G17" s="115" t="n">
        <f aca="false">IF(IFERROR(INDEX(tsk_Name,(ROW()-ROW(MSPTasks[[#Headers],[ID]])))="",TRUE()),"",INDEX(tsk_FcStart,(ROW()-ROW(MSPTasks[[#Headers],[ID]]))))</f>
        <v>46302</v>
      </c>
      <c r="H17" s="115" t="n">
        <f aca="false">IF(IFERROR(INDEX(tsk_Name,(ROW()-ROW(MSPTasks[[#Headers],[ID]])))="",TRUE()),"",INDEX(tsk_FcFinish,(ROW()-ROW(MSPTasks[[#Headers],[ID]]))))</f>
        <v>46311</v>
      </c>
      <c r="I17" s="24" t="str">
        <f aca="false">IF(IFERROR(INDEX(tsk_Name,(ROW()-ROW(MSPTasks[[#Headers],[ID]])))="",TRUE()),"",IF(INDEX(tsk_IsSummary,(ROW()-ROW(MSPTasks[[#Headers],[ID]]))),"",INDEX(tsk_Predecessors,(ROW()-ROW(MSPTasks[[#Headers],[ID]])))))</f>
        <v>9</v>
      </c>
      <c r="J17" s="24" t="str">
        <f aca="false">IF(IFERROR(INDEX(tsk_Name,(ROW()-ROW(MSPTasks[[#Headers],[ID]])))="",TRUE()),"",IF(INDEX(tsk_IsSummary,(ROW()-ROW(MSPTasks[[#Headers],[ID]]))),"",INDEX(tsk_UIDPredecessors,(ROW()-ROW(MSPTasks[[#Headers],[ID]])))))</f>
        <v>9</v>
      </c>
      <c r="K1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Sam Rivera</v>
      </c>
      <c r="L17" s="24" t="n">
        <f aca="false">IF(IFERROR(INDEX(tsk_Name,(ROW()-ROW(MSPTasks[[#Headers],[ID]])))="",TRUE()),"",IF(INDEX(tsk_IsSummary,(ROW()-ROW(MSPTasks[[#Headers],[ID]]))),"",ROUND(INDEX(tsk_Progress,(ROW()-ROW(MSPTasks[[#Headers],[ID]])))*100,0)))</f>
        <v>100</v>
      </c>
      <c r="M17" s="115" t="n">
        <f aca="false">IF(IFERROR(INDEX(tsk_Name,(ROW()-ROW(MSPTasks[[#Headers],[ID]])))="",TRUE()),"",IF(N(INDEX(tsk_ActStart,(ROW()-ROW(MSPTasks[[#Headers],[ID]]))))=0,"",INDEX(tsk_ActStart,(ROW()-ROW(MSPTasks[[#Headers],[ID]])))))</f>
        <v>46302</v>
      </c>
      <c r="N17" s="115" t="n">
        <f aca="false">IF(IFERROR(INDEX(tsk_Name,(ROW()-ROW(MSPTasks[[#Headers],[ID]])))="",TRUE()),"",IF(N(INDEX(tsk_ActFinish,(ROW()-ROW(MSPTasks[[#Headers],[ID]]))))=0,"",INDEX(tsk_ActFinish,(ROW()-ROW(MSPTasks[[#Headers],[ID]])))))</f>
        <v>46311</v>
      </c>
      <c r="O17" s="115" t="n">
        <f aca="false">IF(IFERROR(INDEX(tsk_Name,(ROW()-ROW(MSPTasks[[#Headers],[ID]])))="",TRUE()),"",INDEX(tsk_PlanStart,(ROW()-ROW(MSPTasks[[#Headers],[ID]]))))</f>
        <v>46297</v>
      </c>
      <c r="P17" s="115" t="n">
        <f aca="false">IF(IFERROR(INDEX(tsk_Name,(ROW()-ROW(MSPTasks[[#Headers],[ID]])))="",TRUE()),"",INDEX(tsk_PlanFinish,(ROW()-ROW(MSPTasks[[#Headers],[ID]]))))</f>
        <v>46304</v>
      </c>
      <c r="Q1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1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7" s="24" t="str">
        <f aca="false">IF(IFERROR(INDEX(tsk_Name,(ROW()-ROW(MSPTasks[[#Headers],[ID]])))="",TRUE()),"",IF(INDEX(tsk_IsSummary,(ROW()-ROW(MSPTasks[[#Headers],[ID]]))),"",INDEX(tsk_Sprint,(ROW()-ROW(MSPTasks[[#Headers],[ID]])))&amp;""))</f>
        <v>Sprint 3</v>
      </c>
      <c r="Y17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5</v>
      </c>
      <c r="Z17" s="24" t="str">
        <f aca="false">IF(IFERROR(INDEX(tsk_Name,(ROW()-ROW(MSPTasks[[#Headers],[ID]])))="",TRUE()),"",INDEX(tsk_Notes,(ROW()-ROW(MSPTasks[[#Headers],[ID]])))&amp;"")</f>
        <v/>
      </c>
    </row>
    <row r="18" customFormat="false" ht="15" hidden="false" customHeight="false" outlineLevel="0" collapsed="false">
      <c r="A18" s="24" t="n">
        <f aca="false">IF(IFERROR(INDEX(tsk_Name,(ROW()-ROW(MSPTasks[[#Headers],[ID]])))="",TRUE()),"",INDEX(tsk_ID,(ROW()-ROW(MSPTasks[[#Headers],[ID]]))))</f>
        <v>17</v>
      </c>
      <c r="B18" s="24" t="n">
        <f aca="false">IF(IFERROR(INDEX(tsk_Name,(ROW()-ROW(MSPTasks[[#Headers],[ID]])))="",TRUE()),"",INDEX(tsk_UID,(ROW()-ROW(MSPTasks[[#Headers],[ID]]))))</f>
        <v>17</v>
      </c>
      <c r="C18" s="24" t="str">
        <f aca="false">IF(IFERROR(INDEX(tsk_Name,(ROW()-ROW(MSPTasks[[#Headers],[ID]])))="",TRUE()),"",INDEX(tsk_Name,(ROW()-ROW(MSPTasks[[#Headers],[ID]]))))</f>
        <v>Feature screens</v>
      </c>
      <c r="D18" s="24" t="n">
        <f aca="false">IF(IFERROR(INDEX(tsk_Name,(ROW()-ROW(MSPTasks[[#Headers],[ID]])))="",TRUE()),"",INDEX(tsk_Level,(ROW()-ROW(MSPTasks[[#Headers],[ID]]))))</f>
        <v>3</v>
      </c>
      <c r="E18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18" s="24" t="str">
        <f aca="false">IF(IFERROR(INDEX(tsk_Name,(ROW()-ROW(MSPTasks[[#Headers],[ID]])))="",TRUE()),"",IF(INDEX(tsk_IsSummary,(ROW()-ROW(MSPTasks[[#Headers],[ID]]))),"",N(INDEX(tsk_Duration,(ROW()-ROW(MSPTasks[[#Headers],[ID]]))))&amp;"d"))</f>
        <v>12d</v>
      </c>
      <c r="G18" s="115" t="n">
        <f aca="false">IF(IFERROR(INDEX(tsk_Name,(ROW()-ROW(MSPTasks[[#Headers],[ID]])))="",TRUE()),"",INDEX(tsk_FcStart,(ROW()-ROW(MSPTasks[[#Headers],[ID]]))))</f>
        <v>46314</v>
      </c>
      <c r="H18" s="115" t="n">
        <f aca="false">IF(IFERROR(INDEX(tsk_Name,(ROW()-ROW(MSPTasks[[#Headers],[ID]])))="",TRUE()),"",INDEX(tsk_FcFinish,(ROW()-ROW(MSPTasks[[#Headers],[ID]]))))</f>
        <v>46331</v>
      </c>
      <c r="I18" s="24" t="str">
        <f aca="false">IF(IFERROR(INDEX(tsk_Name,(ROW()-ROW(MSPTasks[[#Headers],[ID]])))="",TRUE()),"",IF(INDEX(tsk_IsSummary,(ROW()-ROW(MSPTasks[[#Headers],[ID]]))),"",INDEX(tsk_Predecessors,(ROW()-ROW(MSPTasks[[#Headers],[ID]])))))</f>
        <v>16,13SS+2d</v>
      </c>
      <c r="J18" s="24" t="str">
        <f aca="false">IF(IFERROR(INDEX(tsk_Name,(ROW()-ROW(MSPTasks[[#Headers],[ID]])))="",TRUE()),"",IF(INDEX(tsk_IsSummary,(ROW()-ROW(MSPTasks[[#Headers],[ID]]))),"",INDEX(tsk_UIDPredecessors,(ROW()-ROW(MSPTasks[[#Headers],[ID]])))))</f>
        <v>16,13SS+2d</v>
      </c>
      <c r="K1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Sam Rivera</v>
      </c>
      <c r="L18" s="24" t="n">
        <f aca="false">IF(IFERROR(INDEX(tsk_Name,(ROW()-ROW(MSPTasks[[#Headers],[ID]])))="",TRUE()),"",IF(INDEX(tsk_IsSummary,(ROW()-ROW(MSPTasks[[#Headers],[ID]]))),"",ROUND(INDEX(tsk_Progress,(ROW()-ROW(MSPTasks[[#Headers],[ID]])))*100,0)))</f>
        <v>25</v>
      </c>
      <c r="M18" s="115" t="n">
        <f aca="false">IF(IFERROR(INDEX(tsk_Name,(ROW()-ROW(MSPTasks[[#Headers],[ID]])))="",TRUE()),"",IF(N(INDEX(tsk_ActStart,(ROW()-ROW(MSPTasks[[#Headers],[ID]]))))=0,"",INDEX(tsk_ActStart,(ROW()-ROW(MSPTasks[[#Headers],[ID]])))))</f>
        <v>46314</v>
      </c>
      <c r="N1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8" s="115" t="n">
        <f aca="false">IF(IFERROR(INDEX(tsk_Name,(ROW()-ROW(MSPTasks[[#Headers],[ID]])))="",TRUE()),"",INDEX(tsk_PlanStart,(ROW()-ROW(MSPTasks[[#Headers],[ID]]))))</f>
        <v>46308</v>
      </c>
      <c r="P18" s="115" t="n">
        <f aca="false">IF(IFERROR(INDEX(tsk_Name,(ROW()-ROW(MSPTasks[[#Headers],[ID]])))="",TRUE()),"",INDEX(tsk_PlanFinish,(ROW()-ROW(MSPTasks[[#Headers],[ID]]))))</f>
        <v>46323</v>
      </c>
      <c r="Q1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1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8" s="24" t="str">
        <f aca="false">IF(IFERROR(INDEX(tsk_Name,(ROW()-ROW(MSPTasks[[#Headers],[ID]])))="",TRUE()),"",IF(INDEX(tsk_IsSummary,(ROW()-ROW(MSPTasks[[#Headers],[ID]]))),"",INDEX(tsk_Sprint,(ROW()-ROW(MSPTasks[[#Headers],[ID]])))&amp;""))</f>
        <v>Sprint 4</v>
      </c>
      <c r="Y18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8</v>
      </c>
      <c r="Z18" s="24" t="str">
        <f aca="false">IF(IFERROR(INDEX(tsk_Name,(ROW()-ROW(MSPTasks[[#Headers],[ID]])))="",TRUE()),"",INDEX(tsk_Notes,(ROW()-ROW(MSPTasks[[#Headers],[ID]])))&amp;"")</f>
        <v/>
      </c>
    </row>
    <row r="19" customFormat="false" ht="15" hidden="false" customHeight="false" outlineLevel="0" collapsed="false">
      <c r="A19" s="24" t="n">
        <f aca="false">IF(IFERROR(INDEX(tsk_Name,(ROW()-ROW(MSPTasks[[#Headers],[ID]])))="",TRUE()),"",INDEX(tsk_ID,(ROW()-ROW(MSPTasks[[#Headers],[ID]]))))</f>
        <v>18</v>
      </c>
      <c r="B19" s="24" t="n">
        <f aca="false">IF(IFERROR(INDEX(tsk_Name,(ROW()-ROW(MSPTasks[[#Headers],[ID]])))="",TRUE()),"",INDEX(tsk_UID,(ROW()-ROW(MSPTasks[[#Headers],[ID]]))))</f>
        <v>18</v>
      </c>
      <c r="C19" s="24" t="str">
        <f aca="false">IF(IFERROR(INDEX(tsk_Name,(ROW()-ROW(MSPTasks[[#Headers],[ID]])))="",TRUE()),"",INDEX(tsk_Name,(ROW()-ROW(MSPTasks[[#Headers],[ID]]))))</f>
        <v>Accessibility review</v>
      </c>
      <c r="D19" s="24" t="n">
        <f aca="false">IF(IFERROR(INDEX(tsk_Name,(ROW()-ROW(MSPTasks[[#Headers],[ID]])))="",TRUE()),"",INDEX(tsk_Level,(ROW()-ROW(MSPTasks[[#Headers],[ID]]))))</f>
        <v>3</v>
      </c>
      <c r="E19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19" s="24" t="str">
        <f aca="false">IF(IFERROR(INDEX(tsk_Name,(ROW()-ROW(MSPTasks[[#Headers],[ID]])))="",TRUE()),"",IF(INDEX(tsk_IsSummary,(ROW()-ROW(MSPTasks[[#Headers],[ID]]))),"",N(INDEX(tsk_Duration,(ROW()-ROW(MSPTasks[[#Headers],[ID]]))))&amp;"d"))</f>
        <v>3d</v>
      </c>
      <c r="G19" s="115" t="n">
        <f aca="false">IF(IFERROR(INDEX(tsk_Name,(ROW()-ROW(MSPTasks[[#Headers],[ID]])))="",TRUE()),"",INDEX(tsk_FcStart,(ROW()-ROW(MSPTasks[[#Headers],[ID]]))))</f>
        <v>46330</v>
      </c>
      <c r="H19" s="115" t="n">
        <f aca="false">IF(IFERROR(INDEX(tsk_Name,(ROW()-ROW(MSPTasks[[#Headers],[ID]])))="",TRUE()),"",INDEX(tsk_FcFinish,(ROW()-ROW(MSPTasks[[#Headers],[ID]]))))</f>
        <v>46332</v>
      </c>
      <c r="I19" s="24" t="str">
        <f aca="false">IF(IFERROR(INDEX(tsk_Name,(ROW()-ROW(MSPTasks[[#Headers],[ID]])))="",TRUE()),"",IF(INDEX(tsk_IsSummary,(ROW()-ROW(MSPTasks[[#Headers],[ID]]))),"",INDEX(tsk_Predecessors,(ROW()-ROW(MSPTasks[[#Headers],[ID]])))))</f>
        <v>17FF+1d</v>
      </c>
      <c r="J19" s="24" t="str">
        <f aca="false">IF(IFERROR(INDEX(tsk_Name,(ROW()-ROW(MSPTasks[[#Headers],[ID]])))="",TRUE()),"",IF(INDEX(tsk_IsSummary,(ROW()-ROW(MSPTasks[[#Headers],[ID]]))),"",INDEX(tsk_UIDPredecessors,(ROW()-ROW(MSPTasks[[#Headers],[ID]])))))</f>
        <v>17FF+1d</v>
      </c>
      <c r="K1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Casey Kim[50%]</v>
      </c>
      <c r="L19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1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9" s="115" t="n">
        <f aca="false">IF(IFERROR(INDEX(tsk_Name,(ROW()-ROW(MSPTasks[[#Headers],[ID]])))="",TRUE()),"",INDEX(tsk_PlanStart,(ROW()-ROW(MSPTasks[[#Headers],[ID]]))))</f>
        <v>46322</v>
      </c>
      <c r="P19" s="115" t="n">
        <f aca="false">IF(IFERROR(INDEX(tsk_Name,(ROW()-ROW(MSPTasks[[#Headers],[ID]])))="",TRUE()),"",INDEX(tsk_PlanFinish,(ROW()-ROW(MSPTasks[[#Headers],[ID]]))))</f>
        <v>46324</v>
      </c>
      <c r="Q1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1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9" s="24" t="str">
        <f aca="false">IF(IFERROR(INDEX(tsk_Name,(ROW()-ROW(MSPTasks[[#Headers],[ID]])))="",TRUE()),"",IF(INDEX(tsk_IsSummary,(ROW()-ROW(MSPTasks[[#Headers],[ID]]))),"",INDEX(tsk_Sprint,(ROW()-ROW(MSPTasks[[#Headers],[ID]])))&amp;""))</f>
        <v>Sprint 5</v>
      </c>
      <c r="Y19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3</v>
      </c>
      <c r="Z19" s="24" t="str">
        <f aca="false">IF(IFERROR(INDEX(tsk_Name,(ROW()-ROW(MSPTasks[[#Headers],[ID]])))="",TRUE()),"",INDEX(tsk_Notes,(ROW()-ROW(MSPTasks[[#Headers],[ID]])))&amp;"")</f>
        <v>Finish-to-Finish + 1 day; 50% units.</v>
      </c>
    </row>
    <row r="20" customFormat="false" ht="15" hidden="false" customHeight="false" outlineLevel="0" collapsed="false">
      <c r="A20" s="24" t="n">
        <f aca="false">IF(IFERROR(INDEX(tsk_Name,(ROW()-ROW(MSPTasks[[#Headers],[ID]])))="",TRUE()),"",INDEX(tsk_ID,(ROW()-ROW(MSPTasks[[#Headers],[ID]]))))</f>
        <v>19</v>
      </c>
      <c r="B20" s="24" t="n">
        <f aca="false">IF(IFERROR(INDEX(tsk_Name,(ROW()-ROW(MSPTasks[[#Headers],[ID]])))="",TRUE()),"",INDEX(tsk_UID,(ROW()-ROW(MSPTasks[[#Headers],[ID]]))))</f>
        <v>19</v>
      </c>
      <c r="C20" s="24" t="str">
        <f aca="false">IF(IFERROR(INDEX(tsk_Name,(ROW()-ROW(MSPTasks[[#Headers],[ID]])))="",TRUE()),"",INDEX(tsk_Name,(ROW()-ROW(MSPTasks[[#Headers],[ID]]))))</f>
        <v>Build complete</v>
      </c>
      <c r="D20" s="24" t="n">
        <f aca="false">IF(IFERROR(INDEX(tsk_Name,(ROW()-ROW(MSPTasks[[#Headers],[ID]])))="",TRUE()),"",INDEX(tsk_Level,(ROW()-ROW(MSPTasks[[#Headers],[ID]]))))</f>
        <v>2</v>
      </c>
      <c r="E20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20" s="24" t="str">
        <f aca="false">IF(IFERROR(INDEX(tsk_Name,(ROW()-ROW(MSPTasks[[#Headers],[ID]])))="",TRUE()),"",IF(INDEX(tsk_IsSummary,(ROW()-ROW(MSPTasks[[#Headers],[ID]]))),"",N(INDEX(tsk_Duration,(ROW()-ROW(MSPTasks[[#Headers],[ID]]))))&amp;"d"))</f>
        <v>0d</v>
      </c>
      <c r="G20" s="115" t="n">
        <f aca="false">IF(IFERROR(INDEX(tsk_Name,(ROW()-ROW(MSPTasks[[#Headers],[ID]])))="",TRUE()),"",INDEX(tsk_FcStart,(ROW()-ROW(MSPTasks[[#Headers],[ID]]))))</f>
        <v>46335</v>
      </c>
      <c r="H20" s="115" t="n">
        <f aca="false">IF(IFERROR(INDEX(tsk_Name,(ROW()-ROW(MSPTasks[[#Headers],[ID]])))="",TRUE()),"",INDEX(tsk_FcFinish,(ROW()-ROW(MSPTasks[[#Headers],[ID]]))))</f>
        <v>46335</v>
      </c>
      <c r="I20" s="24" t="str">
        <f aca="false">IF(IFERROR(INDEX(tsk_Name,(ROW()-ROW(MSPTasks[[#Headers],[ID]])))="",TRUE()),"",IF(INDEX(tsk_IsSummary,(ROW()-ROW(MSPTasks[[#Headers],[ID]]))),"",INDEX(tsk_Predecessors,(ROW()-ROW(MSPTasks[[#Headers],[ID]])))))</f>
        <v>14,18</v>
      </c>
      <c r="J20" s="24" t="str">
        <f aca="false">IF(IFERROR(INDEX(tsk_Name,(ROW()-ROW(MSPTasks[[#Headers],[ID]])))="",TRUE()),"",IF(INDEX(tsk_IsSummary,(ROW()-ROW(MSPTasks[[#Headers],[ID]]))),"",INDEX(tsk_UIDPredecessors,(ROW()-ROW(MSPTasks[[#Headers],[ID]])))))</f>
        <v>14,18</v>
      </c>
      <c r="K2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20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2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0" s="115" t="n">
        <f aca="false">IF(IFERROR(INDEX(tsk_Name,(ROW()-ROW(MSPTasks[[#Headers],[ID]])))="",TRUE()),"",INDEX(tsk_PlanStart,(ROW()-ROW(MSPTasks[[#Headers],[ID]]))))</f>
        <v>46325</v>
      </c>
      <c r="P20" s="115" t="n">
        <f aca="false">IF(IFERROR(INDEX(tsk_Name,(ROW()-ROW(MSPTasks[[#Headers],[ID]])))="",TRUE()),"",INDEX(tsk_PlanFinish,(ROW()-ROW(MSPTasks[[#Headers],[ID]]))))</f>
        <v>46325</v>
      </c>
      <c r="Q2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2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0" s="115" t="n">
        <f aca="false">IF(IFERROR(INDEX(tsk_Name,(ROW()-ROW(MSPTasks[[#Headers],[ID]])))="",TRUE()),"",IF(N(INDEX(tsk_Deadline,(ROW()-ROW(MSPTasks[[#Headers],[ID]]))))=0,"",INDEX(tsk_Deadline,(ROW()-ROW(MSPTasks[[#Headers],[ID]])))))</f>
        <v>46332</v>
      </c>
      <c r="X20" s="24" t="str">
        <f aca="false">IF(IFERROR(INDEX(tsk_Name,(ROW()-ROW(MSPTasks[[#Headers],[ID]])))="",TRUE()),"",IF(INDEX(tsk_IsSummary,(ROW()-ROW(MSPTasks[[#Headers],[ID]]))),"",INDEX(tsk_Sprint,(ROW()-ROW(MSPTasks[[#Headers],[ID]])))&amp;""))</f>
        <v>Sprint 5</v>
      </c>
      <c r="Y2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20" s="24" t="str">
        <f aca="false">IF(IFERROR(INDEX(tsk_Name,(ROW()-ROW(MSPTasks[[#Headers],[ID]])))="",TRUE()),"",INDEX(tsk_Notes,(ROW()-ROW(MSPTasks[[#Headers],[ID]])))&amp;"")</f>
        <v>Milestone with a deadline of 06-Nov (see Deadline Check).</v>
      </c>
    </row>
    <row r="21" customFormat="false" ht="15" hidden="false" customHeight="false" outlineLevel="0" collapsed="false">
      <c r="A21" s="24" t="n">
        <f aca="false">IF(IFERROR(INDEX(tsk_Name,(ROW()-ROW(MSPTasks[[#Headers],[ID]])))="",TRUE()),"",INDEX(tsk_ID,(ROW()-ROW(MSPTasks[[#Headers],[ID]]))))</f>
        <v>20</v>
      </c>
      <c r="B21" s="24" t="n">
        <f aca="false">IF(IFERROR(INDEX(tsk_Name,(ROW()-ROW(MSPTasks[[#Headers],[ID]])))="",TRUE()),"",INDEX(tsk_UID,(ROW()-ROW(MSPTasks[[#Headers],[ID]]))))</f>
        <v>20</v>
      </c>
      <c r="C21" s="24" t="str">
        <f aca="false">IF(IFERROR(INDEX(tsk_Name,(ROW()-ROW(MSPTasks[[#Headers],[ID]])))="",TRUE()),"",INDEX(tsk_Name,(ROW()-ROW(MSPTasks[[#Headers],[ID]]))))</f>
        <v>Test &amp; Release</v>
      </c>
      <c r="D21" s="24" t="n">
        <f aca="false">IF(IFERROR(INDEX(tsk_Name,(ROW()-ROW(MSPTasks[[#Headers],[ID]])))="",TRUE()),"",INDEX(tsk_Level,(ROW()-ROW(MSPTasks[[#Headers],[ID]]))))</f>
        <v>1</v>
      </c>
      <c r="E21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2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21" s="115" t="n">
        <f aca="false">IF(IFERROR(INDEX(tsk_Name,(ROW()-ROW(MSPTasks[[#Headers],[ID]])))="",TRUE()),"",INDEX(tsk_FcStart,(ROW()-ROW(MSPTasks[[#Headers],[ID]]))))</f>
        <v>46336</v>
      </c>
      <c r="H21" s="115" t="n">
        <f aca="false">IF(IFERROR(INDEX(tsk_Name,(ROW()-ROW(MSPTasks[[#Headers],[ID]])))="",TRUE()),"",INDEX(tsk_FcFinish,(ROW()-ROW(MSPTasks[[#Headers],[ID]]))))</f>
        <v>46391</v>
      </c>
      <c r="I2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2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2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2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2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1" s="115" t="n">
        <f aca="false">IF(IFERROR(INDEX(tsk_Name,(ROW()-ROW(MSPTasks[[#Headers],[ID]])))="",TRUE()),"",INDEX(tsk_PlanStart,(ROW()-ROW(MSPTasks[[#Headers],[ID]]))))</f>
        <v>46328</v>
      </c>
      <c r="P21" s="115" t="n">
        <f aca="false">IF(IFERROR(INDEX(tsk_Name,(ROW()-ROW(MSPTasks[[#Headers],[ID]])))="",TRUE()),"",INDEX(tsk_PlanFinish,(ROW()-ROW(MSPTasks[[#Headers],[ID]]))))</f>
        <v>46391</v>
      </c>
      <c r="Q2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2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2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2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21" s="24" t="str">
        <f aca="false">IF(IFERROR(INDEX(tsk_Name,(ROW()-ROW(MSPTasks[[#Headers],[ID]])))="",TRUE()),"",INDEX(tsk_Notes,(ROW()-ROW(MSPTasks[[#Headers],[ID]])))&amp;"")</f>
        <v/>
      </c>
    </row>
    <row r="22" customFormat="false" ht="15" hidden="false" customHeight="false" outlineLevel="0" collapsed="false">
      <c r="A22" s="24" t="n">
        <f aca="false">IF(IFERROR(INDEX(tsk_Name,(ROW()-ROW(MSPTasks[[#Headers],[ID]])))="",TRUE()),"",INDEX(tsk_ID,(ROW()-ROW(MSPTasks[[#Headers],[ID]]))))</f>
        <v>21</v>
      </c>
      <c r="B22" s="24" t="n">
        <f aca="false">IF(IFERROR(INDEX(tsk_Name,(ROW()-ROW(MSPTasks[[#Headers],[ID]])))="",TRUE()),"",INDEX(tsk_UID,(ROW()-ROW(MSPTasks[[#Headers],[ID]]))))</f>
        <v>21</v>
      </c>
      <c r="C22" s="24" t="str">
        <f aca="false">IF(IFERROR(INDEX(tsk_Name,(ROW()-ROW(MSPTasks[[#Headers],[ID]])))="",TRUE()),"",INDEX(tsk_Name,(ROW()-ROW(MSPTasks[[#Headers],[ID]]))))</f>
        <v>System integration testing</v>
      </c>
      <c r="D22" s="24" t="n">
        <f aca="false">IF(IFERROR(INDEX(tsk_Name,(ROW()-ROW(MSPTasks[[#Headers],[ID]])))="",TRUE()),"",INDEX(tsk_Level,(ROW()-ROW(MSPTasks[[#Headers],[ID]]))))</f>
        <v>2</v>
      </c>
      <c r="E22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22" s="24" t="str">
        <f aca="false">IF(IFERROR(INDEX(tsk_Name,(ROW()-ROW(MSPTasks[[#Headers],[ID]])))="",TRUE()),"",IF(INDEX(tsk_IsSummary,(ROW()-ROW(MSPTasks[[#Headers],[ID]]))),"",N(INDEX(tsk_Duration,(ROW()-ROW(MSPTasks[[#Headers],[ID]]))))&amp;"d"))</f>
        <v>8d</v>
      </c>
      <c r="G22" s="115" t="n">
        <f aca="false">IF(IFERROR(INDEX(tsk_Name,(ROW()-ROW(MSPTasks[[#Headers],[ID]])))="",TRUE()),"",INDEX(tsk_FcStart,(ROW()-ROW(MSPTasks[[#Headers],[ID]]))))</f>
        <v>46336</v>
      </c>
      <c r="H22" s="115" t="n">
        <f aca="false">IF(IFERROR(INDEX(tsk_Name,(ROW()-ROW(MSPTasks[[#Headers],[ID]])))="",TRUE()),"",INDEX(tsk_FcFinish,(ROW()-ROW(MSPTasks[[#Headers],[ID]]))))</f>
        <v>46345</v>
      </c>
      <c r="I22" s="24" t="str">
        <f aca="false">IF(IFERROR(INDEX(tsk_Name,(ROW()-ROW(MSPTasks[[#Headers],[ID]])))="",TRUE()),"",IF(INDEX(tsk_IsSummary,(ROW()-ROW(MSPTasks[[#Headers],[ID]]))),"",INDEX(tsk_Predecessors,(ROW()-ROW(MSPTasks[[#Headers],[ID]])))))</f>
        <v>19</v>
      </c>
      <c r="J22" s="24" t="str">
        <f aca="false">IF(IFERROR(INDEX(tsk_Name,(ROW()-ROW(MSPTasks[[#Headers],[ID]])))="",TRUE()),"",IF(INDEX(tsk_IsSummary,(ROW()-ROW(MSPTasks[[#Headers],[ID]]))),"",INDEX(tsk_UIDPredecessors,(ROW()-ROW(MSPTasks[[#Headers],[ID]])))))</f>
        <v>19</v>
      </c>
      <c r="K2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Taylor Morgan</v>
      </c>
      <c r="L22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2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2" s="115" t="n">
        <f aca="false">IF(IFERROR(INDEX(tsk_Name,(ROW()-ROW(MSPTasks[[#Headers],[ID]])))="",TRUE()),"",INDEX(tsk_PlanStart,(ROW()-ROW(MSPTasks[[#Headers],[ID]]))))</f>
        <v>46328</v>
      </c>
      <c r="P22" s="115" t="n">
        <f aca="false">IF(IFERROR(INDEX(tsk_Name,(ROW()-ROW(MSPTasks[[#Headers],[ID]])))="",TRUE()),"",INDEX(tsk_PlanFinish,(ROW()-ROW(MSPTasks[[#Headers],[ID]]))))</f>
        <v>46337</v>
      </c>
      <c r="Q2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2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22" s="24" t="str">
        <f aca="false">IF(IFERROR(INDEX(tsk_Name,(ROW()-ROW(MSPTasks[[#Headers],[ID]])))="",TRUE()),"",IF(INDEX(tsk_IsSummary,(ROW()-ROW(MSPTasks[[#Headers],[ID]]))),"",INDEX(tsk_Sprint,(ROW()-ROW(MSPTasks[[#Headers],[ID]])))&amp;""))</f>
        <v>Sprint 5</v>
      </c>
      <c r="Y22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8</v>
      </c>
      <c r="Z22" s="24" t="str">
        <f aca="false">IF(IFERROR(INDEX(tsk_Name,(ROW()-ROW(MSPTasks[[#Headers],[ID]])))="",TRUE()),"",INDEX(tsk_Notes,(ROW()-ROW(MSPTasks[[#Headers],[ID]])))&amp;"")</f>
        <v/>
      </c>
    </row>
    <row r="23" customFormat="false" ht="15" hidden="false" customHeight="false" outlineLevel="0" collapsed="false">
      <c r="A23" s="24" t="n">
        <f aca="false">IF(IFERROR(INDEX(tsk_Name,(ROW()-ROW(MSPTasks[[#Headers],[ID]])))="",TRUE()),"",INDEX(tsk_ID,(ROW()-ROW(MSPTasks[[#Headers],[ID]]))))</f>
        <v>22</v>
      </c>
      <c r="B23" s="24" t="n">
        <f aca="false">IF(IFERROR(INDEX(tsk_Name,(ROW()-ROW(MSPTasks[[#Headers],[ID]])))="",TRUE()),"",INDEX(tsk_UID,(ROW()-ROW(MSPTasks[[#Headers],[ID]]))))</f>
        <v>22</v>
      </c>
      <c r="C23" s="24" t="str">
        <f aca="false">IF(IFERROR(INDEX(tsk_Name,(ROW()-ROW(MSPTasks[[#Headers],[ID]])))="",TRUE()),"",INDEX(tsk_Name,(ROW()-ROW(MSPTasks[[#Headers],[ID]]))))</f>
        <v>User acceptance testing</v>
      </c>
      <c r="D23" s="24" t="n">
        <f aca="false">IF(IFERROR(INDEX(tsk_Name,(ROW()-ROW(MSPTasks[[#Headers],[ID]])))="",TRUE()),"",INDEX(tsk_Level,(ROW()-ROW(MSPTasks[[#Headers],[ID]]))))</f>
        <v>2</v>
      </c>
      <c r="E23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23" s="24" t="str">
        <f aca="false">IF(IFERROR(INDEX(tsk_Name,(ROW()-ROW(MSPTasks[[#Headers],[ID]])))="",TRUE()),"",IF(INDEX(tsk_IsSummary,(ROW()-ROW(MSPTasks[[#Headers],[ID]]))),"",N(INDEX(tsk_Duration,(ROW()-ROW(MSPTasks[[#Headers],[ID]]))))&amp;"d"))</f>
        <v>6d</v>
      </c>
      <c r="G23" s="115" t="n">
        <f aca="false">IF(IFERROR(INDEX(tsk_Name,(ROW()-ROW(MSPTasks[[#Headers],[ID]])))="",TRUE()),"",INDEX(tsk_FcStart,(ROW()-ROW(MSPTasks[[#Headers],[ID]]))))</f>
        <v>46363</v>
      </c>
      <c r="H23" s="115" t="n">
        <f aca="false">IF(IFERROR(INDEX(tsk_Name,(ROW()-ROW(MSPTasks[[#Headers],[ID]])))="",TRUE()),"",INDEX(tsk_FcFinish,(ROW()-ROW(MSPTasks[[#Headers],[ID]]))))</f>
        <v>46370</v>
      </c>
      <c r="I23" s="24" t="str">
        <f aca="false">IF(IFERROR(INDEX(tsk_Name,(ROW()-ROW(MSPTasks[[#Headers],[ID]])))="",TRUE()),"",IF(INDEX(tsk_IsSummary,(ROW()-ROW(MSPTasks[[#Headers],[ID]]))),"",INDEX(tsk_Predecessors,(ROW()-ROW(MSPTasks[[#Headers],[ID]])))))</f>
        <v>21</v>
      </c>
      <c r="J23" s="24" t="str">
        <f aca="false">IF(IFERROR(INDEX(tsk_Name,(ROW()-ROW(MSPTasks[[#Headers],[ID]])))="",TRUE()),"",IF(INDEX(tsk_IsSummary,(ROW()-ROW(MSPTasks[[#Headers],[ID]]))),"",INDEX(tsk_UIDPredecessors,(ROW()-ROW(MSPTasks[[#Headers],[ID]])))))</f>
        <v>21</v>
      </c>
      <c r="K2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Morgan Patel</v>
      </c>
      <c r="L23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2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3" s="115" t="n">
        <f aca="false">IF(IFERROR(INDEX(tsk_Name,(ROW()-ROW(MSPTasks[[#Headers],[ID]])))="",TRUE()),"",INDEX(tsk_PlanStart,(ROW()-ROW(MSPTasks[[#Headers],[ID]]))))</f>
        <v>46363</v>
      </c>
      <c r="P23" s="115" t="n">
        <f aca="false">IF(IFERROR(INDEX(tsk_Name,(ROW()-ROW(MSPTasks[[#Headers],[ID]])))="",TRUE()),"",INDEX(tsk_PlanFinish,(ROW()-ROW(MSPTasks[[#Headers],[ID]]))))</f>
        <v>46370</v>
      </c>
      <c r="Q2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Start No Earlier Than</v>
      </c>
      <c r="V23" s="115" t="n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>46363</v>
      </c>
      <c r="W2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23" s="24" t="str">
        <f aca="false">IF(IFERROR(INDEX(tsk_Name,(ROW()-ROW(MSPTasks[[#Headers],[ID]])))="",TRUE()),"",IF(INDEX(tsk_IsSummary,(ROW()-ROW(MSPTasks[[#Headers],[ID]]))),"",INDEX(tsk_Sprint,(ROW()-ROW(MSPTasks[[#Headers],[ID]])))&amp;""))</f>
        <v>Sprint 7</v>
      </c>
      <c r="Y23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5</v>
      </c>
      <c r="Z23" s="24" t="str">
        <f aca="false">IF(IFERROR(INDEX(tsk_Name,(ROW()-ROW(MSPTasks[[#Headers],[ID]])))="",TRUE()),"",INDEX(tsk_Notes,(ROW()-ROW(MSPTasks[[#Headers],[ID]])))&amp;"")</f>
        <v>Start No Earlier Than 07-Dec (client availability).</v>
      </c>
    </row>
    <row r="24" customFormat="false" ht="15" hidden="false" customHeight="false" outlineLevel="0" collapsed="false">
      <c r="A24" s="24" t="n">
        <f aca="false">IF(IFERROR(INDEX(tsk_Name,(ROW()-ROW(MSPTasks[[#Headers],[ID]])))="",TRUE()),"",INDEX(tsk_ID,(ROW()-ROW(MSPTasks[[#Headers],[ID]]))))</f>
        <v>23</v>
      </c>
      <c r="B24" s="24" t="n">
        <f aca="false">IF(IFERROR(INDEX(tsk_Name,(ROW()-ROW(MSPTasks[[#Headers],[ID]])))="",TRUE()),"",INDEX(tsk_UID,(ROW()-ROW(MSPTasks[[#Headers],[ID]]))))</f>
        <v>23</v>
      </c>
      <c r="C24" s="24" t="str">
        <f aca="false">IF(IFERROR(INDEX(tsk_Name,(ROW()-ROW(MSPTasks[[#Headers],[ID]])))="",TRUE()),"",INDEX(tsk_Name,(ROW()-ROW(MSPTasks[[#Headers],[ID]]))))</f>
        <v>Training &amp; user guides</v>
      </c>
      <c r="D24" s="24" t="n">
        <f aca="false">IF(IFERROR(INDEX(tsk_Name,(ROW()-ROW(MSPTasks[[#Headers],[ID]])))="",TRUE()),"",INDEX(tsk_Level,(ROW()-ROW(MSPTasks[[#Headers],[ID]]))))</f>
        <v>2</v>
      </c>
      <c r="E24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24" s="24" t="str">
        <f aca="false">IF(IFERROR(INDEX(tsk_Name,(ROW()-ROW(MSPTasks[[#Headers],[ID]])))="",TRUE()),"",IF(INDEX(tsk_IsSummary,(ROW()-ROW(MSPTasks[[#Headers],[ID]]))),"",N(INDEX(tsk_Duration,(ROW()-ROW(MSPTasks[[#Headers],[ID]]))))&amp;"d"))</f>
        <v>5d</v>
      </c>
      <c r="G24" s="115" t="n">
        <f aca="false">IF(IFERROR(INDEX(tsk_Name,(ROW()-ROW(MSPTasks[[#Headers],[ID]])))="",TRUE()),"",INDEX(tsk_FcStart,(ROW()-ROW(MSPTasks[[#Headers],[ID]]))))</f>
        <v>46338</v>
      </c>
      <c r="H24" s="115" t="n">
        <f aca="false">IF(IFERROR(INDEX(tsk_Name,(ROW()-ROW(MSPTasks[[#Headers],[ID]])))="",TRUE()),"",INDEX(tsk_FcFinish,(ROW()-ROW(MSPTasks[[#Headers],[ID]]))))</f>
        <v>46344</v>
      </c>
      <c r="I24" s="24" t="str">
        <f aca="false">IF(IFERROR(INDEX(tsk_Name,(ROW()-ROW(MSPTasks[[#Headers],[ID]])))="",TRUE()),"",IF(INDEX(tsk_IsSummary,(ROW()-ROW(MSPTasks[[#Headers],[ID]]))),"",INDEX(tsk_Predecessors,(ROW()-ROW(MSPTasks[[#Headers],[ID]])))))</f>
        <v>21SS+2d</v>
      </c>
      <c r="J24" s="24" t="str">
        <f aca="false">IF(IFERROR(INDEX(tsk_Name,(ROW()-ROW(MSPTasks[[#Headers],[ID]])))="",TRUE()),"",IF(INDEX(tsk_IsSummary,(ROW()-ROW(MSPTasks[[#Headers],[ID]]))),"",INDEX(tsk_UIDPredecessors,(ROW()-ROW(MSPTasks[[#Headers],[ID]])))))</f>
        <v>21SS+2d</v>
      </c>
      <c r="K2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Casey Kim[50%]</v>
      </c>
      <c r="L24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2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4" s="115" t="n">
        <f aca="false">IF(IFERROR(INDEX(tsk_Name,(ROW()-ROW(MSPTasks[[#Headers],[ID]])))="",TRUE()),"",INDEX(tsk_PlanStart,(ROW()-ROW(MSPTasks[[#Headers],[ID]]))))</f>
        <v>46330</v>
      </c>
      <c r="P24" s="115" t="n">
        <f aca="false">IF(IFERROR(INDEX(tsk_Name,(ROW()-ROW(MSPTasks[[#Headers],[ID]])))="",TRUE()),"",INDEX(tsk_PlanFinish,(ROW()-ROW(MSPTasks[[#Headers],[ID]]))))</f>
        <v>46336</v>
      </c>
      <c r="Q2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2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24" s="24" t="str">
        <f aca="false">IF(IFERROR(INDEX(tsk_Name,(ROW()-ROW(MSPTasks[[#Headers],[ID]])))="",TRUE()),"",IF(INDEX(tsk_IsSummary,(ROW()-ROW(MSPTasks[[#Headers],[ID]]))),"",INDEX(tsk_Sprint,(ROW()-ROW(MSPTasks[[#Headers],[ID]])))&amp;""))</f>
        <v>Sprint 5</v>
      </c>
      <c r="Y24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3</v>
      </c>
      <c r="Z24" s="24" t="str">
        <f aca="false">IF(IFERROR(INDEX(tsk_Name,(ROW()-ROW(MSPTasks[[#Headers],[ID]])))="",TRUE()),"",INDEX(tsk_Notes,(ROW()-ROW(MSPTasks[[#Headers],[ID]])))&amp;"")</f>
        <v/>
      </c>
    </row>
    <row r="25" customFormat="false" ht="15" hidden="false" customHeight="false" outlineLevel="0" collapsed="false">
      <c r="A25" s="24" t="n">
        <f aca="false">IF(IFERROR(INDEX(tsk_Name,(ROW()-ROW(MSPTasks[[#Headers],[ID]])))="",TRUE()),"",INDEX(tsk_ID,(ROW()-ROW(MSPTasks[[#Headers],[ID]]))))</f>
        <v>24</v>
      </c>
      <c r="B25" s="24" t="n">
        <f aca="false">IF(IFERROR(INDEX(tsk_Name,(ROW()-ROW(MSPTasks[[#Headers],[ID]])))="",TRUE()),"",INDEX(tsk_UID,(ROW()-ROW(MSPTasks[[#Headers],[ID]]))))</f>
        <v>24</v>
      </c>
      <c r="C25" s="24" t="str">
        <f aca="false">IF(IFERROR(INDEX(tsk_Name,(ROW()-ROW(MSPTasks[[#Headers],[ID]])))="",TRUE()),"",INDEX(tsk_Name,(ROW()-ROW(MSPTasks[[#Headers],[ID]]))))</f>
        <v>Go-live readiness review</v>
      </c>
      <c r="D25" s="24" t="n">
        <f aca="false">IF(IFERROR(INDEX(tsk_Name,(ROW()-ROW(MSPTasks[[#Headers],[ID]])))="",TRUE()),"",INDEX(tsk_Level,(ROW()-ROW(MSPTasks[[#Headers],[ID]]))))</f>
        <v>2</v>
      </c>
      <c r="E25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25" s="24" t="str">
        <f aca="false">IF(IFERROR(INDEX(tsk_Name,(ROW()-ROW(MSPTasks[[#Headers],[ID]])))="",TRUE()),"",IF(INDEX(tsk_IsSummary,(ROW()-ROW(MSPTasks[[#Headers],[ID]]))),"",N(INDEX(tsk_Duration,(ROW()-ROW(MSPTasks[[#Headers],[ID]]))))&amp;"d"))</f>
        <v>1d</v>
      </c>
      <c r="G25" s="115" t="n">
        <f aca="false">IF(IFERROR(INDEX(tsk_Name,(ROW()-ROW(MSPTasks[[#Headers],[ID]])))="",TRUE()),"",INDEX(tsk_FcStart,(ROW()-ROW(MSPTasks[[#Headers],[ID]]))))</f>
        <v>46371</v>
      </c>
      <c r="H25" s="115" t="n">
        <f aca="false">IF(IFERROR(INDEX(tsk_Name,(ROW()-ROW(MSPTasks[[#Headers],[ID]])))="",TRUE()),"",INDEX(tsk_FcFinish,(ROW()-ROW(MSPTasks[[#Headers],[ID]]))))</f>
        <v>46371</v>
      </c>
      <c r="I25" s="24" t="str">
        <f aca="false">IF(IFERROR(INDEX(tsk_Name,(ROW()-ROW(MSPTasks[[#Headers],[ID]])))="",TRUE()),"",IF(INDEX(tsk_IsSummary,(ROW()-ROW(MSPTasks[[#Headers],[ID]]))),"",INDEX(tsk_Predecessors,(ROW()-ROW(MSPTasks[[#Headers],[ID]])))))</f>
        <v>22,23</v>
      </c>
      <c r="J25" s="24" t="str">
        <f aca="false">IF(IFERROR(INDEX(tsk_Name,(ROW()-ROW(MSPTasks[[#Headers],[ID]])))="",TRUE()),"",IF(INDEX(tsk_IsSummary,(ROW()-ROW(MSPTasks[[#Headers],[ID]]))),"",INDEX(tsk_UIDPredecessors,(ROW()-ROW(MSPTasks[[#Headers],[ID]])))))</f>
        <v>22,23</v>
      </c>
      <c r="K2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Priya Sharma</v>
      </c>
      <c r="L25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2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5" s="115" t="n">
        <f aca="false">IF(IFERROR(INDEX(tsk_Name,(ROW()-ROW(MSPTasks[[#Headers],[ID]])))="",TRUE()),"",INDEX(tsk_PlanStart,(ROW()-ROW(MSPTasks[[#Headers],[ID]]))))</f>
        <v>46371</v>
      </c>
      <c r="P25" s="115" t="n">
        <f aca="false">IF(IFERROR(INDEX(tsk_Name,(ROW()-ROW(MSPTasks[[#Headers],[ID]])))="",TRUE()),"",INDEX(tsk_PlanFinish,(ROW()-ROW(MSPTasks[[#Headers],[ID]]))))</f>
        <v>46371</v>
      </c>
      <c r="Q2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2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25" s="24" t="str">
        <f aca="false">IF(IFERROR(INDEX(tsk_Name,(ROW()-ROW(MSPTasks[[#Headers],[ID]])))="",TRUE()),"",IF(INDEX(tsk_IsSummary,(ROW()-ROW(MSPTasks[[#Headers],[ID]]))),"",INDEX(tsk_Sprint,(ROW()-ROW(MSPTasks[[#Headers],[ID]])))&amp;""))</f>
        <v>Sprint 8</v>
      </c>
      <c r="Y25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1</v>
      </c>
      <c r="Z25" s="24" t="str">
        <f aca="false">IF(IFERROR(INDEX(tsk_Name,(ROW()-ROW(MSPTasks[[#Headers],[ID]])))="",TRUE()),"",INDEX(tsk_Notes,(ROW()-ROW(MSPTasks[[#Headers],[ID]])))&amp;"")</f>
        <v/>
      </c>
    </row>
    <row r="26" customFormat="false" ht="15" hidden="false" customHeight="false" outlineLevel="0" collapsed="false">
      <c r="A26" s="24" t="n">
        <f aca="false">IF(IFERROR(INDEX(tsk_Name,(ROW()-ROW(MSPTasks[[#Headers],[ID]])))="",TRUE()),"",INDEX(tsk_ID,(ROW()-ROW(MSPTasks[[#Headers],[ID]]))))</f>
        <v>25</v>
      </c>
      <c r="B26" s="24" t="n">
        <f aca="false">IF(IFERROR(INDEX(tsk_Name,(ROW()-ROW(MSPTasks[[#Headers],[ID]])))="",TRUE()),"",INDEX(tsk_UID,(ROW()-ROW(MSPTasks[[#Headers],[ID]]))))</f>
        <v>25</v>
      </c>
      <c r="C26" s="24" t="str">
        <f aca="false">IF(IFERROR(INDEX(tsk_Name,(ROW()-ROW(MSPTasks[[#Headers],[ID]])))="",TRUE()),"",INDEX(tsk_Name,(ROW()-ROW(MSPTasks[[#Headers],[ID]]))))</f>
        <v>Go-live</v>
      </c>
      <c r="D26" s="24" t="n">
        <f aca="false">IF(IFERROR(INDEX(tsk_Name,(ROW()-ROW(MSPTasks[[#Headers],[ID]])))="",TRUE()),"",INDEX(tsk_Level,(ROW()-ROW(MSPTasks[[#Headers],[ID]]))))</f>
        <v>2</v>
      </c>
      <c r="E26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26" s="24" t="str">
        <f aca="false">IF(IFERROR(INDEX(tsk_Name,(ROW()-ROW(MSPTasks[[#Headers],[ID]])))="",TRUE()),"",IF(INDEX(tsk_IsSummary,(ROW()-ROW(MSPTasks[[#Headers],[ID]]))),"",N(INDEX(tsk_Duration,(ROW()-ROW(MSPTasks[[#Headers],[ID]]))))&amp;"d"))</f>
        <v>0d</v>
      </c>
      <c r="G26" s="115" t="n">
        <f aca="false">IF(IFERROR(INDEX(tsk_Name,(ROW()-ROW(MSPTasks[[#Headers],[ID]])))="",TRUE()),"",INDEX(tsk_FcStart,(ROW()-ROW(MSPTasks[[#Headers],[ID]]))))</f>
        <v>46371</v>
      </c>
      <c r="H26" s="115" t="n">
        <f aca="false">IF(IFERROR(INDEX(tsk_Name,(ROW()-ROW(MSPTasks[[#Headers],[ID]])))="",TRUE()),"",INDEX(tsk_FcFinish,(ROW()-ROW(MSPTasks[[#Headers],[ID]]))))</f>
        <v>46371</v>
      </c>
      <c r="I26" s="24" t="str">
        <f aca="false">IF(IFERROR(INDEX(tsk_Name,(ROW()-ROW(MSPTasks[[#Headers],[ID]])))="",TRUE()),"",IF(INDEX(tsk_IsSummary,(ROW()-ROW(MSPTasks[[#Headers],[ID]]))),"",INDEX(tsk_Predecessors,(ROW()-ROW(MSPTasks[[#Headers],[ID]])))))</f>
        <v>24</v>
      </c>
      <c r="J26" s="24" t="str">
        <f aca="false">IF(IFERROR(INDEX(tsk_Name,(ROW()-ROW(MSPTasks[[#Headers],[ID]])))="",TRUE()),"",IF(INDEX(tsk_IsSummary,(ROW()-ROW(MSPTasks[[#Headers],[ID]]))),"",INDEX(tsk_UIDPredecessors,(ROW()-ROW(MSPTasks[[#Headers],[ID]])))))</f>
        <v>24</v>
      </c>
      <c r="K2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26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2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6" s="115" t="n">
        <f aca="false">IF(IFERROR(INDEX(tsk_Name,(ROW()-ROW(MSPTasks[[#Headers],[ID]])))="",TRUE()),"",INDEX(tsk_PlanStart,(ROW()-ROW(MSPTasks[[#Headers],[ID]]))))</f>
        <v>46371</v>
      </c>
      <c r="P26" s="115" t="n">
        <f aca="false">IF(IFERROR(INDEX(tsk_Name,(ROW()-ROW(MSPTasks[[#Headers],[ID]])))="",TRUE()),"",INDEX(tsk_PlanFinish,(ROW()-ROW(MSPTasks[[#Headers],[ID]]))))</f>
        <v>46371</v>
      </c>
      <c r="Q2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2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6" s="115" t="n">
        <f aca="false">IF(IFERROR(INDEX(tsk_Name,(ROW()-ROW(MSPTasks[[#Headers],[ID]])))="",TRUE()),"",IF(N(INDEX(tsk_Deadline,(ROW()-ROW(MSPTasks[[#Headers],[ID]]))))=0,"",INDEX(tsk_Deadline,(ROW()-ROW(MSPTasks[[#Headers],[ID]])))))</f>
        <v>46374</v>
      </c>
      <c r="X26" s="24" t="str">
        <f aca="false">IF(IFERROR(INDEX(tsk_Name,(ROW()-ROW(MSPTasks[[#Headers],[ID]])))="",TRUE()),"",IF(INDEX(tsk_IsSummary,(ROW()-ROW(MSPTasks[[#Headers],[ID]]))),"",INDEX(tsk_Sprint,(ROW()-ROW(MSPTasks[[#Headers],[ID]])))&amp;""))</f>
        <v>Sprint 8</v>
      </c>
      <c r="Y2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26" s="24" t="str">
        <f aca="false">IF(IFERROR(INDEX(tsk_Name,(ROW()-ROW(MSPTasks[[#Headers],[ID]])))="",TRUE()),"",INDEX(tsk_Notes,(ROW()-ROW(MSPTasks[[#Headers],[ID]])))&amp;"")</f>
        <v>Milestone with a deadline of 18-Dec.</v>
      </c>
    </row>
    <row r="27" customFormat="false" ht="15" hidden="false" customHeight="false" outlineLevel="0" collapsed="false">
      <c r="A27" s="24" t="n">
        <f aca="false">IF(IFERROR(INDEX(tsk_Name,(ROW()-ROW(MSPTasks[[#Headers],[ID]])))="",TRUE()),"",INDEX(tsk_ID,(ROW()-ROW(MSPTasks[[#Headers],[ID]]))))</f>
        <v>26</v>
      </c>
      <c r="B27" s="24" t="n">
        <f aca="false">IF(IFERROR(INDEX(tsk_Name,(ROW()-ROW(MSPTasks[[#Headers],[ID]])))="",TRUE()),"",INDEX(tsk_UID,(ROW()-ROW(MSPTasks[[#Headers],[ID]]))))</f>
        <v>26</v>
      </c>
      <c r="C27" s="24" t="str">
        <f aca="false">IF(IFERROR(INDEX(tsk_Name,(ROW()-ROW(MSPTasks[[#Headers],[ID]])))="",TRUE()),"",INDEX(tsk_Name,(ROW()-ROW(MSPTasks[[#Headers],[ID]]))))</f>
        <v>Hypercare support</v>
      </c>
      <c r="D27" s="24" t="n">
        <f aca="false">IF(IFERROR(INDEX(tsk_Name,(ROW()-ROW(MSPTasks[[#Headers],[ID]])))="",TRUE()),"",INDEX(tsk_Level,(ROW()-ROW(MSPTasks[[#Headers],[ID]]))))</f>
        <v>2</v>
      </c>
      <c r="E27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27" s="24" t="str">
        <f aca="false">IF(IFERROR(INDEX(tsk_Name,(ROW()-ROW(MSPTasks[[#Headers],[ID]])))="",TRUE()),"",IF(INDEX(tsk_IsSummary,(ROW()-ROW(MSPTasks[[#Headers],[ID]]))),"",N(INDEX(tsk_Duration,(ROW()-ROW(MSPTasks[[#Headers],[ID]]))))&amp;"d"))</f>
        <v>10d</v>
      </c>
      <c r="G27" s="115" t="n">
        <f aca="false">IF(IFERROR(INDEX(tsk_Name,(ROW()-ROW(MSPTasks[[#Headers],[ID]])))="",TRUE()),"",INDEX(tsk_FcStart,(ROW()-ROW(MSPTasks[[#Headers],[ID]]))))</f>
        <v>46372</v>
      </c>
      <c r="H27" s="115" t="n">
        <f aca="false">IF(IFERROR(INDEX(tsk_Name,(ROW()-ROW(MSPTasks[[#Headers],[ID]])))="",TRUE()),"",INDEX(tsk_FcFinish,(ROW()-ROW(MSPTasks[[#Headers],[ID]]))))</f>
        <v>46391</v>
      </c>
      <c r="I27" s="24" t="str">
        <f aca="false">IF(IFERROR(INDEX(tsk_Name,(ROW()-ROW(MSPTasks[[#Headers],[ID]])))="",TRUE()),"",IF(INDEX(tsk_IsSummary,(ROW()-ROW(MSPTasks[[#Headers],[ID]]))),"",INDEX(tsk_Predecessors,(ROW()-ROW(MSPTasks[[#Headers],[ID]])))))</f>
        <v>25</v>
      </c>
      <c r="J27" s="24" t="str">
        <f aca="false">IF(IFERROR(INDEX(tsk_Name,(ROW()-ROW(MSPTasks[[#Headers],[ID]])))="",TRUE()),"",IF(INDEX(tsk_IsSummary,(ROW()-ROW(MSPTasks[[#Headers],[ID]]))),"",INDEX(tsk_UIDPredecessors,(ROW()-ROW(MSPTasks[[#Headers],[ID]])))))</f>
        <v>25</v>
      </c>
      <c r="K2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Jordan Lee[50%]</v>
      </c>
      <c r="L27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2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7" s="115" t="n">
        <f aca="false">IF(IFERROR(INDEX(tsk_Name,(ROW()-ROW(MSPTasks[[#Headers],[ID]])))="",TRUE()),"",INDEX(tsk_PlanStart,(ROW()-ROW(MSPTasks[[#Headers],[ID]]))))</f>
        <v>46372</v>
      </c>
      <c r="P27" s="115" t="n">
        <f aca="false">IF(IFERROR(INDEX(tsk_Name,(ROW()-ROW(MSPTasks[[#Headers],[ID]])))="",TRUE()),"",INDEX(tsk_PlanFinish,(ROW()-ROW(MSPTasks[[#Headers],[ID]]))))</f>
        <v>46391</v>
      </c>
      <c r="Q2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2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27" s="24" t="str">
        <f aca="false">IF(IFERROR(INDEX(tsk_Name,(ROW()-ROW(MSPTasks[[#Headers],[ID]])))="",TRUE()),"",IF(INDEX(tsk_IsSummary,(ROW()-ROW(MSPTasks[[#Headers],[ID]]))),"",INDEX(tsk_Sprint,(ROW()-ROW(MSPTasks[[#Headers],[ID]])))&amp;""))</f>
        <v>Sprint 8</v>
      </c>
      <c r="Y27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5</v>
      </c>
      <c r="Z27" s="24" t="str">
        <f aca="false">IF(IFERROR(INDEX(tsk_Name,(ROW()-ROW(MSPTasks[[#Headers],[ID]])))="",TRUE()),"",INDEX(tsk_Notes,(ROW()-ROW(MSPTasks[[#Headers],[ID]])))&amp;"")</f>
        <v/>
      </c>
    </row>
    <row r="28" customFormat="false" ht="15" hidden="false" customHeight="false" outlineLevel="0" collapsed="false">
      <c r="A28" s="24" t="n">
        <f aca="false">IF(IFERROR(INDEX(tsk_Name,(ROW()-ROW(MSPTasks[[#Headers],[ID]])))="",TRUE()),"",INDEX(tsk_ID,(ROW()-ROW(MSPTasks[[#Headers],[ID]]))))</f>
        <v>27</v>
      </c>
      <c r="B28" s="24" t="n">
        <f aca="false">IF(IFERROR(INDEX(tsk_Name,(ROW()-ROW(MSPTasks[[#Headers],[ID]])))="",TRUE()),"",INDEX(tsk_UID,(ROW()-ROW(MSPTasks[[#Headers],[ID]]))))</f>
        <v>27</v>
      </c>
      <c r="C28" s="24" t="str">
        <f aca="false">IF(IFERROR(INDEX(tsk_Name,(ROW()-ROW(MSPTasks[[#Headers],[ID]])))="",TRUE()),"",INDEX(tsk_Name,(ROW()-ROW(MSPTasks[[#Headers],[ID]]))))</f>
        <v>Project Close</v>
      </c>
      <c r="D28" s="24" t="n">
        <f aca="false">IF(IFERROR(INDEX(tsk_Name,(ROW()-ROW(MSPTasks[[#Headers],[ID]])))="",TRUE()),"",INDEX(tsk_Level,(ROW()-ROW(MSPTasks[[#Headers],[ID]]))))</f>
        <v>1</v>
      </c>
      <c r="E28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2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28" s="115" t="n">
        <f aca="false">IF(IFERROR(INDEX(tsk_Name,(ROW()-ROW(MSPTasks[[#Headers],[ID]])))="",TRUE()),"",INDEX(tsk_FcStart,(ROW()-ROW(MSPTasks[[#Headers],[ID]]))))</f>
        <v>46342</v>
      </c>
      <c r="H28" s="115" t="n">
        <f aca="false">IF(IFERROR(INDEX(tsk_Name,(ROW()-ROW(MSPTasks[[#Headers],[ID]])))="",TRUE()),"",INDEX(tsk_FcFinish,(ROW()-ROW(MSPTasks[[#Headers],[ID]]))))</f>
        <v>46393</v>
      </c>
      <c r="I2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2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2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2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2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8" s="115" t="n">
        <f aca="false">IF(IFERROR(INDEX(tsk_Name,(ROW()-ROW(MSPTasks[[#Headers],[ID]])))="",TRUE()),"",INDEX(tsk_PlanStart,(ROW()-ROW(MSPTasks[[#Headers],[ID]]))))</f>
        <v>46342</v>
      </c>
      <c r="P28" s="115" t="n">
        <f aca="false">IF(IFERROR(INDEX(tsk_Name,(ROW()-ROW(MSPTasks[[#Headers],[ID]])))="",TRUE()),"",INDEX(tsk_PlanFinish,(ROW()-ROW(MSPTasks[[#Headers],[ID]]))))</f>
        <v>46393</v>
      </c>
      <c r="Q2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2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2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2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28" s="24" t="str">
        <f aca="false">IF(IFERROR(INDEX(tsk_Name,(ROW()-ROW(MSPTasks[[#Headers],[ID]])))="",TRUE()),"",INDEX(tsk_Notes,(ROW()-ROW(MSPTasks[[#Headers],[ID]])))&amp;"")</f>
        <v/>
      </c>
    </row>
    <row r="29" customFormat="false" ht="15" hidden="false" customHeight="false" outlineLevel="0" collapsed="false">
      <c r="A29" s="24" t="n">
        <f aca="false">IF(IFERROR(INDEX(tsk_Name,(ROW()-ROW(MSPTasks[[#Headers],[ID]])))="",TRUE()),"",INDEX(tsk_ID,(ROW()-ROW(MSPTasks[[#Headers],[ID]]))))</f>
        <v>28</v>
      </c>
      <c r="B29" s="24" t="n">
        <f aca="false">IF(IFERROR(INDEX(tsk_Name,(ROW()-ROW(MSPTasks[[#Headers],[ID]])))="",TRUE()),"",INDEX(tsk_UID,(ROW()-ROW(MSPTasks[[#Headers],[ID]]))))</f>
        <v>28</v>
      </c>
      <c r="C29" s="24" t="str">
        <f aca="false">IF(IFERROR(INDEX(tsk_Name,(ROW()-ROW(MSPTasks[[#Headers],[ID]])))="",TRUE()),"",INDEX(tsk_Name,(ROW()-ROW(MSPTasks[[#Headers],[ID]]))))</f>
        <v>Steering committee update</v>
      </c>
      <c r="D29" s="24" t="n">
        <f aca="false">IF(IFERROR(INDEX(tsk_Name,(ROW()-ROW(MSPTasks[[#Headers],[ID]])))="",TRUE()),"",INDEX(tsk_Level,(ROW()-ROW(MSPTasks[[#Headers],[ID]]))))</f>
        <v>2</v>
      </c>
      <c r="E29" s="24" t="str">
        <f aca="false">IF(IFERROR(INDEX(tsk_Name,(ROW()-ROW(MSPTasks[[#Headers],[ID]])))="",TRUE()),"",IF(INDEX(tsk_Mode,(ROW()-ROW(MSPTasks[[#Headers],[ID]])))="Manual","Manually Scheduled","Auto Scheduled"))</f>
        <v>Manually Scheduled</v>
      </c>
      <c r="F29" s="24" t="str">
        <f aca="false">IF(IFERROR(INDEX(tsk_Name,(ROW()-ROW(MSPTasks[[#Headers],[ID]])))="",TRUE()),"",IF(INDEX(tsk_IsSummary,(ROW()-ROW(MSPTasks[[#Headers],[ID]]))),"",N(INDEX(tsk_Duration,(ROW()-ROW(MSPTasks[[#Headers],[ID]]))))&amp;"d"))</f>
        <v>1d</v>
      </c>
      <c r="G29" s="115" t="n">
        <f aca="false">IF(IFERROR(INDEX(tsk_Name,(ROW()-ROW(MSPTasks[[#Headers],[ID]])))="",TRUE()),"",INDEX(tsk_FcStart,(ROW()-ROW(MSPTasks[[#Headers],[ID]]))))</f>
        <v>46342</v>
      </c>
      <c r="H29" s="115" t="n">
        <f aca="false">IF(IFERROR(INDEX(tsk_Name,(ROW()-ROW(MSPTasks[[#Headers],[ID]])))="",TRUE()),"",INDEX(tsk_FcFinish,(ROW()-ROW(MSPTasks[[#Headers],[ID]]))))</f>
        <v>46342</v>
      </c>
      <c r="I2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2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2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Priya Sharma</v>
      </c>
      <c r="L29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2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9" s="115" t="n">
        <f aca="false">IF(IFERROR(INDEX(tsk_Name,(ROW()-ROW(MSPTasks[[#Headers],[ID]])))="",TRUE()),"",INDEX(tsk_PlanStart,(ROW()-ROW(MSPTasks[[#Headers],[ID]]))))</f>
        <v>46342</v>
      </c>
      <c r="P29" s="115" t="n">
        <f aca="false">IF(IFERROR(INDEX(tsk_Name,(ROW()-ROW(MSPTasks[[#Headers],[ID]])))="",TRUE()),"",INDEX(tsk_PlanFinish,(ROW()-ROW(MSPTasks[[#Headers],[ID]]))))</f>
        <v>46342</v>
      </c>
      <c r="Q2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2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29" s="24" t="str">
        <f aca="false">IF(IFERROR(INDEX(tsk_Name,(ROW()-ROW(MSPTasks[[#Headers],[ID]])))="",TRUE()),"",IF(INDEX(tsk_IsSummary,(ROW()-ROW(MSPTasks[[#Headers],[ID]]))),"",INDEX(tsk_Sprint,(ROW()-ROW(MSPTasks[[#Headers],[ID]])))&amp;""))</f>
        <v>Sprint 6</v>
      </c>
      <c r="Y29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1</v>
      </c>
      <c r="Z29" s="24" t="str">
        <f aca="false">IF(IFERROR(INDEX(tsk_Name,(ROW()-ROW(MSPTasks[[#Headers],[ID]])))="",TRUE()),"",INDEX(tsk_Notes,(ROW()-ROW(MSPTasks[[#Headers],[ID]])))&amp;"")</f>
        <v>Manual mode example: fixed on the date in the Start No Earlier Than column.</v>
      </c>
    </row>
    <row r="30" customFormat="false" ht="15" hidden="false" customHeight="false" outlineLevel="0" collapsed="false">
      <c r="A30" s="24" t="n">
        <f aca="false">IF(IFERROR(INDEX(tsk_Name,(ROW()-ROW(MSPTasks[[#Headers],[ID]])))="",TRUE()),"",INDEX(tsk_ID,(ROW()-ROW(MSPTasks[[#Headers],[ID]]))))</f>
        <v>29</v>
      </c>
      <c r="B30" s="24" t="n">
        <f aca="false">IF(IFERROR(INDEX(tsk_Name,(ROW()-ROW(MSPTasks[[#Headers],[ID]])))="",TRUE()),"",INDEX(tsk_UID,(ROW()-ROW(MSPTasks[[#Headers],[ID]]))))</f>
        <v>29</v>
      </c>
      <c r="C30" s="24" t="str">
        <f aca="false">IF(IFERROR(INDEX(tsk_Name,(ROW()-ROW(MSPTasks[[#Headers],[ID]])))="",TRUE()),"",INDEX(tsk_Name,(ROW()-ROW(MSPTasks[[#Headers],[ID]]))))</f>
        <v>Lessons learned</v>
      </c>
      <c r="D30" s="24" t="n">
        <f aca="false">IF(IFERROR(INDEX(tsk_Name,(ROW()-ROW(MSPTasks[[#Headers],[ID]])))="",TRUE()),"",INDEX(tsk_Level,(ROW()-ROW(MSPTasks[[#Headers],[ID]]))))</f>
        <v>2</v>
      </c>
      <c r="E30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30" s="24" t="str">
        <f aca="false">IF(IFERROR(INDEX(tsk_Name,(ROW()-ROW(MSPTasks[[#Headers],[ID]])))="",TRUE()),"",IF(INDEX(tsk_IsSummary,(ROW()-ROW(MSPTasks[[#Headers],[ID]]))),"",N(INDEX(tsk_Duration,(ROW()-ROW(MSPTasks[[#Headers],[ID]]))))&amp;"d"))</f>
        <v>2d</v>
      </c>
      <c r="G30" s="115" t="n">
        <f aca="false">IF(IFERROR(INDEX(tsk_Name,(ROW()-ROW(MSPTasks[[#Headers],[ID]])))="",TRUE()),"",INDEX(tsk_FcStart,(ROW()-ROW(MSPTasks[[#Headers],[ID]]))))</f>
        <v>46392</v>
      </c>
      <c r="H30" s="115" t="n">
        <f aca="false">IF(IFERROR(INDEX(tsk_Name,(ROW()-ROW(MSPTasks[[#Headers],[ID]])))="",TRUE()),"",INDEX(tsk_FcFinish,(ROW()-ROW(MSPTasks[[#Headers],[ID]]))))</f>
        <v>46393</v>
      </c>
      <c r="I30" s="24" t="str">
        <f aca="false">IF(IFERROR(INDEX(tsk_Name,(ROW()-ROW(MSPTasks[[#Headers],[ID]])))="",TRUE()),"",IF(INDEX(tsk_IsSummary,(ROW()-ROW(MSPTasks[[#Headers],[ID]]))),"",INDEX(tsk_Predecessors,(ROW()-ROW(MSPTasks[[#Headers],[ID]])))))</f>
        <v>26</v>
      </c>
      <c r="J30" s="24" t="str">
        <f aca="false">IF(IFERROR(INDEX(tsk_Name,(ROW()-ROW(MSPTasks[[#Headers],[ID]])))="",TRUE()),"",IF(INDEX(tsk_IsSummary,(ROW()-ROW(MSPTasks[[#Headers],[ID]]))),"",INDEX(tsk_UIDPredecessors,(ROW()-ROW(MSPTasks[[#Headers],[ID]])))))</f>
        <v>26</v>
      </c>
      <c r="K3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>Priya Sharma</v>
      </c>
      <c r="L30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3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3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30" s="115" t="n">
        <f aca="false">IF(IFERROR(INDEX(tsk_Name,(ROW()-ROW(MSPTasks[[#Headers],[ID]])))="",TRUE()),"",INDEX(tsk_PlanStart,(ROW()-ROW(MSPTasks[[#Headers],[ID]]))))</f>
        <v>46392</v>
      </c>
      <c r="P30" s="115" t="n">
        <f aca="false">IF(IFERROR(INDEX(tsk_Name,(ROW()-ROW(MSPTasks[[#Headers],[ID]])))="",TRUE()),"",INDEX(tsk_PlanFinish,(ROW()-ROW(MSPTasks[[#Headers],[ID]]))))</f>
        <v>46393</v>
      </c>
      <c r="Q3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3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3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3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3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3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3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30" s="24" t="str">
        <f aca="false">IF(IFERROR(INDEX(tsk_Name,(ROW()-ROW(MSPTasks[[#Headers],[ID]])))="",TRUE()),"",IF(INDEX(tsk_IsSummary,(ROW()-ROW(MSPTasks[[#Headers],[ID]]))),"",INDEX(tsk_Sprint,(ROW()-ROW(MSPTasks[[#Headers],[ID]])))&amp;""))</f>
        <v>Sprint 9</v>
      </c>
      <c r="Y30" s="67" t="n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>2</v>
      </c>
      <c r="Z30" s="24" t="str">
        <f aca="false">IF(IFERROR(INDEX(tsk_Name,(ROW()-ROW(MSPTasks[[#Headers],[ID]])))="",TRUE()),"",INDEX(tsk_Notes,(ROW()-ROW(MSPTasks[[#Headers],[ID]])))&amp;"")</f>
        <v/>
      </c>
    </row>
    <row r="31" customFormat="false" ht="15" hidden="false" customHeight="false" outlineLevel="0" collapsed="false">
      <c r="A31" s="24" t="n">
        <f aca="false">IF(IFERROR(INDEX(tsk_Name,(ROW()-ROW(MSPTasks[[#Headers],[ID]])))="",TRUE()),"",INDEX(tsk_ID,(ROW()-ROW(MSPTasks[[#Headers],[ID]]))))</f>
        <v>30</v>
      </c>
      <c r="B31" s="24" t="n">
        <f aca="false">IF(IFERROR(INDEX(tsk_Name,(ROW()-ROW(MSPTasks[[#Headers],[ID]])))="",TRUE()),"",INDEX(tsk_UID,(ROW()-ROW(MSPTasks[[#Headers],[ID]]))))</f>
        <v>30</v>
      </c>
      <c r="C31" s="24" t="str">
        <f aca="false">IF(IFERROR(INDEX(tsk_Name,(ROW()-ROW(MSPTasks[[#Headers],[ID]])))="",TRUE()),"",INDEX(tsk_Name,(ROW()-ROW(MSPTasks[[#Headers],[ID]]))))</f>
        <v>Project closed</v>
      </c>
      <c r="D31" s="24" t="n">
        <f aca="false">IF(IFERROR(INDEX(tsk_Name,(ROW()-ROW(MSPTasks[[#Headers],[ID]])))="",TRUE()),"",INDEX(tsk_Level,(ROW()-ROW(MSPTasks[[#Headers],[ID]]))))</f>
        <v>2</v>
      </c>
      <c r="E31" s="24" t="str">
        <f aca="false">IF(IFERROR(INDEX(tsk_Name,(ROW()-ROW(MSPTasks[[#Headers],[ID]])))="",TRUE()),"",IF(INDEX(tsk_Mode,(ROW()-ROW(MSPTasks[[#Headers],[ID]])))="Manual","Manually Scheduled","Auto Scheduled"))</f>
        <v>Auto Scheduled</v>
      </c>
      <c r="F31" s="24" t="str">
        <f aca="false">IF(IFERROR(INDEX(tsk_Name,(ROW()-ROW(MSPTasks[[#Headers],[ID]])))="",TRUE()),"",IF(INDEX(tsk_IsSummary,(ROW()-ROW(MSPTasks[[#Headers],[ID]]))),"",N(INDEX(tsk_Duration,(ROW()-ROW(MSPTasks[[#Headers],[ID]]))))&amp;"d"))</f>
        <v>0d</v>
      </c>
      <c r="G31" s="115" t="n">
        <f aca="false">IF(IFERROR(INDEX(tsk_Name,(ROW()-ROW(MSPTasks[[#Headers],[ID]])))="",TRUE()),"",INDEX(tsk_FcStart,(ROW()-ROW(MSPTasks[[#Headers],[ID]]))))</f>
        <v>46393</v>
      </c>
      <c r="H31" s="115" t="n">
        <f aca="false">IF(IFERROR(INDEX(tsk_Name,(ROW()-ROW(MSPTasks[[#Headers],[ID]])))="",TRUE()),"",INDEX(tsk_FcFinish,(ROW()-ROW(MSPTasks[[#Headers],[ID]]))))</f>
        <v>46393</v>
      </c>
      <c r="I31" s="24" t="str">
        <f aca="false">IF(IFERROR(INDEX(tsk_Name,(ROW()-ROW(MSPTasks[[#Headers],[ID]])))="",TRUE()),"",IF(INDEX(tsk_IsSummary,(ROW()-ROW(MSPTasks[[#Headers],[ID]]))),"",INDEX(tsk_Predecessors,(ROW()-ROW(MSPTasks[[#Headers],[ID]])))))</f>
        <v>29</v>
      </c>
      <c r="J31" s="24" t="str">
        <f aca="false">IF(IFERROR(INDEX(tsk_Name,(ROW()-ROW(MSPTasks[[#Headers],[ID]])))="",TRUE()),"",IF(INDEX(tsk_IsSummary,(ROW()-ROW(MSPTasks[[#Headers],[ID]]))),"",INDEX(tsk_UIDPredecessors,(ROW()-ROW(MSPTasks[[#Headers],[ID]])))))</f>
        <v>29</v>
      </c>
      <c r="K3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31" s="24" t="n">
        <f aca="false">IF(IFERROR(INDEX(tsk_Name,(ROW()-ROW(MSPTasks[[#Headers],[ID]])))="",TRUE()),"",IF(INDEX(tsk_IsSummary,(ROW()-ROW(MSPTasks[[#Headers],[ID]]))),"",ROUND(INDEX(tsk_Progress,(ROW()-ROW(MSPTasks[[#Headers],[ID]])))*100,0)))</f>
        <v>0</v>
      </c>
      <c r="M3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3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31" s="115" t="n">
        <f aca="false">IF(IFERROR(INDEX(tsk_Name,(ROW()-ROW(MSPTasks[[#Headers],[ID]])))="",TRUE()),"",INDEX(tsk_PlanStart,(ROW()-ROW(MSPTasks[[#Headers],[ID]]))))</f>
        <v>46393</v>
      </c>
      <c r="P31" s="115" t="n">
        <f aca="false">IF(IFERROR(INDEX(tsk_Name,(ROW()-ROW(MSPTasks[[#Headers],[ID]])))="",TRUE()),"",INDEX(tsk_PlanFinish,(ROW()-ROW(MSPTasks[[#Headers],[ID]]))))</f>
        <v>46393</v>
      </c>
      <c r="Q3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3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3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3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3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>As Soon As Possible</v>
      </c>
      <c r="V3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3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31" s="24" t="str">
        <f aca="false">IF(IFERROR(INDEX(tsk_Name,(ROW()-ROW(MSPTasks[[#Headers],[ID]])))="",TRUE()),"",IF(INDEX(tsk_IsSummary,(ROW()-ROW(MSPTasks[[#Headers],[ID]]))),"",INDEX(tsk_Sprint,(ROW()-ROW(MSPTasks[[#Headers],[ID]])))&amp;""))</f>
        <v>Sprint 9</v>
      </c>
      <c r="Y3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31" s="24" t="str">
        <f aca="false">IF(IFERROR(INDEX(tsk_Name,(ROW()-ROW(MSPTasks[[#Headers],[ID]])))="",TRUE()),"",INDEX(tsk_Notes,(ROW()-ROW(MSPTasks[[#Headers],[ID]])))&amp;"")</f>
        <v>Milestone</v>
      </c>
    </row>
    <row r="32" customFormat="false" ht="15" hidden="false" customHeight="false" outlineLevel="0" collapsed="false">
      <c r="A32" s="24" t="str">
        <f aca="false">IF(IFERROR(INDEX(tsk_Name,(ROW()-ROW(MSPTasks[[#Headers],[ID]])))="",TRUE()),"",INDEX(tsk_ID,(ROW()-ROW(MSPTasks[[#Headers],[ID]]))))</f>
        <v/>
      </c>
      <c r="B32" s="24" t="str">
        <f aca="false">IF(IFERROR(INDEX(tsk_Name,(ROW()-ROW(MSPTasks[[#Headers],[ID]])))="",TRUE()),"",INDEX(tsk_UID,(ROW()-ROW(MSPTasks[[#Headers],[ID]]))))</f>
        <v/>
      </c>
      <c r="C32" s="24" t="str">
        <f aca="false">IF(IFERROR(INDEX(tsk_Name,(ROW()-ROW(MSPTasks[[#Headers],[ID]])))="",TRUE()),"",INDEX(tsk_Name,(ROW()-ROW(MSPTasks[[#Headers],[ID]]))))</f>
        <v/>
      </c>
      <c r="D32" s="24" t="str">
        <f aca="false">IF(IFERROR(INDEX(tsk_Name,(ROW()-ROW(MSPTasks[[#Headers],[ID]])))="",TRUE()),"",INDEX(tsk_Level,(ROW()-ROW(MSPTasks[[#Headers],[ID]]))))</f>
        <v/>
      </c>
      <c r="E32" s="24" t="str">
        <f aca="false">IF(IFERROR(INDEX(tsk_Name,(ROW()-ROW(MSPTasks[[#Headers],[ID]])))="",TRUE()),"",IF(INDEX(tsk_Mode,(ROW()-ROW(MSPTasks[[#Headers],[ID]])))="Manual","Manually Scheduled","Auto Scheduled"))</f>
        <v/>
      </c>
      <c r="F3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32" s="115" t="str">
        <f aca="false">IF(IFERROR(INDEX(tsk_Name,(ROW()-ROW(MSPTasks[[#Headers],[ID]])))="",TRUE()),"",INDEX(tsk_FcStart,(ROW()-ROW(MSPTasks[[#Headers],[ID]]))))</f>
        <v/>
      </c>
      <c r="H32" s="115" t="str">
        <f aca="false">IF(IFERROR(INDEX(tsk_Name,(ROW()-ROW(MSPTasks[[#Headers],[ID]])))="",TRUE()),"",INDEX(tsk_FcFinish,(ROW()-ROW(MSPTasks[[#Headers],[ID]]))))</f>
        <v/>
      </c>
      <c r="I3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3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3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3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3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3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32" s="115" t="str">
        <f aca="false">IF(IFERROR(INDEX(tsk_Name,(ROW()-ROW(MSPTasks[[#Headers],[ID]])))="",TRUE()),"",INDEX(tsk_PlanStart,(ROW()-ROW(MSPTasks[[#Headers],[ID]]))))</f>
        <v/>
      </c>
      <c r="P32" s="115" t="str">
        <f aca="false">IF(IFERROR(INDEX(tsk_Name,(ROW()-ROW(MSPTasks[[#Headers],[ID]])))="",TRUE()),"",INDEX(tsk_PlanFinish,(ROW()-ROW(MSPTasks[[#Headers],[ID]]))))</f>
        <v/>
      </c>
      <c r="Q3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3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3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3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3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3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3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3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3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32" s="24" t="str">
        <f aca="false">IF(IFERROR(INDEX(tsk_Name,(ROW()-ROW(MSPTasks[[#Headers],[ID]])))="",TRUE()),"",INDEX(tsk_Notes,(ROW()-ROW(MSPTasks[[#Headers],[ID]])))&amp;"")</f>
        <v/>
      </c>
    </row>
    <row r="33" customFormat="false" ht="15" hidden="false" customHeight="false" outlineLevel="0" collapsed="false">
      <c r="A33" s="24" t="str">
        <f aca="false">IF(IFERROR(INDEX(tsk_Name,(ROW()-ROW(MSPTasks[[#Headers],[ID]])))="",TRUE()),"",INDEX(tsk_ID,(ROW()-ROW(MSPTasks[[#Headers],[ID]]))))</f>
        <v/>
      </c>
      <c r="B33" s="24" t="str">
        <f aca="false">IF(IFERROR(INDEX(tsk_Name,(ROW()-ROW(MSPTasks[[#Headers],[ID]])))="",TRUE()),"",INDEX(tsk_UID,(ROW()-ROW(MSPTasks[[#Headers],[ID]]))))</f>
        <v/>
      </c>
      <c r="C33" s="24" t="str">
        <f aca="false">IF(IFERROR(INDEX(tsk_Name,(ROW()-ROW(MSPTasks[[#Headers],[ID]])))="",TRUE()),"",INDEX(tsk_Name,(ROW()-ROW(MSPTasks[[#Headers],[ID]]))))</f>
        <v/>
      </c>
      <c r="D33" s="24" t="str">
        <f aca="false">IF(IFERROR(INDEX(tsk_Name,(ROW()-ROW(MSPTasks[[#Headers],[ID]])))="",TRUE()),"",INDEX(tsk_Level,(ROW()-ROW(MSPTasks[[#Headers],[ID]]))))</f>
        <v/>
      </c>
      <c r="E33" s="24" t="str">
        <f aca="false">IF(IFERROR(INDEX(tsk_Name,(ROW()-ROW(MSPTasks[[#Headers],[ID]])))="",TRUE()),"",IF(INDEX(tsk_Mode,(ROW()-ROW(MSPTasks[[#Headers],[ID]])))="Manual","Manually Scheduled","Auto Scheduled"))</f>
        <v/>
      </c>
      <c r="F3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33" s="115" t="str">
        <f aca="false">IF(IFERROR(INDEX(tsk_Name,(ROW()-ROW(MSPTasks[[#Headers],[ID]])))="",TRUE()),"",INDEX(tsk_FcStart,(ROW()-ROW(MSPTasks[[#Headers],[ID]]))))</f>
        <v/>
      </c>
      <c r="H33" s="115" t="str">
        <f aca="false">IF(IFERROR(INDEX(tsk_Name,(ROW()-ROW(MSPTasks[[#Headers],[ID]])))="",TRUE()),"",INDEX(tsk_FcFinish,(ROW()-ROW(MSPTasks[[#Headers],[ID]]))))</f>
        <v/>
      </c>
      <c r="I3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3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3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3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3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3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33" s="115" t="str">
        <f aca="false">IF(IFERROR(INDEX(tsk_Name,(ROW()-ROW(MSPTasks[[#Headers],[ID]])))="",TRUE()),"",INDEX(tsk_PlanStart,(ROW()-ROW(MSPTasks[[#Headers],[ID]]))))</f>
        <v/>
      </c>
      <c r="P33" s="115" t="str">
        <f aca="false">IF(IFERROR(INDEX(tsk_Name,(ROW()-ROW(MSPTasks[[#Headers],[ID]])))="",TRUE()),"",INDEX(tsk_PlanFinish,(ROW()-ROW(MSPTasks[[#Headers],[ID]]))))</f>
        <v/>
      </c>
      <c r="Q3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3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3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3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3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3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3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3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3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33" s="24" t="str">
        <f aca="false">IF(IFERROR(INDEX(tsk_Name,(ROW()-ROW(MSPTasks[[#Headers],[ID]])))="",TRUE()),"",INDEX(tsk_Notes,(ROW()-ROW(MSPTasks[[#Headers],[ID]])))&amp;"")</f>
        <v/>
      </c>
    </row>
    <row r="34" customFormat="false" ht="15" hidden="false" customHeight="false" outlineLevel="0" collapsed="false">
      <c r="A34" s="24" t="str">
        <f aca="false">IF(IFERROR(INDEX(tsk_Name,(ROW()-ROW(MSPTasks[[#Headers],[ID]])))="",TRUE()),"",INDEX(tsk_ID,(ROW()-ROW(MSPTasks[[#Headers],[ID]]))))</f>
        <v/>
      </c>
      <c r="B34" s="24" t="str">
        <f aca="false">IF(IFERROR(INDEX(tsk_Name,(ROW()-ROW(MSPTasks[[#Headers],[ID]])))="",TRUE()),"",INDEX(tsk_UID,(ROW()-ROW(MSPTasks[[#Headers],[ID]]))))</f>
        <v/>
      </c>
      <c r="C34" s="24" t="str">
        <f aca="false">IF(IFERROR(INDEX(tsk_Name,(ROW()-ROW(MSPTasks[[#Headers],[ID]])))="",TRUE()),"",INDEX(tsk_Name,(ROW()-ROW(MSPTasks[[#Headers],[ID]]))))</f>
        <v/>
      </c>
      <c r="D34" s="24" t="str">
        <f aca="false">IF(IFERROR(INDEX(tsk_Name,(ROW()-ROW(MSPTasks[[#Headers],[ID]])))="",TRUE()),"",INDEX(tsk_Level,(ROW()-ROW(MSPTasks[[#Headers],[ID]]))))</f>
        <v/>
      </c>
      <c r="E34" s="24" t="str">
        <f aca="false">IF(IFERROR(INDEX(tsk_Name,(ROW()-ROW(MSPTasks[[#Headers],[ID]])))="",TRUE()),"",IF(INDEX(tsk_Mode,(ROW()-ROW(MSPTasks[[#Headers],[ID]])))="Manual","Manually Scheduled","Auto Scheduled"))</f>
        <v/>
      </c>
      <c r="F3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34" s="115" t="str">
        <f aca="false">IF(IFERROR(INDEX(tsk_Name,(ROW()-ROW(MSPTasks[[#Headers],[ID]])))="",TRUE()),"",INDEX(tsk_FcStart,(ROW()-ROW(MSPTasks[[#Headers],[ID]]))))</f>
        <v/>
      </c>
      <c r="H34" s="115" t="str">
        <f aca="false">IF(IFERROR(INDEX(tsk_Name,(ROW()-ROW(MSPTasks[[#Headers],[ID]])))="",TRUE()),"",INDEX(tsk_FcFinish,(ROW()-ROW(MSPTasks[[#Headers],[ID]]))))</f>
        <v/>
      </c>
      <c r="I3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3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3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3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3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3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34" s="115" t="str">
        <f aca="false">IF(IFERROR(INDEX(tsk_Name,(ROW()-ROW(MSPTasks[[#Headers],[ID]])))="",TRUE()),"",INDEX(tsk_PlanStart,(ROW()-ROW(MSPTasks[[#Headers],[ID]]))))</f>
        <v/>
      </c>
      <c r="P34" s="115" t="str">
        <f aca="false">IF(IFERROR(INDEX(tsk_Name,(ROW()-ROW(MSPTasks[[#Headers],[ID]])))="",TRUE()),"",INDEX(tsk_PlanFinish,(ROW()-ROW(MSPTasks[[#Headers],[ID]]))))</f>
        <v/>
      </c>
      <c r="Q3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3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3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3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3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3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3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3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3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34" s="24" t="str">
        <f aca="false">IF(IFERROR(INDEX(tsk_Name,(ROW()-ROW(MSPTasks[[#Headers],[ID]])))="",TRUE()),"",INDEX(tsk_Notes,(ROW()-ROW(MSPTasks[[#Headers],[ID]])))&amp;"")</f>
        <v/>
      </c>
    </row>
    <row r="35" customFormat="false" ht="15" hidden="false" customHeight="false" outlineLevel="0" collapsed="false">
      <c r="A35" s="24" t="str">
        <f aca="false">IF(IFERROR(INDEX(tsk_Name,(ROW()-ROW(MSPTasks[[#Headers],[ID]])))="",TRUE()),"",INDEX(tsk_ID,(ROW()-ROW(MSPTasks[[#Headers],[ID]]))))</f>
        <v/>
      </c>
      <c r="B35" s="24" t="str">
        <f aca="false">IF(IFERROR(INDEX(tsk_Name,(ROW()-ROW(MSPTasks[[#Headers],[ID]])))="",TRUE()),"",INDEX(tsk_UID,(ROW()-ROW(MSPTasks[[#Headers],[ID]]))))</f>
        <v/>
      </c>
      <c r="C35" s="24" t="str">
        <f aca="false">IF(IFERROR(INDEX(tsk_Name,(ROW()-ROW(MSPTasks[[#Headers],[ID]])))="",TRUE()),"",INDEX(tsk_Name,(ROW()-ROW(MSPTasks[[#Headers],[ID]]))))</f>
        <v/>
      </c>
      <c r="D35" s="24" t="str">
        <f aca="false">IF(IFERROR(INDEX(tsk_Name,(ROW()-ROW(MSPTasks[[#Headers],[ID]])))="",TRUE()),"",INDEX(tsk_Level,(ROW()-ROW(MSPTasks[[#Headers],[ID]]))))</f>
        <v/>
      </c>
      <c r="E35" s="24" t="str">
        <f aca="false">IF(IFERROR(INDEX(tsk_Name,(ROW()-ROW(MSPTasks[[#Headers],[ID]])))="",TRUE()),"",IF(INDEX(tsk_Mode,(ROW()-ROW(MSPTasks[[#Headers],[ID]])))="Manual","Manually Scheduled","Auto Scheduled"))</f>
        <v/>
      </c>
      <c r="F3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35" s="115" t="str">
        <f aca="false">IF(IFERROR(INDEX(tsk_Name,(ROW()-ROW(MSPTasks[[#Headers],[ID]])))="",TRUE()),"",INDEX(tsk_FcStart,(ROW()-ROW(MSPTasks[[#Headers],[ID]]))))</f>
        <v/>
      </c>
      <c r="H35" s="115" t="str">
        <f aca="false">IF(IFERROR(INDEX(tsk_Name,(ROW()-ROW(MSPTasks[[#Headers],[ID]])))="",TRUE()),"",INDEX(tsk_FcFinish,(ROW()-ROW(MSPTasks[[#Headers],[ID]]))))</f>
        <v/>
      </c>
      <c r="I3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3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3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3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3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3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35" s="115" t="str">
        <f aca="false">IF(IFERROR(INDEX(tsk_Name,(ROW()-ROW(MSPTasks[[#Headers],[ID]])))="",TRUE()),"",INDEX(tsk_PlanStart,(ROW()-ROW(MSPTasks[[#Headers],[ID]]))))</f>
        <v/>
      </c>
      <c r="P35" s="115" t="str">
        <f aca="false">IF(IFERROR(INDEX(tsk_Name,(ROW()-ROW(MSPTasks[[#Headers],[ID]])))="",TRUE()),"",INDEX(tsk_PlanFinish,(ROW()-ROW(MSPTasks[[#Headers],[ID]]))))</f>
        <v/>
      </c>
      <c r="Q3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3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3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3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3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3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3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3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3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35" s="24" t="str">
        <f aca="false">IF(IFERROR(INDEX(tsk_Name,(ROW()-ROW(MSPTasks[[#Headers],[ID]])))="",TRUE()),"",INDEX(tsk_Notes,(ROW()-ROW(MSPTasks[[#Headers],[ID]])))&amp;"")</f>
        <v/>
      </c>
    </row>
    <row r="36" customFormat="false" ht="15" hidden="false" customHeight="false" outlineLevel="0" collapsed="false">
      <c r="A36" s="24" t="str">
        <f aca="false">IF(IFERROR(INDEX(tsk_Name,(ROW()-ROW(MSPTasks[[#Headers],[ID]])))="",TRUE()),"",INDEX(tsk_ID,(ROW()-ROW(MSPTasks[[#Headers],[ID]]))))</f>
        <v/>
      </c>
      <c r="B36" s="24" t="str">
        <f aca="false">IF(IFERROR(INDEX(tsk_Name,(ROW()-ROW(MSPTasks[[#Headers],[ID]])))="",TRUE()),"",INDEX(tsk_UID,(ROW()-ROW(MSPTasks[[#Headers],[ID]]))))</f>
        <v/>
      </c>
      <c r="C36" s="24" t="str">
        <f aca="false">IF(IFERROR(INDEX(tsk_Name,(ROW()-ROW(MSPTasks[[#Headers],[ID]])))="",TRUE()),"",INDEX(tsk_Name,(ROW()-ROW(MSPTasks[[#Headers],[ID]]))))</f>
        <v/>
      </c>
      <c r="D36" s="24" t="str">
        <f aca="false">IF(IFERROR(INDEX(tsk_Name,(ROW()-ROW(MSPTasks[[#Headers],[ID]])))="",TRUE()),"",INDEX(tsk_Level,(ROW()-ROW(MSPTasks[[#Headers],[ID]]))))</f>
        <v/>
      </c>
      <c r="E36" s="24" t="str">
        <f aca="false">IF(IFERROR(INDEX(tsk_Name,(ROW()-ROW(MSPTasks[[#Headers],[ID]])))="",TRUE()),"",IF(INDEX(tsk_Mode,(ROW()-ROW(MSPTasks[[#Headers],[ID]])))="Manual","Manually Scheduled","Auto Scheduled"))</f>
        <v/>
      </c>
      <c r="F3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36" s="115" t="str">
        <f aca="false">IF(IFERROR(INDEX(tsk_Name,(ROW()-ROW(MSPTasks[[#Headers],[ID]])))="",TRUE()),"",INDEX(tsk_FcStart,(ROW()-ROW(MSPTasks[[#Headers],[ID]]))))</f>
        <v/>
      </c>
      <c r="H36" s="115" t="str">
        <f aca="false">IF(IFERROR(INDEX(tsk_Name,(ROW()-ROW(MSPTasks[[#Headers],[ID]])))="",TRUE()),"",INDEX(tsk_FcFinish,(ROW()-ROW(MSPTasks[[#Headers],[ID]]))))</f>
        <v/>
      </c>
      <c r="I3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3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3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3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3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3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36" s="115" t="str">
        <f aca="false">IF(IFERROR(INDEX(tsk_Name,(ROW()-ROW(MSPTasks[[#Headers],[ID]])))="",TRUE()),"",INDEX(tsk_PlanStart,(ROW()-ROW(MSPTasks[[#Headers],[ID]]))))</f>
        <v/>
      </c>
      <c r="P36" s="115" t="str">
        <f aca="false">IF(IFERROR(INDEX(tsk_Name,(ROW()-ROW(MSPTasks[[#Headers],[ID]])))="",TRUE()),"",INDEX(tsk_PlanFinish,(ROW()-ROW(MSPTasks[[#Headers],[ID]]))))</f>
        <v/>
      </c>
      <c r="Q3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3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3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3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3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3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3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3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3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36" s="24" t="str">
        <f aca="false">IF(IFERROR(INDEX(tsk_Name,(ROW()-ROW(MSPTasks[[#Headers],[ID]])))="",TRUE()),"",INDEX(tsk_Notes,(ROW()-ROW(MSPTasks[[#Headers],[ID]])))&amp;"")</f>
        <v/>
      </c>
    </row>
    <row r="37" customFormat="false" ht="15" hidden="false" customHeight="false" outlineLevel="0" collapsed="false">
      <c r="A37" s="24" t="str">
        <f aca="false">IF(IFERROR(INDEX(tsk_Name,(ROW()-ROW(MSPTasks[[#Headers],[ID]])))="",TRUE()),"",INDEX(tsk_ID,(ROW()-ROW(MSPTasks[[#Headers],[ID]]))))</f>
        <v/>
      </c>
      <c r="B37" s="24" t="str">
        <f aca="false">IF(IFERROR(INDEX(tsk_Name,(ROW()-ROW(MSPTasks[[#Headers],[ID]])))="",TRUE()),"",INDEX(tsk_UID,(ROW()-ROW(MSPTasks[[#Headers],[ID]]))))</f>
        <v/>
      </c>
      <c r="C37" s="24" t="str">
        <f aca="false">IF(IFERROR(INDEX(tsk_Name,(ROW()-ROW(MSPTasks[[#Headers],[ID]])))="",TRUE()),"",INDEX(tsk_Name,(ROW()-ROW(MSPTasks[[#Headers],[ID]]))))</f>
        <v/>
      </c>
      <c r="D37" s="24" t="str">
        <f aca="false">IF(IFERROR(INDEX(tsk_Name,(ROW()-ROW(MSPTasks[[#Headers],[ID]])))="",TRUE()),"",INDEX(tsk_Level,(ROW()-ROW(MSPTasks[[#Headers],[ID]]))))</f>
        <v/>
      </c>
      <c r="E37" s="24" t="str">
        <f aca="false">IF(IFERROR(INDEX(tsk_Name,(ROW()-ROW(MSPTasks[[#Headers],[ID]])))="",TRUE()),"",IF(INDEX(tsk_Mode,(ROW()-ROW(MSPTasks[[#Headers],[ID]])))="Manual","Manually Scheduled","Auto Scheduled"))</f>
        <v/>
      </c>
      <c r="F3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37" s="115" t="str">
        <f aca="false">IF(IFERROR(INDEX(tsk_Name,(ROW()-ROW(MSPTasks[[#Headers],[ID]])))="",TRUE()),"",INDEX(tsk_FcStart,(ROW()-ROW(MSPTasks[[#Headers],[ID]]))))</f>
        <v/>
      </c>
      <c r="H37" s="115" t="str">
        <f aca="false">IF(IFERROR(INDEX(tsk_Name,(ROW()-ROW(MSPTasks[[#Headers],[ID]])))="",TRUE()),"",INDEX(tsk_FcFinish,(ROW()-ROW(MSPTasks[[#Headers],[ID]]))))</f>
        <v/>
      </c>
      <c r="I3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3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3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3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3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3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37" s="115" t="str">
        <f aca="false">IF(IFERROR(INDEX(tsk_Name,(ROW()-ROW(MSPTasks[[#Headers],[ID]])))="",TRUE()),"",INDEX(tsk_PlanStart,(ROW()-ROW(MSPTasks[[#Headers],[ID]]))))</f>
        <v/>
      </c>
      <c r="P37" s="115" t="str">
        <f aca="false">IF(IFERROR(INDEX(tsk_Name,(ROW()-ROW(MSPTasks[[#Headers],[ID]])))="",TRUE()),"",INDEX(tsk_PlanFinish,(ROW()-ROW(MSPTasks[[#Headers],[ID]]))))</f>
        <v/>
      </c>
      <c r="Q3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3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3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3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3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3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3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3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3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37" s="24" t="str">
        <f aca="false">IF(IFERROR(INDEX(tsk_Name,(ROW()-ROW(MSPTasks[[#Headers],[ID]])))="",TRUE()),"",INDEX(tsk_Notes,(ROW()-ROW(MSPTasks[[#Headers],[ID]])))&amp;"")</f>
        <v/>
      </c>
    </row>
    <row r="38" customFormat="false" ht="15" hidden="false" customHeight="false" outlineLevel="0" collapsed="false">
      <c r="A38" s="24" t="str">
        <f aca="false">IF(IFERROR(INDEX(tsk_Name,(ROW()-ROW(MSPTasks[[#Headers],[ID]])))="",TRUE()),"",INDEX(tsk_ID,(ROW()-ROW(MSPTasks[[#Headers],[ID]]))))</f>
        <v/>
      </c>
      <c r="B38" s="24" t="str">
        <f aca="false">IF(IFERROR(INDEX(tsk_Name,(ROW()-ROW(MSPTasks[[#Headers],[ID]])))="",TRUE()),"",INDEX(tsk_UID,(ROW()-ROW(MSPTasks[[#Headers],[ID]]))))</f>
        <v/>
      </c>
      <c r="C38" s="24" t="str">
        <f aca="false">IF(IFERROR(INDEX(tsk_Name,(ROW()-ROW(MSPTasks[[#Headers],[ID]])))="",TRUE()),"",INDEX(tsk_Name,(ROW()-ROW(MSPTasks[[#Headers],[ID]]))))</f>
        <v/>
      </c>
      <c r="D38" s="24" t="str">
        <f aca="false">IF(IFERROR(INDEX(tsk_Name,(ROW()-ROW(MSPTasks[[#Headers],[ID]])))="",TRUE()),"",INDEX(tsk_Level,(ROW()-ROW(MSPTasks[[#Headers],[ID]]))))</f>
        <v/>
      </c>
      <c r="E38" s="24" t="str">
        <f aca="false">IF(IFERROR(INDEX(tsk_Name,(ROW()-ROW(MSPTasks[[#Headers],[ID]])))="",TRUE()),"",IF(INDEX(tsk_Mode,(ROW()-ROW(MSPTasks[[#Headers],[ID]])))="Manual","Manually Scheduled","Auto Scheduled"))</f>
        <v/>
      </c>
      <c r="F3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38" s="115" t="str">
        <f aca="false">IF(IFERROR(INDEX(tsk_Name,(ROW()-ROW(MSPTasks[[#Headers],[ID]])))="",TRUE()),"",INDEX(tsk_FcStart,(ROW()-ROW(MSPTasks[[#Headers],[ID]]))))</f>
        <v/>
      </c>
      <c r="H38" s="115" t="str">
        <f aca="false">IF(IFERROR(INDEX(tsk_Name,(ROW()-ROW(MSPTasks[[#Headers],[ID]])))="",TRUE()),"",INDEX(tsk_FcFinish,(ROW()-ROW(MSPTasks[[#Headers],[ID]]))))</f>
        <v/>
      </c>
      <c r="I3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3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3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3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3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3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38" s="115" t="str">
        <f aca="false">IF(IFERROR(INDEX(tsk_Name,(ROW()-ROW(MSPTasks[[#Headers],[ID]])))="",TRUE()),"",INDEX(tsk_PlanStart,(ROW()-ROW(MSPTasks[[#Headers],[ID]]))))</f>
        <v/>
      </c>
      <c r="P38" s="115" t="str">
        <f aca="false">IF(IFERROR(INDEX(tsk_Name,(ROW()-ROW(MSPTasks[[#Headers],[ID]])))="",TRUE()),"",INDEX(tsk_PlanFinish,(ROW()-ROW(MSPTasks[[#Headers],[ID]]))))</f>
        <v/>
      </c>
      <c r="Q3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3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3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3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3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3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3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3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3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38" s="24" t="str">
        <f aca="false">IF(IFERROR(INDEX(tsk_Name,(ROW()-ROW(MSPTasks[[#Headers],[ID]])))="",TRUE()),"",INDEX(tsk_Notes,(ROW()-ROW(MSPTasks[[#Headers],[ID]])))&amp;"")</f>
        <v/>
      </c>
    </row>
    <row r="39" customFormat="false" ht="15" hidden="false" customHeight="false" outlineLevel="0" collapsed="false">
      <c r="A39" s="24" t="str">
        <f aca="false">IF(IFERROR(INDEX(tsk_Name,(ROW()-ROW(MSPTasks[[#Headers],[ID]])))="",TRUE()),"",INDEX(tsk_ID,(ROW()-ROW(MSPTasks[[#Headers],[ID]]))))</f>
        <v/>
      </c>
      <c r="B39" s="24" t="str">
        <f aca="false">IF(IFERROR(INDEX(tsk_Name,(ROW()-ROW(MSPTasks[[#Headers],[ID]])))="",TRUE()),"",INDEX(tsk_UID,(ROW()-ROW(MSPTasks[[#Headers],[ID]]))))</f>
        <v/>
      </c>
      <c r="C39" s="24" t="str">
        <f aca="false">IF(IFERROR(INDEX(tsk_Name,(ROW()-ROW(MSPTasks[[#Headers],[ID]])))="",TRUE()),"",INDEX(tsk_Name,(ROW()-ROW(MSPTasks[[#Headers],[ID]]))))</f>
        <v/>
      </c>
      <c r="D39" s="24" t="str">
        <f aca="false">IF(IFERROR(INDEX(tsk_Name,(ROW()-ROW(MSPTasks[[#Headers],[ID]])))="",TRUE()),"",INDEX(tsk_Level,(ROW()-ROW(MSPTasks[[#Headers],[ID]]))))</f>
        <v/>
      </c>
      <c r="E39" s="24" t="str">
        <f aca="false">IF(IFERROR(INDEX(tsk_Name,(ROW()-ROW(MSPTasks[[#Headers],[ID]])))="",TRUE()),"",IF(INDEX(tsk_Mode,(ROW()-ROW(MSPTasks[[#Headers],[ID]])))="Manual","Manually Scheduled","Auto Scheduled"))</f>
        <v/>
      </c>
      <c r="F3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39" s="115" t="str">
        <f aca="false">IF(IFERROR(INDEX(tsk_Name,(ROW()-ROW(MSPTasks[[#Headers],[ID]])))="",TRUE()),"",INDEX(tsk_FcStart,(ROW()-ROW(MSPTasks[[#Headers],[ID]]))))</f>
        <v/>
      </c>
      <c r="H39" s="115" t="str">
        <f aca="false">IF(IFERROR(INDEX(tsk_Name,(ROW()-ROW(MSPTasks[[#Headers],[ID]])))="",TRUE()),"",INDEX(tsk_FcFinish,(ROW()-ROW(MSPTasks[[#Headers],[ID]]))))</f>
        <v/>
      </c>
      <c r="I3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3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3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3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3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3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39" s="115" t="str">
        <f aca="false">IF(IFERROR(INDEX(tsk_Name,(ROW()-ROW(MSPTasks[[#Headers],[ID]])))="",TRUE()),"",INDEX(tsk_PlanStart,(ROW()-ROW(MSPTasks[[#Headers],[ID]]))))</f>
        <v/>
      </c>
      <c r="P39" s="115" t="str">
        <f aca="false">IF(IFERROR(INDEX(tsk_Name,(ROW()-ROW(MSPTasks[[#Headers],[ID]])))="",TRUE()),"",INDEX(tsk_PlanFinish,(ROW()-ROW(MSPTasks[[#Headers],[ID]]))))</f>
        <v/>
      </c>
      <c r="Q3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3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3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3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3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3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3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3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3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39" s="24" t="str">
        <f aca="false">IF(IFERROR(INDEX(tsk_Name,(ROW()-ROW(MSPTasks[[#Headers],[ID]])))="",TRUE()),"",INDEX(tsk_Notes,(ROW()-ROW(MSPTasks[[#Headers],[ID]])))&amp;"")</f>
        <v/>
      </c>
    </row>
    <row r="40" customFormat="false" ht="15" hidden="false" customHeight="false" outlineLevel="0" collapsed="false">
      <c r="A40" s="24" t="str">
        <f aca="false">IF(IFERROR(INDEX(tsk_Name,(ROW()-ROW(MSPTasks[[#Headers],[ID]])))="",TRUE()),"",INDEX(tsk_ID,(ROW()-ROW(MSPTasks[[#Headers],[ID]]))))</f>
        <v/>
      </c>
      <c r="B40" s="24" t="str">
        <f aca="false">IF(IFERROR(INDEX(tsk_Name,(ROW()-ROW(MSPTasks[[#Headers],[ID]])))="",TRUE()),"",INDEX(tsk_UID,(ROW()-ROW(MSPTasks[[#Headers],[ID]]))))</f>
        <v/>
      </c>
      <c r="C40" s="24" t="str">
        <f aca="false">IF(IFERROR(INDEX(tsk_Name,(ROW()-ROW(MSPTasks[[#Headers],[ID]])))="",TRUE()),"",INDEX(tsk_Name,(ROW()-ROW(MSPTasks[[#Headers],[ID]]))))</f>
        <v/>
      </c>
      <c r="D40" s="24" t="str">
        <f aca="false">IF(IFERROR(INDEX(tsk_Name,(ROW()-ROW(MSPTasks[[#Headers],[ID]])))="",TRUE()),"",INDEX(tsk_Level,(ROW()-ROW(MSPTasks[[#Headers],[ID]]))))</f>
        <v/>
      </c>
      <c r="E40" s="24" t="str">
        <f aca="false">IF(IFERROR(INDEX(tsk_Name,(ROW()-ROW(MSPTasks[[#Headers],[ID]])))="",TRUE()),"",IF(INDEX(tsk_Mode,(ROW()-ROW(MSPTasks[[#Headers],[ID]])))="Manual","Manually Scheduled","Auto Scheduled"))</f>
        <v/>
      </c>
      <c r="F4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40" s="115" t="str">
        <f aca="false">IF(IFERROR(INDEX(tsk_Name,(ROW()-ROW(MSPTasks[[#Headers],[ID]])))="",TRUE()),"",INDEX(tsk_FcStart,(ROW()-ROW(MSPTasks[[#Headers],[ID]]))))</f>
        <v/>
      </c>
      <c r="H40" s="115" t="str">
        <f aca="false">IF(IFERROR(INDEX(tsk_Name,(ROW()-ROW(MSPTasks[[#Headers],[ID]])))="",TRUE()),"",INDEX(tsk_FcFinish,(ROW()-ROW(MSPTasks[[#Headers],[ID]]))))</f>
        <v/>
      </c>
      <c r="I4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4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4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4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4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4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40" s="115" t="str">
        <f aca="false">IF(IFERROR(INDEX(tsk_Name,(ROW()-ROW(MSPTasks[[#Headers],[ID]])))="",TRUE()),"",INDEX(tsk_PlanStart,(ROW()-ROW(MSPTasks[[#Headers],[ID]]))))</f>
        <v/>
      </c>
      <c r="P40" s="115" t="str">
        <f aca="false">IF(IFERROR(INDEX(tsk_Name,(ROW()-ROW(MSPTasks[[#Headers],[ID]])))="",TRUE()),"",INDEX(tsk_PlanFinish,(ROW()-ROW(MSPTasks[[#Headers],[ID]]))))</f>
        <v/>
      </c>
      <c r="Q4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4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4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4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4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4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4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4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4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40" s="24" t="str">
        <f aca="false">IF(IFERROR(INDEX(tsk_Name,(ROW()-ROW(MSPTasks[[#Headers],[ID]])))="",TRUE()),"",INDEX(tsk_Notes,(ROW()-ROW(MSPTasks[[#Headers],[ID]])))&amp;"")</f>
        <v/>
      </c>
    </row>
    <row r="41" customFormat="false" ht="15" hidden="false" customHeight="false" outlineLevel="0" collapsed="false">
      <c r="A41" s="24" t="str">
        <f aca="false">IF(IFERROR(INDEX(tsk_Name,(ROW()-ROW(MSPTasks[[#Headers],[ID]])))="",TRUE()),"",INDEX(tsk_ID,(ROW()-ROW(MSPTasks[[#Headers],[ID]]))))</f>
        <v/>
      </c>
      <c r="B41" s="24" t="str">
        <f aca="false">IF(IFERROR(INDEX(tsk_Name,(ROW()-ROW(MSPTasks[[#Headers],[ID]])))="",TRUE()),"",INDEX(tsk_UID,(ROW()-ROW(MSPTasks[[#Headers],[ID]]))))</f>
        <v/>
      </c>
      <c r="C41" s="24" t="str">
        <f aca="false">IF(IFERROR(INDEX(tsk_Name,(ROW()-ROW(MSPTasks[[#Headers],[ID]])))="",TRUE()),"",INDEX(tsk_Name,(ROW()-ROW(MSPTasks[[#Headers],[ID]]))))</f>
        <v/>
      </c>
      <c r="D41" s="24" t="str">
        <f aca="false">IF(IFERROR(INDEX(tsk_Name,(ROW()-ROW(MSPTasks[[#Headers],[ID]])))="",TRUE()),"",INDEX(tsk_Level,(ROW()-ROW(MSPTasks[[#Headers],[ID]]))))</f>
        <v/>
      </c>
      <c r="E41" s="24" t="str">
        <f aca="false">IF(IFERROR(INDEX(tsk_Name,(ROW()-ROW(MSPTasks[[#Headers],[ID]])))="",TRUE()),"",IF(INDEX(tsk_Mode,(ROW()-ROW(MSPTasks[[#Headers],[ID]])))="Manual","Manually Scheduled","Auto Scheduled"))</f>
        <v/>
      </c>
      <c r="F4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41" s="115" t="str">
        <f aca="false">IF(IFERROR(INDEX(tsk_Name,(ROW()-ROW(MSPTasks[[#Headers],[ID]])))="",TRUE()),"",INDEX(tsk_FcStart,(ROW()-ROW(MSPTasks[[#Headers],[ID]]))))</f>
        <v/>
      </c>
      <c r="H41" s="115" t="str">
        <f aca="false">IF(IFERROR(INDEX(tsk_Name,(ROW()-ROW(MSPTasks[[#Headers],[ID]])))="",TRUE()),"",INDEX(tsk_FcFinish,(ROW()-ROW(MSPTasks[[#Headers],[ID]]))))</f>
        <v/>
      </c>
      <c r="I4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4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4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4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4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4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41" s="115" t="str">
        <f aca="false">IF(IFERROR(INDEX(tsk_Name,(ROW()-ROW(MSPTasks[[#Headers],[ID]])))="",TRUE()),"",INDEX(tsk_PlanStart,(ROW()-ROW(MSPTasks[[#Headers],[ID]]))))</f>
        <v/>
      </c>
      <c r="P41" s="115" t="str">
        <f aca="false">IF(IFERROR(INDEX(tsk_Name,(ROW()-ROW(MSPTasks[[#Headers],[ID]])))="",TRUE()),"",INDEX(tsk_PlanFinish,(ROW()-ROW(MSPTasks[[#Headers],[ID]]))))</f>
        <v/>
      </c>
      <c r="Q4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4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4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4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4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4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4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4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4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41" s="24" t="str">
        <f aca="false">IF(IFERROR(INDEX(tsk_Name,(ROW()-ROW(MSPTasks[[#Headers],[ID]])))="",TRUE()),"",INDEX(tsk_Notes,(ROW()-ROW(MSPTasks[[#Headers],[ID]])))&amp;"")</f>
        <v/>
      </c>
    </row>
    <row r="42" customFormat="false" ht="15" hidden="false" customHeight="false" outlineLevel="0" collapsed="false">
      <c r="A42" s="24" t="str">
        <f aca="false">IF(IFERROR(INDEX(tsk_Name,(ROW()-ROW(MSPTasks[[#Headers],[ID]])))="",TRUE()),"",INDEX(tsk_ID,(ROW()-ROW(MSPTasks[[#Headers],[ID]]))))</f>
        <v/>
      </c>
      <c r="B42" s="24" t="str">
        <f aca="false">IF(IFERROR(INDEX(tsk_Name,(ROW()-ROW(MSPTasks[[#Headers],[ID]])))="",TRUE()),"",INDEX(tsk_UID,(ROW()-ROW(MSPTasks[[#Headers],[ID]]))))</f>
        <v/>
      </c>
      <c r="C42" s="24" t="str">
        <f aca="false">IF(IFERROR(INDEX(tsk_Name,(ROW()-ROW(MSPTasks[[#Headers],[ID]])))="",TRUE()),"",INDEX(tsk_Name,(ROW()-ROW(MSPTasks[[#Headers],[ID]]))))</f>
        <v/>
      </c>
      <c r="D42" s="24" t="str">
        <f aca="false">IF(IFERROR(INDEX(tsk_Name,(ROW()-ROW(MSPTasks[[#Headers],[ID]])))="",TRUE()),"",INDEX(tsk_Level,(ROW()-ROW(MSPTasks[[#Headers],[ID]]))))</f>
        <v/>
      </c>
      <c r="E42" s="24" t="str">
        <f aca="false">IF(IFERROR(INDEX(tsk_Name,(ROW()-ROW(MSPTasks[[#Headers],[ID]])))="",TRUE()),"",IF(INDEX(tsk_Mode,(ROW()-ROW(MSPTasks[[#Headers],[ID]])))="Manual","Manually Scheduled","Auto Scheduled"))</f>
        <v/>
      </c>
      <c r="F4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42" s="115" t="str">
        <f aca="false">IF(IFERROR(INDEX(tsk_Name,(ROW()-ROW(MSPTasks[[#Headers],[ID]])))="",TRUE()),"",INDEX(tsk_FcStart,(ROW()-ROW(MSPTasks[[#Headers],[ID]]))))</f>
        <v/>
      </c>
      <c r="H42" s="115" t="str">
        <f aca="false">IF(IFERROR(INDEX(tsk_Name,(ROW()-ROW(MSPTasks[[#Headers],[ID]])))="",TRUE()),"",INDEX(tsk_FcFinish,(ROW()-ROW(MSPTasks[[#Headers],[ID]]))))</f>
        <v/>
      </c>
      <c r="I4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4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4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4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4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4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42" s="115" t="str">
        <f aca="false">IF(IFERROR(INDEX(tsk_Name,(ROW()-ROW(MSPTasks[[#Headers],[ID]])))="",TRUE()),"",INDEX(tsk_PlanStart,(ROW()-ROW(MSPTasks[[#Headers],[ID]]))))</f>
        <v/>
      </c>
      <c r="P42" s="115" t="str">
        <f aca="false">IF(IFERROR(INDEX(tsk_Name,(ROW()-ROW(MSPTasks[[#Headers],[ID]])))="",TRUE()),"",INDEX(tsk_PlanFinish,(ROW()-ROW(MSPTasks[[#Headers],[ID]]))))</f>
        <v/>
      </c>
      <c r="Q4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4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4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4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4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4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4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4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4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42" s="24" t="str">
        <f aca="false">IF(IFERROR(INDEX(tsk_Name,(ROW()-ROW(MSPTasks[[#Headers],[ID]])))="",TRUE()),"",INDEX(tsk_Notes,(ROW()-ROW(MSPTasks[[#Headers],[ID]])))&amp;"")</f>
        <v/>
      </c>
    </row>
    <row r="43" customFormat="false" ht="15" hidden="false" customHeight="false" outlineLevel="0" collapsed="false">
      <c r="A43" s="24" t="str">
        <f aca="false">IF(IFERROR(INDEX(tsk_Name,(ROW()-ROW(MSPTasks[[#Headers],[ID]])))="",TRUE()),"",INDEX(tsk_ID,(ROW()-ROW(MSPTasks[[#Headers],[ID]]))))</f>
        <v/>
      </c>
      <c r="B43" s="24" t="str">
        <f aca="false">IF(IFERROR(INDEX(tsk_Name,(ROW()-ROW(MSPTasks[[#Headers],[ID]])))="",TRUE()),"",INDEX(tsk_UID,(ROW()-ROW(MSPTasks[[#Headers],[ID]]))))</f>
        <v/>
      </c>
      <c r="C43" s="24" t="str">
        <f aca="false">IF(IFERROR(INDEX(tsk_Name,(ROW()-ROW(MSPTasks[[#Headers],[ID]])))="",TRUE()),"",INDEX(tsk_Name,(ROW()-ROW(MSPTasks[[#Headers],[ID]]))))</f>
        <v/>
      </c>
      <c r="D43" s="24" t="str">
        <f aca="false">IF(IFERROR(INDEX(tsk_Name,(ROW()-ROW(MSPTasks[[#Headers],[ID]])))="",TRUE()),"",INDEX(tsk_Level,(ROW()-ROW(MSPTasks[[#Headers],[ID]]))))</f>
        <v/>
      </c>
      <c r="E43" s="24" t="str">
        <f aca="false">IF(IFERROR(INDEX(tsk_Name,(ROW()-ROW(MSPTasks[[#Headers],[ID]])))="",TRUE()),"",IF(INDEX(tsk_Mode,(ROW()-ROW(MSPTasks[[#Headers],[ID]])))="Manual","Manually Scheduled","Auto Scheduled"))</f>
        <v/>
      </c>
      <c r="F4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43" s="115" t="str">
        <f aca="false">IF(IFERROR(INDEX(tsk_Name,(ROW()-ROW(MSPTasks[[#Headers],[ID]])))="",TRUE()),"",INDEX(tsk_FcStart,(ROW()-ROW(MSPTasks[[#Headers],[ID]]))))</f>
        <v/>
      </c>
      <c r="H43" s="115" t="str">
        <f aca="false">IF(IFERROR(INDEX(tsk_Name,(ROW()-ROW(MSPTasks[[#Headers],[ID]])))="",TRUE()),"",INDEX(tsk_FcFinish,(ROW()-ROW(MSPTasks[[#Headers],[ID]]))))</f>
        <v/>
      </c>
      <c r="I4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4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4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4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4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4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43" s="115" t="str">
        <f aca="false">IF(IFERROR(INDEX(tsk_Name,(ROW()-ROW(MSPTasks[[#Headers],[ID]])))="",TRUE()),"",INDEX(tsk_PlanStart,(ROW()-ROW(MSPTasks[[#Headers],[ID]]))))</f>
        <v/>
      </c>
      <c r="P43" s="115" t="str">
        <f aca="false">IF(IFERROR(INDEX(tsk_Name,(ROW()-ROW(MSPTasks[[#Headers],[ID]])))="",TRUE()),"",INDEX(tsk_PlanFinish,(ROW()-ROW(MSPTasks[[#Headers],[ID]]))))</f>
        <v/>
      </c>
      <c r="Q4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4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4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4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4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4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4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4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4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43" s="24" t="str">
        <f aca="false">IF(IFERROR(INDEX(tsk_Name,(ROW()-ROW(MSPTasks[[#Headers],[ID]])))="",TRUE()),"",INDEX(tsk_Notes,(ROW()-ROW(MSPTasks[[#Headers],[ID]])))&amp;"")</f>
        <v/>
      </c>
    </row>
    <row r="44" customFormat="false" ht="15" hidden="false" customHeight="false" outlineLevel="0" collapsed="false">
      <c r="A44" s="24" t="str">
        <f aca="false">IF(IFERROR(INDEX(tsk_Name,(ROW()-ROW(MSPTasks[[#Headers],[ID]])))="",TRUE()),"",INDEX(tsk_ID,(ROW()-ROW(MSPTasks[[#Headers],[ID]]))))</f>
        <v/>
      </c>
      <c r="B44" s="24" t="str">
        <f aca="false">IF(IFERROR(INDEX(tsk_Name,(ROW()-ROW(MSPTasks[[#Headers],[ID]])))="",TRUE()),"",INDEX(tsk_UID,(ROW()-ROW(MSPTasks[[#Headers],[ID]]))))</f>
        <v/>
      </c>
      <c r="C44" s="24" t="str">
        <f aca="false">IF(IFERROR(INDEX(tsk_Name,(ROW()-ROW(MSPTasks[[#Headers],[ID]])))="",TRUE()),"",INDEX(tsk_Name,(ROW()-ROW(MSPTasks[[#Headers],[ID]]))))</f>
        <v/>
      </c>
      <c r="D44" s="24" t="str">
        <f aca="false">IF(IFERROR(INDEX(tsk_Name,(ROW()-ROW(MSPTasks[[#Headers],[ID]])))="",TRUE()),"",INDEX(tsk_Level,(ROW()-ROW(MSPTasks[[#Headers],[ID]]))))</f>
        <v/>
      </c>
      <c r="E44" s="24" t="str">
        <f aca="false">IF(IFERROR(INDEX(tsk_Name,(ROW()-ROW(MSPTasks[[#Headers],[ID]])))="",TRUE()),"",IF(INDEX(tsk_Mode,(ROW()-ROW(MSPTasks[[#Headers],[ID]])))="Manual","Manually Scheduled","Auto Scheduled"))</f>
        <v/>
      </c>
      <c r="F4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44" s="115" t="str">
        <f aca="false">IF(IFERROR(INDEX(tsk_Name,(ROW()-ROW(MSPTasks[[#Headers],[ID]])))="",TRUE()),"",INDEX(tsk_FcStart,(ROW()-ROW(MSPTasks[[#Headers],[ID]]))))</f>
        <v/>
      </c>
      <c r="H44" s="115" t="str">
        <f aca="false">IF(IFERROR(INDEX(tsk_Name,(ROW()-ROW(MSPTasks[[#Headers],[ID]])))="",TRUE()),"",INDEX(tsk_FcFinish,(ROW()-ROW(MSPTasks[[#Headers],[ID]]))))</f>
        <v/>
      </c>
      <c r="I4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4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4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4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4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4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44" s="115" t="str">
        <f aca="false">IF(IFERROR(INDEX(tsk_Name,(ROW()-ROW(MSPTasks[[#Headers],[ID]])))="",TRUE()),"",INDEX(tsk_PlanStart,(ROW()-ROW(MSPTasks[[#Headers],[ID]]))))</f>
        <v/>
      </c>
      <c r="P44" s="115" t="str">
        <f aca="false">IF(IFERROR(INDEX(tsk_Name,(ROW()-ROW(MSPTasks[[#Headers],[ID]])))="",TRUE()),"",INDEX(tsk_PlanFinish,(ROW()-ROW(MSPTasks[[#Headers],[ID]]))))</f>
        <v/>
      </c>
      <c r="Q4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4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4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4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4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4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4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4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4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44" s="24" t="str">
        <f aca="false">IF(IFERROR(INDEX(tsk_Name,(ROW()-ROW(MSPTasks[[#Headers],[ID]])))="",TRUE()),"",INDEX(tsk_Notes,(ROW()-ROW(MSPTasks[[#Headers],[ID]])))&amp;"")</f>
        <v/>
      </c>
    </row>
    <row r="45" customFormat="false" ht="15" hidden="false" customHeight="false" outlineLevel="0" collapsed="false">
      <c r="A45" s="24" t="str">
        <f aca="false">IF(IFERROR(INDEX(tsk_Name,(ROW()-ROW(MSPTasks[[#Headers],[ID]])))="",TRUE()),"",INDEX(tsk_ID,(ROW()-ROW(MSPTasks[[#Headers],[ID]]))))</f>
        <v/>
      </c>
      <c r="B45" s="24" t="str">
        <f aca="false">IF(IFERROR(INDEX(tsk_Name,(ROW()-ROW(MSPTasks[[#Headers],[ID]])))="",TRUE()),"",INDEX(tsk_UID,(ROW()-ROW(MSPTasks[[#Headers],[ID]]))))</f>
        <v/>
      </c>
      <c r="C45" s="24" t="str">
        <f aca="false">IF(IFERROR(INDEX(tsk_Name,(ROW()-ROW(MSPTasks[[#Headers],[ID]])))="",TRUE()),"",INDEX(tsk_Name,(ROW()-ROW(MSPTasks[[#Headers],[ID]]))))</f>
        <v/>
      </c>
      <c r="D45" s="24" t="str">
        <f aca="false">IF(IFERROR(INDEX(tsk_Name,(ROW()-ROW(MSPTasks[[#Headers],[ID]])))="",TRUE()),"",INDEX(tsk_Level,(ROW()-ROW(MSPTasks[[#Headers],[ID]]))))</f>
        <v/>
      </c>
      <c r="E45" s="24" t="str">
        <f aca="false">IF(IFERROR(INDEX(tsk_Name,(ROW()-ROW(MSPTasks[[#Headers],[ID]])))="",TRUE()),"",IF(INDEX(tsk_Mode,(ROW()-ROW(MSPTasks[[#Headers],[ID]])))="Manual","Manually Scheduled","Auto Scheduled"))</f>
        <v/>
      </c>
      <c r="F4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45" s="115" t="str">
        <f aca="false">IF(IFERROR(INDEX(tsk_Name,(ROW()-ROW(MSPTasks[[#Headers],[ID]])))="",TRUE()),"",INDEX(tsk_FcStart,(ROW()-ROW(MSPTasks[[#Headers],[ID]]))))</f>
        <v/>
      </c>
      <c r="H45" s="115" t="str">
        <f aca="false">IF(IFERROR(INDEX(tsk_Name,(ROW()-ROW(MSPTasks[[#Headers],[ID]])))="",TRUE()),"",INDEX(tsk_FcFinish,(ROW()-ROW(MSPTasks[[#Headers],[ID]]))))</f>
        <v/>
      </c>
      <c r="I4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4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4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4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4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4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45" s="115" t="str">
        <f aca="false">IF(IFERROR(INDEX(tsk_Name,(ROW()-ROW(MSPTasks[[#Headers],[ID]])))="",TRUE()),"",INDEX(tsk_PlanStart,(ROW()-ROW(MSPTasks[[#Headers],[ID]]))))</f>
        <v/>
      </c>
      <c r="P45" s="115" t="str">
        <f aca="false">IF(IFERROR(INDEX(tsk_Name,(ROW()-ROW(MSPTasks[[#Headers],[ID]])))="",TRUE()),"",INDEX(tsk_PlanFinish,(ROW()-ROW(MSPTasks[[#Headers],[ID]]))))</f>
        <v/>
      </c>
      <c r="Q4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4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4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4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4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4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4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4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4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45" s="24" t="str">
        <f aca="false">IF(IFERROR(INDEX(tsk_Name,(ROW()-ROW(MSPTasks[[#Headers],[ID]])))="",TRUE()),"",INDEX(tsk_Notes,(ROW()-ROW(MSPTasks[[#Headers],[ID]])))&amp;"")</f>
        <v/>
      </c>
    </row>
    <row r="46" customFormat="false" ht="15" hidden="false" customHeight="false" outlineLevel="0" collapsed="false">
      <c r="A46" s="24" t="str">
        <f aca="false">IF(IFERROR(INDEX(tsk_Name,(ROW()-ROW(MSPTasks[[#Headers],[ID]])))="",TRUE()),"",INDEX(tsk_ID,(ROW()-ROW(MSPTasks[[#Headers],[ID]]))))</f>
        <v/>
      </c>
      <c r="B46" s="24" t="str">
        <f aca="false">IF(IFERROR(INDEX(tsk_Name,(ROW()-ROW(MSPTasks[[#Headers],[ID]])))="",TRUE()),"",INDEX(tsk_UID,(ROW()-ROW(MSPTasks[[#Headers],[ID]]))))</f>
        <v/>
      </c>
      <c r="C46" s="24" t="str">
        <f aca="false">IF(IFERROR(INDEX(tsk_Name,(ROW()-ROW(MSPTasks[[#Headers],[ID]])))="",TRUE()),"",INDEX(tsk_Name,(ROW()-ROW(MSPTasks[[#Headers],[ID]]))))</f>
        <v/>
      </c>
      <c r="D46" s="24" t="str">
        <f aca="false">IF(IFERROR(INDEX(tsk_Name,(ROW()-ROW(MSPTasks[[#Headers],[ID]])))="",TRUE()),"",INDEX(tsk_Level,(ROW()-ROW(MSPTasks[[#Headers],[ID]]))))</f>
        <v/>
      </c>
      <c r="E46" s="24" t="str">
        <f aca="false">IF(IFERROR(INDEX(tsk_Name,(ROW()-ROW(MSPTasks[[#Headers],[ID]])))="",TRUE()),"",IF(INDEX(tsk_Mode,(ROW()-ROW(MSPTasks[[#Headers],[ID]])))="Manual","Manually Scheduled","Auto Scheduled"))</f>
        <v/>
      </c>
      <c r="F4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46" s="115" t="str">
        <f aca="false">IF(IFERROR(INDEX(tsk_Name,(ROW()-ROW(MSPTasks[[#Headers],[ID]])))="",TRUE()),"",INDEX(tsk_FcStart,(ROW()-ROW(MSPTasks[[#Headers],[ID]]))))</f>
        <v/>
      </c>
      <c r="H46" s="115" t="str">
        <f aca="false">IF(IFERROR(INDEX(tsk_Name,(ROW()-ROW(MSPTasks[[#Headers],[ID]])))="",TRUE()),"",INDEX(tsk_FcFinish,(ROW()-ROW(MSPTasks[[#Headers],[ID]]))))</f>
        <v/>
      </c>
      <c r="I4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4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4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4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4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4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46" s="115" t="str">
        <f aca="false">IF(IFERROR(INDEX(tsk_Name,(ROW()-ROW(MSPTasks[[#Headers],[ID]])))="",TRUE()),"",INDEX(tsk_PlanStart,(ROW()-ROW(MSPTasks[[#Headers],[ID]]))))</f>
        <v/>
      </c>
      <c r="P46" s="115" t="str">
        <f aca="false">IF(IFERROR(INDEX(tsk_Name,(ROW()-ROW(MSPTasks[[#Headers],[ID]])))="",TRUE()),"",INDEX(tsk_PlanFinish,(ROW()-ROW(MSPTasks[[#Headers],[ID]]))))</f>
        <v/>
      </c>
      <c r="Q4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4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4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4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4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4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4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4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4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46" s="24" t="str">
        <f aca="false">IF(IFERROR(INDEX(tsk_Name,(ROW()-ROW(MSPTasks[[#Headers],[ID]])))="",TRUE()),"",INDEX(tsk_Notes,(ROW()-ROW(MSPTasks[[#Headers],[ID]])))&amp;"")</f>
        <v/>
      </c>
    </row>
    <row r="47" customFormat="false" ht="15" hidden="false" customHeight="false" outlineLevel="0" collapsed="false">
      <c r="A47" s="24" t="str">
        <f aca="false">IF(IFERROR(INDEX(tsk_Name,(ROW()-ROW(MSPTasks[[#Headers],[ID]])))="",TRUE()),"",INDEX(tsk_ID,(ROW()-ROW(MSPTasks[[#Headers],[ID]]))))</f>
        <v/>
      </c>
      <c r="B47" s="24" t="str">
        <f aca="false">IF(IFERROR(INDEX(tsk_Name,(ROW()-ROW(MSPTasks[[#Headers],[ID]])))="",TRUE()),"",INDEX(tsk_UID,(ROW()-ROW(MSPTasks[[#Headers],[ID]]))))</f>
        <v/>
      </c>
      <c r="C47" s="24" t="str">
        <f aca="false">IF(IFERROR(INDEX(tsk_Name,(ROW()-ROW(MSPTasks[[#Headers],[ID]])))="",TRUE()),"",INDEX(tsk_Name,(ROW()-ROW(MSPTasks[[#Headers],[ID]]))))</f>
        <v/>
      </c>
      <c r="D47" s="24" t="str">
        <f aca="false">IF(IFERROR(INDEX(tsk_Name,(ROW()-ROW(MSPTasks[[#Headers],[ID]])))="",TRUE()),"",INDEX(tsk_Level,(ROW()-ROW(MSPTasks[[#Headers],[ID]]))))</f>
        <v/>
      </c>
      <c r="E47" s="24" t="str">
        <f aca="false">IF(IFERROR(INDEX(tsk_Name,(ROW()-ROW(MSPTasks[[#Headers],[ID]])))="",TRUE()),"",IF(INDEX(tsk_Mode,(ROW()-ROW(MSPTasks[[#Headers],[ID]])))="Manual","Manually Scheduled","Auto Scheduled"))</f>
        <v/>
      </c>
      <c r="F4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47" s="115" t="str">
        <f aca="false">IF(IFERROR(INDEX(tsk_Name,(ROW()-ROW(MSPTasks[[#Headers],[ID]])))="",TRUE()),"",INDEX(tsk_FcStart,(ROW()-ROW(MSPTasks[[#Headers],[ID]]))))</f>
        <v/>
      </c>
      <c r="H47" s="115" t="str">
        <f aca="false">IF(IFERROR(INDEX(tsk_Name,(ROW()-ROW(MSPTasks[[#Headers],[ID]])))="",TRUE()),"",INDEX(tsk_FcFinish,(ROW()-ROW(MSPTasks[[#Headers],[ID]]))))</f>
        <v/>
      </c>
      <c r="I4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4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4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4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4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4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47" s="115" t="str">
        <f aca="false">IF(IFERROR(INDEX(tsk_Name,(ROW()-ROW(MSPTasks[[#Headers],[ID]])))="",TRUE()),"",INDEX(tsk_PlanStart,(ROW()-ROW(MSPTasks[[#Headers],[ID]]))))</f>
        <v/>
      </c>
      <c r="P47" s="115" t="str">
        <f aca="false">IF(IFERROR(INDEX(tsk_Name,(ROW()-ROW(MSPTasks[[#Headers],[ID]])))="",TRUE()),"",INDEX(tsk_PlanFinish,(ROW()-ROW(MSPTasks[[#Headers],[ID]]))))</f>
        <v/>
      </c>
      <c r="Q4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4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4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4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4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4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4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4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4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47" s="24" t="str">
        <f aca="false">IF(IFERROR(INDEX(tsk_Name,(ROW()-ROW(MSPTasks[[#Headers],[ID]])))="",TRUE()),"",INDEX(tsk_Notes,(ROW()-ROW(MSPTasks[[#Headers],[ID]])))&amp;"")</f>
        <v/>
      </c>
    </row>
    <row r="48" customFormat="false" ht="15" hidden="false" customHeight="false" outlineLevel="0" collapsed="false">
      <c r="A48" s="24" t="str">
        <f aca="false">IF(IFERROR(INDEX(tsk_Name,(ROW()-ROW(MSPTasks[[#Headers],[ID]])))="",TRUE()),"",INDEX(tsk_ID,(ROW()-ROW(MSPTasks[[#Headers],[ID]]))))</f>
        <v/>
      </c>
      <c r="B48" s="24" t="str">
        <f aca="false">IF(IFERROR(INDEX(tsk_Name,(ROW()-ROW(MSPTasks[[#Headers],[ID]])))="",TRUE()),"",INDEX(tsk_UID,(ROW()-ROW(MSPTasks[[#Headers],[ID]]))))</f>
        <v/>
      </c>
      <c r="C48" s="24" t="str">
        <f aca="false">IF(IFERROR(INDEX(tsk_Name,(ROW()-ROW(MSPTasks[[#Headers],[ID]])))="",TRUE()),"",INDEX(tsk_Name,(ROW()-ROW(MSPTasks[[#Headers],[ID]]))))</f>
        <v/>
      </c>
      <c r="D48" s="24" t="str">
        <f aca="false">IF(IFERROR(INDEX(tsk_Name,(ROW()-ROW(MSPTasks[[#Headers],[ID]])))="",TRUE()),"",INDEX(tsk_Level,(ROW()-ROW(MSPTasks[[#Headers],[ID]]))))</f>
        <v/>
      </c>
      <c r="E48" s="24" t="str">
        <f aca="false">IF(IFERROR(INDEX(tsk_Name,(ROW()-ROW(MSPTasks[[#Headers],[ID]])))="",TRUE()),"",IF(INDEX(tsk_Mode,(ROW()-ROW(MSPTasks[[#Headers],[ID]])))="Manual","Manually Scheduled","Auto Scheduled"))</f>
        <v/>
      </c>
      <c r="F4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48" s="115" t="str">
        <f aca="false">IF(IFERROR(INDEX(tsk_Name,(ROW()-ROW(MSPTasks[[#Headers],[ID]])))="",TRUE()),"",INDEX(tsk_FcStart,(ROW()-ROW(MSPTasks[[#Headers],[ID]]))))</f>
        <v/>
      </c>
      <c r="H48" s="115" t="str">
        <f aca="false">IF(IFERROR(INDEX(tsk_Name,(ROW()-ROW(MSPTasks[[#Headers],[ID]])))="",TRUE()),"",INDEX(tsk_FcFinish,(ROW()-ROW(MSPTasks[[#Headers],[ID]]))))</f>
        <v/>
      </c>
      <c r="I4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4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4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4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4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4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48" s="115" t="str">
        <f aca="false">IF(IFERROR(INDEX(tsk_Name,(ROW()-ROW(MSPTasks[[#Headers],[ID]])))="",TRUE()),"",INDEX(tsk_PlanStart,(ROW()-ROW(MSPTasks[[#Headers],[ID]]))))</f>
        <v/>
      </c>
      <c r="P48" s="115" t="str">
        <f aca="false">IF(IFERROR(INDEX(tsk_Name,(ROW()-ROW(MSPTasks[[#Headers],[ID]])))="",TRUE()),"",INDEX(tsk_PlanFinish,(ROW()-ROW(MSPTasks[[#Headers],[ID]]))))</f>
        <v/>
      </c>
      <c r="Q4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4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4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4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4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4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4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4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4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48" s="24" t="str">
        <f aca="false">IF(IFERROR(INDEX(tsk_Name,(ROW()-ROW(MSPTasks[[#Headers],[ID]])))="",TRUE()),"",INDEX(tsk_Notes,(ROW()-ROW(MSPTasks[[#Headers],[ID]])))&amp;"")</f>
        <v/>
      </c>
    </row>
    <row r="49" customFormat="false" ht="15" hidden="false" customHeight="false" outlineLevel="0" collapsed="false">
      <c r="A49" s="24" t="str">
        <f aca="false">IF(IFERROR(INDEX(tsk_Name,(ROW()-ROW(MSPTasks[[#Headers],[ID]])))="",TRUE()),"",INDEX(tsk_ID,(ROW()-ROW(MSPTasks[[#Headers],[ID]]))))</f>
        <v/>
      </c>
      <c r="B49" s="24" t="str">
        <f aca="false">IF(IFERROR(INDEX(tsk_Name,(ROW()-ROW(MSPTasks[[#Headers],[ID]])))="",TRUE()),"",INDEX(tsk_UID,(ROW()-ROW(MSPTasks[[#Headers],[ID]]))))</f>
        <v/>
      </c>
      <c r="C49" s="24" t="str">
        <f aca="false">IF(IFERROR(INDEX(tsk_Name,(ROW()-ROW(MSPTasks[[#Headers],[ID]])))="",TRUE()),"",INDEX(tsk_Name,(ROW()-ROW(MSPTasks[[#Headers],[ID]]))))</f>
        <v/>
      </c>
      <c r="D49" s="24" t="str">
        <f aca="false">IF(IFERROR(INDEX(tsk_Name,(ROW()-ROW(MSPTasks[[#Headers],[ID]])))="",TRUE()),"",INDEX(tsk_Level,(ROW()-ROW(MSPTasks[[#Headers],[ID]]))))</f>
        <v/>
      </c>
      <c r="E49" s="24" t="str">
        <f aca="false">IF(IFERROR(INDEX(tsk_Name,(ROW()-ROW(MSPTasks[[#Headers],[ID]])))="",TRUE()),"",IF(INDEX(tsk_Mode,(ROW()-ROW(MSPTasks[[#Headers],[ID]])))="Manual","Manually Scheduled","Auto Scheduled"))</f>
        <v/>
      </c>
      <c r="F4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49" s="115" t="str">
        <f aca="false">IF(IFERROR(INDEX(tsk_Name,(ROW()-ROW(MSPTasks[[#Headers],[ID]])))="",TRUE()),"",INDEX(tsk_FcStart,(ROW()-ROW(MSPTasks[[#Headers],[ID]]))))</f>
        <v/>
      </c>
      <c r="H49" s="115" t="str">
        <f aca="false">IF(IFERROR(INDEX(tsk_Name,(ROW()-ROW(MSPTasks[[#Headers],[ID]])))="",TRUE()),"",INDEX(tsk_FcFinish,(ROW()-ROW(MSPTasks[[#Headers],[ID]]))))</f>
        <v/>
      </c>
      <c r="I4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4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4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4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4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4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49" s="115" t="str">
        <f aca="false">IF(IFERROR(INDEX(tsk_Name,(ROW()-ROW(MSPTasks[[#Headers],[ID]])))="",TRUE()),"",INDEX(tsk_PlanStart,(ROW()-ROW(MSPTasks[[#Headers],[ID]]))))</f>
        <v/>
      </c>
      <c r="P49" s="115" t="str">
        <f aca="false">IF(IFERROR(INDEX(tsk_Name,(ROW()-ROW(MSPTasks[[#Headers],[ID]])))="",TRUE()),"",INDEX(tsk_PlanFinish,(ROW()-ROW(MSPTasks[[#Headers],[ID]]))))</f>
        <v/>
      </c>
      <c r="Q4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4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4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4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4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4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4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4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4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49" s="24" t="str">
        <f aca="false">IF(IFERROR(INDEX(tsk_Name,(ROW()-ROW(MSPTasks[[#Headers],[ID]])))="",TRUE()),"",INDEX(tsk_Notes,(ROW()-ROW(MSPTasks[[#Headers],[ID]])))&amp;"")</f>
        <v/>
      </c>
    </row>
    <row r="50" customFormat="false" ht="15" hidden="false" customHeight="false" outlineLevel="0" collapsed="false">
      <c r="A50" s="24" t="str">
        <f aca="false">IF(IFERROR(INDEX(tsk_Name,(ROW()-ROW(MSPTasks[[#Headers],[ID]])))="",TRUE()),"",INDEX(tsk_ID,(ROW()-ROW(MSPTasks[[#Headers],[ID]]))))</f>
        <v/>
      </c>
      <c r="B50" s="24" t="str">
        <f aca="false">IF(IFERROR(INDEX(tsk_Name,(ROW()-ROW(MSPTasks[[#Headers],[ID]])))="",TRUE()),"",INDEX(tsk_UID,(ROW()-ROW(MSPTasks[[#Headers],[ID]]))))</f>
        <v/>
      </c>
      <c r="C50" s="24" t="str">
        <f aca="false">IF(IFERROR(INDEX(tsk_Name,(ROW()-ROW(MSPTasks[[#Headers],[ID]])))="",TRUE()),"",INDEX(tsk_Name,(ROW()-ROW(MSPTasks[[#Headers],[ID]]))))</f>
        <v/>
      </c>
      <c r="D50" s="24" t="str">
        <f aca="false">IF(IFERROR(INDEX(tsk_Name,(ROW()-ROW(MSPTasks[[#Headers],[ID]])))="",TRUE()),"",INDEX(tsk_Level,(ROW()-ROW(MSPTasks[[#Headers],[ID]]))))</f>
        <v/>
      </c>
      <c r="E50" s="24" t="str">
        <f aca="false">IF(IFERROR(INDEX(tsk_Name,(ROW()-ROW(MSPTasks[[#Headers],[ID]])))="",TRUE()),"",IF(INDEX(tsk_Mode,(ROW()-ROW(MSPTasks[[#Headers],[ID]])))="Manual","Manually Scheduled","Auto Scheduled"))</f>
        <v/>
      </c>
      <c r="F5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50" s="115" t="str">
        <f aca="false">IF(IFERROR(INDEX(tsk_Name,(ROW()-ROW(MSPTasks[[#Headers],[ID]])))="",TRUE()),"",INDEX(tsk_FcStart,(ROW()-ROW(MSPTasks[[#Headers],[ID]]))))</f>
        <v/>
      </c>
      <c r="H50" s="115" t="str">
        <f aca="false">IF(IFERROR(INDEX(tsk_Name,(ROW()-ROW(MSPTasks[[#Headers],[ID]])))="",TRUE()),"",INDEX(tsk_FcFinish,(ROW()-ROW(MSPTasks[[#Headers],[ID]]))))</f>
        <v/>
      </c>
      <c r="I5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5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5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5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5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5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50" s="115" t="str">
        <f aca="false">IF(IFERROR(INDEX(tsk_Name,(ROW()-ROW(MSPTasks[[#Headers],[ID]])))="",TRUE()),"",INDEX(tsk_PlanStart,(ROW()-ROW(MSPTasks[[#Headers],[ID]]))))</f>
        <v/>
      </c>
      <c r="P50" s="115" t="str">
        <f aca="false">IF(IFERROR(INDEX(tsk_Name,(ROW()-ROW(MSPTasks[[#Headers],[ID]])))="",TRUE()),"",INDEX(tsk_PlanFinish,(ROW()-ROW(MSPTasks[[#Headers],[ID]]))))</f>
        <v/>
      </c>
      <c r="Q5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5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5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5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5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5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5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5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5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50" s="24" t="str">
        <f aca="false">IF(IFERROR(INDEX(tsk_Name,(ROW()-ROW(MSPTasks[[#Headers],[ID]])))="",TRUE()),"",INDEX(tsk_Notes,(ROW()-ROW(MSPTasks[[#Headers],[ID]])))&amp;"")</f>
        <v/>
      </c>
    </row>
    <row r="51" customFormat="false" ht="15" hidden="false" customHeight="false" outlineLevel="0" collapsed="false">
      <c r="A51" s="24" t="str">
        <f aca="false">IF(IFERROR(INDEX(tsk_Name,(ROW()-ROW(MSPTasks[[#Headers],[ID]])))="",TRUE()),"",INDEX(tsk_ID,(ROW()-ROW(MSPTasks[[#Headers],[ID]]))))</f>
        <v/>
      </c>
      <c r="B51" s="24" t="str">
        <f aca="false">IF(IFERROR(INDEX(tsk_Name,(ROW()-ROW(MSPTasks[[#Headers],[ID]])))="",TRUE()),"",INDEX(tsk_UID,(ROW()-ROW(MSPTasks[[#Headers],[ID]]))))</f>
        <v/>
      </c>
      <c r="C51" s="24" t="str">
        <f aca="false">IF(IFERROR(INDEX(tsk_Name,(ROW()-ROW(MSPTasks[[#Headers],[ID]])))="",TRUE()),"",INDEX(tsk_Name,(ROW()-ROW(MSPTasks[[#Headers],[ID]]))))</f>
        <v/>
      </c>
      <c r="D51" s="24" t="str">
        <f aca="false">IF(IFERROR(INDEX(tsk_Name,(ROW()-ROW(MSPTasks[[#Headers],[ID]])))="",TRUE()),"",INDEX(tsk_Level,(ROW()-ROW(MSPTasks[[#Headers],[ID]]))))</f>
        <v/>
      </c>
      <c r="E51" s="24" t="str">
        <f aca="false">IF(IFERROR(INDEX(tsk_Name,(ROW()-ROW(MSPTasks[[#Headers],[ID]])))="",TRUE()),"",IF(INDEX(tsk_Mode,(ROW()-ROW(MSPTasks[[#Headers],[ID]])))="Manual","Manually Scheduled","Auto Scheduled"))</f>
        <v/>
      </c>
      <c r="F5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51" s="115" t="str">
        <f aca="false">IF(IFERROR(INDEX(tsk_Name,(ROW()-ROW(MSPTasks[[#Headers],[ID]])))="",TRUE()),"",INDEX(tsk_FcStart,(ROW()-ROW(MSPTasks[[#Headers],[ID]]))))</f>
        <v/>
      </c>
      <c r="H51" s="115" t="str">
        <f aca="false">IF(IFERROR(INDEX(tsk_Name,(ROW()-ROW(MSPTasks[[#Headers],[ID]])))="",TRUE()),"",INDEX(tsk_FcFinish,(ROW()-ROW(MSPTasks[[#Headers],[ID]]))))</f>
        <v/>
      </c>
      <c r="I5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5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5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5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5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5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51" s="115" t="str">
        <f aca="false">IF(IFERROR(INDEX(tsk_Name,(ROW()-ROW(MSPTasks[[#Headers],[ID]])))="",TRUE()),"",INDEX(tsk_PlanStart,(ROW()-ROW(MSPTasks[[#Headers],[ID]]))))</f>
        <v/>
      </c>
      <c r="P51" s="115" t="str">
        <f aca="false">IF(IFERROR(INDEX(tsk_Name,(ROW()-ROW(MSPTasks[[#Headers],[ID]])))="",TRUE()),"",INDEX(tsk_PlanFinish,(ROW()-ROW(MSPTasks[[#Headers],[ID]]))))</f>
        <v/>
      </c>
      <c r="Q5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5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5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5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5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5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5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5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5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51" s="24" t="str">
        <f aca="false">IF(IFERROR(INDEX(tsk_Name,(ROW()-ROW(MSPTasks[[#Headers],[ID]])))="",TRUE()),"",INDEX(tsk_Notes,(ROW()-ROW(MSPTasks[[#Headers],[ID]])))&amp;"")</f>
        <v/>
      </c>
    </row>
    <row r="52" customFormat="false" ht="15" hidden="false" customHeight="false" outlineLevel="0" collapsed="false">
      <c r="A52" s="24" t="str">
        <f aca="false">IF(IFERROR(INDEX(tsk_Name,(ROW()-ROW(MSPTasks[[#Headers],[ID]])))="",TRUE()),"",INDEX(tsk_ID,(ROW()-ROW(MSPTasks[[#Headers],[ID]]))))</f>
        <v/>
      </c>
      <c r="B52" s="24" t="str">
        <f aca="false">IF(IFERROR(INDEX(tsk_Name,(ROW()-ROW(MSPTasks[[#Headers],[ID]])))="",TRUE()),"",INDEX(tsk_UID,(ROW()-ROW(MSPTasks[[#Headers],[ID]]))))</f>
        <v/>
      </c>
      <c r="C52" s="24" t="str">
        <f aca="false">IF(IFERROR(INDEX(tsk_Name,(ROW()-ROW(MSPTasks[[#Headers],[ID]])))="",TRUE()),"",INDEX(tsk_Name,(ROW()-ROW(MSPTasks[[#Headers],[ID]]))))</f>
        <v/>
      </c>
      <c r="D52" s="24" t="str">
        <f aca="false">IF(IFERROR(INDEX(tsk_Name,(ROW()-ROW(MSPTasks[[#Headers],[ID]])))="",TRUE()),"",INDEX(tsk_Level,(ROW()-ROW(MSPTasks[[#Headers],[ID]]))))</f>
        <v/>
      </c>
      <c r="E52" s="24" t="str">
        <f aca="false">IF(IFERROR(INDEX(tsk_Name,(ROW()-ROW(MSPTasks[[#Headers],[ID]])))="",TRUE()),"",IF(INDEX(tsk_Mode,(ROW()-ROW(MSPTasks[[#Headers],[ID]])))="Manual","Manually Scheduled","Auto Scheduled"))</f>
        <v/>
      </c>
      <c r="F5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52" s="115" t="str">
        <f aca="false">IF(IFERROR(INDEX(tsk_Name,(ROW()-ROW(MSPTasks[[#Headers],[ID]])))="",TRUE()),"",INDEX(tsk_FcStart,(ROW()-ROW(MSPTasks[[#Headers],[ID]]))))</f>
        <v/>
      </c>
      <c r="H52" s="115" t="str">
        <f aca="false">IF(IFERROR(INDEX(tsk_Name,(ROW()-ROW(MSPTasks[[#Headers],[ID]])))="",TRUE()),"",INDEX(tsk_FcFinish,(ROW()-ROW(MSPTasks[[#Headers],[ID]]))))</f>
        <v/>
      </c>
      <c r="I5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5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5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5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5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5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52" s="115" t="str">
        <f aca="false">IF(IFERROR(INDEX(tsk_Name,(ROW()-ROW(MSPTasks[[#Headers],[ID]])))="",TRUE()),"",INDEX(tsk_PlanStart,(ROW()-ROW(MSPTasks[[#Headers],[ID]]))))</f>
        <v/>
      </c>
      <c r="P52" s="115" t="str">
        <f aca="false">IF(IFERROR(INDEX(tsk_Name,(ROW()-ROW(MSPTasks[[#Headers],[ID]])))="",TRUE()),"",INDEX(tsk_PlanFinish,(ROW()-ROW(MSPTasks[[#Headers],[ID]]))))</f>
        <v/>
      </c>
      <c r="Q5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5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5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5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5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5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5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5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5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52" s="24" t="str">
        <f aca="false">IF(IFERROR(INDEX(tsk_Name,(ROW()-ROW(MSPTasks[[#Headers],[ID]])))="",TRUE()),"",INDEX(tsk_Notes,(ROW()-ROW(MSPTasks[[#Headers],[ID]])))&amp;"")</f>
        <v/>
      </c>
    </row>
    <row r="53" customFormat="false" ht="15" hidden="false" customHeight="false" outlineLevel="0" collapsed="false">
      <c r="A53" s="24" t="str">
        <f aca="false">IF(IFERROR(INDEX(tsk_Name,(ROW()-ROW(MSPTasks[[#Headers],[ID]])))="",TRUE()),"",INDEX(tsk_ID,(ROW()-ROW(MSPTasks[[#Headers],[ID]]))))</f>
        <v/>
      </c>
      <c r="B53" s="24" t="str">
        <f aca="false">IF(IFERROR(INDEX(tsk_Name,(ROW()-ROW(MSPTasks[[#Headers],[ID]])))="",TRUE()),"",INDEX(tsk_UID,(ROW()-ROW(MSPTasks[[#Headers],[ID]]))))</f>
        <v/>
      </c>
      <c r="C53" s="24" t="str">
        <f aca="false">IF(IFERROR(INDEX(tsk_Name,(ROW()-ROW(MSPTasks[[#Headers],[ID]])))="",TRUE()),"",INDEX(tsk_Name,(ROW()-ROW(MSPTasks[[#Headers],[ID]]))))</f>
        <v/>
      </c>
      <c r="D53" s="24" t="str">
        <f aca="false">IF(IFERROR(INDEX(tsk_Name,(ROW()-ROW(MSPTasks[[#Headers],[ID]])))="",TRUE()),"",INDEX(tsk_Level,(ROW()-ROW(MSPTasks[[#Headers],[ID]]))))</f>
        <v/>
      </c>
      <c r="E53" s="24" t="str">
        <f aca="false">IF(IFERROR(INDEX(tsk_Name,(ROW()-ROW(MSPTasks[[#Headers],[ID]])))="",TRUE()),"",IF(INDEX(tsk_Mode,(ROW()-ROW(MSPTasks[[#Headers],[ID]])))="Manual","Manually Scheduled","Auto Scheduled"))</f>
        <v/>
      </c>
      <c r="F5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53" s="115" t="str">
        <f aca="false">IF(IFERROR(INDEX(tsk_Name,(ROW()-ROW(MSPTasks[[#Headers],[ID]])))="",TRUE()),"",INDEX(tsk_FcStart,(ROW()-ROW(MSPTasks[[#Headers],[ID]]))))</f>
        <v/>
      </c>
      <c r="H53" s="115" t="str">
        <f aca="false">IF(IFERROR(INDEX(tsk_Name,(ROW()-ROW(MSPTasks[[#Headers],[ID]])))="",TRUE()),"",INDEX(tsk_FcFinish,(ROW()-ROW(MSPTasks[[#Headers],[ID]]))))</f>
        <v/>
      </c>
      <c r="I5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5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5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5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5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5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53" s="115" t="str">
        <f aca="false">IF(IFERROR(INDEX(tsk_Name,(ROW()-ROW(MSPTasks[[#Headers],[ID]])))="",TRUE()),"",INDEX(tsk_PlanStart,(ROW()-ROW(MSPTasks[[#Headers],[ID]]))))</f>
        <v/>
      </c>
      <c r="P53" s="115" t="str">
        <f aca="false">IF(IFERROR(INDEX(tsk_Name,(ROW()-ROW(MSPTasks[[#Headers],[ID]])))="",TRUE()),"",INDEX(tsk_PlanFinish,(ROW()-ROW(MSPTasks[[#Headers],[ID]]))))</f>
        <v/>
      </c>
      <c r="Q5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5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5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5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5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5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5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5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5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53" s="24" t="str">
        <f aca="false">IF(IFERROR(INDEX(tsk_Name,(ROW()-ROW(MSPTasks[[#Headers],[ID]])))="",TRUE()),"",INDEX(tsk_Notes,(ROW()-ROW(MSPTasks[[#Headers],[ID]])))&amp;"")</f>
        <v/>
      </c>
    </row>
    <row r="54" customFormat="false" ht="15" hidden="false" customHeight="false" outlineLevel="0" collapsed="false">
      <c r="A54" s="24" t="str">
        <f aca="false">IF(IFERROR(INDEX(tsk_Name,(ROW()-ROW(MSPTasks[[#Headers],[ID]])))="",TRUE()),"",INDEX(tsk_ID,(ROW()-ROW(MSPTasks[[#Headers],[ID]]))))</f>
        <v/>
      </c>
      <c r="B54" s="24" t="str">
        <f aca="false">IF(IFERROR(INDEX(tsk_Name,(ROW()-ROW(MSPTasks[[#Headers],[ID]])))="",TRUE()),"",INDEX(tsk_UID,(ROW()-ROW(MSPTasks[[#Headers],[ID]]))))</f>
        <v/>
      </c>
      <c r="C54" s="24" t="str">
        <f aca="false">IF(IFERROR(INDEX(tsk_Name,(ROW()-ROW(MSPTasks[[#Headers],[ID]])))="",TRUE()),"",INDEX(tsk_Name,(ROW()-ROW(MSPTasks[[#Headers],[ID]]))))</f>
        <v/>
      </c>
      <c r="D54" s="24" t="str">
        <f aca="false">IF(IFERROR(INDEX(tsk_Name,(ROW()-ROW(MSPTasks[[#Headers],[ID]])))="",TRUE()),"",INDEX(tsk_Level,(ROW()-ROW(MSPTasks[[#Headers],[ID]]))))</f>
        <v/>
      </c>
      <c r="E54" s="24" t="str">
        <f aca="false">IF(IFERROR(INDEX(tsk_Name,(ROW()-ROW(MSPTasks[[#Headers],[ID]])))="",TRUE()),"",IF(INDEX(tsk_Mode,(ROW()-ROW(MSPTasks[[#Headers],[ID]])))="Manual","Manually Scheduled","Auto Scheduled"))</f>
        <v/>
      </c>
      <c r="F5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54" s="115" t="str">
        <f aca="false">IF(IFERROR(INDEX(tsk_Name,(ROW()-ROW(MSPTasks[[#Headers],[ID]])))="",TRUE()),"",INDEX(tsk_FcStart,(ROW()-ROW(MSPTasks[[#Headers],[ID]]))))</f>
        <v/>
      </c>
      <c r="H54" s="115" t="str">
        <f aca="false">IF(IFERROR(INDEX(tsk_Name,(ROW()-ROW(MSPTasks[[#Headers],[ID]])))="",TRUE()),"",INDEX(tsk_FcFinish,(ROW()-ROW(MSPTasks[[#Headers],[ID]]))))</f>
        <v/>
      </c>
      <c r="I5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5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5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5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5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5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54" s="115" t="str">
        <f aca="false">IF(IFERROR(INDEX(tsk_Name,(ROW()-ROW(MSPTasks[[#Headers],[ID]])))="",TRUE()),"",INDEX(tsk_PlanStart,(ROW()-ROW(MSPTasks[[#Headers],[ID]]))))</f>
        <v/>
      </c>
      <c r="P54" s="115" t="str">
        <f aca="false">IF(IFERROR(INDEX(tsk_Name,(ROW()-ROW(MSPTasks[[#Headers],[ID]])))="",TRUE()),"",INDEX(tsk_PlanFinish,(ROW()-ROW(MSPTasks[[#Headers],[ID]]))))</f>
        <v/>
      </c>
      <c r="Q5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5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5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5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5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5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5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5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5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54" s="24" t="str">
        <f aca="false">IF(IFERROR(INDEX(tsk_Name,(ROW()-ROW(MSPTasks[[#Headers],[ID]])))="",TRUE()),"",INDEX(tsk_Notes,(ROW()-ROW(MSPTasks[[#Headers],[ID]])))&amp;"")</f>
        <v/>
      </c>
    </row>
    <row r="55" customFormat="false" ht="15" hidden="false" customHeight="false" outlineLevel="0" collapsed="false">
      <c r="A55" s="24" t="str">
        <f aca="false">IF(IFERROR(INDEX(tsk_Name,(ROW()-ROW(MSPTasks[[#Headers],[ID]])))="",TRUE()),"",INDEX(tsk_ID,(ROW()-ROW(MSPTasks[[#Headers],[ID]]))))</f>
        <v/>
      </c>
      <c r="B55" s="24" t="str">
        <f aca="false">IF(IFERROR(INDEX(tsk_Name,(ROW()-ROW(MSPTasks[[#Headers],[ID]])))="",TRUE()),"",INDEX(tsk_UID,(ROW()-ROW(MSPTasks[[#Headers],[ID]]))))</f>
        <v/>
      </c>
      <c r="C55" s="24" t="str">
        <f aca="false">IF(IFERROR(INDEX(tsk_Name,(ROW()-ROW(MSPTasks[[#Headers],[ID]])))="",TRUE()),"",INDEX(tsk_Name,(ROW()-ROW(MSPTasks[[#Headers],[ID]]))))</f>
        <v/>
      </c>
      <c r="D55" s="24" t="str">
        <f aca="false">IF(IFERROR(INDEX(tsk_Name,(ROW()-ROW(MSPTasks[[#Headers],[ID]])))="",TRUE()),"",INDEX(tsk_Level,(ROW()-ROW(MSPTasks[[#Headers],[ID]]))))</f>
        <v/>
      </c>
      <c r="E55" s="24" t="str">
        <f aca="false">IF(IFERROR(INDEX(tsk_Name,(ROW()-ROW(MSPTasks[[#Headers],[ID]])))="",TRUE()),"",IF(INDEX(tsk_Mode,(ROW()-ROW(MSPTasks[[#Headers],[ID]])))="Manual","Manually Scheduled","Auto Scheduled"))</f>
        <v/>
      </c>
      <c r="F5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55" s="115" t="str">
        <f aca="false">IF(IFERROR(INDEX(tsk_Name,(ROW()-ROW(MSPTasks[[#Headers],[ID]])))="",TRUE()),"",INDEX(tsk_FcStart,(ROW()-ROW(MSPTasks[[#Headers],[ID]]))))</f>
        <v/>
      </c>
      <c r="H55" s="115" t="str">
        <f aca="false">IF(IFERROR(INDEX(tsk_Name,(ROW()-ROW(MSPTasks[[#Headers],[ID]])))="",TRUE()),"",INDEX(tsk_FcFinish,(ROW()-ROW(MSPTasks[[#Headers],[ID]]))))</f>
        <v/>
      </c>
      <c r="I5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5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5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5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5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5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55" s="115" t="str">
        <f aca="false">IF(IFERROR(INDEX(tsk_Name,(ROW()-ROW(MSPTasks[[#Headers],[ID]])))="",TRUE()),"",INDEX(tsk_PlanStart,(ROW()-ROW(MSPTasks[[#Headers],[ID]]))))</f>
        <v/>
      </c>
      <c r="P55" s="115" t="str">
        <f aca="false">IF(IFERROR(INDEX(tsk_Name,(ROW()-ROW(MSPTasks[[#Headers],[ID]])))="",TRUE()),"",INDEX(tsk_PlanFinish,(ROW()-ROW(MSPTasks[[#Headers],[ID]]))))</f>
        <v/>
      </c>
      <c r="Q5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5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5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5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5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5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5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5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5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55" s="24" t="str">
        <f aca="false">IF(IFERROR(INDEX(tsk_Name,(ROW()-ROW(MSPTasks[[#Headers],[ID]])))="",TRUE()),"",INDEX(tsk_Notes,(ROW()-ROW(MSPTasks[[#Headers],[ID]])))&amp;"")</f>
        <v/>
      </c>
    </row>
    <row r="56" customFormat="false" ht="15" hidden="false" customHeight="false" outlineLevel="0" collapsed="false">
      <c r="A56" s="24" t="str">
        <f aca="false">IF(IFERROR(INDEX(tsk_Name,(ROW()-ROW(MSPTasks[[#Headers],[ID]])))="",TRUE()),"",INDEX(tsk_ID,(ROW()-ROW(MSPTasks[[#Headers],[ID]]))))</f>
        <v/>
      </c>
      <c r="B56" s="24" t="str">
        <f aca="false">IF(IFERROR(INDEX(tsk_Name,(ROW()-ROW(MSPTasks[[#Headers],[ID]])))="",TRUE()),"",INDEX(tsk_UID,(ROW()-ROW(MSPTasks[[#Headers],[ID]]))))</f>
        <v/>
      </c>
      <c r="C56" s="24" t="str">
        <f aca="false">IF(IFERROR(INDEX(tsk_Name,(ROW()-ROW(MSPTasks[[#Headers],[ID]])))="",TRUE()),"",INDEX(tsk_Name,(ROW()-ROW(MSPTasks[[#Headers],[ID]]))))</f>
        <v/>
      </c>
      <c r="D56" s="24" t="str">
        <f aca="false">IF(IFERROR(INDEX(tsk_Name,(ROW()-ROW(MSPTasks[[#Headers],[ID]])))="",TRUE()),"",INDEX(tsk_Level,(ROW()-ROW(MSPTasks[[#Headers],[ID]]))))</f>
        <v/>
      </c>
      <c r="E56" s="24" t="str">
        <f aca="false">IF(IFERROR(INDEX(tsk_Name,(ROW()-ROW(MSPTasks[[#Headers],[ID]])))="",TRUE()),"",IF(INDEX(tsk_Mode,(ROW()-ROW(MSPTasks[[#Headers],[ID]])))="Manual","Manually Scheduled","Auto Scheduled"))</f>
        <v/>
      </c>
      <c r="F5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56" s="115" t="str">
        <f aca="false">IF(IFERROR(INDEX(tsk_Name,(ROW()-ROW(MSPTasks[[#Headers],[ID]])))="",TRUE()),"",INDEX(tsk_FcStart,(ROW()-ROW(MSPTasks[[#Headers],[ID]]))))</f>
        <v/>
      </c>
      <c r="H56" s="115" t="str">
        <f aca="false">IF(IFERROR(INDEX(tsk_Name,(ROW()-ROW(MSPTasks[[#Headers],[ID]])))="",TRUE()),"",INDEX(tsk_FcFinish,(ROW()-ROW(MSPTasks[[#Headers],[ID]]))))</f>
        <v/>
      </c>
      <c r="I5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5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5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5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5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5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56" s="115" t="str">
        <f aca="false">IF(IFERROR(INDEX(tsk_Name,(ROW()-ROW(MSPTasks[[#Headers],[ID]])))="",TRUE()),"",INDEX(tsk_PlanStart,(ROW()-ROW(MSPTasks[[#Headers],[ID]]))))</f>
        <v/>
      </c>
      <c r="P56" s="115" t="str">
        <f aca="false">IF(IFERROR(INDEX(tsk_Name,(ROW()-ROW(MSPTasks[[#Headers],[ID]])))="",TRUE()),"",INDEX(tsk_PlanFinish,(ROW()-ROW(MSPTasks[[#Headers],[ID]]))))</f>
        <v/>
      </c>
      <c r="Q5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5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5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5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5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5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5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5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5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56" s="24" t="str">
        <f aca="false">IF(IFERROR(INDEX(tsk_Name,(ROW()-ROW(MSPTasks[[#Headers],[ID]])))="",TRUE()),"",INDEX(tsk_Notes,(ROW()-ROW(MSPTasks[[#Headers],[ID]])))&amp;"")</f>
        <v/>
      </c>
    </row>
    <row r="57" customFormat="false" ht="15" hidden="false" customHeight="false" outlineLevel="0" collapsed="false">
      <c r="A57" s="24" t="str">
        <f aca="false">IF(IFERROR(INDEX(tsk_Name,(ROW()-ROW(MSPTasks[[#Headers],[ID]])))="",TRUE()),"",INDEX(tsk_ID,(ROW()-ROW(MSPTasks[[#Headers],[ID]]))))</f>
        <v/>
      </c>
      <c r="B57" s="24" t="str">
        <f aca="false">IF(IFERROR(INDEX(tsk_Name,(ROW()-ROW(MSPTasks[[#Headers],[ID]])))="",TRUE()),"",INDEX(tsk_UID,(ROW()-ROW(MSPTasks[[#Headers],[ID]]))))</f>
        <v/>
      </c>
      <c r="C57" s="24" t="str">
        <f aca="false">IF(IFERROR(INDEX(tsk_Name,(ROW()-ROW(MSPTasks[[#Headers],[ID]])))="",TRUE()),"",INDEX(tsk_Name,(ROW()-ROW(MSPTasks[[#Headers],[ID]]))))</f>
        <v/>
      </c>
      <c r="D57" s="24" t="str">
        <f aca="false">IF(IFERROR(INDEX(tsk_Name,(ROW()-ROW(MSPTasks[[#Headers],[ID]])))="",TRUE()),"",INDEX(tsk_Level,(ROW()-ROW(MSPTasks[[#Headers],[ID]]))))</f>
        <v/>
      </c>
      <c r="E57" s="24" t="str">
        <f aca="false">IF(IFERROR(INDEX(tsk_Name,(ROW()-ROW(MSPTasks[[#Headers],[ID]])))="",TRUE()),"",IF(INDEX(tsk_Mode,(ROW()-ROW(MSPTasks[[#Headers],[ID]])))="Manual","Manually Scheduled","Auto Scheduled"))</f>
        <v/>
      </c>
      <c r="F5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57" s="115" t="str">
        <f aca="false">IF(IFERROR(INDEX(tsk_Name,(ROW()-ROW(MSPTasks[[#Headers],[ID]])))="",TRUE()),"",INDEX(tsk_FcStart,(ROW()-ROW(MSPTasks[[#Headers],[ID]]))))</f>
        <v/>
      </c>
      <c r="H57" s="115" t="str">
        <f aca="false">IF(IFERROR(INDEX(tsk_Name,(ROW()-ROW(MSPTasks[[#Headers],[ID]])))="",TRUE()),"",INDEX(tsk_FcFinish,(ROW()-ROW(MSPTasks[[#Headers],[ID]]))))</f>
        <v/>
      </c>
      <c r="I5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5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5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5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5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5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57" s="115" t="str">
        <f aca="false">IF(IFERROR(INDEX(tsk_Name,(ROW()-ROW(MSPTasks[[#Headers],[ID]])))="",TRUE()),"",INDEX(tsk_PlanStart,(ROW()-ROW(MSPTasks[[#Headers],[ID]]))))</f>
        <v/>
      </c>
      <c r="P57" s="115" t="str">
        <f aca="false">IF(IFERROR(INDEX(tsk_Name,(ROW()-ROW(MSPTasks[[#Headers],[ID]])))="",TRUE()),"",INDEX(tsk_PlanFinish,(ROW()-ROW(MSPTasks[[#Headers],[ID]]))))</f>
        <v/>
      </c>
      <c r="Q5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5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5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5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5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5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5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5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5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57" s="24" t="str">
        <f aca="false">IF(IFERROR(INDEX(tsk_Name,(ROW()-ROW(MSPTasks[[#Headers],[ID]])))="",TRUE()),"",INDEX(tsk_Notes,(ROW()-ROW(MSPTasks[[#Headers],[ID]])))&amp;"")</f>
        <v/>
      </c>
    </row>
    <row r="58" customFormat="false" ht="15" hidden="false" customHeight="false" outlineLevel="0" collapsed="false">
      <c r="A58" s="24" t="str">
        <f aca="false">IF(IFERROR(INDEX(tsk_Name,(ROW()-ROW(MSPTasks[[#Headers],[ID]])))="",TRUE()),"",INDEX(tsk_ID,(ROW()-ROW(MSPTasks[[#Headers],[ID]]))))</f>
        <v/>
      </c>
      <c r="B58" s="24" t="str">
        <f aca="false">IF(IFERROR(INDEX(tsk_Name,(ROW()-ROW(MSPTasks[[#Headers],[ID]])))="",TRUE()),"",INDEX(tsk_UID,(ROW()-ROW(MSPTasks[[#Headers],[ID]]))))</f>
        <v/>
      </c>
      <c r="C58" s="24" t="str">
        <f aca="false">IF(IFERROR(INDEX(tsk_Name,(ROW()-ROW(MSPTasks[[#Headers],[ID]])))="",TRUE()),"",INDEX(tsk_Name,(ROW()-ROW(MSPTasks[[#Headers],[ID]]))))</f>
        <v/>
      </c>
      <c r="D58" s="24" t="str">
        <f aca="false">IF(IFERROR(INDEX(tsk_Name,(ROW()-ROW(MSPTasks[[#Headers],[ID]])))="",TRUE()),"",INDEX(tsk_Level,(ROW()-ROW(MSPTasks[[#Headers],[ID]]))))</f>
        <v/>
      </c>
      <c r="E58" s="24" t="str">
        <f aca="false">IF(IFERROR(INDEX(tsk_Name,(ROW()-ROW(MSPTasks[[#Headers],[ID]])))="",TRUE()),"",IF(INDEX(tsk_Mode,(ROW()-ROW(MSPTasks[[#Headers],[ID]])))="Manual","Manually Scheduled","Auto Scheduled"))</f>
        <v/>
      </c>
      <c r="F5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58" s="115" t="str">
        <f aca="false">IF(IFERROR(INDEX(tsk_Name,(ROW()-ROW(MSPTasks[[#Headers],[ID]])))="",TRUE()),"",INDEX(tsk_FcStart,(ROW()-ROW(MSPTasks[[#Headers],[ID]]))))</f>
        <v/>
      </c>
      <c r="H58" s="115" t="str">
        <f aca="false">IF(IFERROR(INDEX(tsk_Name,(ROW()-ROW(MSPTasks[[#Headers],[ID]])))="",TRUE()),"",INDEX(tsk_FcFinish,(ROW()-ROW(MSPTasks[[#Headers],[ID]]))))</f>
        <v/>
      </c>
      <c r="I5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5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5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5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5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5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58" s="115" t="str">
        <f aca="false">IF(IFERROR(INDEX(tsk_Name,(ROW()-ROW(MSPTasks[[#Headers],[ID]])))="",TRUE()),"",INDEX(tsk_PlanStart,(ROW()-ROW(MSPTasks[[#Headers],[ID]]))))</f>
        <v/>
      </c>
      <c r="P58" s="115" t="str">
        <f aca="false">IF(IFERROR(INDEX(tsk_Name,(ROW()-ROW(MSPTasks[[#Headers],[ID]])))="",TRUE()),"",INDEX(tsk_PlanFinish,(ROW()-ROW(MSPTasks[[#Headers],[ID]]))))</f>
        <v/>
      </c>
      <c r="Q5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5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5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5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5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5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5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5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5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58" s="24" t="str">
        <f aca="false">IF(IFERROR(INDEX(tsk_Name,(ROW()-ROW(MSPTasks[[#Headers],[ID]])))="",TRUE()),"",INDEX(tsk_Notes,(ROW()-ROW(MSPTasks[[#Headers],[ID]])))&amp;"")</f>
        <v/>
      </c>
    </row>
    <row r="59" customFormat="false" ht="15" hidden="false" customHeight="false" outlineLevel="0" collapsed="false">
      <c r="A59" s="24" t="str">
        <f aca="false">IF(IFERROR(INDEX(tsk_Name,(ROW()-ROW(MSPTasks[[#Headers],[ID]])))="",TRUE()),"",INDEX(tsk_ID,(ROW()-ROW(MSPTasks[[#Headers],[ID]]))))</f>
        <v/>
      </c>
      <c r="B59" s="24" t="str">
        <f aca="false">IF(IFERROR(INDEX(tsk_Name,(ROW()-ROW(MSPTasks[[#Headers],[ID]])))="",TRUE()),"",INDEX(tsk_UID,(ROW()-ROW(MSPTasks[[#Headers],[ID]]))))</f>
        <v/>
      </c>
      <c r="C59" s="24" t="str">
        <f aca="false">IF(IFERROR(INDEX(tsk_Name,(ROW()-ROW(MSPTasks[[#Headers],[ID]])))="",TRUE()),"",INDEX(tsk_Name,(ROW()-ROW(MSPTasks[[#Headers],[ID]]))))</f>
        <v/>
      </c>
      <c r="D59" s="24" t="str">
        <f aca="false">IF(IFERROR(INDEX(tsk_Name,(ROW()-ROW(MSPTasks[[#Headers],[ID]])))="",TRUE()),"",INDEX(tsk_Level,(ROW()-ROW(MSPTasks[[#Headers],[ID]]))))</f>
        <v/>
      </c>
      <c r="E59" s="24" t="str">
        <f aca="false">IF(IFERROR(INDEX(tsk_Name,(ROW()-ROW(MSPTasks[[#Headers],[ID]])))="",TRUE()),"",IF(INDEX(tsk_Mode,(ROW()-ROW(MSPTasks[[#Headers],[ID]])))="Manual","Manually Scheduled","Auto Scheduled"))</f>
        <v/>
      </c>
      <c r="F5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59" s="115" t="str">
        <f aca="false">IF(IFERROR(INDEX(tsk_Name,(ROW()-ROW(MSPTasks[[#Headers],[ID]])))="",TRUE()),"",INDEX(tsk_FcStart,(ROW()-ROW(MSPTasks[[#Headers],[ID]]))))</f>
        <v/>
      </c>
      <c r="H59" s="115" t="str">
        <f aca="false">IF(IFERROR(INDEX(tsk_Name,(ROW()-ROW(MSPTasks[[#Headers],[ID]])))="",TRUE()),"",INDEX(tsk_FcFinish,(ROW()-ROW(MSPTasks[[#Headers],[ID]]))))</f>
        <v/>
      </c>
      <c r="I5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5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5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5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5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5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59" s="115" t="str">
        <f aca="false">IF(IFERROR(INDEX(tsk_Name,(ROW()-ROW(MSPTasks[[#Headers],[ID]])))="",TRUE()),"",INDEX(tsk_PlanStart,(ROW()-ROW(MSPTasks[[#Headers],[ID]]))))</f>
        <v/>
      </c>
      <c r="P59" s="115" t="str">
        <f aca="false">IF(IFERROR(INDEX(tsk_Name,(ROW()-ROW(MSPTasks[[#Headers],[ID]])))="",TRUE()),"",INDEX(tsk_PlanFinish,(ROW()-ROW(MSPTasks[[#Headers],[ID]]))))</f>
        <v/>
      </c>
      <c r="Q5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5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5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5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5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5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5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5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5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59" s="24" t="str">
        <f aca="false">IF(IFERROR(INDEX(tsk_Name,(ROW()-ROW(MSPTasks[[#Headers],[ID]])))="",TRUE()),"",INDEX(tsk_Notes,(ROW()-ROW(MSPTasks[[#Headers],[ID]])))&amp;"")</f>
        <v/>
      </c>
    </row>
    <row r="60" customFormat="false" ht="15" hidden="false" customHeight="false" outlineLevel="0" collapsed="false">
      <c r="A60" s="24" t="str">
        <f aca="false">IF(IFERROR(INDEX(tsk_Name,(ROW()-ROW(MSPTasks[[#Headers],[ID]])))="",TRUE()),"",INDEX(tsk_ID,(ROW()-ROW(MSPTasks[[#Headers],[ID]]))))</f>
        <v/>
      </c>
      <c r="B60" s="24" t="str">
        <f aca="false">IF(IFERROR(INDEX(tsk_Name,(ROW()-ROW(MSPTasks[[#Headers],[ID]])))="",TRUE()),"",INDEX(tsk_UID,(ROW()-ROW(MSPTasks[[#Headers],[ID]]))))</f>
        <v/>
      </c>
      <c r="C60" s="24" t="str">
        <f aca="false">IF(IFERROR(INDEX(tsk_Name,(ROW()-ROW(MSPTasks[[#Headers],[ID]])))="",TRUE()),"",INDEX(tsk_Name,(ROW()-ROW(MSPTasks[[#Headers],[ID]]))))</f>
        <v/>
      </c>
      <c r="D60" s="24" t="str">
        <f aca="false">IF(IFERROR(INDEX(tsk_Name,(ROW()-ROW(MSPTasks[[#Headers],[ID]])))="",TRUE()),"",INDEX(tsk_Level,(ROW()-ROW(MSPTasks[[#Headers],[ID]]))))</f>
        <v/>
      </c>
      <c r="E60" s="24" t="str">
        <f aca="false">IF(IFERROR(INDEX(tsk_Name,(ROW()-ROW(MSPTasks[[#Headers],[ID]])))="",TRUE()),"",IF(INDEX(tsk_Mode,(ROW()-ROW(MSPTasks[[#Headers],[ID]])))="Manual","Manually Scheduled","Auto Scheduled"))</f>
        <v/>
      </c>
      <c r="F6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60" s="115" t="str">
        <f aca="false">IF(IFERROR(INDEX(tsk_Name,(ROW()-ROW(MSPTasks[[#Headers],[ID]])))="",TRUE()),"",INDEX(tsk_FcStart,(ROW()-ROW(MSPTasks[[#Headers],[ID]]))))</f>
        <v/>
      </c>
      <c r="H60" s="115" t="str">
        <f aca="false">IF(IFERROR(INDEX(tsk_Name,(ROW()-ROW(MSPTasks[[#Headers],[ID]])))="",TRUE()),"",INDEX(tsk_FcFinish,(ROW()-ROW(MSPTasks[[#Headers],[ID]]))))</f>
        <v/>
      </c>
      <c r="I6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6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6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6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6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6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60" s="115" t="str">
        <f aca="false">IF(IFERROR(INDEX(tsk_Name,(ROW()-ROW(MSPTasks[[#Headers],[ID]])))="",TRUE()),"",INDEX(tsk_PlanStart,(ROW()-ROW(MSPTasks[[#Headers],[ID]]))))</f>
        <v/>
      </c>
      <c r="P60" s="115" t="str">
        <f aca="false">IF(IFERROR(INDEX(tsk_Name,(ROW()-ROW(MSPTasks[[#Headers],[ID]])))="",TRUE()),"",INDEX(tsk_PlanFinish,(ROW()-ROW(MSPTasks[[#Headers],[ID]]))))</f>
        <v/>
      </c>
      <c r="Q6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6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6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6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6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6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6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6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6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60" s="24" t="str">
        <f aca="false">IF(IFERROR(INDEX(tsk_Name,(ROW()-ROW(MSPTasks[[#Headers],[ID]])))="",TRUE()),"",INDEX(tsk_Notes,(ROW()-ROW(MSPTasks[[#Headers],[ID]])))&amp;"")</f>
        <v/>
      </c>
    </row>
    <row r="61" customFormat="false" ht="15" hidden="false" customHeight="false" outlineLevel="0" collapsed="false">
      <c r="A61" s="24" t="str">
        <f aca="false">IF(IFERROR(INDEX(tsk_Name,(ROW()-ROW(MSPTasks[[#Headers],[ID]])))="",TRUE()),"",INDEX(tsk_ID,(ROW()-ROW(MSPTasks[[#Headers],[ID]]))))</f>
        <v/>
      </c>
      <c r="B61" s="24" t="str">
        <f aca="false">IF(IFERROR(INDEX(tsk_Name,(ROW()-ROW(MSPTasks[[#Headers],[ID]])))="",TRUE()),"",INDEX(tsk_UID,(ROW()-ROW(MSPTasks[[#Headers],[ID]]))))</f>
        <v/>
      </c>
      <c r="C61" s="24" t="str">
        <f aca="false">IF(IFERROR(INDEX(tsk_Name,(ROW()-ROW(MSPTasks[[#Headers],[ID]])))="",TRUE()),"",INDEX(tsk_Name,(ROW()-ROW(MSPTasks[[#Headers],[ID]]))))</f>
        <v/>
      </c>
      <c r="D61" s="24" t="str">
        <f aca="false">IF(IFERROR(INDEX(tsk_Name,(ROW()-ROW(MSPTasks[[#Headers],[ID]])))="",TRUE()),"",INDEX(tsk_Level,(ROW()-ROW(MSPTasks[[#Headers],[ID]]))))</f>
        <v/>
      </c>
      <c r="E61" s="24" t="str">
        <f aca="false">IF(IFERROR(INDEX(tsk_Name,(ROW()-ROW(MSPTasks[[#Headers],[ID]])))="",TRUE()),"",IF(INDEX(tsk_Mode,(ROW()-ROW(MSPTasks[[#Headers],[ID]])))="Manual","Manually Scheduled","Auto Scheduled"))</f>
        <v/>
      </c>
      <c r="F6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61" s="115" t="str">
        <f aca="false">IF(IFERROR(INDEX(tsk_Name,(ROW()-ROW(MSPTasks[[#Headers],[ID]])))="",TRUE()),"",INDEX(tsk_FcStart,(ROW()-ROW(MSPTasks[[#Headers],[ID]]))))</f>
        <v/>
      </c>
      <c r="H61" s="115" t="str">
        <f aca="false">IF(IFERROR(INDEX(tsk_Name,(ROW()-ROW(MSPTasks[[#Headers],[ID]])))="",TRUE()),"",INDEX(tsk_FcFinish,(ROW()-ROW(MSPTasks[[#Headers],[ID]]))))</f>
        <v/>
      </c>
      <c r="I6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6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6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6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6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6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61" s="115" t="str">
        <f aca="false">IF(IFERROR(INDEX(tsk_Name,(ROW()-ROW(MSPTasks[[#Headers],[ID]])))="",TRUE()),"",INDEX(tsk_PlanStart,(ROW()-ROW(MSPTasks[[#Headers],[ID]]))))</f>
        <v/>
      </c>
      <c r="P61" s="115" t="str">
        <f aca="false">IF(IFERROR(INDEX(tsk_Name,(ROW()-ROW(MSPTasks[[#Headers],[ID]])))="",TRUE()),"",INDEX(tsk_PlanFinish,(ROW()-ROW(MSPTasks[[#Headers],[ID]]))))</f>
        <v/>
      </c>
      <c r="Q6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6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6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6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6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6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6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6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6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61" s="24" t="str">
        <f aca="false">IF(IFERROR(INDEX(tsk_Name,(ROW()-ROW(MSPTasks[[#Headers],[ID]])))="",TRUE()),"",INDEX(tsk_Notes,(ROW()-ROW(MSPTasks[[#Headers],[ID]])))&amp;"")</f>
        <v/>
      </c>
    </row>
    <row r="62" customFormat="false" ht="15" hidden="false" customHeight="false" outlineLevel="0" collapsed="false">
      <c r="A62" s="24" t="str">
        <f aca="false">IF(IFERROR(INDEX(tsk_Name,(ROW()-ROW(MSPTasks[[#Headers],[ID]])))="",TRUE()),"",INDEX(tsk_ID,(ROW()-ROW(MSPTasks[[#Headers],[ID]]))))</f>
        <v/>
      </c>
      <c r="B62" s="24" t="str">
        <f aca="false">IF(IFERROR(INDEX(tsk_Name,(ROW()-ROW(MSPTasks[[#Headers],[ID]])))="",TRUE()),"",INDEX(tsk_UID,(ROW()-ROW(MSPTasks[[#Headers],[ID]]))))</f>
        <v/>
      </c>
      <c r="C62" s="24" t="str">
        <f aca="false">IF(IFERROR(INDEX(tsk_Name,(ROW()-ROW(MSPTasks[[#Headers],[ID]])))="",TRUE()),"",INDEX(tsk_Name,(ROW()-ROW(MSPTasks[[#Headers],[ID]]))))</f>
        <v/>
      </c>
      <c r="D62" s="24" t="str">
        <f aca="false">IF(IFERROR(INDEX(tsk_Name,(ROW()-ROW(MSPTasks[[#Headers],[ID]])))="",TRUE()),"",INDEX(tsk_Level,(ROW()-ROW(MSPTasks[[#Headers],[ID]]))))</f>
        <v/>
      </c>
      <c r="E62" s="24" t="str">
        <f aca="false">IF(IFERROR(INDEX(tsk_Name,(ROW()-ROW(MSPTasks[[#Headers],[ID]])))="",TRUE()),"",IF(INDEX(tsk_Mode,(ROW()-ROW(MSPTasks[[#Headers],[ID]])))="Manual","Manually Scheduled","Auto Scheduled"))</f>
        <v/>
      </c>
      <c r="F6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62" s="115" t="str">
        <f aca="false">IF(IFERROR(INDEX(tsk_Name,(ROW()-ROW(MSPTasks[[#Headers],[ID]])))="",TRUE()),"",INDEX(tsk_FcStart,(ROW()-ROW(MSPTasks[[#Headers],[ID]]))))</f>
        <v/>
      </c>
      <c r="H62" s="115" t="str">
        <f aca="false">IF(IFERROR(INDEX(tsk_Name,(ROW()-ROW(MSPTasks[[#Headers],[ID]])))="",TRUE()),"",INDEX(tsk_FcFinish,(ROW()-ROW(MSPTasks[[#Headers],[ID]]))))</f>
        <v/>
      </c>
      <c r="I6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6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6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6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6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6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62" s="115" t="str">
        <f aca="false">IF(IFERROR(INDEX(tsk_Name,(ROW()-ROW(MSPTasks[[#Headers],[ID]])))="",TRUE()),"",INDEX(tsk_PlanStart,(ROW()-ROW(MSPTasks[[#Headers],[ID]]))))</f>
        <v/>
      </c>
      <c r="P62" s="115" t="str">
        <f aca="false">IF(IFERROR(INDEX(tsk_Name,(ROW()-ROW(MSPTasks[[#Headers],[ID]])))="",TRUE()),"",INDEX(tsk_PlanFinish,(ROW()-ROW(MSPTasks[[#Headers],[ID]]))))</f>
        <v/>
      </c>
      <c r="Q6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6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6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6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6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6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6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6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6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62" s="24" t="str">
        <f aca="false">IF(IFERROR(INDEX(tsk_Name,(ROW()-ROW(MSPTasks[[#Headers],[ID]])))="",TRUE()),"",INDEX(tsk_Notes,(ROW()-ROW(MSPTasks[[#Headers],[ID]])))&amp;"")</f>
        <v/>
      </c>
    </row>
    <row r="63" customFormat="false" ht="15" hidden="false" customHeight="false" outlineLevel="0" collapsed="false">
      <c r="A63" s="24" t="str">
        <f aca="false">IF(IFERROR(INDEX(tsk_Name,(ROW()-ROW(MSPTasks[[#Headers],[ID]])))="",TRUE()),"",INDEX(tsk_ID,(ROW()-ROW(MSPTasks[[#Headers],[ID]]))))</f>
        <v/>
      </c>
      <c r="B63" s="24" t="str">
        <f aca="false">IF(IFERROR(INDEX(tsk_Name,(ROW()-ROW(MSPTasks[[#Headers],[ID]])))="",TRUE()),"",INDEX(tsk_UID,(ROW()-ROW(MSPTasks[[#Headers],[ID]]))))</f>
        <v/>
      </c>
      <c r="C63" s="24" t="str">
        <f aca="false">IF(IFERROR(INDEX(tsk_Name,(ROW()-ROW(MSPTasks[[#Headers],[ID]])))="",TRUE()),"",INDEX(tsk_Name,(ROW()-ROW(MSPTasks[[#Headers],[ID]]))))</f>
        <v/>
      </c>
      <c r="D63" s="24" t="str">
        <f aca="false">IF(IFERROR(INDEX(tsk_Name,(ROW()-ROW(MSPTasks[[#Headers],[ID]])))="",TRUE()),"",INDEX(tsk_Level,(ROW()-ROW(MSPTasks[[#Headers],[ID]]))))</f>
        <v/>
      </c>
      <c r="E63" s="24" t="str">
        <f aca="false">IF(IFERROR(INDEX(tsk_Name,(ROW()-ROW(MSPTasks[[#Headers],[ID]])))="",TRUE()),"",IF(INDEX(tsk_Mode,(ROW()-ROW(MSPTasks[[#Headers],[ID]])))="Manual","Manually Scheduled","Auto Scheduled"))</f>
        <v/>
      </c>
      <c r="F6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63" s="115" t="str">
        <f aca="false">IF(IFERROR(INDEX(tsk_Name,(ROW()-ROW(MSPTasks[[#Headers],[ID]])))="",TRUE()),"",INDEX(tsk_FcStart,(ROW()-ROW(MSPTasks[[#Headers],[ID]]))))</f>
        <v/>
      </c>
      <c r="H63" s="115" t="str">
        <f aca="false">IF(IFERROR(INDEX(tsk_Name,(ROW()-ROW(MSPTasks[[#Headers],[ID]])))="",TRUE()),"",INDEX(tsk_FcFinish,(ROW()-ROW(MSPTasks[[#Headers],[ID]]))))</f>
        <v/>
      </c>
      <c r="I6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6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6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6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6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6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63" s="115" t="str">
        <f aca="false">IF(IFERROR(INDEX(tsk_Name,(ROW()-ROW(MSPTasks[[#Headers],[ID]])))="",TRUE()),"",INDEX(tsk_PlanStart,(ROW()-ROW(MSPTasks[[#Headers],[ID]]))))</f>
        <v/>
      </c>
      <c r="P63" s="115" t="str">
        <f aca="false">IF(IFERROR(INDEX(tsk_Name,(ROW()-ROW(MSPTasks[[#Headers],[ID]])))="",TRUE()),"",INDEX(tsk_PlanFinish,(ROW()-ROW(MSPTasks[[#Headers],[ID]]))))</f>
        <v/>
      </c>
      <c r="Q6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6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6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6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6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6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6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6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6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63" s="24" t="str">
        <f aca="false">IF(IFERROR(INDEX(tsk_Name,(ROW()-ROW(MSPTasks[[#Headers],[ID]])))="",TRUE()),"",INDEX(tsk_Notes,(ROW()-ROW(MSPTasks[[#Headers],[ID]])))&amp;"")</f>
        <v/>
      </c>
    </row>
    <row r="64" customFormat="false" ht="15" hidden="false" customHeight="false" outlineLevel="0" collapsed="false">
      <c r="A64" s="24" t="str">
        <f aca="false">IF(IFERROR(INDEX(tsk_Name,(ROW()-ROW(MSPTasks[[#Headers],[ID]])))="",TRUE()),"",INDEX(tsk_ID,(ROW()-ROW(MSPTasks[[#Headers],[ID]]))))</f>
        <v/>
      </c>
      <c r="B64" s="24" t="str">
        <f aca="false">IF(IFERROR(INDEX(tsk_Name,(ROW()-ROW(MSPTasks[[#Headers],[ID]])))="",TRUE()),"",INDEX(tsk_UID,(ROW()-ROW(MSPTasks[[#Headers],[ID]]))))</f>
        <v/>
      </c>
      <c r="C64" s="24" t="str">
        <f aca="false">IF(IFERROR(INDEX(tsk_Name,(ROW()-ROW(MSPTasks[[#Headers],[ID]])))="",TRUE()),"",INDEX(tsk_Name,(ROW()-ROW(MSPTasks[[#Headers],[ID]]))))</f>
        <v/>
      </c>
      <c r="D64" s="24" t="str">
        <f aca="false">IF(IFERROR(INDEX(tsk_Name,(ROW()-ROW(MSPTasks[[#Headers],[ID]])))="",TRUE()),"",INDEX(tsk_Level,(ROW()-ROW(MSPTasks[[#Headers],[ID]]))))</f>
        <v/>
      </c>
      <c r="E64" s="24" t="str">
        <f aca="false">IF(IFERROR(INDEX(tsk_Name,(ROW()-ROW(MSPTasks[[#Headers],[ID]])))="",TRUE()),"",IF(INDEX(tsk_Mode,(ROW()-ROW(MSPTasks[[#Headers],[ID]])))="Manual","Manually Scheduled","Auto Scheduled"))</f>
        <v/>
      </c>
      <c r="F6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64" s="115" t="str">
        <f aca="false">IF(IFERROR(INDEX(tsk_Name,(ROW()-ROW(MSPTasks[[#Headers],[ID]])))="",TRUE()),"",INDEX(tsk_FcStart,(ROW()-ROW(MSPTasks[[#Headers],[ID]]))))</f>
        <v/>
      </c>
      <c r="H64" s="115" t="str">
        <f aca="false">IF(IFERROR(INDEX(tsk_Name,(ROW()-ROW(MSPTasks[[#Headers],[ID]])))="",TRUE()),"",INDEX(tsk_FcFinish,(ROW()-ROW(MSPTasks[[#Headers],[ID]]))))</f>
        <v/>
      </c>
      <c r="I6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6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6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6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6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6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64" s="115" t="str">
        <f aca="false">IF(IFERROR(INDEX(tsk_Name,(ROW()-ROW(MSPTasks[[#Headers],[ID]])))="",TRUE()),"",INDEX(tsk_PlanStart,(ROW()-ROW(MSPTasks[[#Headers],[ID]]))))</f>
        <v/>
      </c>
      <c r="P64" s="115" t="str">
        <f aca="false">IF(IFERROR(INDEX(tsk_Name,(ROW()-ROW(MSPTasks[[#Headers],[ID]])))="",TRUE()),"",INDEX(tsk_PlanFinish,(ROW()-ROW(MSPTasks[[#Headers],[ID]]))))</f>
        <v/>
      </c>
      <c r="Q6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6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6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6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6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6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6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6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6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64" s="24" t="str">
        <f aca="false">IF(IFERROR(INDEX(tsk_Name,(ROW()-ROW(MSPTasks[[#Headers],[ID]])))="",TRUE()),"",INDEX(tsk_Notes,(ROW()-ROW(MSPTasks[[#Headers],[ID]])))&amp;"")</f>
        <v/>
      </c>
    </row>
    <row r="65" customFormat="false" ht="15" hidden="false" customHeight="false" outlineLevel="0" collapsed="false">
      <c r="A65" s="24" t="str">
        <f aca="false">IF(IFERROR(INDEX(tsk_Name,(ROW()-ROW(MSPTasks[[#Headers],[ID]])))="",TRUE()),"",INDEX(tsk_ID,(ROW()-ROW(MSPTasks[[#Headers],[ID]]))))</f>
        <v/>
      </c>
      <c r="B65" s="24" t="str">
        <f aca="false">IF(IFERROR(INDEX(tsk_Name,(ROW()-ROW(MSPTasks[[#Headers],[ID]])))="",TRUE()),"",INDEX(tsk_UID,(ROW()-ROW(MSPTasks[[#Headers],[ID]]))))</f>
        <v/>
      </c>
      <c r="C65" s="24" t="str">
        <f aca="false">IF(IFERROR(INDEX(tsk_Name,(ROW()-ROW(MSPTasks[[#Headers],[ID]])))="",TRUE()),"",INDEX(tsk_Name,(ROW()-ROW(MSPTasks[[#Headers],[ID]]))))</f>
        <v/>
      </c>
      <c r="D65" s="24" t="str">
        <f aca="false">IF(IFERROR(INDEX(tsk_Name,(ROW()-ROW(MSPTasks[[#Headers],[ID]])))="",TRUE()),"",INDEX(tsk_Level,(ROW()-ROW(MSPTasks[[#Headers],[ID]]))))</f>
        <v/>
      </c>
      <c r="E65" s="24" t="str">
        <f aca="false">IF(IFERROR(INDEX(tsk_Name,(ROW()-ROW(MSPTasks[[#Headers],[ID]])))="",TRUE()),"",IF(INDEX(tsk_Mode,(ROW()-ROW(MSPTasks[[#Headers],[ID]])))="Manual","Manually Scheduled","Auto Scheduled"))</f>
        <v/>
      </c>
      <c r="F6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65" s="115" t="str">
        <f aca="false">IF(IFERROR(INDEX(tsk_Name,(ROW()-ROW(MSPTasks[[#Headers],[ID]])))="",TRUE()),"",INDEX(tsk_FcStart,(ROW()-ROW(MSPTasks[[#Headers],[ID]]))))</f>
        <v/>
      </c>
      <c r="H65" s="115" t="str">
        <f aca="false">IF(IFERROR(INDEX(tsk_Name,(ROW()-ROW(MSPTasks[[#Headers],[ID]])))="",TRUE()),"",INDEX(tsk_FcFinish,(ROW()-ROW(MSPTasks[[#Headers],[ID]]))))</f>
        <v/>
      </c>
      <c r="I6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6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6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6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6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6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65" s="115" t="str">
        <f aca="false">IF(IFERROR(INDEX(tsk_Name,(ROW()-ROW(MSPTasks[[#Headers],[ID]])))="",TRUE()),"",INDEX(tsk_PlanStart,(ROW()-ROW(MSPTasks[[#Headers],[ID]]))))</f>
        <v/>
      </c>
      <c r="P65" s="115" t="str">
        <f aca="false">IF(IFERROR(INDEX(tsk_Name,(ROW()-ROW(MSPTasks[[#Headers],[ID]])))="",TRUE()),"",INDEX(tsk_PlanFinish,(ROW()-ROW(MSPTasks[[#Headers],[ID]]))))</f>
        <v/>
      </c>
      <c r="Q6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6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6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6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6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6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6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6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6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65" s="24" t="str">
        <f aca="false">IF(IFERROR(INDEX(tsk_Name,(ROW()-ROW(MSPTasks[[#Headers],[ID]])))="",TRUE()),"",INDEX(tsk_Notes,(ROW()-ROW(MSPTasks[[#Headers],[ID]])))&amp;"")</f>
        <v/>
      </c>
    </row>
    <row r="66" customFormat="false" ht="15" hidden="false" customHeight="false" outlineLevel="0" collapsed="false">
      <c r="A66" s="24" t="str">
        <f aca="false">IF(IFERROR(INDEX(tsk_Name,(ROW()-ROW(MSPTasks[[#Headers],[ID]])))="",TRUE()),"",INDEX(tsk_ID,(ROW()-ROW(MSPTasks[[#Headers],[ID]]))))</f>
        <v/>
      </c>
      <c r="B66" s="24" t="str">
        <f aca="false">IF(IFERROR(INDEX(tsk_Name,(ROW()-ROW(MSPTasks[[#Headers],[ID]])))="",TRUE()),"",INDEX(tsk_UID,(ROW()-ROW(MSPTasks[[#Headers],[ID]]))))</f>
        <v/>
      </c>
      <c r="C66" s="24" t="str">
        <f aca="false">IF(IFERROR(INDEX(tsk_Name,(ROW()-ROW(MSPTasks[[#Headers],[ID]])))="",TRUE()),"",INDEX(tsk_Name,(ROW()-ROW(MSPTasks[[#Headers],[ID]]))))</f>
        <v/>
      </c>
      <c r="D66" s="24" t="str">
        <f aca="false">IF(IFERROR(INDEX(tsk_Name,(ROW()-ROW(MSPTasks[[#Headers],[ID]])))="",TRUE()),"",INDEX(tsk_Level,(ROW()-ROW(MSPTasks[[#Headers],[ID]]))))</f>
        <v/>
      </c>
      <c r="E66" s="24" t="str">
        <f aca="false">IF(IFERROR(INDEX(tsk_Name,(ROW()-ROW(MSPTasks[[#Headers],[ID]])))="",TRUE()),"",IF(INDEX(tsk_Mode,(ROW()-ROW(MSPTasks[[#Headers],[ID]])))="Manual","Manually Scheduled","Auto Scheduled"))</f>
        <v/>
      </c>
      <c r="F6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66" s="115" t="str">
        <f aca="false">IF(IFERROR(INDEX(tsk_Name,(ROW()-ROW(MSPTasks[[#Headers],[ID]])))="",TRUE()),"",INDEX(tsk_FcStart,(ROW()-ROW(MSPTasks[[#Headers],[ID]]))))</f>
        <v/>
      </c>
      <c r="H66" s="115" t="str">
        <f aca="false">IF(IFERROR(INDEX(tsk_Name,(ROW()-ROW(MSPTasks[[#Headers],[ID]])))="",TRUE()),"",INDEX(tsk_FcFinish,(ROW()-ROW(MSPTasks[[#Headers],[ID]]))))</f>
        <v/>
      </c>
      <c r="I6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6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6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6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6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6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66" s="115" t="str">
        <f aca="false">IF(IFERROR(INDEX(tsk_Name,(ROW()-ROW(MSPTasks[[#Headers],[ID]])))="",TRUE()),"",INDEX(tsk_PlanStart,(ROW()-ROW(MSPTasks[[#Headers],[ID]]))))</f>
        <v/>
      </c>
      <c r="P66" s="115" t="str">
        <f aca="false">IF(IFERROR(INDEX(tsk_Name,(ROW()-ROW(MSPTasks[[#Headers],[ID]])))="",TRUE()),"",INDEX(tsk_PlanFinish,(ROW()-ROW(MSPTasks[[#Headers],[ID]]))))</f>
        <v/>
      </c>
      <c r="Q6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6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6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6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6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6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6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6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6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66" s="24" t="str">
        <f aca="false">IF(IFERROR(INDEX(tsk_Name,(ROW()-ROW(MSPTasks[[#Headers],[ID]])))="",TRUE()),"",INDEX(tsk_Notes,(ROW()-ROW(MSPTasks[[#Headers],[ID]])))&amp;"")</f>
        <v/>
      </c>
    </row>
    <row r="67" customFormat="false" ht="15" hidden="false" customHeight="false" outlineLevel="0" collapsed="false">
      <c r="A67" s="24" t="str">
        <f aca="false">IF(IFERROR(INDEX(tsk_Name,(ROW()-ROW(MSPTasks[[#Headers],[ID]])))="",TRUE()),"",INDEX(tsk_ID,(ROW()-ROW(MSPTasks[[#Headers],[ID]]))))</f>
        <v/>
      </c>
      <c r="B67" s="24" t="str">
        <f aca="false">IF(IFERROR(INDEX(tsk_Name,(ROW()-ROW(MSPTasks[[#Headers],[ID]])))="",TRUE()),"",INDEX(tsk_UID,(ROW()-ROW(MSPTasks[[#Headers],[ID]]))))</f>
        <v/>
      </c>
      <c r="C67" s="24" t="str">
        <f aca="false">IF(IFERROR(INDEX(tsk_Name,(ROW()-ROW(MSPTasks[[#Headers],[ID]])))="",TRUE()),"",INDEX(tsk_Name,(ROW()-ROW(MSPTasks[[#Headers],[ID]]))))</f>
        <v/>
      </c>
      <c r="D67" s="24" t="str">
        <f aca="false">IF(IFERROR(INDEX(tsk_Name,(ROW()-ROW(MSPTasks[[#Headers],[ID]])))="",TRUE()),"",INDEX(tsk_Level,(ROW()-ROW(MSPTasks[[#Headers],[ID]]))))</f>
        <v/>
      </c>
      <c r="E67" s="24" t="str">
        <f aca="false">IF(IFERROR(INDEX(tsk_Name,(ROW()-ROW(MSPTasks[[#Headers],[ID]])))="",TRUE()),"",IF(INDEX(tsk_Mode,(ROW()-ROW(MSPTasks[[#Headers],[ID]])))="Manual","Manually Scheduled","Auto Scheduled"))</f>
        <v/>
      </c>
      <c r="F6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67" s="115" t="str">
        <f aca="false">IF(IFERROR(INDEX(tsk_Name,(ROW()-ROW(MSPTasks[[#Headers],[ID]])))="",TRUE()),"",INDEX(tsk_FcStart,(ROW()-ROW(MSPTasks[[#Headers],[ID]]))))</f>
        <v/>
      </c>
      <c r="H67" s="115" t="str">
        <f aca="false">IF(IFERROR(INDEX(tsk_Name,(ROW()-ROW(MSPTasks[[#Headers],[ID]])))="",TRUE()),"",INDEX(tsk_FcFinish,(ROW()-ROW(MSPTasks[[#Headers],[ID]]))))</f>
        <v/>
      </c>
      <c r="I6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6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6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6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6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6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67" s="115" t="str">
        <f aca="false">IF(IFERROR(INDEX(tsk_Name,(ROW()-ROW(MSPTasks[[#Headers],[ID]])))="",TRUE()),"",INDEX(tsk_PlanStart,(ROW()-ROW(MSPTasks[[#Headers],[ID]]))))</f>
        <v/>
      </c>
      <c r="P67" s="115" t="str">
        <f aca="false">IF(IFERROR(INDEX(tsk_Name,(ROW()-ROW(MSPTasks[[#Headers],[ID]])))="",TRUE()),"",INDEX(tsk_PlanFinish,(ROW()-ROW(MSPTasks[[#Headers],[ID]]))))</f>
        <v/>
      </c>
      <c r="Q6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6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6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6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6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6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6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6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6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67" s="24" t="str">
        <f aca="false">IF(IFERROR(INDEX(tsk_Name,(ROW()-ROW(MSPTasks[[#Headers],[ID]])))="",TRUE()),"",INDEX(tsk_Notes,(ROW()-ROW(MSPTasks[[#Headers],[ID]])))&amp;"")</f>
        <v/>
      </c>
    </row>
    <row r="68" customFormat="false" ht="15" hidden="false" customHeight="false" outlineLevel="0" collapsed="false">
      <c r="A68" s="24" t="str">
        <f aca="false">IF(IFERROR(INDEX(tsk_Name,(ROW()-ROW(MSPTasks[[#Headers],[ID]])))="",TRUE()),"",INDEX(tsk_ID,(ROW()-ROW(MSPTasks[[#Headers],[ID]]))))</f>
        <v/>
      </c>
      <c r="B68" s="24" t="str">
        <f aca="false">IF(IFERROR(INDEX(tsk_Name,(ROW()-ROW(MSPTasks[[#Headers],[ID]])))="",TRUE()),"",INDEX(tsk_UID,(ROW()-ROW(MSPTasks[[#Headers],[ID]]))))</f>
        <v/>
      </c>
      <c r="C68" s="24" t="str">
        <f aca="false">IF(IFERROR(INDEX(tsk_Name,(ROW()-ROW(MSPTasks[[#Headers],[ID]])))="",TRUE()),"",INDEX(tsk_Name,(ROW()-ROW(MSPTasks[[#Headers],[ID]]))))</f>
        <v/>
      </c>
      <c r="D68" s="24" t="str">
        <f aca="false">IF(IFERROR(INDEX(tsk_Name,(ROW()-ROW(MSPTasks[[#Headers],[ID]])))="",TRUE()),"",INDEX(tsk_Level,(ROW()-ROW(MSPTasks[[#Headers],[ID]]))))</f>
        <v/>
      </c>
      <c r="E68" s="24" t="str">
        <f aca="false">IF(IFERROR(INDEX(tsk_Name,(ROW()-ROW(MSPTasks[[#Headers],[ID]])))="",TRUE()),"",IF(INDEX(tsk_Mode,(ROW()-ROW(MSPTasks[[#Headers],[ID]])))="Manual","Manually Scheduled","Auto Scheduled"))</f>
        <v/>
      </c>
      <c r="F6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68" s="115" t="str">
        <f aca="false">IF(IFERROR(INDEX(tsk_Name,(ROW()-ROW(MSPTasks[[#Headers],[ID]])))="",TRUE()),"",INDEX(tsk_FcStart,(ROW()-ROW(MSPTasks[[#Headers],[ID]]))))</f>
        <v/>
      </c>
      <c r="H68" s="115" t="str">
        <f aca="false">IF(IFERROR(INDEX(tsk_Name,(ROW()-ROW(MSPTasks[[#Headers],[ID]])))="",TRUE()),"",INDEX(tsk_FcFinish,(ROW()-ROW(MSPTasks[[#Headers],[ID]]))))</f>
        <v/>
      </c>
      <c r="I6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6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6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6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6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6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68" s="115" t="str">
        <f aca="false">IF(IFERROR(INDEX(tsk_Name,(ROW()-ROW(MSPTasks[[#Headers],[ID]])))="",TRUE()),"",INDEX(tsk_PlanStart,(ROW()-ROW(MSPTasks[[#Headers],[ID]]))))</f>
        <v/>
      </c>
      <c r="P68" s="115" t="str">
        <f aca="false">IF(IFERROR(INDEX(tsk_Name,(ROW()-ROW(MSPTasks[[#Headers],[ID]])))="",TRUE()),"",INDEX(tsk_PlanFinish,(ROW()-ROW(MSPTasks[[#Headers],[ID]]))))</f>
        <v/>
      </c>
      <c r="Q6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6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6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6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6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6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6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6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6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68" s="24" t="str">
        <f aca="false">IF(IFERROR(INDEX(tsk_Name,(ROW()-ROW(MSPTasks[[#Headers],[ID]])))="",TRUE()),"",INDEX(tsk_Notes,(ROW()-ROW(MSPTasks[[#Headers],[ID]])))&amp;"")</f>
        <v/>
      </c>
    </row>
    <row r="69" customFormat="false" ht="15" hidden="false" customHeight="false" outlineLevel="0" collapsed="false">
      <c r="A69" s="24" t="str">
        <f aca="false">IF(IFERROR(INDEX(tsk_Name,(ROW()-ROW(MSPTasks[[#Headers],[ID]])))="",TRUE()),"",INDEX(tsk_ID,(ROW()-ROW(MSPTasks[[#Headers],[ID]]))))</f>
        <v/>
      </c>
      <c r="B69" s="24" t="str">
        <f aca="false">IF(IFERROR(INDEX(tsk_Name,(ROW()-ROW(MSPTasks[[#Headers],[ID]])))="",TRUE()),"",INDEX(tsk_UID,(ROW()-ROW(MSPTasks[[#Headers],[ID]]))))</f>
        <v/>
      </c>
      <c r="C69" s="24" t="str">
        <f aca="false">IF(IFERROR(INDEX(tsk_Name,(ROW()-ROW(MSPTasks[[#Headers],[ID]])))="",TRUE()),"",INDEX(tsk_Name,(ROW()-ROW(MSPTasks[[#Headers],[ID]]))))</f>
        <v/>
      </c>
      <c r="D69" s="24" t="str">
        <f aca="false">IF(IFERROR(INDEX(tsk_Name,(ROW()-ROW(MSPTasks[[#Headers],[ID]])))="",TRUE()),"",INDEX(tsk_Level,(ROW()-ROW(MSPTasks[[#Headers],[ID]]))))</f>
        <v/>
      </c>
      <c r="E69" s="24" t="str">
        <f aca="false">IF(IFERROR(INDEX(tsk_Name,(ROW()-ROW(MSPTasks[[#Headers],[ID]])))="",TRUE()),"",IF(INDEX(tsk_Mode,(ROW()-ROW(MSPTasks[[#Headers],[ID]])))="Manual","Manually Scheduled","Auto Scheduled"))</f>
        <v/>
      </c>
      <c r="F6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69" s="115" t="str">
        <f aca="false">IF(IFERROR(INDEX(tsk_Name,(ROW()-ROW(MSPTasks[[#Headers],[ID]])))="",TRUE()),"",INDEX(tsk_FcStart,(ROW()-ROW(MSPTasks[[#Headers],[ID]]))))</f>
        <v/>
      </c>
      <c r="H69" s="115" t="str">
        <f aca="false">IF(IFERROR(INDEX(tsk_Name,(ROW()-ROW(MSPTasks[[#Headers],[ID]])))="",TRUE()),"",INDEX(tsk_FcFinish,(ROW()-ROW(MSPTasks[[#Headers],[ID]]))))</f>
        <v/>
      </c>
      <c r="I6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6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6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6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6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6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69" s="115" t="str">
        <f aca="false">IF(IFERROR(INDEX(tsk_Name,(ROW()-ROW(MSPTasks[[#Headers],[ID]])))="",TRUE()),"",INDEX(tsk_PlanStart,(ROW()-ROW(MSPTasks[[#Headers],[ID]]))))</f>
        <v/>
      </c>
      <c r="P69" s="115" t="str">
        <f aca="false">IF(IFERROR(INDEX(tsk_Name,(ROW()-ROW(MSPTasks[[#Headers],[ID]])))="",TRUE()),"",INDEX(tsk_PlanFinish,(ROW()-ROW(MSPTasks[[#Headers],[ID]]))))</f>
        <v/>
      </c>
      <c r="Q6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6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6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6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6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6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6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6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6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69" s="24" t="str">
        <f aca="false">IF(IFERROR(INDEX(tsk_Name,(ROW()-ROW(MSPTasks[[#Headers],[ID]])))="",TRUE()),"",INDEX(tsk_Notes,(ROW()-ROW(MSPTasks[[#Headers],[ID]])))&amp;"")</f>
        <v/>
      </c>
    </row>
    <row r="70" customFormat="false" ht="15" hidden="false" customHeight="false" outlineLevel="0" collapsed="false">
      <c r="A70" s="24" t="str">
        <f aca="false">IF(IFERROR(INDEX(tsk_Name,(ROW()-ROW(MSPTasks[[#Headers],[ID]])))="",TRUE()),"",INDEX(tsk_ID,(ROW()-ROW(MSPTasks[[#Headers],[ID]]))))</f>
        <v/>
      </c>
      <c r="B70" s="24" t="str">
        <f aca="false">IF(IFERROR(INDEX(tsk_Name,(ROW()-ROW(MSPTasks[[#Headers],[ID]])))="",TRUE()),"",INDEX(tsk_UID,(ROW()-ROW(MSPTasks[[#Headers],[ID]]))))</f>
        <v/>
      </c>
      <c r="C70" s="24" t="str">
        <f aca="false">IF(IFERROR(INDEX(tsk_Name,(ROW()-ROW(MSPTasks[[#Headers],[ID]])))="",TRUE()),"",INDEX(tsk_Name,(ROW()-ROW(MSPTasks[[#Headers],[ID]]))))</f>
        <v/>
      </c>
      <c r="D70" s="24" t="str">
        <f aca="false">IF(IFERROR(INDEX(tsk_Name,(ROW()-ROW(MSPTasks[[#Headers],[ID]])))="",TRUE()),"",INDEX(tsk_Level,(ROW()-ROW(MSPTasks[[#Headers],[ID]]))))</f>
        <v/>
      </c>
      <c r="E70" s="24" t="str">
        <f aca="false">IF(IFERROR(INDEX(tsk_Name,(ROW()-ROW(MSPTasks[[#Headers],[ID]])))="",TRUE()),"",IF(INDEX(tsk_Mode,(ROW()-ROW(MSPTasks[[#Headers],[ID]])))="Manual","Manually Scheduled","Auto Scheduled"))</f>
        <v/>
      </c>
      <c r="F7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70" s="115" t="str">
        <f aca="false">IF(IFERROR(INDEX(tsk_Name,(ROW()-ROW(MSPTasks[[#Headers],[ID]])))="",TRUE()),"",INDEX(tsk_FcStart,(ROW()-ROW(MSPTasks[[#Headers],[ID]]))))</f>
        <v/>
      </c>
      <c r="H70" s="115" t="str">
        <f aca="false">IF(IFERROR(INDEX(tsk_Name,(ROW()-ROW(MSPTasks[[#Headers],[ID]])))="",TRUE()),"",INDEX(tsk_FcFinish,(ROW()-ROW(MSPTasks[[#Headers],[ID]]))))</f>
        <v/>
      </c>
      <c r="I7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7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7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7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7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7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70" s="115" t="str">
        <f aca="false">IF(IFERROR(INDEX(tsk_Name,(ROW()-ROW(MSPTasks[[#Headers],[ID]])))="",TRUE()),"",INDEX(tsk_PlanStart,(ROW()-ROW(MSPTasks[[#Headers],[ID]]))))</f>
        <v/>
      </c>
      <c r="P70" s="115" t="str">
        <f aca="false">IF(IFERROR(INDEX(tsk_Name,(ROW()-ROW(MSPTasks[[#Headers],[ID]])))="",TRUE()),"",INDEX(tsk_PlanFinish,(ROW()-ROW(MSPTasks[[#Headers],[ID]]))))</f>
        <v/>
      </c>
      <c r="Q7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7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7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7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7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7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7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7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7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70" s="24" t="str">
        <f aca="false">IF(IFERROR(INDEX(tsk_Name,(ROW()-ROW(MSPTasks[[#Headers],[ID]])))="",TRUE()),"",INDEX(tsk_Notes,(ROW()-ROW(MSPTasks[[#Headers],[ID]])))&amp;"")</f>
        <v/>
      </c>
    </row>
    <row r="71" customFormat="false" ht="15" hidden="false" customHeight="false" outlineLevel="0" collapsed="false">
      <c r="A71" s="24" t="str">
        <f aca="false">IF(IFERROR(INDEX(tsk_Name,(ROW()-ROW(MSPTasks[[#Headers],[ID]])))="",TRUE()),"",INDEX(tsk_ID,(ROW()-ROW(MSPTasks[[#Headers],[ID]]))))</f>
        <v/>
      </c>
      <c r="B71" s="24" t="str">
        <f aca="false">IF(IFERROR(INDEX(tsk_Name,(ROW()-ROW(MSPTasks[[#Headers],[ID]])))="",TRUE()),"",INDEX(tsk_UID,(ROW()-ROW(MSPTasks[[#Headers],[ID]]))))</f>
        <v/>
      </c>
      <c r="C71" s="24" t="str">
        <f aca="false">IF(IFERROR(INDEX(tsk_Name,(ROW()-ROW(MSPTasks[[#Headers],[ID]])))="",TRUE()),"",INDEX(tsk_Name,(ROW()-ROW(MSPTasks[[#Headers],[ID]]))))</f>
        <v/>
      </c>
      <c r="D71" s="24" t="str">
        <f aca="false">IF(IFERROR(INDEX(tsk_Name,(ROW()-ROW(MSPTasks[[#Headers],[ID]])))="",TRUE()),"",INDEX(tsk_Level,(ROW()-ROW(MSPTasks[[#Headers],[ID]]))))</f>
        <v/>
      </c>
      <c r="E71" s="24" t="str">
        <f aca="false">IF(IFERROR(INDEX(tsk_Name,(ROW()-ROW(MSPTasks[[#Headers],[ID]])))="",TRUE()),"",IF(INDEX(tsk_Mode,(ROW()-ROW(MSPTasks[[#Headers],[ID]])))="Manual","Manually Scheduled","Auto Scheduled"))</f>
        <v/>
      </c>
      <c r="F7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71" s="115" t="str">
        <f aca="false">IF(IFERROR(INDEX(tsk_Name,(ROW()-ROW(MSPTasks[[#Headers],[ID]])))="",TRUE()),"",INDEX(tsk_FcStart,(ROW()-ROW(MSPTasks[[#Headers],[ID]]))))</f>
        <v/>
      </c>
      <c r="H71" s="115" t="str">
        <f aca="false">IF(IFERROR(INDEX(tsk_Name,(ROW()-ROW(MSPTasks[[#Headers],[ID]])))="",TRUE()),"",INDEX(tsk_FcFinish,(ROW()-ROW(MSPTasks[[#Headers],[ID]]))))</f>
        <v/>
      </c>
      <c r="I7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7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7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7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7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7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71" s="115" t="str">
        <f aca="false">IF(IFERROR(INDEX(tsk_Name,(ROW()-ROW(MSPTasks[[#Headers],[ID]])))="",TRUE()),"",INDEX(tsk_PlanStart,(ROW()-ROW(MSPTasks[[#Headers],[ID]]))))</f>
        <v/>
      </c>
      <c r="P71" s="115" t="str">
        <f aca="false">IF(IFERROR(INDEX(tsk_Name,(ROW()-ROW(MSPTasks[[#Headers],[ID]])))="",TRUE()),"",INDEX(tsk_PlanFinish,(ROW()-ROW(MSPTasks[[#Headers],[ID]]))))</f>
        <v/>
      </c>
      <c r="Q7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7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7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7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7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7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7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7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7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71" s="24" t="str">
        <f aca="false">IF(IFERROR(INDEX(tsk_Name,(ROW()-ROW(MSPTasks[[#Headers],[ID]])))="",TRUE()),"",INDEX(tsk_Notes,(ROW()-ROW(MSPTasks[[#Headers],[ID]])))&amp;"")</f>
        <v/>
      </c>
    </row>
    <row r="72" customFormat="false" ht="15" hidden="false" customHeight="false" outlineLevel="0" collapsed="false">
      <c r="A72" s="24" t="str">
        <f aca="false">IF(IFERROR(INDEX(tsk_Name,(ROW()-ROW(MSPTasks[[#Headers],[ID]])))="",TRUE()),"",INDEX(tsk_ID,(ROW()-ROW(MSPTasks[[#Headers],[ID]]))))</f>
        <v/>
      </c>
      <c r="B72" s="24" t="str">
        <f aca="false">IF(IFERROR(INDEX(tsk_Name,(ROW()-ROW(MSPTasks[[#Headers],[ID]])))="",TRUE()),"",INDEX(tsk_UID,(ROW()-ROW(MSPTasks[[#Headers],[ID]]))))</f>
        <v/>
      </c>
      <c r="C72" s="24" t="str">
        <f aca="false">IF(IFERROR(INDEX(tsk_Name,(ROW()-ROW(MSPTasks[[#Headers],[ID]])))="",TRUE()),"",INDEX(tsk_Name,(ROW()-ROW(MSPTasks[[#Headers],[ID]]))))</f>
        <v/>
      </c>
      <c r="D72" s="24" t="str">
        <f aca="false">IF(IFERROR(INDEX(tsk_Name,(ROW()-ROW(MSPTasks[[#Headers],[ID]])))="",TRUE()),"",INDEX(tsk_Level,(ROW()-ROW(MSPTasks[[#Headers],[ID]]))))</f>
        <v/>
      </c>
      <c r="E72" s="24" t="str">
        <f aca="false">IF(IFERROR(INDEX(tsk_Name,(ROW()-ROW(MSPTasks[[#Headers],[ID]])))="",TRUE()),"",IF(INDEX(tsk_Mode,(ROW()-ROW(MSPTasks[[#Headers],[ID]])))="Manual","Manually Scheduled","Auto Scheduled"))</f>
        <v/>
      </c>
      <c r="F7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72" s="115" t="str">
        <f aca="false">IF(IFERROR(INDEX(tsk_Name,(ROW()-ROW(MSPTasks[[#Headers],[ID]])))="",TRUE()),"",INDEX(tsk_FcStart,(ROW()-ROW(MSPTasks[[#Headers],[ID]]))))</f>
        <v/>
      </c>
      <c r="H72" s="115" t="str">
        <f aca="false">IF(IFERROR(INDEX(tsk_Name,(ROW()-ROW(MSPTasks[[#Headers],[ID]])))="",TRUE()),"",INDEX(tsk_FcFinish,(ROW()-ROW(MSPTasks[[#Headers],[ID]]))))</f>
        <v/>
      </c>
      <c r="I7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7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7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7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7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7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72" s="115" t="str">
        <f aca="false">IF(IFERROR(INDEX(tsk_Name,(ROW()-ROW(MSPTasks[[#Headers],[ID]])))="",TRUE()),"",INDEX(tsk_PlanStart,(ROW()-ROW(MSPTasks[[#Headers],[ID]]))))</f>
        <v/>
      </c>
      <c r="P72" s="115" t="str">
        <f aca="false">IF(IFERROR(INDEX(tsk_Name,(ROW()-ROW(MSPTasks[[#Headers],[ID]])))="",TRUE()),"",INDEX(tsk_PlanFinish,(ROW()-ROW(MSPTasks[[#Headers],[ID]]))))</f>
        <v/>
      </c>
      <c r="Q7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7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7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7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7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7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7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7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7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72" s="24" t="str">
        <f aca="false">IF(IFERROR(INDEX(tsk_Name,(ROW()-ROW(MSPTasks[[#Headers],[ID]])))="",TRUE()),"",INDEX(tsk_Notes,(ROW()-ROW(MSPTasks[[#Headers],[ID]])))&amp;"")</f>
        <v/>
      </c>
    </row>
    <row r="73" customFormat="false" ht="15" hidden="false" customHeight="false" outlineLevel="0" collapsed="false">
      <c r="A73" s="24" t="str">
        <f aca="false">IF(IFERROR(INDEX(tsk_Name,(ROW()-ROW(MSPTasks[[#Headers],[ID]])))="",TRUE()),"",INDEX(tsk_ID,(ROW()-ROW(MSPTasks[[#Headers],[ID]]))))</f>
        <v/>
      </c>
      <c r="B73" s="24" t="str">
        <f aca="false">IF(IFERROR(INDEX(tsk_Name,(ROW()-ROW(MSPTasks[[#Headers],[ID]])))="",TRUE()),"",INDEX(tsk_UID,(ROW()-ROW(MSPTasks[[#Headers],[ID]]))))</f>
        <v/>
      </c>
      <c r="C73" s="24" t="str">
        <f aca="false">IF(IFERROR(INDEX(tsk_Name,(ROW()-ROW(MSPTasks[[#Headers],[ID]])))="",TRUE()),"",INDEX(tsk_Name,(ROW()-ROW(MSPTasks[[#Headers],[ID]]))))</f>
        <v/>
      </c>
      <c r="D73" s="24" t="str">
        <f aca="false">IF(IFERROR(INDEX(tsk_Name,(ROW()-ROW(MSPTasks[[#Headers],[ID]])))="",TRUE()),"",INDEX(tsk_Level,(ROW()-ROW(MSPTasks[[#Headers],[ID]]))))</f>
        <v/>
      </c>
      <c r="E73" s="24" t="str">
        <f aca="false">IF(IFERROR(INDEX(tsk_Name,(ROW()-ROW(MSPTasks[[#Headers],[ID]])))="",TRUE()),"",IF(INDEX(tsk_Mode,(ROW()-ROW(MSPTasks[[#Headers],[ID]])))="Manual","Manually Scheduled","Auto Scheduled"))</f>
        <v/>
      </c>
      <c r="F7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73" s="115" t="str">
        <f aca="false">IF(IFERROR(INDEX(tsk_Name,(ROW()-ROW(MSPTasks[[#Headers],[ID]])))="",TRUE()),"",INDEX(tsk_FcStart,(ROW()-ROW(MSPTasks[[#Headers],[ID]]))))</f>
        <v/>
      </c>
      <c r="H73" s="115" t="str">
        <f aca="false">IF(IFERROR(INDEX(tsk_Name,(ROW()-ROW(MSPTasks[[#Headers],[ID]])))="",TRUE()),"",INDEX(tsk_FcFinish,(ROW()-ROW(MSPTasks[[#Headers],[ID]]))))</f>
        <v/>
      </c>
      <c r="I7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7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7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7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7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7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73" s="115" t="str">
        <f aca="false">IF(IFERROR(INDEX(tsk_Name,(ROW()-ROW(MSPTasks[[#Headers],[ID]])))="",TRUE()),"",INDEX(tsk_PlanStart,(ROW()-ROW(MSPTasks[[#Headers],[ID]]))))</f>
        <v/>
      </c>
      <c r="P73" s="115" t="str">
        <f aca="false">IF(IFERROR(INDEX(tsk_Name,(ROW()-ROW(MSPTasks[[#Headers],[ID]])))="",TRUE()),"",INDEX(tsk_PlanFinish,(ROW()-ROW(MSPTasks[[#Headers],[ID]]))))</f>
        <v/>
      </c>
      <c r="Q7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7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7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7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7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7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7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7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7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73" s="24" t="str">
        <f aca="false">IF(IFERROR(INDEX(tsk_Name,(ROW()-ROW(MSPTasks[[#Headers],[ID]])))="",TRUE()),"",INDEX(tsk_Notes,(ROW()-ROW(MSPTasks[[#Headers],[ID]])))&amp;"")</f>
        <v/>
      </c>
    </row>
    <row r="74" customFormat="false" ht="15" hidden="false" customHeight="false" outlineLevel="0" collapsed="false">
      <c r="A74" s="24" t="str">
        <f aca="false">IF(IFERROR(INDEX(tsk_Name,(ROW()-ROW(MSPTasks[[#Headers],[ID]])))="",TRUE()),"",INDEX(tsk_ID,(ROW()-ROW(MSPTasks[[#Headers],[ID]]))))</f>
        <v/>
      </c>
      <c r="B74" s="24" t="str">
        <f aca="false">IF(IFERROR(INDEX(tsk_Name,(ROW()-ROW(MSPTasks[[#Headers],[ID]])))="",TRUE()),"",INDEX(tsk_UID,(ROW()-ROW(MSPTasks[[#Headers],[ID]]))))</f>
        <v/>
      </c>
      <c r="C74" s="24" t="str">
        <f aca="false">IF(IFERROR(INDEX(tsk_Name,(ROW()-ROW(MSPTasks[[#Headers],[ID]])))="",TRUE()),"",INDEX(tsk_Name,(ROW()-ROW(MSPTasks[[#Headers],[ID]]))))</f>
        <v/>
      </c>
      <c r="D74" s="24" t="str">
        <f aca="false">IF(IFERROR(INDEX(tsk_Name,(ROW()-ROW(MSPTasks[[#Headers],[ID]])))="",TRUE()),"",INDEX(tsk_Level,(ROW()-ROW(MSPTasks[[#Headers],[ID]]))))</f>
        <v/>
      </c>
      <c r="E74" s="24" t="str">
        <f aca="false">IF(IFERROR(INDEX(tsk_Name,(ROW()-ROW(MSPTasks[[#Headers],[ID]])))="",TRUE()),"",IF(INDEX(tsk_Mode,(ROW()-ROW(MSPTasks[[#Headers],[ID]])))="Manual","Manually Scheduled","Auto Scheduled"))</f>
        <v/>
      </c>
      <c r="F7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74" s="115" t="str">
        <f aca="false">IF(IFERROR(INDEX(tsk_Name,(ROW()-ROW(MSPTasks[[#Headers],[ID]])))="",TRUE()),"",INDEX(tsk_FcStart,(ROW()-ROW(MSPTasks[[#Headers],[ID]]))))</f>
        <v/>
      </c>
      <c r="H74" s="115" t="str">
        <f aca="false">IF(IFERROR(INDEX(tsk_Name,(ROW()-ROW(MSPTasks[[#Headers],[ID]])))="",TRUE()),"",INDEX(tsk_FcFinish,(ROW()-ROW(MSPTasks[[#Headers],[ID]]))))</f>
        <v/>
      </c>
      <c r="I7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7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7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7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7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7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74" s="115" t="str">
        <f aca="false">IF(IFERROR(INDEX(tsk_Name,(ROW()-ROW(MSPTasks[[#Headers],[ID]])))="",TRUE()),"",INDEX(tsk_PlanStart,(ROW()-ROW(MSPTasks[[#Headers],[ID]]))))</f>
        <v/>
      </c>
      <c r="P74" s="115" t="str">
        <f aca="false">IF(IFERROR(INDEX(tsk_Name,(ROW()-ROW(MSPTasks[[#Headers],[ID]])))="",TRUE()),"",INDEX(tsk_PlanFinish,(ROW()-ROW(MSPTasks[[#Headers],[ID]]))))</f>
        <v/>
      </c>
      <c r="Q7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7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7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7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7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7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7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7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7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74" s="24" t="str">
        <f aca="false">IF(IFERROR(INDEX(tsk_Name,(ROW()-ROW(MSPTasks[[#Headers],[ID]])))="",TRUE()),"",INDEX(tsk_Notes,(ROW()-ROW(MSPTasks[[#Headers],[ID]])))&amp;"")</f>
        <v/>
      </c>
    </row>
    <row r="75" customFormat="false" ht="15" hidden="false" customHeight="false" outlineLevel="0" collapsed="false">
      <c r="A75" s="24" t="str">
        <f aca="false">IF(IFERROR(INDEX(tsk_Name,(ROW()-ROW(MSPTasks[[#Headers],[ID]])))="",TRUE()),"",INDEX(tsk_ID,(ROW()-ROW(MSPTasks[[#Headers],[ID]]))))</f>
        <v/>
      </c>
      <c r="B75" s="24" t="str">
        <f aca="false">IF(IFERROR(INDEX(tsk_Name,(ROW()-ROW(MSPTasks[[#Headers],[ID]])))="",TRUE()),"",INDEX(tsk_UID,(ROW()-ROW(MSPTasks[[#Headers],[ID]]))))</f>
        <v/>
      </c>
      <c r="C75" s="24" t="str">
        <f aca="false">IF(IFERROR(INDEX(tsk_Name,(ROW()-ROW(MSPTasks[[#Headers],[ID]])))="",TRUE()),"",INDEX(tsk_Name,(ROW()-ROW(MSPTasks[[#Headers],[ID]]))))</f>
        <v/>
      </c>
      <c r="D75" s="24" t="str">
        <f aca="false">IF(IFERROR(INDEX(tsk_Name,(ROW()-ROW(MSPTasks[[#Headers],[ID]])))="",TRUE()),"",INDEX(tsk_Level,(ROW()-ROW(MSPTasks[[#Headers],[ID]]))))</f>
        <v/>
      </c>
      <c r="E75" s="24" t="str">
        <f aca="false">IF(IFERROR(INDEX(tsk_Name,(ROW()-ROW(MSPTasks[[#Headers],[ID]])))="",TRUE()),"",IF(INDEX(tsk_Mode,(ROW()-ROW(MSPTasks[[#Headers],[ID]])))="Manual","Manually Scheduled","Auto Scheduled"))</f>
        <v/>
      </c>
      <c r="F7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75" s="115" t="str">
        <f aca="false">IF(IFERROR(INDEX(tsk_Name,(ROW()-ROW(MSPTasks[[#Headers],[ID]])))="",TRUE()),"",INDEX(tsk_FcStart,(ROW()-ROW(MSPTasks[[#Headers],[ID]]))))</f>
        <v/>
      </c>
      <c r="H75" s="115" t="str">
        <f aca="false">IF(IFERROR(INDEX(tsk_Name,(ROW()-ROW(MSPTasks[[#Headers],[ID]])))="",TRUE()),"",INDEX(tsk_FcFinish,(ROW()-ROW(MSPTasks[[#Headers],[ID]]))))</f>
        <v/>
      </c>
      <c r="I7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7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7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7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7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7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75" s="115" t="str">
        <f aca="false">IF(IFERROR(INDEX(tsk_Name,(ROW()-ROW(MSPTasks[[#Headers],[ID]])))="",TRUE()),"",INDEX(tsk_PlanStart,(ROW()-ROW(MSPTasks[[#Headers],[ID]]))))</f>
        <v/>
      </c>
      <c r="P75" s="115" t="str">
        <f aca="false">IF(IFERROR(INDEX(tsk_Name,(ROW()-ROW(MSPTasks[[#Headers],[ID]])))="",TRUE()),"",INDEX(tsk_PlanFinish,(ROW()-ROW(MSPTasks[[#Headers],[ID]]))))</f>
        <v/>
      </c>
      <c r="Q7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7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7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7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7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7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7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7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7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75" s="24" t="str">
        <f aca="false">IF(IFERROR(INDEX(tsk_Name,(ROW()-ROW(MSPTasks[[#Headers],[ID]])))="",TRUE()),"",INDEX(tsk_Notes,(ROW()-ROW(MSPTasks[[#Headers],[ID]])))&amp;"")</f>
        <v/>
      </c>
    </row>
    <row r="76" customFormat="false" ht="15" hidden="false" customHeight="false" outlineLevel="0" collapsed="false">
      <c r="A76" s="24" t="str">
        <f aca="false">IF(IFERROR(INDEX(tsk_Name,(ROW()-ROW(MSPTasks[[#Headers],[ID]])))="",TRUE()),"",INDEX(tsk_ID,(ROW()-ROW(MSPTasks[[#Headers],[ID]]))))</f>
        <v/>
      </c>
      <c r="B76" s="24" t="str">
        <f aca="false">IF(IFERROR(INDEX(tsk_Name,(ROW()-ROW(MSPTasks[[#Headers],[ID]])))="",TRUE()),"",INDEX(tsk_UID,(ROW()-ROW(MSPTasks[[#Headers],[ID]]))))</f>
        <v/>
      </c>
      <c r="C76" s="24" t="str">
        <f aca="false">IF(IFERROR(INDEX(tsk_Name,(ROW()-ROW(MSPTasks[[#Headers],[ID]])))="",TRUE()),"",INDEX(tsk_Name,(ROW()-ROW(MSPTasks[[#Headers],[ID]]))))</f>
        <v/>
      </c>
      <c r="D76" s="24" t="str">
        <f aca="false">IF(IFERROR(INDEX(tsk_Name,(ROW()-ROW(MSPTasks[[#Headers],[ID]])))="",TRUE()),"",INDEX(tsk_Level,(ROW()-ROW(MSPTasks[[#Headers],[ID]]))))</f>
        <v/>
      </c>
      <c r="E76" s="24" t="str">
        <f aca="false">IF(IFERROR(INDEX(tsk_Name,(ROW()-ROW(MSPTasks[[#Headers],[ID]])))="",TRUE()),"",IF(INDEX(tsk_Mode,(ROW()-ROW(MSPTasks[[#Headers],[ID]])))="Manual","Manually Scheduled","Auto Scheduled"))</f>
        <v/>
      </c>
      <c r="F7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76" s="115" t="str">
        <f aca="false">IF(IFERROR(INDEX(tsk_Name,(ROW()-ROW(MSPTasks[[#Headers],[ID]])))="",TRUE()),"",INDEX(tsk_FcStart,(ROW()-ROW(MSPTasks[[#Headers],[ID]]))))</f>
        <v/>
      </c>
      <c r="H76" s="115" t="str">
        <f aca="false">IF(IFERROR(INDEX(tsk_Name,(ROW()-ROW(MSPTasks[[#Headers],[ID]])))="",TRUE()),"",INDEX(tsk_FcFinish,(ROW()-ROW(MSPTasks[[#Headers],[ID]]))))</f>
        <v/>
      </c>
      <c r="I7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7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7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7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7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7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76" s="115" t="str">
        <f aca="false">IF(IFERROR(INDEX(tsk_Name,(ROW()-ROW(MSPTasks[[#Headers],[ID]])))="",TRUE()),"",INDEX(tsk_PlanStart,(ROW()-ROW(MSPTasks[[#Headers],[ID]]))))</f>
        <v/>
      </c>
      <c r="P76" s="115" t="str">
        <f aca="false">IF(IFERROR(INDEX(tsk_Name,(ROW()-ROW(MSPTasks[[#Headers],[ID]])))="",TRUE()),"",INDEX(tsk_PlanFinish,(ROW()-ROW(MSPTasks[[#Headers],[ID]]))))</f>
        <v/>
      </c>
      <c r="Q7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7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7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7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7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7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7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7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7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76" s="24" t="str">
        <f aca="false">IF(IFERROR(INDEX(tsk_Name,(ROW()-ROW(MSPTasks[[#Headers],[ID]])))="",TRUE()),"",INDEX(tsk_Notes,(ROW()-ROW(MSPTasks[[#Headers],[ID]])))&amp;"")</f>
        <v/>
      </c>
    </row>
    <row r="77" customFormat="false" ht="15" hidden="false" customHeight="false" outlineLevel="0" collapsed="false">
      <c r="A77" s="24" t="str">
        <f aca="false">IF(IFERROR(INDEX(tsk_Name,(ROW()-ROW(MSPTasks[[#Headers],[ID]])))="",TRUE()),"",INDEX(tsk_ID,(ROW()-ROW(MSPTasks[[#Headers],[ID]]))))</f>
        <v/>
      </c>
      <c r="B77" s="24" t="str">
        <f aca="false">IF(IFERROR(INDEX(tsk_Name,(ROW()-ROW(MSPTasks[[#Headers],[ID]])))="",TRUE()),"",INDEX(tsk_UID,(ROW()-ROW(MSPTasks[[#Headers],[ID]]))))</f>
        <v/>
      </c>
      <c r="C77" s="24" t="str">
        <f aca="false">IF(IFERROR(INDEX(tsk_Name,(ROW()-ROW(MSPTasks[[#Headers],[ID]])))="",TRUE()),"",INDEX(tsk_Name,(ROW()-ROW(MSPTasks[[#Headers],[ID]]))))</f>
        <v/>
      </c>
      <c r="D77" s="24" t="str">
        <f aca="false">IF(IFERROR(INDEX(tsk_Name,(ROW()-ROW(MSPTasks[[#Headers],[ID]])))="",TRUE()),"",INDEX(tsk_Level,(ROW()-ROW(MSPTasks[[#Headers],[ID]]))))</f>
        <v/>
      </c>
      <c r="E77" s="24" t="str">
        <f aca="false">IF(IFERROR(INDEX(tsk_Name,(ROW()-ROW(MSPTasks[[#Headers],[ID]])))="",TRUE()),"",IF(INDEX(tsk_Mode,(ROW()-ROW(MSPTasks[[#Headers],[ID]])))="Manual","Manually Scheduled","Auto Scheduled"))</f>
        <v/>
      </c>
      <c r="F7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77" s="115" t="str">
        <f aca="false">IF(IFERROR(INDEX(tsk_Name,(ROW()-ROW(MSPTasks[[#Headers],[ID]])))="",TRUE()),"",INDEX(tsk_FcStart,(ROW()-ROW(MSPTasks[[#Headers],[ID]]))))</f>
        <v/>
      </c>
      <c r="H77" s="115" t="str">
        <f aca="false">IF(IFERROR(INDEX(tsk_Name,(ROW()-ROW(MSPTasks[[#Headers],[ID]])))="",TRUE()),"",INDEX(tsk_FcFinish,(ROW()-ROW(MSPTasks[[#Headers],[ID]]))))</f>
        <v/>
      </c>
      <c r="I7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7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7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7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7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7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77" s="115" t="str">
        <f aca="false">IF(IFERROR(INDEX(tsk_Name,(ROW()-ROW(MSPTasks[[#Headers],[ID]])))="",TRUE()),"",INDEX(tsk_PlanStart,(ROW()-ROW(MSPTasks[[#Headers],[ID]]))))</f>
        <v/>
      </c>
      <c r="P77" s="115" t="str">
        <f aca="false">IF(IFERROR(INDEX(tsk_Name,(ROW()-ROW(MSPTasks[[#Headers],[ID]])))="",TRUE()),"",INDEX(tsk_PlanFinish,(ROW()-ROW(MSPTasks[[#Headers],[ID]]))))</f>
        <v/>
      </c>
      <c r="Q7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7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7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7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7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7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7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7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7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77" s="24" t="str">
        <f aca="false">IF(IFERROR(INDEX(tsk_Name,(ROW()-ROW(MSPTasks[[#Headers],[ID]])))="",TRUE()),"",INDEX(tsk_Notes,(ROW()-ROW(MSPTasks[[#Headers],[ID]])))&amp;"")</f>
        <v/>
      </c>
    </row>
    <row r="78" customFormat="false" ht="15" hidden="false" customHeight="false" outlineLevel="0" collapsed="false">
      <c r="A78" s="24" t="str">
        <f aca="false">IF(IFERROR(INDEX(tsk_Name,(ROW()-ROW(MSPTasks[[#Headers],[ID]])))="",TRUE()),"",INDEX(tsk_ID,(ROW()-ROW(MSPTasks[[#Headers],[ID]]))))</f>
        <v/>
      </c>
      <c r="B78" s="24" t="str">
        <f aca="false">IF(IFERROR(INDEX(tsk_Name,(ROW()-ROW(MSPTasks[[#Headers],[ID]])))="",TRUE()),"",INDEX(tsk_UID,(ROW()-ROW(MSPTasks[[#Headers],[ID]]))))</f>
        <v/>
      </c>
      <c r="C78" s="24" t="str">
        <f aca="false">IF(IFERROR(INDEX(tsk_Name,(ROW()-ROW(MSPTasks[[#Headers],[ID]])))="",TRUE()),"",INDEX(tsk_Name,(ROW()-ROW(MSPTasks[[#Headers],[ID]]))))</f>
        <v/>
      </c>
      <c r="D78" s="24" t="str">
        <f aca="false">IF(IFERROR(INDEX(tsk_Name,(ROW()-ROW(MSPTasks[[#Headers],[ID]])))="",TRUE()),"",INDEX(tsk_Level,(ROW()-ROW(MSPTasks[[#Headers],[ID]]))))</f>
        <v/>
      </c>
      <c r="E78" s="24" t="str">
        <f aca="false">IF(IFERROR(INDEX(tsk_Name,(ROW()-ROW(MSPTasks[[#Headers],[ID]])))="",TRUE()),"",IF(INDEX(tsk_Mode,(ROW()-ROW(MSPTasks[[#Headers],[ID]])))="Manual","Manually Scheduled","Auto Scheduled"))</f>
        <v/>
      </c>
      <c r="F7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78" s="115" t="str">
        <f aca="false">IF(IFERROR(INDEX(tsk_Name,(ROW()-ROW(MSPTasks[[#Headers],[ID]])))="",TRUE()),"",INDEX(tsk_FcStart,(ROW()-ROW(MSPTasks[[#Headers],[ID]]))))</f>
        <v/>
      </c>
      <c r="H78" s="115" t="str">
        <f aca="false">IF(IFERROR(INDEX(tsk_Name,(ROW()-ROW(MSPTasks[[#Headers],[ID]])))="",TRUE()),"",INDEX(tsk_FcFinish,(ROW()-ROW(MSPTasks[[#Headers],[ID]]))))</f>
        <v/>
      </c>
      <c r="I7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7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7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7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7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7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78" s="115" t="str">
        <f aca="false">IF(IFERROR(INDEX(tsk_Name,(ROW()-ROW(MSPTasks[[#Headers],[ID]])))="",TRUE()),"",INDEX(tsk_PlanStart,(ROW()-ROW(MSPTasks[[#Headers],[ID]]))))</f>
        <v/>
      </c>
      <c r="P78" s="115" t="str">
        <f aca="false">IF(IFERROR(INDEX(tsk_Name,(ROW()-ROW(MSPTasks[[#Headers],[ID]])))="",TRUE()),"",INDEX(tsk_PlanFinish,(ROW()-ROW(MSPTasks[[#Headers],[ID]]))))</f>
        <v/>
      </c>
      <c r="Q7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7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7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7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7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7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7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7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7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78" s="24" t="str">
        <f aca="false">IF(IFERROR(INDEX(tsk_Name,(ROW()-ROW(MSPTasks[[#Headers],[ID]])))="",TRUE()),"",INDEX(tsk_Notes,(ROW()-ROW(MSPTasks[[#Headers],[ID]])))&amp;"")</f>
        <v/>
      </c>
    </row>
    <row r="79" customFormat="false" ht="15" hidden="false" customHeight="false" outlineLevel="0" collapsed="false">
      <c r="A79" s="24" t="str">
        <f aca="false">IF(IFERROR(INDEX(tsk_Name,(ROW()-ROW(MSPTasks[[#Headers],[ID]])))="",TRUE()),"",INDEX(tsk_ID,(ROW()-ROW(MSPTasks[[#Headers],[ID]]))))</f>
        <v/>
      </c>
      <c r="B79" s="24" t="str">
        <f aca="false">IF(IFERROR(INDEX(tsk_Name,(ROW()-ROW(MSPTasks[[#Headers],[ID]])))="",TRUE()),"",INDEX(tsk_UID,(ROW()-ROW(MSPTasks[[#Headers],[ID]]))))</f>
        <v/>
      </c>
      <c r="C79" s="24" t="str">
        <f aca="false">IF(IFERROR(INDEX(tsk_Name,(ROW()-ROW(MSPTasks[[#Headers],[ID]])))="",TRUE()),"",INDEX(tsk_Name,(ROW()-ROW(MSPTasks[[#Headers],[ID]]))))</f>
        <v/>
      </c>
      <c r="D79" s="24" t="str">
        <f aca="false">IF(IFERROR(INDEX(tsk_Name,(ROW()-ROW(MSPTasks[[#Headers],[ID]])))="",TRUE()),"",INDEX(tsk_Level,(ROW()-ROW(MSPTasks[[#Headers],[ID]]))))</f>
        <v/>
      </c>
      <c r="E79" s="24" t="str">
        <f aca="false">IF(IFERROR(INDEX(tsk_Name,(ROW()-ROW(MSPTasks[[#Headers],[ID]])))="",TRUE()),"",IF(INDEX(tsk_Mode,(ROW()-ROW(MSPTasks[[#Headers],[ID]])))="Manual","Manually Scheduled","Auto Scheduled"))</f>
        <v/>
      </c>
      <c r="F7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79" s="115" t="str">
        <f aca="false">IF(IFERROR(INDEX(tsk_Name,(ROW()-ROW(MSPTasks[[#Headers],[ID]])))="",TRUE()),"",INDEX(tsk_FcStart,(ROW()-ROW(MSPTasks[[#Headers],[ID]]))))</f>
        <v/>
      </c>
      <c r="H79" s="115" t="str">
        <f aca="false">IF(IFERROR(INDEX(tsk_Name,(ROW()-ROW(MSPTasks[[#Headers],[ID]])))="",TRUE()),"",INDEX(tsk_FcFinish,(ROW()-ROW(MSPTasks[[#Headers],[ID]]))))</f>
        <v/>
      </c>
      <c r="I7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7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7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7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7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7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79" s="115" t="str">
        <f aca="false">IF(IFERROR(INDEX(tsk_Name,(ROW()-ROW(MSPTasks[[#Headers],[ID]])))="",TRUE()),"",INDEX(tsk_PlanStart,(ROW()-ROW(MSPTasks[[#Headers],[ID]]))))</f>
        <v/>
      </c>
      <c r="P79" s="115" t="str">
        <f aca="false">IF(IFERROR(INDEX(tsk_Name,(ROW()-ROW(MSPTasks[[#Headers],[ID]])))="",TRUE()),"",INDEX(tsk_PlanFinish,(ROW()-ROW(MSPTasks[[#Headers],[ID]]))))</f>
        <v/>
      </c>
      <c r="Q7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7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7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7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7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7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7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7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7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79" s="24" t="str">
        <f aca="false">IF(IFERROR(INDEX(tsk_Name,(ROW()-ROW(MSPTasks[[#Headers],[ID]])))="",TRUE()),"",INDEX(tsk_Notes,(ROW()-ROW(MSPTasks[[#Headers],[ID]])))&amp;"")</f>
        <v/>
      </c>
    </row>
    <row r="80" customFormat="false" ht="15" hidden="false" customHeight="false" outlineLevel="0" collapsed="false">
      <c r="A80" s="24" t="str">
        <f aca="false">IF(IFERROR(INDEX(tsk_Name,(ROW()-ROW(MSPTasks[[#Headers],[ID]])))="",TRUE()),"",INDEX(tsk_ID,(ROW()-ROW(MSPTasks[[#Headers],[ID]]))))</f>
        <v/>
      </c>
      <c r="B80" s="24" t="str">
        <f aca="false">IF(IFERROR(INDEX(tsk_Name,(ROW()-ROW(MSPTasks[[#Headers],[ID]])))="",TRUE()),"",INDEX(tsk_UID,(ROW()-ROW(MSPTasks[[#Headers],[ID]]))))</f>
        <v/>
      </c>
      <c r="C80" s="24" t="str">
        <f aca="false">IF(IFERROR(INDEX(tsk_Name,(ROW()-ROW(MSPTasks[[#Headers],[ID]])))="",TRUE()),"",INDEX(tsk_Name,(ROW()-ROW(MSPTasks[[#Headers],[ID]]))))</f>
        <v/>
      </c>
      <c r="D80" s="24" t="str">
        <f aca="false">IF(IFERROR(INDEX(tsk_Name,(ROW()-ROW(MSPTasks[[#Headers],[ID]])))="",TRUE()),"",INDEX(tsk_Level,(ROW()-ROW(MSPTasks[[#Headers],[ID]]))))</f>
        <v/>
      </c>
      <c r="E80" s="24" t="str">
        <f aca="false">IF(IFERROR(INDEX(tsk_Name,(ROW()-ROW(MSPTasks[[#Headers],[ID]])))="",TRUE()),"",IF(INDEX(tsk_Mode,(ROW()-ROW(MSPTasks[[#Headers],[ID]])))="Manual","Manually Scheduled","Auto Scheduled"))</f>
        <v/>
      </c>
      <c r="F8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80" s="115" t="str">
        <f aca="false">IF(IFERROR(INDEX(tsk_Name,(ROW()-ROW(MSPTasks[[#Headers],[ID]])))="",TRUE()),"",INDEX(tsk_FcStart,(ROW()-ROW(MSPTasks[[#Headers],[ID]]))))</f>
        <v/>
      </c>
      <c r="H80" s="115" t="str">
        <f aca="false">IF(IFERROR(INDEX(tsk_Name,(ROW()-ROW(MSPTasks[[#Headers],[ID]])))="",TRUE()),"",INDEX(tsk_FcFinish,(ROW()-ROW(MSPTasks[[#Headers],[ID]]))))</f>
        <v/>
      </c>
      <c r="I8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8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8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8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8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8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80" s="115" t="str">
        <f aca="false">IF(IFERROR(INDEX(tsk_Name,(ROW()-ROW(MSPTasks[[#Headers],[ID]])))="",TRUE()),"",INDEX(tsk_PlanStart,(ROW()-ROW(MSPTasks[[#Headers],[ID]]))))</f>
        <v/>
      </c>
      <c r="P80" s="115" t="str">
        <f aca="false">IF(IFERROR(INDEX(tsk_Name,(ROW()-ROW(MSPTasks[[#Headers],[ID]])))="",TRUE()),"",INDEX(tsk_PlanFinish,(ROW()-ROW(MSPTasks[[#Headers],[ID]]))))</f>
        <v/>
      </c>
      <c r="Q8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8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8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8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8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8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8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8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8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80" s="24" t="str">
        <f aca="false">IF(IFERROR(INDEX(tsk_Name,(ROW()-ROW(MSPTasks[[#Headers],[ID]])))="",TRUE()),"",INDEX(tsk_Notes,(ROW()-ROW(MSPTasks[[#Headers],[ID]])))&amp;"")</f>
        <v/>
      </c>
    </row>
    <row r="81" customFormat="false" ht="15" hidden="false" customHeight="false" outlineLevel="0" collapsed="false">
      <c r="A81" s="24" t="str">
        <f aca="false">IF(IFERROR(INDEX(tsk_Name,(ROW()-ROW(MSPTasks[[#Headers],[ID]])))="",TRUE()),"",INDEX(tsk_ID,(ROW()-ROW(MSPTasks[[#Headers],[ID]]))))</f>
        <v/>
      </c>
      <c r="B81" s="24" t="str">
        <f aca="false">IF(IFERROR(INDEX(tsk_Name,(ROW()-ROW(MSPTasks[[#Headers],[ID]])))="",TRUE()),"",INDEX(tsk_UID,(ROW()-ROW(MSPTasks[[#Headers],[ID]]))))</f>
        <v/>
      </c>
      <c r="C81" s="24" t="str">
        <f aca="false">IF(IFERROR(INDEX(tsk_Name,(ROW()-ROW(MSPTasks[[#Headers],[ID]])))="",TRUE()),"",INDEX(tsk_Name,(ROW()-ROW(MSPTasks[[#Headers],[ID]]))))</f>
        <v/>
      </c>
      <c r="D81" s="24" t="str">
        <f aca="false">IF(IFERROR(INDEX(tsk_Name,(ROW()-ROW(MSPTasks[[#Headers],[ID]])))="",TRUE()),"",INDEX(tsk_Level,(ROW()-ROW(MSPTasks[[#Headers],[ID]]))))</f>
        <v/>
      </c>
      <c r="E81" s="24" t="str">
        <f aca="false">IF(IFERROR(INDEX(tsk_Name,(ROW()-ROW(MSPTasks[[#Headers],[ID]])))="",TRUE()),"",IF(INDEX(tsk_Mode,(ROW()-ROW(MSPTasks[[#Headers],[ID]])))="Manual","Manually Scheduled","Auto Scheduled"))</f>
        <v/>
      </c>
      <c r="F8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81" s="115" t="str">
        <f aca="false">IF(IFERROR(INDEX(tsk_Name,(ROW()-ROW(MSPTasks[[#Headers],[ID]])))="",TRUE()),"",INDEX(tsk_FcStart,(ROW()-ROW(MSPTasks[[#Headers],[ID]]))))</f>
        <v/>
      </c>
      <c r="H81" s="115" t="str">
        <f aca="false">IF(IFERROR(INDEX(tsk_Name,(ROW()-ROW(MSPTasks[[#Headers],[ID]])))="",TRUE()),"",INDEX(tsk_FcFinish,(ROW()-ROW(MSPTasks[[#Headers],[ID]]))))</f>
        <v/>
      </c>
      <c r="I8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8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8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8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8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8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81" s="115" t="str">
        <f aca="false">IF(IFERROR(INDEX(tsk_Name,(ROW()-ROW(MSPTasks[[#Headers],[ID]])))="",TRUE()),"",INDEX(tsk_PlanStart,(ROW()-ROW(MSPTasks[[#Headers],[ID]]))))</f>
        <v/>
      </c>
      <c r="P81" s="115" t="str">
        <f aca="false">IF(IFERROR(INDEX(tsk_Name,(ROW()-ROW(MSPTasks[[#Headers],[ID]])))="",TRUE()),"",INDEX(tsk_PlanFinish,(ROW()-ROW(MSPTasks[[#Headers],[ID]]))))</f>
        <v/>
      </c>
      <c r="Q8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8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8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8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8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8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8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8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8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81" s="24" t="str">
        <f aca="false">IF(IFERROR(INDEX(tsk_Name,(ROW()-ROW(MSPTasks[[#Headers],[ID]])))="",TRUE()),"",INDEX(tsk_Notes,(ROW()-ROW(MSPTasks[[#Headers],[ID]])))&amp;"")</f>
        <v/>
      </c>
    </row>
    <row r="82" customFormat="false" ht="15" hidden="false" customHeight="false" outlineLevel="0" collapsed="false">
      <c r="A82" s="24" t="str">
        <f aca="false">IF(IFERROR(INDEX(tsk_Name,(ROW()-ROW(MSPTasks[[#Headers],[ID]])))="",TRUE()),"",INDEX(tsk_ID,(ROW()-ROW(MSPTasks[[#Headers],[ID]]))))</f>
        <v/>
      </c>
      <c r="B82" s="24" t="str">
        <f aca="false">IF(IFERROR(INDEX(tsk_Name,(ROW()-ROW(MSPTasks[[#Headers],[ID]])))="",TRUE()),"",INDEX(tsk_UID,(ROW()-ROW(MSPTasks[[#Headers],[ID]]))))</f>
        <v/>
      </c>
      <c r="C82" s="24" t="str">
        <f aca="false">IF(IFERROR(INDEX(tsk_Name,(ROW()-ROW(MSPTasks[[#Headers],[ID]])))="",TRUE()),"",INDEX(tsk_Name,(ROW()-ROW(MSPTasks[[#Headers],[ID]]))))</f>
        <v/>
      </c>
      <c r="D82" s="24" t="str">
        <f aca="false">IF(IFERROR(INDEX(tsk_Name,(ROW()-ROW(MSPTasks[[#Headers],[ID]])))="",TRUE()),"",INDEX(tsk_Level,(ROW()-ROW(MSPTasks[[#Headers],[ID]]))))</f>
        <v/>
      </c>
      <c r="E82" s="24" t="str">
        <f aca="false">IF(IFERROR(INDEX(tsk_Name,(ROW()-ROW(MSPTasks[[#Headers],[ID]])))="",TRUE()),"",IF(INDEX(tsk_Mode,(ROW()-ROW(MSPTasks[[#Headers],[ID]])))="Manual","Manually Scheduled","Auto Scheduled"))</f>
        <v/>
      </c>
      <c r="F8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82" s="115" t="str">
        <f aca="false">IF(IFERROR(INDEX(tsk_Name,(ROW()-ROW(MSPTasks[[#Headers],[ID]])))="",TRUE()),"",INDEX(tsk_FcStart,(ROW()-ROW(MSPTasks[[#Headers],[ID]]))))</f>
        <v/>
      </c>
      <c r="H82" s="115" t="str">
        <f aca="false">IF(IFERROR(INDEX(tsk_Name,(ROW()-ROW(MSPTasks[[#Headers],[ID]])))="",TRUE()),"",INDEX(tsk_FcFinish,(ROW()-ROW(MSPTasks[[#Headers],[ID]]))))</f>
        <v/>
      </c>
      <c r="I8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8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8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8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8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8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82" s="115" t="str">
        <f aca="false">IF(IFERROR(INDEX(tsk_Name,(ROW()-ROW(MSPTasks[[#Headers],[ID]])))="",TRUE()),"",INDEX(tsk_PlanStart,(ROW()-ROW(MSPTasks[[#Headers],[ID]]))))</f>
        <v/>
      </c>
      <c r="P82" s="115" t="str">
        <f aca="false">IF(IFERROR(INDEX(tsk_Name,(ROW()-ROW(MSPTasks[[#Headers],[ID]])))="",TRUE()),"",INDEX(tsk_PlanFinish,(ROW()-ROW(MSPTasks[[#Headers],[ID]]))))</f>
        <v/>
      </c>
      <c r="Q8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8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8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8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8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8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8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8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8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82" s="24" t="str">
        <f aca="false">IF(IFERROR(INDEX(tsk_Name,(ROW()-ROW(MSPTasks[[#Headers],[ID]])))="",TRUE()),"",INDEX(tsk_Notes,(ROW()-ROW(MSPTasks[[#Headers],[ID]])))&amp;"")</f>
        <v/>
      </c>
    </row>
    <row r="83" customFormat="false" ht="15" hidden="false" customHeight="false" outlineLevel="0" collapsed="false">
      <c r="A83" s="24" t="str">
        <f aca="false">IF(IFERROR(INDEX(tsk_Name,(ROW()-ROW(MSPTasks[[#Headers],[ID]])))="",TRUE()),"",INDEX(tsk_ID,(ROW()-ROW(MSPTasks[[#Headers],[ID]]))))</f>
        <v/>
      </c>
      <c r="B83" s="24" t="str">
        <f aca="false">IF(IFERROR(INDEX(tsk_Name,(ROW()-ROW(MSPTasks[[#Headers],[ID]])))="",TRUE()),"",INDEX(tsk_UID,(ROW()-ROW(MSPTasks[[#Headers],[ID]]))))</f>
        <v/>
      </c>
      <c r="C83" s="24" t="str">
        <f aca="false">IF(IFERROR(INDEX(tsk_Name,(ROW()-ROW(MSPTasks[[#Headers],[ID]])))="",TRUE()),"",INDEX(tsk_Name,(ROW()-ROW(MSPTasks[[#Headers],[ID]]))))</f>
        <v/>
      </c>
      <c r="D83" s="24" t="str">
        <f aca="false">IF(IFERROR(INDEX(tsk_Name,(ROW()-ROW(MSPTasks[[#Headers],[ID]])))="",TRUE()),"",INDEX(tsk_Level,(ROW()-ROW(MSPTasks[[#Headers],[ID]]))))</f>
        <v/>
      </c>
      <c r="E83" s="24" t="str">
        <f aca="false">IF(IFERROR(INDEX(tsk_Name,(ROW()-ROW(MSPTasks[[#Headers],[ID]])))="",TRUE()),"",IF(INDEX(tsk_Mode,(ROW()-ROW(MSPTasks[[#Headers],[ID]])))="Manual","Manually Scheduled","Auto Scheduled"))</f>
        <v/>
      </c>
      <c r="F8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83" s="115" t="str">
        <f aca="false">IF(IFERROR(INDEX(tsk_Name,(ROW()-ROW(MSPTasks[[#Headers],[ID]])))="",TRUE()),"",INDEX(tsk_FcStart,(ROW()-ROW(MSPTasks[[#Headers],[ID]]))))</f>
        <v/>
      </c>
      <c r="H83" s="115" t="str">
        <f aca="false">IF(IFERROR(INDEX(tsk_Name,(ROW()-ROW(MSPTasks[[#Headers],[ID]])))="",TRUE()),"",INDEX(tsk_FcFinish,(ROW()-ROW(MSPTasks[[#Headers],[ID]]))))</f>
        <v/>
      </c>
      <c r="I8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8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8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8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8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8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83" s="115" t="str">
        <f aca="false">IF(IFERROR(INDEX(tsk_Name,(ROW()-ROW(MSPTasks[[#Headers],[ID]])))="",TRUE()),"",INDEX(tsk_PlanStart,(ROW()-ROW(MSPTasks[[#Headers],[ID]]))))</f>
        <v/>
      </c>
      <c r="P83" s="115" t="str">
        <f aca="false">IF(IFERROR(INDEX(tsk_Name,(ROW()-ROW(MSPTasks[[#Headers],[ID]])))="",TRUE()),"",INDEX(tsk_PlanFinish,(ROW()-ROW(MSPTasks[[#Headers],[ID]]))))</f>
        <v/>
      </c>
      <c r="Q8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8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8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8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8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8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8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8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8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83" s="24" t="str">
        <f aca="false">IF(IFERROR(INDEX(tsk_Name,(ROW()-ROW(MSPTasks[[#Headers],[ID]])))="",TRUE()),"",INDEX(tsk_Notes,(ROW()-ROW(MSPTasks[[#Headers],[ID]])))&amp;"")</f>
        <v/>
      </c>
    </row>
    <row r="84" customFormat="false" ht="15" hidden="false" customHeight="false" outlineLevel="0" collapsed="false">
      <c r="A84" s="24" t="str">
        <f aca="false">IF(IFERROR(INDEX(tsk_Name,(ROW()-ROW(MSPTasks[[#Headers],[ID]])))="",TRUE()),"",INDEX(tsk_ID,(ROW()-ROW(MSPTasks[[#Headers],[ID]]))))</f>
        <v/>
      </c>
      <c r="B84" s="24" t="str">
        <f aca="false">IF(IFERROR(INDEX(tsk_Name,(ROW()-ROW(MSPTasks[[#Headers],[ID]])))="",TRUE()),"",INDEX(tsk_UID,(ROW()-ROW(MSPTasks[[#Headers],[ID]]))))</f>
        <v/>
      </c>
      <c r="C84" s="24" t="str">
        <f aca="false">IF(IFERROR(INDEX(tsk_Name,(ROW()-ROW(MSPTasks[[#Headers],[ID]])))="",TRUE()),"",INDEX(tsk_Name,(ROW()-ROW(MSPTasks[[#Headers],[ID]]))))</f>
        <v/>
      </c>
      <c r="D84" s="24" t="str">
        <f aca="false">IF(IFERROR(INDEX(tsk_Name,(ROW()-ROW(MSPTasks[[#Headers],[ID]])))="",TRUE()),"",INDEX(tsk_Level,(ROW()-ROW(MSPTasks[[#Headers],[ID]]))))</f>
        <v/>
      </c>
      <c r="E84" s="24" t="str">
        <f aca="false">IF(IFERROR(INDEX(tsk_Name,(ROW()-ROW(MSPTasks[[#Headers],[ID]])))="",TRUE()),"",IF(INDEX(tsk_Mode,(ROW()-ROW(MSPTasks[[#Headers],[ID]])))="Manual","Manually Scheduled","Auto Scheduled"))</f>
        <v/>
      </c>
      <c r="F8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84" s="115" t="str">
        <f aca="false">IF(IFERROR(INDEX(tsk_Name,(ROW()-ROW(MSPTasks[[#Headers],[ID]])))="",TRUE()),"",INDEX(tsk_FcStart,(ROW()-ROW(MSPTasks[[#Headers],[ID]]))))</f>
        <v/>
      </c>
      <c r="H84" s="115" t="str">
        <f aca="false">IF(IFERROR(INDEX(tsk_Name,(ROW()-ROW(MSPTasks[[#Headers],[ID]])))="",TRUE()),"",INDEX(tsk_FcFinish,(ROW()-ROW(MSPTasks[[#Headers],[ID]]))))</f>
        <v/>
      </c>
      <c r="I8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8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8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8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8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8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84" s="115" t="str">
        <f aca="false">IF(IFERROR(INDEX(tsk_Name,(ROW()-ROW(MSPTasks[[#Headers],[ID]])))="",TRUE()),"",INDEX(tsk_PlanStart,(ROW()-ROW(MSPTasks[[#Headers],[ID]]))))</f>
        <v/>
      </c>
      <c r="P84" s="115" t="str">
        <f aca="false">IF(IFERROR(INDEX(tsk_Name,(ROW()-ROW(MSPTasks[[#Headers],[ID]])))="",TRUE()),"",INDEX(tsk_PlanFinish,(ROW()-ROW(MSPTasks[[#Headers],[ID]]))))</f>
        <v/>
      </c>
      <c r="Q8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8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8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8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8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8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8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8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8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84" s="24" t="str">
        <f aca="false">IF(IFERROR(INDEX(tsk_Name,(ROW()-ROW(MSPTasks[[#Headers],[ID]])))="",TRUE()),"",INDEX(tsk_Notes,(ROW()-ROW(MSPTasks[[#Headers],[ID]])))&amp;"")</f>
        <v/>
      </c>
    </row>
    <row r="85" customFormat="false" ht="15" hidden="false" customHeight="false" outlineLevel="0" collapsed="false">
      <c r="A85" s="24" t="str">
        <f aca="false">IF(IFERROR(INDEX(tsk_Name,(ROW()-ROW(MSPTasks[[#Headers],[ID]])))="",TRUE()),"",INDEX(tsk_ID,(ROW()-ROW(MSPTasks[[#Headers],[ID]]))))</f>
        <v/>
      </c>
      <c r="B85" s="24" t="str">
        <f aca="false">IF(IFERROR(INDEX(tsk_Name,(ROW()-ROW(MSPTasks[[#Headers],[ID]])))="",TRUE()),"",INDEX(tsk_UID,(ROW()-ROW(MSPTasks[[#Headers],[ID]]))))</f>
        <v/>
      </c>
      <c r="C85" s="24" t="str">
        <f aca="false">IF(IFERROR(INDEX(tsk_Name,(ROW()-ROW(MSPTasks[[#Headers],[ID]])))="",TRUE()),"",INDEX(tsk_Name,(ROW()-ROW(MSPTasks[[#Headers],[ID]]))))</f>
        <v/>
      </c>
      <c r="D85" s="24" t="str">
        <f aca="false">IF(IFERROR(INDEX(tsk_Name,(ROW()-ROW(MSPTasks[[#Headers],[ID]])))="",TRUE()),"",INDEX(tsk_Level,(ROW()-ROW(MSPTasks[[#Headers],[ID]]))))</f>
        <v/>
      </c>
      <c r="E85" s="24" t="str">
        <f aca="false">IF(IFERROR(INDEX(tsk_Name,(ROW()-ROW(MSPTasks[[#Headers],[ID]])))="",TRUE()),"",IF(INDEX(tsk_Mode,(ROW()-ROW(MSPTasks[[#Headers],[ID]])))="Manual","Manually Scheduled","Auto Scheduled"))</f>
        <v/>
      </c>
      <c r="F8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85" s="115" t="str">
        <f aca="false">IF(IFERROR(INDEX(tsk_Name,(ROW()-ROW(MSPTasks[[#Headers],[ID]])))="",TRUE()),"",INDEX(tsk_FcStart,(ROW()-ROW(MSPTasks[[#Headers],[ID]]))))</f>
        <v/>
      </c>
      <c r="H85" s="115" t="str">
        <f aca="false">IF(IFERROR(INDEX(tsk_Name,(ROW()-ROW(MSPTasks[[#Headers],[ID]])))="",TRUE()),"",INDEX(tsk_FcFinish,(ROW()-ROW(MSPTasks[[#Headers],[ID]]))))</f>
        <v/>
      </c>
      <c r="I8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8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8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8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8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8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85" s="115" t="str">
        <f aca="false">IF(IFERROR(INDEX(tsk_Name,(ROW()-ROW(MSPTasks[[#Headers],[ID]])))="",TRUE()),"",INDEX(tsk_PlanStart,(ROW()-ROW(MSPTasks[[#Headers],[ID]]))))</f>
        <v/>
      </c>
      <c r="P85" s="115" t="str">
        <f aca="false">IF(IFERROR(INDEX(tsk_Name,(ROW()-ROW(MSPTasks[[#Headers],[ID]])))="",TRUE()),"",INDEX(tsk_PlanFinish,(ROW()-ROW(MSPTasks[[#Headers],[ID]]))))</f>
        <v/>
      </c>
      <c r="Q8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8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8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8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8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8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8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8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8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85" s="24" t="str">
        <f aca="false">IF(IFERROR(INDEX(tsk_Name,(ROW()-ROW(MSPTasks[[#Headers],[ID]])))="",TRUE()),"",INDEX(tsk_Notes,(ROW()-ROW(MSPTasks[[#Headers],[ID]])))&amp;"")</f>
        <v/>
      </c>
    </row>
    <row r="86" customFormat="false" ht="15" hidden="false" customHeight="false" outlineLevel="0" collapsed="false">
      <c r="A86" s="24" t="str">
        <f aca="false">IF(IFERROR(INDEX(tsk_Name,(ROW()-ROW(MSPTasks[[#Headers],[ID]])))="",TRUE()),"",INDEX(tsk_ID,(ROW()-ROW(MSPTasks[[#Headers],[ID]]))))</f>
        <v/>
      </c>
      <c r="B86" s="24" t="str">
        <f aca="false">IF(IFERROR(INDEX(tsk_Name,(ROW()-ROW(MSPTasks[[#Headers],[ID]])))="",TRUE()),"",INDEX(tsk_UID,(ROW()-ROW(MSPTasks[[#Headers],[ID]]))))</f>
        <v/>
      </c>
      <c r="C86" s="24" t="str">
        <f aca="false">IF(IFERROR(INDEX(tsk_Name,(ROW()-ROW(MSPTasks[[#Headers],[ID]])))="",TRUE()),"",INDEX(tsk_Name,(ROW()-ROW(MSPTasks[[#Headers],[ID]]))))</f>
        <v/>
      </c>
      <c r="D86" s="24" t="str">
        <f aca="false">IF(IFERROR(INDEX(tsk_Name,(ROW()-ROW(MSPTasks[[#Headers],[ID]])))="",TRUE()),"",INDEX(tsk_Level,(ROW()-ROW(MSPTasks[[#Headers],[ID]]))))</f>
        <v/>
      </c>
      <c r="E86" s="24" t="str">
        <f aca="false">IF(IFERROR(INDEX(tsk_Name,(ROW()-ROW(MSPTasks[[#Headers],[ID]])))="",TRUE()),"",IF(INDEX(tsk_Mode,(ROW()-ROW(MSPTasks[[#Headers],[ID]])))="Manual","Manually Scheduled","Auto Scheduled"))</f>
        <v/>
      </c>
      <c r="F8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86" s="115" t="str">
        <f aca="false">IF(IFERROR(INDEX(tsk_Name,(ROW()-ROW(MSPTasks[[#Headers],[ID]])))="",TRUE()),"",INDEX(tsk_FcStart,(ROW()-ROW(MSPTasks[[#Headers],[ID]]))))</f>
        <v/>
      </c>
      <c r="H86" s="115" t="str">
        <f aca="false">IF(IFERROR(INDEX(tsk_Name,(ROW()-ROW(MSPTasks[[#Headers],[ID]])))="",TRUE()),"",INDEX(tsk_FcFinish,(ROW()-ROW(MSPTasks[[#Headers],[ID]]))))</f>
        <v/>
      </c>
      <c r="I8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8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8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8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8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8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86" s="115" t="str">
        <f aca="false">IF(IFERROR(INDEX(tsk_Name,(ROW()-ROW(MSPTasks[[#Headers],[ID]])))="",TRUE()),"",INDEX(tsk_PlanStart,(ROW()-ROW(MSPTasks[[#Headers],[ID]]))))</f>
        <v/>
      </c>
      <c r="P86" s="115" t="str">
        <f aca="false">IF(IFERROR(INDEX(tsk_Name,(ROW()-ROW(MSPTasks[[#Headers],[ID]])))="",TRUE()),"",INDEX(tsk_PlanFinish,(ROW()-ROW(MSPTasks[[#Headers],[ID]]))))</f>
        <v/>
      </c>
      <c r="Q8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8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8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8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8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8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8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8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8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86" s="24" t="str">
        <f aca="false">IF(IFERROR(INDEX(tsk_Name,(ROW()-ROW(MSPTasks[[#Headers],[ID]])))="",TRUE()),"",INDEX(tsk_Notes,(ROW()-ROW(MSPTasks[[#Headers],[ID]])))&amp;"")</f>
        <v/>
      </c>
    </row>
    <row r="87" customFormat="false" ht="15" hidden="false" customHeight="false" outlineLevel="0" collapsed="false">
      <c r="A87" s="24" t="str">
        <f aca="false">IF(IFERROR(INDEX(tsk_Name,(ROW()-ROW(MSPTasks[[#Headers],[ID]])))="",TRUE()),"",INDEX(tsk_ID,(ROW()-ROW(MSPTasks[[#Headers],[ID]]))))</f>
        <v/>
      </c>
      <c r="B87" s="24" t="str">
        <f aca="false">IF(IFERROR(INDEX(tsk_Name,(ROW()-ROW(MSPTasks[[#Headers],[ID]])))="",TRUE()),"",INDEX(tsk_UID,(ROW()-ROW(MSPTasks[[#Headers],[ID]]))))</f>
        <v/>
      </c>
      <c r="C87" s="24" t="str">
        <f aca="false">IF(IFERROR(INDEX(tsk_Name,(ROW()-ROW(MSPTasks[[#Headers],[ID]])))="",TRUE()),"",INDEX(tsk_Name,(ROW()-ROW(MSPTasks[[#Headers],[ID]]))))</f>
        <v/>
      </c>
      <c r="D87" s="24" t="str">
        <f aca="false">IF(IFERROR(INDEX(tsk_Name,(ROW()-ROW(MSPTasks[[#Headers],[ID]])))="",TRUE()),"",INDEX(tsk_Level,(ROW()-ROW(MSPTasks[[#Headers],[ID]]))))</f>
        <v/>
      </c>
      <c r="E87" s="24" t="str">
        <f aca="false">IF(IFERROR(INDEX(tsk_Name,(ROW()-ROW(MSPTasks[[#Headers],[ID]])))="",TRUE()),"",IF(INDEX(tsk_Mode,(ROW()-ROW(MSPTasks[[#Headers],[ID]])))="Manual","Manually Scheduled","Auto Scheduled"))</f>
        <v/>
      </c>
      <c r="F8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87" s="115" t="str">
        <f aca="false">IF(IFERROR(INDEX(tsk_Name,(ROW()-ROW(MSPTasks[[#Headers],[ID]])))="",TRUE()),"",INDEX(tsk_FcStart,(ROW()-ROW(MSPTasks[[#Headers],[ID]]))))</f>
        <v/>
      </c>
      <c r="H87" s="115" t="str">
        <f aca="false">IF(IFERROR(INDEX(tsk_Name,(ROW()-ROW(MSPTasks[[#Headers],[ID]])))="",TRUE()),"",INDEX(tsk_FcFinish,(ROW()-ROW(MSPTasks[[#Headers],[ID]]))))</f>
        <v/>
      </c>
      <c r="I8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8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8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8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8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8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87" s="115" t="str">
        <f aca="false">IF(IFERROR(INDEX(tsk_Name,(ROW()-ROW(MSPTasks[[#Headers],[ID]])))="",TRUE()),"",INDEX(tsk_PlanStart,(ROW()-ROW(MSPTasks[[#Headers],[ID]]))))</f>
        <v/>
      </c>
      <c r="P87" s="115" t="str">
        <f aca="false">IF(IFERROR(INDEX(tsk_Name,(ROW()-ROW(MSPTasks[[#Headers],[ID]])))="",TRUE()),"",INDEX(tsk_PlanFinish,(ROW()-ROW(MSPTasks[[#Headers],[ID]]))))</f>
        <v/>
      </c>
      <c r="Q8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8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8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8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8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8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8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8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8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87" s="24" t="str">
        <f aca="false">IF(IFERROR(INDEX(tsk_Name,(ROW()-ROW(MSPTasks[[#Headers],[ID]])))="",TRUE()),"",INDEX(tsk_Notes,(ROW()-ROW(MSPTasks[[#Headers],[ID]])))&amp;"")</f>
        <v/>
      </c>
    </row>
    <row r="88" customFormat="false" ht="15" hidden="false" customHeight="false" outlineLevel="0" collapsed="false">
      <c r="A88" s="24" t="str">
        <f aca="false">IF(IFERROR(INDEX(tsk_Name,(ROW()-ROW(MSPTasks[[#Headers],[ID]])))="",TRUE()),"",INDEX(tsk_ID,(ROW()-ROW(MSPTasks[[#Headers],[ID]]))))</f>
        <v/>
      </c>
      <c r="B88" s="24" t="str">
        <f aca="false">IF(IFERROR(INDEX(tsk_Name,(ROW()-ROW(MSPTasks[[#Headers],[ID]])))="",TRUE()),"",INDEX(tsk_UID,(ROW()-ROW(MSPTasks[[#Headers],[ID]]))))</f>
        <v/>
      </c>
      <c r="C88" s="24" t="str">
        <f aca="false">IF(IFERROR(INDEX(tsk_Name,(ROW()-ROW(MSPTasks[[#Headers],[ID]])))="",TRUE()),"",INDEX(tsk_Name,(ROW()-ROW(MSPTasks[[#Headers],[ID]]))))</f>
        <v/>
      </c>
      <c r="D88" s="24" t="str">
        <f aca="false">IF(IFERROR(INDEX(tsk_Name,(ROW()-ROW(MSPTasks[[#Headers],[ID]])))="",TRUE()),"",INDEX(tsk_Level,(ROW()-ROW(MSPTasks[[#Headers],[ID]]))))</f>
        <v/>
      </c>
      <c r="E88" s="24" t="str">
        <f aca="false">IF(IFERROR(INDEX(tsk_Name,(ROW()-ROW(MSPTasks[[#Headers],[ID]])))="",TRUE()),"",IF(INDEX(tsk_Mode,(ROW()-ROW(MSPTasks[[#Headers],[ID]])))="Manual","Manually Scheduled","Auto Scheduled"))</f>
        <v/>
      </c>
      <c r="F8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88" s="115" t="str">
        <f aca="false">IF(IFERROR(INDEX(tsk_Name,(ROW()-ROW(MSPTasks[[#Headers],[ID]])))="",TRUE()),"",INDEX(tsk_FcStart,(ROW()-ROW(MSPTasks[[#Headers],[ID]]))))</f>
        <v/>
      </c>
      <c r="H88" s="115" t="str">
        <f aca="false">IF(IFERROR(INDEX(tsk_Name,(ROW()-ROW(MSPTasks[[#Headers],[ID]])))="",TRUE()),"",INDEX(tsk_FcFinish,(ROW()-ROW(MSPTasks[[#Headers],[ID]]))))</f>
        <v/>
      </c>
      <c r="I8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8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8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8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8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8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88" s="115" t="str">
        <f aca="false">IF(IFERROR(INDEX(tsk_Name,(ROW()-ROW(MSPTasks[[#Headers],[ID]])))="",TRUE()),"",INDEX(tsk_PlanStart,(ROW()-ROW(MSPTasks[[#Headers],[ID]]))))</f>
        <v/>
      </c>
      <c r="P88" s="115" t="str">
        <f aca="false">IF(IFERROR(INDEX(tsk_Name,(ROW()-ROW(MSPTasks[[#Headers],[ID]])))="",TRUE()),"",INDEX(tsk_PlanFinish,(ROW()-ROW(MSPTasks[[#Headers],[ID]]))))</f>
        <v/>
      </c>
      <c r="Q8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8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8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8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8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8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8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8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8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88" s="24" t="str">
        <f aca="false">IF(IFERROR(INDEX(tsk_Name,(ROW()-ROW(MSPTasks[[#Headers],[ID]])))="",TRUE()),"",INDEX(tsk_Notes,(ROW()-ROW(MSPTasks[[#Headers],[ID]])))&amp;"")</f>
        <v/>
      </c>
    </row>
    <row r="89" customFormat="false" ht="15" hidden="false" customHeight="false" outlineLevel="0" collapsed="false">
      <c r="A89" s="24" t="str">
        <f aca="false">IF(IFERROR(INDEX(tsk_Name,(ROW()-ROW(MSPTasks[[#Headers],[ID]])))="",TRUE()),"",INDEX(tsk_ID,(ROW()-ROW(MSPTasks[[#Headers],[ID]]))))</f>
        <v/>
      </c>
      <c r="B89" s="24" t="str">
        <f aca="false">IF(IFERROR(INDEX(tsk_Name,(ROW()-ROW(MSPTasks[[#Headers],[ID]])))="",TRUE()),"",INDEX(tsk_UID,(ROW()-ROW(MSPTasks[[#Headers],[ID]]))))</f>
        <v/>
      </c>
      <c r="C89" s="24" t="str">
        <f aca="false">IF(IFERROR(INDEX(tsk_Name,(ROW()-ROW(MSPTasks[[#Headers],[ID]])))="",TRUE()),"",INDEX(tsk_Name,(ROW()-ROW(MSPTasks[[#Headers],[ID]]))))</f>
        <v/>
      </c>
      <c r="D89" s="24" t="str">
        <f aca="false">IF(IFERROR(INDEX(tsk_Name,(ROW()-ROW(MSPTasks[[#Headers],[ID]])))="",TRUE()),"",INDEX(tsk_Level,(ROW()-ROW(MSPTasks[[#Headers],[ID]]))))</f>
        <v/>
      </c>
      <c r="E89" s="24" t="str">
        <f aca="false">IF(IFERROR(INDEX(tsk_Name,(ROW()-ROW(MSPTasks[[#Headers],[ID]])))="",TRUE()),"",IF(INDEX(tsk_Mode,(ROW()-ROW(MSPTasks[[#Headers],[ID]])))="Manual","Manually Scheduled","Auto Scheduled"))</f>
        <v/>
      </c>
      <c r="F8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89" s="115" t="str">
        <f aca="false">IF(IFERROR(INDEX(tsk_Name,(ROW()-ROW(MSPTasks[[#Headers],[ID]])))="",TRUE()),"",INDEX(tsk_FcStart,(ROW()-ROW(MSPTasks[[#Headers],[ID]]))))</f>
        <v/>
      </c>
      <c r="H89" s="115" t="str">
        <f aca="false">IF(IFERROR(INDEX(tsk_Name,(ROW()-ROW(MSPTasks[[#Headers],[ID]])))="",TRUE()),"",INDEX(tsk_FcFinish,(ROW()-ROW(MSPTasks[[#Headers],[ID]]))))</f>
        <v/>
      </c>
      <c r="I8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8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8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8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8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8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89" s="115" t="str">
        <f aca="false">IF(IFERROR(INDEX(tsk_Name,(ROW()-ROW(MSPTasks[[#Headers],[ID]])))="",TRUE()),"",INDEX(tsk_PlanStart,(ROW()-ROW(MSPTasks[[#Headers],[ID]]))))</f>
        <v/>
      </c>
      <c r="P89" s="115" t="str">
        <f aca="false">IF(IFERROR(INDEX(tsk_Name,(ROW()-ROW(MSPTasks[[#Headers],[ID]])))="",TRUE()),"",INDEX(tsk_PlanFinish,(ROW()-ROW(MSPTasks[[#Headers],[ID]]))))</f>
        <v/>
      </c>
      <c r="Q8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8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8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8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8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8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8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8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8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89" s="24" t="str">
        <f aca="false">IF(IFERROR(INDEX(tsk_Name,(ROW()-ROW(MSPTasks[[#Headers],[ID]])))="",TRUE()),"",INDEX(tsk_Notes,(ROW()-ROW(MSPTasks[[#Headers],[ID]])))&amp;"")</f>
        <v/>
      </c>
    </row>
    <row r="90" customFormat="false" ht="15" hidden="false" customHeight="false" outlineLevel="0" collapsed="false">
      <c r="A90" s="24" t="str">
        <f aca="false">IF(IFERROR(INDEX(tsk_Name,(ROW()-ROW(MSPTasks[[#Headers],[ID]])))="",TRUE()),"",INDEX(tsk_ID,(ROW()-ROW(MSPTasks[[#Headers],[ID]]))))</f>
        <v/>
      </c>
      <c r="B90" s="24" t="str">
        <f aca="false">IF(IFERROR(INDEX(tsk_Name,(ROW()-ROW(MSPTasks[[#Headers],[ID]])))="",TRUE()),"",INDEX(tsk_UID,(ROW()-ROW(MSPTasks[[#Headers],[ID]]))))</f>
        <v/>
      </c>
      <c r="C90" s="24" t="str">
        <f aca="false">IF(IFERROR(INDEX(tsk_Name,(ROW()-ROW(MSPTasks[[#Headers],[ID]])))="",TRUE()),"",INDEX(tsk_Name,(ROW()-ROW(MSPTasks[[#Headers],[ID]]))))</f>
        <v/>
      </c>
      <c r="D90" s="24" t="str">
        <f aca="false">IF(IFERROR(INDEX(tsk_Name,(ROW()-ROW(MSPTasks[[#Headers],[ID]])))="",TRUE()),"",INDEX(tsk_Level,(ROW()-ROW(MSPTasks[[#Headers],[ID]]))))</f>
        <v/>
      </c>
      <c r="E90" s="24" t="str">
        <f aca="false">IF(IFERROR(INDEX(tsk_Name,(ROW()-ROW(MSPTasks[[#Headers],[ID]])))="",TRUE()),"",IF(INDEX(tsk_Mode,(ROW()-ROW(MSPTasks[[#Headers],[ID]])))="Manual","Manually Scheduled","Auto Scheduled"))</f>
        <v/>
      </c>
      <c r="F9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90" s="115" t="str">
        <f aca="false">IF(IFERROR(INDEX(tsk_Name,(ROW()-ROW(MSPTasks[[#Headers],[ID]])))="",TRUE()),"",INDEX(tsk_FcStart,(ROW()-ROW(MSPTasks[[#Headers],[ID]]))))</f>
        <v/>
      </c>
      <c r="H90" s="115" t="str">
        <f aca="false">IF(IFERROR(INDEX(tsk_Name,(ROW()-ROW(MSPTasks[[#Headers],[ID]])))="",TRUE()),"",INDEX(tsk_FcFinish,(ROW()-ROW(MSPTasks[[#Headers],[ID]]))))</f>
        <v/>
      </c>
      <c r="I9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9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9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9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9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9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90" s="115" t="str">
        <f aca="false">IF(IFERROR(INDEX(tsk_Name,(ROW()-ROW(MSPTasks[[#Headers],[ID]])))="",TRUE()),"",INDEX(tsk_PlanStart,(ROW()-ROW(MSPTasks[[#Headers],[ID]]))))</f>
        <v/>
      </c>
      <c r="P90" s="115" t="str">
        <f aca="false">IF(IFERROR(INDEX(tsk_Name,(ROW()-ROW(MSPTasks[[#Headers],[ID]])))="",TRUE()),"",INDEX(tsk_PlanFinish,(ROW()-ROW(MSPTasks[[#Headers],[ID]]))))</f>
        <v/>
      </c>
      <c r="Q9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9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9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9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9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9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9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9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9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90" s="24" t="str">
        <f aca="false">IF(IFERROR(INDEX(tsk_Name,(ROW()-ROW(MSPTasks[[#Headers],[ID]])))="",TRUE()),"",INDEX(tsk_Notes,(ROW()-ROW(MSPTasks[[#Headers],[ID]])))&amp;"")</f>
        <v/>
      </c>
    </row>
    <row r="91" customFormat="false" ht="15" hidden="false" customHeight="false" outlineLevel="0" collapsed="false">
      <c r="A91" s="24" t="str">
        <f aca="false">IF(IFERROR(INDEX(tsk_Name,(ROW()-ROW(MSPTasks[[#Headers],[ID]])))="",TRUE()),"",INDEX(tsk_ID,(ROW()-ROW(MSPTasks[[#Headers],[ID]]))))</f>
        <v/>
      </c>
      <c r="B91" s="24" t="str">
        <f aca="false">IF(IFERROR(INDEX(tsk_Name,(ROW()-ROW(MSPTasks[[#Headers],[ID]])))="",TRUE()),"",INDEX(tsk_UID,(ROW()-ROW(MSPTasks[[#Headers],[ID]]))))</f>
        <v/>
      </c>
      <c r="C91" s="24" t="str">
        <f aca="false">IF(IFERROR(INDEX(tsk_Name,(ROW()-ROW(MSPTasks[[#Headers],[ID]])))="",TRUE()),"",INDEX(tsk_Name,(ROW()-ROW(MSPTasks[[#Headers],[ID]]))))</f>
        <v/>
      </c>
      <c r="D91" s="24" t="str">
        <f aca="false">IF(IFERROR(INDEX(tsk_Name,(ROW()-ROW(MSPTasks[[#Headers],[ID]])))="",TRUE()),"",INDEX(tsk_Level,(ROW()-ROW(MSPTasks[[#Headers],[ID]]))))</f>
        <v/>
      </c>
      <c r="E91" s="24" t="str">
        <f aca="false">IF(IFERROR(INDEX(tsk_Name,(ROW()-ROW(MSPTasks[[#Headers],[ID]])))="",TRUE()),"",IF(INDEX(tsk_Mode,(ROW()-ROW(MSPTasks[[#Headers],[ID]])))="Manual","Manually Scheduled","Auto Scheduled"))</f>
        <v/>
      </c>
      <c r="F9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91" s="115" t="str">
        <f aca="false">IF(IFERROR(INDEX(tsk_Name,(ROW()-ROW(MSPTasks[[#Headers],[ID]])))="",TRUE()),"",INDEX(tsk_FcStart,(ROW()-ROW(MSPTasks[[#Headers],[ID]]))))</f>
        <v/>
      </c>
      <c r="H91" s="115" t="str">
        <f aca="false">IF(IFERROR(INDEX(tsk_Name,(ROW()-ROW(MSPTasks[[#Headers],[ID]])))="",TRUE()),"",INDEX(tsk_FcFinish,(ROW()-ROW(MSPTasks[[#Headers],[ID]]))))</f>
        <v/>
      </c>
      <c r="I9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9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9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9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9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9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91" s="115" t="str">
        <f aca="false">IF(IFERROR(INDEX(tsk_Name,(ROW()-ROW(MSPTasks[[#Headers],[ID]])))="",TRUE()),"",INDEX(tsk_PlanStart,(ROW()-ROW(MSPTasks[[#Headers],[ID]]))))</f>
        <v/>
      </c>
      <c r="P91" s="115" t="str">
        <f aca="false">IF(IFERROR(INDEX(tsk_Name,(ROW()-ROW(MSPTasks[[#Headers],[ID]])))="",TRUE()),"",INDEX(tsk_PlanFinish,(ROW()-ROW(MSPTasks[[#Headers],[ID]]))))</f>
        <v/>
      </c>
      <c r="Q9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9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9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9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9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9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9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9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9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91" s="24" t="str">
        <f aca="false">IF(IFERROR(INDEX(tsk_Name,(ROW()-ROW(MSPTasks[[#Headers],[ID]])))="",TRUE()),"",INDEX(tsk_Notes,(ROW()-ROW(MSPTasks[[#Headers],[ID]])))&amp;"")</f>
        <v/>
      </c>
    </row>
    <row r="92" customFormat="false" ht="15" hidden="false" customHeight="false" outlineLevel="0" collapsed="false">
      <c r="A92" s="24" t="str">
        <f aca="false">IF(IFERROR(INDEX(tsk_Name,(ROW()-ROW(MSPTasks[[#Headers],[ID]])))="",TRUE()),"",INDEX(tsk_ID,(ROW()-ROW(MSPTasks[[#Headers],[ID]]))))</f>
        <v/>
      </c>
      <c r="B92" s="24" t="str">
        <f aca="false">IF(IFERROR(INDEX(tsk_Name,(ROW()-ROW(MSPTasks[[#Headers],[ID]])))="",TRUE()),"",INDEX(tsk_UID,(ROW()-ROW(MSPTasks[[#Headers],[ID]]))))</f>
        <v/>
      </c>
      <c r="C92" s="24" t="str">
        <f aca="false">IF(IFERROR(INDEX(tsk_Name,(ROW()-ROW(MSPTasks[[#Headers],[ID]])))="",TRUE()),"",INDEX(tsk_Name,(ROW()-ROW(MSPTasks[[#Headers],[ID]]))))</f>
        <v/>
      </c>
      <c r="D92" s="24" t="str">
        <f aca="false">IF(IFERROR(INDEX(tsk_Name,(ROW()-ROW(MSPTasks[[#Headers],[ID]])))="",TRUE()),"",INDEX(tsk_Level,(ROW()-ROW(MSPTasks[[#Headers],[ID]]))))</f>
        <v/>
      </c>
      <c r="E92" s="24" t="str">
        <f aca="false">IF(IFERROR(INDEX(tsk_Name,(ROW()-ROW(MSPTasks[[#Headers],[ID]])))="",TRUE()),"",IF(INDEX(tsk_Mode,(ROW()-ROW(MSPTasks[[#Headers],[ID]])))="Manual","Manually Scheduled","Auto Scheduled"))</f>
        <v/>
      </c>
      <c r="F9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92" s="115" t="str">
        <f aca="false">IF(IFERROR(INDEX(tsk_Name,(ROW()-ROW(MSPTasks[[#Headers],[ID]])))="",TRUE()),"",INDEX(tsk_FcStart,(ROW()-ROW(MSPTasks[[#Headers],[ID]]))))</f>
        <v/>
      </c>
      <c r="H92" s="115" t="str">
        <f aca="false">IF(IFERROR(INDEX(tsk_Name,(ROW()-ROW(MSPTasks[[#Headers],[ID]])))="",TRUE()),"",INDEX(tsk_FcFinish,(ROW()-ROW(MSPTasks[[#Headers],[ID]]))))</f>
        <v/>
      </c>
      <c r="I9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9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9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9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9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9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92" s="115" t="str">
        <f aca="false">IF(IFERROR(INDEX(tsk_Name,(ROW()-ROW(MSPTasks[[#Headers],[ID]])))="",TRUE()),"",INDEX(tsk_PlanStart,(ROW()-ROW(MSPTasks[[#Headers],[ID]]))))</f>
        <v/>
      </c>
      <c r="P92" s="115" t="str">
        <f aca="false">IF(IFERROR(INDEX(tsk_Name,(ROW()-ROW(MSPTasks[[#Headers],[ID]])))="",TRUE()),"",INDEX(tsk_PlanFinish,(ROW()-ROW(MSPTasks[[#Headers],[ID]]))))</f>
        <v/>
      </c>
      <c r="Q9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9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9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9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9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9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9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9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9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92" s="24" t="str">
        <f aca="false">IF(IFERROR(INDEX(tsk_Name,(ROW()-ROW(MSPTasks[[#Headers],[ID]])))="",TRUE()),"",INDEX(tsk_Notes,(ROW()-ROW(MSPTasks[[#Headers],[ID]])))&amp;"")</f>
        <v/>
      </c>
    </row>
    <row r="93" customFormat="false" ht="15" hidden="false" customHeight="false" outlineLevel="0" collapsed="false">
      <c r="A93" s="24" t="str">
        <f aca="false">IF(IFERROR(INDEX(tsk_Name,(ROW()-ROW(MSPTasks[[#Headers],[ID]])))="",TRUE()),"",INDEX(tsk_ID,(ROW()-ROW(MSPTasks[[#Headers],[ID]]))))</f>
        <v/>
      </c>
      <c r="B93" s="24" t="str">
        <f aca="false">IF(IFERROR(INDEX(tsk_Name,(ROW()-ROW(MSPTasks[[#Headers],[ID]])))="",TRUE()),"",INDEX(tsk_UID,(ROW()-ROW(MSPTasks[[#Headers],[ID]]))))</f>
        <v/>
      </c>
      <c r="C93" s="24" t="str">
        <f aca="false">IF(IFERROR(INDEX(tsk_Name,(ROW()-ROW(MSPTasks[[#Headers],[ID]])))="",TRUE()),"",INDEX(tsk_Name,(ROW()-ROW(MSPTasks[[#Headers],[ID]]))))</f>
        <v/>
      </c>
      <c r="D93" s="24" t="str">
        <f aca="false">IF(IFERROR(INDEX(tsk_Name,(ROW()-ROW(MSPTasks[[#Headers],[ID]])))="",TRUE()),"",INDEX(tsk_Level,(ROW()-ROW(MSPTasks[[#Headers],[ID]]))))</f>
        <v/>
      </c>
      <c r="E93" s="24" t="str">
        <f aca="false">IF(IFERROR(INDEX(tsk_Name,(ROW()-ROW(MSPTasks[[#Headers],[ID]])))="",TRUE()),"",IF(INDEX(tsk_Mode,(ROW()-ROW(MSPTasks[[#Headers],[ID]])))="Manual","Manually Scheduled","Auto Scheduled"))</f>
        <v/>
      </c>
      <c r="F9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93" s="115" t="str">
        <f aca="false">IF(IFERROR(INDEX(tsk_Name,(ROW()-ROW(MSPTasks[[#Headers],[ID]])))="",TRUE()),"",INDEX(tsk_FcStart,(ROW()-ROW(MSPTasks[[#Headers],[ID]]))))</f>
        <v/>
      </c>
      <c r="H93" s="115" t="str">
        <f aca="false">IF(IFERROR(INDEX(tsk_Name,(ROW()-ROW(MSPTasks[[#Headers],[ID]])))="",TRUE()),"",INDEX(tsk_FcFinish,(ROW()-ROW(MSPTasks[[#Headers],[ID]]))))</f>
        <v/>
      </c>
      <c r="I9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9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9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9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9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9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93" s="115" t="str">
        <f aca="false">IF(IFERROR(INDEX(tsk_Name,(ROW()-ROW(MSPTasks[[#Headers],[ID]])))="",TRUE()),"",INDEX(tsk_PlanStart,(ROW()-ROW(MSPTasks[[#Headers],[ID]]))))</f>
        <v/>
      </c>
      <c r="P93" s="115" t="str">
        <f aca="false">IF(IFERROR(INDEX(tsk_Name,(ROW()-ROW(MSPTasks[[#Headers],[ID]])))="",TRUE()),"",INDEX(tsk_PlanFinish,(ROW()-ROW(MSPTasks[[#Headers],[ID]]))))</f>
        <v/>
      </c>
      <c r="Q9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9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9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9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9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9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9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9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9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93" s="24" t="str">
        <f aca="false">IF(IFERROR(INDEX(tsk_Name,(ROW()-ROW(MSPTasks[[#Headers],[ID]])))="",TRUE()),"",INDEX(tsk_Notes,(ROW()-ROW(MSPTasks[[#Headers],[ID]])))&amp;"")</f>
        <v/>
      </c>
    </row>
    <row r="94" customFormat="false" ht="15" hidden="false" customHeight="false" outlineLevel="0" collapsed="false">
      <c r="A94" s="24" t="str">
        <f aca="false">IF(IFERROR(INDEX(tsk_Name,(ROW()-ROW(MSPTasks[[#Headers],[ID]])))="",TRUE()),"",INDEX(tsk_ID,(ROW()-ROW(MSPTasks[[#Headers],[ID]]))))</f>
        <v/>
      </c>
      <c r="B94" s="24" t="str">
        <f aca="false">IF(IFERROR(INDEX(tsk_Name,(ROW()-ROW(MSPTasks[[#Headers],[ID]])))="",TRUE()),"",INDEX(tsk_UID,(ROW()-ROW(MSPTasks[[#Headers],[ID]]))))</f>
        <v/>
      </c>
      <c r="C94" s="24" t="str">
        <f aca="false">IF(IFERROR(INDEX(tsk_Name,(ROW()-ROW(MSPTasks[[#Headers],[ID]])))="",TRUE()),"",INDEX(tsk_Name,(ROW()-ROW(MSPTasks[[#Headers],[ID]]))))</f>
        <v/>
      </c>
      <c r="D94" s="24" t="str">
        <f aca="false">IF(IFERROR(INDEX(tsk_Name,(ROW()-ROW(MSPTasks[[#Headers],[ID]])))="",TRUE()),"",INDEX(tsk_Level,(ROW()-ROW(MSPTasks[[#Headers],[ID]]))))</f>
        <v/>
      </c>
      <c r="E94" s="24" t="str">
        <f aca="false">IF(IFERROR(INDEX(tsk_Name,(ROW()-ROW(MSPTasks[[#Headers],[ID]])))="",TRUE()),"",IF(INDEX(tsk_Mode,(ROW()-ROW(MSPTasks[[#Headers],[ID]])))="Manual","Manually Scheduled","Auto Scheduled"))</f>
        <v/>
      </c>
      <c r="F9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94" s="115" t="str">
        <f aca="false">IF(IFERROR(INDEX(tsk_Name,(ROW()-ROW(MSPTasks[[#Headers],[ID]])))="",TRUE()),"",INDEX(tsk_FcStart,(ROW()-ROW(MSPTasks[[#Headers],[ID]]))))</f>
        <v/>
      </c>
      <c r="H94" s="115" t="str">
        <f aca="false">IF(IFERROR(INDEX(tsk_Name,(ROW()-ROW(MSPTasks[[#Headers],[ID]])))="",TRUE()),"",INDEX(tsk_FcFinish,(ROW()-ROW(MSPTasks[[#Headers],[ID]]))))</f>
        <v/>
      </c>
      <c r="I9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9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9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9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9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9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94" s="115" t="str">
        <f aca="false">IF(IFERROR(INDEX(tsk_Name,(ROW()-ROW(MSPTasks[[#Headers],[ID]])))="",TRUE()),"",INDEX(tsk_PlanStart,(ROW()-ROW(MSPTasks[[#Headers],[ID]]))))</f>
        <v/>
      </c>
      <c r="P94" s="115" t="str">
        <f aca="false">IF(IFERROR(INDEX(tsk_Name,(ROW()-ROW(MSPTasks[[#Headers],[ID]])))="",TRUE()),"",INDEX(tsk_PlanFinish,(ROW()-ROW(MSPTasks[[#Headers],[ID]]))))</f>
        <v/>
      </c>
      <c r="Q9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9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9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9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9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9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9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9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9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94" s="24" t="str">
        <f aca="false">IF(IFERROR(INDEX(tsk_Name,(ROW()-ROW(MSPTasks[[#Headers],[ID]])))="",TRUE()),"",INDEX(tsk_Notes,(ROW()-ROW(MSPTasks[[#Headers],[ID]])))&amp;"")</f>
        <v/>
      </c>
    </row>
    <row r="95" customFormat="false" ht="15" hidden="false" customHeight="false" outlineLevel="0" collapsed="false">
      <c r="A95" s="24" t="str">
        <f aca="false">IF(IFERROR(INDEX(tsk_Name,(ROW()-ROW(MSPTasks[[#Headers],[ID]])))="",TRUE()),"",INDEX(tsk_ID,(ROW()-ROW(MSPTasks[[#Headers],[ID]]))))</f>
        <v/>
      </c>
      <c r="B95" s="24" t="str">
        <f aca="false">IF(IFERROR(INDEX(tsk_Name,(ROW()-ROW(MSPTasks[[#Headers],[ID]])))="",TRUE()),"",INDEX(tsk_UID,(ROW()-ROW(MSPTasks[[#Headers],[ID]]))))</f>
        <v/>
      </c>
      <c r="C95" s="24" t="str">
        <f aca="false">IF(IFERROR(INDEX(tsk_Name,(ROW()-ROW(MSPTasks[[#Headers],[ID]])))="",TRUE()),"",INDEX(tsk_Name,(ROW()-ROW(MSPTasks[[#Headers],[ID]]))))</f>
        <v/>
      </c>
      <c r="D95" s="24" t="str">
        <f aca="false">IF(IFERROR(INDEX(tsk_Name,(ROW()-ROW(MSPTasks[[#Headers],[ID]])))="",TRUE()),"",INDEX(tsk_Level,(ROW()-ROW(MSPTasks[[#Headers],[ID]]))))</f>
        <v/>
      </c>
      <c r="E95" s="24" t="str">
        <f aca="false">IF(IFERROR(INDEX(tsk_Name,(ROW()-ROW(MSPTasks[[#Headers],[ID]])))="",TRUE()),"",IF(INDEX(tsk_Mode,(ROW()-ROW(MSPTasks[[#Headers],[ID]])))="Manual","Manually Scheduled","Auto Scheduled"))</f>
        <v/>
      </c>
      <c r="F9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95" s="115" t="str">
        <f aca="false">IF(IFERROR(INDEX(tsk_Name,(ROW()-ROW(MSPTasks[[#Headers],[ID]])))="",TRUE()),"",INDEX(tsk_FcStart,(ROW()-ROW(MSPTasks[[#Headers],[ID]]))))</f>
        <v/>
      </c>
      <c r="H95" s="115" t="str">
        <f aca="false">IF(IFERROR(INDEX(tsk_Name,(ROW()-ROW(MSPTasks[[#Headers],[ID]])))="",TRUE()),"",INDEX(tsk_FcFinish,(ROW()-ROW(MSPTasks[[#Headers],[ID]]))))</f>
        <v/>
      </c>
      <c r="I9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9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9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9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9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9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95" s="115" t="str">
        <f aca="false">IF(IFERROR(INDEX(tsk_Name,(ROW()-ROW(MSPTasks[[#Headers],[ID]])))="",TRUE()),"",INDEX(tsk_PlanStart,(ROW()-ROW(MSPTasks[[#Headers],[ID]]))))</f>
        <v/>
      </c>
      <c r="P95" s="115" t="str">
        <f aca="false">IF(IFERROR(INDEX(tsk_Name,(ROW()-ROW(MSPTasks[[#Headers],[ID]])))="",TRUE()),"",INDEX(tsk_PlanFinish,(ROW()-ROW(MSPTasks[[#Headers],[ID]]))))</f>
        <v/>
      </c>
      <c r="Q9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9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9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9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9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9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9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9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9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95" s="24" t="str">
        <f aca="false">IF(IFERROR(INDEX(tsk_Name,(ROW()-ROW(MSPTasks[[#Headers],[ID]])))="",TRUE()),"",INDEX(tsk_Notes,(ROW()-ROW(MSPTasks[[#Headers],[ID]])))&amp;"")</f>
        <v/>
      </c>
    </row>
    <row r="96" customFormat="false" ht="15" hidden="false" customHeight="false" outlineLevel="0" collapsed="false">
      <c r="A96" s="24" t="str">
        <f aca="false">IF(IFERROR(INDEX(tsk_Name,(ROW()-ROW(MSPTasks[[#Headers],[ID]])))="",TRUE()),"",INDEX(tsk_ID,(ROW()-ROW(MSPTasks[[#Headers],[ID]]))))</f>
        <v/>
      </c>
      <c r="B96" s="24" t="str">
        <f aca="false">IF(IFERROR(INDEX(tsk_Name,(ROW()-ROW(MSPTasks[[#Headers],[ID]])))="",TRUE()),"",INDEX(tsk_UID,(ROW()-ROW(MSPTasks[[#Headers],[ID]]))))</f>
        <v/>
      </c>
      <c r="C96" s="24" t="str">
        <f aca="false">IF(IFERROR(INDEX(tsk_Name,(ROW()-ROW(MSPTasks[[#Headers],[ID]])))="",TRUE()),"",INDEX(tsk_Name,(ROW()-ROW(MSPTasks[[#Headers],[ID]]))))</f>
        <v/>
      </c>
      <c r="D96" s="24" t="str">
        <f aca="false">IF(IFERROR(INDEX(tsk_Name,(ROW()-ROW(MSPTasks[[#Headers],[ID]])))="",TRUE()),"",INDEX(tsk_Level,(ROW()-ROW(MSPTasks[[#Headers],[ID]]))))</f>
        <v/>
      </c>
      <c r="E96" s="24" t="str">
        <f aca="false">IF(IFERROR(INDEX(tsk_Name,(ROW()-ROW(MSPTasks[[#Headers],[ID]])))="",TRUE()),"",IF(INDEX(tsk_Mode,(ROW()-ROW(MSPTasks[[#Headers],[ID]])))="Manual","Manually Scheduled","Auto Scheduled"))</f>
        <v/>
      </c>
      <c r="F9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96" s="115" t="str">
        <f aca="false">IF(IFERROR(INDEX(tsk_Name,(ROW()-ROW(MSPTasks[[#Headers],[ID]])))="",TRUE()),"",INDEX(tsk_FcStart,(ROW()-ROW(MSPTasks[[#Headers],[ID]]))))</f>
        <v/>
      </c>
      <c r="H96" s="115" t="str">
        <f aca="false">IF(IFERROR(INDEX(tsk_Name,(ROW()-ROW(MSPTasks[[#Headers],[ID]])))="",TRUE()),"",INDEX(tsk_FcFinish,(ROW()-ROW(MSPTasks[[#Headers],[ID]]))))</f>
        <v/>
      </c>
      <c r="I9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9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9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9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9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9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96" s="115" t="str">
        <f aca="false">IF(IFERROR(INDEX(tsk_Name,(ROW()-ROW(MSPTasks[[#Headers],[ID]])))="",TRUE()),"",INDEX(tsk_PlanStart,(ROW()-ROW(MSPTasks[[#Headers],[ID]]))))</f>
        <v/>
      </c>
      <c r="P96" s="115" t="str">
        <f aca="false">IF(IFERROR(INDEX(tsk_Name,(ROW()-ROW(MSPTasks[[#Headers],[ID]])))="",TRUE()),"",INDEX(tsk_PlanFinish,(ROW()-ROW(MSPTasks[[#Headers],[ID]]))))</f>
        <v/>
      </c>
      <c r="Q9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9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9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9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9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9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9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9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9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96" s="24" t="str">
        <f aca="false">IF(IFERROR(INDEX(tsk_Name,(ROW()-ROW(MSPTasks[[#Headers],[ID]])))="",TRUE()),"",INDEX(tsk_Notes,(ROW()-ROW(MSPTasks[[#Headers],[ID]])))&amp;"")</f>
        <v/>
      </c>
    </row>
    <row r="97" customFormat="false" ht="15" hidden="false" customHeight="false" outlineLevel="0" collapsed="false">
      <c r="A97" s="24" t="str">
        <f aca="false">IF(IFERROR(INDEX(tsk_Name,(ROW()-ROW(MSPTasks[[#Headers],[ID]])))="",TRUE()),"",INDEX(tsk_ID,(ROW()-ROW(MSPTasks[[#Headers],[ID]]))))</f>
        <v/>
      </c>
      <c r="B97" s="24" t="str">
        <f aca="false">IF(IFERROR(INDEX(tsk_Name,(ROW()-ROW(MSPTasks[[#Headers],[ID]])))="",TRUE()),"",INDEX(tsk_UID,(ROW()-ROW(MSPTasks[[#Headers],[ID]]))))</f>
        <v/>
      </c>
      <c r="C97" s="24" t="str">
        <f aca="false">IF(IFERROR(INDEX(tsk_Name,(ROW()-ROW(MSPTasks[[#Headers],[ID]])))="",TRUE()),"",INDEX(tsk_Name,(ROW()-ROW(MSPTasks[[#Headers],[ID]]))))</f>
        <v/>
      </c>
      <c r="D97" s="24" t="str">
        <f aca="false">IF(IFERROR(INDEX(tsk_Name,(ROW()-ROW(MSPTasks[[#Headers],[ID]])))="",TRUE()),"",INDEX(tsk_Level,(ROW()-ROW(MSPTasks[[#Headers],[ID]]))))</f>
        <v/>
      </c>
      <c r="E97" s="24" t="str">
        <f aca="false">IF(IFERROR(INDEX(tsk_Name,(ROW()-ROW(MSPTasks[[#Headers],[ID]])))="",TRUE()),"",IF(INDEX(tsk_Mode,(ROW()-ROW(MSPTasks[[#Headers],[ID]])))="Manual","Manually Scheduled","Auto Scheduled"))</f>
        <v/>
      </c>
      <c r="F9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97" s="115" t="str">
        <f aca="false">IF(IFERROR(INDEX(tsk_Name,(ROW()-ROW(MSPTasks[[#Headers],[ID]])))="",TRUE()),"",INDEX(tsk_FcStart,(ROW()-ROW(MSPTasks[[#Headers],[ID]]))))</f>
        <v/>
      </c>
      <c r="H97" s="115" t="str">
        <f aca="false">IF(IFERROR(INDEX(tsk_Name,(ROW()-ROW(MSPTasks[[#Headers],[ID]])))="",TRUE()),"",INDEX(tsk_FcFinish,(ROW()-ROW(MSPTasks[[#Headers],[ID]]))))</f>
        <v/>
      </c>
      <c r="I9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9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9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9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9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9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97" s="115" t="str">
        <f aca="false">IF(IFERROR(INDEX(tsk_Name,(ROW()-ROW(MSPTasks[[#Headers],[ID]])))="",TRUE()),"",INDEX(tsk_PlanStart,(ROW()-ROW(MSPTasks[[#Headers],[ID]]))))</f>
        <v/>
      </c>
      <c r="P97" s="115" t="str">
        <f aca="false">IF(IFERROR(INDEX(tsk_Name,(ROW()-ROW(MSPTasks[[#Headers],[ID]])))="",TRUE()),"",INDEX(tsk_PlanFinish,(ROW()-ROW(MSPTasks[[#Headers],[ID]]))))</f>
        <v/>
      </c>
      <c r="Q9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9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9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9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9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9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9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9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9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97" s="24" t="str">
        <f aca="false">IF(IFERROR(INDEX(tsk_Name,(ROW()-ROW(MSPTasks[[#Headers],[ID]])))="",TRUE()),"",INDEX(tsk_Notes,(ROW()-ROW(MSPTasks[[#Headers],[ID]])))&amp;"")</f>
        <v/>
      </c>
    </row>
    <row r="98" customFormat="false" ht="15" hidden="false" customHeight="false" outlineLevel="0" collapsed="false">
      <c r="A98" s="24" t="str">
        <f aca="false">IF(IFERROR(INDEX(tsk_Name,(ROW()-ROW(MSPTasks[[#Headers],[ID]])))="",TRUE()),"",INDEX(tsk_ID,(ROW()-ROW(MSPTasks[[#Headers],[ID]]))))</f>
        <v/>
      </c>
      <c r="B98" s="24" t="str">
        <f aca="false">IF(IFERROR(INDEX(tsk_Name,(ROW()-ROW(MSPTasks[[#Headers],[ID]])))="",TRUE()),"",INDEX(tsk_UID,(ROW()-ROW(MSPTasks[[#Headers],[ID]]))))</f>
        <v/>
      </c>
      <c r="C98" s="24" t="str">
        <f aca="false">IF(IFERROR(INDEX(tsk_Name,(ROW()-ROW(MSPTasks[[#Headers],[ID]])))="",TRUE()),"",INDEX(tsk_Name,(ROW()-ROW(MSPTasks[[#Headers],[ID]]))))</f>
        <v/>
      </c>
      <c r="D98" s="24" t="str">
        <f aca="false">IF(IFERROR(INDEX(tsk_Name,(ROW()-ROW(MSPTasks[[#Headers],[ID]])))="",TRUE()),"",INDEX(tsk_Level,(ROW()-ROW(MSPTasks[[#Headers],[ID]]))))</f>
        <v/>
      </c>
      <c r="E98" s="24" t="str">
        <f aca="false">IF(IFERROR(INDEX(tsk_Name,(ROW()-ROW(MSPTasks[[#Headers],[ID]])))="",TRUE()),"",IF(INDEX(tsk_Mode,(ROW()-ROW(MSPTasks[[#Headers],[ID]])))="Manual","Manually Scheduled","Auto Scheduled"))</f>
        <v/>
      </c>
      <c r="F9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98" s="115" t="str">
        <f aca="false">IF(IFERROR(INDEX(tsk_Name,(ROW()-ROW(MSPTasks[[#Headers],[ID]])))="",TRUE()),"",INDEX(tsk_FcStart,(ROW()-ROW(MSPTasks[[#Headers],[ID]]))))</f>
        <v/>
      </c>
      <c r="H98" s="115" t="str">
        <f aca="false">IF(IFERROR(INDEX(tsk_Name,(ROW()-ROW(MSPTasks[[#Headers],[ID]])))="",TRUE()),"",INDEX(tsk_FcFinish,(ROW()-ROW(MSPTasks[[#Headers],[ID]]))))</f>
        <v/>
      </c>
      <c r="I9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9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9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9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9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9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98" s="115" t="str">
        <f aca="false">IF(IFERROR(INDEX(tsk_Name,(ROW()-ROW(MSPTasks[[#Headers],[ID]])))="",TRUE()),"",INDEX(tsk_PlanStart,(ROW()-ROW(MSPTasks[[#Headers],[ID]]))))</f>
        <v/>
      </c>
      <c r="P98" s="115" t="str">
        <f aca="false">IF(IFERROR(INDEX(tsk_Name,(ROW()-ROW(MSPTasks[[#Headers],[ID]])))="",TRUE()),"",INDEX(tsk_PlanFinish,(ROW()-ROW(MSPTasks[[#Headers],[ID]]))))</f>
        <v/>
      </c>
      <c r="Q9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9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9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9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9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9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9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9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9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98" s="24" t="str">
        <f aca="false">IF(IFERROR(INDEX(tsk_Name,(ROW()-ROW(MSPTasks[[#Headers],[ID]])))="",TRUE()),"",INDEX(tsk_Notes,(ROW()-ROW(MSPTasks[[#Headers],[ID]])))&amp;"")</f>
        <v/>
      </c>
    </row>
    <row r="99" customFormat="false" ht="15" hidden="false" customHeight="false" outlineLevel="0" collapsed="false">
      <c r="A99" s="24" t="str">
        <f aca="false">IF(IFERROR(INDEX(tsk_Name,(ROW()-ROW(MSPTasks[[#Headers],[ID]])))="",TRUE()),"",INDEX(tsk_ID,(ROW()-ROW(MSPTasks[[#Headers],[ID]]))))</f>
        <v/>
      </c>
      <c r="B99" s="24" t="str">
        <f aca="false">IF(IFERROR(INDEX(tsk_Name,(ROW()-ROW(MSPTasks[[#Headers],[ID]])))="",TRUE()),"",INDEX(tsk_UID,(ROW()-ROW(MSPTasks[[#Headers],[ID]]))))</f>
        <v/>
      </c>
      <c r="C99" s="24" t="str">
        <f aca="false">IF(IFERROR(INDEX(tsk_Name,(ROW()-ROW(MSPTasks[[#Headers],[ID]])))="",TRUE()),"",INDEX(tsk_Name,(ROW()-ROW(MSPTasks[[#Headers],[ID]]))))</f>
        <v/>
      </c>
      <c r="D99" s="24" t="str">
        <f aca="false">IF(IFERROR(INDEX(tsk_Name,(ROW()-ROW(MSPTasks[[#Headers],[ID]])))="",TRUE()),"",INDEX(tsk_Level,(ROW()-ROW(MSPTasks[[#Headers],[ID]]))))</f>
        <v/>
      </c>
      <c r="E99" s="24" t="str">
        <f aca="false">IF(IFERROR(INDEX(tsk_Name,(ROW()-ROW(MSPTasks[[#Headers],[ID]])))="",TRUE()),"",IF(INDEX(tsk_Mode,(ROW()-ROW(MSPTasks[[#Headers],[ID]])))="Manual","Manually Scheduled","Auto Scheduled"))</f>
        <v/>
      </c>
      <c r="F9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99" s="115" t="str">
        <f aca="false">IF(IFERROR(INDEX(tsk_Name,(ROW()-ROW(MSPTasks[[#Headers],[ID]])))="",TRUE()),"",INDEX(tsk_FcStart,(ROW()-ROW(MSPTasks[[#Headers],[ID]]))))</f>
        <v/>
      </c>
      <c r="H99" s="115" t="str">
        <f aca="false">IF(IFERROR(INDEX(tsk_Name,(ROW()-ROW(MSPTasks[[#Headers],[ID]])))="",TRUE()),"",INDEX(tsk_FcFinish,(ROW()-ROW(MSPTasks[[#Headers],[ID]]))))</f>
        <v/>
      </c>
      <c r="I9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9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9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9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9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9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99" s="115" t="str">
        <f aca="false">IF(IFERROR(INDEX(tsk_Name,(ROW()-ROW(MSPTasks[[#Headers],[ID]])))="",TRUE()),"",INDEX(tsk_PlanStart,(ROW()-ROW(MSPTasks[[#Headers],[ID]]))))</f>
        <v/>
      </c>
      <c r="P99" s="115" t="str">
        <f aca="false">IF(IFERROR(INDEX(tsk_Name,(ROW()-ROW(MSPTasks[[#Headers],[ID]])))="",TRUE()),"",INDEX(tsk_PlanFinish,(ROW()-ROW(MSPTasks[[#Headers],[ID]]))))</f>
        <v/>
      </c>
      <c r="Q9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9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9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9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9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9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9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9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9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99" s="24" t="str">
        <f aca="false">IF(IFERROR(INDEX(tsk_Name,(ROW()-ROW(MSPTasks[[#Headers],[ID]])))="",TRUE()),"",INDEX(tsk_Notes,(ROW()-ROW(MSPTasks[[#Headers],[ID]])))&amp;"")</f>
        <v/>
      </c>
    </row>
    <row r="100" customFormat="false" ht="15" hidden="false" customHeight="false" outlineLevel="0" collapsed="false">
      <c r="A100" s="24" t="str">
        <f aca="false">IF(IFERROR(INDEX(tsk_Name,(ROW()-ROW(MSPTasks[[#Headers],[ID]])))="",TRUE()),"",INDEX(tsk_ID,(ROW()-ROW(MSPTasks[[#Headers],[ID]]))))</f>
        <v/>
      </c>
      <c r="B100" s="24" t="str">
        <f aca="false">IF(IFERROR(INDEX(tsk_Name,(ROW()-ROW(MSPTasks[[#Headers],[ID]])))="",TRUE()),"",INDEX(tsk_UID,(ROW()-ROW(MSPTasks[[#Headers],[ID]]))))</f>
        <v/>
      </c>
      <c r="C100" s="24" t="str">
        <f aca="false">IF(IFERROR(INDEX(tsk_Name,(ROW()-ROW(MSPTasks[[#Headers],[ID]])))="",TRUE()),"",INDEX(tsk_Name,(ROW()-ROW(MSPTasks[[#Headers],[ID]]))))</f>
        <v/>
      </c>
      <c r="D100" s="24" t="str">
        <f aca="false">IF(IFERROR(INDEX(tsk_Name,(ROW()-ROW(MSPTasks[[#Headers],[ID]])))="",TRUE()),"",INDEX(tsk_Level,(ROW()-ROW(MSPTasks[[#Headers],[ID]]))))</f>
        <v/>
      </c>
      <c r="E100" s="24" t="str">
        <f aca="false">IF(IFERROR(INDEX(tsk_Name,(ROW()-ROW(MSPTasks[[#Headers],[ID]])))="",TRUE()),"",IF(INDEX(tsk_Mode,(ROW()-ROW(MSPTasks[[#Headers],[ID]])))="Manual","Manually Scheduled","Auto Scheduled"))</f>
        <v/>
      </c>
      <c r="F10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00" s="115" t="str">
        <f aca="false">IF(IFERROR(INDEX(tsk_Name,(ROW()-ROW(MSPTasks[[#Headers],[ID]])))="",TRUE()),"",INDEX(tsk_FcStart,(ROW()-ROW(MSPTasks[[#Headers],[ID]]))))</f>
        <v/>
      </c>
      <c r="H100" s="115" t="str">
        <f aca="false">IF(IFERROR(INDEX(tsk_Name,(ROW()-ROW(MSPTasks[[#Headers],[ID]])))="",TRUE()),"",INDEX(tsk_FcFinish,(ROW()-ROW(MSPTasks[[#Headers],[ID]]))))</f>
        <v/>
      </c>
      <c r="I10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0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0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0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0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0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00" s="115" t="str">
        <f aca="false">IF(IFERROR(INDEX(tsk_Name,(ROW()-ROW(MSPTasks[[#Headers],[ID]])))="",TRUE()),"",INDEX(tsk_PlanStart,(ROW()-ROW(MSPTasks[[#Headers],[ID]]))))</f>
        <v/>
      </c>
      <c r="P100" s="115" t="str">
        <f aca="false">IF(IFERROR(INDEX(tsk_Name,(ROW()-ROW(MSPTasks[[#Headers],[ID]])))="",TRUE()),"",INDEX(tsk_PlanFinish,(ROW()-ROW(MSPTasks[[#Headers],[ID]]))))</f>
        <v/>
      </c>
      <c r="Q10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0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0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0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0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0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0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0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0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00" s="24" t="str">
        <f aca="false">IF(IFERROR(INDEX(tsk_Name,(ROW()-ROW(MSPTasks[[#Headers],[ID]])))="",TRUE()),"",INDEX(tsk_Notes,(ROW()-ROW(MSPTasks[[#Headers],[ID]])))&amp;"")</f>
        <v/>
      </c>
    </row>
    <row r="101" customFormat="false" ht="15" hidden="false" customHeight="false" outlineLevel="0" collapsed="false">
      <c r="A101" s="24" t="str">
        <f aca="false">IF(IFERROR(INDEX(tsk_Name,(ROW()-ROW(MSPTasks[[#Headers],[ID]])))="",TRUE()),"",INDEX(tsk_ID,(ROW()-ROW(MSPTasks[[#Headers],[ID]]))))</f>
        <v/>
      </c>
      <c r="B101" s="24" t="str">
        <f aca="false">IF(IFERROR(INDEX(tsk_Name,(ROW()-ROW(MSPTasks[[#Headers],[ID]])))="",TRUE()),"",INDEX(tsk_UID,(ROW()-ROW(MSPTasks[[#Headers],[ID]]))))</f>
        <v/>
      </c>
      <c r="C101" s="24" t="str">
        <f aca="false">IF(IFERROR(INDEX(tsk_Name,(ROW()-ROW(MSPTasks[[#Headers],[ID]])))="",TRUE()),"",INDEX(tsk_Name,(ROW()-ROW(MSPTasks[[#Headers],[ID]]))))</f>
        <v/>
      </c>
      <c r="D101" s="24" t="str">
        <f aca="false">IF(IFERROR(INDEX(tsk_Name,(ROW()-ROW(MSPTasks[[#Headers],[ID]])))="",TRUE()),"",INDEX(tsk_Level,(ROW()-ROW(MSPTasks[[#Headers],[ID]]))))</f>
        <v/>
      </c>
      <c r="E101" s="24" t="str">
        <f aca="false">IF(IFERROR(INDEX(tsk_Name,(ROW()-ROW(MSPTasks[[#Headers],[ID]])))="",TRUE()),"",IF(INDEX(tsk_Mode,(ROW()-ROW(MSPTasks[[#Headers],[ID]])))="Manual","Manually Scheduled","Auto Scheduled"))</f>
        <v/>
      </c>
      <c r="F10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01" s="115" t="str">
        <f aca="false">IF(IFERROR(INDEX(tsk_Name,(ROW()-ROW(MSPTasks[[#Headers],[ID]])))="",TRUE()),"",INDEX(tsk_FcStart,(ROW()-ROW(MSPTasks[[#Headers],[ID]]))))</f>
        <v/>
      </c>
      <c r="H101" s="115" t="str">
        <f aca="false">IF(IFERROR(INDEX(tsk_Name,(ROW()-ROW(MSPTasks[[#Headers],[ID]])))="",TRUE()),"",INDEX(tsk_FcFinish,(ROW()-ROW(MSPTasks[[#Headers],[ID]]))))</f>
        <v/>
      </c>
      <c r="I10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0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0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0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0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0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01" s="115" t="str">
        <f aca="false">IF(IFERROR(INDEX(tsk_Name,(ROW()-ROW(MSPTasks[[#Headers],[ID]])))="",TRUE()),"",INDEX(tsk_PlanStart,(ROW()-ROW(MSPTasks[[#Headers],[ID]]))))</f>
        <v/>
      </c>
      <c r="P101" s="115" t="str">
        <f aca="false">IF(IFERROR(INDEX(tsk_Name,(ROW()-ROW(MSPTasks[[#Headers],[ID]])))="",TRUE()),"",INDEX(tsk_PlanFinish,(ROW()-ROW(MSPTasks[[#Headers],[ID]]))))</f>
        <v/>
      </c>
      <c r="Q10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0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0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0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0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0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0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0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0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01" s="24" t="str">
        <f aca="false">IF(IFERROR(INDEX(tsk_Name,(ROW()-ROW(MSPTasks[[#Headers],[ID]])))="",TRUE()),"",INDEX(tsk_Notes,(ROW()-ROW(MSPTasks[[#Headers],[ID]])))&amp;"")</f>
        <v/>
      </c>
    </row>
    <row r="102" customFormat="false" ht="15" hidden="false" customHeight="false" outlineLevel="0" collapsed="false">
      <c r="A102" s="24" t="str">
        <f aca="false">IF(IFERROR(INDEX(tsk_Name,(ROW()-ROW(MSPTasks[[#Headers],[ID]])))="",TRUE()),"",INDEX(tsk_ID,(ROW()-ROW(MSPTasks[[#Headers],[ID]]))))</f>
        <v/>
      </c>
      <c r="B102" s="24" t="str">
        <f aca="false">IF(IFERROR(INDEX(tsk_Name,(ROW()-ROW(MSPTasks[[#Headers],[ID]])))="",TRUE()),"",INDEX(tsk_UID,(ROW()-ROW(MSPTasks[[#Headers],[ID]]))))</f>
        <v/>
      </c>
      <c r="C102" s="24" t="str">
        <f aca="false">IF(IFERROR(INDEX(tsk_Name,(ROW()-ROW(MSPTasks[[#Headers],[ID]])))="",TRUE()),"",INDEX(tsk_Name,(ROW()-ROW(MSPTasks[[#Headers],[ID]]))))</f>
        <v/>
      </c>
      <c r="D102" s="24" t="str">
        <f aca="false">IF(IFERROR(INDEX(tsk_Name,(ROW()-ROW(MSPTasks[[#Headers],[ID]])))="",TRUE()),"",INDEX(tsk_Level,(ROW()-ROW(MSPTasks[[#Headers],[ID]]))))</f>
        <v/>
      </c>
      <c r="E102" s="24" t="str">
        <f aca="false">IF(IFERROR(INDEX(tsk_Name,(ROW()-ROW(MSPTasks[[#Headers],[ID]])))="",TRUE()),"",IF(INDEX(tsk_Mode,(ROW()-ROW(MSPTasks[[#Headers],[ID]])))="Manual","Manually Scheduled","Auto Scheduled"))</f>
        <v/>
      </c>
      <c r="F10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02" s="115" t="str">
        <f aca="false">IF(IFERROR(INDEX(tsk_Name,(ROW()-ROW(MSPTasks[[#Headers],[ID]])))="",TRUE()),"",INDEX(tsk_FcStart,(ROW()-ROW(MSPTasks[[#Headers],[ID]]))))</f>
        <v/>
      </c>
      <c r="H102" s="115" t="str">
        <f aca="false">IF(IFERROR(INDEX(tsk_Name,(ROW()-ROW(MSPTasks[[#Headers],[ID]])))="",TRUE()),"",INDEX(tsk_FcFinish,(ROW()-ROW(MSPTasks[[#Headers],[ID]]))))</f>
        <v/>
      </c>
      <c r="I10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0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0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0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0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0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02" s="115" t="str">
        <f aca="false">IF(IFERROR(INDEX(tsk_Name,(ROW()-ROW(MSPTasks[[#Headers],[ID]])))="",TRUE()),"",INDEX(tsk_PlanStart,(ROW()-ROW(MSPTasks[[#Headers],[ID]]))))</f>
        <v/>
      </c>
      <c r="P102" s="115" t="str">
        <f aca="false">IF(IFERROR(INDEX(tsk_Name,(ROW()-ROW(MSPTasks[[#Headers],[ID]])))="",TRUE()),"",INDEX(tsk_PlanFinish,(ROW()-ROW(MSPTasks[[#Headers],[ID]]))))</f>
        <v/>
      </c>
      <c r="Q10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0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0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0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0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0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0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0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0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02" s="24" t="str">
        <f aca="false">IF(IFERROR(INDEX(tsk_Name,(ROW()-ROW(MSPTasks[[#Headers],[ID]])))="",TRUE()),"",INDEX(tsk_Notes,(ROW()-ROW(MSPTasks[[#Headers],[ID]])))&amp;"")</f>
        <v/>
      </c>
    </row>
    <row r="103" customFormat="false" ht="15" hidden="false" customHeight="false" outlineLevel="0" collapsed="false">
      <c r="A103" s="24" t="str">
        <f aca="false">IF(IFERROR(INDEX(tsk_Name,(ROW()-ROW(MSPTasks[[#Headers],[ID]])))="",TRUE()),"",INDEX(tsk_ID,(ROW()-ROW(MSPTasks[[#Headers],[ID]]))))</f>
        <v/>
      </c>
      <c r="B103" s="24" t="str">
        <f aca="false">IF(IFERROR(INDEX(tsk_Name,(ROW()-ROW(MSPTasks[[#Headers],[ID]])))="",TRUE()),"",INDEX(tsk_UID,(ROW()-ROW(MSPTasks[[#Headers],[ID]]))))</f>
        <v/>
      </c>
      <c r="C103" s="24" t="str">
        <f aca="false">IF(IFERROR(INDEX(tsk_Name,(ROW()-ROW(MSPTasks[[#Headers],[ID]])))="",TRUE()),"",INDEX(tsk_Name,(ROW()-ROW(MSPTasks[[#Headers],[ID]]))))</f>
        <v/>
      </c>
      <c r="D103" s="24" t="str">
        <f aca="false">IF(IFERROR(INDEX(tsk_Name,(ROW()-ROW(MSPTasks[[#Headers],[ID]])))="",TRUE()),"",INDEX(tsk_Level,(ROW()-ROW(MSPTasks[[#Headers],[ID]]))))</f>
        <v/>
      </c>
      <c r="E103" s="24" t="str">
        <f aca="false">IF(IFERROR(INDEX(tsk_Name,(ROW()-ROW(MSPTasks[[#Headers],[ID]])))="",TRUE()),"",IF(INDEX(tsk_Mode,(ROW()-ROW(MSPTasks[[#Headers],[ID]])))="Manual","Manually Scheduled","Auto Scheduled"))</f>
        <v/>
      </c>
      <c r="F10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03" s="115" t="str">
        <f aca="false">IF(IFERROR(INDEX(tsk_Name,(ROW()-ROW(MSPTasks[[#Headers],[ID]])))="",TRUE()),"",INDEX(tsk_FcStart,(ROW()-ROW(MSPTasks[[#Headers],[ID]]))))</f>
        <v/>
      </c>
      <c r="H103" s="115" t="str">
        <f aca="false">IF(IFERROR(INDEX(tsk_Name,(ROW()-ROW(MSPTasks[[#Headers],[ID]])))="",TRUE()),"",INDEX(tsk_FcFinish,(ROW()-ROW(MSPTasks[[#Headers],[ID]]))))</f>
        <v/>
      </c>
      <c r="I10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0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0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0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0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0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03" s="115" t="str">
        <f aca="false">IF(IFERROR(INDEX(tsk_Name,(ROW()-ROW(MSPTasks[[#Headers],[ID]])))="",TRUE()),"",INDEX(tsk_PlanStart,(ROW()-ROW(MSPTasks[[#Headers],[ID]]))))</f>
        <v/>
      </c>
      <c r="P103" s="115" t="str">
        <f aca="false">IF(IFERROR(INDEX(tsk_Name,(ROW()-ROW(MSPTasks[[#Headers],[ID]])))="",TRUE()),"",INDEX(tsk_PlanFinish,(ROW()-ROW(MSPTasks[[#Headers],[ID]]))))</f>
        <v/>
      </c>
      <c r="Q10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0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0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0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0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0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0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0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0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03" s="24" t="str">
        <f aca="false">IF(IFERROR(INDEX(tsk_Name,(ROW()-ROW(MSPTasks[[#Headers],[ID]])))="",TRUE()),"",INDEX(tsk_Notes,(ROW()-ROW(MSPTasks[[#Headers],[ID]])))&amp;"")</f>
        <v/>
      </c>
    </row>
    <row r="104" customFormat="false" ht="15" hidden="false" customHeight="false" outlineLevel="0" collapsed="false">
      <c r="A104" s="24" t="str">
        <f aca="false">IF(IFERROR(INDEX(tsk_Name,(ROW()-ROW(MSPTasks[[#Headers],[ID]])))="",TRUE()),"",INDEX(tsk_ID,(ROW()-ROW(MSPTasks[[#Headers],[ID]]))))</f>
        <v/>
      </c>
      <c r="B104" s="24" t="str">
        <f aca="false">IF(IFERROR(INDEX(tsk_Name,(ROW()-ROW(MSPTasks[[#Headers],[ID]])))="",TRUE()),"",INDEX(tsk_UID,(ROW()-ROW(MSPTasks[[#Headers],[ID]]))))</f>
        <v/>
      </c>
      <c r="C104" s="24" t="str">
        <f aca="false">IF(IFERROR(INDEX(tsk_Name,(ROW()-ROW(MSPTasks[[#Headers],[ID]])))="",TRUE()),"",INDEX(tsk_Name,(ROW()-ROW(MSPTasks[[#Headers],[ID]]))))</f>
        <v/>
      </c>
      <c r="D104" s="24" t="str">
        <f aca="false">IF(IFERROR(INDEX(tsk_Name,(ROW()-ROW(MSPTasks[[#Headers],[ID]])))="",TRUE()),"",INDEX(tsk_Level,(ROW()-ROW(MSPTasks[[#Headers],[ID]]))))</f>
        <v/>
      </c>
      <c r="E104" s="24" t="str">
        <f aca="false">IF(IFERROR(INDEX(tsk_Name,(ROW()-ROW(MSPTasks[[#Headers],[ID]])))="",TRUE()),"",IF(INDEX(tsk_Mode,(ROW()-ROW(MSPTasks[[#Headers],[ID]])))="Manual","Manually Scheduled","Auto Scheduled"))</f>
        <v/>
      </c>
      <c r="F10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04" s="115" t="str">
        <f aca="false">IF(IFERROR(INDEX(tsk_Name,(ROW()-ROW(MSPTasks[[#Headers],[ID]])))="",TRUE()),"",INDEX(tsk_FcStart,(ROW()-ROW(MSPTasks[[#Headers],[ID]]))))</f>
        <v/>
      </c>
      <c r="H104" s="115" t="str">
        <f aca="false">IF(IFERROR(INDEX(tsk_Name,(ROW()-ROW(MSPTasks[[#Headers],[ID]])))="",TRUE()),"",INDEX(tsk_FcFinish,(ROW()-ROW(MSPTasks[[#Headers],[ID]]))))</f>
        <v/>
      </c>
      <c r="I10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0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0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0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0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0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04" s="115" t="str">
        <f aca="false">IF(IFERROR(INDEX(tsk_Name,(ROW()-ROW(MSPTasks[[#Headers],[ID]])))="",TRUE()),"",INDEX(tsk_PlanStart,(ROW()-ROW(MSPTasks[[#Headers],[ID]]))))</f>
        <v/>
      </c>
      <c r="P104" s="115" t="str">
        <f aca="false">IF(IFERROR(INDEX(tsk_Name,(ROW()-ROW(MSPTasks[[#Headers],[ID]])))="",TRUE()),"",INDEX(tsk_PlanFinish,(ROW()-ROW(MSPTasks[[#Headers],[ID]]))))</f>
        <v/>
      </c>
      <c r="Q10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0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0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0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0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0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0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0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0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04" s="24" t="str">
        <f aca="false">IF(IFERROR(INDEX(tsk_Name,(ROW()-ROW(MSPTasks[[#Headers],[ID]])))="",TRUE()),"",INDEX(tsk_Notes,(ROW()-ROW(MSPTasks[[#Headers],[ID]])))&amp;"")</f>
        <v/>
      </c>
    </row>
    <row r="105" customFormat="false" ht="15" hidden="false" customHeight="false" outlineLevel="0" collapsed="false">
      <c r="A105" s="24" t="str">
        <f aca="false">IF(IFERROR(INDEX(tsk_Name,(ROW()-ROW(MSPTasks[[#Headers],[ID]])))="",TRUE()),"",INDEX(tsk_ID,(ROW()-ROW(MSPTasks[[#Headers],[ID]]))))</f>
        <v/>
      </c>
      <c r="B105" s="24" t="str">
        <f aca="false">IF(IFERROR(INDEX(tsk_Name,(ROW()-ROW(MSPTasks[[#Headers],[ID]])))="",TRUE()),"",INDEX(tsk_UID,(ROW()-ROW(MSPTasks[[#Headers],[ID]]))))</f>
        <v/>
      </c>
      <c r="C105" s="24" t="str">
        <f aca="false">IF(IFERROR(INDEX(tsk_Name,(ROW()-ROW(MSPTasks[[#Headers],[ID]])))="",TRUE()),"",INDEX(tsk_Name,(ROW()-ROW(MSPTasks[[#Headers],[ID]]))))</f>
        <v/>
      </c>
      <c r="D105" s="24" t="str">
        <f aca="false">IF(IFERROR(INDEX(tsk_Name,(ROW()-ROW(MSPTasks[[#Headers],[ID]])))="",TRUE()),"",INDEX(tsk_Level,(ROW()-ROW(MSPTasks[[#Headers],[ID]]))))</f>
        <v/>
      </c>
      <c r="E105" s="24" t="str">
        <f aca="false">IF(IFERROR(INDEX(tsk_Name,(ROW()-ROW(MSPTasks[[#Headers],[ID]])))="",TRUE()),"",IF(INDEX(tsk_Mode,(ROW()-ROW(MSPTasks[[#Headers],[ID]])))="Manual","Manually Scheduled","Auto Scheduled"))</f>
        <v/>
      </c>
      <c r="F10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05" s="115" t="str">
        <f aca="false">IF(IFERROR(INDEX(tsk_Name,(ROW()-ROW(MSPTasks[[#Headers],[ID]])))="",TRUE()),"",INDEX(tsk_FcStart,(ROW()-ROW(MSPTasks[[#Headers],[ID]]))))</f>
        <v/>
      </c>
      <c r="H105" s="115" t="str">
        <f aca="false">IF(IFERROR(INDEX(tsk_Name,(ROW()-ROW(MSPTasks[[#Headers],[ID]])))="",TRUE()),"",INDEX(tsk_FcFinish,(ROW()-ROW(MSPTasks[[#Headers],[ID]]))))</f>
        <v/>
      </c>
      <c r="I10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0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0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0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0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0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05" s="115" t="str">
        <f aca="false">IF(IFERROR(INDEX(tsk_Name,(ROW()-ROW(MSPTasks[[#Headers],[ID]])))="",TRUE()),"",INDEX(tsk_PlanStart,(ROW()-ROW(MSPTasks[[#Headers],[ID]]))))</f>
        <v/>
      </c>
      <c r="P105" s="115" t="str">
        <f aca="false">IF(IFERROR(INDEX(tsk_Name,(ROW()-ROW(MSPTasks[[#Headers],[ID]])))="",TRUE()),"",INDEX(tsk_PlanFinish,(ROW()-ROW(MSPTasks[[#Headers],[ID]]))))</f>
        <v/>
      </c>
      <c r="Q10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0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0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0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0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0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0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0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0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05" s="24" t="str">
        <f aca="false">IF(IFERROR(INDEX(tsk_Name,(ROW()-ROW(MSPTasks[[#Headers],[ID]])))="",TRUE()),"",INDEX(tsk_Notes,(ROW()-ROW(MSPTasks[[#Headers],[ID]])))&amp;"")</f>
        <v/>
      </c>
    </row>
    <row r="106" customFormat="false" ht="15" hidden="false" customHeight="false" outlineLevel="0" collapsed="false">
      <c r="A106" s="24" t="str">
        <f aca="false">IF(IFERROR(INDEX(tsk_Name,(ROW()-ROW(MSPTasks[[#Headers],[ID]])))="",TRUE()),"",INDEX(tsk_ID,(ROW()-ROW(MSPTasks[[#Headers],[ID]]))))</f>
        <v/>
      </c>
      <c r="B106" s="24" t="str">
        <f aca="false">IF(IFERROR(INDEX(tsk_Name,(ROW()-ROW(MSPTasks[[#Headers],[ID]])))="",TRUE()),"",INDEX(tsk_UID,(ROW()-ROW(MSPTasks[[#Headers],[ID]]))))</f>
        <v/>
      </c>
      <c r="C106" s="24" t="str">
        <f aca="false">IF(IFERROR(INDEX(tsk_Name,(ROW()-ROW(MSPTasks[[#Headers],[ID]])))="",TRUE()),"",INDEX(tsk_Name,(ROW()-ROW(MSPTasks[[#Headers],[ID]]))))</f>
        <v/>
      </c>
      <c r="D106" s="24" t="str">
        <f aca="false">IF(IFERROR(INDEX(tsk_Name,(ROW()-ROW(MSPTasks[[#Headers],[ID]])))="",TRUE()),"",INDEX(tsk_Level,(ROW()-ROW(MSPTasks[[#Headers],[ID]]))))</f>
        <v/>
      </c>
      <c r="E106" s="24" t="str">
        <f aca="false">IF(IFERROR(INDEX(tsk_Name,(ROW()-ROW(MSPTasks[[#Headers],[ID]])))="",TRUE()),"",IF(INDEX(tsk_Mode,(ROW()-ROW(MSPTasks[[#Headers],[ID]])))="Manual","Manually Scheduled","Auto Scheduled"))</f>
        <v/>
      </c>
      <c r="F10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06" s="115" t="str">
        <f aca="false">IF(IFERROR(INDEX(tsk_Name,(ROW()-ROW(MSPTasks[[#Headers],[ID]])))="",TRUE()),"",INDEX(tsk_FcStart,(ROW()-ROW(MSPTasks[[#Headers],[ID]]))))</f>
        <v/>
      </c>
      <c r="H106" s="115" t="str">
        <f aca="false">IF(IFERROR(INDEX(tsk_Name,(ROW()-ROW(MSPTasks[[#Headers],[ID]])))="",TRUE()),"",INDEX(tsk_FcFinish,(ROW()-ROW(MSPTasks[[#Headers],[ID]]))))</f>
        <v/>
      </c>
      <c r="I10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0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0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0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0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0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06" s="115" t="str">
        <f aca="false">IF(IFERROR(INDEX(tsk_Name,(ROW()-ROW(MSPTasks[[#Headers],[ID]])))="",TRUE()),"",INDEX(tsk_PlanStart,(ROW()-ROW(MSPTasks[[#Headers],[ID]]))))</f>
        <v/>
      </c>
      <c r="P106" s="115" t="str">
        <f aca="false">IF(IFERROR(INDEX(tsk_Name,(ROW()-ROW(MSPTasks[[#Headers],[ID]])))="",TRUE()),"",INDEX(tsk_PlanFinish,(ROW()-ROW(MSPTasks[[#Headers],[ID]]))))</f>
        <v/>
      </c>
      <c r="Q10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0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0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0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0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0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0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0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0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06" s="24" t="str">
        <f aca="false">IF(IFERROR(INDEX(tsk_Name,(ROW()-ROW(MSPTasks[[#Headers],[ID]])))="",TRUE()),"",INDEX(tsk_Notes,(ROW()-ROW(MSPTasks[[#Headers],[ID]])))&amp;"")</f>
        <v/>
      </c>
    </row>
    <row r="107" customFormat="false" ht="15" hidden="false" customHeight="false" outlineLevel="0" collapsed="false">
      <c r="A107" s="24" t="str">
        <f aca="false">IF(IFERROR(INDEX(tsk_Name,(ROW()-ROW(MSPTasks[[#Headers],[ID]])))="",TRUE()),"",INDEX(tsk_ID,(ROW()-ROW(MSPTasks[[#Headers],[ID]]))))</f>
        <v/>
      </c>
      <c r="B107" s="24" t="str">
        <f aca="false">IF(IFERROR(INDEX(tsk_Name,(ROW()-ROW(MSPTasks[[#Headers],[ID]])))="",TRUE()),"",INDEX(tsk_UID,(ROW()-ROW(MSPTasks[[#Headers],[ID]]))))</f>
        <v/>
      </c>
      <c r="C107" s="24" t="str">
        <f aca="false">IF(IFERROR(INDEX(tsk_Name,(ROW()-ROW(MSPTasks[[#Headers],[ID]])))="",TRUE()),"",INDEX(tsk_Name,(ROW()-ROW(MSPTasks[[#Headers],[ID]]))))</f>
        <v/>
      </c>
      <c r="D107" s="24" t="str">
        <f aca="false">IF(IFERROR(INDEX(tsk_Name,(ROW()-ROW(MSPTasks[[#Headers],[ID]])))="",TRUE()),"",INDEX(tsk_Level,(ROW()-ROW(MSPTasks[[#Headers],[ID]]))))</f>
        <v/>
      </c>
      <c r="E107" s="24" t="str">
        <f aca="false">IF(IFERROR(INDEX(tsk_Name,(ROW()-ROW(MSPTasks[[#Headers],[ID]])))="",TRUE()),"",IF(INDEX(tsk_Mode,(ROW()-ROW(MSPTasks[[#Headers],[ID]])))="Manual","Manually Scheduled","Auto Scheduled"))</f>
        <v/>
      </c>
      <c r="F10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07" s="115" t="str">
        <f aca="false">IF(IFERROR(INDEX(tsk_Name,(ROW()-ROW(MSPTasks[[#Headers],[ID]])))="",TRUE()),"",INDEX(tsk_FcStart,(ROW()-ROW(MSPTasks[[#Headers],[ID]]))))</f>
        <v/>
      </c>
      <c r="H107" s="115" t="str">
        <f aca="false">IF(IFERROR(INDEX(tsk_Name,(ROW()-ROW(MSPTasks[[#Headers],[ID]])))="",TRUE()),"",INDEX(tsk_FcFinish,(ROW()-ROW(MSPTasks[[#Headers],[ID]]))))</f>
        <v/>
      </c>
      <c r="I10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0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0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0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0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0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07" s="115" t="str">
        <f aca="false">IF(IFERROR(INDEX(tsk_Name,(ROW()-ROW(MSPTasks[[#Headers],[ID]])))="",TRUE()),"",INDEX(tsk_PlanStart,(ROW()-ROW(MSPTasks[[#Headers],[ID]]))))</f>
        <v/>
      </c>
      <c r="P107" s="115" t="str">
        <f aca="false">IF(IFERROR(INDEX(tsk_Name,(ROW()-ROW(MSPTasks[[#Headers],[ID]])))="",TRUE()),"",INDEX(tsk_PlanFinish,(ROW()-ROW(MSPTasks[[#Headers],[ID]]))))</f>
        <v/>
      </c>
      <c r="Q10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0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0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0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0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0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0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0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0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07" s="24" t="str">
        <f aca="false">IF(IFERROR(INDEX(tsk_Name,(ROW()-ROW(MSPTasks[[#Headers],[ID]])))="",TRUE()),"",INDEX(tsk_Notes,(ROW()-ROW(MSPTasks[[#Headers],[ID]])))&amp;"")</f>
        <v/>
      </c>
    </row>
    <row r="108" customFormat="false" ht="15" hidden="false" customHeight="false" outlineLevel="0" collapsed="false">
      <c r="A108" s="24" t="str">
        <f aca="false">IF(IFERROR(INDEX(tsk_Name,(ROW()-ROW(MSPTasks[[#Headers],[ID]])))="",TRUE()),"",INDEX(tsk_ID,(ROW()-ROW(MSPTasks[[#Headers],[ID]]))))</f>
        <v/>
      </c>
      <c r="B108" s="24" t="str">
        <f aca="false">IF(IFERROR(INDEX(tsk_Name,(ROW()-ROW(MSPTasks[[#Headers],[ID]])))="",TRUE()),"",INDEX(tsk_UID,(ROW()-ROW(MSPTasks[[#Headers],[ID]]))))</f>
        <v/>
      </c>
      <c r="C108" s="24" t="str">
        <f aca="false">IF(IFERROR(INDEX(tsk_Name,(ROW()-ROW(MSPTasks[[#Headers],[ID]])))="",TRUE()),"",INDEX(tsk_Name,(ROW()-ROW(MSPTasks[[#Headers],[ID]]))))</f>
        <v/>
      </c>
      <c r="D108" s="24" t="str">
        <f aca="false">IF(IFERROR(INDEX(tsk_Name,(ROW()-ROW(MSPTasks[[#Headers],[ID]])))="",TRUE()),"",INDEX(tsk_Level,(ROW()-ROW(MSPTasks[[#Headers],[ID]]))))</f>
        <v/>
      </c>
      <c r="E108" s="24" t="str">
        <f aca="false">IF(IFERROR(INDEX(tsk_Name,(ROW()-ROW(MSPTasks[[#Headers],[ID]])))="",TRUE()),"",IF(INDEX(tsk_Mode,(ROW()-ROW(MSPTasks[[#Headers],[ID]])))="Manual","Manually Scheduled","Auto Scheduled"))</f>
        <v/>
      </c>
      <c r="F10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08" s="115" t="str">
        <f aca="false">IF(IFERROR(INDEX(tsk_Name,(ROW()-ROW(MSPTasks[[#Headers],[ID]])))="",TRUE()),"",INDEX(tsk_FcStart,(ROW()-ROW(MSPTasks[[#Headers],[ID]]))))</f>
        <v/>
      </c>
      <c r="H108" s="115" t="str">
        <f aca="false">IF(IFERROR(INDEX(tsk_Name,(ROW()-ROW(MSPTasks[[#Headers],[ID]])))="",TRUE()),"",INDEX(tsk_FcFinish,(ROW()-ROW(MSPTasks[[#Headers],[ID]]))))</f>
        <v/>
      </c>
      <c r="I10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0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0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0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0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0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08" s="115" t="str">
        <f aca="false">IF(IFERROR(INDEX(tsk_Name,(ROW()-ROW(MSPTasks[[#Headers],[ID]])))="",TRUE()),"",INDEX(tsk_PlanStart,(ROW()-ROW(MSPTasks[[#Headers],[ID]]))))</f>
        <v/>
      </c>
      <c r="P108" s="115" t="str">
        <f aca="false">IF(IFERROR(INDEX(tsk_Name,(ROW()-ROW(MSPTasks[[#Headers],[ID]])))="",TRUE()),"",INDEX(tsk_PlanFinish,(ROW()-ROW(MSPTasks[[#Headers],[ID]]))))</f>
        <v/>
      </c>
      <c r="Q10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0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0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0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0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0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0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0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0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08" s="24" t="str">
        <f aca="false">IF(IFERROR(INDEX(tsk_Name,(ROW()-ROW(MSPTasks[[#Headers],[ID]])))="",TRUE()),"",INDEX(tsk_Notes,(ROW()-ROW(MSPTasks[[#Headers],[ID]])))&amp;"")</f>
        <v/>
      </c>
    </row>
    <row r="109" customFormat="false" ht="15" hidden="false" customHeight="false" outlineLevel="0" collapsed="false">
      <c r="A109" s="24" t="str">
        <f aca="false">IF(IFERROR(INDEX(tsk_Name,(ROW()-ROW(MSPTasks[[#Headers],[ID]])))="",TRUE()),"",INDEX(tsk_ID,(ROW()-ROW(MSPTasks[[#Headers],[ID]]))))</f>
        <v/>
      </c>
      <c r="B109" s="24" t="str">
        <f aca="false">IF(IFERROR(INDEX(tsk_Name,(ROW()-ROW(MSPTasks[[#Headers],[ID]])))="",TRUE()),"",INDEX(tsk_UID,(ROW()-ROW(MSPTasks[[#Headers],[ID]]))))</f>
        <v/>
      </c>
      <c r="C109" s="24" t="str">
        <f aca="false">IF(IFERROR(INDEX(tsk_Name,(ROW()-ROW(MSPTasks[[#Headers],[ID]])))="",TRUE()),"",INDEX(tsk_Name,(ROW()-ROW(MSPTasks[[#Headers],[ID]]))))</f>
        <v/>
      </c>
      <c r="D109" s="24" t="str">
        <f aca="false">IF(IFERROR(INDEX(tsk_Name,(ROW()-ROW(MSPTasks[[#Headers],[ID]])))="",TRUE()),"",INDEX(tsk_Level,(ROW()-ROW(MSPTasks[[#Headers],[ID]]))))</f>
        <v/>
      </c>
      <c r="E109" s="24" t="str">
        <f aca="false">IF(IFERROR(INDEX(tsk_Name,(ROW()-ROW(MSPTasks[[#Headers],[ID]])))="",TRUE()),"",IF(INDEX(tsk_Mode,(ROW()-ROW(MSPTasks[[#Headers],[ID]])))="Manual","Manually Scheduled","Auto Scheduled"))</f>
        <v/>
      </c>
      <c r="F10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09" s="115" t="str">
        <f aca="false">IF(IFERROR(INDEX(tsk_Name,(ROW()-ROW(MSPTasks[[#Headers],[ID]])))="",TRUE()),"",INDEX(tsk_FcStart,(ROW()-ROW(MSPTasks[[#Headers],[ID]]))))</f>
        <v/>
      </c>
      <c r="H109" s="115" t="str">
        <f aca="false">IF(IFERROR(INDEX(tsk_Name,(ROW()-ROW(MSPTasks[[#Headers],[ID]])))="",TRUE()),"",INDEX(tsk_FcFinish,(ROW()-ROW(MSPTasks[[#Headers],[ID]]))))</f>
        <v/>
      </c>
      <c r="I10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0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0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0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0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0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09" s="115" t="str">
        <f aca="false">IF(IFERROR(INDEX(tsk_Name,(ROW()-ROW(MSPTasks[[#Headers],[ID]])))="",TRUE()),"",INDEX(tsk_PlanStart,(ROW()-ROW(MSPTasks[[#Headers],[ID]]))))</f>
        <v/>
      </c>
      <c r="P109" s="115" t="str">
        <f aca="false">IF(IFERROR(INDEX(tsk_Name,(ROW()-ROW(MSPTasks[[#Headers],[ID]])))="",TRUE()),"",INDEX(tsk_PlanFinish,(ROW()-ROW(MSPTasks[[#Headers],[ID]]))))</f>
        <v/>
      </c>
      <c r="Q10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0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0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0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0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0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0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0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0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09" s="24" t="str">
        <f aca="false">IF(IFERROR(INDEX(tsk_Name,(ROW()-ROW(MSPTasks[[#Headers],[ID]])))="",TRUE()),"",INDEX(tsk_Notes,(ROW()-ROW(MSPTasks[[#Headers],[ID]])))&amp;"")</f>
        <v/>
      </c>
    </row>
    <row r="110" customFormat="false" ht="15" hidden="false" customHeight="false" outlineLevel="0" collapsed="false">
      <c r="A110" s="24" t="str">
        <f aca="false">IF(IFERROR(INDEX(tsk_Name,(ROW()-ROW(MSPTasks[[#Headers],[ID]])))="",TRUE()),"",INDEX(tsk_ID,(ROW()-ROW(MSPTasks[[#Headers],[ID]]))))</f>
        <v/>
      </c>
      <c r="B110" s="24" t="str">
        <f aca="false">IF(IFERROR(INDEX(tsk_Name,(ROW()-ROW(MSPTasks[[#Headers],[ID]])))="",TRUE()),"",INDEX(tsk_UID,(ROW()-ROW(MSPTasks[[#Headers],[ID]]))))</f>
        <v/>
      </c>
      <c r="C110" s="24" t="str">
        <f aca="false">IF(IFERROR(INDEX(tsk_Name,(ROW()-ROW(MSPTasks[[#Headers],[ID]])))="",TRUE()),"",INDEX(tsk_Name,(ROW()-ROW(MSPTasks[[#Headers],[ID]]))))</f>
        <v/>
      </c>
      <c r="D110" s="24" t="str">
        <f aca="false">IF(IFERROR(INDEX(tsk_Name,(ROW()-ROW(MSPTasks[[#Headers],[ID]])))="",TRUE()),"",INDEX(tsk_Level,(ROW()-ROW(MSPTasks[[#Headers],[ID]]))))</f>
        <v/>
      </c>
      <c r="E110" s="24" t="str">
        <f aca="false">IF(IFERROR(INDEX(tsk_Name,(ROW()-ROW(MSPTasks[[#Headers],[ID]])))="",TRUE()),"",IF(INDEX(tsk_Mode,(ROW()-ROW(MSPTasks[[#Headers],[ID]])))="Manual","Manually Scheduled","Auto Scheduled"))</f>
        <v/>
      </c>
      <c r="F11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10" s="115" t="str">
        <f aca="false">IF(IFERROR(INDEX(tsk_Name,(ROW()-ROW(MSPTasks[[#Headers],[ID]])))="",TRUE()),"",INDEX(tsk_FcStart,(ROW()-ROW(MSPTasks[[#Headers],[ID]]))))</f>
        <v/>
      </c>
      <c r="H110" s="115" t="str">
        <f aca="false">IF(IFERROR(INDEX(tsk_Name,(ROW()-ROW(MSPTasks[[#Headers],[ID]])))="",TRUE()),"",INDEX(tsk_FcFinish,(ROW()-ROW(MSPTasks[[#Headers],[ID]]))))</f>
        <v/>
      </c>
      <c r="I11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1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1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1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1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1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10" s="115" t="str">
        <f aca="false">IF(IFERROR(INDEX(tsk_Name,(ROW()-ROW(MSPTasks[[#Headers],[ID]])))="",TRUE()),"",INDEX(tsk_PlanStart,(ROW()-ROW(MSPTasks[[#Headers],[ID]]))))</f>
        <v/>
      </c>
      <c r="P110" s="115" t="str">
        <f aca="false">IF(IFERROR(INDEX(tsk_Name,(ROW()-ROW(MSPTasks[[#Headers],[ID]])))="",TRUE()),"",INDEX(tsk_PlanFinish,(ROW()-ROW(MSPTasks[[#Headers],[ID]]))))</f>
        <v/>
      </c>
      <c r="Q11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1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1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1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1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1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1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1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1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10" s="24" t="str">
        <f aca="false">IF(IFERROR(INDEX(tsk_Name,(ROW()-ROW(MSPTasks[[#Headers],[ID]])))="",TRUE()),"",INDEX(tsk_Notes,(ROW()-ROW(MSPTasks[[#Headers],[ID]])))&amp;"")</f>
        <v/>
      </c>
    </row>
    <row r="111" customFormat="false" ht="15" hidden="false" customHeight="false" outlineLevel="0" collapsed="false">
      <c r="A111" s="24" t="str">
        <f aca="false">IF(IFERROR(INDEX(tsk_Name,(ROW()-ROW(MSPTasks[[#Headers],[ID]])))="",TRUE()),"",INDEX(tsk_ID,(ROW()-ROW(MSPTasks[[#Headers],[ID]]))))</f>
        <v/>
      </c>
      <c r="B111" s="24" t="str">
        <f aca="false">IF(IFERROR(INDEX(tsk_Name,(ROW()-ROW(MSPTasks[[#Headers],[ID]])))="",TRUE()),"",INDEX(tsk_UID,(ROW()-ROW(MSPTasks[[#Headers],[ID]]))))</f>
        <v/>
      </c>
      <c r="C111" s="24" t="str">
        <f aca="false">IF(IFERROR(INDEX(tsk_Name,(ROW()-ROW(MSPTasks[[#Headers],[ID]])))="",TRUE()),"",INDEX(tsk_Name,(ROW()-ROW(MSPTasks[[#Headers],[ID]]))))</f>
        <v/>
      </c>
      <c r="D111" s="24" t="str">
        <f aca="false">IF(IFERROR(INDEX(tsk_Name,(ROW()-ROW(MSPTasks[[#Headers],[ID]])))="",TRUE()),"",INDEX(tsk_Level,(ROW()-ROW(MSPTasks[[#Headers],[ID]]))))</f>
        <v/>
      </c>
      <c r="E111" s="24" t="str">
        <f aca="false">IF(IFERROR(INDEX(tsk_Name,(ROW()-ROW(MSPTasks[[#Headers],[ID]])))="",TRUE()),"",IF(INDEX(tsk_Mode,(ROW()-ROW(MSPTasks[[#Headers],[ID]])))="Manual","Manually Scheduled","Auto Scheduled"))</f>
        <v/>
      </c>
      <c r="F11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11" s="115" t="str">
        <f aca="false">IF(IFERROR(INDEX(tsk_Name,(ROW()-ROW(MSPTasks[[#Headers],[ID]])))="",TRUE()),"",INDEX(tsk_FcStart,(ROW()-ROW(MSPTasks[[#Headers],[ID]]))))</f>
        <v/>
      </c>
      <c r="H111" s="115" t="str">
        <f aca="false">IF(IFERROR(INDEX(tsk_Name,(ROW()-ROW(MSPTasks[[#Headers],[ID]])))="",TRUE()),"",INDEX(tsk_FcFinish,(ROW()-ROW(MSPTasks[[#Headers],[ID]]))))</f>
        <v/>
      </c>
      <c r="I11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1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1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1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1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1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11" s="115" t="str">
        <f aca="false">IF(IFERROR(INDEX(tsk_Name,(ROW()-ROW(MSPTasks[[#Headers],[ID]])))="",TRUE()),"",INDEX(tsk_PlanStart,(ROW()-ROW(MSPTasks[[#Headers],[ID]]))))</f>
        <v/>
      </c>
      <c r="P111" s="115" t="str">
        <f aca="false">IF(IFERROR(INDEX(tsk_Name,(ROW()-ROW(MSPTasks[[#Headers],[ID]])))="",TRUE()),"",INDEX(tsk_PlanFinish,(ROW()-ROW(MSPTasks[[#Headers],[ID]]))))</f>
        <v/>
      </c>
      <c r="Q11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1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1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1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1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1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1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1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1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11" s="24" t="str">
        <f aca="false">IF(IFERROR(INDEX(tsk_Name,(ROW()-ROW(MSPTasks[[#Headers],[ID]])))="",TRUE()),"",INDEX(tsk_Notes,(ROW()-ROW(MSPTasks[[#Headers],[ID]])))&amp;"")</f>
        <v/>
      </c>
    </row>
    <row r="112" customFormat="false" ht="15" hidden="false" customHeight="false" outlineLevel="0" collapsed="false">
      <c r="A112" s="24" t="str">
        <f aca="false">IF(IFERROR(INDEX(tsk_Name,(ROW()-ROW(MSPTasks[[#Headers],[ID]])))="",TRUE()),"",INDEX(tsk_ID,(ROW()-ROW(MSPTasks[[#Headers],[ID]]))))</f>
        <v/>
      </c>
      <c r="B112" s="24" t="str">
        <f aca="false">IF(IFERROR(INDEX(tsk_Name,(ROW()-ROW(MSPTasks[[#Headers],[ID]])))="",TRUE()),"",INDEX(tsk_UID,(ROW()-ROW(MSPTasks[[#Headers],[ID]]))))</f>
        <v/>
      </c>
      <c r="C112" s="24" t="str">
        <f aca="false">IF(IFERROR(INDEX(tsk_Name,(ROW()-ROW(MSPTasks[[#Headers],[ID]])))="",TRUE()),"",INDEX(tsk_Name,(ROW()-ROW(MSPTasks[[#Headers],[ID]]))))</f>
        <v/>
      </c>
      <c r="D112" s="24" t="str">
        <f aca="false">IF(IFERROR(INDEX(tsk_Name,(ROW()-ROW(MSPTasks[[#Headers],[ID]])))="",TRUE()),"",INDEX(tsk_Level,(ROW()-ROW(MSPTasks[[#Headers],[ID]]))))</f>
        <v/>
      </c>
      <c r="E112" s="24" t="str">
        <f aca="false">IF(IFERROR(INDEX(tsk_Name,(ROW()-ROW(MSPTasks[[#Headers],[ID]])))="",TRUE()),"",IF(INDEX(tsk_Mode,(ROW()-ROW(MSPTasks[[#Headers],[ID]])))="Manual","Manually Scheduled","Auto Scheduled"))</f>
        <v/>
      </c>
      <c r="F11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12" s="115" t="str">
        <f aca="false">IF(IFERROR(INDEX(tsk_Name,(ROW()-ROW(MSPTasks[[#Headers],[ID]])))="",TRUE()),"",INDEX(tsk_FcStart,(ROW()-ROW(MSPTasks[[#Headers],[ID]]))))</f>
        <v/>
      </c>
      <c r="H112" s="115" t="str">
        <f aca="false">IF(IFERROR(INDEX(tsk_Name,(ROW()-ROW(MSPTasks[[#Headers],[ID]])))="",TRUE()),"",INDEX(tsk_FcFinish,(ROW()-ROW(MSPTasks[[#Headers],[ID]]))))</f>
        <v/>
      </c>
      <c r="I11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1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1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1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1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1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12" s="115" t="str">
        <f aca="false">IF(IFERROR(INDEX(tsk_Name,(ROW()-ROW(MSPTasks[[#Headers],[ID]])))="",TRUE()),"",INDEX(tsk_PlanStart,(ROW()-ROW(MSPTasks[[#Headers],[ID]]))))</f>
        <v/>
      </c>
      <c r="P112" s="115" t="str">
        <f aca="false">IF(IFERROR(INDEX(tsk_Name,(ROW()-ROW(MSPTasks[[#Headers],[ID]])))="",TRUE()),"",INDEX(tsk_PlanFinish,(ROW()-ROW(MSPTasks[[#Headers],[ID]]))))</f>
        <v/>
      </c>
      <c r="Q11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1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1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1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1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1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1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1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1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12" s="24" t="str">
        <f aca="false">IF(IFERROR(INDEX(tsk_Name,(ROW()-ROW(MSPTasks[[#Headers],[ID]])))="",TRUE()),"",INDEX(tsk_Notes,(ROW()-ROW(MSPTasks[[#Headers],[ID]])))&amp;"")</f>
        <v/>
      </c>
    </row>
    <row r="113" customFormat="false" ht="15" hidden="false" customHeight="false" outlineLevel="0" collapsed="false">
      <c r="A113" s="24" t="str">
        <f aca="false">IF(IFERROR(INDEX(tsk_Name,(ROW()-ROW(MSPTasks[[#Headers],[ID]])))="",TRUE()),"",INDEX(tsk_ID,(ROW()-ROW(MSPTasks[[#Headers],[ID]]))))</f>
        <v/>
      </c>
      <c r="B113" s="24" t="str">
        <f aca="false">IF(IFERROR(INDEX(tsk_Name,(ROW()-ROW(MSPTasks[[#Headers],[ID]])))="",TRUE()),"",INDEX(tsk_UID,(ROW()-ROW(MSPTasks[[#Headers],[ID]]))))</f>
        <v/>
      </c>
      <c r="C113" s="24" t="str">
        <f aca="false">IF(IFERROR(INDEX(tsk_Name,(ROW()-ROW(MSPTasks[[#Headers],[ID]])))="",TRUE()),"",INDEX(tsk_Name,(ROW()-ROW(MSPTasks[[#Headers],[ID]]))))</f>
        <v/>
      </c>
      <c r="D113" s="24" t="str">
        <f aca="false">IF(IFERROR(INDEX(tsk_Name,(ROW()-ROW(MSPTasks[[#Headers],[ID]])))="",TRUE()),"",INDEX(tsk_Level,(ROW()-ROW(MSPTasks[[#Headers],[ID]]))))</f>
        <v/>
      </c>
      <c r="E113" s="24" t="str">
        <f aca="false">IF(IFERROR(INDEX(tsk_Name,(ROW()-ROW(MSPTasks[[#Headers],[ID]])))="",TRUE()),"",IF(INDEX(tsk_Mode,(ROW()-ROW(MSPTasks[[#Headers],[ID]])))="Manual","Manually Scheduled","Auto Scheduled"))</f>
        <v/>
      </c>
      <c r="F11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13" s="115" t="str">
        <f aca="false">IF(IFERROR(INDEX(tsk_Name,(ROW()-ROW(MSPTasks[[#Headers],[ID]])))="",TRUE()),"",INDEX(tsk_FcStart,(ROW()-ROW(MSPTasks[[#Headers],[ID]]))))</f>
        <v/>
      </c>
      <c r="H113" s="115" t="str">
        <f aca="false">IF(IFERROR(INDEX(tsk_Name,(ROW()-ROW(MSPTasks[[#Headers],[ID]])))="",TRUE()),"",INDEX(tsk_FcFinish,(ROW()-ROW(MSPTasks[[#Headers],[ID]]))))</f>
        <v/>
      </c>
      <c r="I11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1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1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1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1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1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13" s="115" t="str">
        <f aca="false">IF(IFERROR(INDEX(tsk_Name,(ROW()-ROW(MSPTasks[[#Headers],[ID]])))="",TRUE()),"",INDEX(tsk_PlanStart,(ROW()-ROW(MSPTasks[[#Headers],[ID]]))))</f>
        <v/>
      </c>
      <c r="P113" s="115" t="str">
        <f aca="false">IF(IFERROR(INDEX(tsk_Name,(ROW()-ROW(MSPTasks[[#Headers],[ID]])))="",TRUE()),"",INDEX(tsk_PlanFinish,(ROW()-ROW(MSPTasks[[#Headers],[ID]]))))</f>
        <v/>
      </c>
      <c r="Q11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1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1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1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1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1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1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1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1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13" s="24" t="str">
        <f aca="false">IF(IFERROR(INDEX(tsk_Name,(ROW()-ROW(MSPTasks[[#Headers],[ID]])))="",TRUE()),"",INDEX(tsk_Notes,(ROW()-ROW(MSPTasks[[#Headers],[ID]])))&amp;"")</f>
        <v/>
      </c>
    </row>
    <row r="114" customFormat="false" ht="15" hidden="false" customHeight="false" outlineLevel="0" collapsed="false">
      <c r="A114" s="24" t="str">
        <f aca="false">IF(IFERROR(INDEX(tsk_Name,(ROW()-ROW(MSPTasks[[#Headers],[ID]])))="",TRUE()),"",INDEX(tsk_ID,(ROW()-ROW(MSPTasks[[#Headers],[ID]]))))</f>
        <v/>
      </c>
      <c r="B114" s="24" t="str">
        <f aca="false">IF(IFERROR(INDEX(tsk_Name,(ROW()-ROW(MSPTasks[[#Headers],[ID]])))="",TRUE()),"",INDEX(tsk_UID,(ROW()-ROW(MSPTasks[[#Headers],[ID]]))))</f>
        <v/>
      </c>
      <c r="C114" s="24" t="str">
        <f aca="false">IF(IFERROR(INDEX(tsk_Name,(ROW()-ROW(MSPTasks[[#Headers],[ID]])))="",TRUE()),"",INDEX(tsk_Name,(ROW()-ROW(MSPTasks[[#Headers],[ID]]))))</f>
        <v/>
      </c>
      <c r="D114" s="24" t="str">
        <f aca="false">IF(IFERROR(INDEX(tsk_Name,(ROW()-ROW(MSPTasks[[#Headers],[ID]])))="",TRUE()),"",INDEX(tsk_Level,(ROW()-ROW(MSPTasks[[#Headers],[ID]]))))</f>
        <v/>
      </c>
      <c r="E114" s="24" t="str">
        <f aca="false">IF(IFERROR(INDEX(tsk_Name,(ROW()-ROW(MSPTasks[[#Headers],[ID]])))="",TRUE()),"",IF(INDEX(tsk_Mode,(ROW()-ROW(MSPTasks[[#Headers],[ID]])))="Manual","Manually Scheduled","Auto Scheduled"))</f>
        <v/>
      </c>
      <c r="F11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14" s="115" t="str">
        <f aca="false">IF(IFERROR(INDEX(tsk_Name,(ROW()-ROW(MSPTasks[[#Headers],[ID]])))="",TRUE()),"",INDEX(tsk_FcStart,(ROW()-ROW(MSPTasks[[#Headers],[ID]]))))</f>
        <v/>
      </c>
      <c r="H114" s="115" t="str">
        <f aca="false">IF(IFERROR(INDEX(tsk_Name,(ROW()-ROW(MSPTasks[[#Headers],[ID]])))="",TRUE()),"",INDEX(tsk_FcFinish,(ROW()-ROW(MSPTasks[[#Headers],[ID]]))))</f>
        <v/>
      </c>
      <c r="I11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1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1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1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1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1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14" s="115" t="str">
        <f aca="false">IF(IFERROR(INDEX(tsk_Name,(ROW()-ROW(MSPTasks[[#Headers],[ID]])))="",TRUE()),"",INDEX(tsk_PlanStart,(ROW()-ROW(MSPTasks[[#Headers],[ID]]))))</f>
        <v/>
      </c>
      <c r="P114" s="115" t="str">
        <f aca="false">IF(IFERROR(INDEX(tsk_Name,(ROW()-ROW(MSPTasks[[#Headers],[ID]])))="",TRUE()),"",INDEX(tsk_PlanFinish,(ROW()-ROW(MSPTasks[[#Headers],[ID]]))))</f>
        <v/>
      </c>
      <c r="Q11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1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1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1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1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1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1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1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1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14" s="24" t="str">
        <f aca="false">IF(IFERROR(INDEX(tsk_Name,(ROW()-ROW(MSPTasks[[#Headers],[ID]])))="",TRUE()),"",INDEX(tsk_Notes,(ROW()-ROW(MSPTasks[[#Headers],[ID]])))&amp;"")</f>
        <v/>
      </c>
    </row>
    <row r="115" customFormat="false" ht="15" hidden="false" customHeight="false" outlineLevel="0" collapsed="false">
      <c r="A115" s="24" t="str">
        <f aca="false">IF(IFERROR(INDEX(tsk_Name,(ROW()-ROW(MSPTasks[[#Headers],[ID]])))="",TRUE()),"",INDEX(tsk_ID,(ROW()-ROW(MSPTasks[[#Headers],[ID]]))))</f>
        <v/>
      </c>
      <c r="B115" s="24" t="str">
        <f aca="false">IF(IFERROR(INDEX(tsk_Name,(ROW()-ROW(MSPTasks[[#Headers],[ID]])))="",TRUE()),"",INDEX(tsk_UID,(ROW()-ROW(MSPTasks[[#Headers],[ID]]))))</f>
        <v/>
      </c>
      <c r="C115" s="24" t="str">
        <f aca="false">IF(IFERROR(INDEX(tsk_Name,(ROW()-ROW(MSPTasks[[#Headers],[ID]])))="",TRUE()),"",INDEX(tsk_Name,(ROW()-ROW(MSPTasks[[#Headers],[ID]]))))</f>
        <v/>
      </c>
      <c r="D115" s="24" t="str">
        <f aca="false">IF(IFERROR(INDEX(tsk_Name,(ROW()-ROW(MSPTasks[[#Headers],[ID]])))="",TRUE()),"",INDEX(tsk_Level,(ROW()-ROW(MSPTasks[[#Headers],[ID]]))))</f>
        <v/>
      </c>
      <c r="E115" s="24" t="str">
        <f aca="false">IF(IFERROR(INDEX(tsk_Name,(ROW()-ROW(MSPTasks[[#Headers],[ID]])))="",TRUE()),"",IF(INDEX(tsk_Mode,(ROW()-ROW(MSPTasks[[#Headers],[ID]])))="Manual","Manually Scheduled","Auto Scheduled"))</f>
        <v/>
      </c>
      <c r="F11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15" s="115" t="str">
        <f aca="false">IF(IFERROR(INDEX(tsk_Name,(ROW()-ROW(MSPTasks[[#Headers],[ID]])))="",TRUE()),"",INDEX(tsk_FcStart,(ROW()-ROW(MSPTasks[[#Headers],[ID]]))))</f>
        <v/>
      </c>
      <c r="H115" s="115" t="str">
        <f aca="false">IF(IFERROR(INDEX(tsk_Name,(ROW()-ROW(MSPTasks[[#Headers],[ID]])))="",TRUE()),"",INDEX(tsk_FcFinish,(ROW()-ROW(MSPTasks[[#Headers],[ID]]))))</f>
        <v/>
      </c>
      <c r="I11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1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1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1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1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1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15" s="115" t="str">
        <f aca="false">IF(IFERROR(INDEX(tsk_Name,(ROW()-ROW(MSPTasks[[#Headers],[ID]])))="",TRUE()),"",INDEX(tsk_PlanStart,(ROW()-ROW(MSPTasks[[#Headers],[ID]]))))</f>
        <v/>
      </c>
      <c r="P115" s="115" t="str">
        <f aca="false">IF(IFERROR(INDEX(tsk_Name,(ROW()-ROW(MSPTasks[[#Headers],[ID]])))="",TRUE()),"",INDEX(tsk_PlanFinish,(ROW()-ROW(MSPTasks[[#Headers],[ID]]))))</f>
        <v/>
      </c>
      <c r="Q11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1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1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1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1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1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1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1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1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15" s="24" t="str">
        <f aca="false">IF(IFERROR(INDEX(tsk_Name,(ROW()-ROW(MSPTasks[[#Headers],[ID]])))="",TRUE()),"",INDEX(tsk_Notes,(ROW()-ROW(MSPTasks[[#Headers],[ID]])))&amp;"")</f>
        <v/>
      </c>
    </row>
    <row r="116" customFormat="false" ht="15" hidden="false" customHeight="false" outlineLevel="0" collapsed="false">
      <c r="A116" s="24" t="str">
        <f aca="false">IF(IFERROR(INDEX(tsk_Name,(ROW()-ROW(MSPTasks[[#Headers],[ID]])))="",TRUE()),"",INDEX(tsk_ID,(ROW()-ROW(MSPTasks[[#Headers],[ID]]))))</f>
        <v/>
      </c>
      <c r="B116" s="24" t="str">
        <f aca="false">IF(IFERROR(INDEX(tsk_Name,(ROW()-ROW(MSPTasks[[#Headers],[ID]])))="",TRUE()),"",INDEX(tsk_UID,(ROW()-ROW(MSPTasks[[#Headers],[ID]]))))</f>
        <v/>
      </c>
      <c r="C116" s="24" t="str">
        <f aca="false">IF(IFERROR(INDEX(tsk_Name,(ROW()-ROW(MSPTasks[[#Headers],[ID]])))="",TRUE()),"",INDEX(tsk_Name,(ROW()-ROW(MSPTasks[[#Headers],[ID]]))))</f>
        <v/>
      </c>
      <c r="D116" s="24" t="str">
        <f aca="false">IF(IFERROR(INDEX(tsk_Name,(ROW()-ROW(MSPTasks[[#Headers],[ID]])))="",TRUE()),"",INDEX(tsk_Level,(ROW()-ROW(MSPTasks[[#Headers],[ID]]))))</f>
        <v/>
      </c>
      <c r="E116" s="24" t="str">
        <f aca="false">IF(IFERROR(INDEX(tsk_Name,(ROW()-ROW(MSPTasks[[#Headers],[ID]])))="",TRUE()),"",IF(INDEX(tsk_Mode,(ROW()-ROW(MSPTasks[[#Headers],[ID]])))="Manual","Manually Scheduled","Auto Scheduled"))</f>
        <v/>
      </c>
      <c r="F11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16" s="115" t="str">
        <f aca="false">IF(IFERROR(INDEX(tsk_Name,(ROW()-ROW(MSPTasks[[#Headers],[ID]])))="",TRUE()),"",INDEX(tsk_FcStart,(ROW()-ROW(MSPTasks[[#Headers],[ID]]))))</f>
        <v/>
      </c>
      <c r="H116" s="115" t="str">
        <f aca="false">IF(IFERROR(INDEX(tsk_Name,(ROW()-ROW(MSPTasks[[#Headers],[ID]])))="",TRUE()),"",INDEX(tsk_FcFinish,(ROW()-ROW(MSPTasks[[#Headers],[ID]]))))</f>
        <v/>
      </c>
      <c r="I11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1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1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1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1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1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16" s="115" t="str">
        <f aca="false">IF(IFERROR(INDEX(tsk_Name,(ROW()-ROW(MSPTasks[[#Headers],[ID]])))="",TRUE()),"",INDEX(tsk_PlanStart,(ROW()-ROW(MSPTasks[[#Headers],[ID]]))))</f>
        <v/>
      </c>
      <c r="P116" s="115" t="str">
        <f aca="false">IF(IFERROR(INDEX(tsk_Name,(ROW()-ROW(MSPTasks[[#Headers],[ID]])))="",TRUE()),"",INDEX(tsk_PlanFinish,(ROW()-ROW(MSPTasks[[#Headers],[ID]]))))</f>
        <v/>
      </c>
      <c r="Q11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1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1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1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1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1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1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1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1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16" s="24" t="str">
        <f aca="false">IF(IFERROR(INDEX(tsk_Name,(ROW()-ROW(MSPTasks[[#Headers],[ID]])))="",TRUE()),"",INDEX(tsk_Notes,(ROW()-ROW(MSPTasks[[#Headers],[ID]])))&amp;"")</f>
        <v/>
      </c>
    </row>
    <row r="117" customFormat="false" ht="15" hidden="false" customHeight="false" outlineLevel="0" collapsed="false">
      <c r="A117" s="24" t="str">
        <f aca="false">IF(IFERROR(INDEX(tsk_Name,(ROW()-ROW(MSPTasks[[#Headers],[ID]])))="",TRUE()),"",INDEX(tsk_ID,(ROW()-ROW(MSPTasks[[#Headers],[ID]]))))</f>
        <v/>
      </c>
      <c r="B117" s="24" t="str">
        <f aca="false">IF(IFERROR(INDEX(tsk_Name,(ROW()-ROW(MSPTasks[[#Headers],[ID]])))="",TRUE()),"",INDEX(tsk_UID,(ROW()-ROW(MSPTasks[[#Headers],[ID]]))))</f>
        <v/>
      </c>
      <c r="C117" s="24" t="str">
        <f aca="false">IF(IFERROR(INDEX(tsk_Name,(ROW()-ROW(MSPTasks[[#Headers],[ID]])))="",TRUE()),"",INDEX(tsk_Name,(ROW()-ROW(MSPTasks[[#Headers],[ID]]))))</f>
        <v/>
      </c>
      <c r="D117" s="24" t="str">
        <f aca="false">IF(IFERROR(INDEX(tsk_Name,(ROW()-ROW(MSPTasks[[#Headers],[ID]])))="",TRUE()),"",INDEX(tsk_Level,(ROW()-ROW(MSPTasks[[#Headers],[ID]]))))</f>
        <v/>
      </c>
      <c r="E117" s="24" t="str">
        <f aca="false">IF(IFERROR(INDEX(tsk_Name,(ROW()-ROW(MSPTasks[[#Headers],[ID]])))="",TRUE()),"",IF(INDEX(tsk_Mode,(ROW()-ROW(MSPTasks[[#Headers],[ID]])))="Manual","Manually Scheduled","Auto Scheduled"))</f>
        <v/>
      </c>
      <c r="F11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17" s="115" t="str">
        <f aca="false">IF(IFERROR(INDEX(tsk_Name,(ROW()-ROW(MSPTasks[[#Headers],[ID]])))="",TRUE()),"",INDEX(tsk_FcStart,(ROW()-ROW(MSPTasks[[#Headers],[ID]]))))</f>
        <v/>
      </c>
      <c r="H117" s="115" t="str">
        <f aca="false">IF(IFERROR(INDEX(tsk_Name,(ROW()-ROW(MSPTasks[[#Headers],[ID]])))="",TRUE()),"",INDEX(tsk_FcFinish,(ROW()-ROW(MSPTasks[[#Headers],[ID]]))))</f>
        <v/>
      </c>
      <c r="I11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1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1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1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1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1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17" s="115" t="str">
        <f aca="false">IF(IFERROR(INDEX(tsk_Name,(ROW()-ROW(MSPTasks[[#Headers],[ID]])))="",TRUE()),"",INDEX(tsk_PlanStart,(ROW()-ROW(MSPTasks[[#Headers],[ID]]))))</f>
        <v/>
      </c>
      <c r="P117" s="115" t="str">
        <f aca="false">IF(IFERROR(INDEX(tsk_Name,(ROW()-ROW(MSPTasks[[#Headers],[ID]])))="",TRUE()),"",INDEX(tsk_PlanFinish,(ROW()-ROW(MSPTasks[[#Headers],[ID]]))))</f>
        <v/>
      </c>
      <c r="Q11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1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1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1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1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1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1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1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1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17" s="24" t="str">
        <f aca="false">IF(IFERROR(INDEX(tsk_Name,(ROW()-ROW(MSPTasks[[#Headers],[ID]])))="",TRUE()),"",INDEX(tsk_Notes,(ROW()-ROW(MSPTasks[[#Headers],[ID]])))&amp;"")</f>
        <v/>
      </c>
    </row>
    <row r="118" customFormat="false" ht="15" hidden="false" customHeight="false" outlineLevel="0" collapsed="false">
      <c r="A118" s="24" t="str">
        <f aca="false">IF(IFERROR(INDEX(tsk_Name,(ROW()-ROW(MSPTasks[[#Headers],[ID]])))="",TRUE()),"",INDEX(tsk_ID,(ROW()-ROW(MSPTasks[[#Headers],[ID]]))))</f>
        <v/>
      </c>
      <c r="B118" s="24" t="str">
        <f aca="false">IF(IFERROR(INDEX(tsk_Name,(ROW()-ROW(MSPTasks[[#Headers],[ID]])))="",TRUE()),"",INDEX(tsk_UID,(ROW()-ROW(MSPTasks[[#Headers],[ID]]))))</f>
        <v/>
      </c>
      <c r="C118" s="24" t="str">
        <f aca="false">IF(IFERROR(INDEX(tsk_Name,(ROW()-ROW(MSPTasks[[#Headers],[ID]])))="",TRUE()),"",INDEX(tsk_Name,(ROW()-ROW(MSPTasks[[#Headers],[ID]]))))</f>
        <v/>
      </c>
      <c r="D118" s="24" t="str">
        <f aca="false">IF(IFERROR(INDEX(tsk_Name,(ROW()-ROW(MSPTasks[[#Headers],[ID]])))="",TRUE()),"",INDEX(tsk_Level,(ROW()-ROW(MSPTasks[[#Headers],[ID]]))))</f>
        <v/>
      </c>
      <c r="E118" s="24" t="str">
        <f aca="false">IF(IFERROR(INDEX(tsk_Name,(ROW()-ROW(MSPTasks[[#Headers],[ID]])))="",TRUE()),"",IF(INDEX(tsk_Mode,(ROW()-ROW(MSPTasks[[#Headers],[ID]])))="Manual","Manually Scheduled","Auto Scheduled"))</f>
        <v/>
      </c>
      <c r="F11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18" s="115" t="str">
        <f aca="false">IF(IFERROR(INDEX(tsk_Name,(ROW()-ROW(MSPTasks[[#Headers],[ID]])))="",TRUE()),"",INDEX(tsk_FcStart,(ROW()-ROW(MSPTasks[[#Headers],[ID]]))))</f>
        <v/>
      </c>
      <c r="H118" s="115" t="str">
        <f aca="false">IF(IFERROR(INDEX(tsk_Name,(ROW()-ROW(MSPTasks[[#Headers],[ID]])))="",TRUE()),"",INDEX(tsk_FcFinish,(ROW()-ROW(MSPTasks[[#Headers],[ID]]))))</f>
        <v/>
      </c>
      <c r="I11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1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1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1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1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1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18" s="115" t="str">
        <f aca="false">IF(IFERROR(INDEX(tsk_Name,(ROW()-ROW(MSPTasks[[#Headers],[ID]])))="",TRUE()),"",INDEX(tsk_PlanStart,(ROW()-ROW(MSPTasks[[#Headers],[ID]]))))</f>
        <v/>
      </c>
      <c r="P118" s="115" t="str">
        <f aca="false">IF(IFERROR(INDEX(tsk_Name,(ROW()-ROW(MSPTasks[[#Headers],[ID]])))="",TRUE()),"",INDEX(tsk_PlanFinish,(ROW()-ROW(MSPTasks[[#Headers],[ID]]))))</f>
        <v/>
      </c>
      <c r="Q11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1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1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1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1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1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1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1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1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18" s="24" t="str">
        <f aca="false">IF(IFERROR(INDEX(tsk_Name,(ROW()-ROW(MSPTasks[[#Headers],[ID]])))="",TRUE()),"",INDEX(tsk_Notes,(ROW()-ROW(MSPTasks[[#Headers],[ID]])))&amp;"")</f>
        <v/>
      </c>
    </row>
    <row r="119" customFormat="false" ht="15" hidden="false" customHeight="false" outlineLevel="0" collapsed="false">
      <c r="A119" s="24" t="str">
        <f aca="false">IF(IFERROR(INDEX(tsk_Name,(ROW()-ROW(MSPTasks[[#Headers],[ID]])))="",TRUE()),"",INDEX(tsk_ID,(ROW()-ROW(MSPTasks[[#Headers],[ID]]))))</f>
        <v/>
      </c>
      <c r="B119" s="24" t="str">
        <f aca="false">IF(IFERROR(INDEX(tsk_Name,(ROW()-ROW(MSPTasks[[#Headers],[ID]])))="",TRUE()),"",INDEX(tsk_UID,(ROW()-ROW(MSPTasks[[#Headers],[ID]]))))</f>
        <v/>
      </c>
      <c r="C119" s="24" t="str">
        <f aca="false">IF(IFERROR(INDEX(tsk_Name,(ROW()-ROW(MSPTasks[[#Headers],[ID]])))="",TRUE()),"",INDEX(tsk_Name,(ROW()-ROW(MSPTasks[[#Headers],[ID]]))))</f>
        <v/>
      </c>
      <c r="D119" s="24" t="str">
        <f aca="false">IF(IFERROR(INDEX(tsk_Name,(ROW()-ROW(MSPTasks[[#Headers],[ID]])))="",TRUE()),"",INDEX(tsk_Level,(ROW()-ROW(MSPTasks[[#Headers],[ID]]))))</f>
        <v/>
      </c>
      <c r="E119" s="24" t="str">
        <f aca="false">IF(IFERROR(INDEX(tsk_Name,(ROW()-ROW(MSPTasks[[#Headers],[ID]])))="",TRUE()),"",IF(INDEX(tsk_Mode,(ROW()-ROW(MSPTasks[[#Headers],[ID]])))="Manual","Manually Scheduled","Auto Scheduled"))</f>
        <v/>
      </c>
      <c r="F11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19" s="115" t="str">
        <f aca="false">IF(IFERROR(INDEX(tsk_Name,(ROW()-ROW(MSPTasks[[#Headers],[ID]])))="",TRUE()),"",INDEX(tsk_FcStart,(ROW()-ROW(MSPTasks[[#Headers],[ID]]))))</f>
        <v/>
      </c>
      <c r="H119" s="115" t="str">
        <f aca="false">IF(IFERROR(INDEX(tsk_Name,(ROW()-ROW(MSPTasks[[#Headers],[ID]])))="",TRUE()),"",INDEX(tsk_FcFinish,(ROW()-ROW(MSPTasks[[#Headers],[ID]]))))</f>
        <v/>
      </c>
      <c r="I11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1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1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1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1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1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19" s="115" t="str">
        <f aca="false">IF(IFERROR(INDEX(tsk_Name,(ROW()-ROW(MSPTasks[[#Headers],[ID]])))="",TRUE()),"",INDEX(tsk_PlanStart,(ROW()-ROW(MSPTasks[[#Headers],[ID]]))))</f>
        <v/>
      </c>
      <c r="P119" s="115" t="str">
        <f aca="false">IF(IFERROR(INDEX(tsk_Name,(ROW()-ROW(MSPTasks[[#Headers],[ID]])))="",TRUE()),"",INDEX(tsk_PlanFinish,(ROW()-ROW(MSPTasks[[#Headers],[ID]]))))</f>
        <v/>
      </c>
      <c r="Q11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1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1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1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1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1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1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1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1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19" s="24" t="str">
        <f aca="false">IF(IFERROR(INDEX(tsk_Name,(ROW()-ROW(MSPTasks[[#Headers],[ID]])))="",TRUE()),"",INDEX(tsk_Notes,(ROW()-ROW(MSPTasks[[#Headers],[ID]])))&amp;"")</f>
        <v/>
      </c>
    </row>
    <row r="120" customFormat="false" ht="15" hidden="false" customHeight="false" outlineLevel="0" collapsed="false">
      <c r="A120" s="24" t="str">
        <f aca="false">IF(IFERROR(INDEX(tsk_Name,(ROW()-ROW(MSPTasks[[#Headers],[ID]])))="",TRUE()),"",INDEX(tsk_ID,(ROW()-ROW(MSPTasks[[#Headers],[ID]]))))</f>
        <v/>
      </c>
      <c r="B120" s="24" t="str">
        <f aca="false">IF(IFERROR(INDEX(tsk_Name,(ROW()-ROW(MSPTasks[[#Headers],[ID]])))="",TRUE()),"",INDEX(tsk_UID,(ROW()-ROW(MSPTasks[[#Headers],[ID]]))))</f>
        <v/>
      </c>
      <c r="C120" s="24" t="str">
        <f aca="false">IF(IFERROR(INDEX(tsk_Name,(ROW()-ROW(MSPTasks[[#Headers],[ID]])))="",TRUE()),"",INDEX(tsk_Name,(ROW()-ROW(MSPTasks[[#Headers],[ID]]))))</f>
        <v/>
      </c>
      <c r="D120" s="24" t="str">
        <f aca="false">IF(IFERROR(INDEX(tsk_Name,(ROW()-ROW(MSPTasks[[#Headers],[ID]])))="",TRUE()),"",INDEX(tsk_Level,(ROW()-ROW(MSPTasks[[#Headers],[ID]]))))</f>
        <v/>
      </c>
      <c r="E120" s="24" t="str">
        <f aca="false">IF(IFERROR(INDEX(tsk_Name,(ROW()-ROW(MSPTasks[[#Headers],[ID]])))="",TRUE()),"",IF(INDEX(tsk_Mode,(ROW()-ROW(MSPTasks[[#Headers],[ID]])))="Manual","Manually Scheduled","Auto Scheduled"))</f>
        <v/>
      </c>
      <c r="F12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20" s="115" t="str">
        <f aca="false">IF(IFERROR(INDEX(tsk_Name,(ROW()-ROW(MSPTasks[[#Headers],[ID]])))="",TRUE()),"",INDEX(tsk_FcStart,(ROW()-ROW(MSPTasks[[#Headers],[ID]]))))</f>
        <v/>
      </c>
      <c r="H120" s="115" t="str">
        <f aca="false">IF(IFERROR(INDEX(tsk_Name,(ROW()-ROW(MSPTasks[[#Headers],[ID]])))="",TRUE()),"",INDEX(tsk_FcFinish,(ROW()-ROW(MSPTasks[[#Headers],[ID]]))))</f>
        <v/>
      </c>
      <c r="I12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2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2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2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2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2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20" s="115" t="str">
        <f aca="false">IF(IFERROR(INDEX(tsk_Name,(ROW()-ROW(MSPTasks[[#Headers],[ID]])))="",TRUE()),"",INDEX(tsk_PlanStart,(ROW()-ROW(MSPTasks[[#Headers],[ID]]))))</f>
        <v/>
      </c>
      <c r="P120" s="115" t="str">
        <f aca="false">IF(IFERROR(INDEX(tsk_Name,(ROW()-ROW(MSPTasks[[#Headers],[ID]])))="",TRUE()),"",INDEX(tsk_PlanFinish,(ROW()-ROW(MSPTasks[[#Headers],[ID]]))))</f>
        <v/>
      </c>
      <c r="Q12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2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2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2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2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2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2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2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2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20" s="24" t="str">
        <f aca="false">IF(IFERROR(INDEX(tsk_Name,(ROW()-ROW(MSPTasks[[#Headers],[ID]])))="",TRUE()),"",INDEX(tsk_Notes,(ROW()-ROW(MSPTasks[[#Headers],[ID]])))&amp;"")</f>
        <v/>
      </c>
    </row>
    <row r="121" customFormat="false" ht="15" hidden="false" customHeight="false" outlineLevel="0" collapsed="false">
      <c r="A121" s="24" t="str">
        <f aca="false">IF(IFERROR(INDEX(tsk_Name,(ROW()-ROW(MSPTasks[[#Headers],[ID]])))="",TRUE()),"",INDEX(tsk_ID,(ROW()-ROW(MSPTasks[[#Headers],[ID]]))))</f>
        <v/>
      </c>
      <c r="B121" s="24" t="str">
        <f aca="false">IF(IFERROR(INDEX(tsk_Name,(ROW()-ROW(MSPTasks[[#Headers],[ID]])))="",TRUE()),"",INDEX(tsk_UID,(ROW()-ROW(MSPTasks[[#Headers],[ID]]))))</f>
        <v/>
      </c>
      <c r="C121" s="24" t="str">
        <f aca="false">IF(IFERROR(INDEX(tsk_Name,(ROW()-ROW(MSPTasks[[#Headers],[ID]])))="",TRUE()),"",INDEX(tsk_Name,(ROW()-ROW(MSPTasks[[#Headers],[ID]]))))</f>
        <v/>
      </c>
      <c r="D121" s="24" t="str">
        <f aca="false">IF(IFERROR(INDEX(tsk_Name,(ROW()-ROW(MSPTasks[[#Headers],[ID]])))="",TRUE()),"",INDEX(tsk_Level,(ROW()-ROW(MSPTasks[[#Headers],[ID]]))))</f>
        <v/>
      </c>
      <c r="E121" s="24" t="str">
        <f aca="false">IF(IFERROR(INDEX(tsk_Name,(ROW()-ROW(MSPTasks[[#Headers],[ID]])))="",TRUE()),"",IF(INDEX(tsk_Mode,(ROW()-ROW(MSPTasks[[#Headers],[ID]])))="Manual","Manually Scheduled","Auto Scheduled"))</f>
        <v/>
      </c>
      <c r="F12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21" s="115" t="str">
        <f aca="false">IF(IFERROR(INDEX(tsk_Name,(ROW()-ROW(MSPTasks[[#Headers],[ID]])))="",TRUE()),"",INDEX(tsk_FcStart,(ROW()-ROW(MSPTasks[[#Headers],[ID]]))))</f>
        <v/>
      </c>
      <c r="H121" s="115" t="str">
        <f aca="false">IF(IFERROR(INDEX(tsk_Name,(ROW()-ROW(MSPTasks[[#Headers],[ID]])))="",TRUE()),"",INDEX(tsk_FcFinish,(ROW()-ROW(MSPTasks[[#Headers],[ID]]))))</f>
        <v/>
      </c>
      <c r="I12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2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2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2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2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2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21" s="115" t="str">
        <f aca="false">IF(IFERROR(INDEX(tsk_Name,(ROW()-ROW(MSPTasks[[#Headers],[ID]])))="",TRUE()),"",INDEX(tsk_PlanStart,(ROW()-ROW(MSPTasks[[#Headers],[ID]]))))</f>
        <v/>
      </c>
      <c r="P121" s="115" t="str">
        <f aca="false">IF(IFERROR(INDEX(tsk_Name,(ROW()-ROW(MSPTasks[[#Headers],[ID]])))="",TRUE()),"",INDEX(tsk_PlanFinish,(ROW()-ROW(MSPTasks[[#Headers],[ID]]))))</f>
        <v/>
      </c>
      <c r="Q12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2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2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2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2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2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2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2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2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21" s="24" t="str">
        <f aca="false">IF(IFERROR(INDEX(tsk_Name,(ROW()-ROW(MSPTasks[[#Headers],[ID]])))="",TRUE()),"",INDEX(tsk_Notes,(ROW()-ROW(MSPTasks[[#Headers],[ID]])))&amp;"")</f>
        <v/>
      </c>
    </row>
    <row r="122" customFormat="false" ht="15" hidden="false" customHeight="false" outlineLevel="0" collapsed="false">
      <c r="A122" s="24" t="str">
        <f aca="false">IF(IFERROR(INDEX(tsk_Name,(ROW()-ROW(MSPTasks[[#Headers],[ID]])))="",TRUE()),"",INDEX(tsk_ID,(ROW()-ROW(MSPTasks[[#Headers],[ID]]))))</f>
        <v/>
      </c>
      <c r="B122" s="24" t="str">
        <f aca="false">IF(IFERROR(INDEX(tsk_Name,(ROW()-ROW(MSPTasks[[#Headers],[ID]])))="",TRUE()),"",INDEX(tsk_UID,(ROW()-ROW(MSPTasks[[#Headers],[ID]]))))</f>
        <v/>
      </c>
      <c r="C122" s="24" t="str">
        <f aca="false">IF(IFERROR(INDEX(tsk_Name,(ROW()-ROW(MSPTasks[[#Headers],[ID]])))="",TRUE()),"",INDEX(tsk_Name,(ROW()-ROW(MSPTasks[[#Headers],[ID]]))))</f>
        <v/>
      </c>
      <c r="D122" s="24" t="str">
        <f aca="false">IF(IFERROR(INDEX(tsk_Name,(ROW()-ROW(MSPTasks[[#Headers],[ID]])))="",TRUE()),"",INDEX(tsk_Level,(ROW()-ROW(MSPTasks[[#Headers],[ID]]))))</f>
        <v/>
      </c>
      <c r="E122" s="24" t="str">
        <f aca="false">IF(IFERROR(INDEX(tsk_Name,(ROW()-ROW(MSPTasks[[#Headers],[ID]])))="",TRUE()),"",IF(INDEX(tsk_Mode,(ROW()-ROW(MSPTasks[[#Headers],[ID]])))="Manual","Manually Scheduled","Auto Scheduled"))</f>
        <v/>
      </c>
      <c r="F12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22" s="115" t="str">
        <f aca="false">IF(IFERROR(INDEX(tsk_Name,(ROW()-ROW(MSPTasks[[#Headers],[ID]])))="",TRUE()),"",INDEX(tsk_FcStart,(ROW()-ROW(MSPTasks[[#Headers],[ID]]))))</f>
        <v/>
      </c>
      <c r="H122" s="115" t="str">
        <f aca="false">IF(IFERROR(INDEX(tsk_Name,(ROW()-ROW(MSPTasks[[#Headers],[ID]])))="",TRUE()),"",INDEX(tsk_FcFinish,(ROW()-ROW(MSPTasks[[#Headers],[ID]]))))</f>
        <v/>
      </c>
      <c r="I12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2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2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2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2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2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22" s="115" t="str">
        <f aca="false">IF(IFERROR(INDEX(tsk_Name,(ROW()-ROW(MSPTasks[[#Headers],[ID]])))="",TRUE()),"",INDEX(tsk_PlanStart,(ROW()-ROW(MSPTasks[[#Headers],[ID]]))))</f>
        <v/>
      </c>
      <c r="P122" s="115" t="str">
        <f aca="false">IF(IFERROR(INDEX(tsk_Name,(ROW()-ROW(MSPTasks[[#Headers],[ID]])))="",TRUE()),"",INDEX(tsk_PlanFinish,(ROW()-ROW(MSPTasks[[#Headers],[ID]]))))</f>
        <v/>
      </c>
      <c r="Q12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2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2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2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2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2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2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2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2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22" s="24" t="str">
        <f aca="false">IF(IFERROR(INDEX(tsk_Name,(ROW()-ROW(MSPTasks[[#Headers],[ID]])))="",TRUE()),"",INDEX(tsk_Notes,(ROW()-ROW(MSPTasks[[#Headers],[ID]])))&amp;"")</f>
        <v/>
      </c>
    </row>
    <row r="123" customFormat="false" ht="15" hidden="false" customHeight="false" outlineLevel="0" collapsed="false">
      <c r="A123" s="24" t="str">
        <f aca="false">IF(IFERROR(INDEX(tsk_Name,(ROW()-ROW(MSPTasks[[#Headers],[ID]])))="",TRUE()),"",INDEX(tsk_ID,(ROW()-ROW(MSPTasks[[#Headers],[ID]]))))</f>
        <v/>
      </c>
      <c r="B123" s="24" t="str">
        <f aca="false">IF(IFERROR(INDEX(tsk_Name,(ROW()-ROW(MSPTasks[[#Headers],[ID]])))="",TRUE()),"",INDEX(tsk_UID,(ROW()-ROW(MSPTasks[[#Headers],[ID]]))))</f>
        <v/>
      </c>
      <c r="C123" s="24" t="str">
        <f aca="false">IF(IFERROR(INDEX(tsk_Name,(ROW()-ROW(MSPTasks[[#Headers],[ID]])))="",TRUE()),"",INDEX(tsk_Name,(ROW()-ROW(MSPTasks[[#Headers],[ID]]))))</f>
        <v/>
      </c>
      <c r="D123" s="24" t="str">
        <f aca="false">IF(IFERROR(INDEX(tsk_Name,(ROW()-ROW(MSPTasks[[#Headers],[ID]])))="",TRUE()),"",INDEX(tsk_Level,(ROW()-ROW(MSPTasks[[#Headers],[ID]]))))</f>
        <v/>
      </c>
      <c r="E123" s="24" t="str">
        <f aca="false">IF(IFERROR(INDEX(tsk_Name,(ROW()-ROW(MSPTasks[[#Headers],[ID]])))="",TRUE()),"",IF(INDEX(tsk_Mode,(ROW()-ROW(MSPTasks[[#Headers],[ID]])))="Manual","Manually Scheduled","Auto Scheduled"))</f>
        <v/>
      </c>
      <c r="F12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23" s="115" t="str">
        <f aca="false">IF(IFERROR(INDEX(tsk_Name,(ROW()-ROW(MSPTasks[[#Headers],[ID]])))="",TRUE()),"",INDEX(tsk_FcStart,(ROW()-ROW(MSPTasks[[#Headers],[ID]]))))</f>
        <v/>
      </c>
      <c r="H123" s="115" t="str">
        <f aca="false">IF(IFERROR(INDEX(tsk_Name,(ROW()-ROW(MSPTasks[[#Headers],[ID]])))="",TRUE()),"",INDEX(tsk_FcFinish,(ROW()-ROW(MSPTasks[[#Headers],[ID]]))))</f>
        <v/>
      </c>
      <c r="I12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2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2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2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2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2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23" s="115" t="str">
        <f aca="false">IF(IFERROR(INDEX(tsk_Name,(ROW()-ROW(MSPTasks[[#Headers],[ID]])))="",TRUE()),"",INDEX(tsk_PlanStart,(ROW()-ROW(MSPTasks[[#Headers],[ID]]))))</f>
        <v/>
      </c>
      <c r="P123" s="115" t="str">
        <f aca="false">IF(IFERROR(INDEX(tsk_Name,(ROW()-ROW(MSPTasks[[#Headers],[ID]])))="",TRUE()),"",INDEX(tsk_PlanFinish,(ROW()-ROW(MSPTasks[[#Headers],[ID]]))))</f>
        <v/>
      </c>
      <c r="Q12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2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2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2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2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2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2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2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2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23" s="24" t="str">
        <f aca="false">IF(IFERROR(INDEX(tsk_Name,(ROW()-ROW(MSPTasks[[#Headers],[ID]])))="",TRUE()),"",INDEX(tsk_Notes,(ROW()-ROW(MSPTasks[[#Headers],[ID]])))&amp;"")</f>
        <v/>
      </c>
    </row>
    <row r="124" customFormat="false" ht="15" hidden="false" customHeight="false" outlineLevel="0" collapsed="false">
      <c r="A124" s="24" t="str">
        <f aca="false">IF(IFERROR(INDEX(tsk_Name,(ROW()-ROW(MSPTasks[[#Headers],[ID]])))="",TRUE()),"",INDEX(tsk_ID,(ROW()-ROW(MSPTasks[[#Headers],[ID]]))))</f>
        <v/>
      </c>
      <c r="B124" s="24" t="str">
        <f aca="false">IF(IFERROR(INDEX(tsk_Name,(ROW()-ROW(MSPTasks[[#Headers],[ID]])))="",TRUE()),"",INDEX(tsk_UID,(ROW()-ROW(MSPTasks[[#Headers],[ID]]))))</f>
        <v/>
      </c>
      <c r="C124" s="24" t="str">
        <f aca="false">IF(IFERROR(INDEX(tsk_Name,(ROW()-ROW(MSPTasks[[#Headers],[ID]])))="",TRUE()),"",INDEX(tsk_Name,(ROW()-ROW(MSPTasks[[#Headers],[ID]]))))</f>
        <v/>
      </c>
      <c r="D124" s="24" t="str">
        <f aca="false">IF(IFERROR(INDEX(tsk_Name,(ROW()-ROW(MSPTasks[[#Headers],[ID]])))="",TRUE()),"",INDEX(tsk_Level,(ROW()-ROW(MSPTasks[[#Headers],[ID]]))))</f>
        <v/>
      </c>
      <c r="E124" s="24" t="str">
        <f aca="false">IF(IFERROR(INDEX(tsk_Name,(ROW()-ROW(MSPTasks[[#Headers],[ID]])))="",TRUE()),"",IF(INDEX(tsk_Mode,(ROW()-ROW(MSPTasks[[#Headers],[ID]])))="Manual","Manually Scheduled","Auto Scheduled"))</f>
        <v/>
      </c>
      <c r="F12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24" s="115" t="str">
        <f aca="false">IF(IFERROR(INDEX(tsk_Name,(ROW()-ROW(MSPTasks[[#Headers],[ID]])))="",TRUE()),"",INDEX(tsk_FcStart,(ROW()-ROW(MSPTasks[[#Headers],[ID]]))))</f>
        <v/>
      </c>
      <c r="H124" s="115" t="str">
        <f aca="false">IF(IFERROR(INDEX(tsk_Name,(ROW()-ROW(MSPTasks[[#Headers],[ID]])))="",TRUE()),"",INDEX(tsk_FcFinish,(ROW()-ROW(MSPTasks[[#Headers],[ID]]))))</f>
        <v/>
      </c>
      <c r="I12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2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2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2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2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2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24" s="115" t="str">
        <f aca="false">IF(IFERROR(INDEX(tsk_Name,(ROW()-ROW(MSPTasks[[#Headers],[ID]])))="",TRUE()),"",INDEX(tsk_PlanStart,(ROW()-ROW(MSPTasks[[#Headers],[ID]]))))</f>
        <v/>
      </c>
      <c r="P124" s="115" t="str">
        <f aca="false">IF(IFERROR(INDEX(tsk_Name,(ROW()-ROW(MSPTasks[[#Headers],[ID]])))="",TRUE()),"",INDEX(tsk_PlanFinish,(ROW()-ROW(MSPTasks[[#Headers],[ID]]))))</f>
        <v/>
      </c>
      <c r="Q12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2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2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2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2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2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2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2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2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24" s="24" t="str">
        <f aca="false">IF(IFERROR(INDEX(tsk_Name,(ROW()-ROW(MSPTasks[[#Headers],[ID]])))="",TRUE()),"",INDEX(tsk_Notes,(ROW()-ROW(MSPTasks[[#Headers],[ID]])))&amp;"")</f>
        <v/>
      </c>
    </row>
    <row r="125" customFormat="false" ht="15" hidden="false" customHeight="false" outlineLevel="0" collapsed="false">
      <c r="A125" s="24" t="str">
        <f aca="false">IF(IFERROR(INDEX(tsk_Name,(ROW()-ROW(MSPTasks[[#Headers],[ID]])))="",TRUE()),"",INDEX(tsk_ID,(ROW()-ROW(MSPTasks[[#Headers],[ID]]))))</f>
        <v/>
      </c>
      <c r="B125" s="24" t="str">
        <f aca="false">IF(IFERROR(INDEX(tsk_Name,(ROW()-ROW(MSPTasks[[#Headers],[ID]])))="",TRUE()),"",INDEX(tsk_UID,(ROW()-ROW(MSPTasks[[#Headers],[ID]]))))</f>
        <v/>
      </c>
      <c r="C125" s="24" t="str">
        <f aca="false">IF(IFERROR(INDEX(tsk_Name,(ROW()-ROW(MSPTasks[[#Headers],[ID]])))="",TRUE()),"",INDEX(tsk_Name,(ROW()-ROW(MSPTasks[[#Headers],[ID]]))))</f>
        <v/>
      </c>
      <c r="D125" s="24" t="str">
        <f aca="false">IF(IFERROR(INDEX(tsk_Name,(ROW()-ROW(MSPTasks[[#Headers],[ID]])))="",TRUE()),"",INDEX(tsk_Level,(ROW()-ROW(MSPTasks[[#Headers],[ID]]))))</f>
        <v/>
      </c>
      <c r="E125" s="24" t="str">
        <f aca="false">IF(IFERROR(INDEX(tsk_Name,(ROW()-ROW(MSPTasks[[#Headers],[ID]])))="",TRUE()),"",IF(INDEX(tsk_Mode,(ROW()-ROW(MSPTasks[[#Headers],[ID]])))="Manual","Manually Scheduled","Auto Scheduled"))</f>
        <v/>
      </c>
      <c r="F12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25" s="115" t="str">
        <f aca="false">IF(IFERROR(INDEX(tsk_Name,(ROW()-ROW(MSPTasks[[#Headers],[ID]])))="",TRUE()),"",INDEX(tsk_FcStart,(ROW()-ROW(MSPTasks[[#Headers],[ID]]))))</f>
        <v/>
      </c>
      <c r="H125" s="115" t="str">
        <f aca="false">IF(IFERROR(INDEX(tsk_Name,(ROW()-ROW(MSPTasks[[#Headers],[ID]])))="",TRUE()),"",INDEX(tsk_FcFinish,(ROW()-ROW(MSPTasks[[#Headers],[ID]]))))</f>
        <v/>
      </c>
      <c r="I12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2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2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2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2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2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25" s="115" t="str">
        <f aca="false">IF(IFERROR(INDEX(tsk_Name,(ROW()-ROW(MSPTasks[[#Headers],[ID]])))="",TRUE()),"",INDEX(tsk_PlanStart,(ROW()-ROW(MSPTasks[[#Headers],[ID]]))))</f>
        <v/>
      </c>
      <c r="P125" s="115" t="str">
        <f aca="false">IF(IFERROR(INDEX(tsk_Name,(ROW()-ROW(MSPTasks[[#Headers],[ID]])))="",TRUE()),"",INDEX(tsk_PlanFinish,(ROW()-ROW(MSPTasks[[#Headers],[ID]]))))</f>
        <v/>
      </c>
      <c r="Q12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2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2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2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2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2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2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2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2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25" s="24" t="str">
        <f aca="false">IF(IFERROR(INDEX(tsk_Name,(ROW()-ROW(MSPTasks[[#Headers],[ID]])))="",TRUE()),"",INDEX(tsk_Notes,(ROW()-ROW(MSPTasks[[#Headers],[ID]])))&amp;"")</f>
        <v/>
      </c>
    </row>
    <row r="126" customFormat="false" ht="15" hidden="false" customHeight="false" outlineLevel="0" collapsed="false">
      <c r="A126" s="24" t="str">
        <f aca="false">IF(IFERROR(INDEX(tsk_Name,(ROW()-ROW(MSPTasks[[#Headers],[ID]])))="",TRUE()),"",INDEX(tsk_ID,(ROW()-ROW(MSPTasks[[#Headers],[ID]]))))</f>
        <v/>
      </c>
      <c r="B126" s="24" t="str">
        <f aca="false">IF(IFERROR(INDEX(tsk_Name,(ROW()-ROW(MSPTasks[[#Headers],[ID]])))="",TRUE()),"",INDEX(tsk_UID,(ROW()-ROW(MSPTasks[[#Headers],[ID]]))))</f>
        <v/>
      </c>
      <c r="C126" s="24" t="str">
        <f aca="false">IF(IFERROR(INDEX(tsk_Name,(ROW()-ROW(MSPTasks[[#Headers],[ID]])))="",TRUE()),"",INDEX(tsk_Name,(ROW()-ROW(MSPTasks[[#Headers],[ID]]))))</f>
        <v/>
      </c>
      <c r="D126" s="24" t="str">
        <f aca="false">IF(IFERROR(INDEX(tsk_Name,(ROW()-ROW(MSPTasks[[#Headers],[ID]])))="",TRUE()),"",INDEX(tsk_Level,(ROW()-ROW(MSPTasks[[#Headers],[ID]]))))</f>
        <v/>
      </c>
      <c r="E126" s="24" t="str">
        <f aca="false">IF(IFERROR(INDEX(tsk_Name,(ROW()-ROW(MSPTasks[[#Headers],[ID]])))="",TRUE()),"",IF(INDEX(tsk_Mode,(ROW()-ROW(MSPTasks[[#Headers],[ID]])))="Manual","Manually Scheduled","Auto Scheduled"))</f>
        <v/>
      </c>
      <c r="F12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26" s="115" t="str">
        <f aca="false">IF(IFERROR(INDEX(tsk_Name,(ROW()-ROW(MSPTasks[[#Headers],[ID]])))="",TRUE()),"",INDEX(tsk_FcStart,(ROW()-ROW(MSPTasks[[#Headers],[ID]]))))</f>
        <v/>
      </c>
      <c r="H126" s="115" t="str">
        <f aca="false">IF(IFERROR(INDEX(tsk_Name,(ROW()-ROW(MSPTasks[[#Headers],[ID]])))="",TRUE()),"",INDEX(tsk_FcFinish,(ROW()-ROW(MSPTasks[[#Headers],[ID]]))))</f>
        <v/>
      </c>
      <c r="I12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2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2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2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2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2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26" s="115" t="str">
        <f aca="false">IF(IFERROR(INDEX(tsk_Name,(ROW()-ROW(MSPTasks[[#Headers],[ID]])))="",TRUE()),"",INDEX(tsk_PlanStart,(ROW()-ROW(MSPTasks[[#Headers],[ID]]))))</f>
        <v/>
      </c>
      <c r="P126" s="115" t="str">
        <f aca="false">IF(IFERROR(INDEX(tsk_Name,(ROW()-ROW(MSPTasks[[#Headers],[ID]])))="",TRUE()),"",INDEX(tsk_PlanFinish,(ROW()-ROW(MSPTasks[[#Headers],[ID]]))))</f>
        <v/>
      </c>
      <c r="Q12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2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2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2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2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2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2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2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2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26" s="24" t="str">
        <f aca="false">IF(IFERROR(INDEX(tsk_Name,(ROW()-ROW(MSPTasks[[#Headers],[ID]])))="",TRUE()),"",INDEX(tsk_Notes,(ROW()-ROW(MSPTasks[[#Headers],[ID]])))&amp;"")</f>
        <v/>
      </c>
    </row>
    <row r="127" customFormat="false" ht="15" hidden="false" customHeight="false" outlineLevel="0" collapsed="false">
      <c r="A127" s="24" t="str">
        <f aca="false">IF(IFERROR(INDEX(tsk_Name,(ROW()-ROW(MSPTasks[[#Headers],[ID]])))="",TRUE()),"",INDEX(tsk_ID,(ROW()-ROW(MSPTasks[[#Headers],[ID]]))))</f>
        <v/>
      </c>
      <c r="B127" s="24" t="str">
        <f aca="false">IF(IFERROR(INDEX(tsk_Name,(ROW()-ROW(MSPTasks[[#Headers],[ID]])))="",TRUE()),"",INDEX(tsk_UID,(ROW()-ROW(MSPTasks[[#Headers],[ID]]))))</f>
        <v/>
      </c>
      <c r="C127" s="24" t="str">
        <f aca="false">IF(IFERROR(INDEX(tsk_Name,(ROW()-ROW(MSPTasks[[#Headers],[ID]])))="",TRUE()),"",INDEX(tsk_Name,(ROW()-ROW(MSPTasks[[#Headers],[ID]]))))</f>
        <v/>
      </c>
      <c r="D127" s="24" t="str">
        <f aca="false">IF(IFERROR(INDEX(tsk_Name,(ROW()-ROW(MSPTasks[[#Headers],[ID]])))="",TRUE()),"",INDEX(tsk_Level,(ROW()-ROW(MSPTasks[[#Headers],[ID]]))))</f>
        <v/>
      </c>
      <c r="E127" s="24" t="str">
        <f aca="false">IF(IFERROR(INDEX(tsk_Name,(ROW()-ROW(MSPTasks[[#Headers],[ID]])))="",TRUE()),"",IF(INDEX(tsk_Mode,(ROW()-ROW(MSPTasks[[#Headers],[ID]])))="Manual","Manually Scheduled","Auto Scheduled"))</f>
        <v/>
      </c>
      <c r="F12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27" s="115" t="str">
        <f aca="false">IF(IFERROR(INDEX(tsk_Name,(ROW()-ROW(MSPTasks[[#Headers],[ID]])))="",TRUE()),"",INDEX(tsk_FcStart,(ROW()-ROW(MSPTasks[[#Headers],[ID]]))))</f>
        <v/>
      </c>
      <c r="H127" s="115" t="str">
        <f aca="false">IF(IFERROR(INDEX(tsk_Name,(ROW()-ROW(MSPTasks[[#Headers],[ID]])))="",TRUE()),"",INDEX(tsk_FcFinish,(ROW()-ROW(MSPTasks[[#Headers],[ID]]))))</f>
        <v/>
      </c>
      <c r="I12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2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2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2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2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2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27" s="115" t="str">
        <f aca="false">IF(IFERROR(INDEX(tsk_Name,(ROW()-ROW(MSPTasks[[#Headers],[ID]])))="",TRUE()),"",INDEX(tsk_PlanStart,(ROW()-ROW(MSPTasks[[#Headers],[ID]]))))</f>
        <v/>
      </c>
      <c r="P127" s="115" t="str">
        <f aca="false">IF(IFERROR(INDEX(tsk_Name,(ROW()-ROW(MSPTasks[[#Headers],[ID]])))="",TRUE()),"",INDEX(tsk_PlanFinish,(ROW()-ROW(MSPTasks[[#Headers],[ID]]))))</f>
        <v/>
      </c>
      <c r="Q12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2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2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2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2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2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2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2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2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27" s="24" t="str">
        <f aca="false">IF(IFERROR(INDEX(tsk_Name,(ROW()-ROW(MSPTasks[[#Headers],[ID]])))="",TRUE()),"",INDEX(tsk_Notes,(ROW()-ROW(MSPTasks[[#Headers],[ID]])))&amp;"")</f>
        <v/>
      </c>
    </row>
    <row r="128" customFormat="false" ht="15" hidden="false" customHeight="false" outlineLevel="0" collapsed="false">
      <c r="A128" s="24" t="str">
        <f aca="false">IF(IFERROR(INDEX(tsk_Name,(ROW()-ROW(MSPTasks[[#Headers],[ID]])))="",TRUE()),"",INDEX(tsk_ID,(ROW()-ROW(MSPTasks[[#Headers],[ID]]))))</f>
        <v/>
      </c>
      <c r="B128" s="24" t="str">
        <f aca="false">IF(IFERROR(INDEX(tsk_Name,(ROW()-ROW(MSPTasks[[#Headers],[ID]])))="",TRUE()),"",INDEX(tsk_UID,(ROW()-ROW(MSPTasks[[#Headers],[ID]]))))</f>
        <v/>
      </c>
      <c r="C128" s="24" t="str">
        <f aca="false">IF(IFERROR(INDEX(tsk_Name,(ROW()-ROW(MSPTasks[[#Headers],[ID]])))="",TRUE()),"",INDEX(tsk_Name,(ROW()-ROW(MSPTasks[[#Headers],[ID]]))))</f>
        <v/>
      </c>
      <c r="D128" s="24" t="str">
        <f aca="false">IF(IFERROR(INDEX(tsk_Name,(ROW()-ROW(MSPTasks[[#Headers],[ID]])))="",TRUE()),"",INDEX(tsk_Level,(ROW()-ROW(MSPTasks[[#Headers],[ID]]))))</f>
        <v/>
      </c>
      <c r="E128" s="24" t="str">
        <f aca="false">IF(IFERROR(INDEX(tsk_Name,(ROW()-ROW(MSPTasks[[#Headers],[ID]])))="",TRUE()),"",IF(INDEX(tsk_Mode,(ROW()-ROW(MSPTasks[[#Headers],[ID]])))="Manual","Manually Scheduled","Auto Scheduled"))</f>
        <v/>
      </c>
      <c r="F12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28" s="115" t="str">
        <f aca="false">IF(IFERROR(INDEX(tsk_Name,(ROW()-ROW(MSPTasks[[#Headers],[ID]])))="",TRUE()),"",INDEX(tsk_FcStart,(ROW()-ROW(MSPTasks[[#Headers],[ID]]))))</f>
        <v/>
      </c>
      <c r="H128" s="115" t="str">
        <f aca="false">IF(IFERROR(INDEX(tsk_Name,(ROW()-ROW(MSPTasks[[#Headers],[ID]])))="",TRUE()),"",INDEX(tsk_FcFinish,(ROW()-ROW(MSPTasks[[#Headers],[ID]]))))</f>
        <v/>
      </c>
      <c r="I12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2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2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2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2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2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28" s="115" t="str">
        <f aca="false">IF(IFERROR(INDEX(tsk_Name,(ROW()-ROW(MSPTasks[[#Headers],[ID]])))="",TRUE()),"",INDEX(tsk_PlanStart,(ROW()-ROW(MSPTasks[[#Headers],[ID]]))))</f>
        <v/>
      </c>
      <c r="P128" s="115" t="str">
        <f aca="false">IF(IFERROR(INDEX(tsk_Name,(ROW()-ROW(MSPTasks[[#Headers],[ID]])))="",TRUE()),"",INDEX(tsk_PlanFinish,(ROW()-ROW(MSPTasks[[#Headers],[ID]]))))</f>
        <v/>
      </c>
      <c r="Q12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2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2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2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2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2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2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2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2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28" s="24" t="str">
        <f aca="false">IF(IFERROR(INDEX(tsk_Name,(ROW()-ROW(MSPTasks[[#Headers],[ID]])))="",TRUE()),"",INDEX(tsk_Notes,(ROW()-ROW(MSPTasks[[#Headers],[ID]])))&amp;"")</f>
        <v/>
      </c>
    </row>
    <row r="129" customFormat="false" ht="15" hidden="false" customHeight="false" outlineLevel="0" collapsed="false">
      <c r="A129" s="24" t="str">
        <f aca="false">IF(IFERROR(INDEX(tsk_Name,(ROW()-ROW(MSPTasks[[#Headers],[ID]])))="",TRUE()),"",INDEX(tsk_ID,(ROW()-ROW(MSPTasks[[#Headers],[ID]]))))</f>
        <v/>
      </c>
      <c r="B129" s="24" t="str">
        <f aca="false">IF(IFERROR(INDEX(tsk_Name,(ROW()-ROW(MSPTasks[[#Headers],[ID]])))="",TRUE()),"",INDEX(tsk_UID,(ROW()-ROW(MSPTasks[[#Headers],[ID]]))))</f>
        <v/>
      </c>
      <c r="C129" s="24" t="str">
        <f aca="false">IF(IFERROR(INDEX(tsk_Name,(ROW()-ROW(MSPTasks[[#Headers],[ID]])))="",TRUE()),"",INDEX(tsk_Name,(ROW()-ROW(MSPTasks[[#Headers],[ID]]))))</f>
        <v/>
      </c>
      <c r="D129" s="24" t="str">
        <f aca="false">IF(IFERROR(INDEX(tsk_Name,(ROW()-ROW(MSPTasks[[#Headers],[ID]])))="",TRUE()),"",INDEX(tsk_Level,(ROW()-ROW(MSPTasks[[#Headers],[ID]]))))</f>
        <v/>
      </c>
      <c r="E129" s="24" t="str">
        <f aca="false">IF(IFERROR(INDEX(tsk_Name,(ROW()-ROW(MSPTasks[[#Headers],[ID]])))="",TRUE()),"",IF(INDEX(tsk_Mode,(ROW()-ROW(MSPTasks[[#Headers],[ID]])))="Manual","Manually Scheduled","Auto Scheduled"))</f>
        <v/>
      </c>
      <c r="F12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29" s="115" t="str">
        <f aca="false">IF(IFERROR(INDEX(tsk_Name,(ROW()-ROW(MSPTasks[[#Headers],[ID]])))="",TRUE()),"",INDEX(tsk_FcStart,(ROW()-ROW(MSPTasks[[#Headers],[ID]]))))</f>
        <v/>
      </c>
      <c r="H129" s="115" t="str">
        <f aca="false">IF(IFERROR(INDEX(tsk_Name,(ROW()-ROW(MSPTasks[[#Headers],[ID]])))="",TRUE()),"",INDEX(tsk_FcFinish,(ROW()-ROW(MSPTasks[[#Headers],[ID]]))))</f>
        <v/>
      </c>
      <c r="I12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2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2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2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2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2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29" s="115" t="str">
        <f aca="false">IF(IFERROR(INDEX(tsk_Name,(ROW()-ROW(MSPTasks[[#Headers],[ID]])))="",TRUE()),"",INDEX(tsk_PlanStart,(ROW()-ROW(MSPTasks[[#Headers],[ID]]))))</f>
        <v/>
      </c>
      <c r="P129" s="115" t="str">
        <f aca="false">IF(IFERROR(INDEX(tsk_Name,(ROW()-ROW(MSPTasks[[#Headers],[ID]])))="",TRUE()),"",INDEX(tsk_PlanFinish,(ROW()-ROW(MSPTasks[[#Headers],[ID]]))))</f>
        <v/>
      </c>
      <c r="Q12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2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2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2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2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2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2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2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2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29" s="24" t="str">
        <f aca="false">IF(IFERROR(INDEX(tsk_Name,(ROW()-ROW(MSPTasks[[#Headers],[ID]])))="",TRUE()),"",INDEX(tsk_Notes,(ROW()-ROW(MSPTasks[[#Headers],[ID]])))&amp;"")</f>
        <v/>
      </c>
    </row>
    <row r="130" customFormat="false" ht="15" hidden="false" customHeight="false" outlineLevel="0" collapsed="false">
      <c r="A130" s="24" t="str">
        <f aca="false">IF(IFERROR(INDEX(tsk_Name,(ROW()-ROW(MSPTasks[[#Headers],[ID]])))="",TRUE()),"",INDEX(tsk_ID,(ROW()-ROW(MSPTasks[[#Headers],[ID]]))))</f>
        <v/>
      </c>
      <c r="B130" s="24" t="str">
        <f aca="false">IF(IFERROR(INDEX(tsk_Name,(ROW()-ROW(MSPTasks[[#Headers],[ID]])))="",TRUE()),"",INDEX(tsk_UID,(ROW()-ROW(MSPTasks[[#Headers],[ID]]))))</f>
        <v/>
      </c>
      <c r="C130" s="24" t="str">
        <f aca="false">IF(IFERROR(INDEX(tsk_Name,(ROW()-ROW(MSPTasks[[#Headers],[ID]])))="",TRUE()),"",INDEX(tsk_Name,(ROW()-ROW(MSPTasks[[#Headers],[ID]]))))</f>
        <v/>
      </c>
      <c r="D130" s="24" t="str">
        <f aca="false">IF(IFERROR(INDEX(tsk_Name,(ROW()-ROW(MSPTasks[[#Headers],[ID]])))="",TRUE()),"",INDEX(tsk_Level,(ROW()-ROW(MSPTasks[[#Headers],[ID]]))))</f>
        <v/>
      </c>
      <c r="E130" s="24" t="str">
        <f aca="false">IF(IFERROR(INDEX(tsk_Name,(ROW()-ROW(MSPTasks[[#Headers],[ID]])))="",TRUE()),"",IF(INDEX(tsk_Mode,(ROW()-ROW(MSPTasks[[#Headers],[ID]])))="Manual","Manually Scheduled","Auto Scheduled"))</f>
        <v/>
      </c>
      <c r="F13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30" s="115" t="str">
        <f aca="false">IF(IFERROR(INDEX(tsk_Name,(ROW()-ROW(MSPTasks[[#Headers],[ID]])))="",TRUE()),"",INDEX(tsk_FcStart,(ROW()-ROW(MSPTasks[[#Headers],[ID]]))))</f>
        <v/>
      </c>
      <c r="H130" s="115" t="str">
        <f aca="false">IF(IFERROR(INDEX(tsk_Name,(ROW()-ROW(MSPTasks[[#Headers],[ID]])))="",TRUE()),"",INDEX(tsk_FcFinish,(ROW()-ROW(MSPTasks[[#Headers],[ID]]))))</f>
        <v/>
      </c>
      <c r="I13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3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3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3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3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3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30" s="115" t="str">
        <f aca="false">IF(IFERROR(INDEX(tsk_Name,(ROW()-ROW(MSPTasks[[#Headers],[ID]])))="",TRUE()),"",INDEX(tsk_PlanStart,(ROW()-ROW(MSPTasks[[#Headers],[ID]]))))</f>
        <v/>
      </c>
      <c r="P130" s="115" t="str">
        <f aca="false">IF(IFERROR(INDEX(tsk_Name,(ROW()-ROW(MSPTasks[[#Headers],[ID]])))="",TRUE()),"",INDEX(tsk_PlanFinish,(ROW()-ROW(MSPTasks[[#Headers],[ID]]))))</f>
        <v/>
      </c>
      <c r="Q13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3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3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3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3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3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3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3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3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30" s="24" t="str">
        <f aca="false">IF(IFERROR(INDEX(tsk_Name,(ROW()-ROW(MSPTasks[[#Headers],[ID]])))="",TRUE()),"",INDEX(tsk_Notes,(ROW()-ROW(MSPTasks[[#Headers],[ID]])))&amp;"")</f>
        <v/>
      </c>
    </row>
    <row r="131" customFormat="false" ht="15" hidden="false" customHeight="false" outlineLevel="0" collapsed="false">
      <c r="A131" s="24" t="str">
        <f aca="false">IF(IFERROR(INDEX(tsk_Name,(ROW()-ROW(MSPTasks[[#Headers],[ID]])))="",TRUE()),"",INDEX(tsk_ID,(ROW()-ROW(MSPTasks[[#Headers],[ID]]))))</f>
        <v/>
      </c>
      <c r="B131" s="24" t="str">
        <f aca="false">IF(IFERROR(INDEX(tsk_Name,(ROW()-ROW(MSPTasks[[#Headers],[ID]])))="",TRUE()),"",INDEX(tsk_UID,(ROW()-ROW(MSPTasks[[#Headers],[ID]]))))</f>
        <v/>
      </c>
      <c r="C131" s="24" t="str">
        <f aca="false">IF(IFERROR(INDEX(tsk_Name,(ROW()-ROW(MSPTasks[[#Headers],[ID]])))="",TRUE()),"",INDEX(tsk_Name,(ROW()-ROW(MSPTasks[[#Headers],[ID]]))))</f>
        <v/>
      </c>
      <c r="D131" s="24" t="str">
        <f aca="false">IF(IFERROR(INDEX(tsk_Name,(ROW()-ROW(MSPTasks[[#Headers],[ID]])))="",TRUE()),"",INDEX(tsk_Level,(ROW()-ROW(MSPTasks[[#Headers],[ID]]))))</f>
        <v/>
      </c>
      <c r="E131" s="24" t="str">
        <f aca="false">IF(IFERROR(INDEX(tsk_Name,(ROW()-ROW(MSPTasks[[#Headers],[ID]])))="",TRUE()),"",IF(INDEX(tsk_Mode,(ROW()-ROW(MSPTasks[[#Headers],[ID]])))="Manual","Manually Scheduled","Auto Scheduled"))</f>
        <v/>
      </c>
      <c r="F13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31" s="115" t="str">
        <f aca="false">IF(IFERROR(INDEX(tsk_Name,(ROW()-ROW(MSPTasks[[#Headers],[ID]])))="",TRUE()),"",INDEX(tsk_FcStart,(ROW()-ROW(MSPTasks[[#Headers],[ID]]))))</f>
        <v/>
      </c>
      <c r="H131" s="115" t="str">
        <f aca="false">IF(IFERROR(INDEX(tsk_Name,(ROW()-ROW(MSPTasks[[#Headers],[ID]])))="",TRUE()),"",INDEX(tsk_FcFinish,(ROW()-ROW(MSPTasks[[#Headers],[ID]]))))</f>
        <v/>
      </c>
      <c r="I13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3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3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3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3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3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31" s="115" t="str">
        <f aca="false">IF(IFERROR(INDEX(tsk_Name,(ROW()-ROW(MSPTasks[[#Headers],[ID]])))="",TRUE()),"",INDEX(tsk_PlanStart,(ROW()-ROW(MSPTasks[[#Headers],[ID]]))))</f>
        <v/>
      </c>
      <c r="P131" s="115" t="str">
        <f aca="false">IF(IFERROR(INDEX(tsk_Name,(ROW()-ROW(MSPTasks[[#Headers],[ID]])))="",TRUE()),"",INDEX(tsk_PlanFinish,(ROW()-ROW(MSPTasks[[#Headers],[ID]]))))</f>
        <v/>
      </c>
      <c r="Q13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3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3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3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3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3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3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3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3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31" s="24" t="str">
        <f aca="false">IF(IFERROR(INDEX(tsk_Name,(ROW()-ROW(MSPTasks[[#Headers],[ID]])))="",TRUE()),"",INDEX(tsk_Notes,(ROW()-ROW(MSPTasks[[#Headers],[ID]])))&amp;"")</f>
        <v/>
      </c>
    </row>
    <row r="132" customFormat="false" ht="15" hidden="false" customHeight="false" outlineLevel="0" collapsed="false">
      <c r="A132" s="24" t="str">
        <f aca="false">IF(IFERROR(INDEX(tsk_Name,(ROW()-ROW(MSPTasks[[#Headers],[ID]])))="",TRUE()),"",INDEX(tsk_ID,(ROW()-ROW(MSPTasks[[#Headers],[ID]]))))</f>
        <v/>
      </c>
      <c r="B132" s="24" t="str">
        <f aca="false">IF(IFERROR(INDEX(tsk_Name,(ROW()-ROW(MSPTasks[[#Headers],[ID]])))="",TRUE()),"",INDEX(tsk_UID,(ROW()-ROW(MSPTasks[[#Headers],[ID]]))))</f>
        <v/>
      </c>
      <c r="C132" s="24" t="str">
        <f aca="false">IF(IFERROR(INDEX(tsk_Name,(ROW()-ROW(MSPTasks[[#Headers],[ID]])))="",TRUE()),"",INDEX(tsk_Name,(ROW()-ROW(MSPTasks[[#Headers],[ID]]))))</f>
        <v/>
      </c>
      <c r="D132" s="24" t="str">
        <f aca="false">IF(IFERROR(INDEX(tsk_Name,(ROW()-ROW(MSPTasks[[#Headers],[ID]])))="",TRUE()),"",INDEX(tsk_Level,(ROW()-ROW(MSPTasks[[#Headers],[ID]]))))</f>
        <v/>
      </c>
      <c r="E132" s="24" t="str">
        <f aca="false">IF(IFERROR(INDEX(tsk_Name,(ROW()-ROW(MSPTasks[[#Headers],[ID]])))="",TRUE()),"",IF(INDEX(tsk_Mode,(ROW()-ROW(MSPTasks[[#Headers],[ID]])))="Manual","Manually Scheduled","Auto Scheduled"))</f>
        <v/>
      </c>
      <c r="F13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32" s="115" t="str">
        <f aca="false">IF(IFERROR(INDEX(tsk_Name,(ROW()-ROW(MSPTasks[[#Headers],[ID]])))="",TRUE()),"",INDEX(tsk_FcStart,(ROW()-ROW(MSPTasks[[#Headers],[ID]]))))</f>
        <v/>
      </c>
      <c r="H132" s="115" t="str">
        <f aca="false">IF(IFERROR(INDEX(tsk_Name,(ROW()-ROW(MSPTasks[[#Headers],[ID]])))="",TRUE()),"",INDEX(tsk_FcFinish,(ROW()-ROW(MSPTasks[[#Headers],[ID]]))))</f>
        <v/>
      </c>
      <c r="I13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3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3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3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3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3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32" s="115" t="str">
        <f aca="false">IF(IFERROR(INDEX(tsk_Name,(ROW()-ROW(MSPTasks[[#Headers],[ID]])))="",TRUE()),"",INDEX(tsk_PlanStart,(ROW()-ROW(MSPTasks[[#Headers],[ID]]))))</f>
        <v/>
      </c>
      <c r="P132" s="115" t="str">
        <f aca="false">IF(IFERROR(INDEX(tsk_Name,(ROW()-ROW(MSPTasks[[#Headers],[ID]])))="",TRUE()),"",INDEX(tsk_PlanFinish,(ROW()-ROW(MSPTasks[[#Headers],[ID]]))))</f>
        <v/>
      </c>
      <c r="Q13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3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3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3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3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3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3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3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3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32" s="24" t="str">
        <f aca="false">IF(IFERROR(INDEX(tsk_Name,(ROW()-ROW(MSPTasks[[#Headers],[ID]])))="",TRUE()),"",INDEX(tsk_Notes,(ROW()-ROW(MSPTasks[[#Headers],[ID]])))&amp;"")</f>
        <v/>
      </c>
    </row>
    <row r="133" customFormat="false" ht="15" hidden="false" customHeight="false" outlineLevel="0" collapsed="false">
      <c r="A133" s="24" t="str">
        <f aca="false">IF(IFERROR(INDEX(tsk_Name,(ROW()-ROW(MSPTasks[[#Headers],[ID]])))="",TRUE()),"",INDEX(tsk_ID,(ROW()-ROW(MSPTasks[[#Headers],[ID]]))))</f>
        <v/>
      </c>
      <c r="B133" s="24" t="str">
        <f aca="false">IF(IFERROR(INDEX(tsk_Name,(ROW()-ROW(MSPTasks[[#Headers],[ID]])))="",TRUE()),"",INDEX(tsk_UID,(ROW()-ROW(MSPTasks[[#Headers],[ID]]))))</f>
        <v/>
      </c>
      <c r="C133" s="24" t="str">
        <f aca="false">IF(IFERROR(INDEX(tsk_Name,(ROW()-ROW(MSPTasks[[#Headers],[ID]])))="",TRUE()),"",INDEX(tsk_Name,(ROW()-ROW(MSPTasks[[#Headers],[ID]]))))</f>
        <v/>
      </c>
      <c r="D133" s="24" t="str">
        <f aca="false">IF(IFERROR(INDEX(tsk_Name,(ROW()-ROW(MSPTasks[[#Headers],[ID]])))="",TRUE()),"",INDEX(tsk_Level,(ROW()-ROW(MSPTasks[[#Headers],[ID]]))))</f>
        <v/>
      </c>
      <c r="E133" s="24" t="str">
        <f aca="false">IF(IFERROR(INDEX(tsk_Name,(ROW()-ROW(MSPTasks[[#Headers],[ID]])))="",TRUE()),"",IF(INDEX(tsk_Mode,(ROW()-ROW(MSPTasks[[#Headers],[ID]])))="Manual","Manually Scheduled","Auto Scheduled"))</f>
        <v/>
      </c>
      <c r="F13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33" s="115" t="str">
        <f aca="false">IF(IFERROR(INDEX(tsk_Name,(ROW()-ROW(MSPTasks[[#Headers],[ID]])))="",TRUE()),"",INDEX(tsk_FcStart,(ROW()-ROW(MSPTasks[[#Headers],[ID]]))))</f>
        <v/>
      </c>
      <c r="H133" s="115" t="str">
        <f aca="false">IF(IFERROR(INDEX(tsk_Name,(ROW()-ROW(MSPTasks[[#Headers],[ID]])))="",TRUE()),"",INDEX(tsk_FcFinish,(ROW()-ROW(MSPTasks[[#Headers],[ID]]))))</f>
        <v/>
      </c>
      <c r="I13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3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3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3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3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3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33" s="115" t="str">
        <f aca="false">IF(IFERROR(INDEX(tsk_Name,(ROW()-ROW(MSPTasks[[#Headers],[ID]])))="",TRUE()),"",INDEX(tsk_PlanStart,(ROW()-ROW(MSPTasks[[#Headers],[ID]]))))</f>
        <v/>
      </c>
      <c r="P133" s="115" t="str">
        <f aca="false">IF(IFERROR(INDEX(tsk_Name,(ROW()-ROW(MSPTasks[[#Headers],[ID]])))="",TRUE()),"",INDEX(tsk_PlanFinish,(ROW()-ROW(MSPTasks[[#Headers],[ID]]))))</f>
        <v/>
      </c>
      <c r="Q13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3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3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3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3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3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3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3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3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33" s="24" t="str">
        <f aca="false">IF(IFERROR(INDEX(tsk_Name,(ROW()-ROW(MSPTasks[[#Headers],[ID]])))="",TRUE()),"",INDEX(tsk_Notes,(ROW()-ROW(MSPTasks[[#Headers],[ID]])))&amp;"")</f>
        <v/>
      </c>
    </row>
    <row r="134" customFormat="false" ht="15" hidden="false" customHeight="false" outlineLevel="0" collapsed="false">
      <c r="A134" s="24" t="str">
        <f aca="false">IF(IFERROR(INDEX(tsk_Name,(ROW()-ROW(MSPTasks[[#Headers],[ID]])))="",TRUE()),"",INDEX(tsk_ID,(ROW()-ROW(MSPTasks[[#Headers],[ID]]))))</f>
        <v/>
      </c>
      <c r="B134" s="24" t="str">
        <f aca="false">IF(IFERROR(INDEX(tsk_Name,(ROW()-ROW(MSPTasks[[#Headers],[ID]])))="",TRUE()),"",INDEX(tsk_UID,(ROW()-ROW(MSPTasks[[#Headers],[ID]]))))</f>
        <v/>
      </c>
      <c r="C134" s="24" t="str">
        <f aca="false">IF(IFERROR(INDEX(tsk_Name,(ROW()-ROW(MSPTasks[[#Headers],[ID]])))="",TRUE()),"",INDEX(tsk_Name,(ROW()-ROW(MSPTasks[[#Headers],[ID]]))))</f>
        <v/>
      </c>
      <c r="D134" s="24" t="str">
        <f aca="false">IF(IFERROR(INDEX(tsk_Name,(ROW()-ROW(MSPTasks[[#Headers],[ID]])))="",TRUE()),"",INDEX(tsk_Level,(ROW()-ROW(MSPTasks[[#Headers],[ID]]))))</f>
        <v/>
      </c>
      <c r="E134" s="24" t="str">
        <f aca="false">IF(IFERROR(INDEX(tsk_Name,(ROW()-ROW(MSPTasks[[#Headers],[ID]])))="",TRUE()),"",IF(INDEX(tsk_Mode,(ROW()-ROW(MSPTasks[[#Headers],[ID]])))="Manual","Manually Scheduled","Auto Scheduled"))</f>
        <v/>
      </c>
      <c r="F13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34" s="115" t="str">
        <f aca="false">IF(IFERROR(INDEX(tsk_Name,(ROW()-ROW(MSPTasks[[#Headers],[ID]])))="",TRUE()),"",INDEX(tsk_FcStart,(ROW()-ROW(MSPTasks[[#Headers],[ID]]))))</f>
        <v/>
      </c>
      <c r="H134" s="115" t="str">
        <f aca="false">IF(IFERROR(INDEX(tsk_Name,(ROW()-ROW(MSPTasks[[#Headers],[ID]])))="",TRUE()),"",INDEX(tsk_FcFinish,(ROW()-ROW(MSPTasks[[#Headers],[ID]]))))</f>
        <v/>
      </c>
      <c r="I13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3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3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3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3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3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34" s="115" t="str">
        <f aca="false">IF(IFERROR(INDEX(tsk_Name,(ROW()-ROW(MSPTasks[[#Headers],[ID]])))="",TRUE()),"",INDEX(tsk_PlanStart,(ROW()-ROW(MSPTasks[[#Headers],[ID]]))))</f>
        <v/>
      </c>
      <c r="P134" s="115" t="str">
        <f aca="false">IF(IFERROR(INDEX(tsk_Name,(ROW()-ROW(MSPTasks[[#Headers],[ID]])))="",TRUE()),"",INDEX(tsk_PlanFinish,(ROW()-ROW(MSPTasks[[#Headers],[ID]]))))</f>
        <v/>
      </c>
      <c r="Q13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3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3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3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3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3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3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3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3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34" s="24" t="str">
        <f aca="false">IF(IFERROR(INDEX(tsk_Name,(ROW()-ROW(MSPTasks[[#Headers],[ID]])))="",TRUE()),"",INDEX(tsk_Notes,(ROW()-ROW(MSPTasks[[#Headers],[ID]])))&amp;"")</f>
        <v/>
      </c>
    </row>
    <row r="135" customFormat="false" ht="15" hidden="false" customHeight="false" outlineLevel="0" collapsed="false">
      <c r="A135" s="24" t="str">
        <f aca="false">IF(IFERROR(INDEX(tsk_Name,(ROW()-ROW(MSPTasks[[#Headers],[ID]])))="",TRUE()),"",INDEX(tsk_ID,(ROW()-ROW(MSPTasks[[#Headers],[ID]]))))</f>
        <v/>
      </c>
      <c r="B135" s="24" t="str">
        <f aca="false">IF(IFERROR(INDEX(tsk_Name,(ROW()-ROW(MSPTasks[[#Headers],[ID]])))="",TRUE()),"",INDEX(tsk_UID,(ROW()-ROW(MSPTasks[[#Headers],[ID]]))))</f>
        <v/>
      </c>
      <c r="C135" s="24" t="str">
        <f aca="false">IF(IFERROR(INDEX(tsk_Name,(ROW()-ROW(MSPTasks[[#Headers],[ID]])))="",TRUE()),"",INDEX(tsk_Name,(ROW()-ROW(MSPTasks[[#Headers],[ID]]))))</f>
        <v/>
      </c>
      <c r="D135" s="24" t="str">
        <f aca="false">IF(IFERROR(INDEX(tsk_Name,(ROW()-ROW(MSPTasks[[#Headers],[ID]])))="",TRUE()),"",INDEX(tsk_Level,(ROW()-ROW(MSPTasks[[#Headers],[ID]]))))</f>
        <v/>
      </c>
      <c r="E135" s="24" t="str">
        <f aca="false">IF(IFERROR(INDEX(tsk_Name,(ROW()-ROW(MSPTasks[[#Headers],[ID]])))="",TRUE()),"",IF(INDEX(tsk_Mode,(ROW()-ROW(MSPTasks[[#Headers],[ID]])))="Manual","Manually Scheduled","Auto Scheduled"))</f>
        <v/>
      </c>
      <c r="F13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35" s="115" t="str">
        <f aca="false">IF(IFERROR(INDEX(tsk_Name,(ROW()-ROW(MSPTasks[[#Headers],[ID]])))="",TRUE()),"",INDEX(tsk_FcStart,(ROW()-ROW(MSPTasks[[#Headers],[ID]]))))</f>
        <v/>
      </c>
      <c r="H135" s="115" t="str">
        <f aca="false">IF(IFERROR(INDEX(tsk_Name,(ROW()-ROW(MSPTasks[[#Headers],[ID]])))="",TRUE()),"",INDEX(tsk_FcFinish,(ROW()-ROW(MSPTasks[[#Headers],[ID]]))))</f>
        <v/>
      </c>
      <c r="I13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3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3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3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3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3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35" s="115" t="str">
        <f aca="false">IF(IFERROR(INDEX(tsk_Name,(ROW()-ROW(MSPTasks[[#Headers],[ID]])))="",TRUE()),"",INDEX(tsk_PlanStart,(ROW()-ROW(MSPTasks[[#Headers],[ID]]))))</f>
        <v/>
      </c>
      <c r="P135" s="115" t="str">
        <f aca="false">IF(IFERROR(INDEX(tsk_Name,(ROW()-ROW(MSPTasks[[#Headers],[ID]])))="",TRUE()),"",INDEX(tsk_PlanFinish,(ROW()-ROW(MSPTasks[[#Headers],[ID]]))))</f>
        <v/>
      </c>
      <c r="Q13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3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3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3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3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3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3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3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3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35" s="24" t="str">
        <f aca="false">IF(IFERROR(INDEX(tsk_Name,(ROW()-ROW(MSPTasks[[#Headers],[ID]])))="",TRUE()),"",INDEX(tsk_Notes,(ROW()-ROW(MSPTasks[[#Headers],[ID]])))&amp;"")</f>
        <v/>
      </c>
    </row>
    <row r="136" customFormat="false" ht="15" hidden="false" customHeight="false" outlineLevel="0" collapsed="false">
      <c r="A136" s="24" t="str">
        <f aca="false">IF(IFERROR(INDEX(tsk_Name,(ROW()-ROW(MSPTasks[[#Headers],[ID]])))="",TRUE()),"",INDEX(tsk_ID,(ROW()-ROW(MSPTasks[[#Headers],[ID]]))))</f>
        <v/>
      </c>
      <c r="B136" s="24" t="str">
        <f aca="false">IF(IFERROR(INDEX(tsk_Name,(ROW()-ROW(MSPTasks[[#Headers],[ID]])))="",TRUE()),"",INDEX(tsk_UID,(ROW()-ROW(MSPTasks[[#Headers],[ID]]))))</f>
        <v/>
      </c>
      <c r="C136" s="24" t="str">
        <f aca="false">IF(IFERROR(INDEX(tsk_Name,(ROW()-ROW(MSPTasks[[#Headers],[ID]])))="",TRUE()),"",INDEX(tsk_Name,(ROW()-ROW(MSPTasks[[#Headers],[ID]]))))</f>
        <v/>
      </c>
      <c r="D136" s="24" t="str">
        <f aca="false">IF(IFERROR(INDEX(tsk_Name,(ROW()-ROW(MSPTasks[[#Headers],[ID]])))="",TRUE()),"",INDEX(tsk_Level,(ROW()-ROW(MSPTasks[[#Headers],[ID]]))))</f>
        <v/>
      </c>
      <c r="E136" s="24" t="str">
        <f aca="false">IF(IFERROR(INDEX(tsk_Name,(ROW()-ROW(MSPTasks[[#Headers],[ID]])))="",TRUE()),"",IF(INDEX(tsk_Mode,(ROW()-ROW(MSPTasks[[#Headers],[ID]])))="Manual","Manually Scheduled","Auto Scheduled"))</f>
        <v/>
      </c>
      <c r="F13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36" s="115" t="str">
        <f aca="false">IF(IFERROR(INDEX(tsk_Name,(ROW()-ROW(MSPTasks[[#Headers],[ID]])))="",TRUE()),"",INDEX(tsk_FcStart,(ROW()-ROW(MSPTasks[[#Headers],[ID]]))))</f>
        <v/>
      </c>
      <c r="H136" s="115" t="str">
        <f aca="false">IF(IFERROR(INDEX(tsk_Name,(ROW()-ROW(MSPTasks[[#Headers],[ID]])))="",TRUE()),"",INDEX(tsk_FcFinish,(ROW()-ROW(MSPTasks[[#Headers],[ID]]))))</f>
        <v/>
      </c>
      <c r="I13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3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3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3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3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3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36" s="115" t="str">
        <f aca="false">IF(IFERROR(INDEX(tsk_Name,(ROW()-ROW(MSPTasks[[#Headers],[ID]])))="",TRUE()),"",INDEX(tsk_PlanStart,(ROW()-ROW(MSPTasks[[#Headers],[ID]]))))</f>
        <v/>
      </c>
      <c r="P136" s="115" t="str">
        <f aca="false">IF(IFERROR(INDEX(tsk_Name,(ROW()-ROW(MSPTasks[[#Headers],[ID]])))="",TRUE()),"",INDEX(tsk_PlanFinish,(ROW()-ROW(MSPTasks[[#Headers],[ID]]))))</f>
        <v/>
      </c>
      <c r="Q13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3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3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3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3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3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3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3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3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36" s="24" t="str">
        <f aca="false">IF(IFERROR(INDEX(tsk_Name,(ROW()-ROW(MSPTasks[[#Headers],[ID]])))="",TRUE()),"",INDEX(tsk_Notes,(ROW()-ROW(MSPTasks[[#Headers],[ID]])))&amp;"")</f>
        <v/>
      </c>
    </row>
    <row r="137" customFormat="false" ht="15" hidden="false" customHeight="false" outlineLevel="0" collapsed="false">
      <c r="A137" s="24" t="str">
        <f aca="false">IF(IFERROR(INDEX(tsk_Name,(ROW()-ROW(MSPTasks[[#Headers],[ID]])))="",TRUE()),"",INDEX(tsk_ID,(ROW()-ROW(MSPTasks[[#Headers],[ID]]))))</f>
        <v/>
      </c>
      <c r="B137" s="24" t="str">
        <f aca="false">IF(IFERROR(INDEX(tsk_Name,(ROW()-ROW(MSPTasks[[#Headers],[ID]])))="",TRUE()),"",INDEX(tsk_UID,(ROW()-ROW(MSPTasks[[#Headers],[ID]]))))</f>
        <v/>
      </c>
      <c r="C137" s="24" t="str">
        <f aca="false">IF(IFERROR(INDEX(tsk_Name,(ROW()-ROW(MSPTasks[[#Headers],[ID]])))="",TRUE()),"",INDEX(tsk_Name,(ROW()-ROW(MSPTasks[[#Headers],[ID]]))))</f>
        <v/>
      </c>
      <c r="D137" s="24" t="str">
        <f aca="false">IF(IFERROR(INDEX(tsk_Name,(ROW()-ROW(MSPTasks[[#Headers],[ID]])))="",TRUE()),"",INDEX(tsk_Level,(ROW()-ROW(MSPTasks[[#Headers],[ID]]))))</f>
        <v/>
      </c>
      <c r="E137" s="24" t="str">
        <f aca="false">IF(IFERROR(INDEX(tsk_Name,(ROW()-ROW(MSPTasks[[#Headers],[ID]])))="",TRUE()),"",IF(INDEX(tsk_Mode,(ROW()-ROW(MSPTasks[[#Headers],[ID]])))="Manual","Manually Scheduled","Auto Scheduled"))</f>
        <v/>
      </c>
      <c r="F13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37" s="115" t="str">
        <f aca="false">IF(IFERROR(INDEX(tsk_Name,(ROW()-ROW(MSPTasks[[#Headers],[ID]])))="",TRUE()),"",INDEX(tsk_FcStart,(ROW()-ROW(MSPTasks[[#Headers],[ID]]))))</f>
        <v/>
      </c>
      <c r="H137" s="115" t="str">
        <f aca="false">IF(IFERROR(INDEX(tsk_Name,(ROW()-ROW(MSPTasks[[#Headers],[ID]])))="",TRUE()),"",INDEX(tsk_FcFinish,(ROW()-ROW(MSPTasks[[#Headers],[ID]]))))</f>
        <v/>
      </c>
      <c r="I13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3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3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3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3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3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37" s="115" t="str">
        <f aca="false">IF(IFERROR(INDEX(tsk_Name,(ROW()-ROW(MSPTasks[[#Headers],[ID]])))="",TRUE()),"",INDEX(tsk_PlanStart,(ROW()-ROW(MSPTasks[[#Headers],[ID]]))))</f>
        <v/>
      </c>
      <c r="P137" s="115" t="str">
        <f aca="false">IF(IFERROR(INDEX(tsk_Name,(ROW()-ROW(MSPTasks[[#Headers],[ID]])))="",TRUE()),"",INDEX(tsk_PlanFinish,(ROW()-ROW(MSPTasks[[#Headers],[ID]]))))</f>
        <v/>
      </c>
      <c r="Q13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3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3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3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3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3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3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3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3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37" s="24" t="str">
        <f aca="false">IF(IFERROR(INDEX(tsk_Name,(ROW()-ROW(MSPTasks[[#Headers],[ID]])))="",TRUE()),"",INDEX(tsk_Notes,(ROW()-ROW(MSPTasks[[#Headers],[ID]])))&amp;"")</f>
        <v/>
      </c>
    </row>
    <row r="138" customFormat="false" ht="15" hidden="false" customHeight="false" outlineLevel="0" collapsed="false">
      <c r="A138" s="24" t="str">
        <f aca="false">IF(IFERROR(INDEX(tsk_Name,(ROW()-ROW(MSPTasks[[#Headers],[ID]])))="",TRUE()),"",INDEX(tsk_ID,(ROW()-ROW(MSPTasks[[#Headers],[ID]]))))</f>
        <v/>
      </c>
      <c r="B138" s="24" t="str">
        <f aca="false">IF(IFERROR(INDEX(tsk_Name,(ROW()-ROW(MSPTasks[[#Headers],[ID]])))="",TRUE()),"",INDEX(tsk_UID,(ROW()-ROW(MSPTasks[[#Headers],[ID]]))))</f>
        <v/>
      </c>
      <c r="C138" s="24" t="str">
        <f aca="false">IF(IFERROR(INDEX(tsk_Name,(ROW()-ROW(MSPTasks[[#Headers],[ID]])))="",TRUE()),"",INDEX(tsk_Name,(ROW()-ROW(MSPTasks[[#Headers],[ID]]))))</f>
        <v/>
      </c>
      <c r="D138" s="24" t="str">
        <f aca="false">IF(IFERROR(INDEX(tsk_Name,(ROW()-ROW(MSPTasks[[#Headers],[ID]])))="",TRUE()),"",INDEX(tsk_Level,(ROW()-ROW(MSPTasks[[#Headers],[ID]]))))</f>
        <v/>
      </c>
      <c r="E138" s="24" t="str">
        <f aca="false">IF(IFERROR(INDEX(tsk_Name,(ROW()-ROW(MSPTasks[[#Headers],[ID]])))="",TRUE()),"",IF(INDEX(tsk_Mode,(ROW()-ROW(MSPTasks[[#Headers],[ID]])))="Manual","Manually Scheduled","Auto Scheduled"))</f>
        <v/>
      </c>
      <c r="F13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38" s="115" t="str">
        <f aca="false">IF(IFERROR(INDEX(tsk_Name,(ROW()-ROW(MSPTasks[[#Headers],[ID]])))="",TRUE()),"",INDEX(tsk_FcStart,(ROW()-ROW(MSPTasks[[#Headers],[ID]]))))</f>
        <v/>
      </c>
      <c r="H138" s="115" t="str">
        <f aca="false">IF(IFERROR(INDEX(tsk_Name,(ROW()-ROW(MSPTasks[[#Headers],[ID]])))="",TRUE()),"",INDEX(tsk_FcFinish,(ROW()-ROW(MSPTasks[[#Headers],[ID]]))))</f>
        <v/>
      </c>
      <c r="I13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3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3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3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3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3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38" s="115" t="str">
        <f aca="false">IF(IFERROR(INDEX(tsk_Name,(ROW()-ROW(MSPTasks[[#Headers],[ID]])))="",TRUE()),"",INDEX(tsk_PlanStart,(ROW()-ROW(MSPTasks[[#Headers],[ID]]))))</f>
        <v/>
      </c>
      <c r="P138" s="115" t="str">
        <f aca="false">IF(IFERROR(INDEX(tsk_Name,(ROW()-ROW(MSPTasks[[#Headers],[ID]])))="",TRUE()),"",INDEX(tsk_PlanFinish,(ROW()-ROW(MSPTasks[[#Headers],[ID]]))))</f>
        <v/>
      </c>
      <c r="Q13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3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3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3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3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3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3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3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3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38" s="24" t="str">
        <f aca="false">IF(IFERROR(INDEX(tsk_Name,(ROW()-ROW(MSPTasks[[#Headers],[ID]])))="",TRUE()),"",INDEX(tsk_Notes,(ROW()-ROW(MSPTasks[[#Headers],[ID]])))&amp;"")</f>
        <v/>
      </c>
    </row>
    <row r="139" customFormat="false" ht="15" hidden="false" customHeight="false" outlineLevel="0" collapsed="false">
      <c r="A139" s="24" t="str">
        <f aca="false">IF(IFERROR(INDEX(tsk_Name,(ROW()-ROW(MSPTasks[[#Headers],[ID]])))="",TRUE()),"",INDEX(tsk_ID,(ROW()-ROW(MSPTasks[[#Headers],[ID]]))))</f>
        <v/>
      </c>
      <c r="B139" s="24" t="str">
        <f aca="false">IF(IFERROR(INDEX(tsk_Name,(ROW()-ROW(MSPTasks[[#Headers],[ID]])))="",TRUE()),"",INDEX(tsk_UID,(ROW()-ROW(MSPTasks[[#Headers],[ID]]))))</f>
        <v/>
      </c>
      <c r="C139" s="24" t="str">
        <f aca="false">IF(IFERROR(INDEX(tsk_Name,(ROW()-ROW(MSPTasks[[#Headers],[ID]])))="",TRUE()),"",INDEX(tsk_Name,(ROW()-ROW(MSPTasks[[#Headers],[ID]]))))</f>
        <v/>
      </c>
      <c r="D139" s="24" t="str">
        <f aca="false">IF(IFERROR(INDEX(tsk_Name,(ROW()-ROW(MSPTasks[[#Headers],[ID]])))="",TRUE()),"",INDEX(tsk_Level,(ROW()-ROW(MSPTasks[[#Headers],[ID]]))))</f>
        <v/>
      </c>
      <c r="E139" s="24" t="str">
        <f aca="false">IF(IFERROR(INDEX(tsk_Name,(ROW()-ROW(MSPTasks[[#Headers],[ID]])))="",TRUE()),"",IF(INDEX(tsk_Mode,(ROW()-ROW(MSPTasks[[#Headers],[ID]])))="Manual","Manually Scheduled","Auto Scheduled"))</f>
        <v/>
      </c>
      <c r="F13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39" s="115" t="str">
        <f aca="false">IF(IFERROR(INDEX(tsk_Name,(ROW()-ROW(MSPTasks[[#Headers],[ID]])))="",TRUE()),"",INDEX(tsk_FcStart,(ROW()-ROW(MSPTasks[[#Headers],[ID]]))))</f>
        <v/>
      </c>
      <c r="H139" s="115" t="str">
        <f aca="false">IF(IFERROR(INDEX(tsk_Name,(ROW()-ROW(MSPTasks[[#Headers],[ID]])))="",TRUE()),"",INDEX(tsk_FcFinish,(ROW()-ROW(MSPTasks[[#Headers],[ID]]))))</f>
        <v/>
      </c>
      <c r="I13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3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3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3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3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3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39" s="115" t="str">
        <f aca="false">IF(IFERROR(INDEX(tsk_Name,(ROW()-ROW(MSPTasks[[#Headers],[ID]])))="",TRUE()),"",INDEX(tsk_PlanStart,(ROW()-ROW(MSPTasks[[#Headers],[ID]]))))</f>
        <v/>
      </c>
      <c r="P139" s="115" t="str">
        <f aca="false">IF(IFERROR(INDEX(tsk_Name,(ROW()-ROW(MSPTasks[[#Headers],[ID]])))="",TRUE()),"",INDEX(tsk_PlanFinish,(ROW()-ROW(MSPTasks[[#Headers],[ID]]))))</f>
        <v/>
      </c>
      <c r="Q13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3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3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3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3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3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3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3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3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39" s="24" t="str">
        <f aca="false">IF(IFERROR(INDEX(tsk_Name,(ROW()-ROW(MSPTasks[[#Headers],[ID]])))="",TRUE()),"",INDEX(tsk_Notes,(ROW()-ROW(MSPTasks[[#Headers],[ID]])))&amp;"")</f>
        <v/>
      </c>
    </row>
    <row r="140" customFormat="false" ht="15" hidden="false" customHeight="false" outlineLevel="0" collapsed="false">
      <c r="A140" s="24" t="str">
        <f aca="false">IF(IFERROR(INDEX(tsk_Name,(ROW()-ROW(MSPTasks[[#Headers],[ID]])))="",TRUE()),"",INDEX(tsk_ID,(ROW()-ROW(MSPTasks[[#Headers],[ID]]))))</f>
        <v/>
      </c>
      <c r="B140" s="24" t="str">
        <f aca="false">IF(IFERROR(INDEX(tsk_Name,(ROW()-ROW(MSPTasks[[#Headers],[ID]])))="",TRUE()),"",INDEX(tsk_UID,(ROW()-ROW(MSPTasks[[#Headers],[ID]]))))</f>
        <v/>
      </c>
      <c r="C140" s="24" t="str">
        <f aca="false">IF(IFERROR(INDEX(tsk_Name,(ROW()-ROW(MSPTasks[[#Headers],[ID]])))="",TRUE()),"",INDEX(tsk_Name,(ROW()-ROW(MSPTasks[[#Headers],[ID]]))))</f>
        <v/>
      </c>
      <c r="D140" s="24" t="str">
        <f aca="false">IF(IFERROR(INDEX(tsk_Name,(ROW()-ROW(MSPTasks[[#Headers],[ID]])))="",TRUE()),"",INDEX(tsk_Level,(ROW()-ROW(MSPTasks[[#Headers],[ID]]))))</f>
        <v/>
      </c>
      <c r="E140" s="24" t="str">
        <f aca="false">IF(IFERROR(INDEX(tsk_Name,(ROW()-ROW(MSPTasks[[#Headers],[ID]])))="",TRUE()),"",IF(INDEX(tsk_Mode,(ROW()-ROW(MSPTasks[[#Headers],[ID]])))="Manual","Manually Scheduled","Auto Scheduled"))</f>
        <v/>
      </c>
      <c r="F14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40" s="115" t="str">
        <f aca="false">IF(IFERROR(INDEX(tsk_Name,(ROW()-ROW(MSPTasks[[#Headers],[ID]])))="",TRUE()),"",INDEX(tsk_FcStart,(ROW()-ROW(MSPTasks[[#Headers],[ID]]))))</f>
        <v/>
      </c>
      <c r="H140" s="115" t="str">
        <f aca="false">IF(IFERROR(INDEX(tsk_Name,(ROW()-ROW(MSPTasks[[#Headers],[ID]])))="",TRUE()),"",INDEX(tsk_FcFinish,(ROW()-ROW(MSPTasks[[#Headers],[ID]]))))</f>
        <v/>
      </c>
      <c r="I14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4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4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4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4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4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40" s="115" t="str">
        <f aca="false">IF(IFERROR(INDEX(tsk_Name,(ROW()-ROW(MSPTasks[[#Headers],[ID]])))="",TRUE()),"",INDEX(tsk_PlanStart,(ROW()-ROW(MSPTasks[[#Headers],[ID]]))))</f>
        <v/>
      </c>
      <c r="P140" s="115" t="str">
        <f aca="false">IF(IFERROR(INDEX(tsk_Name,(ROW()-ROW(MSPTasks[[#Headers],[ID]])))="",TRUE()),"",INDEX(tsk_PlanFinish,(ROW()-ROW(MSPTasks[[#Headers],[ID]]))))</f>
        <v/>
      </c>
      <c r="Q14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4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4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4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4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4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4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4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4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40" s="24" t="str">
        <f aca="false">IF(IFERROR(INDEX(tsk_Name,(ROW()-ROW(MSPTasks[[#Headers],[ID]])))="",TRUE()),"",INDEX(tsk_Notes,(ROW()-ROW(MSPTasks[[#Headers],[ID]])))&amp;"")</f>
        <v/>
      </c>
    </row>
    <row r="141" customFormat="false" ht="15" hidden="false" customHeight="false" outlineLevel="0" collapsed="false">
      <c r="A141" s="24" t="str">
        <f aca="false">IF(IFERROR(INDEX(tsk_Name,(ROW()-ROW(MSPTasks[[#Headers],[ID]])))="",TRUE()),"",INDEX(tsk_ID,(ROW()-ROW(MSPTasks[[#Headers],[ID]]))))</f>
        <v/>
      </c>
      <c r="B141" s="24" t="str">
        <f aca="false">IF(IFERROR(INDEX(tsk_Name,(ROW()-ROW(MSPTasks[[#Headers],[ID]])))="",TRUE()),"",INDEX(tsk_UID,(ROW()-ROW(MSPTasks[[#Headers],[ID]]))))</f>
        <v/>
      </c>
      <c r="C141" s="24" t="str">
        <f aca="false">IF(IFERROR(INDEX(tsk_Name,(ROW()-ROW(MSPTasks[[#Headers],[ID]])))="",TRUE()),"",INDEX(tsk_Name,(ROW()-ROW(MSPTasks[[#Headers],[ID]]))))</f>
        <v/>
      </c>
      <c r="D141" s="24" t="str">
        <f aca="false">IF(IFERROR(INDEX(tsk_Name,(ROW()-ROW(MSPTasks[[#Headers],[ID]])))="",TRUE()),"",INDEX(tsk_Level,(ROW()-ROW(MSPTasks[[#Headers],[ID]]))))</f>
        <v/>
      </c>
      <c r="E141" s="24" t="str">
        <f aca="false">IF(IFERROR(INDEX(tsk_Name,(ROW()-ROW(MSPTasks[[#Headers],[ID]])))="",TRUE()),"",IF(INDEX(tsk_Mode,(ROW()-ROW(MSPTasks[[#Headers],[ID]])))="Manual","Manually Scheduled","Auto Scheduled"))</f>
        <v/>
      </c>
      <c r="F14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41" s="115" t="str">
        <f aca="false">IF(IFERROR(INDEX(tsk_Name,(ROW()-ROW(MSPTasks[[#Headers],[ID]])))="",TRUE()),"",INDEX(tsk_FcStart,(ROW()-ROW(MSPTasks[[#Headers],[ID]]))))</f>
        <v/>
      </c>
      <c r="H141" s="115" t="str">
        <f aca="false">IF(IFERROR(INDEX(tsk_Name,(ROW()-ROW(MSPTasks[[#Headers],[ID]])))="",TRUE()),"",INDEX(tsk_FcFinish,(ROW()-ROW(MSPTasks[[#Headers],[ID]]))))</f>
        <v/>
      </c>
      <c r="I14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4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4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4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4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4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41" s="115" t="str">
        <f aca="false">IF(IFERROR(INDEX(tsk_Name,(ROW()-ROW(MSPTasks[[#Headers],[ID]])))="",TRUE()),"",INDEX(tsk_PlanStart,(ROW()-ROW(MSPTasks[[#Headers],[ID]]))))</f>
        <v/>
      </c>
      <c r="P141" s="115" t="str">
        <f aca="false">IF(IFERROR(INDEX(tsk_Name,(ROW()-ROW(MSPTasks[[#Headers],[ID]])))="",TRUE()),"",INDEX(tsk_PlanFinish,(ROW()-ROW(MSPTasks[[#Headers],[ID]]))))</f>
        <v/>
      </c>
      <c r="Q14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4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4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4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4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4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4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4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4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41" s="24" t="str">
        <f aca="false">IF(IFERROR(INDEX(tsk_Name,(ROW()-ROW(MSPTasks[[#Headers],[ID]])))="",TRUE()),"",INDEX(tsk_Notes,(ROW()-ROW(MSPTasks[[#Headers],[ID]])))&amp;"")</f>
        <v/>
      </c>
    </row>
    <row r="142" customFormat="false" ht="15" hidden="false" customHeight="false" outlineLevel="0" collapsed="false">
      <c r="A142" s="24" t="str">
        <f aca="false">IF(IFERROR(INDEX(tsk_Name,(ROW()-ROW(MSPTasks[[#Headers],[ID]])))="",TRUE()),"",INDEX(tsk_ID,(ROW()-ROW(MSPTasks[[#Headers],[ID]]))))</f>
        <v/>
      </c>
      <c r="B142" s="24" t="str">
        <f aca="false">IF(IFERROR(INDEX(tsk_Name,(ROW()-ROW(MSPTasks[[#Headers],[ID]])))="",TRUE()),"",INDEX(tsk_UID,(ROW()-ROW(MSPTasks[[#Headers],[ID]]))))</f>
        <v/>
      </c>
      <c r="C142" s="24" t="str">
        <f aca="false">IF(IFERROR(INDEX(tsk_Name,(ROW()-ROW(MSPTasks[[#Headers],[ID]])))="",TRUE()),"",INDEX(tsk_Name,(ROW()-ROW(MSPTasks[[#Headers],[ID]]))))</f>
        <v/>
      </c>
      <c r="D142" s="24" t="str">
        <f aca="false">IF(IFERROR(INDEX(tsk_Name,(ROW()-ROW(MSPTasks[[#Headers],[ID]])))="",TRUE()),"",INDEX(tsk_Level,(ROW()-ROW(MSPTasks[[#Headers],[ID]]))))</f>
        <v/>
      </c>
      <c r="E142" s="24" t="str">
        <f aca="false">IF(IFERROR(INDEX(tsk_Name,(ROW()-ROW(MSPTasks[[#Headers],[ID]])))="",TRUE()),"",IF(INDEX(tsk_Mode,(ROW()-ROW(MSPTasks[[#Headers],[ID]])))="Manual","Manually Scheduled","Auto Scheduled"))</f>
        <v/>
      </c>
      <c r="F14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42" s="115" t="str">
        <f aca="false">IF(IFERROR(INDEX(tsk_Name,(ROW()-ROW(MSPTasks[[#Headers],[ID]])))="",TRUE()),"",INDEX(tsk_FcStart,(ROW()-ROW(MSPTasks[[#Headers],[ID]]))))</f>
        <v/>
      </c>
      <c r="H142" s="115" t="str">
        <f aca="false">IF(IFERROR(INDEX(tsk_Name,(ROW()-ROW(MSPTasks[[#Headers],[ID]])))="",TRUE()),"",INDEX(tsk_FcFinish,(ROW()-ROW(MSPTasks[[#Headers],[ID]]))))</f>
        <v/>
      </c>
      <c r="I14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4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4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4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4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4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42" s="115" t="str">
        <f aca="false">IF(IFERROR(INDEX(tsk_Name,(ROW()-ROW(MSPTasks[[#Headers],[ID]])))="",TRUE()),"",INDEX(tsk_PlanStart,(ROW()-ROW(MSPTasks[[#Headers],[ID]]))))</f>
        <v/>
      </c>
      <c r="P142" s="115" t="str">
        <f aca="false">IF(IFERROR(INDEX(tsk_Name,(ROW()-ROW(MSPTasks[[#Headers],[ID]])))="",TRUE()),"",INDEX(tsk_PlanFinish,(ROW()-ROW(MSPTasks[[#Headers],[ID]]))))</f>
        <v/>
      </c>
      <c r="Q14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4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4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4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4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4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4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4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4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42" s="24" t="str">
        <f aca="false">IF(IFERROR(INDEX(tsk_Name,(ROW()-ROW(MSPTasks[[#Headers],[ID]])))="",TRUE()),"",INDEX(tsk_Notes,(ROW()-ROW(MSPTasks[[#Headers],[ID]])))&amp;"")</f>
        <v/>
      </c>
    </row>
    <row r="143" customFormat="false" ht="15" hidden="false" customHeight="false" outlineLevel="0" collapsed="false">
      <c r="A143" s="24" t="str">
        <f aca="false">IF(IFERROR(INDEX(tsk_Name,(ROW()-ROW(MSPTasks[[#Headers],[ID]])))="",TRUE()),"",INDEX(tsk_ID,(ROW()-ROW(MSPTasks[[#Headers],[ID]]))))</f>
        <v/>
      </c>
      <c r="B143" s="24" t="str">
        <f aca="false">IF(IFERROR(INDEX(tsk_Name,(ROW()-ROW(MSPTasks[[#Headers],[ID]])))="",TRUE()),"",INDEX(tsk_UID,(ROW()-ROW(MSPTasks[[#Headers],[ID]]))))</f>
        <v/>
      </c>
      <c r="C143" s="24" t="str">
        <f aca="false">IF(IFERROR(INDEX(tsk_Name,(ROW()-ROW(MSPTasks[[#Headers],[ID]])))="",TRUE()),"",INDEX(tsk_Name,(ROW()-ROW(MSPTasks[[#Headers],[ID]]))))</f>
        <v/>
      </c>
      <c r="D143" s="24" t="str">
        <f aca="false">IF(IFERROR(INDEX(tsk_Name,(ROW()-ROW(MSPTasks[[#Headers],[ID]])))="",TRUE()),"",INDEX(tsk_Level,(ROW()-ROW(MSPTasks[[#Headers],[ID]]))))</f>
        <v/>
      </c>
      <c r="E143" s="24" t="str">
        <f aca="false">IF(IFERROR(INDEX(tsk_Name,(ROW()-ROW(MSPTasks[[#Headers],[ID]])))="",TRUE()),"",IF(INDEX(tsk_Mode,(ROW()-ROW(MSPTasks[[#Headers],[ID]])))="Manual","Manually Scheduled","Auto Scheduled"))</f>
        <v/>
      </c>
      <c r="F14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43" s="115" t="str">
        <f aca="false">IF(IFERROR(INDEX(tsk_Name,(ROW()-ROW(MSPTasks[[#Headers],[ID]])))="",TRUE()),"",INDEX(tsk_FcStart,(ROW()-ROW(MSPTasks[[#Headers],[ID]]))))</f>
        <v/>
      </c>
      <c r="H143" s="115" t="str">
        <f aca="false">IF(IFERROR(INDEX(tsk_Name,(ROW()-ROW(MSPTasks[[#Headers],[ID]])))="",TRUE()),"",INDEX(tsk_FcFinish,(ROW()-ROW(MSPTasks[[#Headers],[ID]]))))</f>
        <v/>
      </c>
      <c r="I14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4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4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4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4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4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43" s="115" t="str">
        <f aca="false">IF(IFERROR(INDEX(tsk_Name,(ROW()-ROW(MSPTasks[[#Headers],[ID]])))="",TRUE()),"",INDEX(tsk_PlanStart,(ROW()-ROW(MSPTasks[[#Headers],[ID]]))))</f>
        <v/>
      </c>
      <c r="P143" s="115" t="str">
        <f aca="false">IF(IFERROR(INDEX(tsk_Name,(ROW()-ROW(MSPTasks[[#Headers],[ID]])))="",TRUE()),"",INDEX(tsk_PlanFinish,(ROW()-ROW(MSPTasks[[#Headers],[ID]]))))</f>
        <v/>
      </c>
      <c r="Q14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4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4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4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4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4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4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4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4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43" s="24" t="str">
        <f aca="false">IF(IFERROR(INDEX(tsk_Name,(ROW()-ROW(MSPTasks[[#Headers],[ID]])))="",TRUE()),"",INDEX(tsk_Notes,(ROW()-ROW(MSPTasks[[#Headers],[ID]])))&amp;"")</f>
        <v/>
      </c>
    </row>
    <row r="144" customFormat="false" ht="15" hidden="false" customHeight="false" outlineLevel="0" collapsed="false">
      <c r="A144" s="24" t="str">
        <f aca="false">IF(IFERROR(INDEX(tsk_Name,(ROW()-ROW(MSPTasks[[#Headers],[ID]])))="",TRUE()),"",INDEX(tsk_ID,(ROW()-ROW(MSPTasks[[#Headers],[ID]]))))</f>
        <v/>
      </c>
      <c r="B144" s="24" t="str">
        <f aca="false">IF(IFERROR(INDEX(tsk_Name,(ROW()-ROW(MSPTasks[[#Headers],[ID]])))="",TRUE()),"",INDEX(tsk_UID,(ROW()-ROW(MSPTasks[[#Headers],[ID]]))))</f>
        <v/>
      </c>
      <c r="C144" s="24" t="str">
        <f aca="false">IF(IFERROR(INDEX(tsk_Name,(ROW()-ROW(MSPTasks[[#Headers],[ID]])))="",TRUE()),"",INDEX(tsk_Name,(ROW()-ROW(MSPTasks[[#Headers],[ID]]))))</f>
        <v/>
      </c>
      <c r="D144" s="24" t="str">
        <f aca="false">IF(IFERROR(INDEX(tsk_Name,(ROW()-ROW(MSPTasks[[#Headers],[ID]])))="",TRUE()),"",INDEX(tsk_Level,(ROW()-ROW(MSPTasks[[#Headers],[ID]]))))</f>
        <v/>
      </c>
      <c r="E144" s="24" t="str">
        <f aca="false">IF(IFERROR(INDEX(tsk_Name,(ROW()-ROW(MSPTasks[[#Headers],[ID]])))="",TRUE()),"",IF(INDEX(tsk_Mode,(ROW()-ROW(MSPTasks[[#Headers],[ID]])))="Manual","Manually Scheduled","Auto Scheduled"))</f>
        <v/>
      </c>
      <c r="F14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44" s="115" t="str">
        <f aca="false">IF(IFERROR(INDEX(tsk_Name,(ROW()-ROW(MSPTasks[[#Headers],[ID]])))="",TRUE()),"",INDEX(tsk_FcStart,(ROW()-ROW(MSPTasks[[#Headers],[ID]]))))</f>
        <v/>
      </c>
      <c r="H144" s="115" t="str">
        <f aca="false">IF(IFERROR(INDEX(tsk_Name,(ROW()-ROW(MSPTasks[[#Headers],[ID]])))="",TRUE()),"",INDEX(tsk_FcFinish,(ROW()-ROW(MSPTasks[[#Headers],[ID]]))))</f>
        <v/>
      </c>
      <c r="I14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4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4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4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4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4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44" s="115" t="str">
        <f aca="false">IF(IFERROR(INDEX(tsk_Name,(ROW()-ROW(MSPTasks[[#Headers],[ID]])))="",TRUE()),"",INDEX(tsk_PlanStart,(ROW()-ROW(MSPTasks[[#Headers],[ID]]))))</f>
        <v/>
      </c>
      <c r="P144" s="115" t="str">
        <f aca="false">IF(IFERROR(INDEX(tsk_Name,(ROW()-ROW(MSPTasks[[#Headers],[ID]])))="",TRUE()),"",INDEX(tsk_PlanFinish,(ROW()-ROW(MSPTasks[[#Headers],[ID]]))))</f>
        <v/>
      </c>
      <c r="Q14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4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4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4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4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4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4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4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4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44" s="24" t="str">
        <f aca="false">IF(IFERROR(INDEX(tsk_Name,(ROW()-ROW(MSPTasks[[#Headers],[ID]])))="",TRUE()),"",INDEX(tsk_Notes,(ROW()-ROW(MSPTasks[[#Headers],[ID]])))&amp;"")</f>
        <v/>
      </c>
    </row>
    <row r="145" customFormat="false" ht="15" hidden="false" customHeight="false" outlineLevel="0" collapsed="false">
      <c r="A145" s="24" t="str">
        <f aca="false">IF(IFERROR(INDEX(tsk_Name,(ROW()-ROW(MSPTasks[[#Headers],[ID]])))="",TRUE()),"",INDEX(tsk_ID,(ROW()-ROW(MSPTasks[[#Headers],[ID]]))))</f>
        <v/>
      </c>
      <c r="B145" s="24" t="str">
        <f aca="false">IF(IFERROR(INDEX(tsk_Name,(ROW()-ROW(MSPTasks[[#Headers],[ID]])))="",TRUE()),"",INDEX(tsk_UID,(ROW()-ROW(MSPTasks[[#Headers],[ID]]))))</f>
        <v/>
      </c>
      <c r="C145" s="24" t="str">
        <f aca="false">IF(IFERROR(INDEX(tsk_Name,(ROW()-ROW(MSPTasks[[#Headers],[ID]])))="",TRUE()),"",INDEX(tsk_Name,(ROW()-ROW(MSPTasks[[#Headers],[ID]]))))</f>
        <v/>
      </c>
      <c r="D145" s="24" t="str">
        <f aca="false">IF(IFERROR(INDEX(tsk_Name,(ROW()-ROW(MSPTasks[[#Headers],[ID]])))="",TRUE()),"",INDEX(tsk_Level,(ROW()-ROW(MSPTasks[[#Headers],[ID]]))))</f>
        <v/>
      </c>
      <c r="E145" s="24" t="str">
        <f aca="false">IF(IFERROR(INDEX(tsk_Name,(ROW()-ROW(MSPTasks[[#Headers],[ID]])))="",TRUE()),"",IF(INDEX(tsk_Mode,(ROW()-ROW(MSPTasks[[#Headers],[ID]])))="Manual","Manually Scheduled","Auto Scheduled"))</f>
        <v/>
      </c>
      <c r="F14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45" s="115" t="str">
        <f aca="false">IF(IFERROR(INDEX(tsk_Name,(ROW()-ROW(MSPTasks[[#Headers],[ID]])))="",TRUE()),"",INDEX(tsk_FcStart,(ROW()-ROW(MSPTasks[[#Headers],[ID]]))))</f>
        <v/>
      </c>
      <c r="H145" s="115" t="str">
        <f aca="false">IF(IFERROR(INDEX(tsk_Name,(ROW()-ROW(MSPTasks[[#Headers],[ID]])))="",TRUE()),"",INDEX(tsk_FcFinish,(ROW()-ROW(MSPTasks[[#Headers],[ID]]))))</f>
        <v/>
      </c>
      <c r="I14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4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4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4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4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4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45" s="115" t="str">
        <f aca="false">IF(IFERROR(INDEX(tsk_Name,(ROW()-ROW(MSPTasks[[#Headers],[ID]])))="",TRUE()),"",INDEX(tsk_PlanStart,(ROW()-ROW(MSPTasks[[#Headers],[ID]]))))</f>
        <v/>
      </c>
      <c r="P145" s="115" t="str">
        <f aca="false">IF(IFERROR(INDEX(tsk_Name,(ROW()-ROW(MSPTasks[[#Headers],[ID]])))="",TRUE()),"",INDEX(tsk_PlanFinish,(ROW()-ROW(MSPTasks[[#Headers],[ID]]))))</f>
        <v/>
      </c>
      <c r="Q14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4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4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4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4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4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4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4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4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45" s="24" t="str">
        <f aca="false">IF(IFERROR(INDEX(tsk_Name,(ROW()-ROW(MSPTasks[[#Headers],[ID]])))="",TRUE()),"",INDEX(tsk_Notes,(ROW()-ROW(MSPTasks[[#Headers],[ID]])))&amp;"")</f>
        <v/>
      </c>
    </row>
    <row r="146" customFormat="false" ht="15" hidden="false" customHeight="false" outlineLevel="0" collapsed="false">
      <c r="A146" s="24" t="str">
        <f aca="false">IF(IFERROR(INDEX(tsk_Name,(ROW()-ROW(MSPTasks[[#Headers],[ID]])))="",TRUE()),"",INDEX(tsk_ID,(ROW()-ROW(MSPTasks[[#Headers],[ID]]))))</f>
        <v/>
      </c>
      <c r="B146" s="24" t="str">
        <f aca="false">IF(IFERROR(INDEX(tsk_Name,(ROW()-ROW(MSPTasks[[#Headers],[ID]])))="",TRUE()),"",INDEX(tsk_UID,(ROW()-ROW(MSPTasks[[#Headers],[ID]]))))</f>
        <v/>
      </c>
      <c r="C146" s="24" t="str">
        <f aca="false">IF(IFERROR(INDEX(tsk_Name,(ROW()-ROW(MSPTasks[[#Headers],[ID]])))="",TRUE()),"",INDEX(tsk_Name,(ROW()-ROW(MSPTasks[[#Headers],[ID]]))))</f>
        <v/>
      </c>
      <c r="D146" s="24" t="str">
        <f aca="false">IF(IFERROR(INDEX(tsk_Name,(ROW()-ROW(MSPTasks[[#Headers],[ID]])))="",TRUE()),"",INDEX(tsk_Level,(ROW()-ROW(MSPTasks[[#Headers],[ID]]))))</f>
        <v/>
      </c>
      <c r="E146" s="24" t="str">
        <f aca="false">IF(IFERROR(INDEX(tsk_Name,(ROW()-ROW(MSPTasks[[#Headers],[ID]])))="",TRUE()),"",IF(INDEX(tsk_Mode,(ROW()-ROW(MSPTasks[[#Headers],[ID]])))="Manual","Manually Scheduled","Auto Scheduled"))</f>
        <v/>
      </c>
      <c r="F14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46" s="115" t="str">
        <f aca="false">IF(IFERROR(INDEX(tsk_Name,(ROW()-ROW(MSPTasks[[#Headers],[ID]])))="",TRUE()),"",INDEX(tsk_FcStart,(ROW()-ROW(MSPTasks[[#Headers],[ID]]))))</f>
        <v/>
      </c>
      <c r="H146" s="115" t="str">
        <f aca="false">IF(IFERROR(INDEX(tsk_Name,(ROW()-ROW(MSPTasks[[#Headers],[ID]])))="",TRUE()),"",INDEX(tsk_FcFinish,(ROW()-ROW(MSPTasks[[#Headers],[ID]]))))</f>
        <v/>
      </c>
      <c r="I14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4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4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4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4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4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46" s="115" t="str">
        <f aca="false">IF(IFERROR(INDEX(tsk_Name,(ROW()-ROW(MSPTasks[[#Headers],[ID]])))="",TRUE()),"",INDEX(tsk_PlanStart,(ROW()-ROW(MSPTasks[[#Headers],[ID]]))))</f>
        <v/>
      </c>
      <c r="P146" s="115" t="str">
        <f aca="false">IF(IFERROR(INDEX(tsk_Name,(ROW()-ROW(MSPTasks[[#Headers],[ID]])))="",TRUE()),"",INDEX(tsk_PlanFinish,(ROW()-ROW(MSPTasks[[#Headers],[ID]]))))</f>
        <v/>
      </c>
      <c r="Q14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4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4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4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4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4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4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4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4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46" s="24" t="str">
        <f aca="false">IF(IFERROR(INDEX(tsk_Name,(ROW()-ROW(MSPTasks[[#Headers],[ID]])))="",TRUE()),"",INDEX(tsk_Notes,(ROW()-ROW(MSPTasks[[#Headers],[ID]])))&amp;"")</f>
        <v/>
      </c>
    </row>
    <row r="147" customFormat="false" ht="15" hidden="false" customHeight="false" outlineLevel="0" collapsed="false">
      <c r="A147" s="24" t="str">
        <f aca="false">IF(IFERROR(INDEX(tsk_Name,(ROW()-ROW(MSPTasks[[#Headers],[ID]])))="",TRUE()),"",INDEX(tsk_ID,(ROW()-ROW(MSPTasks[[#Headers],[ID]]))))</f>
        <v/>
      </c>
      <c r="B147" s="24" t="str">
        <f aca="false">IF(IFERROR(INDEX(tsk_Name,(ROW()-ROW(MSPTasks[[#Headers],[ID]])))="",TRUE()),"",INDEX(tsk_UID,(ROW()-ROW(MSPTasks[[#Headers],[ID]]))))</f>
        <v/>
      </c>
      <c r="C147" s="24" t="str">
        <f aca="false">IF(IFERROR(INDEX(tsk_Name,(ROW()-ROW(MSPTasks[[#Headers],[ID]])))="",TRUE()),"",INDEX(tsk_Name,(ROW()-ROW(MSPTasks[[#Headers],[ID]]))))</f>
        <v/>
      </c>
      <c r="D147" s="24" t="str">
        <f aca="false">IF(IFERROR(INDEX(tsk_Name,(ROW()-ROW(MSPTasks[[#Headers],[ID]])))="",TRUE()),"",INDEX(tsk_Level,(ROW()-ROW(MSPTasks[[#Headers],[ID]]))))</f>
        <v/>
      </c>
      <c r="E147" s="24" t="str">
        <f aca="false">IF(IFERROR(INDEX(tsk_Name,(ROW()-ROW(MSPTasks[[#Headers],[ID]])))="",TRUE()),"",IF(INDEX(tsk_Mode,(ROW()-ROW(MSPTasks[[#Headers],[ID]])))="Manual","Manually Scheduled","Auto Scheduled"))</f>
        <v/>
      </c>
      <c r="F14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47" s="115" t="str">
        <f aca="false">IF(IFERROR(INDEX(tsk_Name,(ROW()-ROW(MSPTasks[[#Headers],[ID]])))="",TRUE()),"",INDEX(tsk_FcStart,(ROW()-ROW(MSPTasks[[#Headers],[ID]]))))</f>
        <v/>
      </c>
      <c r="H147" s="115" t="str">
        <f aca="false">IF(IFERROR(INDEX(tsk_Name,(ROW()-ROW(MSPTasks[[#Headers],[ID]])))="",TRUE()),"",INDEX(tsk_FcFinish,(ROW()-ROW(MSPTasks[[#Headers],[ID]]))))</f>
        <v/>
      </c>
      <c r="I14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4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4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4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4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4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47" s="115" t="str">
        <f aca="false">IF(IFERROR(INDEX(tsk_Name,(ROW()-ROW(MSPTasks[[#Headers],[ID]])))="",TRUE()),"",INDEX(tsk_PlanStart,(ROW()-ROW(MSPTasks[[#Headers],[ID]]))))</f>
        <v/>
      </c>
      <c r="P147" s="115" t="str">
        <f aca="false">IF(IFERROR(INDEX(tsk_Name,(ROW()-ROW(MSPTasks[[#Headers],[ID]])))="",TRUE()),"",INDEX(tsk_PlanFinish,(ROW()-ROW(MSPTasks[[#Headers],[ID]]))))</f>
        <v/>
      </c>
      <c r="Q14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4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4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4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4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4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4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4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4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47" s="24" t="str">
        <f aca="false">IF(IFERROR(INDEX(tsk_Name,(ROW()-ROW(MSPTasks[[#Headers],[ID]])))="",TRUE()),"",INDEX(tsk_Notes,(ROW()-ROW(MSPTasks[[#Headers],[ID]])))&amp;"")</f>
        <v/>
      </c>
    </row>
    <row r="148" customFormat="false" ht="15" hidden="false" customHeight="false" outlineLevel="0" collapsed="false">
      <c r="A148" s="24" t="str">
        <f aca="false">IF(IFERROR(INDEX(tsk_Name,(ROW()-ROW(MSPTasks[[#Headers],[ID]])))="",TRUE()),"",INDEX(tsk_ID,(ROW()-ROW(MSPTasks[[#Headers],[ID]]))))</f>
        <v/>
      </c>
      <c r="B148" s="24" t="str">
        <f aca="false">IF(IFERROR(INDEX(tsk_Name,(ROW()-ROW(MSPTasks[[#Headers],[ID]])))="",TRUE()),"",INDEX(tsk_UID,(ROW()-ROW(MSPTasks[[#Headers],[ID]]))))</f>
        <v/>
      </c>
      <c r="C148" s="24" t="str">
        <f aca="false">IF(IFERROR(INDEX(tsk_Name,(ROW()-ROW(MSPTasks[[#Headers],[ID]])))="",TRUE()),"",INDEX(tsk_Name,(ROW()-ROW(MSPTasks[[#Headers],[ID]]))))</f>
        <v/>
      </c>
      <c r="D148" s="24" t="str">
        <f aca="false">IF(IFERROR(INDEX(tsk_Name,(ROW()-ROW(MSPTasks[[#Headers],[ID]])))="",TRUE()),"",INDEX(tsk_Level,(ROW()-ROW(MSPTasks[[#Headers],[ID]]))))</f>
        <v/>
      </c>
      <c r="E148" s="24" t="str">
        <f aca="false">IF(IFERROR(INDEX(tsk_Name,(ROW()-ROW(MSPTasks[[#Headers],[ID]])))="",TRUE()),"",IF(INDEX(tsk_Mode,(ROW()-ROW(MSPTasks[[#Headers],[ID]])))="Manual","Manually Scheduled","Auto Scheduled"))</f>
        <v/>
      </c>
      <c r="F14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48" s="115" t="str">
        <f aca="false">IF(IFERROR(INDEX(tsk_Name,(ROW()-ROW(MSPTasks[[#Headers],[ID]])))="",TRUE()),"",INDEX(tsk_FcStart,(ROW()-ROW(MSPTasks[[#Headers],[ID]]))))</f>
        <v/>
      </c>
      <c r="H148" s="115" t="str">
        <f aca="false">IF(IFERROR(INDEX(tsk_Name,(ROW()-ROW(MSPTasks[[#Headers],[ID]])))="",TRUE()),"",INDEX(tsk_FcFinish,(ROW()-ROW(MSPTasks[[#Headers],[ID]]))))</f>
        <v/>
      </c>
      <c r="I14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4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4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4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4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4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48" s="115" t="str">
        <f aca="false">IF(IFERROR(INDEX(tsk_Name,(ROW()-ROW(MSPTasks[[#Headers],[ID]])))="",TRUE()),"",INDEX(tsk_PlanStart,(ROW()-ROW(MSPTasks[[#Headers],[ID]]))))</f>
        <v/>
      </c>
      <c r="P148" s="115" t="str">
        <f aca="false">IF(IFERROR(INDEX(tsk_Name,(ROW()-ROW(MSPTasks[[#Headers],[ID]])))="",TRUE()),"",INDEX(tsk_PlanFinish,(ROW()-ROW(MSPTasks[[#Headers],[ID]]))))</f>
        <v/>
      </c>
      <c r="Q14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4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4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4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4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4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4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4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4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48" s="24" t="str">
        <f aca="false">IF(IFERROR(INDEX(tsk_Name,(ROW()-ROW(MSPTasks[[#Headers],[ID]])))="",TRUE()),"",INDEX(tsk_Notes,(ROW()-ROW(MSPTasks[[#Headers],[ID]])))&amp;"")</f>
        <v/>
      </c>
    </row>
    <row r="149" customFormat="false" ht="15" hidden="false" customHeight="false" outlineLevel="0" collapsed="false">
      <c r="A149" s="24" t="str">
        <f aca="false">IF(IFERROR(INDEX(tsk_Name,(ROW()-ROW(MSPTasks[[#Headers],[ID]])))="",TRUE()),"",INDEX(tsk_ID,(ROW()-ROW(MSPTasks[[#Headers],[ID]]))))</f>
        <v/>
      </c>
      <c r="B149" s="24" t="str">
        <f aca="false">IF(IFERROR(INDEX(tsk_Name,(ROW()-ROW(MSPTasks[[#Headers],[ID]])))="",TRUE()),"",INDEX(tsk_UID,(ROW()-ROW(MSPTasks[[#Headers],[ID]]))))</f>
        <v/>
      </c>
      <c r="C149" s="24" t="str">
        <f aca="false">IF(IFERROR(INDEX(tsk_Name,(ROW()-ROW(MSPTasks[[#Headers],[ID]])))="",TRUE()),"",INDEX(tsk_Name,(ROW()-ROW(MSPTasks[[#Headers],[ID]]))))</f>
        <v/>
      </c>
      <c r="D149" s="24" t="str">
        <f aca="false">IF(IFERROR(INDEX(tsk_Name,(ROW()-ROW(MSPTasks[[#Headers],[ID]])))="",TRUE()),"",INDEX(tsk_Level,(ROW()-ROW(MSPTasks[[#Headers],[ID]]))))</f>
        <v/>
      </c>
      <c r="E149" s="24" t="str">
        <f aca="false">IF(IFERROR(INDEX(tsk_Name,(ROW()-ROW(MSPTasks[[#Headers],[ID]])))="",TRUE()),"",IF(INDEX(tsk_Mode,(ROW()-ROW(MSPTasks[[#Headers],[ID]])))="Manual","Manually Scheduled","Auto Scheduled"))</f>
        <v/>
      </c>
      <c r="F14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49" s="115" t="str">
        <f aca="false">IF(IFERROR(INDEX(tsk_Name,(ROW()-ROW(MSPTasks[[#Headers],[ID]])))="",TRUE()),"",INDEX(tsk_FcStart,(ROW()-ROW(MSPTasks[[#Headers],[ID]]))))</f>
        <v/>
      </c>
      <c r="H149" s="115" t="str">
        <f aca="false">IF(IFERROR(INDEX(tsk_Name,(ROW()-ROW(MSPTasks[[#Headers],[ID]])))="",TRUE()),"",INDEX(tsk_FcFinish,(ROW()-ROW(MSPTasks[[#Headers],[ID]]))))</f>
        <v/>
      </c>
      <c r="I14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4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4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4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4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4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49" s="115" t="str">
        <f aca="false">IF(IFERROR(INDEX(tsk_Name,(ROW()-ROW(MSPTasks[[#Headers],[ID]])))="",TRUE()),"",INDEX(tsk_PlanStart,(ROW()-ROW(MSPTasks[[#Headers],[ID]]))))</f>
        <v/>
      </c>
      <c r="P149" s="115" t="str">
        <f aca="false">IF(IFERROR(INDEX(tsk_Name,(ROW()-ROW(MSPTasks[[#Headers],[ID]])))="",TRUE()),"",INDEX(tsk_PlanFinish,(ROW()-ROW(MSPTasks[[#Headers],[ID]]))))</f>
        <v/>
      </c>
      <c r="Q14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4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4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4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4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4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4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4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4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49" s="24" t="str">
        <f aca="false">IF(IFERROR(INDEX(tsk_Name,(ROW()-ROW(MSPTasks[[#Headers],[ID]])))="",TRUE()),"",INDEX(tsk_Notes,(ROW()-ROW(MSPTasks[[#Headers],[ID]])))&amp;"")</f>
        <v/>
      </c>
    </row>
    <row r="150" customFormat="false" ht="15" hidden="false" customHeight="false" outlineLevel="0" collapsed="false">
      <c r="A150" s="24" t="str">
        <f aca="false">IF(IFERROR(INDEX(tsk_Name,(ROW()-ROW(MSPTasks[[#Headers],[ID]])))="",TRUE()),"",INDEX(tsk_ID,(ROW()-ROW(MSPTasks[[#Headers],[ID]]))))</f>
        <v/>
      </c>
      <c r="B150" s="24" t="str">
        <f aca="false">IF(IFERROR(INDEX(tsk_Name,(ROW()-ROW(MSPTasks[[#Headers],[ID]])))="",TRUE()),"",INDEX(tsk_UID,(ROW()-ROW(MSPTasks[[#Headers],[ID]]))))</f>
        <v/>
      </c>
      <c r="C150" s="24" t="str">
        <f aca="false">IF(IFERROR(INDEX(tsk_Name,(ROW()-ROW(MSPTasks[[#Headers],[ID]])))="",TRUE()),"",INDEX(tsk_Name,(ROW()-ROW(MSPTasks[[#Headers],[ID]]))))</f>
        <v/>
      </c>
      <c r="D150" s="24" t="str">
        <f aca="false">IF(IFERROR(INDEX(tsk_Name,(ROW()-ROW(MSPTasks[[#Headers],[ID]])))="",TRUE()),"",INDEX(tsk_Level,(ROW()-ROW(MSPTasks[[#Headers],[ID]]))))</f>
        <v/>
      </c>
      <c r="E150" s="24" t="str">
        <f aca="false">IF(IFERROR(INDEX(tsk_Name,(ROW()-ROW(MSPTasks[[#Headers],[ID]])))="",TRUE()),"",IF(INDEX(tsk_Mode,(ROW()-ROW(MSPTasks[[#Headers],[ID]])))="Manual","Manually Scheduled","Auto Scheduled"))</f>
        <v/>
      </c>
      <c r="F15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50" s="115" t="str">
        <f aca="false">IF(IFERROR(INDEX(tsk_Name,(ROW()-ROW(MSPTasks[[#Headers],[ID]])))="",TRUE()),"",INDEX(tsk_FcStart,(ROW()-ROW(MSPTasks[[#Headers],[ID]]))))</f>
        <v/>
      </c>
      <c r="H150" s="115" t="str">
        <f aca="false">IF(IFERROR(INDEX(tsk_Name,(ROW()-ROW(MSPTasks[[#Headers],[ID]])))="",TRUE()),"",INDEX(tsk_FcFinish,(ROW()-ROW(MSPTasks[[#Headers],[ID]]))))</f>
        <v/>
      </c>
      <c r="I15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5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5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5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5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5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50" s="115" t="str">
        <f aca="false">IF(IFERROR(INDEX(tsk_Name,(ROW()-ROW(MSPTasks[[#Headers],[ID]])))="",TRUE()),"",INDEX(tsk_PlanStart,(ROW()-ROW(MSPTasks[[#Headers],[ID]]))))</f>
        <v/>
      </c>
      <c r="P150" s="115" t="str">
        <f aca="false">IF(IFERROR(INDEX(tsk_Name,(ROW()-ROW(MSPTasks[[#Headers],[ID]])))="",TRUE()),"",INDEX(tsk_PlanFinish,(ROW()-ROW(MSPTasks[[#Headers],[ID]]))))</f>
        <v/>
      </c>
      <c r="Q15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5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5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5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5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5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5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5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5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50" s="24" t="str">
        <f aca="false">IF(IFERROR(INDEX(tsk_Name,(ROW()-ROW(MSPTasks[[#Headers],[ID]])))="",TRUE()),"",INDEX(tsk_Notes,(ROW()-ROW(MSPTasks[[#Headers],[ID]])))&amp;"")</f>
        <v/>
      </c>
    </row>
    <row r="151" customFormat="false" ht="15" hidden="false" customHeight="false" outlineLevel="0" collapsed="false">
      <c r="A151" s="24" t="str">
        <f aca="false">IF(IFERROR(INDEX(tsk_Name,(ROW()-ROW(MSPTasks[[#Headers],[ID]])))="",TRUE()),"",INDEX(tsk_ID,(ROW()-ROW(MSPTasks[[#Headers],[ID]]))))</f>
        <v/>
      </c>
      <c r="B151" s="24" t="str">
        <f aca="false">IF(IFERROR(INDEX(tsk_Name,(ROW()-ROW(MSPTasks[[#Headers],[ID]])))="",TRUE()),"",INDEX(tsk_UID,(ROW()-ROW(MSPTasks[[#Headers],[ID]]))))</f>
        <v/>
      </c>
      <c r="C151" s="24" t="str">
        <f aca="false">IF(IFERROR(INDEX(tsk_Name,(ROW()-ROW(MSPTasks[[#Headers],[ID]])))="",TRUE()),"",INDEX(tsk_Name,(ROW()-ROW(MSPTasks[[#Headers],[ID]]))))</f>
        <v/>
      </c>
      <c r="D151" s="24" t="str">
        <f aca="false">IF(IFERROR(INDEX(tsk_Name,(ROW()-ROW(MSPTasks[[#Headers],[ID]])))="",TRUE()),"",INDEX(tsk_Level,(ROW()-ROW(MSPTasks[[#Headers],[ID]]))))</f>
        <v/>
      </c>
      <c r="E151" s="24" t="str">
        <f aca="false">IF(IFERROR(INDEX(tsk_Name,(ROW()-ROW(MSPTasks[[#Headers],[ID]])))="",TRUE()),"",IF(INDEX(tsk_Mode,(ROW()-ROW(MSPTasks[[#Headers],[ID]])))="Manual","Manually Scheduled","Auto Scheduled"))</f>
        <v/>
      </c>
      <c r="F15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51" s="115" t="str">
        <f aca="false">IF(IFERROR(INDEX(tsk_Name,(ROW()-ROW(MSPTasks[[#Headers],[ID]])))="",TRUE()),"",INDEX(tsk_FcStart,(ROW()-ROW(MSPTasks[[#Headers],[ID]]))))</f>
        <v/>
      </c>
      <c r="H151" s="115" t="str">
        <f aca="false">IF(IFERROR(INDEX(tsk_Name,(ROW()-ROW(MSPTasks[[#Headers],[ID]])))="",TRUE()),"",INDEX(tsk_FcFinish,(ROW()-ROW(MSPTasks[[#Headers],[ID]]))))</f>
        <v/>
      </c>
      <c r="I15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5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5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5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5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5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51" s="115" t="str">
        <f aca="false">IF(IFERROR(INDEX(tsk_Name,(ROW()-ROW(MSPTasks[[#Headers],[ID]])))="",TRUE()),"",INDEX(tsk_PlanStart,(ROW()-ROW(MSPTasks[[#Headers],[ID]]))))</f>
        <v/>
      </c>
      <c r="P151" s="115" t="str">
        <f aca="false">IF(IFERROR(INDEX(tsk_Name,(ROW()-ROW(MSPTasks[[#Headers],[ID]])))="",TRUE()),"",INDEX(tsk_PlanFinish,(ROW()-ROW(MSPTasks[[#Headers],[ID]]))))</f>
        <v/>
      </c>
      <c r="Q15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5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5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5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5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5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5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5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5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51" s="24" t="str">
        <f aca="false">IF(IFERROR(INDEX(tsk_Name,(ROW()-ROW(MSPTasks[[#Headers],[ID]])))="",TRUE()),"",INDEX(tsk_Notes,(ROW()-ROW(MSPTasks[[#Headers],[ID]])))&amp;"")</f>
        <v/>
      </c>
    </row>
    <row r="152" customFormat="false" ht="15" hidden="false" customHeight="false" outlineLevel="0" collapsed="false">
      <c r="A152" s="24" t="str">
        <f aca="false">IF(IFERROR(INDEX(tsk_Name,(ROW()-ROW(MSPTasks[[#Headers],[ID]])))="",TRUE()),"",INDEX(tsk_ID,(ROW()-ROW(MSPTasks[[#Headers],[ID]]))))</f>
        <v/>
      </c>
      <c r="B152" s="24" t="str">
        <f aca="false">IF(IFERROR(INDEX(tsk_Name,(ROW()-ROW(MSPTasks[[#Headers],[ID]])))="",TRUE()),"",INDEX(tsk_UID,(ROW()-ROW(MSPTasks[[#Headers],[ID]]))))</f>
        <v/>
      </c>
      <c r="C152" s="24" t="str">
        <f aca="false">IF(IFERROR(INDEX(tsk_Name,(ROW()-ROW(MSPTasks[[#Headers],[ID]])))="",TRUE()),"",INDEX(tsk_Name,(ROW()-ROW(MSPTasks[[#Headers],[ID]]))))</f>
        <v/>
      </c>
      <c r="D152" s="24" t="str">
        <f aca="false">IF(IFERROR(INDEX(tsk_Name,(ROW()-ROW(MSPTasks[[#Headers],[ID]])))="",TRUE()),"",INDEX(tsk_Level,(ROW()-ROW(MSPTasks[[#Headers],[ID]]))))</f>
        <v/>
      </c>
      <c r="E152" s="24" t="str">
        <f aca="false">IF(IFERROR(INDEX(tsk_Name,(ROW()-ROW(MSPTasks[[#Headers],[ID]])))="",TRUE()),"",IF(INDEX(tsk_Mode,(ROW()-ROW(MSPTasks[[#Headers],[ID]])))="Manual","Manually Scheduled","Auto Scheduled"))</f>
        <v/>
      </c>
      <c r="F15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52" s="115" t="str">
        <f aca="false">IF(IFERROR(INDEX(tsk_Name,(ROW()-ROW(MSPTasks[[#Headers],[ID]])))="",TRUE()),"",INDEX(tsk_FcStart,(ROW()-ROW(MSPTasks[[#Headers],[ID]]))))</f>
        <v/>
      </c>
      <c r="H152" s="115" t="str">
        <f aca="false">IF(IFERROR(INDEX(tsk_Name,(ROW()-ROW(MSPTasks[[#Headers],[ID]])))="",TRUE()),"",INDEX(tsk_FcFinish,(ROW()-ROW(MSPTasks[[#Headers],[ID]]))))</f>
        <v/>
      </c>
      <c r="I15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5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5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5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5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5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52" s="115" t="str">
        <f aca="false">IF(IFERROR(INDEX(tsk_Name,(ROW()-ROW(MSPTasks[[#Headers],[ID]])))="",TRUE()),"",INDEX(tsk_PlanStart,(ROW()-ROW(MSPTasks[[#Headers],[ID]]))))</f>
        <v/>
      </c>
      <c r="P152" s="115" t="str">
        <f aca="false">IF(IFERROR(INDEX(tsk_Name,(ROW()-ROW(MSPTasks[[#Headers],[ID]])))="",TRUE()),"",INDEX(tsk_PlanFinish,(ROW()-ROW(MSPTasks[[#Headers],[ID]]))))</f>
        <v/>
      </c>
      <c r="Q15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5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5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5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5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5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5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5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5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52" s="24" t="str">
        <f aca="false">IF(IFERROR(INDEX(tsk_Name,(ROW()-ROW(MSPTasks[[#Headers],[ID]])))="",TRUE()),"",INDEX(tsk_Notes,(ROW()-ROW(MSPTasks[[#Headers],[ID]])))&amp;"")</f>
        <v/>
      </c>
    </row>
    <row r="153" customFormat="false" ht="15" hidden="false" customHeight="false" outlineLevel="0" collapsed="false">
      <c r="A153" s="24" t="str">
        <f aca="false">IF(IFERROR(INDEX(tsk_Name,(ROW()-ROW(MSPTasks[[#Headers],[ID]])))="",TRUE()),"",INDEX(tsk_ID,(ROW()-ROW(MSPTasks[[#Headers],[ID]]))))</f>
        <v/>
      </c>
      <c r="B153" s="24" t="str">
        <f aca="false">IF(IFERROR(INDEX(tsk_Name,(ROW()-ROW(MSPTasks[[#Headers],[ID]])))="",TRUE()),"",INDEX(tsk_UID,(ROW()-ROW(MSPTasks[[#Headers],[ID]]))))</f>
        <v/>
      </c>
      <c r="C153" s="24" t="str">
        <f aca="false">IF(IFERROR(INDEX(tsk_Name,(ROW()-ROW(MSPTasks[[#Headers],[ID]])))="",TRUE()),"",INDEX(tsk_Name,(ROW()-ROW(MSPTasks[[#Headers],[ID]]))))</f>
        <v/>
      </c>
      <c r="D153" s="24" t="str">
        <f aca="false">IF(IFERROR(INDEX(tsk_Name,(ROW()-ROW(MSPTasks[[#Headers],[ID]])))="",TRUE()),"",INDEX(tsk_Level,(ROW()-ROW(MSPTasks[[#Headers],[ID]]))))</f>
        <v/>
      </c>
      <c r="E153" s="24" t="str">
        <f aca="false">IF(IFERROR(INDEX(tsk_Name,(ROW()-ROW(MSPTasks[[#Headers],[ID]])))="",TRUE()),"",IF(INDEX(tsk_Mode,(ROW()-ROW(MSPTasks[[#Headers],[ID]])))="Manual","Manually Scheduled","Auto Scheduled"))</f>
        <v/>
      </c>
      <c r="F15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53" s="115" t="str">
        <f aca="false">IF(IFERROR(INDEX(tsk_Name,(ROW()-ROW(MSPTasks[[#Headers],[ID]])))="",TRUE()),"",INDEX(tsk_FcStart,(ROW()-ROW(MSPTasks[[#Headers],[ID]]))))</f>
        <v/>
      </c>
      <c r="H153" s="115" t="str">
        <f aca="false">IF(IFERROR(INDEX(tsk_Name,(ROW()-ROW(MSPTasks[[#Headers],[ID]])))="",TRUE()),"",INDEX(tsk_FcFinish,(ROW()-ROW(MSPTasks[[#Headers],[ID]]))))</f>
        <v/>
      </c>
      <c r="I15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5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5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5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5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5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53" s="115" t="str">
        <f aca="false">IF(IFERROR(INDEX(tsk_Name,(ROW()-ROW(MSPTasks[[#Headers],[ID]])))="",TRUE()),"",INDEX(tsk_PlanStart,(ROW()-ROW(MSPTasks[[#Headers],[ID]]))))</f>
        <v/>
      </c>
      <c r="P153" s="115" t="str">
        <f aca="false">IF(IFERROR(INDEX(tsk_Name,(ROW()-ROW(MSPTasks[[#Headers],[ID]])))="",TRUE()),"",INDEX(tsk_PlanFinish,(ROW()-ROW(MSPTasks[[#Headers],[ID]]))))</f>
        <v/>
      </c>
      <c r="Q15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5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5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5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5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5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5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5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5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53" s="24" t="str">
        <f aca="false">IF(IFERROR(INDEX(tsk_Name,(ROW()-ROW(MSPTasks[[#Headers],[ID]])))="",TRUE()),"",INDEX(tsk_Notes,(ROW()-ROW(MSPTasks[[#Headers],[ID]])))&amp;"")</f>
        <v/>
      </c>
    </row>
    <row r="154" customFormat="false" ht="15" hidden="false" customHeight="false" outlineLevel="0" collapsed="false">
      <c r="A154" s="24" t="str">
        <f aca="false">IF(IFERROR(INDEX(tsk_Name,(ROW()-ROW(MSPTasks[[#Headers],[ID]])))="",TRUE()),"",INDEX(tsk_ID,(ROW()-ROW(MSPTasks[[#Headers],[ID]]))))</f>
        <v/>
      </c>
      <c r="B154" s="24" t="str">
        <f aca="false">IF(IFERROR(INDEX(tsk_Name,(ROW()-ROW(MSPTasks[[#Headers],[ID]])))="",TRUE()),"",INDEX(tsk_UID,(ROW()-ROW(MSPTasks[[#Headers],[ID]]))))</f>
        <v/>
      </c>
      <c r="C154" s="24" t="str">
        <f aca="false">IF(IFERROR(INDEX(tsk_Name,(ROW()-ROW(MSPTasks[[#Headers],[ID]])))="",TRUE()),"",INDEX(tsk_Name,(ROW()-ROW(MSPTasks[[#Headers],[ID]]))))</f>
        <v/>
      </c>
      <c r="D154" s="24" t="str">
        <f aca="false">IF(IFERROR(INDEX(tsk_Name,(ROW()-ROW(MSPTasks[[#Headers],[ID]])))="",TRUE()),"",INDEX(tsk_Level,(ROW()-ROW(MSPTasks[[#Headers],[ID]]))))</f>
        <v/>
      </c>
      <c r="E154" s="24" t="str">
        <f aca="false">IF(IFERROR(INDEX(tsk_Name,(ROW()-ROW(MSPTasks[[#Headers],[ID]])))="",TRUE()),"",IF(INDEX(tsk_Mode,(ROW()-ROW(MSPTasks[[#Headers],[ID]])))="Manual","Manually Scheduled","Auto Scheduled"))</f>
        <v/>
      </c>
      <c r="F15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54" s="115" t="str">
        <f aca="false">IF(IFERROR(INDEX(tsk_Name,(ROW()-ROW(MSPTasks[[#Headers],[ID]])))="",TRUE()),"",INDEX(tsk_FcStart,(ROW()-ROW(MSPTasks[[#Headers],[ID]]))))</f>
        <v/>
      </c>
      <c r="H154" s="115" t="str">
        <f aca="false">IF(IFERROR(INDEX(tsk_Name,(ROW()-ROW(MSPTasks[[#Headers],[ID]])))="",TRUE()),"",INDEX(tsk_FcFinish,(ROW()-ROW(MSPTasks[[#Headers],[ID]]))))</f>
        <v/>
      </c>
      <c r="I15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5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5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5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5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5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54" s="115" t="str">
        <f aca="false">IF(IFERROR(INDEX(tsk_Name,(ROW()-ROW(MSPTasks[[#Headers],[ID]])))="",TRUE()),"",INDEX(tsk_PlanStart,(ROW()-ROW(MSPTasks[[#Headers],[ID]]))))</f>
        <v/>
      </c>
      <c r="P154" s="115" t="str">
        <f aca="false">IF(IFERROR(INDEX(tsk_Name,(ROW()-ROW(MSPTasks[[#Headers],[ID]])))="",TRUE()),"",INDEX(tsk_PlanFinish,(ROW()-ROW(MSPTasks[[#Headers],[ID]]))))</f>
        <v/>
      </c>
      <c r="Q15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5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5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5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5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5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5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5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5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54" s="24" t="str">
        <f aca="false">IF(IFERROR(INDEX(tsk_Name,(ROW()-ROW(MSPTasks[[#Headers],[ID]])))="",TRUE()),"",INDEX(tsk_Notes,(ROW()-ROW(MSPTasks[[#Headers],[ID]])))&amp;"")</f>
        <v/>
      </c>
    </row>
    <row r="155" customFormat="false" ht="15" hidden="false" customHeight="false" outlineLevel="0" collapsed="false">
      <c r="A155" s="24" t="str">
        <f aca="false">IF(IFERROR(INDEX(tsk_Name,(ROW()-ROW(MSPTasks[[#Headers],[ID]])))="",TRUE()),"",INDEX(tsk_ID,(ROW()-ROW(MSPTasks[[#Headers],[ID]]))))</f>
        <v/>
      </c>
      <c r="B155" s="24" t="str">
        <f aca="false">IF(IFERROR(INDEX(tsk_Name,(ROW()-ROW(MSPTasks[[#Headers],[ID]])))="",TRUE()),"",INDEX(tsk_UID,(ROW()-ROW(MSPTasks[[#Headers],[ID]]))))</f>
        <v/>
      </c>
      <c r="C155" s="24" t="str">
        <f aca="false">IF(IFERROR(INDEX(tsk_Name,(ROW()-ROW(MSPTasks[[#Headers],[ID]])))="",TRUE()),"",INDEX(tsk_Name,(ROW()-ROW(MSPTasks[[#Headers],[ID]]))))</f>
        <v/>
      </c>
      <c r="D155" s="24" t="str">
        <f aca="false">IF(IFERROR(INDEX(tsk_Name,(ROW()-ROW(MSPTasks[[#Headers],[ID]])))="",TRUE()),"",INDEX(tsk_Level,(ROW()-ROW(MSPTasks[[#Headers],[ID]]))))</f>
        <v/>
      </c>
      <c r="E155" s="24" t="str">
        <f aca="false">IF(IFERROR(INDEX(tsk_Name,(ROW()-ROW(MSPTasks[[#Headers],[ID]])))="",TRUE()),"",IF(INDEX(tsk_Mode,(ROW()-ROW(MSPTasks[[#Headers],[ID]])))="Manual","Manually Scheduled","Auto Scheduled"))</f>
        <v/>
      </c>
      <c r="F15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55" s="115" t="str">
        <f aca="false">IF(IFERROR(INDEX(tsk_Name,(ROW()-ROW(MSPTasks[[#Headers],[ID]])))="",TRUE()),"",INDEX(tsk_FcStart,(ROW()-ROW(MSPTasks[[#Headers],[ID]]))))</f>
        <v/>
      </c>
      <c r="H155" s="115" t="str">
        <f aca="false">IF(IFERROR(INDEX(tsk_Name,(ROW()-ROW(MSPTasks[[#Headers],[ID]])))="",TRUE()),"",INDEX(tsk_FcFinish,(ROW()-ROW(MSPTasks[[#Headers],[ID]]))))</f>
        <v/>
      </c>
      <c r="I15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5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5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5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5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5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55" s="115" t="str">
        <f aca="false">IF(IFERROR(INDEX(tsk_Name,(ROW()-ROW(MSPTasks[[#Headers],[ID]])))="",TRUE()),"",INDEX(tsk_PlanStart,(ROW()-ROW(MSPTasks[[#Headers],[ID]]))))</f>
        <v/>
      </c>
      <c r="P155" s="115" t="str">
        <f aca="false">IF(IFERROR(INDEX(tsk_Name,(ROW()-ROW(MSPTasks[[#Headers],[ID]])))="",TRUE()),"",INDEX(tsk_PlanFinish,(ROW()-ROW(MSPTasks[[#Headers],[ID]]))))</f>
        <v/>
      </c>
      <c r="Q15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5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5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5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5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5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5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5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5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55" s="24" t="str">
        <f aca="false">IF(IFERROR(INDEX(tsk_Name,(ROW()-ROW(MSPTasks[[#Headers],[ID]])))="",TRUE()),"",INDEX(tsk_Notes,(ROW()-ROW(MSPTasks[[#Headers],[ID]])))&amp;"")</f>
        <v/>
      </c>
    </row>
    <row r="156" customFormat="false" ht="15" hidden="false" customHeight="false" outlineLevel="0" collapsed="false">
      <c r="A156" s="24" t="str">
        <f aca="false">IF(IFERROR(INDEX(tsk_Name,(ROW()-ROW(MSPTasks[[#Headers],[ID]])))="",TRUE()),"",INDEX(tsk_ID,(ROW()-ROW(MSPTasks[[#Headers],[ID]]))))</f>
        <v/>
      </c>
      <c r="B156" s="24" t="str">
        <f aca="false">IF(IFERROR(INDEX(tsk_Name,(ROW()-ROW(MSPTasks[[#Headers],[ID]])))="",TRUE()),"",INDEX(tsk_UID,(ROW()-ROW(MSPTasks[[#Headers],[ID]]))))</f>
        <v/>
      </c>
      <c r="C156" s="24" t="str">
        <f aca="false">IF(IFERROR(INDEX(tsk_Name,(ROW()-ROW(MSPTasks[[#Headers],[ID]])))="",TRUE()),"",INDEX(tsk_Name,(ROW()-ROW(MSPTasks[[#Headers],[ID]]))))</f>
        <v/>
      </c>
      <c r="D156" s="24" t="str">
        <f aca="false">IF(IFERROR(INDEX(tsk_Name,(ROW()-ROW(MSPTasks[[#Headers],[ID]])))="",TRUE()),"",INDEX(tsk_Level,(ROW()-ROW(MSPTasks[[#Headers],[ID]]))))</f>
        <v/>
      </c>
      <c r="E156" s="24" t="str">
        <f aca="false">IF(IFERROR(INDEX(tsk_Name,(ROW()-ROW(MSPTasks[[#Headers],[ID]])))="",TRUE()),"",IF(INDEX(tsk_Mode,(ROW()-ROW(MSPTasks[[#Headers],[ID]])))="Manual","Manually Scheduled","Auto Scheduled"))</f>
        <v/>
      </c>
      <c r="F15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56" s="115" t="str">
        <f aca="false">IF(IFERROR(INDEX(tsk_Name,(ROW()-ROW(MSPTasks[[#Headers],[ID]])))="",TRUE()),"",INDEX(tsk_FcStart,(ROW()-ROW(MSPTasks[[#Headers],[ID]]))))</f>
        <v/>
      </c>
      <c r="H156" s="115" t="str">
        <f aca="false">IF(IFERROR(INDEX(tsk_Name,(ROW()-ROW(MSPTasks[[#Headers],[ID]])))="",TRUE()),"",INDEX(tsk_FcFinish,(ROW()-ROW(MSPTasks[[#Headers],[ID]]))))</f>
        <v/>
      </c>
      <c r="I15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5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5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5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5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5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56" s="115" t="str">
        <f aca="false">IF(IFERROR(INDEX(tsk_Name,(ROW()-ROW(MSPTasks[[#Headers],[ID]])))="",TRUE()),"",INDEX(tsk_PlanStart,(ROW()-ROW(MSPTasks[[#Headers],[ID]]))))</f>
        <v/>
      </c>
      <c r="P156" s="115" t="str">
        <f aca="false">IF(IFERROR(INDEX(tsk_Name,(ROW()-ROW(MSPTasks[[#Headers],[ID]])))="",TRUE()),"",INDEX(tsk_PlanFinish,(ROW()-ROW(MSPTasks[[#Headers],[ID]]))))</f>
        <v/>
      </c>
      <c r="Q15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5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5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5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5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5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5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5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5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56" s="24" t="str">
        <f aca="false">IF(IFERROR(INDEX(tsk_Name,(ROW()-ROW(MSPTasks[[#Headers],[ID]])))="",TRUE()),"",INDEX(tsk_Notes,(ROW()-ROW(MSPTasks[[#Headers],[ID]])))&amp;"")</f>
        <v/>
      </c>
    </row>
    <row r="157" customFormat="false" ht="15" hidden="false" customHeight="false" outlineLevel="0" collapsed="false">
      <c r="A157" s="24" t="str">
        <f aca="false">IF(IFERROR(INDEX(tsk_Name,(ROW()-ROW(MSPTasks[[#Headers],[ID]])))="",TRUE()),"",INDEX(tsk_ID,(ROW()-ROW(MSPTasks[[#Headers],[ID]]))))</f>
        <v/>
      </c>
      <c r="B157" s="24" t="str">
        <f aca="false">IF(IFERROR(INDEX(tsk_Name,(ROW()-ROW(MSPTasks[[#Headers],[ID]])))="",TRUE()),"",INDEX(tsk_UID,(ROW()-ROW(MSPTasks[[#Headers],[ID]]))))</f>
        <v/>
      </c>
      <c r="C157" s="24" t="str">
        <f aca="false">IF(IFERROR(INDEX(tsk_Name,(ROW()-ROW(MSPTasks[[#Headers],[ID]])))="",TRUE()),"",INDEX(tsk_Name,(ROW()-ROW(MSPTasks[[#Headers],[ID]]))))</f>
        <v/>
      </c>
      <c r="D157" s="24" t="str">
        <f aca="false">IF(IFERROR(INDEX(tsk_Name,(ROW()-ROW(MSPTasks[[#Headers],[ID]])))="",TRUE()),"",INDEX(tsk_Level,(ROW()-ROW(MSPTasks[[#Headers],[ID]]))))</f>
        <v/>
      </c>
      <c r="E157" s="24" t="str">
        <f aca="false">IF(IFERROR(INDEX(tsk_Name,(ROW()-ROW(MSPTasks[[#Headers],[ID]])))="",TRUE()),"",IF(INDEX(tsk_Mode,(ROW()-ROW(MSPTasks[[#Headers],[ID]])))="Manual","Manually Scheduled","Auto Scheduled"))</f>
        <v/>
      </c>
      <c r="F15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57" s="115" t="str">
        <f aca="false">IF(IFERROR(INDEX(tsk_Name,(ROW()-ROW(MSPTasks[[#Headers],[ID]])))="",TRUE()),"",INDEX(tsk_FcStart,(ROW()-ROW(MSPTasks[[#Headers],[ID]]))))</f>
        <v/>
      </c>
      <c r="H157" s="115" t="str">
        <f aca="false">IF(IFERROR(INDEX(tsk_Name,(ROW()-ROW(MSPTasks[[#Headers],[ID]])))="",TRUE()),"",INDEX(tsk_FcFinish,(ROW()-ROW(MSPTasks[[#Headers],[ID]]))))</f>
        <v/>
      </c>
      <c r="I15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5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5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5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5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5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57" s="115" t="str">
        <f aca="false">IF(IFERROR(INDEX(tsk_Name,(ROW()-ROW(MSPTasks[[#Headers],[ID]])))="",TRUE()),"",INDEX(tsk_PlanStart,(ROW()-ROW(MSPTasks[[#Headers],[ID]]))))</f>
        <v/>
      </c>
      <c r="P157" s="115" t="str">
        <f aca="false">IF(IFERROR(INDEX(tsk_Name,(ROW()-ROW(MSPTasks[[#Headers],[ID]])))="",TRUE()),"",INDEX(tsk_PlanFinish,(ROW()-ROW(MSPTasks[[#Headers],[ID]]))))</f>
        <v/>
      </c>
      <c r="Q15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5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5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5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5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5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5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5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5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57" s="24" t="str">
        <f aca="false">IF(IFERROR(INDEX(tsk_Name,(ROW()-ROW(MSPTasks[[#Headers],[ID]])))="",TRUE()),"",INDEX(tsk_Notes,(ROW()-ROW(MSPTasks[[#Headers],[ID]])))&amp;"")</f>
        <v/>
      </c>
    </row>
    <row r="158" customFormat="false" ht="15" hidden="false" customHeight="false" outlineLevel="0" collapsed="false">
      <c r="A158" s="24" t="str">
        <f aca="false">IF(IFERROR(INDEX(tsk_Name,(ROW()-ROW(MSPTasks[[#Headers],[ID]])))="",TRUE()),"",INDEX(tsk_ID,(ROW()-ROW(MSPTasks[[#Headers],[ID]]))))</f>
        <v/>
      </c>
      <c r="B158" s="24" t="str">
        <f aca="false">IF(IFERROR(INDEX(tsk_Name,(ROW()-ROW(MSPTasks[[#Headers],[ID]])))="",TRUE()),"",INDEX(tsk_UID,(ROW()-ROW(MSPTasks[[#Headers],[ID]]))))</f>
        <v/>
      </c>
      <c r="C158" s="24" t="str">
        <f aca="false">IF(IFERROR(INDEX(tsk_Name,(ROW()-ROW(MSPTasks[[#Headers],[ID]])))="",TRUE()),"",INDEX(tsk_Name,(ROW()-ROW(MSPTasks[[#Headers],[ID]]))))</f>
        <v/>
      </c>
      <c r="D158" s="24" t="str">
        <f aca="false">IF(IFERROR(INDEX(tsk_Name,(ROW()-ROW(MSPTasks[[#Headers],[ID]])))="",TRUE()),"",INDEX(tsk_Level,(ROW()-ROW(MSPTasks[[#Headers],[ID]]))))</f>
        <v/>
      </c>
      <c r="E158" s="24" t="str">
        <f aca="false">IF(IFERROR(INDEX(tsk_Name,(ROW()-ROW(MSPTasks[[#Headers],[ID]])))="",TRUE()),"",IF(INDEX(tsk_Mode,(ROW()-ROW(MSPTasks[[#Headers],[ID]])))="Manual","Manually Scheduled","Auto Scheduled"))</f>
        <v/>
      </c>
      <c r="F15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58" s="115" t="str">
        <f aca="false">IF(IFERROR(INDEX(tsk_Name,(ROW()-ROW(MSPTasks[[#Headers],[ID]])))="",TRUE()),"",INDEX(tsk_FcStart,(ROW()-ROW(MSPTasks[[#Headers],[ID]]))))</f>
        <v/>
      </c>
      <c r="H158" s="115" t="str">
        <f aca="false">IF(IFERROR(INDEX(tsk_Name,(ROW()-ROW(MSPTasks[[#Headers],[ID]])))="",TRUE()),"",INDEX(tsk_FcFinish,(ROW()-ROW(MSPTasks[[#Headers],[ID]]))))</f>
        <v/>
      </c>
      <c r="I15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5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5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5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5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5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58" s="115" t="str">
        <f aca="false">IF(IFERROR(INDEX(tsk_Name,(ROW()-ROW(MSPTasks[[#Headers],[ID]])))="",TRUE()),"",INDEX(tsk_PlanStart,(ROW()-ROW(MSPTasks[[#Headers],[ID]]))))</f>
        <v/>
      </c>
      <c r="P158" s="115" t="str">
        <f aca="false">IF(IFERROR(INDEX(tsk_Name,(ROW()-ROW(MSPTasks[[#Headers],[ID]])))="",TRUE()),"",INDEX(tsk_PlanFinish,(ROW()-ROW(MSPTasks[[#Headers],[ID]]))))</f>
        <v/>
      </c>
      <c r="Q15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5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5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5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5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5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5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5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5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58" s="24" t="str">
        <f aca="false">IF(IFERROR(INDEX(tsk_Name,(ROW()-ROW(MSPTasks[[#Headers],[ID]])))="",TRUE()),"",INDEX(tsk_Notes,(ROW()-ROW(MSPTasks[[#Headers],[ID]])))&amp;"")</f>
        <v/>
      </c>
    </row>
    <row r="159" customFormat="false" ht="15" hidden="false" customHeight="false" outlineLevel="0" collapsed="false">
      <c r="A159" s="24" t="str">
        <f aca="false">IF(IFERROR(INDEX(tsk_Name,(ROW()-ROW(MSPTasks[[#Headers],[ID]])))="",TRUE()),"",INDEX(tsk_ID,(ROW()-ROW(MSPTasks[[#Headers],[ID]]))))</f>
        <v/>
      </c>
      <c r="B159" s="24" t="str">
        <f aca="false">IF(IFERROR(INDEX(tsk_Name,(ROW()-ROW(MSPTasks[[#Headers],[ID]])))="",TRUE()),"",INDEX(tsk_UID,(ROW()-ROW(MSPTasks[[#Headers],[ID]]))))</f>
        <v/>
      </c>
      <c r="C159" s="24" t="str">
        <f aca="false">IF(IFERROR(INDEX(tsk_Name,(ROW()-ROW(MSPTasks[[#Headers],[ID]])))="",TRUE()),"",INDEX(tsk_Name,(ROW()-ROW(MSPTasks[[#Headers],[ID]]))))</f>
        <v/>
      </c>
      <c r="D159" s="24" t="str">
        <f aca="false">IF(IFERROR(INDEX(tsk_Name,(ROW()-ROW(MSPTasks[[#Headers],[ID]])))="",TRUE()),"",INDEX(tsk_Level,(ROW()-ROW(MSPTasks[[#Headers],[ID]]))))</f>
        <v/>
      </c>
      <c r="E159" s="24" t="str">
        <f aca="false">IF(IFERROR(INDEX(tsk_Name,(ROW()-ROW(MSPTasks[[#Headers],[ID]])))="",TRUE()),"",IF(INDEX(tsk_Mode,(ROW()-ROW(MSPTasks[[#Headers],[ID]])))="Manual","Manually Scheduled","Auto Scheduled"))</f>
        <v/>
      </c>
      <c r="F15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59" s="115" t="str">
        <f aca="false">IF(IFERROR(INDEX(tsk_Name,(ROW()-ROW(MSPTasks[[#Headers],[ID]])))="",TRUE()),"",INDEX(tsk_FcStart,(ROW()-ROW(MSPTasks[[#Headers],[ID]]))))</f>
        <v/>
      </c>
      <c r="H159" s="115" t="str">
        <f aca="false">IF(IFERROR(INDEX(tsk_Name,(ROW()-ROW(MSPTasks[[#Headers],[ID]])))="",TRUE()),"",INDEX(tsk_FcFinish,(ROW()-ROW(MSPTasks[[#Headers],[ID]]))))</f>
        <v/>
      </c>
      <c r="I15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5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5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5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5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5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59" s="115" t="str">
        <f aca="false">IF(IFERROR(INDEX(tsk_Name,(ROW()-ROW(MSPTasks[[#Headers],[ID]])))="",TRUE()),"",INDEX(tsk_PlanStart,(ROW()-ROW(MSPTasks[[#Headers],[ID]]))))</f>
        <v/>
      </c>
      <c r="P159" s="115" t="str">
        <f aca="false">IF(IFERROR(INDEX(tsk_Name,(ROW()-ROW(MSPTasks[[#Headers],[ID]])))="",TRUE()),"",INDEX(tsk_PlanFinish,(ROW()-ROW(MSPTasks[[#Headers],[ID]]))))</f>
        <v/>
      </c>
      <c r="Q15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5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5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5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5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5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5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5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5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59" s="24" t="str">
        <f aca="false">IF(IFERROR(INDEX(tsk_Name,(ROW()-ROW(MSPTasks[[#Headers],[ID]])))="",TRUE()),"",INDEX(tsk_Notes,(ROW()-ROW(MSPTasks[[#Headers],[ID]])))&amp;"")</f>
        <v/>
      </c>
    </row>
    <row r="160" customFormat="false" ht="15" hidden="false" customHeight="false" outlineLevel="0" collapsed="false">
      <c r="A160" s="24" t="str">
        <f aca="false">IF(IFERROR(INDEX(tsk_Name,(ROW()-ROW(MSPTasks[[#Headers],[ID]])))="",TRUE()),"",INDEX(tsk_ID,(ROW()-ROW(MSPTasks[[#Headers],[ID]]))))</f>
        <v/>
      </c>
      <c r="B160" s="24" t="str">
        <f aca="false">IF(IFERROR(INDEX(tsk_Name,(ROW()-ROW(MSPTasks[[#Headers],[ID]])))="",TRUE()),"",INDEX(tsk_UID,(ROW()-ROW(MSPTasks[[#Headers],[ID]]))))</f>
        <v/>
      </c>
      <c r="C160" s="24" t="str">
        <f aca="false">IF(IFERROR(INDEX(tsk_Name,(ROW()-ROW(MSPTasks[[#Headers],[ID]])))="",TRUE()),"",INDEX(tsk_Name,(ROW()-ROW(MSPTasks[[#Headers],[ID]]))))</f>
        <v/>
      </c>
      <c r="D160" s="24" t="str">
        <f aca="false">IF(IFERROR(INDEX(tsk_Name,(ROW()-ROW(MSPTasks[[#Headers],[ID]])))="",TRUE()),"",INDEX(tsk_Level,(ROW()-ROW(MSPTasks[[#Headers],[ID]]))))</f>
        <v/>
      </c>
      <c r="E160" s="24" t="str">
        <f aca="false">IF(IFERROR(INDEX(tsk_Name,(ROW()-ROW(MSPTasks[[#Headers],[ID]])))="",TRUE()),"",IF(INDEX(tsk_Mode,(ROW()-ROW(MSPTasks[[#Headers],[ID]])))="Manual","Manually Scheduled","Auto Scheduled"))</f>
        <v/>
      </c>
      <c r="F16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60" s="115" t="str">
        <f aca="false">IF(IFERROR(INDEX(tsk_Name,(ROW()-ROW(MSPTasks[[#Headers],[ID]])))="",TRUE()),"",INDEX(tsk_FcStart,(ROW()-ROW(MSPTasks[[#Headers],[ID]]))))</f>
        <v/>
      </c>
      <c r="H160" s="115" t="str">
        <f aca="false">IF(IFERROR(INDEX(tsk_Name,(ROW()-ROW(MSPTasks[[#Headers],[ID]])))="",TRUE()),"",INDEX(tsk_FcFinish,(ROW()-ROW(MSPTasks[[#Headers],[ID]]))))</f>
        <v/>
      </c>
      <c r="I16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6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6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6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6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6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60" s="115" t="str">
        <f aca="false">IF(IFERROR(INDEX(tsk_Name,(ROW()-ROW(MSPTasks[[#Headers],[ID]])))="",TRUE()),"",INDEX(tsk_PlanStart,(ROW()-ROW(MSPTasks[[#Headers],[ID]]))))</f>
        <v/>
      </c>
      <c r="P160" s="115" t="str">
        <f aca="false">IF(IFERROR(INDEX(tsk_Name,(ROW()-ROW(MSPTasks[[#Headers],[ID]])))="",TRUE()),"",INDEX(tsk_PlanFinish,(ROW()-ROW(MSPTasks[[#Headers],[ID]]))))</f>
        <v/>
      </c>
      <c r="Q16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6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6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6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6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6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6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6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6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60" s="24" t="str">
        <f aca="false">IF(IFERROR(INDEX(tsk_Name,(ROW()-ROW(MSPTasks[[#Headers],[ID]])))="",TRUE()),"",INDEX(tsk_Notes,(ROW()-ROW(MSPTasks[[#Headers],[ID]])))&amp;"")</f>
        <v/>
      </c>
    </row>
    <row r="161" customFormat="false" ht="15" hidden="false" customHeight="false" outlineLevel="0" collapsed="false">
      <c r="A161" s="24" t="str">
        <f aca="false">IF(IFERROR(INDEX(tsk_Name,(ROW()-ROW(MSPTasks[[#Headers],[ID]])))="",TRUE()),"",INDEX(tsk_ID,(ROW()-ROW(MSPTasks[[#Headers],[ID]]))))</f>
        <v/>
      </c>
      <c r="B161" s="24" t="str">
        <f aca="false">IF(IFERROR(INDEX(tsk_Name,(ROW()-ROW(MSPTasks[[#Headers],[ID]])))="",TRUE()),"",INDEX(tsk_UID,(ROW()-ROW(MSPTasks[[#Headers],[ID]]))))</f>
        <v/>
      </c>
      <c r="C161" s="24" t="str">
        <f aca="false">IF(IFERROR(INDEX(tsk_Name,(ROW()-ROW(MSPTasks[[#Headers],[ID]])))="",TRUE()),"",INDEX(tsk_Name,(ROW()-ROW(MSPTasks[[#Headers],[ID]]))))</f>
        <v/>
      </c>
      <c r="D161" s="24" t="str">
        <f aca="false">IF(IFERROR(INDEX(tsk_Name,(ROW()-ROW(MSPTasks[[#Headers],[ID]])))="",TRUE()),"",INDEX(tsk_Level,(ROW()-ROW(MSPTasks[[#Headers],[ID]]))))</f>
        <v/>
      </c>
      <c r="E161" s="24" t="str">
        <f aca="false">IF(IFERROR(INDEX(tsk_Name,(ROW()-ROW(MSPTasks[[#Headers],[ID]])))="",TRUE()),"",IF(INDEX(tsk_Mode,(ROW()-ROW(MSPTasks[[#Headers],[ID]])))="Manual","Manually Scheduled","Auto Scheduled"))</f>
        <v/>
      </c>
      <c r="F16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61" s="115" t="str">
        <f aca="false">IF(IFERROR(INDEX(tsk_Name,(ROW()-ROW(MSPTasks[[#Headers],[ID]])))="",TRUE()),"",INDEX(tsk_FcStart,(ROW()-ROW(MSPTasks[[#Headers],[ID]]))))</f>
        <v/>
      </c>
      <c r="H161" s="115" t="str">
        <f aca="false">IF(IFERROR(INDEX(tsk_Name,(ROW()-ROW(MSPTasks[[#Headers],[ID]])))="",TRUE()),"",INDEX(tsk_FcFinish,(ROW()-ROW(MSPTasks[[#Headers],[ID]]))))</f>
        <v/>
      </c>
      <c r="I16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6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6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6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6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6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61" s="115" t="str">
        <f aca="false">IF(IFERROR(INDEX(tsk_Name,(ROW()-ROW(MSPTasks[[#Headers],[ID]])))="",TRUE()),"",INDEX(tsk_PlanStart,(ROW()-ROW(MSPTasks[[#Headers],[ID]]))))</f>
        <v/>
      </c>
      <c r="P161" s="115" t="str">
        <f aca="false">IF(IFERROR(INDEX(tsk_Name,(ROW()-ROW(MSPTasks[[#Headers],[ID]])))="",TRUE()),"",INDEX(tsk_PlanFinish,(ROW()-ROW(MSPTasks[[#Headers],[ID]]))))</f>
        <v/>
      </c>
      <c r="Q16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6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6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6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6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6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6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6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6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61" s="24" t="str">
        <f aca="false">IF(IFERROR(INDEX(tsk_Name,(ROW()-ROW(MSPTasks[[#Headers],[ID]])))="",TRUE()),"",INDEX(tsk_Notes,(ROW()-ROW(MSPTasks[[#Headers],[ID]])))&amp;"")</f>
        <v/>
      </c>
    </row>
    <row r="162" customFormat="false" ht="15" hidden="false" customHeight="false" outlineLevel="0" collapsed="false">
      <c r="A162" s="24" t="str">
        <f aca="false">IF(IFERROR(INDEX(tsk_Name,(ROW()-ROW(MSPTasks[[#Headers],[ID]])))="",TRUE()),"",INDEX(tsk_ID,(ROW()-ROW(MSPTasks[[#Headers],[ID]]))))</f>
        <v/>
      </c>
      <c r="B162" s="24" t="str">
        <f aca="false">IF(IFERROR(INDEX(tsk_Name,(ROW()-ROW(MSPTasks[[#Headers],[ID]])))="",TRUE()),"",INDEX(tsk_UID,(ROW()-ROW(MSPTasks[[#Headers],[ID]]))))</f>
        <v/>
      </c>
      <c r="C162" s="24" t="str">
        <f aca="false">IF(IFERROR(INDEX(tsk_Name,(ROW()-ROW(MSPTasks[[#Headers],[ID]])))="",TRUE()),"",INDEX(tsk_Name,(ROW()-ROW(MSPTasks[[#Headers],[ID]]))))</f>
        <v/>
      </c>
      <c r="D162" s="24" t="str">
        <f aca="false">IF(IFERROR(INDEX(tsk_Name,(ROW()-ROW(MSPTasks[[#Headers],[ID]])))="",TRUE()),"",INDEX(tsk_Level,(ROW()-ROW(MSPTasks[[#Headers],[ID]]))))</f>
        <v/>
      </c>
      <c r="E162" s="24" t="str">
        <f aca="false">IF(IFERROR(INDEX(tsk_Name,(ROW()-ROW(MSPTasks[[#Headers],[ID]])))="",TRUE()),"",IF(INDEX(tsk_Mode,(ROW()-ROW(MSPTasks[[#Headers],[ID]])))="Manual","Manually Scheduled","Auto Scheduled"))</f>
        <v/>
      </c>
      <c r="F16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62" s="115" t="str">
        <f aca="false">IF(IFERROR(INDEX(tsk_Name,(ROW()-ROW(MSPTasks[[#Headers],[ID]])))="",TRUE()),"",INDEX(tsk_FcStart,(ROW()-ROW(MSPTasks[[#Headers],[ID]]))))</f>
        <v/>
      </c>
      <c r="H162" s="115" t="str">
        <f aca="false">IF(IFERROR(INDEX(tsk_Name,(ROW()-ROW(MSPTasks[[#Headers],[ID]])))="",TRUE()),"",INDEX(tsk_FcFinish,(ROW()-ROW(MSPTasks[[#Headers],[ID]]))))</f>
        <v/>
      </c>
      <c r="I16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6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6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6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6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6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62" s="115" t="str">
        <f aca="false">IF(IFERROR(INDEX(tsk_Name,(ROW()-ROW(MSPTasks[[#Headers],[ID]])))="",TRUE()),"",INDEX(tsk_PlanStart,(ROW()-ROW(MSPTasks[[#Headers],[ID]]))))</f>
        <v/>
      </c>
      <c r="P162" s="115" t="str">
        <f aca="false">IF(IFERROR(INDEX(tsk_Name,(ROW()-ROW(MSPTasks[[#Headers],[ID]])))="",TRUE()),"",INDEX(tsk_PlanFinish,(ROW()-ROW(MSPTasks[[#Headers],[ID]]))))</f>
        <v/>
      </c>
      <c r="Q16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6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6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6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6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6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6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6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6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62" s="24" t="str">
        <f aca="false">IF(IFERROR(INDEX(tsk_Name,(ROW()-ROW(MSPTasks[[#Headers],[ID]])))="",TRUE()),"",INDEX(tsk_Notes,(ROW()-ROW(MSPTasks[[#Headers],[ID]])))&amp;"")</f>
        <v/>
      </c>
    </row>
    <row r="163" customFormat="false" ht="15" hidden="false" customHeight="false" outlineLevel="0" collapsed="false">
      <c r="A163" s="24" t="str">
        <f aca="false">IF(IFERROR(INDEX(tsk_Name,(ROW()-ROW(MSPTasks[[#Headers],[ID]])))="",TRUE()),"",INDEX(tsk_ID,(ROW()-ROW(MSPTasks[[#Headers],[ID]]))))</f>
        <v/>
      </c>
      <c r="B163" s="24" t="str">
        <f aca="false">IF(IFERROR(INDEX(tsk_Name,(ROW()-ROW(MSPTasks[[#Headers],[ID]])))="",TRUE()),"",INDEX(tsk_UID,(ROW()-ROW(MSPTasks[[#Headers],[ID]]))))</f>
        <v/>
      </c>
      <c r="C163" s="24" t="str">
        <f aca="false">IF(IFERROR(INDEX(tsk_Name,(ROW()-ROW(MSPTasks[[#Headers],[ID]])))="",TRUE()),"",INDEX(tsk_Name,(ROW()-ROW(MSPTasks[[#Headers],[ID]]))))</f>
        <v/>
      </c>
      <c r="D163" s="24" t="str">
        <f aca="false">IF(IFERROR(INDEX(tsk_Name,(ROW()-ROW(MSPTasks[[#Headers],[ID]])))="",TRUE()),"",INDEX(tsk_Level,(ROW()-ROW(MSPTasks[[#Headers],[ID]]))))</f>
        <v/>
      </c>
      <c r="E163" s="24" t="str">
        <f aca="false">IF(IFERROR(INDEX(tsk_Name,(ROW()-ROW(MSPTasks[[#Headers],[ID]])))="",TRUE()),"",IF(INDEX(tsk_Mode,(ROW()-ROW(MSPTasks[[#Headers],[ID]])))="Manual","Manually Scheduled","Auto Scheduled"))</f>
        <v/>
      </c>
      <c r="F16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63" s="115" t="str">
        <f aca="false">IF(IFERROR(INDEX(tsk_Name,(ROW()-ROW(MSPTasks[[#Headers],[ID]])))="",TRUE()),"",INDEX(tsk_FcStart,(ROW()-ROW(MSPTasks[[#Headers],[ID]]))))</f>
        <v/>
      </c>
      <c r="H163" s="115" t="str">
        <f aca="false">IF(IFERROR(INDEX(tsk_Name,(ROW()-ROW(MSPTasks[[#Headers],[ID]])))="",TRUE()),"",INDEX(tsk_FcFinish,(ROW()-ROW(MSPTasks[[#Headers],[ID]]))))</f>
        <v/>
      </c>
      <c r="I16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6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6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6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6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6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63" s="115" t="str">
        <f aca="false">IF(IFERROR(INDEX(tsk_Name,(ROW()-ROW(MSPTasks[[#Headers],[ID]])))="",TRUE()),"",INDEX(tsk_PlanStart,(ROW()-ROW(MSPTasks[[#Headers],[ID]]))))</f>
        <v/>
      </c>
      <c r="P163" s="115" t="str">
        <f aca="false">IF(IFERROR(INDEX(tsk_Name,(ROW()-ROW(MSPTasks[[#Headers],[ID]])))="",TRUE()),"",INDEX(tsk_PlanFinish,(ROW()-ROW(MSPTasks[[#Headers],[ID]]))))</f>
        <v/>
      </c>
      <c r="Q16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6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6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6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6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6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6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6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6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63" s="24" t="str">
        <f aca="false">IF(IFERROR(INDEX(tsk_Name,(ROW()-ROW(MSPTasks[[#Headers],[ID]])))="",TRUE()),"",INDEX(tsk_Notes,(ROW()-ROW(MSPTasks[[#Headers],[ID]])))&amp;"")</f>
        <v/>
      </c>
    </row>
    <row r="164" customFormat="false" ht="15" hidden="false" customHeight="false" outlineLevel="0" collapsed="false">
      <c r="A164" s="24" t="str">
        <f aca="false">IF(IFERROR(INDEX(tsk_Name,(ROW()-ROW(MSPTasks[[#Headers],[ID]])))="",TRUE()),"",INDEX(tsk_ID,(ROW()-ROW(MSPTasks[[#Headers],[ID]]))))</f>
        <v/>
      </c>
      <c r="B164" s="24" t="str">
        <f aca="false">IF(IFERROR(INDEX(tsk_Name,(ROW()-ROW(MSPTasks[[#Headers],[ID]])))="",TRUE()),"",INDEX(tsk_UID,(ROW()-ROW(MSPTasks[[#Headers],[ID]]))))</f>
        <v/>
      </c>
      <c r="C164" s="24" t="str">
        <f aca="false">IF(IFERROR(INDEX(tsk_Name,(ROW()-ROW(MSPTasks[[#Headers],[ID]])))="",TRUE()),"",INDEX(tsk_Name,(ROW()-ROW(MSPTasks[[#Headers],[ID]]))))</f>
        <v/>
      </c>
      <c r="D164" s="24" t="str">
        <f aca="false">IF(IFERROR(INDEX(tsk_Name,(ROW()-ROW(MSPTasks[[#Headers],[ID]])))="",TRUE()),"",INDEX(tsk_Level,(ROW()-ROW(MSPTasks[[#Headers],[ID]]))))</f>
        <v/>
      </c>
      <c r="E164" s="24" t="str">
        <f aca="false">IF(IFERROR(INDEX(tsk_Name,(ROW()-ROW(MSPTasks[[#Headers],[ID]])))="",TRUE()),"",IF(INDEX(tsk_Mode,(ROW()-ROW(MSPTasks[[#Headers],[ID]])))="Manual","Manually Scheduled","Auto Scheduled"))</f>
        <v/>
      </c>
      <c r="F16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64" s="115" t="str">
        <f aca="false">IF(IFERROR(INDEX(tsk_Name,(ROW()-ROW(MSPTasks[[#Headers],[ID]])))="",TRUE()),"",INDEX(tsk_FcStart,(ROW()-ROW(MSPTasks[[#Headers],[ID]]))))</f>
        <v/>
      </c>
      <c r="H164" s="115" t="str">
        <f aca="false">IF(IFERROR(INDEX(tsk_Name,(ROW()-ROW(MSPTasks[[#Headers],[ID]])))="",TRUE()),"",INDEX(tsk_FcFinish,(ROW()-ROW(MSPTasks[[#Headers],[ID]]))))</f>
        <v/>
      </c>
      <c r="I16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6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6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6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6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6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64" s="115" t="str">
        <f aca="false">IF(IFERROR(INDEX(tsk_Name,(ROW()-ROW(MSPTasks[[#Headers],[ID]])))="",TRUE()),"",INDEX(tsk_PlanStart,(ROW()-ROW(MSPTasks[[#Headers],[ID]]))))</f>
        <v/>
      </c>
      <c r="P164" s="115" t="str">
        <f aca="false">IF(IFERROR(INDEX(tsk_Name,(ROW()-ROW(MSPTasks[[#Headers],[ID]])))="",TRUE()),"",INDEX(tsk_PlanFinish,(ROW()-ROW(MSPTasks[[#Headers],[ID]]))))</f>
        <v/>
      </c>
      <c r="Q16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6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6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6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6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6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6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6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6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64" s="24" t="str">
        <f aca="false">IF(IFERROR(INDEX(tsk_Name,(ROW()-ROW(MSPTasks[[#Headers],[ID]])))="",TRUE()),"",INDEX(tsk_Notes,(ROW()-ROW(MSPTasks[[#Headers],[ID]])))&amp;"")</f>
        <v/>
      </c>
    </row>
    <row r="165" customFormat="false" ht="15" hidden="false" customHeight="false" outlineLevel="0" collapsed="false">
      <c r="A165" s="24" t="str">
        <f aca="false">IF(IFERROR(INDEX(tsk_Name,(ROW()-ROW(MSPTasks[[#Headers],[ID]])))="",TRUE()),"",INDEX(tsk_ID,(ROW()-ROW(MSPTasks[[#Headers],[ID]]))))</f>
        <v/>
      </c>
      <c r="B165" s="24" t="str">
        <f aca="false">IF(IFERROR(INDEX(tsk_Name,(ROW()-ROW(MSPTasks[[#Headers],[ID]])))="",TRUE()),"",INDEX(tsk_UID,(ROW()-ROW(MSPTasks[[#Headers],[ID]]))))</f>
        <v/>
      </c>
      <c r="C165" s="24" t="str">
        <f aca="false">IF(IFERROR(INDEX(tsk_Name,(ROW()-ROW(MSPTasks[[#Headers],[ID]])))="",TRUE()),"",INDEX(tsk_Name,(ROW()-ROW(MSPTasks[[#Headers],[ID]]))))</f>
        <v/>
      </c>
      <c r="D165" s="24" t="str">
        <f aca="false">IF(IFERROR(INDEX(tsk_Name,(ROW()-ROW(MSPTasks[[#Headers],[ID]])))="",TRUE()),"",INDEX(tsk_Level,(ROW()-ROW(MSPTasks[[#Headers],[ID]]))))</f>
        <v/>
      </c>
      <c r="E165" s="24" t="str">
        <f aca="false">IF(IFERROR(INDEX(tsk_Name,(ROW()-ROW(MSPTasks[[#Headers],[ID]])))="",TRUE()),"",IF(INDEX(tsk_Mode,(ROW()-ROW(MSPTasks[[#Headers],[ID]])))="Manual","Manually Scheduled","Auto Scheduled"))</f>
        <v/>
      </c>
      <c r="F16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65" s="115" t="str">
        <f aca="false">IF(IFERROR(INDEX(tsk_Name,(ROW()-ROW(MSPTasks[[#Headers],[ID]])))="",TRUE()),"",INDEX(tsk_FcStart,(ROW()-ROW(MSPTasks[[#Headers],[ID]]))))</f>
        <v/>
      </c>
      <c r="H165" s="115" t="str">
        <f aca="false">IF(IFERROR(INDEX(tsk_Name,(ROW()-ROW(MSPTasks[[#Headers],[ID]])))="",TRUE()),"",INDEX(tsk_FcFinish,(ROW()-ROW(MSPTasks[[#Headers],[ID]]))))</f>
        <v/>
      </c>
      <c r="I16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6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6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6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6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6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65" s="115" t="str">
        <f aca="false">IF(IFERROR(INDEX(tsk_Name,(ROW()-ROW(MSPTasks[[#Headers],[ID]])))="",TRUE()),"",INDEX(tsk_PlanStart,(ROW()-ROW(MSPTasks[[#Headers],[ID]]))))</f>
        <v/>
      </c>
      <c r="P165" s="115" t="str">
        <f aca="false">IF(IFERROR(INDEX(tsk_Name,(ROW()-ROW(MSPTasks[[#Headers],[ID]])))="",TRUE()),"",INDEX(tsk_PlanFinish,(ROW()-ROW(MSPTasks[[#Headers],[ID]]))))</f>
        <v/>
      </c>
      <c r="Q16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6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6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6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6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6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6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6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6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65" s="24" t="str">
        <f aca="false">IF(IFERROR(INDEX(tsk_Name,(ROW()-ROW(MSPTasks[[#Headers],[ID]])))="",TRUE()),"",INDEX(tsk_Notes,(ROW()-ROW(MSPTasks[[#Headers],[ID]])))&amp;"")</f>
        <v/>
      </c>
    </row>
    <row r="166" customFormat="false" ht="15" hidden="false" customHeight="false" outlineLevel="0" collapsed="false">
      <c r="A166" s="24" t="str">
        <f aca="false">IF(IFERROR(INDEX(tsk_Name,(ROW()-ROW(MSPTasks[[#Headers],[ID]])))="",TRUE()),"",INDEX(tsk_ID,(ROW()-ROW(MSPTasks[[#Headers],[ID]]))))</f>
        <v/>
      </c>
      <c r="B166" s="24" t="str">
        <f aca="false">IF(IFERROR(INDEX(tsk_Name,(ROW()-ROW(MSPTasks[[#Headers],[ID]])))="",TRUE()),"",INDEX(tsk_UID,(ROW()-ROW(MSPTasks[[#Headers],[ID]]))))</f>
        <v/>
      </c>
      <c r="C166" s="24" t="str">
        <f aca="false">IF(IFERROR(INDEX(tsk_Name,(ROW()-ROW(MSPTasks[[#Headers],[ID]])))="",TRUE()),"",INDEX(tsk_Name,(ROW()-ROW(MSPTasks[[#Headers],[ID]]))))</f>
        <v/>
      </c>
      <c r="D166" s="24" t="str">
        <f aca="false">IF(IFERROR(INDEX(tsk_Name,(ROW()-ROW(MSPTasks[[#Headers],[ID]])))="",TRUE()),"",INDEX(tsk_Level,(ROW()-ROW(MSPTasks[[#Headers],[ID]]))))</f>
        <v/>
      </c>
      <c r="E166" s="24" t="str">
        <f aca="false">IF(IFERROR(INDEX(tsk_Name,(ROW()-ROW(MSPTasks[[#Headers],[ID]])))="",TRUE()),"",IF(INDEX(tsk_Mode,(ROW()-ROW(MSPTasks[[#Headers],[ID]])))="Manual","Manually Scheduled","Auto Scheduled"))</f>
        <v/>
      </c>
      <c r="F16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66" s="115" t="str">
        <f aca="false">IF(IFERROR(INDEX(tsk_Name,(ROW()-ROW(MSPTasks[[#Headers],[ID]])))="",TRUE()),"",INDEX(tsk_FcStart,(ROW()-ROW(MSPTasks[[#Headers],[ID]]))))</f>
        <v/>
      </c>
      <c r="H166" s="115" t="str">
        <f aca="false">IF(IFERROR(INDEX(tsk_Name,(ROW()-ROW(MSPTasks[[#Headers],[ID]])))="",TRUE()),"",INDEX(tsk_FcFinish,(ROW()-ROW(MSPTasks[[#Headers],[ID]]))))</f>
        <v/>
      </c>
      <c r="I16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6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6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6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6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6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66" s="115" t="str">
        <f aca="false">IF(IFERROR(INDEX(tsk_Name,(ROW()-ROW(MSPTasks[[#Headers],[ID]])))="",TRUE()),"",INDEX(tsk_PlanStart,(ROW()-ROW(MSPTasks[[#Headers],[ID]]))))</f>
        <v/>
      </c>
      <c r="P166" s="115" t="str">
        <f aca="false">IF(IFERROR(INDEX(tsk_Name,(ROW()-ROW(MSPTasks[[#Headers],[ID]])))="",TRUE()),"",INDEX(tsk_PlanFinish,(ROW()-ROW(MSPTasks[[#Headers],[ID]]))))</f>
        <v/>
      </c>
      <c r="Q16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6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6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6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6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6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6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6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6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66" s="24" t="str">
        <f aca="false">IF(IFERROR(INDEX(tsk_Name,(ROW()-ROW(MSPTasks[[#Headers],[ID]])))="",TRUE()),"",INDEX(tsk_Notes,(ROW()-ROW(MSPTasks[[#Headers],[ID]])))&amp;"")</f>
        <v/>
      </c>
    </row>
    <row r="167" customFormat="false" ht="15" hidden="false" customHeight="false" outlineLevel="0" collapsed="false">
      <c r="A167" s="24" t="str">
        <f aca="false">IF(IFERROR(INDEX(tsk_Name,(ROW()-ROW(MSPTasks[[#Headers],[ID]])))="",TRUE()),"",INDEX(tsk_ID,(ROW()-ROW(MSPTasks[[#Headers],[ID]]))))</f>
        <v/>
      </c>
      <c r="B167" s="24" t="str">
        <f aca="false">IF(IFERROR(INDEX(tsk_Name,(ROW()-ROW(MSPTasks[[#Headers],[ID]])))="",TRUE()),"",INDEX(tsk_UID,(ROW()-ROW(MSPTasks[[#Headers],[ID]]))))</f>
        <v/>
      </c>
      <c r="C167" s="24" t="str">
        <f aca="false">IF(IFERROR(INDEX(tsk_Name,(ROW()-ROW(MSPTasks[[#Headers],[ID]])))="",TRUE()),"",INDEX(tsk_Name,(ROW()-ROW(MSPTasks[[#Headers],[ID]]))))</f>
        <v/>
      </c>
      <c r="D167" s="24" t="str">
        <f aca="false">IF(IFERROR(INDEX(tsk_Name,(ROW()-ROW(MSPTasks[[#Headers],[ID]])))="",TRUE()),"",INDEX(tsk_Level,(ROW()-ROW(MSPTasks[[#Headers],[ID]]))))</f>
        <v/>
      </c>
      <c r="E167" s="24" t="str">
        <f aca="false">IF(IFERROR(INDEX(tsk_Name,(ROW()-ROW(MSPTasks[[#Headers],[ID]])))="",TRUE()),"",IF(INDEX(tsk_Mode,(ROW()-ROW(MSPTasks[[#Headers],[ID]])))="Manual","Manually Scheduled","Auto Scheduled"))</f>
        <v/>
      </c>
      <c r="F16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67" s="115" t="str">
        <f aca="false">IF(IFERROR(INDEX(tsk_Name,(ROW()-ROW(MSPTasks[[#Headers],[ID]])))="",TRUE()),"",INDEX(tsk_FcStart,(ROW()-ROW(MSPTasks[[#Headers],[ID]]))))</f>
        <v/>
      </c>
      <c r="H167" s="115" t="str">
        <f aca="false">IF(IFERROR(INDEX(tsk_Name,(ROW()-ROW(MSPTasks[[#Headers],[ID]])))="",TRUE()),"",INDEX(tsk_FcFinish,(ROW()-ROW(MSPTasks[[#Headers],[ID]]))))</f>
        <v/>
      </c>
      <c r="I16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6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6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6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6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6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67" s="115" t="str">
        <f aca="false">IF(IFERROR(INDEX(tsk_Name,(ROW()-ROW(MSPTasks[[#Headers],[ID]])))="",TRUE()),"",INDEX(tsk_PlanStart,(ROW()-ROW(MSPTasks[[#Headers],[ID]]))))</f>
        <v/>
      </c>
      <c r="P167" s="115" t="str">
        <f aca="false">IF(IFERROR(INDEX(tsk_Name,(ROW()-ROW(MSPTasks[[#Headers],[ID]])))="",TRUE()),"",INDEX(tsk_PlanFinish,(ROW()-ROW(MSPTasks[[#Headers],[ID]]))))</f>
        <v/>
      </c>
      <c r="Q16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6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6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6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6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6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6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6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6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67" s="24" t="str">
        <f aca="false">IF(IFERROR(INDEX(tsk_Name,(ROW()-ROW(MSPTasks[[#Headers],[ID]])))="",TRUE()),"",INDEX(tsk_Notes,(ROW()-ROW(MSPTasks[[#Headers],[ID]])))&amp;"")</f>
        <v/>
      </c>
    </row>
    <row r="168" customFormat="false" ht="15" hidden="false" customHeight="false" outlineLevel="0" collapsed="false">
      <c r="A168" s="24" t="str">
        <f aca="false">IF(IFERROR(INDEX(tsk_Name,(ROW()-ROW(MSPTasks[[#Headers],[ID]])))="",TRUE()),"",INDEX(tsk_ID,(ROW()-ROW(MSPTasks[[#Headers],[ID]]))))</f>
        <v/>
      </c>
      <c r="B168" s="24" t="str">
        <f aca="false">IF(IFERROR(INDEX(tsk_Name,(ROW()-ROW(MSPTasks[[#Headers],[ID]])))="",TRUE()),"",INDEX(tsk_UID,(ROW()-ROW(MSPTasks[[#Headers],[ID]]))))</f>
        <v/>
      </c>
      <c r="C168" s="24" t="str">
        <f aca="false">IF(IFERROR(INDEX(tsk_Name,(ROW()-ROW(MSPTasks[[#Headers],[ID]])))="",TRUE()),"",INDEX(tsk_Name,(ROW()-ROW(MSPTasks[[#Headers],[ID]]))))</f>
        <v/>
      </c>
      <c r="D168" s="24" t="str">
        <f aca="false">IF(IFERROR(INDEX(tsk_Name,(ROW()-ROW(MSPTasks[[#Headers],[ID]])))="",TRUE()),"",INDEX(tsk_Level,(ROW()-ROW(MSPTasks[[#Headers],[ID]]))))</f>
        <v/>
      </c>
      <c r="E168" s="24" t="str">
        <f aca="false">IF(IFERROR(INDEX(tsk_Name,(ROW()-ROW(MSPTasks[[#Headers],[ID]])))="",TRUE()),"",IF(INDEX(tsk_Mode,(ROW()-ROW(MSPTasks[[#Headers],[ID]])))="Manual","Manually Scheduled","Auto Scheduled"))</f>
        <v/>
      </c>
      <c r="F16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68" s="115" t="str">
        <f aca="false">IF(IFERROR(INDEX(tsk_Name,(ROW()-ROW(MSPTasks[[#Headers],[ID]])))="",TRUE()),"",INDEX(tsk_FcStart,(ROW()-ROW(MSPTasks[[#Headers],[ID]]))))</f>
        <v/>
      </c>
      <c r="H168" s="115" t="str">
        <f aca="false">IF(IFERROR(INDEX(tsk_Name,(ROW()-ROW(MSPTasks[[#Headers],[ID]])))="",TRUE()),"",INDEX(tsk_FcFinish,(ROW()-ROW(MSPTasks[[#Headers],[ID]]))))</f>
        <v/>
      </c>
      <c r="I16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6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6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6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6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6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68" s="115" t="str">
        <f aca="false">IF(IFERROR(INDEX(tsk_Name,(ROW()-ROW(MSPTasks[[#Headers],[ID]])))="",TRUE()),"",INDEX(tsk_PlanStart,(ROW()-ROW(MSPTasks[[#Headers],[ID]]))))</f>
        <v/>
      </c>
      <c r="P168" s="115" t="str">
        <f aca="false">IF(IFERROR(INDEX(tsk_Name,(ROW()-ROW(MSPTasks[[#Headers],[ID]])))="",TRUE()),"",INDEX(tsk_PlanFinish,(ROW()-ROW(MSPTasks[[#Headers],[ID]]))))</f>
        <v/>
      </c>
      <c r="Q16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6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6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6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6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6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6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6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6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68" s="24" t="str">
        <f aca="false">IF(IFERROR(INDEX(tsk_Name,(ROW()-ROW(MSPTasks[[#Headers],[ID]])))="",TRUE()),"",INDEX(tsk_Notes,(ROW()-ROW(MSPTasks[[#Headers],[ID]])))&amp;"")</f>
        <v/>
      </c>
    </row>
    <row r="169" customFormat="false" ht="15" hidden="false" customHeight="false" outlineLevel="0" collapsed="false">
      <c r="A169" s="24" t="str">
        <f aca="false">IF(IFERROR(INDEX(tsk_Name,(ROW()-ROW(MSPTasks[[#Headers],[ID]])))="",TRUE()),"",INDEX(tsk_ID,(ROW()-ROW(MSPTasks[[#Headers],[ID]]))))</f>
        <v/>
      </c>
      <c r="B169" s="24" t="str">
        <f aca="false">IF(IFERROR(INDEX(tsk_Name,(ROW()-ROW(MSPTasks[[#Headers],[ID]])))="",TRUE()),"",INDEX(tsk_UID,(ROW()-ROW(MSPTasks[[#Headers],[ID]]))))</f>
        <v/>
      </c>
      <c r="C169" s="24" t="str">
        <f aca="false">IF(IFERROR(INDEX(tsk_Name,(ROW()-ROW(MSPTasks[[#Headers],[ID]])))="",TRUE()),"",INDEX(tsk_Name,(ROW()-ROW(MSPTasks[[#Headers],[ID]]))))</f>
        <v/>
      </c>
      <c r="D169" s="24" t="str">
        <f aca="false">IF(IFERROR(INDEX(tsk_Name,(ROW()-ROW(MSPTasks[[#Headers],[ID]])))="",TRUE()),"",INDEX(tsk_Level,(ROW()-ROW(MSPTasks[[#Headers],[ID]]))))</f>
        <v/>
      </c>
      <c r="E169" s="24" t="str">
        <f aca="false">IF(IFERROR(INDEX(tsk_Name,(ROW()-ROW(MSPTasks[[#Headers],[ID]])))="",TRUE()),"",IF(INDEX(tsk_Mode,(ROW()-ROW(MSPTasks[[#Headers],[ID]])))="Manual","Manually Scheduled","Auto Scheduled"))</f>
        <v/>
      </c>
      <c r="F16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69" s="115" t="str">
        <f aca="false">IF(IFERROR(INDEX(tsk_Name,(ROW()-ROW(MSPTasks[[#Headers],[ID]])))="",TRUE()),"",INDEX(tsk_FcStart,(ROW()-ROW(MSPTasks[[#Headers],[ID]]))))</f>
        <v/>
      </c>
      <c r="H169" s="115" t="str">
        <f aca="false">IF(IFERROR(INDEX(tsk_Name,(ROW()-ROW(MSPTasks[[#Headers],[ID]])))="",TRUE()),"",INDEX(tsk_FcFinish,(ROW()-ROW(MSPTasks[[#Headers],[ID]]))))</f>
        <v/>
      </c>
      <c r="I16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6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6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6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6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6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69" s="115" t="str">
        <f aca="false">IF(IFERROR(INDEX(tsk_Name,(ROW()-ROW(MSPTasks[[#Headers],[ID]])))="",TRUE()),"",INDEX(tsk_PlanStart,(ROW()-ROW(MSPTasks[[#Headers],[ID]]))))</f>
        <v/>
      </c>
      <c r="P169" s="115" t="str">
        <f aca="false">IF(IFERROR(INDEX(tsk_Name,(ROW()-ROW(MSPTasks[[#Headers],[ID]])))="",TRUE()),"",INDEX(tsk_PlanFinish,(ROW()-ROW(MSPTasks[[#Headers],[ID]]))))</f>
        <v/>
      </c>
      <c r="Q16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6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6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6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6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6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6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6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6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69" s="24" t="str">
        <f aca="false">IF(IFERROR(INDEX(tsk_Name,(ROW()-ROW(MSPTasks[[#Headers],[ID]])))="",TRUE()),"",INDEX(tsk_Notes,(ROW()-ROW(MSPTasks[[#Headers],[ID]])))&amp;"")</f>
        <v/>
      </c>
    </row>
    <row r="170" customFormat="false" ht="15" hidden="false" customHeight="false" outlineLevel="0" collapsed="false">
      <c r="A170" s="24" t="str">
        <f aca="false">IF(IFERROR(INDEX(tsk_Name,(ROW()-ROW(MSPTasks[[#Headers],[ID]])))="",TRUE()),"",INDEX(tsk_ID,(ROW()-ROW(MSPTasks[[#Headers],[ID]]))))</f>
        <v/>
      </c>
      <c r="B170" s="24" t="str">
        <f aca="false">IF(IFERROR(INDEX(tsk_Name,(ROW()-ROW(MSPTasks[[#Headers],[ID]])))="",TRUE()),"",INDEX(tsk_UID,(ROW()-ROW(MSPTasks[[#Headers],[ID]]))))</f>
        <v/>
      </c>
      <c r="C170" s="24" t="str">
        <f aca="false">IF(IFERROR(INDEX(tsk_Name,(ROW()-ROW(MSPTasks[[#Headers],[ID]])))="",TRUE()),"",INDEX(tsk_Name,(ROW()-ROW(MSPTasks[[#Headers],[ID]]))))</f>
        <v/>
      </c>
      <c r="D170" s="24" t="str">
        <f aca="false">IF(IFERROR(INDEX(tsk_Name,(ROW()-ROW(MSPTasks[[#Headers],[ID]])))="",TRUE()),"",INDEX(tsk_Level,(ROW()-ROW(MSPTasks[[#Headers],[ID]]))))</f>
        <v/>
      </c>
      <c r="E170" s="24" t="str">
        <f aca="false">IF(IFERROR(INDEX(tsk_Name,(ROW()-ROW(MSPTasks[[#Headers],[ID]])))="",TRUE()),"",IF(INDEX(tsk_Mode,(ROW()-ROW(MSPTasks[[#Headers],[ID]])))="Manual","Manually Scheduled","Auto Scheduled"))</f>
        <v/>
      </c>
      <c r="F17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70" s="115" t="str">
        <f aca="false">IF(IFERROR(INDEX(tsk_Name,(ROW()-ROW(MSPTasks[[#Headers],[ID]])))="",TRUE()),"",INDEX(tsk_FcStart,(ROW()-ROW(MSPTasks[[#Headers],[ID]]))))</f>
        <v/>
      </c>
      <c r="H170" s="115" t="str">
        <f aca="false">IF(IFERROR(INDEX(tsk_Name,(ROW()-ROW(MSPTasks[[#Headers],[ID]])))="",TRUE()),"",INDEX(tsk_FcFinish,(ROW()-ROW(MSPTasks[[#Headers],[ID]]))))</f>
        <v/>
      </c>
      <c r="I17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7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7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7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7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7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70" s="115" t="str">
        <f aca="false">IF(IFERROR(INDEX(tsk_Name,(ROW()-ROW(MSPTasks[[#Headers],[ID]])))="",TRUE()),"",INDEX(tsk_PlanStart,(ROW()-ROW(MSPTasks[[#Headers],[ID]]))))</f>
        <v/>
      </c>
      <c r="P170" s="115" t="str">
        <f aca="false">IF(IFERROR(INDEX(tsk_Name,(ROW()-ROW(MSPTasks[[#Headers],[ID]])))="",TRUE()),"",INDEX(tsk_PlanFinish,(ROW()-ROW(MSPTasks[[#Headers],[ID]]))))</f>
        <v/>
      </c>
      <c r="Q17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7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7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7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7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7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7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7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7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70" s="24" t="str">
        <f aca="false">IF(IFERROR(INDEX(tsk_Name,(ROW()-ROW(MSPTasks[[#Headers],[ID]])))="",TRUE()),"",INDEX(tsk_Notes,(ROW()-ROW(MSPTasks[[#Headers],[ID]])))&amp;"")</f>
        <v/>
      </c>
    </row>
    <row r="171" customFormat="false" ht="15" hidden="false" customHeight="false" outlineLevel="0" collapsed="false">
      <c r="A171" s="24" t="str">
        <f aca="false">IF(IFERROR(INDEX(tsk_Name,(ROW()-ROW(MSPTasks[[#Headers],[ID]])))="",TRUE()),"",INDEX(tsk_ID,(ROW()-ROW(MSPTasks[[#Headers],[ID]]))))</f>
        <v/>
      </c>
      <c r="B171" s="24" t="str">
        <f aca="false">IF(IFERROR(INDEX(tsk_Name,(ROW()-ROW(MSPTasks[[#Headers],[ID]])))="",TRUE()),"",INDEX(tsk_UID,(ROW()-ROW(MSPTasks[[#Headers],[ID]]))))</f>
        <v/>
      </c>
      <c r="C171" s="24" t="str">
        <f aca="false">IF(IFERROR(INDEX(tsk_Name,(ROW()-ROW(MSPTasks[[#Headers],[ID]])))="",TRUE()),"",INDEX(tsk_Name,(ROW()-ROW(MSPTasks[[#Headers],[ID]]))))</f>
        <v/>
      </c>
      <c r="D171" s="24" t="str">
        <f aca="false">IF(IFERROR(INDEX(tsk_Name,(ROW()-ROW(MSPTasks[[#Headers],[ID]])))="",TRUE()),"",INDEX(tsk_Level,(ROW()-ROW(MSPTasks[[#Headers],[ID]]))))</f>
        <v/>
      </c>
      <c r="E171" s="24" t="str">
        <f aca="false">IF(IFERROR(INDEX(tsk_Name,(ROW()-ROW(MSPTasks[[#Headers],[ID]])))="",TRUE()),"",IF(INDEX(tsk_Mode,(ROW()-ROW(MSPTasks[[#Headers],[ID]])))="Manual","Manually Scheduled","Auto Scheduled"))</f>
        <v/>
      </c>
      <c r="F17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71" s="115" t="str">
        <f aca="false">IF(IFERROR(INDEX(tsk_Name,(ROW()-ROW(MSPTasks[[#Headers],[ID]])))="",TRUE()),"",INDEX(tsk_FcStart,(ROW()-ROW(MSPTasks[[#Headers],[ID]]))))</f>
        <v/>
      </c>
      <c r="H171" s="115" t="str">
        <f aca="false">IF(IFERROR(INDEX(tsk_Name,(ROW()-ROW(MSPTasks[[#Headers],[ID]])))="",TRUE()),"",INDEX(tsk_FcFinish,(ROW()-ROW(MSPTasks[[#Headers],[ID]]))))</f>
        <v/>
      </c>
      <c r="I17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7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7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7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7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7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71" s="115" t="str">
        <f aca="false">IF(IFERROR(INDEX(tsk_Name,(ROW()-ROW(MSPTasks[[#Headers],[ID]])))="",TRUE()),"",INDEX(tsk_PlanStart,(ROW()-ROW(MSPTasks[[#Headers],[ID]]))))</f>
        <v/>
      </c>
      <c r="P171" s="115" t="str">
        <f aca="false">IF(IFERROR(INDEX(tsk_Name,(ROW()-ROW(MSPTasks[[#Headers],[ID]])))="",TRUE()),"",INDEX(tsk_PlanFinish,(ROW()-ROW(MSPTasks[[#Headers],[ID]]))))</f>
        <v/>
      </c>
      <c r="Q17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7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7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7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7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7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7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7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7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71" s="24" t="str">
        <f aca="false">IF(IFERROR(INDEX(tsk_Name,(ROW()-ROW(MSPTasks[[#Headers],[ID]])))="",TRUE()),"",INDEX(tsk_Notes,(ROW()-ROW(MSPTasks[[#Headers],[ID]])))&amp;"")</f>
        <v/>
      </c>
    </row>
    <row r="172" customFormat="false" ht="15" hidden="false" customHeight="false" outlineLevel="0" collapsed="false">
      <c r="A172" s="24" t="str">
        <f aca="false">IF(IFERROR(INDEX(tsk_Name,(ROW()-ROW(MSPTasks[[#Headers],[ID]])))="",TRUE()),"",INDEX(tsk_ID,(ROW()-ROW(MSPTasks[[#Headers],[ID]]))))</f>
        <v/>
      </c>
      <c r="B172" s="24" t="str">
        <f aca="false">IF(IFERROR(INDEX(tsk_Name,(ROW()-ROW(MSPTasks[[#Headers],[ID]])))="",TRUE()),"",INDEX(tsk_UID,(ROW()-ROW(MSPTasks[[#Headers],[ID]]))))</f>
        <v/>
      </c>
      <c r="C172" s="24" t="str">
        <f aca="false">IF(IFERROR(INDEX(tsk_Name,(ROW()-ROW(MSPTasks[[#Headers],[ID]])))="",TRUE()),"",INDEX(tsk_Name,(ROW()-ROW(MSPTasks[[#Headers],[ID]]))))</f>
        <v/>
      </c>
      <c r="D172" s="24" t="str">
        <f aca="false">IF(IFERROR(INDEX(tsk_Name,(ROW()-ROW(MSPTasks[[#Headers],[ID]])))="",TRUE()),"",INDEX(tsk_Level,(ROW()-ROW(MSPTasks[[#Headers],[ID]]))))</f>
        <v/>
      </c>
      <c r="E172" s="24" t="str">
        <f aca="false">IF(IFERROR(INDEX(tsk_Name,(ROW()-ROW(MSPTasks[[#Headers],[ID]])))="",TRUE()),"",IF(INDEX(tsk_Mode,(ROW()-ROW(MSPTasks[[#Headers],[ID]])))="Manual","Manually Scheduled","Auto Scheduled"))</f>
        <v/>
      </c>
      <c r="F17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72" s="115" t="str">
        <f aca="false">IF(IFERROR(INDEX(tsk_Name,(ROW()-ROW(MSPTasks[[#Headers],[ID]])))="",TRUE()),"",INDEX(tsk_FcStart,(ROW()-ROW(MSPTasks[[#Headers],[ID]]))))</f>
        <v/>
      </c>
      <c r="H172" s="115" t="str">
        <f aca="false">IF(IFERROR(INDEX(tsk_Name,(ROW()-ROW(MSPTasks[[#Headers],[ID]])))="",TRUE()),"",INDEX(tsk_FcFinish,(ROW()-ROW(MSPTasks[[#Headers],[ID]]))))</f>
        <v/>
      </c>
      <c r="I17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7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7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7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7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7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72" s="115" t="str">
        <f aca="false">IF(IFERROR(INDEX(tsk_Name,(ROW()-ROW(MSPTasks[[#Headers],[ID]])))="",TRUE()),"",INDEX(tsk_PlanStart,(ROW()-ROW(MSPTasks[[#Headers],[ID]]))))</f>
        <v/>
      </c>
      <c r="P172" s="115" t="str">
        <f aca="false">IF(IFERROR(INDEX(tsk_Name,(ROW()-ROW(MSPTasks[[#Headers],[ID]])))="",TRUE()),"",INDEX(tsk_PlanFinish,(ROW()-ROW(MSPTasks[[#Headers],[ID]]))))</f>
        <v/>
      </c>
      <c r="Q17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7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7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7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7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7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7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7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7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72" s="24" t="str">
        <f aca="false">IF(IFERROR(INDEX(tsk_Name,(ROW()-ROW(MSPTasks[[#Headers],[ID]])))="",TRUE()),"",INDEX(tsk_Notes,(ROW()-ROW(MSPTasks[[#Headers],[ID]])))&amp;"")</f>
        <v/>
      </c>
    </row>
    <row r="173" customFormat="false" ht="15" hidden="false" customHeight="false" outlineLevel="0" collapsed="false">
      <c r="A173" s="24" t="str">
        <f aca="false">IF(IFERROR(INDEX(tsk_Name,(ROW()-ROW(MSPTasks[[#Headers],[ID]])))="",TRUE()),"",INDEX(tsk_ID,(ROW()-ROW(MSPTasks[[#Headers],[ID]]))))</f>
        <v/>
      </c>
      <c r="B173" s="24" t="str">
        <f aca="false">IF(IFERROR(INDEX(tsk_Name,(ROW()-ROW(MSPTasks[[#Headers],[ID]])))="",TRUE()),"",INDEX(tsk_UID,(ROW()-ROW(MSPTasks[[#Headers],[ID]]))))</f>
        <v/>
      </c>
      <c r="C173" s="24" t="str">
        <f aca="false">IF(IFERROR(INDEX(tsk_Name,(ROW()-ROW(MSPTasks[[#Headers],[ID]])))="",TRUE()),"",INDEX(tsk_Name,(ROW()-ROW(MSPTasks[[#Headers],[ID]]))))</f>
        <v/>
      </c>
      <c r="D173" s="24" t="str">
        <f aca="false">IF(IFERROR(INDEX(tsk_Name,(ROW()-ROW(MSPTasks[[#Headers],[ID]])))="",TRUE()),"",INDEX(tsk_Level,(ROW()-ROW(MSPTasks[[#Headers],[ID]]))))</f>
        <v/>
      </c>
      <c r="E173" s="24" t="str">
        <f aca="false">IF(IFERROR(INDEX(tsk_Name,(ROW()-ROW(MSPTasks[[#Headers],[ID]])))="",TRUE()),"",IF(INDEX(tsk_Mode,(ROW()-ROW(MSPTasks[[#Headers],[ID]])))="Manual","Manually Scheduled","Auto Scheduled"))</f>
        <v/>
      </c>
      <c r="F17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73" s="115" t="str">
        <f aca="false">IF(IFERROR(INDEX(tsk_Name,(ROW()-ROW(MSPTasks[[#Headers],[ID]])))="",TRUE()),"",INDEX(tsk_FcStart,(ROW()-ROW(MSPTasks[[#Headers],[ID]]))))</f>
        <v/>
      </c>
      <c r="H173" s="115" t="str">
        <f aca="false">IF(IFERROR(INDEX(tsk_Name,(ROW()-ROW(MSPTasks[[#Headers],[ID]])))="",TRUE()),"",INDEX(tsk_FcFinish,(ROW()-ROW(MSPTasks[[#Headers],[ID]]))))</f>
        <v/>
      </c>
      <c r="I17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7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7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7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7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7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73" s="115" t="str">
        <f aca="false">IF(IFERROR(INDEX(tsk_Name,(ROW()-ROW(MSPTasks[[#Headers],[ID]])))="",TRUE()),"",INDEX(tsk_PlanStart,(ROW()-ROW(MSPTasks[[#Headers],[ID]]))))</f>
        <v/>
      </c>
      <c r="P173" s="115" t="str">
        <f aca="false">IF(IFERROR(INDEX(tsk_Name,(ROW()-ROW(MSPTasks[[#Headers],[ID]])))="",TRUE()),"",INDEX(tsk_PlanFinish,(ROW()-ROW(MSPTasks[[#Headers],[ID]]))))</f>
        <v/>
      </c>
      <c r="Q17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7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7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7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7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7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7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7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7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73" s="24" t="str">
        <f aca="false">IF(IFERROR(INDEX(tsk_Name,(ROW()-ROW(MSPTasks[[#Headers],[ID]])))="",TRUE()),"",INDEX(tsk_Notes,(ROW()-ROW(MSPTasks[[#Headers],[ID]])))&amp;"")</f>
        <v/>
      </c>
    </row>
    <row r="174" customFormat="false" ht="15" hidden="false" customHeight="false" outlineLevel="0" collapsed="false">
      <c r="A174" s="24" t="str">
        <f aca="false">IF(IFERROR(INDEX(tsk_Name,(ROW()-ROW(MSPTasks[[#Headers],[ID]])))="",TRUE()),"",INDEX(tsk_ID,(ROW()-ROW(MSPTasks[[#Headers],[ID]]))))</f>
        <v/>
      </c>
      <c r="B174" s="24" t="str">
        <f aca="false">IF(IFERROR(INDEX(tsk_Name,(ROW()-ROW(MSPTasks[[#Headers],[ID]])))="",TRUE()),"",INDEX(tsk_UID,(ROW()-ROW(MSPTasks[[#Headers],[ID]]))))</f>
        <v/>
      </c>
      <c r="C174" s="24" t="str">
        <f aca="false">IF(IFERROR(INDEX(tsk_Name,(ROW()-ROW(MSPTasks[[#Headers],[ID]])))="",TRUE()),"",INDEX(tsk_Name,(ROW()-ROW(MSPTasks[[#Headers],[ID]]))))</f>
        <v/>
      </c>
      <c r="D174" s="24" t="str">
        <f aca="false">IF(IFERROR(INDEX(tsk_Name,(ROW()-ROW(MSPTasks[[#Headers],[ID]])))="",TRUE()),"",INDEX(tsk_Level,(ROW()-ROW(MSPTasks[[#Headers],[ID]]))))</f>
        <v/>
      </c>
      <c r="E174" s="24" t="str">
        <f aca="false">IF(IFERROR(INDEX(tsk_Name,(ROW()-ROW(MSPTasks[[#Headers],[ID]])))="",TRUE()),"",IF(INDEX(tsk_Mode,(ROW()-ROW(MSPTasks[[#Headers],[ID]])))="Manual","Manually Scheduled","Auto Scheduled"))</f>
        <v/>
      </c>
      <c r="F17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74" s="115" t="str">
        <f aca="false">IF(IFERROR(INDEX(tsk_Name,(ROW()-ROW(MSPTasks[[#Headers],[ID]])))="",TRUE()),"",INDEX(tsk_FcStart,(ROW()-ROW(MSPTasks[[#Headers],[ID]]))))</f>
        <v/>
      </c>
      <c r="H174" s="115" t="str">
        <f aca="false">IF(IFERROR(INDEX(tsk_Name,(ROW()-ROW(MSPTasks[[#Headers],[ID]])))="",TRUE()),"",INDEX(tsk_FcFinish,(ROW()-ROW(MSPTasks[[#Headers],[ID]]))))</f>
        <v/>
      </c>
      <c r="I17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7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7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7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7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7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74" s="115" t="str">
        <f aca="false">IF(IFERROR(INDEX(tsk_Name,(ROW()-ROW(MSPTasks[[#Headers],[ID]])))="",TRUE()),"",INDEX(tsk_PlanStart,(ROW()-ROW(MSPTasks[[#Headers],[ID]]))))</f>
        <v/>
      </c>
      <c r="P174" s="115" t="str">
        <f aca="false">IF(IFERROR(INDEX(tsk_Name,(ROW()-ROW(MSPTasks[[#Headers],[ID]])))="",TRUE()),"",INDEX(tsk_PlanFinish,(ROW()-ROW(MSPTasks[[#Headers],[ID]]))))</f>
        <v/>
      </c>
      <c r="Q17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7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7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7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7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7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7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7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7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74" s="24" t="str">
        <f aca="false">IF(IFERROR(INDEX(tsk_Name,(ROW()-ROW(MSPTasks[[#Headers],[ID]])))="",TRUE()),"",INDEX(tsk_Notes,(ROW()-ROW(MSPTasks[[#Headers],[ID]])))&amp;"")</f>
        <v/>
      </c>
    </row>
    <row r="175" customFormat="false" ht="15" hidden="false" customHeight="false" outlineLevel="0" collapsed="false">
      <c r="A175" s="24" t="str">
        <f aca="false">IF(IFERROR(INDEX(tsk_Name,(ROW()-ROW(MSPTasks[[#Headers],[ID]])))="",TRUE()),"",INDEX(tsk_ID,(ROW()-ROW(MSPTasks[[#Headers],[ID]]))))</f>
        <v/>
      </c>
      <c r="B175" s="24" t="str">
        <f aca="false">IF(IFERROR(INDEX(tsk_Name,(ROW()-ROW(MSPTasks[[#Headers],[ID]])))="",TRUE()),"",INDEX(tsk_UID,(ROW()-ROW(MSPTasks[[#Headers],[ID]]))))</f>
        <v/>
      </c>
      <c r="C175" s="24" t="str">
        <f aca="false">IF(IFERROR(INDEX(tsk_Name,(ROW()-ROW(MSPTasks[[#Headers],[ID]])))="",TRUE()),"",INDEX(tsk_Name,(ROW()-ROW(MSPTasks[[#Headers],[ID]]))))</f>
        <v/>
      </c>
      <c r="D175" s="24" t="str">
        <f aca="false">IF(IFERROR(INDEX(tsk_Name,(ROW()-ROW(MSPTasks[[#Headers],[ID]])))="",TRUE()),"",INDEX(tsk_Level,(ROW()-ROW(MSPTasks[[#Headers],[ID]]))))</f>
        <v/>
      </c>
      <c r="E175" s="24" t="str">
        <f aca="false">IF(IFERROR(INDEX(tsk_Name,(ROW()-ROW(MSPTasks[[#Headers],[ID]])))="",TRUE()),"",IF(INDEX(tsk_Mode,(ROW()-ROW(MSPTasks[[#Headers],[ID]])))="Manual","Manually Scheduled","Auto Scheduled"))</f>
        <v/>
      </c>
      <c r="F17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75" s="115" t="str">
        <f aca="false">IF(IFERROR(INDEX(tsk_Name,(ROW()-ROW(MSPTasks[[#Headers],[ID]])))="",TRUE()),"",INDEX(tsk_FcStart,(ROW()-ROW(MSPTasks[[#Headers],[ID]]))))</f>
        <v/>
      </c>
      <c r="H175" s="115" t="str">
        <f aca="false">IF(IFERROR(INDEX(tsk_Name,(ROW()-ROW(MSPTasks[[#Headers],[ID]])))="",TRUE()),"",INDEX(tsk_FcFinish,(ROW()-ROW(MSPTasks[[#Headers],[ID]]))))</f>
        <v/>
      </c>
      <c r="I17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7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7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7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7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7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75" s="115" t="str">
        <f aca="false">IF(IFERROR(INDEX(tsk_Name,(ROW()-ROW(MSPTasks[[#Headers],[ID]])))="",TRUE()),"",INDEX(tsk_PlanStart,(ROW()-ROW(MSPTasks[[#Headers],[ID]]))))</f>
        <v/>
      </c>
      <c r="P175" s="115" t="str">
        <f aca="false">IF(IFERROR(INDEX(tsk_Name,(ROW()-ROW(MSPTasks[[#Headers],[ID]])))="",TRUE()),"",INDEX(tsk_PlanFinish,(ROW()-ROW(MSPTasks[[#Headers],[ID]]))))</f>
        <v/>
      </c>
      <c r="Q17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7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7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7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7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7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7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7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7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75" s="24" t="str">
        <f aca="false">IF(IFERROR(INDEX(tsk_Name,(ROW()-ROW(MSPTasks[[#Headers],[ID]])))="",TRUE()),"",INDEX(tsk_Notes,(ROW()-ROW(MSPTasks[[#Headers],[ID]])))&amp;"")</f>
        <v/>
      </c>
    </row>
    <row r="176" customFormat="false" ht="15" hidden="false" customHeight="false" outlineLevel="0" collapsed="false">
      <c r="A176" s="24" t="str">
        <f aca="false">IF(IFERROR(INDEX(tsk_Name,(ROW()-ROW(MSPTasks[[#Headers],[ID]])))="",TRUE()),"",INDEX(tsk_ID,(ROW()-ROW(MSPTasks[[#Headers],[ID]]))))</f>
        <v/>
      </c>
      <c r="B176" s="24" t="str">
        <f aca="false">IF(IFERROR(INDEX(tsk_Name,(ROW()-ROW(MSPTasks[[#Headers],[ID]])))="",TRUE()),"",INDEX(tsk_UID,(ROW()-ROW(MSPTasks[[#Headers],[ID]]))))</f>
        <v/>
      </c>
      <c r="C176" s="24" t="str">
        <f aca="false">IF(IFERROR(INDEX(tsk_Name,(ROW()-ROW(MSPTasks[[#Headers],[ID]])))="",TRUE()),"",INDEX(tsk_Name,(ROW()-ROW(MSPTasks[[#Headers],[ID]]))))</f>
        <v/>
      </c>
      <c r="D176" s="24" t="str">
        <f aca="false">IF(IFERROR(INDEX(tsk_Name,(ROW()-ROW(MSPTasks[[#Headers],[ID]])))="",TRUE()),"",INDEX(tsk_Level,(ROW()-ROW(MSPTasks[[#Headers],[ID]]))))</f>
        <v/>
      </c>
      <c r="E176" s="24" t="str">
        <f aca="false">IF(IFERROR(INDEX(tsk_Name,(ROW()-ROW(MSPTasks[[#Headers],[ID]])))="",TRUE()),"",IF(INDEX(tsk_Mode,(ROW()-ROW(MSPTasks[[#Headers],[ID]])))="Manual","Manually Scheduled","Auto Scheduled"))</f>
        <v/>
      </c>
      <c r="F17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76" s="115" t="str">
        <f aca="false">IF(IFERROR(INDEX(tsk_Name,(ROW()-ROW(MSPTasks[[#Headers],[ID]])))="",TRUE()),"",INDEX(tsk_FcStart,(ROW()-ROW(MSPTasks[[#Headers],[ID]]))))</f>
        <v/>
      </c>
      <c r="H176" s="115" t="str">
        <f aca="false">IF(IFERROR(INDEX(tsk_Name,(ROW()-ROW(MSPTasks[[#Headers],[ID]])))="",TRUE()),"",INDEX(tsk_FcFinish,(ROW()-ROW(MSPTasks[[#Headers],[ID]]))))</f>
        <v/>
      </c>
      <c r="I17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7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7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7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7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7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76" s="115" t="str">
        <f aca="false">IF(IFERROR(INDEX(tsk_Name,(ROW()-ROW(MSPTasks[[#Headers],[ID]])))="",TRUE()),"",INDEX(tsk_PlanStart,(ROW()-ROW(MSPTasks[[#Headers],[ID]]))))</f>
        <v/>
      </c>
      <c r="P176" s="115" t="str">
        <f aca="false">IF(IFERROR(INDEX(tsk_Name,(ROW()-ROW(MSPTasks[[#Headers],[ID]])))="",TRUE()),"",INDEX(tsk_PlanFinish,(ROW()-ROW(MSPTasks[[#Headers],[ID]]))))</f>
        <v/>
      </c>
      <c r="Q17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7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7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7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7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7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7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7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7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76" s="24" t="str">
        <f aca="false">IF(IFERROR(INDEX(tsk_Name,(ROW()-ROW(MSPTasks[[#Headers],[ID]])))="",TRUE()),"",INDEX(tsk_Notes,(ROW()-ROW(MSPTasks[[#Headers],[ID]])))&amp;"")</f>
        <v/>
      </c>
    </row>
    <row r="177" customFormat="false" ht="15" hidden="false" customHeight="false" outlineLevel="0" collapsed="false">
      <c r="A177" s="24" t="str">
        <f aca="false">IF(IFERROR(INDEX(tsk_Name,(ROW()-ROW(MSPTasks[[#Headers],[ID]])))="",TRUE()),"",INDEX(tsk_ID,(ROW()-ROW(MSPTasks[[#Headers],[ID]]))))</f>
        <v/>
      </c>
      <c r="B177" s="24" t="str">
        <f aca="false">IF(IFERROR(INDEX(tsk_Name,(ROW()-ROW(MSPTasks[[#Headers],[ID]])))="",TRUE()),"",INDEX(tsk_UID,(ROW()-ROW(MSPTasks[[#Headers],[ID]]))))</f>
        <v/>
      </c>
      <c r="C177" s="24" t="str">
        <f aca="false">IF(IFERROR(INDEX(tsk_Name,(ROW()-ROW(MSPTasks[[#Headers],[ID]])))="",TRUE()),"",INDEX(tsk_Name,(ROW()-ROW(MSPTasks[[#Headers],[ID]]))))</f>
        <v/>
      </c>
      <c r="D177" s="24" t="str">
        <f aca="false">IF(IFERROR(INDEX(tsk_Name,(ROW()-ROW(MSPTasks[[#Headers],[ID]])))="",TRUE()),"",INDEX(tsk_Level,(ROW()-ROW(MSPTasks[[#Headers],[ID]]))))</f>
        <v/>
      </c>
      <c r="E177" s="24" t="str">
        <f aca="false">IF(IFERROR(INDEX(tsk_Name,(ROW()-ROW(MSPTasks[[#Headers],[ID]])))="",TRUE()),"",IF(INDEX(tsk_Mode,(ROW()-ROW(MSPTasks[[#Headers],[ID]])))="Manual","Manually Scheduled","Auto Scheduled"))</f>
        <v/>
      </c>
      <c r="F17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77" s="115" t="str">
        <f aca="false">IF(IFERROR(INDEX(tsk_Name,(ROW()-ROW(MSPTasks[[#Headers],[ID]])))="",TRUE()),"",INDEX(tsk_FcStart,(ROW()-ROW(MSPTasks[[#Headers],[ID]]))))</f>
        <v/>
      </c>
      <c r="H177" s="115" t="str">
        <f aca="false">IF(IFERROR(INDEX(tsk_Name,(ROW()-ROW(MSPTasks[[#Headers],[ID]])))="",TRUE()),"",INDEX(tsk_FcFinish,(ROW()-ROW(MSPTasks[[#Headers],[ID]]))))</f>
        <v/>
      </c>
      <c r="I17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7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7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7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7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7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77" s="115" t="str">
        <f aca="false">IF(IFERROR(INDEX(tsk_Name,(ROW()-ROW(MSPTasks[[#Headers],[ID]])))="",TRUE()),"",INDEX(tsk_PlanStart,(ROW()-ROW(MSPTasks[[#Headers],[ID]]))))</f>
        <v/>
      </c>
      <c r="P177" s="115" t="str">
        <f aca="false">IF(IFERROR(INDEX(tsk_Name,(ROW()-ROW(MSPTasks[[#Headers],[ID]])))="",TRUE()),"",INDEX(tsk_PlanFinish,(ROW()-ROW(MSPTasks[[#Headers],[ID]]))))</f>
        <v/>
      </c>
      <c r="Q17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7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7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7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7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7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7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7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7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77" s="24" t="str">
        <f aca="false">IF(IFERROR(INDEX(tsk_Name,(ROW()-ROW(MSPTasks[[#Headers],[ID]])))="",TRUE()),"",INDEX(tsk_Notes,(ROW()-ROW(MSPTasks[[#Headers],[ID]])))&amp;"")</f>
        <v/>
      </c>
    </row>
    <row r="178" customFormat="false" ht="15" hidden="false" customHeight="false" outlineLevel="0" collapsed="false">
      <c r="A178" s="24" t="str">
        <f aca="false">IF(IFERROR(INDEX(tsk_Name,(ROW()-ROW(MSPTasks[[#Headers],[ID]])))="",TRUE()),"",INDEX(tsk_ID,(ROW()-ROW(MSPTasks[[#Headers],[ID]]))))</f>
        <v/>
      </c>
      <c r="B178" s="24" t="str">
        <f aca="false">IF(IFERROR(INDEX(tsk_Name,(ROW()-ROW(MSPTasks[[#Headers],[ID]])))="",TRUE()),"",INDEX(tsk_UID,(ROW()-ROW(MSPTasks[[#Headers],[ID]]))))</f>
        <v/>
      </c>
      <c r="C178" s="24" t="str">
        <f aca="false">IF(IFERROR(INDEX(tsk_Name,(ROW()-ROW(MSPTasks[[#Headers],[ID]])))="",TRUE()),"",INDEX(tsk_Name,(ROW()-ROW(MSPTasks[[#Headers],[ID]]))))</f>
        <v/>
      </c>
      <c r="D178" s="24" t="str">
        <f aca="false">IF(IFERROR(INDEX(tsk_Name,(ROW()-ROW(MSPTasks[[#Headers],[ID]])))="",TRUE()),"",INDEX(tsk_Level,(ROW()-ROW(MSPTasks[[#Headers],[ID]]))))</f>
        <v/>
      </c>
      <c r="E178" s="24" t="str">
        <f aca="false">IF(IFERROR(INDEX(tsk_Name,(ROW()-ROW(MSPTasks[[#Headers],[ID]])))="",TRUE()),"",IF(INDEX(tsk_Mode,(ROW()-ROW(MSPTasks[[#Headers],[ID]])))="Manual","Manually Scheduled","Auto Scheduled"))</f>
        <v/>
      </c>
      <c r="F17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78" s="115" t="str">
        <f aca="false">IF(IFERROR(INDEX(tsk_Name,(ROW()-ROW(MSPTasks[[#Headers],[ID]])))="",TRUE()),"",INDEX(tsk_FcStart,(ROW()-ROW(MSPTasks[[#Headers],[ID]]))))</f>
        <v/>
      </c>
      <c r="H178" s="115" t="str">
        <f aca="false">IF(IFERROR(INDEX(tsk_Name,(ROW()-ROW(MSPTasks[[#Headers],[ID]])))="",TRUE()),"",INDEX(tsk_FcFinish,(ROW()-ROW(MSPTasks[[#Headers],[ID]]))))</f>
        <v/>
      </c>
      <c r="I17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7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7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7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7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7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78" s="115" t="str">
        <f aca="false">IF(IFERROR(INDEX(tsk_Name,(ROW()-ROW(MSPTasks[[#Headers],[ID]])))="",TRUE()),"",INDEX(tsk_PlanStart,(ROW()-ROW(MSPTasks[[#Headers],[ID]]))))</f>
        <v/>
      </c>
      <c r="P178" s="115" t="str">
        <f aca="false">IF(IFERROR(INDEX(tsk_Name,(ROW()-ROW(MSPTasks[[#Headers],[ID]])))="",TRUE()),"",INDEX(tsk_PlanFinish,(ROW()-ROW(MSPTasks[[#Headers],[ID]]))))</f>
        <v/>
      </c>
      <c r="Q17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7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7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7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7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7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7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7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7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78" s="24" t="str">
        <f aca="false">IF(IFERROR(INDEX(tsk_Name,(ROW()-ROW(MSPTasks[[#Headers],[ID]])))="",TRUE()),"",INDEX(tsk_Notes,(ROW()-ROW(MSPTasks[[#Headers],[ID]])))&amp;"")</f>
        <v/>
      </c>
    </row>
    <row r="179" customFormat="false" ht="15" hidden="false" customHeight="false" outlineLevel="0" collapsed="false">
      <c r="A179" s="24" t="str">
        <f aca="false">IF(IFERROR(INDEX(tsk_Name,(ROW()-ROW(MSPTasks[[#Headers],[ID]])))="",TRUE()),"",INDEX(tsk_ID,(ROW()-ROW(MSPTasks[[#Headers],[ID]]))))</f>
        <v/>
      </c>
      <c r="B179" s="24" t="str">
        <f aca="false">IF(IFERROR(INDEX(tsk_Name,(ROW()-ROW(MSPTasks[[#Headers],[ID]])))="",TRUE()),"",INDEX(tsk_UID,(ROW()-ROW(MSPTasks[[#Headers],[ID]]))))</f>
        <v/>
      </c>
      <c r="C179" s="24" t="str">
        <f aca="false">IF(IFERROR(INDEX(tsk_Name,(ROW()-ROW(MSPTasks[[#Headers],[ID]])))="",TRUE()),"",INDEX(tsk_Name,(ROW()-ROW(MSPTasks[[#Headers],[ID]]))))</f>
        <v/>
      </c>
      <c r="D179" s="24" t="str">
        <f aca="false">IF(IFERROR(INDEX(tsk_Name,(ROW()-ROW(MSPTasks[[#Headers],[ID]])))="",TRUE()),"",INDEX(tsk_Level,(ROW()-ROW(MSPTasks[[#Headers],[ID]]))))</f>
        <v/>
      </c>
      <c r="E179" s="24" t="str">
        <f aca="false">IF(IFERROR(INDEX(tsk_Name,(ROW()-ROW(MSPTasks[[#Headers],[ID]])))="",TRUE()),"",IF(INDEX(tsk_Mode,(ROW()-ROW(MSPTasks[[#Headers],[ID]])))="Manual","Manually Scheduled","Auto Scheduled"))</f>
        <v/>
      </c>
      <c r="F17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79" s="115" t="str">
        <f aca="false">IF(IFERROR(INDEX(tsk_Name,(ROW()-ROW(MSPTasks[[#Headers],[ID]])))="",TRUE()),"",INDEX(tsk_FcStart,(ROW()-ROW(MSPTasks[[#Headers],[ID]]))))</f>
        <v/>
      </c>
      <c r="H179" s="115" t="str">
        <f aca="false">IF(IFERROR(INDEX(tsk_Name,(ROW()-ROW(MSPTasks[[#Headers],[ID]])))="",TRUE()),"",INDEX(tsk_FcFinish,(ROW()-ROW(MSPTasks[[#Headers],[ID]]))))</f>
        <v/>
      </c>
      <c r="I17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7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7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7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7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7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79" s="115" t="str">
        <f aca="false">IF(IFERROR(INDEX(tsk_Name,(ROW()-ROW(MSPTasks[[#Headers],[ID]])))="",TRUE()),"",INDEX(tsk_PlanStart,(ROW()-ROW(MSPTasks[[#Headers],[ID]]))))</f>
        <v/>
      </c>
      <c r="P179" s="115" t="str">
        <f aca="false">IF(IFERROR(INDEX(tsk_Name,(ROW()-ROW(MSPTasks[[#Headers],[ID]])))="",TRUE()),"",INDEX(tsk_PlanFinish,(ROW()-ROW(MSPTasks[[#Headers],[ID]]))))</f>
        <v/>
      </c>
      <c r="Q17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7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7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7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7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7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7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7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7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79" s="24" t="str">
        <f aca="false">IF(IFERROR(INDEX(tsk_Name,(ROW()-ROW(MSPTasks[[#Headers],[ID]])))="",TRUE()),"",INDEX(tsk_Notes,(ROW()-ROW(MSPTasks[[#Headers],[ID]])))&amp;"")</f>
        <v/>
      </c>
    </row>
    <row r="180" customFormat="false" ht="15" hidden="false" customHeight="false" outlineLevel="0" collapsed="false">
      <c r="A180" s="24" t="str">
        <f aca="false">IF(IFERROR(INDEX(tsk_Name,(ROW()-ROW(MSPTasks[[#Headers],[ID]])))="",TRUE()),"",INDEX(tsk_ID,(ROW()-ROW(MSPTasks[[#Headers],[ID]]))))</f>
        <v/>
      </c>
      <c r="B180" s="24" t="str">
        <f aca="false">IF(IFERROR(INDEX(tsk_Name,(ROW()-ROW(MSPTasks[[#Headers],[ID]])))="",TRUE()),"",INDEX(tsk_UID,(ROW()-ROW(MSPTasks[[#Headers],[ID]]))))</f>
        <v/>
      </c>
      <c r="C180" s="24" t="str">
        <f aca="false">IF(IFERROR(INDEX(tsk_Name,(ROW()-ROW(MSPTasks[[#Headers],[ID]])))="",TRUE()),"",INDEX(tsk_Name,(ROW()-ROW(MSPTasks[[#Headers],[ID]]))))</f>
        <v/>
      </c>
      <c r="D180" s="24" t="str">
        <f aca="false">IF(IFERROR(INDEX(tsk_Name,(ROW()-ROW(MSPTasks[[#Headers],[ID]])))="",TRUE()),"",INDEX(tsk_Level,(ROW()-ROW(MSPTasks[[#Headers],[ID]]))))</f>
        <v/>
      </c>
      <c r="E180" s="24" t="str">
        <f aca="false">IF(IFERROR(INDEX(tsk_Name,(ROW()-ROW(MSPTasks[[#Headers],[ID]])))="",TRUE()),"",IF(INDEX(tsk_Mode,(ROW()-ROW(MSPTasks[[#Headers],[ID]])))="Manual","Manually Scheduled","Auto Scheduled"))</f>
        <v/>
      </c>
      <c r="F18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80" s="115" t="str">
        <f aca="false">IF(IFERROR(INDEX(tsk_Name,(ROW()-ROW(MSPTasks[[#Headers],[ID]])))="",TRUE()),"",INDEX(tsk_FcStart,(ROW()-ROW(MSPTasks[[#Headers],[ID]]))))</f>
        <v/>
      </c>
      <c r="H180" s="115" t="str">
        <f aca="false">IF(IFERROR(INDEX(tsk_Name,(ROW()-ROW(MSPTasks[[#Headers],[ID]])))="",TRUE()),"",INDEX(tsk_FcFinish,(ROW()-ROW(MSPTasks[[#Headers],[ID]]))))</f>
        <v/>
      </c>
      <c r="I18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8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8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8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8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8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80" s="115" t="str">
        <f aca="false">IF(IFERROR(INDEX(tsk_Name,(ROW()-ROW(MSPTasks[[#Headers],[ID]])))="",TRUE()),"",INDEX(tsk_PlanStart,(ROW()-ROW(MSPTasks[[#Headers],[ID]]))))</f>
        <v/>
      </c>
      <c r="P180" s="115" t="str">
        <f aca="false">IF(IFERROR(INDEX(tsk_Name,(ROW()-ROW(MSPTasks[[#Headers],[ID]])))="",TRUE()),"",INDEX(tsk_PlanFinish,(ROW()-ROW(MSPTasks[[#Headers],[ID]]))))</f>
        <v/>
      </c>
      <c r="Q18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8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8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8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8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8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8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8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8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80" s="24" t="str">
        <f aca="false">IF(IFERROR(INDEX(tsk_Name,(ROW()-ROW(MSPTasks[[#Headers],[ID]])))="",TRUE()),"",INDEX(tsk_Notes,(ROW()-ROW(MSPTasks[[#Headers],[ID]])))&amp;"")</f>
        <v/>
      </c>
    </row>
    <row r="181" customFormat="false" ht="15" hidden="false" customHeight="false" outlineLevel="0" collapsed="false">
      <c r="A181" s="24" t="str">
        <f aca="false">IF(IFERROR(INDEX(tsk_Name,(ROW()-ROW(MSPTasks[[#Headers],[ID]])))="",TRUE()),"",INDEX(tsk_ID,(ROW()-ROW(MSPTasks[[#Headers],[ID]]))))</f>
        <v/>
      </c>
      <c r="B181" s="24" t="str">
        <f aca="false">IF(IFERROR(INDEX(tsk_Name,(ROW()-ROW(MSPTasks[[#Headers],[ID]])))="",TRUE()),"",INDEX(tsk_UID,(ROW()-ROW(MSPTasks[[#Headers],[ID]]))))</f>
        <v/>
      </c>
      <c r="C181" s="24" t="str">
        <f aca="false">IF(IFERROR(INDEX(tsk_Name,(ROW()-ROW(MSPTasks[[#Headers],[ID]])))="",TRUE()),"",INDEX(tsk_Name,(ROW()-ROW(MSPTasks[[#Headers],[ID]]))))</f>
        <v/>
      </c>
      <c r="D181" s="24" t="str">
        <f aca="false">IF(IFERROR(INDEX(tsk_Name,(ROW()-ROW(MSPTasks[[#Headers],[ID]])))="",TRUE()),"",INDEX(tsk_Level,(ROW()-ROW(MSPTasks[[#Headers],[ID]]))))</f>
        <v/>
      </c>
      <c r="E181" s="24" t="str">
        <f aca="false">IF(IFERROR(INDEX(tsk_Name,(ROW()-ROW(MSPTasks[[#Headers],[ID]])))="",TRUE()),"",IF(INDEX(tsk_Mode,(ROW()-ROW(MSPTasks[[#Headers],[ID]])))="Manual","Manually Scheduled","Auto Scheduled"))</f>
        <v/>
      </c>
      <c r="F18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81" s="115" t="str">
        <f aca="false">IF(IFERROR(INDEX(tsk_Name,(ROW()-ROW(MSPTasks[[#Headers],[ID]])))="",TRUE()),"",INDEX(tsk_FcStart,(ROW()-ROW(MSPTasks[[#Headers],[ID]]))))</f>
        <v/>
      </c>
      <c r="H181" s="115" t="str">
        <f aca="false">IF(IFERROR(INDEX(tsk_Name,(ROW()-ROW(MSPTasks[[#Headers],[ID]])))="",TRUE()),"",INDEX(tsk_FcFinish,(ROW()-ROW(MSPTasks[[#Headers],[ID]]))))</f>
        <v/>
      </c>
      <c r="I18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8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8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8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8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8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81" s="115" t="str">
        <f aca="false">IF(IFERROR(INDEX(tsk_Name,(ROW()-ROW(MSPTasks[[#Headers],[ID]])))="",TRUE()),"",INDEX(tsk_PlanStart,(ROW()-ROW(MSPTasks[[#Headers],[ID]]))))</f>
        <v/>
      </c>
      <c r="P181" s="115" t="str">
        <f aca="false">IF(IFERROR(INDEX(tsk_Name,(ROW()-ROW(MSPTasks[[#Headers],[ID]])))="",TRUE()),"",INDEX(tsk_PlanFinish,(ROW()-ROW(MSPTasks[[#Headers],[ID]]))))</f>
        <v/>
      </c>
      <c r="Q18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8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8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8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8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8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8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8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8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81" s="24" t="str">
        <f aca="false">IF(IFERROR(INDEX(tsk_Name,(ROW()-ROW(MSPTasks[[#Headers],[ID]])))="",TRUE()),"",INDEX(tsk_Notes,(ROW()-ROW(MSPTasks[[#Headers],[ID]])))&amp;"")</f>
        <v/>
      </c>
    </row>
    <row r="182" customFormat="false" ht="15" hidden="false" customHeight="false" outlineLevel="0" collapsed="false">
      <c r="A182" s="24" t="str">
        <f aca="false">IF(IFERROR(INDEX(tsk_Name,(ROW()-ROW(MSPTasks[[#Headers],[ID]])))="",TRUE()),"",INDEX(tsk_ID,(ROW()-ROW(MSPTasks[[#Headers],[ID]]))))</f>
        <v/>
      </c>
      <c r="B182" s="24" t="str">
        <f aca="false">IF(IFERROR(INDEX(tsk_Name,(ROW()-ROW(MSPTasks[[#Headers],[ID]])))="",TRUE()),"",INDEX(tsk_UID,(ROW()-ROW(MSPTasks[[#Headers],[ID]]))))</f>
        <v/>
      </c>
      <c r="C182" s="24" t="str">
        <f aca="false">IF(IFERROR(INDEX(tsk_Name,(ROW()-ROW(MSPTasks[[#Headers],[ID]])))="",TRUE()),"",INDEX(tsk_Name,(ROW()-ROW(MSPTasks[[#Headers],[ID]]))))</f>
        <v/>
      </c>
      <c r="D182" s="24" t="str">
        <f aca="false">IF(IFERROR(INDEX(tsk_Name,(ROW()-ROW(MSPTasks[[#Headers],[ID]])))="",TRUE()),"",INDEX(tsk_Level,(ROW()-ROW(MSPTasks[[#Headers],[ID]]))))</f>
        <v/>
      </c>
      <c r="E182" s="24" t="str">
        <f aca="false">IF(IFERROR(INDEX(tsk_Name,(ROW()-ROW(MSPTasks[[#Headers],[ID]])))="",TRUE()),"",IF(INDEX(tsk_Mode,(ROW()-ROW(MSPTasks[[#Headers],[ID]])))="Manual","Manually Scheduled","Auto Scheduled"))</f>
        <v/>
      </c>
      <c r="F18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82" s="115" t="str">
        <f aca="false">IF(IFERROR(INDEX(tsk_Name,(ROW()-ROW(MSPTasks[[#Headers],[ID]])))="",TRUE()),"",INDEX(tsk_FcStart,(ROW()-ROW(MSPTasks[[#Headers],[ID]]))))</f>
        <v/>
      </c>
      <c r="H182" s="115" t="str">
        <f aca="false">IF(IFERROR(INDEX(tsk_Name,(ROW()-ROW(MSPTasks[[#Headers],[ID]])))="",TRUE()),"",INDEX(tsk_FcFinish,(ROW()-ROW(MSPTasks[[#Headers],[ID]]))))</f>
        <v/>
      </c>
      <c r="I18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8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8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8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8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8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82" s="115" t="str">
        <f aca="false">IF(IFERROR(INDEX(tsk_Name,(ROW()-ROW(MSPTasks[[#Headers],[ID]])))="",TRUE()),"",INDEX(tsk_PlanStart,(ROW()-ROW(MSPTasks[[#Headers],[ID]]))))</f>
        <v/>
      </c>
      <c r="P182" s="115" t="str">
        <f aca="false">IF(IFERROR(INDEX(tsk_Name,(ROW()-ROW(MSPTasks[[#Headers],[ID]])))="",TRUE()),"",INDEX(tsk_PlanFinish,(ROW()-ROW(MSPTasks[[#Headers],[ID]]))))</f>
        <v/>
      </c>
      <c r="Q18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8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8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8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8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8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8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8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8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82" s="24" t="str">
        <f aca="false">IF(IFERROR(INDEX(tsk_Name,(ROW()-ROW(MSPTasks[[#Headers],[ID]])))="",TRUE()),"",INDEX(tsk_Notes,(ROW()-ROW(MSPTasks[[#Headers],[ID]])))&amp;"")</f>
        <v/>
      </c>
    </row>
    <row r="183" customFormat="false" ht="15" hidden="false" customHeight="false" outlineLevel="0" collapsed="false">
      <c r="A183" s="24" t="str">
        <f aca="false">IF(IFERROR(INDEX(tsk_Name,(ROW()-ROW(MSPTasks[[#Headers],[ID]])))="",TRUE()),"",INDEX(tsk_ID,(ROW()-ROW(MSPTasks[[#Headers],[ID]]))))</f>
        <v/>
      </c>
      <c r="B183" s="24" t="str">
        <f aca="false">IF(IFERROR(INDEX(tsk_Name,(ROW()-ROW(MSPTasks[[#Headers],[ID]])))="",TRUE()),"",INDEX(tsk_UID,(ROW()-ROW(MSPTasks[[#Headers],[ID]]))))</f>
        <v/>
      </c>
      <c r="C183" s="24" t="str">
        <f aca="false">IF(IFERROR(INDEX(tsk_Name,(ROW()-ROW(MSPTasks[[#Headers],[ID]])))="",TRUE()),"",INDEX(tsk_Name,(ROW()-ROW(MSPTasks[[#Headers],[ID]]))))</f>
        <v/>
      </c>
      <c r="D183" s="24" t="str">
        <f aca="false">IF(IFERROR(INDEX(tsk_Name,(ROW()-ROW(MSPTasks[[#Headers],[ID]])))="",TRUE()),"",INDEX(tsk_Level,(ROW()-ROW(MSPTasks[[#Headers],[ID]]))))</f>
        <v/>
      </c>
      <c r="E183" s="24" t="str">
        <f aca="false">IF(IFERROR(INDEX(tsk_Name,(ROW()-ROW(MSPTasks[[#Headers],[ID]])))="",TRUE()),"",IF(INDEX(tsk_Mode,(ROW()-ROW(MSPTasks[[#Headers],[ID]])))="Manual","Manually Scheduled","Auto Scheduled"))</f>
        <v/>
      </c>
      <c r="F18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83" s="115" t="str">
        <f aca="false">IF(IFERROR(INDEX(tsk_Name,(ROW()-ROW(MSPTasks[[#Headers],[ID]])))="",TRUE()),"",INDEX(tsk_FcStart,(ROW()-ROW(MSPTasks[[#Headers],[ID]]))))</f>
        <v/>
      </c>
      <c r="H183" s="115" t="str">
        <f aca="false">IF(IFERROR(INDEX(tsk_Name,(ROW()-ROW(MSPTasks[[#Headers],[ID]])))="",TRUE()),"",INDEX(tsk_FcFinish,(ROW()-ROW(MSPTasks[[#Headers],[ID]]))))</f>
        <v/>
      </c>
      <c r="I18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8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8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8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8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8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83" s="115" t="str">
        <f aca="false">IF(IFERROR(INDEX(tsk_Name,(ROW()-ROW(MSPTasks[[#Headers],[ID]])))="",TRUE()),"",INDEX(tsk_PlanStart,(ROW()-ROW(MSPTasks[[#Headers],[ID]]))))</f>
        <v/>
      </c>
      <c r="P183" s="115" t="str">
        <f aca="false">IF(IFERROR(INDEX(tsk_Name,(ROW()-ROW(MSPTasks[[#Headers],[ID]])))="",TRUE()),"",INDEX(tsk_PlanFinish,(ROW()-ROW(MSPTasks[[#Headers],[ID]]))))</f>
        <v/>
      </c>
      <c r="Q18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8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8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8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8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8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8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8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8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83" s="24" t="str">
        <f aca="false">IF(IFERROR(INDEX(tsk_Name,(ROW()-ROW(MSPTasks[[#Headers],[ID]])))="",TRUE()),"",INDEX(tsk_Notes,(ROW()-ROW(MSPTasks[[#Headers],[ID]])))&amp;"")</f>
        <v/>
      </c>
    </row>
    <row r="184" customFormat="false" ht="15" hidden="false" customHeight="false" outlineLevel="0" collapsed="false">
      <c r="A184" s="24" t="str">
        <f aca="false">IF(IFERROR(INDEX(tsk_Name,(ROW()-ROW(MSPTasks[[#Headers],[ID]])))="",TRUE()),"",INDEX(tsk_ID,(ROW()-ROW(MSPTasks[[#Headers],[ID]]))))</f>
        <v/>
      </c>
      <c r="B184" s="24" t="str">
        <f aca="false">IF(IFERROR(INDEX(tsk_Name,(ROW()-ROW(MSPTasks[[#Headers],[ID]])))="",TRUE()),"",INDEX(tsk_UID,(ROW()-ROW(MSPTasks[[#Headers],[ID]]))))</f>
        <v/>
      </c>
      <c r="C184" s="24" t="str">
        <f aca="false">IF(IFERROR(INDEX(tsk_Name,(ROW()-ROW(MSPTasks[[#Headers],[ID]])))="",TRUE()),"",INDEX(tsk_Name,(ROW()-ROW(MSPTasks[[#Headers],[ID]]))))</f>
        <v/>
      </c>
      <c r="D184" s="24" t="str">
        <f aca="false">IF(IFERROR(INDEX(tsk_Name,(ROW()-ROW(MSPTasks[[#Headers],[ID]])))="",TRUE()),"",INDEX(tsk_Level,(ROW()-ROW(MSPTasks[[#Headers],[ID]]))))</f>
        <v/>
      </c>
      <c r="E184" s="24" t="str">
        <f aca="false">IF(IFERROR(INDEX(tsk_Name,(ROW()-ROW(MSPTasks[[#Headers],[ID]])))="",TRUE()),"",IF(INDEX(tsk_Mode,(ROW()-ROW(MSPTasks[[#Headers],[ID]])))="Manual","Manually Scheduled","Auto Scheduled"))</f>
        <v/>
      </c>
      <c r="F18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84" s="115" t="str">
        <f aca="false">IF(IFERROR(INDEX(tsk_Name,(ROW()-ROW(MSPTasks[[#Headers],[ID]])))="",TRUE()),"",INDEX(tsk_FcStart,(ROW()-ROW(MSPTasks[[#Headers],[ID]]))))</f>
        <v/>
      </c>
      <c r="H184" s="115" t="str">
        <f aca="false">IF(IFERROR(INDEX(tsk_Name,(ROW()-ROW(MSPTasks[[#Headers],[ID]])))="",TRUE()),"",INDEX(tsk_FcFinish,(ROW()-ROW(MSPTasks[[#Headers],[ID]]))))</f>
        <v/>
      </c>
      <c r="I18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8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8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8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8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8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84" s="115" t="str">
        <f aca="false">IF(IFERROR(INDEX(tsk_Name,(ROW()-ROW(MSPTasks[[#Headers],[ID]])))="",TRUE()),"",INDEX(tsk_PlanStart,(ROW()-ROW(MSPTasks[[#Headers],[ID]]))))</f>
        <v/>
      </c>
      <c r="P184" s="115" t="str">
        <f aca="false">IF(IFERROR(INDEX(tsk_Name,(ROW()-ROW(MSPTasks[[#Headers],[ID]])))="",TRUE()),"",INDEX(tsk_PlanFinish,(ROW()-ROW(MSPTasks[[#Headers],[ID]]))))</f>
        <v/>
      </c>
      <c r="Q18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8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8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8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8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8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8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8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8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84" s="24" t="str">
        <f aca="false">IF(IFERROR(INDEX(tsk_Name,(ROW()-ROW(MSPTasks[[#Headers],[ID]])))="",TRUE()),"",INDEX(tsk_Notes,(ROW()-ROW(MSPTasks[[#Headers],[ID]])))&amp;"")</f>
        <v/>
      </c>
    </row>
    <row r="185" customFormat="false" ht="15" hidden="false" customHeight="false" outlineLevel="0" collapsed="false">
      <c r="A185" s="24" t="str">
        <f aca="false">IF(IFERROR(INDEX(tsk_Name,(ROW()-ROW(MSPTasks[[#Headers],[ID]])))="",TRUE()),"",INDEX(tsk_ID,(ROW()-ROW(MSPTasks[[#Headers],[ID]]))))</f>
        <v/>
      </c>
      <c r="B185" s="24" t="str">
        <f aca="false">IF(IFERROR(INDEX(tsk_Name,(ROW()-ROW(MSPTasks[[#Headers],[ID]])))="",TRUE()),"",INDEX(tsk_UID,(ROW()-ROW(MSPTasks[[#Headers],[ID]]))))</f>
        <v/>
      </c>
      <c r="C185" s="24" t="str">
        <f aca="false">IF(IFERROR(INDEX(tsk_Name,(ROW()-ROW(MSPTasks[[#Headers],[ID]])))="",TRUE()),"",INDEX(tsk_Name,(ROW()-ROW(MSPTasks[[#Headers],[ID]]))))</f>
        <v/>
      </c>
      <c r="D185" s="24" t="str">
        <f aca="false">IF(IFERROR(INDEX(tsk_Name,(ROW()-ROW(MSPTasks[[#Headers],[ID]])))="",TRUE()),"",INDEX(tsk_Level,(ROW()-ROW(MSPTasks[[#Headers],[ID]]))))</f>
        <v/>
      </c>
      <c r="E185" s="24" t="str">
        <f aca="false">IF(IFERROR(INDEX(tsk_Name,(ROW()-ROW(MSPTasks[[#Headers],[ID]])))="",TRUE()),"",IF(INDEX(tsk_Mode,(ROW()-ROW(MSPTasks[[#Headers],[ID]])))="Manual","Manually Scheduled","Auto Scheduled"))</f>
        <v/>
      </c>
      <c r="F18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85" s="115" t="str">
        <f aca="false">IF(IFERROR(INDEX(tsk_Name,(ROW()-ROW(MSPTasks[[#Headers],[ID]])))="",TRUE()),"",INDEX(tsk_FcStart,(ROW()-ROW(MSPTasks[[#Headers],[ID]]))))</f>
        <v/>
      </c>
      <c r="H185" s="115" t="str">
        <f aca="false">IF(IFERROR(INDEX(tsk_Name,(ROW()-ROW(MSPTasks[[#Headers],[ID]])))="",TRUE()),"",INDEX(tsk_FcFinish,(ROW()-ROW(MSPTasks[[#Headers],[ID]]))))</f>
        <v/>
      </c>
      <c r="I18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8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8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8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8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8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85" s="115" t="str">
        <f aca="false">IF(IFERROR(INDEX(tsk_Name,(ROW()-ROW(MSPTasks[[#Headers],[ID]])))="",TRUE()),"",INDEX(tsk_PlanStart,(ROW()-ROW(MSPTasks[[#Headers],[ID]]))))</f>
        <v/>
      </c>
      <c r="P185" s="115" t="str">
        <f aca="false">IF(IFERROR(INDEX(tsk_Name,(ROW()-ROW(MSPTasks[[#Headers],[ID]])))="",TRUE()),"",INDEX(tsk_PlanFinish,(ROW()-ROW(MSPTasks[[#Headers],[ID]]))))</f>
        <v/>
      </c>
      <c r="Q18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8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8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8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8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8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8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8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8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85" s="24" t="str">
        <f aca="false">IF(IFERROR(INDEX(tsk_Name,(ROW()-ROW(MSPTasks[[#Headers],[ID]])))="",TRUE()),"",INDEX(tsk_Notes,(ROW()-ROW(MSPTasks[[#Headers],[ID]])))&amp;"")</f>
        <v/>
      </c>
    </row>
    <row r="186" customFormat="false" ht="15" hidden="false" customHeight="false" outlineLevel="0" collapsed="false">
      <c r="A186" s="24" t="str">
        <f aca="false">IF(IFERROR(INDEX(tsk_Name,(ROW()-ROW(MSPTasks[[#Headers],[ID]])))="",TRUE()),"",INDEX(tsk_ID,(ROW()-ROW(MSPTasks[[#Headers],[ID]]))))</f>
        <v/>
      </c>
      <c r="B186" s="24" t="str">
        <f aca="false">IF(IFERROR(INDEX(tsk_Name,(ROW()-ROW(MSPTasks[[#Headers],[ID]])))="",TRUE()),"",INDEX(tsk_UID,(ROW()-ROW(MSPTasks[[#Headers],[ID]]))))</f>
        <v/>
      </c>
      <c r="C186" s="24" t="str">
        <f aca="false">IF(IFERROR(INDEX(tsk_Name,(ROW()-ROW(MSPTasks[[#Headers],[ID]])))="",TRUE()),"",INDEX(tsk_Name,(ROW()-ROW(MSPTasks[[#Headers],[ID]]))))</f>
        <v/>
      </c>
      <c r="D186" s="24" t="str">
        <f aca="false">IF(IFERROR(INDEX(tsk_Name,(ROW()-ROW(MSPTasks[[#Headers],[ID]])))="",TRUE()),"",INDEX(tsk_Level,(ROW()-ROW(MSPTasks[[#Headers],[ID]]))))</f>
        <v/>
      </c>
      <c r="E186" s="24" t="str">
        <f aca="false">IF(IFERROR(INDEX(tsk_Name,(ROW()-ROW(MSPTasks[[#Headers],[ID]])))="",TRUE()),"",IF(INDEX(tsk_Mode,(ROW()-ROW(MSPTasks[[#Headers],[ID]])))="Manual","Manually Scheduled","Auto Scheduled"))</f>
        <v/>
      </c>
      <c r="F18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86" s="115" t="str">
        <f aca="false">IF(IFERROR(INDEX(tsk_Name,(ROW()-ROW(MSPTasks[[#Headers],[ID]])))="",TRUE()),"",INDEX(tsk_FcStart,(ROW()-ROW(MSPTasks[[#Headers],[ID]]))))</f>
        <v/>
      </c>
      <c r="H186" s="115" t="str">
        <f aca="false">IF(IFERROR(INDEX(tsk_Name,(ROW()-ROW(MSPTasks[[#Headers],[ID]])))="",TRUE()),"",INDEX(tsk_FcFinish,(ROW()-ROW(MSPTasks[[#Headers],[ID]]))))</f>
        <v/>
      </c>
      <c r="I18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8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8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8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8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8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86" s="115" t="str">
        <f aca="false">IF(IFERROR(INDEX(tsk_Name,(ROW()-ROW(MSPTasks[[#Headers],[ID]])))="",TRUE()),"",INDEX(tsk_PlanStart,(ROW()-ROW(MSPTasks[[#Headers],[ID]]))))</f>
        <v/>
      </c>
      <c r="P186" s="115" t="str">
        <f aca="false">IF(IFERROR(INDEX(tsk_Name,(ROW()-ROW(MSPTasks[[#Headers],[ID]])))="",TRUE()),"",INDEX(tsk_PlanFinish,(ROW()-ROW(MSPTasks[[#Headers],[ID]]))))</f>
        <v/>
      </c>
      <c r="Q18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8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8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8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8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8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8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8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8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86" s="24" t="str">
        <f aca="false">IF(IFERROR(INDEX(tsk_Name,(ROW()-ROW(MSPTasks[[#Headers],[ID]])))="",TRUE()),"",INDEX(tsk_Notes,(ROW()-ROW(MSPTasks[[#Headers],[ID]])))&amp;"")</f>
        <v/>
      </c>
    </row>
    <row r="187" customFormat="false" ht="15" hidden="false" customHeight="false" outlineLevel="0" collapsed="false">
      <c r="A187" s="24" t="str">
        <f aca="false">IF(IFERROR(INDEX(tsk_Name,(ROW()-ROW(MSPTasks[[#Headers],[ID]])))="",TRUE()),"",INDEX(tsk_ID,(ROW()-ROW(MSPTasks[[#Headers],[ID]]))))</f>
        <v/>
      </c>
      <c r="B187" s="24" t="str">
        <f aca="false">IF(IFERROR(INDEX(tsk_Name,(ROW()-ROW(MSPTasks[[#Headers],[ID]])))="",TRUE()),"",INDEX(tsk_UID,(ROW()-ROW(MSPTasks[[#Headers],[ID]]))))</f>
        <v/>
      </c>
      <c r="C187" s="24" t="str">
        <f aca="false">IF(IFERROR(INDEX(tsk_Name,(ROW()-ROW(MSPTasks[[#Headers],[ID]])))="",TRUE()),"",INDEX(tsk_Name,(ROW()-ROW(MSPTasks[[#Headers],[ID]]))))</f>
        <v/>
      </c>
      <c r="D187" s="24" t="str">
        <f aca="false">IF(IFERROR(INDEX(tsk_Name,(ROW()-ROW(MSPTasks[[#Headers],[ID]])))="",TRUE()),"",INDEX(tsk_Level,(ROW()-ROW(MSPTasks[[#Headers],[ID]]))))</f>
        <v/>
      </c>
      <c r="E187" s="24" t="str">
        <f aca="false">IF(IFERROR(INDEX(tsk_Name,(ROW()-ROW(MSPTasks[[#Headers],[ID]])))="",TRUE()),"",IF(INDEX(tsk_Mode,(ROW()-ROW(MSPTasks[[#Headers],[ID]])))="Manual","Manually Scheduled","Auto Scheduled"))</f>
        <v/>
      </c>
      <c r="F18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87" s="115" t="str">
        <f aca="false">IF(IFERROR(INDEX(tsk_Name,(ROW()-ROW(MSPTasks[[#Headers],[ID]])))="",TRUE()),"",INDEX(tsk_FcStart,(ROW()-ROW(MSPTasks[[#Headers],[ID]]))))</f>
        <v/>
      </c>
      <c r="H187" s="115" t="str">
        <f aca="false">IF(IFERROR(INDEX(tsk_Name,(ROW()-ROW(MSPTasks[[#Headers],[ID]])))="",TRUE()),"",INDEX(tsk_FcFinish,(ROW()-ROW(MSPTasks[[#Headers],[ID]]))))</f>
        <v/>
      </c>
      <c r="I18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8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8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8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8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8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87" s="115" t="str">
        <f aca="false">IF(IFERROR(INDEX(tsk_Name,(ROW()-ROW(MSPTasks[[#Headers],[ID]])))="",TRUE()),"",INDEX(tsk_PlanStart,(ROW()-ROW(MSPTasks[[#Headers],[ID]]))))</f>
        <v/>
      </c>
      <c r="P187" s="115" t="str">
        <f aca="false">IF(IFERROR(INDEX(tsk_Name,(ROW()-ROW(MSPTasks[[#Headers],[ID]])))="",TRUE()),"",INDEX(tsk_PlanFinish,(ROW()-ROW(MSPTasks[[#Headers],[ID]]))))</f>
        <v/>
      </c>
      <c r="Q18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8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8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8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8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8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8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8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8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87" s="24" t="str">
        <f aca="false">IF(IFERROR(INDEX(tsk_Name,(ROW()-ROW(MSPTasks[[#Headers],[ID]])))="",TRUE()),"",INDEX(tsk_Notes,(ROW()-ROW(MSPTasks[[#Headers],[ID]])))&amp;"")</f>
        <v/>
      </c>
    </row>
    <row r="188" customFormat="false" ht="15" hidden="false" customHeight="false" outlineLevel="0" collapsed="false">
      <c r="A188" s="24" t="str">
        <f aca="false">IF(IFERROR(INDEX(tsk_Name,(ROW()-ROW(MSPTasks[[#Headers],[ID]])))="",TRUE()),"",INDEX(tsk_ID,(ROW()-ROW(MSPTasks[[#Headers],[ID]]))))</f>
        <v/>
      </c>
      <c r="B188" s="24" t="str">
        <f aca="false">IF(IFERROR(INDEX(tsk_Name,(ROW()-ROW(MSPTasks[[#Headers],[ID]])))="",TRUE()),"",INDEX(tsk_UID,(ROW()-ROW(MSPTasks[[#Headers],[ID]]))))</f>
        <v/>
      </c>
      <c r="C188" s="24" t="str">
        <f aca="false">IF(IFERROR(INDEX(tsk_Name,(ROW()-ROW(MSPTasks[[#Headers],[ID]])))="",TRUE()),"",INDEX(tsk_Name,(ROW()-ROW(MSPTasks[[#Headers],[ID]]))))</f>
        <v/>
      </c>
      <c r="D188" s="24" t="str">
        <f aca="false">IF(IFERROR(INDEX(tsk_Name,(ROW()-ROW(MSPTasks[[#Headers],[ID]])))="",TRUE()),"",INDEX(tsk_Level,(ROW()-ROW(MSPTasks[[#Headers],[ID]]))))</f>
        <v/>
      </c>
      <c r="E188" s="24" t="str">
        <f aca="false">IF(IFERROR(INDEX(tsk_Name,(ROW()-ROW(MSPTasks[[#Headers],[ID]])))="",TRUE()),"",IF(INDEX(tsk_Mode,(ROW()-ROW(MSPTasks[[#Headers],[ID]])))="Manual","Manually Scheduled","Auto Scheduled"))</f>
        <v/>
      </c>
      <c r="F18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88" s="115" t="str">
        <f aca="false">IF(IFERROR(INDEX(tsk_Name,(ROW()-ROW(MSPTasks[[#Headers],[ID]])))="",TRUE()),"",INDEX(tsk_FcStart,(ROW()-ROW(MSPTasks[[#Headers],[ID]]))))</f>
        <v/>
      </c>
      <c r="H188" s="115" t="str">
        <f aca="false">IF(IFERROR(INDEX(tsk_Name,(ROW()-ROW(MSPTasks[[#Headers],[ID]])))="",TRUE()),"",INDEX(tsk_FcFinish,(ROW()-ROW(MSPTasks[[#Headers],[ID]]))))</f>
        <v/>
      </c>
      <c r="I18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8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8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8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8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8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88" s="115" t="str">
        <f aca="false">IF(IFERROR(INDEX(tsk_Name,(ROW()-ROW(MSPTasks[[#Headers],[ID]])))="",TRUE()),"",INDEX(tsk_PlanStart,(ROW()-ROW(MSPTasks[[#Headers],[ID]]))))</f>
        <v/>
      </c>
      <c r="P188" s="115" t="str">
        <f aca="false">IF(IFERROR(INDEX(tsk_Name,(ROW()-ROW(MSPTasks[[#Headers],[ID]])))="",TRUE()),"",INDEX(tsk_PlanFinish,(ROW()-ROW(MSPTasks[[#Headers],[ID]]))))</f>
        <v/>
      </c>
      <c r="Q18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8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8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8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8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8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8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8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8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88" s="24" t="str">
        <f aca="false">IF(IFERROR(INDEX(tsk_Name,(ROW()-ROW(MSPTasks[[#Headers],[ID]])))="",TRUE()),"",INDEX(tsk_Notes,(ROW()-ROW(MSPTasks[[#Headers],[ID]])))&amp;"")</f>
        <v/>
      </c>
    </row>
    <row r="189" customFormat="false" ht="15" hidden="false" customHeight="false" outlineLevel="0" collapsed="false">
      <c r="A189" s="24" t="str">
        <f aca="false">IF(IFERROR(INDEX(tsk_Name,(ROW()-ROW(MSPTasks[[#Headers],[ID]])))="",TRUE()),"",INDEX(tsk_ID,(ROW()-ROW(MSPTasks[[#Headers],[ID]]))))</f>
        <v/>
      </c>
      <c r="B189" s="24" t="str">
        <f aca="false">IF(IFERROR(INDEX(tsk_Name,(ROW()-ROW(MSPTasks[[#Headers],[ID]])))="",TRUE()),"",INDEX(tsk_UID,(ROW()-ROW(MSPTasks[[#Headers],[ID]]))))</f>
        <v/>
      </c>
      <c r="C189" s="24" t="str">
        <f aca="false">IF(IFERROR(INDEX(tsk_Name,(ROW()-ROW(MSPTasks[[#Headers],[ID]])))="",TRUE()),"",INDEX(tsk_Name,(ROW()-ROW(MSPTasks[[#Headers],[ID]]))))</f>
        <v/>
      </c>
      <c r="D189" s="24" t="str">
        <f aca="false">IF(IFERROR(INDEX(tsk_Name,(ROW()-ROW(MSPTasks[[#Headers],[ID]])))="",TRUE()),"",INDEX(tsk_Level,(ROW()-ROW(MSPTasks[[#Headers],[ID]]))))</f>
        <v/>
      </c>
      <c r="E189" s="24" t="str">
        <f aca="false">IF(IFERROR(INDEX(tsk_Name,(ROW()-ROW(MSPTasks[[#Headers],[ID]])))="",TRUE()),"",IF(INDEX(tsk_Mode,(ROW()-ROW(MSPTasks[[#Headers],[ID]])))="Manual","Manually Scheduled","Auto Scheduled"))</f>
        <v/>
      </c>
      <c r="F18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89" s="115" t="str">
        <f aca="false">IF(IFERROR(INDEX(tsk_Name,(ROW()-ROW(MSPTasks[[#Headers],[ID]])))="",TRUE()),"",INDEX(tsk_FcStart,(ROW()-ROW(MSPTasks[[#Headers],[ID]]))))</f>
        <v/>
      </c>
      <c r="H189" s="115" t="str">
        <f aca="false">IF(IFERROR(INDEX(tsk_Name,(ROW()-ROW(MSPTasks[[#Headers],[ID]])))="",TRUE()),"",INDEX(tsk_FcFinish,(ROW()-ROW(MSPTasks[[#Headers],[ID]]))))</f>
        <v/>
      </c>
      <c r="I18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8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8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8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8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8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89" s="115" t="str">
        <f aca="false">IF(IFERROR(INDEX(tsk_Name,(ROW()-ROW(MSPTasks[[#Headers],[ID]])))="",TRUE()),"",INDEX(tsk_PlanStart,(ROW()-ROW(MSPTasks[[#Headers],[ID]]))))</f>
        <v/>
      </c>
      <c r="P189" s="115" t="str">
        <f aca="false">IF(IFERROR(INDEX(tsk_Name,(ROW()-ROW(MSPTasks[[#Headers],[ID]])))="",TRUE()),"",INDEX(tsk_PlanFinish,(ROW()-ROW(MSPTasks[[#Headers],[ID]]))))</f>
        <v/>
      </c>
      <c r="Q18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8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8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8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8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8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8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8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8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89" s="24" t="str">
        <f aca="false">IF(IFERROR(INDEX(tsk_Name,(ROW()-ROW(MSPTasks[[#Headers],[ID]])))="",TRUE()),"",INDEX(tsk_Notes,(ROW()-ROW(MSPTasks[[#Headers],[ID]])))&amp;"")</f>
        <v/>
      </c>
    </row>
    <row r="190" customFormat="false" ht="15" hidden="false" customHeight="false" outlineLevel="0" collapsed="false">
      <c r="A190" s="24" t="str">
        <f aca="false">IF(IFERROR(INDEX(tsk_Name,(ROW()-ROW(MSPTasks[[#Headers],[ID]])))="",TRUE()),"",INDEX(tsk_ID,(ROW()-ROW(MSPTasks[[#Headers],[ID]]))))</f>
        <v/>
      </c>
      <c r="B190" s="24" t="str">
        <f aca="false">IF(IFERROR(INDEX(tsk_Name,(ROW()-ROW(MSPTasks[[#Headers],[ID]])))="",TRUE()),"",INDEX(tsk_UID,(ROW()-ROW(MSPTasks[[#Headers],[ID]]))))</f>
        <v/>
      </c>
      <c r="C190" s="24" t="str">
        <f aca="false">IF(IFERROR(INDEX(tsk_Name,(ROW()-ROW(MSPTasks[[#Headers],[ID]])))="",TRUE()),"",INDEX(tsk_Name,(ROW()-ROW(MSPTasks[[#Headers],[ID]]))))</f>
        <v/>
      </c>
      <c r="D190" s="24" t="str">
        <f aca="false">IF(IFERROR(INDEX(tsk_Name,(ROW()-ROW(MSPTasks[[#Headers],[ID]])))="",TRUE()),"",INDEX(tsk_Level,(ROW()-ROW(MSPTasks[[#Headers],[ID]]))))</f>
        <v/>
      </c>
      <c r="E190" s="24" t="str">
        <f aca="false">IF(IFERROR(INDEX(tsk_Name,(ROW()-ROW(MSPTasks[[#Headers],[ID]])))="",TRUE()),"",IF(INDEX(tsk_Mode,(ROW()-ROW(MSPTasks[[#Headers],[ID]])))="Manual","Manually Scheduled","Auto Scheduled"))</f>
        <v/>
      </c>
      <c r="F19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90" s="115" t="str">
        <f aca="false">IF(IFERROR(INDEX(tsk_Name,(ROW()-ROW(MSPTasks[[#Headers],[ID]])))="",TRUE()),"",INDEX(tsk_FcStart,(ROW()-ROW(MSPTasks[[#Headers],[ID]]))))</f>
        <v/>
      </c>
      <c r="H190" s="115" t="str">
        <f aca="false">IF(IFERROR(INDEX(tsk_Name,(ROW()-ROW(MSPTasks[[#Headers],[ID]])))="",TRUE()),"",INDEX(tsk_FcFinish,(ROW()-ROW(MSPTasks[[#Headers],[ID]]))))</f>
        <v/>
      </c>
      <c r="I19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9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9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9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9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9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90" s="115" t="str">
        <f aca="false">IF(IFERROR(INDEX(tsk_Name,(ROW()-ROW(MSPTasks[[#Headers],[ID]])))="",TRUE()),"",INDEX(tsk_PlanStart,(ROW()-ROW(MSPTasks[[#Headers],[ID]]))))</f>
        <v/>
      </c>
      <c r="P190" s="115" t="str">
        <f aca="false">IF(IFERROR(INDEX(tsk_Name,(ROW()-ROW(MSPTasks[[#Headers],[ID]])))="",TRUE()),"",INDEX(tsk_PlanFinish,(ROW()-ROW(MSPTasks[[#Headers],[ID]]))))</f>
        <v/>
      </c>
      <c r="Q19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9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9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9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9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9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9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9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9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90" s="24" t="str">
        <f aca="false">IF(IFERROR(INDEX(tsk_Name,(ROW()-ROW(MSPTasks[[#Headers],[ID]])))="",TRUE()),"",INDEX(tsk_Notes,(ROW()-ROW(MSPTasks[[#Headers],[ID]])))&amp;"")</f>
        <v/>
      </c>
    </row>
    <row r="191" customFormat="false" ht="15" hidden="false" customHeight="false" outlineLevel="0" collapsed="false">
      <c r="A191" s="24" t="str">
        <f aca="false">IF(IFERROR(INDEX(tsk_Name,(ROW()-ROW(MSPTasks[[#Headers],[ID]])))="",TRUE()),"",INDEX(tsk_ID,(ROW()-ROW(MSPTasks[[#Headers],[ID]]))))</f>
        <v/>
      </c>
      <c r="B191" s="24" t="str">
        <f aca="false">IF(IFERROR(INDEX(tsk_Name,(ROW()-ROW(MSPTasks[[#Headers],[ID]])))="",TRUE()),"",INDEX(tsk_UID,(ROW()-ROW(MSPTasks[[#Headers],[ID]]))))</f>
        <v/>
      </c>
      <c r="C191" s="24" t="str">
        <f aca="false">IF(IFERROR(INDEX(tsk_Name,(ROW()-ROW(MSPTasks[[#Headers],[ID]])))="",TRUE()),"",INDEX(tsk_Name,(ROW()-ROW(MSPTasks[[#Headers],[ID]]))))</f>
        <v/>
      </c>
      <c r="D191" s="24" t="str">
        <f aca="false">IF(IFERROR(INDEX(tsk_Name,(ROW()-ROW(MSPTasks[[#Headers],[ID]])))="",TRUE()),"",INDEX(tsk_Level,(ROW()-ROW(MSPTasks[[#Headers],[ID]]))))</f>
        <v/>
      </c>
      <c r="E191" s="24" t="str">
        <f aca="false">IF(IFERROR(INDEX(tsk_Name,(ROW()-ROW(MSPTasks[[#Headers],[ID]])))="",TRUE()),"",IF(INDEX(tsk_Mode,(ROW()-ROW(MSPTasks[[#Headers],[ID]])))="Manual","Manually Scheduled","Auto Scheduled"))</f>
        <v/>
      </c>
      <c r="F19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91" s="115" t="str">
        <f aca="false">IF(IFERROR(INDEX(tsk_Name,(ROW()-ROW(MSPTasks[[#Headers],[ID]])))="",TRUE()),"",INDEX(tsk_FcStart,(ROW()-ROW(MSPTasks[[#Headers],[ID]]))))</f>
        <v/>
      </c>
      <c r="H191" s="115" t="str">
        <f aca="false">IF(IFERROR(INDEX(tsk_Name,(ROW()-ROW(MSPTasks[[#Headers],[ID]])))="",TRUE()),"",INDEX(tsk_FcFinish,(ROW()-ROW(MSPTasks[[#Headers],[ID]]))))</f>
        <v/>
      </c>
      <c r="I19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9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9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9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9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9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91" s="115" t="str">
        <f aca="false">IF(IFERROR(INDEX(tsk_Name,(ROW()-ROW(MSPTasks[[#Headers],[ID]])))="",TRUE()),"",INDEX(tsk_PlanStart,(ROW()-ROW(MSPTasks[[#Headers],[ID]]))))</f>
        <v/>
      </c>
      <c r="P191" s="115" t="str">
        <f aca="false">IF(IFERROR(INDEX(tsk_Name,(ROW()-ROW(MSPTasks[[#Headers],[ID]])))="",TRUE()),"",INDEX(tsk_PlanFinish,(ROW()-ROW(MSPTasks[[#Headers],[ID]]))))</f>
        <v/>
      </c>
      <c r="Q19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9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9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9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9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9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9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9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9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91" s="24" t="str">
        <f aca="false">IF(IFERROR(INDEX(tsk_Name,(ROW()-ROW(MSPTasks[[#Headers],[ID]])))="",TRUE()),"",INDEX(tsk_Notes,(ROW()-ROW(MSPTasks[[#Headers],[ID]])))&amp;"")</f>
        <v/>
      </c>
    </row>
    <row r="192" customFormat="false" ht="15" hidden="false" customHeight="false" outlineLevel="0" collapsed="false">
      <c r="A192" s="24" t="str">
        <f aca="false">IF(IFERROR(INDEX(tsk_Name,(ROW()-ROW(MSPTasks[[#Headers],[ID]])))="",TRUE()),"",INDEX(tsk_ID,(ROW()-ROW(MSPTasks[[#Headers],[ID]]))))</f>
        <v/>
      </c>
      <c r="B192" s="24" t="str">
        <f aca="false">IF(IFERROR(INDEX(tsk_Name,(ROW()-ROW(MSPTasks[[#Headers],[ID]])))="",TRUE()),"",INDEX(tsk_UID,(ROW()-ROW(MSPTasks[[#Headers],[ID]]))))</f>
        <v/>
      </c>
      <c r="C192" s="24" t="str">
        <f aca="false">IF(IFERROR(INDEX(tsk_Name,(ROW()-ROW(MSPTasks[[#Headers],[ID]])))="",TRUE()),"",INDEX(tsk_Name,(ROW()-ROW(MSPTasks[[#Headers],[ID]]))))</f>
        <v/>
      </c>
      <c r="D192" s="24" t="str">
        <f aca="false">IF(IFERROR(INDEX(tsk_Name,(ROW()-ROW(MSPTasks[[#Headers],[ID]])))="",TRUE()),"",INDEX(tsk_Level,(ROW()-ROW(MSPTasks[[#Headers],[ID]]))))</f>
        <v/>
      </c>
      <c r="E192" s="24" t="str">
        <f aca="false">IF(IFERROR(INDEX(tsk_Name,(ROW()-ROW(MSPTasks[[#Headers],[ID]])))="",TRUE()),"",IF(INDEX(tsk_Mode,(ROW()-ROW(MSPTasks[[#Headers],[ID]])))="Manual","Manually Scheduled","Auto Scheduled"))</f>
        <v/>
      </c>
      <c r="F192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92" s="115" t="str">
        <f aca="false">IF(IFERROR(INDEX(tsk_Name,(ROW()-ROW(MSPTasks[[#Headers],[ID]])))="",TRUE()),"",INDEX(tsk_FcStart,(ROW()-ROW(MSPTasks[[#Headers],[ID]]))))</f>
        <v/>
      </c>
      <c r="H192" s="115" t="str">
        <f aca="false">IF(IFERROR(INDEX(tsk_Name,(ROW()-ROW(MSPTasks[[#Headers],[ID]])))="",TRUE()),"",INDEX(tsk_FcFinish,(ROW()-ROW(MSPTasks[[#Headers],[ID]]))))</f>
        <v/>
      </c>
      <c r="I192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92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92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92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92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92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92" s="115" t="str">
        <f aca="false">IF(IFERROR(INDEX(tsk_Name,(ROW()-ROW(MSPTasks[[#Headers],[ID]])))="",TRUE()),"",INDEX(tsk_PlanStart,(ROW()-ROW(MSPTasks[[#Headers],[ID]]))))</f>
        <v/>
      </c>
      <c r="P192" s="115" t="str">
        <f aca="false">IF(IFERROR(INDEX(tsk_Name,(ROW()-ROW(MSPTasks[[#Headers],[ID]])))="",TRUE()),"",INDEX(tsk_PlanFinish,(ROW()-ROW(MSPTasks[[#Headers],[ID]]))))</f>
        <v/>
      </c>
      <c r="Q192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92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92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92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92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92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92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92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92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92" s="24" t="str">
        <f aca="false">IF(IFERROR(INDEX(tsk_Name,(ROW()-ROW(MSPTasks[[#Headers],[ID]])))="",TRUE()),"",INDEX(tsk_Notes,(ROW()-ROW(MSPTasks[[#Headers],[ID]])))&amp;"")</f>
        <v/>
      </c>
    </row>
    <row r="193" customFormat="false" ht="15" hidden="false" customHeight="false" outlineLevel="0" collapsed="false">
      <c r="A193" s="24" t="str">
        <f aca="false">IF(IFERROR(INDEX(tsk_Name,(ROW()-ROW(MSPTasks[[#Headers],[ID]])))="",TRUE()),"",INDEX(tsk_ID,(ROW()-ROW(MSPTasks[[#Headers],[ID]]))))</f>
        <v/>
      </c>
      <c r="B193" s="24" t="str">
        <f aca="false">IF(IFERROR(INDEX(tsk_Name,(ROW()-ROW(MSPTasks[[#Headers],[ID]])))="",TRUE()),"",INDEX(tsk_UID,(ROW()-ROW(MSPTasks[[#Headers],[ID]]))))</f>
        <v/>
      </c>
      <c r="C193" s="24" t="str">
        <f aca="false">IF(IFERROR(INDEX(tsk_Name,(ROW()-ROW(MSPTasks[[#Headers],[ID]])))="",TRUE()),"",INDEX(tsk_Name,(ROW()-ROW(MSPTasks[[#Headers],[ID]]))))</f>
        <v/>
      </c>
      <c r="D193" s="24" t="str">
        <f aca="false">IF(IFERROR(INDEX(tsk_Name,(ROW()-ROW(MSPTasks[[#Headers],[ID]])))="",TRUE()),"",INDEX(tsk_Level,(ROW()-ROW(MSPTasks[[#Headers],[ID]]))))</f>
        <v/>
      </c>
      <c r="E193" s="24" t="str">
        <f aca="false">IF(IFERROR(INDEX(tsk_Name,(ROW()-ROW(MSPTasks[[#Headers],[ID]])))="",TRUE()),"",IF(INDEX(tsk_Mode,(ROW()-ROW(MSPTasks[[#Headers],[ID]])))="Manual","Manually Scheduled","Auto Scheduled"))</f>
        <v/>
      </c>
      <c r="F193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93" s="115" t="str">
        <f aca="false">IF(IFERROR(INDEX(tsk_Name,(ROW()-ROW(MSPTasks[[#Headers],[ID]])))="",TRUE()),"",INDEX(tsk_FcStart,(ROW()-ROW(MSPTasks[[#Headers],[ID]]))))</f>
        <v/>
      </c>
      <c r="H193" s="115" t="str">
        <f aca="false">IF(IFERROR(INDEX(tsk_Name,(ROW()-ROW(MSPTasks[[#Headers],[ID]])))="",TRUE()),"",INDEX(tsk_FcFinish,(ROW()-ROW(MSPTasks[[#Headers],[ID]]))))</f>
        <v/>
      </c>
      <c r="I193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93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93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93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93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93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93" s="115" t="str">
        <f aca="false">IF(IFERROR(INDEX(tsk_Name,(ROW()-ROW(MSPTasks[[#Headers],[ID]])))="",TRUE()),"",INDEX(tsk_PlanStart,(ROW()-ROW(MSPTasks[[#Headers],[ID]]))))</f>
        <v/>
      </c>
      <c r="P193" s="115" t="str">
        <f aca="false">IF(IFERROR(INDEX(tsk_Name,(ROW()-ROW(MSPTasks[[#Headers],[ID]])))="",TRUE()),"",INDEX(tsk_PlanFinish,(ROW()-ROW(MSPTasks[[#Headers],[ID]]))))</f>
        <v/>
      </c>
      <c r="Q193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93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93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93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93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93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93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93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93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93" s="24" t="str">
        <f aca="false">IF(IFERROR(INDEX(tsk_Name,(ROW()-ROW(MSPTasks[[#Headers],[ID]])))="",TRUE()),"",INDEX(tsk_Notes,(ROW()-ROW(MSPTasks[[#Headers],[ID]])))&amp;"")</f>
        <v/>
      </c>
    </row>
    <row r="194" customFormat="false" ht="15" hidden="false" customHeight="false" outlineLevel="0" collapsed="false">
      <c r="A194" s="24" t="str">
        <f aca="false">IF(IFERROR(INDEX(tsk_Name,(ROW()-ROW(MSPTasks[[#Headers],[ID]])))="",TRUE()),"",INDEX(tsk_ID,(ROW()-ROW(MSPTasks[[#Headers],[ID]]))))</f>
        <v/>
      </c>
      <c r="B194" s="24" t="str">
        <f aca="false">IF(IFERROR(INDEX(tsk_Name,(ROW()-ROW(MSPTasks[[#Headers],[ID]])))="",TRUE()),"",INDEX(tsk_UID,(ROW()-ROW(MSPTasks[[#Headers],[ID]]))))</f>
        <v/>
      </c>
      <c r="C194" s="24" t="str">
        <f aca="false">IF(IFERROR(INDEX(tsk_Name,(ROW()-ROW(MSPTasks[[#Headers],[ID]])))="",TRUE()),"",INDEX(tsk_Name,(ROW()-ROW(MSPTasks[[#Headers],[ID]]))))</f>
        <v/>
      </c>
      <c r="D194" s="24" t="str">
        <f aca="false">IF(IFERROR(INDEX(tsk_Name,(ROW()-ROW(MSPTasks[[#Headers],[ID]])))="",TRUE()),"",INDEX(tsk_Level,(ROW()-ROW(MSPTasks[[#Headers],[ID]]))))</f>
        <v/>
      </c>
      <c r="E194" s="24" t="str">
        <f aca="false">IF(IFERROR(INDEX(tsk_Name,(ROW()-ROW(MSPTasks[[#Headers],[ID]])))="",TRUE()),"",IF(INDEX(tsk_Mode,(ROW()-ROW(MSPTasks[[#Headers],[ID]])))="Manual","Manually Scheduled","Auto Scheduled"))</f>
        <v/>
      </c>
      <c r="F194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94" s="115" t="str">
        <f aca="false">IF(IFERROR(INDEX(tsk_Name,(ROW()-ROW(MSPTasks[[#Headers],[ID]])))="",TRUE()),"",INDEX(tsk_FcStart,(ROW()-ROW(MSPTasks[[#Headers],[ID]]))))</f>
        <v/>
      </c>
      <c r="H194" s="115" t="str">
        <f aca="false">IF(IFERROR(INDEX(tsk_Name,(ROW()-ROW(MSPTasks[[#Headers],[ID]])))="",TRUE()),"",INDEX(tsk_FcFinish,(ROW()-ROW(MSPTasks[[#Headers],[ID]]))))</f>
        <v/>
      </c>
      <c r="I194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94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94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94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94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94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94" s="115" t="str">
        <f aca="false">IF(IFERROR(INDEX(tsk_Name,(ROW()-ROW(MSPTasks[[#Headers],[ID]])))="",TRUE()),"",INDEX(tsk_PlanStart,(ROW()-ROW(MSPTasks[[#Headers],[ID]]))))</f>
        <v/>
      </c>
      <c r="P194" s="115" t="str">
        <f aca="false">IF(IFERROR(INDEX(tsk_Name,(ROW()-ROW(MSPTasks[[#Headers],[ID]])))="",TRUE()),"",INDEX(tsk_PlanFinish,(ROW()-ROW(MSPTasks[[#Headers],[ID]]))))</f>
        <v/>
      </c>
      <c r="Q194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94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94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94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94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94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94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94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94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94" s="24" t="str">
        <f aca="false">IF(IFERROR(INDEX(tsk_Name,(ROW()-ROW(MSPTasks[[#Headers],[ID]])))="",TRUE()),"",INDEX(tsk_Notes,(ROW()-ROW(MSPTasks[[#Headers],[ID]])))&amp;"")</f>
        <v/>
      </c>
    </row>
    <row r="195" customFormat="false" ht="15" hidden="false" customHeight="false" outlineLevel="0" collapsed="false">
      <c r="A195" s="24" t="str">
        <f aca="false">IF(IFERROR(INDEX(tsk_Name,(ROW()-ROW(MSPTasks[[#Headers],[ID]])))="",TRUE()),"",INDEX(tsk_ID,(ROW()-ROW(MSPTasks[[#Headers],[ID]]))))</f>
        <v/>
      </c>
      <c r="B195" s="24" t="str">
        <f aca="false">IF(IFERROR(INDEX(tsk_Name,(ROW()-ROW(MSPTasks[[#Headers],[ID]])))="",TRUE()),"",INDEX(tsk_UID,(ROW()-ROW(MSPTasks[[#Headers],[ID]]))))</f>
        <v/>
      </c>
      <c r="C195" s="24" t="str">
        <f aca="false">IF(IFERROR(INDEX(tsk_Name,(ROW()-ROW(MSPTasks[[#Headers],[ID]])))="",TRUE()),"",INDEX(tsk_Name,(ROW()-ROW(MSPTasks[[#Headers],[ID]]))))</f>
        <v/>
      </c>
      <c r="D195" s="24" t="str">
        <f aca="false">IF(IFERROR(INDEX(tsk_Name,(ROW()-ROW(MSPTasks[[#Headers],[ID]])))="",TRUE()),"",INDEX(tsk_Level,(ROW()-ROW(MSPTasks[[#Headers],[ID]]))))</f>
        <v/>
      </c>
      <c r="E195" s="24" t="str">
        <f aca="false">IF(IFERROR(INDEX(tsk_Name,(ROW()-ROW(MSPTasks[[#Headers],[ID]])))="",TRUE()),"",IF(INDEX(tsk_Mode,(ROW()-ROW(MSPTasks[[#Headers],[ID]])))="Manual","Manually Scheduled","Auto Scheduled"))</f>
        <v/>
      </c>
      <c r="F195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95" s="115" t="str">
        <f aca="false">IF(IFERROR(INDEX(tsk_Name,(ROW()-ROW(MSPTasks[[#Headers],[ID]])))="",TRUE()),"",INDEX(tsk_FcStart,(ROW()-ROW(MSPTasks[[#Headers],[ID]]))))</f>
        <v/>
      </c>
      <c r="H195" s="115" t="str">
        <f aca="false">IF(IFERROR(INDEX(tsk_Name,(ROW()-ROW(MSPTasks[[#Headers],[ID]])))="",TRUE()),"",INDEX(tsk_FcFinish,(ROW()-ROW(MSPTasks[[#Headers],[ID]]))))</f>
        <v/>
      </c>
      <c r="I195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95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95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95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95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95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95" s="115" t="str">
        <f aca="false">IF(IFERROR(INDEX(tsk_Name,(ROW()-ROW(MSPTasks[[#Headers],[ID]])))="",TRUE()),"",INDEX(tsk_PlanStart,(ROW()-ROW(MSPTasks[[#Headers],[ID]]))))</f>
        <v/>
      </c>
      <c r="P195" s="115" t="str">
        <f aca="false">IF(IFERROR(INDEX(tsk_Name,(ROW()-ROW(MSPTasks[[#Headers],[ID]])))="",TRUE()),"",INDEX(tsk_PlanFinish,(ROW()-ROW(MSPTasks[[#Headers],[ID]]))))</f>
        <v/>
      </c>
      <c r="Q195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95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95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95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95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95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95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95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95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95" s="24" t="str">
        <f aca="false">IF(IFERROR(INDEX(tsk_Name,(ROW()-ROW(MSPTasks[[#Headers],[ID]])))="",TRUE()),"",INDEX(tsk_Notes,(ROW()-ROW(MSPTasks[[#Headers],[ID]])))&amp;"")</f>
        <v/>
      </c>
    </row>
    <row r="196" customFormat="false" ht="15" hidden="false" customHeight="false" outlineLevel="0" collapsed="false">
      <c r="A196" s="24" t="str">
        <f aca="false">IF(IFERROR(INDEX(tsk_Name,(ROW()-ROW(MSPTasks[[#Headers],[ID]])))="",TRUE()),"",INDEX(tsk_ID,(ROW()-ROW(MSPTasks[[#Headers],[ID]]))))</f>
        <v/>
      </c>
      <c r="B196" s="24" t="str">
        <f aca="false">IF(IFERROR(INDEX(tsk_Name,(ROW()-ROW(MSPTasks[[#Headers],[ID]])))="",TRUE()),"",INDEX(tsk_UID,(ROW()-ROW(MSPTasks[[#Headers],[ID]]))))</f>
        <v/>
      </c>
      <c r="C196" s="24" t="str">
        <f aca="false">IF(IFERROR(INDEX(tsk_Name,(ROW()-ROW(MSPTasks[[#Headers],[ID]])))="",TRUE()),"",INDEX(tsk_Name,(ROW()-ROW(MSPTasks[[#Headers],[ID]]))))</f>
        <v/>
      </c>
      <c r="D196" s="24" t="str">
        <f aca="false">IF(IFERROR(INDEX(tsk_Name,(ROW()-ROW(MSPTasks[[#Headers],[ID]])))="",TRUE()),"",INDEX(tsk_Level,(ROW()-ROW(MSPTasks[[#Headers],[ID]]))))</f>
        <v/>
      </c>
      <c r="E196" s="24" t="str">
        <f aca="false">IF(IFERROR(INDEX(tsk_Name,(ROW()-ROW(MSPTasks[[#Headers],[ID]])))="",TRUE()),"",IF(INDEX(tsk_Mode,(ROW()-ROW(MSPTasks[[#Headers],[ID]])))="Manual","Manually Scheduled","Auto Scheduled"))</f>
        <v/>
      </c>
      <c r="F196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96" s="115" t="str">
        <f aca="false">IF(IFERROR(INDEX(tsk_Name,(ROW()-ROW(MSPTasks[[#Headers],[ID]])))="",TRUE()),"",INDEX(tsk_FcStart,(ROW()-ROW(MSPTasks[[#Headers],[ID]]))))</f>
        <v/>
      </c>
      <c r="H196" s="115" t="str">
        <f aca="false">IF(IFERROR(INDEX(tsk_Name,(ROW()-ROW(MSPTasks[[#Headers],[ID]])))="",TRUE()),"",INDEX(tsk_FcFinish,(ROW()-ROW(MSPTasks[[#Headers],[ID]]))))</f>
        <v/>
      </c>
      <c r="I196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96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96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96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96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96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96" s="115" t="str">
        <f aca="false">IF(IFERROR(INDEX(tsk_Name,(ROW()-ROW(MSPTasks[[#Headers],[ID]])))="",TRUE()),"",INDEX(tsk_PlanStart,(ROW()-ROW(MSPTasks[[#Headers],[ID]]))))</f>
        <v/>
      </c>
      <c r="P196" s="115" t="str">
        <f aca="false">IF(IFERROR(INDEX(tsk_Name,(ROW()-ROW(MSPTasks[[#Headers],[ID]])))="",TRUE()),"",INDEX(tsk_PlanFinish,(ROW()-ROW(MSPTasks[[#Headers],[ID]]))))</f>
        <v/>
      </c>
      <c r="Q196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96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96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96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96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96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96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96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96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96" s="24" t="str">
        <f aca="false">IF(IFERROR(INDEX(tsk_Name,(ROW()-ROW(MSPTasks[[#Headers],[ID]])))="",TRUE()),"",INDEX(tsk_Notes,(ROW()-ROW(MSPTasks[[#Headers],[ID]])))&amp;"")</f>
        <v/>
      </c>
    </row>
    <row r="197" customFormat="false" ht="15" hidden="false" customHeight="false" outlineLevel="0" collapsed="false">
      <c r="A197" s="24" t="str">
        <f aca="false">IF(IFERROR(INDEX(tsk_Name,(ROW()-ROW(MSPTasks[[#Headers],[ID]])))="",TRUE()),"",INDEX(tsk_ID,(ROW()-ROW(MSPTasks[[#Headers],[ID]]))))</f>
        <v/>
      </c>
      <c r="B197" s="24" t="str">
        <f aca="false">IF(IFERROR(INDEX(tsk_Name,(ROW()-ROW(MSPTasks[[#Headers],[ID]])))="",TRUE()),"",INDEX(tsk_UID,(ROW()-ROW(MSPTasks[[#Headers],[ID]]))))</f>
        <v/>
      </c>
      <c r="C197" s="24" t="str">
        <f aca="false">IF(IFERROR(INDEX(tsk_Name,(ROW()-ROW(MSPTasks[[#Headers],[ID]])))="",TRUE()),"",INDEX(tsk_Name,(ROW()-ROW(MSPTasks[[#Headers],[ID]]))))</f>
        <v/>
      </c>
      <c r="D197" s="24" t="str">
        <f aca="false">IF(IFERROR(INDEX(tsk_Name,(ROW()-ROW(MSPTasks[[#Headers],[ID]])))="",TRUE()),"",INDEX(tsk_Level,(ROW()-ROW(MSPTasks[[#Headers],[ID]]))))</f>
        <v/>
      </c>
      <c r="E197" s="24" t="str">
        <f aca="false">IF(IFERROR(INDEX(tsk_Name,(ROW()-ROW(MSPTasks[[#Headers],[ID]])))="",TRUE()),"",IF(INDEX(tsk_Mode,(ROW()-ROW(MSPTasks[[#Headers],[ID]])))="Manual","Manually Scheduled","Auto Scheduled"))</f>
        <v/>
      </c>
      <c r="F197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97" s="115" t="str">
        <f aca="false">IF(IFERROR(INDEX(tsk_Name,(ROW()-ROW(MSPTasks[[#Headers],[ID]])))="",TRUE()),"",INDEX(tsk_FcStart,(ROW()-ROW(MSPTasks[[#Headers],[ID]]))))</f>
        <v/>
      </c>
      <c r="H197" s="115" t="str">
        <f aca="false">IF(IFERROR(INDEX(tsk_Name,(ROW()-ROW(MSPTasks[[#Headers],[ID]])))="",TRUE()),"",INDEX(tsk_FcFinish,(ROW()-ROW(MSPTasks[[#Headers],[ID]]))))</f>
        <v/>
      </c>
      <c r="I197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97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97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97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97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97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97" s="115" t="str">
        <f aca="false">IF(IFERROR(INDEX(tsk_Name,(ROW()-ROW(MSPTasks[[#Headers],[ID]])))="",TRUE()),"",INDEX(tsk_PlanStart,(ROW()-ROW(MSPTasks[[#Headers],[ID]]))))</f>
        <v/>
      </c>
      <c r="P197" s="115" t="str">
        <f aca="false">IF(IFERROR(INDEX(tsk_Name,(ROW()-ROW(MSPTasks[[#Headers],[ID]])))="",TRUE()),"",INDEX(tsk_PlanFinish,(ROW()-ROW(MSPTasks[[#Headers],[ID]]))))</f>
        <v/>
      </c>
      <c r="Q197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97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97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97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97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97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97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97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97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97" s="24" t="str">
        <f aca="false">IF(IFERROR(INDEX(tsk_Name,(ROW()-ROW(MSPTasks[[#Headers],[ID]])))="",TRUE()),"",INDEX(tsk_Notes,(ROW()-ROW(MSPTasks[[#Headers],[ID]])))&amp;"")</f>
        <v/>
      </c>
    </row>
    <row r="198" customFormat="false" ht="15" hidden="false" customHeight="false" outlineLevel="0" collapsed="false">
      <c r="A198" s="24" t="str">
        <f aca="false">IF(IFERROR(INDEX(tsk_Name,(ROW()-ROW(MSPTasks[[#Headers],[ID]])))="",TRUE()),"",INDEX(tsk_ID,(ROW()-ROW(MSPTasks[[#Headers],[ID]]))))</f>
        <v/>
      </c>
      <c r="B198" s="24" t="str">
        <f aca="false">IF(IFERROR(INDEX(tsk_Name,(ROW()-ROW(MSPTasks[[#Headers],[ID]])))="",TRUE()),"",INDEX(tsk_UID,(ROW()-ROW(MSPTasks[[#Headers],[ID]]))))</f>
        <v/>
      </c>
      <c r="C198" s="24" t="str">
        <f aca="false">IF(IFERROR(INDEX(tsk_Name,(ROW()-ROW(MSPTasks[[#Headers],[ID]])))="",TRUE()),"",INDEX(tsk_Name,(ROW()-ROW(MSPTasks[[#Headers],[ID]]))))</f>
        <v/>
      </c>
      <c r="D198" s="24" t="str">
        <f aca="false">IF(IFERROR(INDEX(tsk_Name,(ROW()-ROW(MSPTasks[[#Headers],[ID]])))="",TRUE()),"",INDEX(tsk_Level,(ROW()-ROW(MSPTasks[[#Headers],[ID]]))))</f>
        <v/>
      </c>
      <c r="E198" s="24" t="str">
        <f aca="false">IF(IFERROR(INDEX(tsk_Name,(ROW()-ROW(MSPTasks[[#Headers],[ID]])))="",TRUE()),"",IF(INDEX(tsk_Mode,(ROW()-ROW(MSPTasks[[#Headers],[ID]])))="Manual","Manually Scheduled","Auto Scheduled"))</f>
        <v/>
      </c>
      <c r="F198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98" s="115" t="str">
        <f aca="false">IF(IFERROR(INDEX(tsk_Name,(ROW()-ROW(MSPTasks[[#Headers],[ID]])))="",TRUE()),"",INDEX(tsk_FcStart,(ROW()-ROW(MSPTasks[[#Headers],[ID]]))))</f>
        <v/>
      </c>
      <c r="H198" s="115" t="str">
        <f aca="false">IF(IFERROR(INDEX(tsk_Name,(ROW()-ROW(MSPTasks[[#Headers],[ID]])))="",TRUE()),"",INDEX(tsk_FcFinish,(ROW()-ROW(MSPTasks[[#Headers],[ID]]))))</f>
        <v/>
      </c>
      <c r="I198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98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98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98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98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98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98" s="115" t="str">
        <f aca="false">IF(IFERROR(INDEX(tsk_Name,(ROW()-ROW(MSPTasks[[#Headers],[ID]])))="",TRUE()),"",INDEX(tsk_PlanStart,(ROW()-ROW(MSPTasks[[#Headers],[ID]]))))</f>
        <v/>
      </c>
      <c r="P198" s="115" t="str">
        <f aca="false">IF(IFERROR(INDEX(tsk_Name,(ROW()-ROW(MSPTasks[[#Headers],[ID]])))="",TRUE()),"",INDEX(tsk_PlanFinish,(ROW()-ROW(MSPTasks[[#Headers],[ID]]))))</f>
        <v/>
      </c>
      <c r="Q198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98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98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98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98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98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98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98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98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98" s="24" t="str">
        <f aca="false">IF(IFERROR(INDEX(tsk_Name,(ROW()-ROW(MSPTasks[[#Headers],[ID]])))="",TRUE()),"",INDEX(tsk_Notes,(ROW()-ROW(MSPTasks[[#Headers],[ID]])))&amp;"")</f>
        <v/>
      </c>
    </row>
    <row r="199" customFormat="false" ht="15" hidden="false" customHeight="false" outlineLevel="0" collapsed="false">
      <c r="A199" s="24" t="str">
        <f aca="false">IF(IFERROR(INDEX(tsk_Name,(ROW()-ROW(MSPTasks[[#Headers],[ID]])))="",TRUE()),"",INDEX(tsk_ID,(ROW()-ROW(MSPTasks[[#Headers],[ID]]))))</f>
        <v/>
      </c>
      <c r="B199" s="24" t="str">
        <f aca="false">IF(IFERROR(INDEX(tsk_Name,(ROW()-ROW(MSPTasks[[#Headers],[ID]])))="",TRUE()),"",INDEX(tsk_UID,(ROW()-ROW(MSPTasks[[#Headers],[ID]]))))</f>
        <v/>
      </c>
      <c r="C199" s="24" t="str">
        <f aca="false">IF(IFERROR(INDEX(tsk_Name,(ROW()-ROW(MSPTasks[[#Headers],[ID]])))="",TRUE()),"",INDEX(tsk_Name,(ROW()-ROW(MSPTasks[[#Headers],[ID]]))))</f>
        <v/>
      </c>
      <c r="D199" s="24" t="str">
        <f aca="false">IF(IFERROR(INDEX(tsk_Name,(ROW()-ROW(MSPTasks[[#Headers],[ID]])))="",TRUE()),"",INDEX(tsk_Level,(ROW()-ROW(MSPTasks[[#Headers],[ID]]))))</f>
        <v/>
      </c>
      <c r="E199" s="24" t="str">
        <f aca="false">IF(IFERROR(INDEX(tsk_Name,(ROW()-ROW(MSPTasks[[#Headers],[ID]])))="",TRUE()),"",IF(INDEX(tsk_Mode,(ROW()-ROW(MSPTasks[[#Headers],[ID]])))="Manual","Manually Scheduled","Auto Scheduled"))</f>
        <v/>
      </c>
      <c r="F199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199" s="115" t="str">
        <f aca="false">IF(IFERROR(INDEX(tsk_Name,(ROW()-ROW(MSPTasks[[#Headers],[ID]])))="",TRUE()),"",INDEX(tsk_FcStart,(ROW()-ROW(MSPTasks[[#Headers],[ID]]))))</f>
        <v/>
      </c>
      <c r="H199" s="115" t="str">
        <f aca="false">IF(IFERROR(INDEX(tsk_Name,(ROW()-ROW(MSPTasks[[#Headers],[ID]])))="",TRUE()),"",INDEX(tsk_FcFinish,(ROW()-ROW(MSPTasks[[#Headers],[ID]]))))</f>
        <v/>
      </c>
      <c r="I199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199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199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199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199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199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199" s="115" t="str">
        <f aca="false">IF(IFERROR(INDEX(tsk_Name,(ROW()-ROW(MSPTasks[[#Headers],[ID]])))="",TRUE()),"",INDEX(tsk_PlanStart,(ROW()-ROW(MSPTasks[[#Headers],[ID]]))))</f>
        <v/>
      </c>
      <c r="P199" s="115" t="str">
        <f aca="false">IF(IFERROR(INDEX(tsk_Name,(ROW()-ROW(MSPTasks[[#Headers],[ID]])))="",TRUE()),"",INDEX(tsk_PlanFinish,(ROW()-ROW(MSPTasks[[#Headers],[ID]]))))</f>
        <v/>
      </c>
      <c r="Q199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199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199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199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199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199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199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199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199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199" s="24" t="str">
        <f aca="false">IF(IFERROR(INDEX(tsk_Name,(ROW()-ROW(MSPTasks[[#Headers],[ID]])))="",TRUE()),"",INDEX(tsk_Notes,(ROW()-ROW(MSPTasks[[#Headers],[ID]])))&amp;"")</f>
        <v/>
      </c>
    </row>
    <row r="200" customFormat="false" ht="15" hidden="false" customHeight="false" outlineLevel="0" collapsed="false">
      <c r="A200" s="24" t="str">
        <f aca="false">IF(IFERROR(INDEX(tsk_Name,(ROW()-ROW(MSPTasks[[#Headers],[ID]])))="",TRUE()),"",INDEX(tsk_ID,(ROW()-ROW(MSPTasks[[#Headers],[ID]]))))</f>
        <v/>
      </c>
      <c r="B200" s="24" t="str">
        <f aca="false">IF(IFERROR(INDEX(tsk_Name,(ROW()-ROW(MSPTasks[[#Headers],[ID]])))="",TRUE()),"",INDEX(tsk_UID,(ROW()-ROW(MSPTasks[[#Headers],[ID]]))))</f>
        <v/>
      </c>
      <c r="C200" s="24" t="str">
        <f aca="false">IF(IFERROR(INDEX(tsk_Name,(ROW()-ROW(MSPTasks[[#Headers],[ID]])))="",TRUE()),"",INDEX(tsk_Name,(ROW()-ROW(MSPTasks[[#Headers],[ID]]))))</f>
        <v/>
      </c>
      <c r="D200" s="24" t="str">
        <f aca="false">IF(IFERROR(INDEX(tsk_Name,(ROW()-ROW(MSPTasks[[#Headers],[ID]])))="",TRUE()),"",INDEX(tsk_Level,(ROW()-ROW(MSPTasks[[#Headers],[ID]]))))</f>
        <v/>
      </c>
      <c r="E200" s="24" t="str">
        <f aca="false">IF(IFERROR(INDEX(tsk_Name,(ROW()-ROW(MSPTasks[[#Headers],[ID]])))="",TRUE()),"",IF(INDEX(tsk_Mode,(ROW()-ROW(MSPTasks[[#Headers],[ID]])))="Manual","Manually Scheduled","Auto Scheduled"))</f>
        <v/>
      </c>
      <c r="F200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200" s="115" t="str">
        <f aca="false">IF(IFERROR(INDEX(tsk_Name,(ROW()-ROW(MSPTasks[[#Headers],[ID]])))="",TRUE()),"",INDEX(tsk_FcStart,(ROW()-ROW(MSPTasks[[#Headers],[ID]]))))</f>
        <v/>
      </c>
      <c r="H200" s="115" t="str">
        <f aca="false">IF(IFERROR(INDEX(tsk_Name,(ROW()-ROW(MSPTasks[[#Headers],[ID]])))="",TRUE()),"",INDEX(tsk_FcFinish,(ROW()-ROW(MSPTasks[[#Headers],[ID]]))))</f>
        <v/>
      </c>
      <c r="I200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200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200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200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200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00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00" s="115" t="str">
        <f aca="false">IF(IFERROR(INDEX(tsk_Name,(ROW()-ROW(MSPTasks[[#Headers],[ID]])))="",TRUE()),"",INDEX(tsk_PlanStart,(ROW()-ROW(MSPTasks[[#Headers],[ID]]))))</f>
        <v/>
      </c>
      <c r="P200" s="115" t="str">
        <f aca="false">IF(IFERROR(INDEX(tsk_Name,(ROW()-ROW(MSPTasks[[#Headers],[ID]])))="",TRUE()),"",INDEX(tsk_PlanFinish,(ROW()-ROW(MSPTasks[[#Headers],[ID]]))))</f>
        <v/>
      </c>
      <c r="Q200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00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00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00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00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200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00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200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200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200" s="24" t="str">
        <f aca="false">IF(IFERROR(INDEX(tsk_Name,(ROW()-ROW(MSPTasks[[#Headers],[ID]])))="",TRUE()),"",INDEX(tsk_Notes,(ROW()-ROW(MSPTasks[[#Headers],[ID]])))&amp;"")</f>
        <v/>
      </c>
    </row>
    <row r="201" customFormat="false" ht="15" hidden="false" customHeight="false" outlineLevel="0" collapsed="false">
      <c r="A201" s="24" t="str">
        <f aca="false">IF(IFERROR(INDEX(tsk_Name,(ROW()-ROW(MSPTasks[[#Headers],[ID]])))="",TRUE()),"",INDEX(tsk_ID,(ROW()-ROW(MSPTasks[[#Headers],[ID]]))))</f>
        <v/>
      </c>
      <c r="B201" s="24" t="str">
        <f aca="false">IF(IFERROR(INDEX(tsk_Name,(ROW()-ROW(MSPTasks[[#Headers],[ID]])))="",TRUE()),"",INDEX(tsk_UID,(ROW()-ROW(MSPTasks[[#Headers],[ID]]))))</f>
        <v/>
      </c>
      <c r="C201" s="24" t="str">
        <f aca="false">IF(IFERROR(INDEX(tsk_Name,(ROW()-ROW(MSPTasks[[#Headers],[ID]])))="",TRUE()),"",INDEX(tsk_Name,(ROW()-ROW(MSPTasks[[#Headers],[ID]]))))</f>
        <v/>
      </c>
      <c r="D201" s="24" t="str">
        <f aca="false">IF(IFERROR(INDEX(tsk_Name,(ROW()-ROW(MSPTasks[[#Headers],[ID]])))="",TRUE()),"",INDEX(tsk_Level,(ROW()-ROW(MSPTasks[[#Headers],[ID]]))))</f>
        <v/>
      </c>
      <c r="E201" s="24" t="str">
        <f aca="false">IF(IFERROR(INDEX(tsk_Name,(ROW()-ROW(MSPTasks[[#Headers],[ID]])))="",TRUE()),"",IF(INDEX(tsk_Mode,(ROW()-ROW(MSPTasks[[#Headers],[ID]])))="Manual","Manually Scheduled","Auto Scheduled"))</f>
        <v/>
      </c>
      <c r="F201" s="24" t="str">
        <f aca="false">IF(IFERROR(INDEX(tsk_Name,(ROW()-ROW(MSPTasks[[#Headers],[ID]])))="",TRUE()),"",IF(INDEX(tsk_IsSummary,(ROW()-ROW(MSPTasks[[#Headers],[ID]]))),"",N(INDEX(tsk_Duration,(ROW()-ROW(MSPTasks[[#Headers],[ID]]))))&amp;"d"))</f>
        <v/>
      </c>
      <c r="G201" s="115" t="str">
        <f aca="false">IF(IFERROR(INDEX(tsk_Name,(ROW()-ROW(MSPTasks[[#Headers],[ID]])))="",TRUE()),"",INDEX(tsk_FcStart,(ROW()-ROW(MSPTasks[[#Headers],[ID]]))))</f>
        <v/>
      </c>
      <c r="H201" s="115" t="str">
        <f aca="false">IF(IFERROR(INDEX(tsk_Name,(ROW()-ROW(MSPTasks[[#Headers],[ID]])))="",TRUE()),"",INDEX(tsk_FcFinish,(ROW()-ROW(MSPTasks[[#Headers],[ID]]))))</f>
        <v/>
      </c>
      <c r="I201" s="24" t="str">
        <f aca="false">IF(IFERROR(INDEX(tsk_Name,(ROW()-ROW(MSPTasks[[#Headers],[ID]])))="",TRUE()),"",IF(INDEX(tsk_IsSummary,(ROW()-ROW(MSPTasks[[#Headers],[ID]]))),"",INDEX(tsk_Predecessors,(ROW()-ROW(MSPTasks[[#Headers],[ID]])))))</f>
        <v/>
      </c>
      <c r="J201" s="24" t="str">
        <f aca="false">IF(IFERROR(INDEX(tsk_Name,(ROW()-ROW(MSPTasks[[#Headers],[ID]])))="",TRUE()),"",IF(INDEX(tsk_IsSummary,(ROW()-ROW(MSPTasks[[#Headers],[ID]]))),"",INDEX(tsk_UIDPredecessors,(ROW()-ROW(MSPTasks[[#Headers],[ID]])))))</f>
        <v/>
      </c>
      <c r="K201" s="24" t="str">
        <f aca="false">IF(IFERROR(INDEX(tsk_Name,(ROW()-ROW(MSPTasks[[#Headers],[ID]])))="",TRUE()),"",IF(INDEX(tsk_Resource,(ROW()-ROW(MSPTasks[[#Headers],[ID]])))="","",INDEX(tsk_Resource,(ROW()-ROW(MSPTasks[[#Headers],[ID]])))&amp;IF(OR(INDEX(tsk_Units,(ROW()-ROW(MSPTasks[[#Headers],[ID]])))="",INDEX(tsk_Units,(ROW()-ROW(MSPTasks[[#Headers],[ID]])))=1),"","["&amp;ROUND(INDEX(tsk_Units,(ROW()-ROW(MSPTasks[[#Headers],[ID]])))*100,0)&amp;"%]")))</f>
        <v/>
      </c>
      <c r="L201" s="24" t="str">
        <f aca="false">IF(IFERROR(INDEX(tsk_Name,(ROW()-ROW(MSPTasks[[#Headers],[ID]])))="",TRUE()),"",IF(INDEX(tsk_IsSummary,(ROW()-ROW(MSPTasks[[#Headers],[ID]]))),"",ROUND(INDEX(tsk_Progress,(ROW()-ROW(MSPTasks[[#Headers],[ID]])))*100,0)))</f>
        <v/>
      </c>
      <c r="M201" s="115" t="str">
        <f aca="false">IF(IFERROR(INDEX(tsk_Name,(ROW()-ROW(MSPTasks[[#Headers],[ID]])))="",TRUE()),"",IF(N(INDEX(tsk_ActStart,(ROW()-ROW(MSPTasks[[#Headers],[ID]]))))=0,"",INDEX(tsk_ActStart,(ROW()-ROW(MSPTasks[[#Headers],[ID]])))))</f>
        <v/>
      </c>
      <c r="N201" s="115" t="str">
        <f aca="false">IF(IFERROR(INDEX(tsk_Name,(ROW()-ROW(MSPTasks[[#Headers],[ID]])))="",TRUE()),"",IF(N(INDEX(tsk_ActFinish,(ROW()-ROW(MSPTasks[[#Headers],[ID]]))))=0,"",INDEX(tsk_ActFinish,(ROW()-ROW(MSPTasks[[#Headers],[ID]])))))</f>
        <v/>
      </c>
      <c r="O201" s="115" t="str">
        <f aca="false">IF(IFERROR(INDEX(tsk_Name,(ROW()-ROW(MSPTasks[[#Headers],[ID]])))="",TRUE()),"",INDEX(tsk_PlanStart,(ROW()-ROW(MSPTasks[[#Headers],[ID]]))))</f>
        <v/>
      </c>
      <c r="P201" s="115" t="str">
        <f aca="false">IF(IFERROR(INDEX(tsk_Name,(ROW()-ROW(MSPTasks[[#Headers],[ID]])))="",TRUE()),"",INDEX(tsk_PlanFinish,(ROW()-ROW(MSPTasks[[#Headers],[ID]]))))</f>
        <v/>
      </c>
      <c r="Q201" s="24" t="str">
        <f aca="false">IF(IFERROR(INDEX(tsk_Name,(ROW()-ROW(MSPTasks[[#Headers],[ID]])))="",TRUE()),"",IF(INDEX(tsk_BaseDuration,(ROW()-ROW(MSPTasks[[#Headers],[ID]])))="","",N(INDEX(tsk_BaseDuration,(ROW()-ROW(MSPTasks[[#Headers],[ID]]))))&amp;"d"))</f>
        <v/>
      </c>
      <c r="R201" s="24" t="str">
        <f aca="false">IF(IFERROR(INDEX(tsk_Name,(ROW()-ROW(MSPTasks[[#Headers],[ID]])))="",TRUE()),"",IF(INDEX(tsk_BaseWork,(ROW()-ROW(MSPTasks[[#Headers],[ID]])))="","",N(INDEX(tsk_BaseWork,(ROW()-ROW(MSPTasks[[#Headers],[ID]]))))&amp;"h"))</f>
        <v/>
      </c>
      <c r="S201" s="24" t="str">
        <f aca="false">IF(IFERROR(INDEX(tsk_Name,(ROW()-ROW(MSPTasks[[#Headers],[ID]])))="",TRUE()),"",IF(INDEX(tsk_BaseCost,(ROW()-ROW(MSPTasks[[#Headers],[ID]])))="","",N(INDEX(tsk_BaseCost,(ROW()-ROW(MSPTasks[[#Headers],[ID]]))))))</f>
        <v/>
      </c>
      <c r="T201" s="24" t="str">
        <f aca="false">IF(IFERROR(INDEX(tsk_Name,(ROW()-ROW(MSPTasks[[#Headers],[ID]])))="",TRUE()),"",IF(INDEX(tsk_IsSummary,(ROW()-ROW(MSPTasks[[#Headers],[ID]]))),"",IF(N(INDEX(tsk_ActCostInput,(ROW()-ROW(MSPTasks[[#Headers],[ID]]))))=0,"",INDEX(tsk_ActCostInput,(ROW()-ROW(MSPTasks[[#Headers],[ID]]))))))</f>
        <v/>
      </c>
      <c r="U201" s="24" t="str">
        <f aca="false">IF(IFERROR(INDEX(tsk_Name,(ROW()-ROW(MSPTasks[[#Headers],[ID]])))="",TRUE()),"",IF(INDEX(tsk_IsSummary,(ROW()-ROW(MSPTasks[[#Headers],[ID]]))),"",IF(AND(INDEX(tsk_Mode,(ROW()-ROW(MSPTasks[[#Headers],[ID]])))&lt;&gt;"Manual",N(INDEX(tsk_Constraint,(ROW()-ROW(MSPTasks[[#Headers],[ID]]))))&gt;0),"Start No Earlier Than","As Soon As Possible")))</f>
        <v/>
      </c>
      <c r="V201" s="115" t="str">
        <f aca="false">IF(IFERROR(INDEX(tsk_Name,(ROW()-ROW(MSPTasks[[#Headers],[ID]])))="",TRUE()),"",IF(OR(INDEX(tsk_IsSummary,(ROW()-ROW(MSPTasks[[#Headers],[ID]]))),INDEX(tsk_Mode,(ROW()-ROW(MSPTasks[[#Headers],[ID]])))="Manual"),"",IF(N(INDEX(tsk_Constraint,(ROW()-ROW(MSPTasks[[#Headers],[ID]]))))=0,"",INDEX(tsk_Constraint,(ROW()-ROW(MSPTasks[[#Headers],[ID]]))))))</f>
        <v/>
      </c>
      <c r="W201" s="115" t="str">
        <f aca="false">IF(IFERROR(INDEX(tsk_Name,(ROW()-ROW(MSPTasks[[#Headers],[ID]])))="",TRUE()),"",IF(N(INDEX(tsk_Deadline,(ROW()-ROW(MSPTasks[[#Headers],[ID]]))))=0,"",INDEX(tsk_Deadline,(ROW()-ROW(MSPTasks[[#Headers],[ID]])))))</f>
        <v/>
      </c>
      <c r="X201" s="24" t="str">
        <f aca="false">IF(IFERROR(INDEX(tsk_Name,(ROW()-ROW(MSPTasks[[#Headers],[ID]])))="",TRUE()),"",IF(INDEX(tsk_IsSummary,(ROW()-ROW(MSPTasks[[#Headers],[ID]]))),"",INDEX(tsk_Sprint,(ROW()-ROW(MSPTasks[[#Headers],[ID]])))&amp;""))</f>
        <v/>
      </c>
      <c r="Y201" s="24" t="str">
        <f aca="false">IF(IFERROR(INDEX(tsk_Name,(ROW()-ROW(MSPTasks[[#Headers],[ID]])))="",TRUE()),"",IF(INDEX(tsk_IsSummary,(ROW()-ROW(MSPTasks[[#Headers],[ID]]))),"",IF(N(INDEX(tsk_StoryPoints,(ROW()-ROW(MSPTasks[[#Headers],[ID]]))))=0,"",INDEX(tsk_StoryPoints,(ROW()-ROW(MSPTasks[[#Headers],[ID]]))))))</f>
        <v/>
      </c>
      <c r="Z201" s="24" t="str">
        <f aca="false">IF(IFERROR(INDEX(tsk_Name,(ROW()-ROW(MSPTasks[[#Headers],[ID]])))="",TRUE()),"",INDEX(tsk_Notes,(ROW()-ROW(MSPTasks[[#Headers],[ID]])))&amp;"")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23.85" hidden="false" customHeight="false" outlineLevel="0" collapsed="false">
      <c r="A1" s="9" t="s">
        <v>597</v>
      </c>
      <c r="B1" s="9" t="s">
        <v>533</v>
      </c>
      <c r="C1" s="9" t="s">
        <v>534</v>
      </c>
      <c r="D1" s="9" t="s">
        <v>535</v>
      </c>
      <c r="E1" s="9" t="s">
        <v>194</v>
      </c>
      <c r="F1" s="9" t="s">
        <v>607</v>
      </c>
      <c r="G1" s="9" t="s">
        <v>608</v>
      </c>
    </row>
    <row r="2" customFormat="false" ht="15" hidden="false" customHeight="false" outlineLevel="0" collapsed="false">
      <c r="A2" s="24" t="str">
        <f aca="false">IF(IFERROR(INDEX(res_Name,(ROW()-ROW(MSPResources[[#Headers],[Name]])))="",TRUE()),"",INDEX(res_Name,(ROW()-ROW(MSPResources[[#Headers],[Name]])))&amp;"")</f>
        <v>Priya Sharma</v>
      </c>
      <c r="B2" s="24" t="str">
        <f aca="false">IF(IFERROR(INDEX(res_Name,(ROW()-ROW(MSPResources[[#Headers],[Name]])))="",TRUE()),"",INDEX(res_Initials,(ROW()-ROW(MSPResources[[#Headers],[Name]])))&amp;"")</f>
        <v>PS</v>
      </c>
      <c r="C2" s="24" t="str">
        <f aca="false">IF(IFERROR(INDEX(res_Name,(ROW()-ROW(MSPResources[[#Headers],[Name]])))="",TRUE()),"",INDEX(res_Group,(ROW()-ROW(MSPResources[[#Headers],[Name]])))&amp;"")</f>
        <v>Project Manager</v>
      </c>
      <c r="D2" s="24" t="str">
        <f aca="false">IF(IFERROR(INDEX(res_Name,(ROW()-ROW(MSPResources[[#Headers],[Name]])))="",TRUE()),"",INDEX(res_Type,(ROW()-ROW(MSPResources[[#Headers],[Name]])))&amp;"")</f>
        <v>Work</v>
      </c>
      <c r="E2" s="24" t="str">
        <f aca="false">IF(IFERROR(INDEX(res_Name,(ROW()-ROW(MSPResources[[#Headers],[Name]])))="",TRUE()),"",ROUND(INDEX(res_MaxUnits,(ROW()-ROW(MSPResources[[#Headers],[Name]])))*100,0)&amp;"%")</f>
        <v>50%</v>
      </c>
      <c r="F2" s="24" t="str">
        <f aca="false">IF(IFERROR(INDEX(res_Name,(ROW()-ROW(MSPResources[[#Headers],[Name]])))="",TRUE()),"",INDEX(res_Rate,(ROW()-ROW(MSPResources[[#Headers],[Name]])))&amp;"/h")</f>
        <v>95/h</v>
      </c>
      <c r="G2" s="24" t="str">
        <f aca="false">IF(IFERROR(INDEX(res_Name,(ROW()-ROW(MSPResources[[#Headers],[Name]])))="",TRUE()),"",INDEX(res_Email,(ROW()-ROW(MSPResources[[#Headers],[Name]])))&amp;"")</f>
        <v>priya@example.com</v>
      </c>
    </row>
    <row r="3" customFormat="false" ht="15" hidden="false" customHeight="false" outlineLevel="0" collapsed="false">
      <c r="A3" s="24" t="str">
        <f aca="false">IF(IFERROR(INDEX(res_Name,(ROW()-ROW(MSPResources[[#Headers],[Name]])))="",TRUE()),"",INDEX(res_Name,(ROW()-ROW(MSPResources[[#Headers],[Name]])))&amp;"")</f>
        <v>Morgan Patel</v>
      </c>
      <c r="B3" s="24" t="str">
        <f aca="false">IF(IFERROR(INDEX(res_Name,(ROW()-ROW(MSPResources[[#Headers],[Name]])))="",TRUE()),"",INDEX(res_Initials,(ROW()-ROW(MSPResources[[#Headers],[Name]])))&amp;"")</f>
        <v>MP</v>
      </c>
      <c r="C3" s="24" t="str">
        <f aca="false">IF(IFERROR(INDEX(res_Name,(ROW()-ROW(MSPResources[[#Headers],[Name]])))="",TRUE()),"",INDEX(res_Group,(ROW()-ROW(MSPResources[[#Headers],[Name]])))&amp;"")</f>
        <v>Business Analyst</v>
      </c>
      <c r="D3" s="24" t="str">
        <f aca="false">IF(IFERROR(INDEX(res_Name,(ROW()-ROW(MSPResources[[#Headers],[Name]])))="",TRUE()),"",INDEX(res_Type,(ROW()-ROW(MSPResources[[#Headers],[Name]])))&amp;"")</f>
        <v>Work</v>
      </c>
      <c r="E3" s="24" t="str">
        <f aca="false">IF(IFERROR(INDEX(res_Name,(ROW()-ROW(MSPResources[[#Headers],[Name]])))="",TRUE()),"",ROUND(INDEX(res_MaxUnits,(ROW()-ROW(MSPResources[[#Headers],[Name]])))*100,0)&amp;"%")</f>
        <v>100%</v>
      </c>
      <c r="F3" s="24" t="str">
        <f aca="false">IF(IFERROR(INDEX(res_Name,(ROW()-ROW(MSPResources[[#Headers],[Name]])))="",TRUE()),"",INDEX(res_Rate,(ROW()-ROW(MSPResources[[#Headers],[Name]])))&amp;"/h")</f>
        <v>70/h</v>
      </c>
      <c r="G3" s="24" t="str">
        <f aca="false">IF(IFERROR(INDEX(res_Name,(ROW()-ROW(MSPResources[[#Headers],[Name]])))="",TRUE()),"",INDEX(res_Email,(ROW()-ROW(MSPResources[[#Headers],[Name]])))&amp;"")</f>
        <v>morgan@example.com</v>
      </c>
    </row>
    <row r="4" customFormat="false" ht="15" hidden="false" customHeight="false" outlineLevel="0" collapsed="false">
      <c r="A4" s="24" t="str">
        <f aca="false">IF(IFERROR(INDEX(res_Name,(ROW()-ROW(MSPResources[[#Headers],[Name]])))="",TRUE()),"",INDEX(res_Name,(ROW()-ROW(MSPResources[[#Headers],[Name]])))&amp;"")</f>
        <v>Alex Chen</v>
      </c>
      <c r="B4" s="24" t="str">
        <f aca="false">IF(IFERROR(INDEX(res_Name,(ROW()-ROW(MSPResources[[#Headers],[Name]])))="",TRUE()),"",INDEX(res_Initials,(ROW()-ROW(MSPResources[[#Headers],[Name]])))&amp;"")</f>
        <v>AC</v>
      </c>
      <c r="C4" s="24" t="str">
        <f aca="false">IF(IFERROR(INDEX(res_Name,(ROW()-ROW(MSPResources[[#Headers],[Name]])))="",TRUE()),"",INDEX(res_Group,(ROW()-ROW(MSPResources[[#Headers],[Name]])))&amp;"")</f>
        <v>Solution Architect</v>
      </c>
      <c r="D4" s="24" t="str">
        <f aca="false">IF(IFERROR(INDEX(res_Name,(ROW()-ROW(MSPResources[[#Headers],[Name]])))="",TRUE()),"",INDEX(res_Type,(ROW()-ROW(MSPResources[[#Headers],[Name]])))&amp;"")</f>
        <v>Work</v>
      </c>
      <c r="E4" s="24" t="str">
        <f aca="false">IF(IFERROR(INDEX(res_Name,(ROW()-ROW(MSPResources[[#Headers],[Name]])))="",TRUE()),"",ROUND(INDEX(res_MaxUnits,(ROW()-ROW(MSPResources[[#Headers],[Name]])))*100,0)&amp;"%")</f>
        <v>50%</v>
      </c>
      <c r="F4" s="24" t="str">
        <f aca="false">IF(IFERROR(INDEX(res_Name,(ROW()-ROW(MSPResources[[#Headers],[Name]])))="",TRUE()),"",INDEX(res_Rate,(ROW()-ROW(MSPResources[[#Headers],[Name]])))&amp;"/h")</f>
        <v>110/h</v>
      </c>
      <c r="G4" s="24" t="str">
        <f aca="false">IF(IFERROR(INDEX(res_Name,(ROW()-ROW(MSPResources[[#Headers],[Name]])))="",TRUE()),"",INDEX(res_Email,(ROW()-ROW(MSPResources[[#Headers],[Name]])))&amp;"")</f>
        <v>alex@example.com</v>
      </c>
    </row>
    <row r="5" customFormat="false" ht="15" hidden="false" customHeight="false" outlineLevel="0" collapsed="false">
      <c r="A5" s="24" t="str">
        <f aca="false">IF(IFERROR(INDEX(res_Name,(ROW()-ROW(MSPResources[[#Headers],[Name]])))="",TRUE()),"",INDEX(res_Name,(ROW()-ROW(MSPResources[[#Headers],[Name]])))&amp;"")</f>
        <v>Casey Kim</v>
      </c>
      <c r="B5" s="24" t="str">
        <f aca="false">IF(IFERROR(INDEX(res_Name,(ROW()-ROW(MSPResources[[#Headers],[Name]])))="",TRUE()),"",INDEX(res_Initials,(ROW()-ROW(MSPResources[[#Headers],[Name]])))&amp;"")</f>
        <v>CK</v>
      </c>
      <c r="C5" s="24" t="str">
        <f aca="false">IF(IFERROR(INDEX(res_Name,(ROW()-ROW(MSPResources[[#Headers],[Name]])))="",TRUE()),"",INDEX(res_Group,(ROW()-ROW(MSPResources[[#Headers],[Name]])))&amp;"")</f>
        <v>UX Designer</v>
      </c>
      <c r="D5" s="24" t="str">
        <f aca="false">IF(IFERROR(INDEX(res_Name,(ROW()-ROW(MSPResources[[#Headers],[Name]])))="",TRUE()),"",INDEX(res_Type,(ROW()-ROW(MSPResources[[#Headers],[Name]])))&amp;"")</f>
        <v>Work</v>
      </c>
      <c r="E5" s="24" t="str">
        <f aca="false">IF(IFERROR(INDEX(res_Name,(ROW()-ROW(MSPResources[[#Headers],[Name]])))="",TRUE()),"",ROUND(INDEX(res_MaxUnits,(ROW()-ROW(MSPResources[[#Headers],[Name]])))*100,0)&amp;"%")</f>
        <v>100%</v>
      </c>
      <c r="F5" s="24" t="str">
        <f aca="false">IF(IFERROR(INDEX(res_Name,(ROW()-ROW(MSPResources[[#Headers],[Name]])))="",TRUE()),"",INDEX(res_Rate,(ROW()-ROW(MSPResources[[#Headers],[Name]])))&amp;"/h")</f>
        <v>75/h</v>
      </c>
      <c r="G5" s="24" t="str">
        <f aca="false">IF(IFERROR(INDEX(res_Name,(ROW()-ROW(MSPResources[[#Headers],[Name]])))="",TRUE()),"",INDEX(res_Email,(ROW()-ROW(MSPResources[[#Headers],[Name]])))&amp;"")</f>
        <v>casey@example.com</v>
      </c>
    </row>
    <row r="6" customFormat="false" ht="15" hidden="false" customHeight="false" outlineLevel="0" collapsed="false">
      <c r="A6" s="24" t="str">
        <f aca="false">IF(IFERROR(INDEX(res_Name,(ROW()-ROW(MSPResources[[#Headers],[Name]])))="",TRUE()),"",INDEX(res_Name,(ROW()-ROW(MSPResources[[#Headers],[Name]])))&amp;"")</f>
        <v>Jordan Lee</v>
      </c>
      <c r="B6" s="24" t="str">
        <f aca="false">IF(IFERROR(INDEX(res_Name,(ROW()-ROW(MSPResources[[#Headers],[Name]])))="",TRUE()),"",INDEX(res_Initials,(ROW()-ROW(MSPResources[[#Headers],[Name]])))&amp;"")</f>
        <v>JL</v>
      </c>
      <c r="C6" s="24" t="str">
        <f aca="false">IF(IFERROR(INDEX(res_Name,(ROW()-ROW(MSPResources[[#Headers],[Name]])))="",TRUE()),"",INDEX(res_Group,(ROW()-ROW(MSPResources[[#Headers],[Name]])))&amp;"")</f>
        <v>Backend Developer</v>
      </c>
      <c r="D6" s="24" t="str">
        <f aca="false">IF(IFERROR(INDEX(res_Name,(ROW()-ROW(MSPResources[[#Headers],[Name]])))="",TRUE()),"",INDEX(res_Type,(ROW()-ROW(MSPResources[[#Headers],[Name]])))&amp;"")</f>
        <v>Work</v>
      </c>
      <c r="E6" s="24" t="str">
        <f aca="false">IF(IFERROR(INDEX(res_Name,(ROW()-ROW(MSPResources[[#Headers],[Name]])))="",TRUE()),"",ROUND(INDEX(res_MaxUnits,(ROW()-ROW(MSPResources[[#Headers],[Name]])))*100,0)&amp;"%")</f>
        <v>100%</v>
      </c>
      <c r="F6" s="24" t="str">
        <f aca="false">IF(IFERROR(INDEX(res_Name,(ROW()-ROW(MSPResources[[#Headers],[Name]])))="",TRUE()),"",INDEX(res_Rate,(ROW()-ROW(MSPResources[[#Headers],[Name]])))&amp;"/h")</f>
        <v>85/h</v>
      </c>
      <c r="G6" s="24" t="str">
        <f aca="false">IF(IFERROR(INDEX(res_Name,(ROW()-ROW(MSPResources[[#Headers],[Name]])))="",TRUE()),"",INDEX(res_Email,(ROW()-ROW(MSPResources[[#Headers],[Name]])))&amp;"")</f>
        <v>jordan@example.com</v>
      </c>
    </row>
    <row r="7" customFormat="false" ht="15" hidden="false" customHeight="false" outlineLevel="0" collapsed="false">
      <c r="A7" s="24" t="str">
        <f aca="false">IF(IFERROR(INDEX(res_Name,(ROW()-ROW(MSPResources[[#Headers],[Name]])))="",TRUE()),"",INDEX(res_Name,(ROW()-ROW(MSPResources[[#Headers],[Name]])))&amp;"")</f>
        <v>Sam Rivera</v>
      </c>
      <c r="B7" s="24" t="str">
        <f aca="false">IF(IFERROR(INDEX(res_Name,(ROW()-ROW(MSPResources[[#Headers],[Name]])))="",TRUE()),"",INDEX(res_Initials,(ROW()-ROW(MSPResources[[#Headers],[Name]])))&amp;"")</f>
        <v>SR</v>
      </c>
      <c r="C7" s="24" t="str">
        <f aca="false">IF(IFERROR(INDEX(res_Name,(ROW()-ROW(MSPResources[[#Headers],[Name]])))="",TRUE()),"",INDEX(res_Group,(ROW()-ROW(MSPResources[[#Headers],[Name]])))&amp;"")</f>
        <v>Frontend Developer</v>
      </c>
      <c r="D7" s="24" t="str">
        <f aca="false">IF(IFERROR(INDEX(res_Name,(ROW()-ROW(MSPResources[[#Headers],[Name]])))="",TRUE()),"",INDEX(res_Type,(ROW()-ROW(MSPResources[[#Headers],[Name]])))&amp;"")</f>
        <v>Work</v>
      </c>
      <c r="E7" s="24" t="str">
        <f aca="false">IF(IFERROR(INDEX(res_Name,(ROW()-ROW(MSPResources[[#Headers],[Name]])))="",TRUE()),"",ROUND(INDEX(res_MaxUnits,(ROW()-ROW(MSPResources[[#Headers],[Name]])))*100,0)&amp;"%")</f>
        <v>100%</v>
      </c>
      <c r="F7" s="24" t="str">
        <f aca="false">IF(IFERROR(INDEX(res_Name,(ROW()-ROW(MSPResources[[#Headers],[Name]])))="",TRUE()),"",INDEX(res_Rate,(ROW()-ROW(MSPResources[[#Headers],[Name]])))&amp;"/h")</f>
        <v>80/h</v>
      </c>
      <c r="G7" s="24" t="str">
        <f aca="false">IF(IFERROR(INDEX(res_Name,(ROW()-ROW(MSPResources[[#Headers],[Name]])))="",TRUE()),"",INDEX(res_Email,(ROW()-ROW(MSPResources[[#Headers],[Name]])))&amp;"")</f>
        <v>sam@example.com</v>
      </c>
    </row>
    <row r="8" customFormat="false" ht="15" hidden="false" customHeight="false" outlineLevel="0" collapsed="false">
      <c r="A8" s="24" t="str">
        <f aca="false">IF(IFERROR(INDEX(res_Name,(ROW()-ROW(MSPResources[[#Headers],[Name]])))="",TRUE()),"",INDEX(res_Name,(ROW()-ROW(MSPResources[[#Headers],[Name]])))&amp;"")</f>
        <v>Taylor Morgan</v>
      </c>
      <c r="B8" s="24" t="str">
        <f aca="false">IF(IFERROR(INDEX(res_Name,(ROW()-ROW(MSPResources[[#Headers],[Name]])))="",TRUE()),"",INDEX(res_Initials,(ROW()-ROW(MSPResources[[#Headers],[Name]])))&amp;"")</f>
        <v>TM</v>
      </c>
      <c r="C8" s="24" t="str">
        <f aca="false">IF(IFERROR(INDEX(res_Name,(ROW()-ROW(MSPResources[[#Headers],[Name]])))="",TRUE()),"",INDEX(res_Group,(ROW()-ROW(MSPResources[[#Headers],[Name]])))&amp;"")</f>
        <v>QA Engineer</v>
      </c>
      <c r="D8" s="24" t="str">
        <f aca="false">IF(IFERROR(INDEX(res_Name,(ROW()-ROW(MSPResources[[#Headers],[Name]])))="",TRUE()),"",INDEX(res_Type,(ROW()-ROW(MSPResources[[#Headers],[Name]])))&amp;"")</f>
        <v>Work</v>
      </c>
      <c r="E8" s="24" t="str">
        <f aca="false">IF(IFERROR(INDEX(res_Name,(ROW()-ROW(MSPResources[[#Headers],[Name]])))="",TRUE()),"",ROUND(INDEX(res_MaxUnits,(ROW()-ROW(MSPResources[[#Headers],[Name]])))*100,0)&amp;"%")</f>
        <v>100%</v>
      </c>
      <c r="F8" s="24" t="str">
        <f aca="false">IF(IFERROR(INDEX(res_Name,(ROW()-ROW(MSPResources[[#Headers],[Name]])))="",TRUE()),"",INDEX(res_Rate,(ROW()-ROW(MSPResources[[#Headers],[Name]])))&amp;"/h")</f>
        <v>65/h</v>
      </c>
      <c r="G8" s="24" t="str">
        <f aca="false">IF(IFERROR(INDEX(res_Name,(ROW()-ROW(MSPResources[[#Headers],[Name]])))="",TRUE()),"",INDEX(res_Email,(ROW()-ROW(MSPResources[[#Headers],[Name]])))&amp;"")</f>
        <v>taylor@example.com</v>
      </c>
    </row>
    <row r="9" customFormat="false" ht="15" hidden="false" customHeight="false" outlineLevel="0" collapsed="false">
      <c r="A9" s="24" t="str">
        <f aca="false">IF(IFERROR(INDEX(res_Name,(ROW()-ROW(MSPResources[[#Headers],[Name]])))="",TRUE()),"",INDEX(res_Name,(ROW()-ROW(MSPResources[[#Headers],[Name]])))&amp;"")</f>
        <v/>
      </c>
      <c r="B9" s="24" t="str">
        <f aca="false">IF(IFERROR(INDEX(res_Name,(ROW()-ROW(MSPResources[[#Headers],[Name]])))="",TRUE()),"",INDEX(res_Initials,(ROW()-ROW(MSPResources[[#Headers],[Name]])))&amp;"")</f>
        <v/>
      </c>
      <c r="C9" s="24" t="str">
        <f aca="false">IF(IFERROR(INDEX(res_Name,(ROW()-ROW(MSPResources[[#Headers],[Name]])))="",TRUE()),"",INDEX(res_Group,(ROW()-ROW(MSPResources[[#Headers],[Name]])))&amp;"")</f>
        <v/>
      </c>
      <c r="D9" s="24" t="str">
        <f aca="false">IF(IFERROR(INDEX(res_Name,(ROW()-ROW(MSPResources[[#Headers],[Name]])))="",TRUE()),"",INDEX(res_Type,(ROW()-ROW(MSPResources[[#Headers],[Name]])))&amp;"")</f>
        <v/>
      </c>
      <c r="E9" s="24" t="str">
        <f aca="false">IF(IFERROR(INDEX(res_Name,(ROW()-ROW(MSPResources[[#Headers],[Name]])))="",TRUE()),"",ROUND(INDEX(res_MaxUnits,(ROW()-ROW(MSPResources[[#Headers],[Name]])))*100,0)&amp;"%")</f>
        <v/>
      </c>
      <c r="F9" s="24" t="str">
        <f aca="false">IF(IFERROR(INDEX(res_Name,(ROW()-ROW(MSPResources[[#Headers],[Name]])))="",TRUE()),"",INDEX(res_Rate,(ROW()-ROW(MSPResources[[#Headers],[Name]])))&amp;"/h")</f>
        <v/>
      </c>
      <c r="G9" s="24" t="str">
        <f aca="false">IF(IFERROR(INDEX(res_Name,(ROW()-ROW(MSPResources[[#Headers],[Name]])))="",TRUE()),"",INDEX(res_Email,(ROW()-ROW(MSPResources[[#Headers],[Name]])))&amp;"")</f>
        <v/>
      </c>
    </row>
    <row r="10" customFormat="false" ht="15" hidden="false" customHeight="false" outlineLevel="0" collapsed="false">
      <c r="A10" s="24" t="str">
        <f aca="false">IF(IFERROR(INDEX(res_Name,(ROW()-ROW(MSPResources[[#Headers],[Name]])))="",TRUE()),"",INDEX(res_Name,(ROW()-ROW(MSPResources[[#Headers],[Name]])))&amp;"")</f>
        <v/>
      </c>
      <c r="B10" s="24" t="str">
        <f aca="false">IF(IFERROR(INDEX(res_Name,(ROW()-ROW(MSPResources[[#Headers],[Name]])))="",TRUE()),"",INDEX(res_Initials,(ROW()-ROW(MSPResources[[#Headers],[Name]])))&amp;"")</f>
        <v/>
      </c>
      <c r="C10" s="24" t="str">
        <f aca="false">IF(IFERROR(INDEX(res_Name,(ROW()-ROW(MSPResources[[#Headers],[Name]])))="",TRUE()),"",INDEX(res_Group,(ROW()-ROW(MSPResources[[#Headers],[Name]])))&amp;"")</f>
        <v/>
      </c>
      <c r="D10" s="24" t="str">
        <f aca="false">IF(IFERROR(INDEX(res_Name,(ROW()-ROW(MSPResources[[#Headers],[Name]])))="",TRUE()),"",INDEX(res_Type,(ROW()-ROW(MSPResources[[#Headers],[Name]])))&amp;"")</f>
        <v/>
      </c>
      <c r="E10" s="24" t="str">
        <f aca="false">IF(IFERROR(INDEX(res_Name,(ROW()-ROW(MSPResources[[#Headers],[Name]])))="",TRUE()),"",ROUND(INDEX(res_MaxUnits,(ROW()-ROW(MSPResources[[#Headers],[Name]])))*100,0)&amp;"%")</f>
        <v/>
      </c>
      <c r="F10" s="24" t="str">
        <f aca="false">IF(IFERROR(INDEX(res_Name,(ROW()-ROW(MSPResources[[#Headers],[Name]])))="",TRUE()),"",INDEX(res_Rate,(ROW()-ROW(MSPResources[[#Headers],[Name]])))&amp;"/h")</f>
        <v/>
      </c>
      <c r="G10" s="24" t="str">
        <f aca="false">IF(IFERROR(INDEX(res_Name,(ROW()-ROW(MSPResources[[#Headers],[Name]])))="",TRUE()),"",INDEX(res_Email,(ROW()-ROW(MSPResources[[#Headers],[Name]])))&amp;"")</f>
        <v/>
      </c>
    </row>
    <row r="11" customFormat="false" ht="15" hidden="false" customHeight="false" outlineLevel="0" collapsed="false">
      <c r="A11" s="24" t="str">
        <f aca="false">IF(IFERROR(INDEX(res_Name,(ROW()-ROW(MSPResources[[#Headers],[Name]])))="",TRUE()),"",INDEX(res_Name,(ROW()-ROW(MSPResources[[#Headers],[Name]])))&amp;"")</f>
        <v/>
      </c>
      <c r="B11" s="24" t="str">
        <f aca="false">IF(IFERROR(INDEX(res_Name,(ROW()-ROW(MSPResources[[#Headers],[Name]])))="",TRUE()),"",INDEX(res_Initials,(ROW()-ROW(MSPResources[[#Headers],[Name]])))&amp;"")</f>
        <v/>
      </c>
      <c r="C11" s="24" t="str">
        <f aca="false">IF(IFERROR(INDEX(res_Name,(ROW()-ROW(MSPResources[[#Headers],[Name]])))="",TRUE()),"",INDEX(res_Group,(ROW()-ROW(MSPResources[[#Headers],[Name]])))&amp;"")</f>
        <v/>
      </c>
      <c r="D11" s="24" t="str">
        <f aca="false">IF(IFERROR(INDEX(res_Name,(ROW()-ROW(MSPResources[[#Headers],[Name]])))="",TRUE()),"",INDEX(res_Type,(ROW()-ROW(MSPResources[[#Headers],[Name]])))&amp;"")</f>
        <v/>
      </c>
      <c r="E11" s="24" t="str">
        <f aca="false">IF(IFERROR(INDEX(res_Name,(ROW()-ROW(MSPResources[[#Headers],[Name]])))="",TRUE()),"",ROUND(INDEX(res_MaxUnits,(ROW()-ROW(MSPResources[[#Headers],[Name]])))*100,0)&amp;"%")</f>
        <v/>
      </c>
      <c r="F11" s="24" t="str">
        <f aca="false">IF(IFERROR(INDEX(res_Name,(ROW()-ROW(MSPResources[[#Headers],[Name]])))="",TRUE()),"",INDEX(res_Rate,(ROW()-ROW(MSPResources[[#Headers],[Name]])))&amp;"/h")</f>
        <v/>
      </c>
      <c r="G11" s="24" t="str">
        <f aca="false">IF(IFERROR(INDEX(res_Name,(ROW()-ROW(MSPResources[[#Headers],[Name]])))="",TRUE()),"",INDEX(res_Email,(ROW()-ROW(MSPResources[[#Headers],[Name]])))&amp;"")</f>
        <v/>
      </c>
    </row>
    <row r="12" customFormat="false" ht="15" hidden="false" customHeight="false" outlineLevel="0" collapsed="false">
      <c r="A12" s="24" t="str">
        <f aca="false">IF(IFERROR(INDEX(res_Name,(ROW()-ROW(MSPResources[[#Headers],[Name]])))="",TRUE()),"",INDEX(res_Name,(ROW()-ROW(MSPResources[[#Headers],[Name]])))&amp;"")</f>
        <v/>
      </c>
      <c r="B12" s="24" t="str">
        <f aca="false">IF(IFERROR(INDEX(res_Name,(ROW()-ROW(MSPResources[[#Headers],[Name]])))="",TRUE()),"",INDEX(res_Initials,(ROW()-ROW(MSPResources[[#Headers],[Name]])))&amp;"")</f>
        <v/>
      </c>
      <c r="C12" s="24" t="str">
        <f aca="false">IF(IFERROR(INDEX(res_Name,(ROW()-ROW(MSPResources[[#Headers],[Name]])))="",TRUE()),"",INDEX(res_Group,(ROW()-ROW(MSPResources[[#Headers],[Name]])))&amp;"")</f>
        <v/>
      </c>
      <c r="D12" s="24" t="str">
        <f aca="false">IF(IFERROR(INDEX(res_Name,(ROW()-ROW(MSPResources[[#Headers],[Name]])))="",TRUE()),"",INDEX(res_Type,(ROW()-ROW(MSPResources[[#Headers],[Name]])))&amp;"")</f>
        <v/>
      </c>
      <c r="E12" s="24" t="str">
        <f aca="false">IF(IFERROR(INDEX(res_Name,(ROW()-ROW(MSPResources[[#Headers],[Name]])))="",TRUE()),"",ROUND(INDEX(res_MaxUnits,(ROW()-ROW(MSPResources[[#Headers],[Name]])))*100,0)&amp;"%")</f>
        <v/>
      </c>
      <c r="F12" s="24" t="str">
        <f aca="false">IF(IFERROR(INDEX(res_Name,(ROW()-ROW(MSPResources[[#Headers],[Name]])))="",TRUE()),"",INDEX(res_Rate,(ROW()-ROW(MSPResources[[#Headers],[Name]])))&amp;"/h")</f>
        <v/>
      </c>
      <c r="G12" s="24" t="str">
        <f aca="false">IF(IFERROR(INDEX(res_Name,(ROW()-ROW(MSPResources[[#Headers],[Name]])))="",TRUE()),"",INDEX(res_Email,(ROW()-ROW(MSPResources[[#Headers],[Name]])))&amp;"")</f>
        <v/>
      </c>
    </row>
    <row r="13" customFormat="false" ht="15" hidden="false" customHeight="false" outlineLevel="0" collapsed="false">
      <c r="A13" s="24" t="str">
        <f aca="false">IF(IFERROR(INDEX(res_Name,(ROW()-ROW(MSPResources[[#Headers],[Name]])))="",TRUE()),"",INDEX(res_Name,(ROW()-ROW(MSPResources[[#Headers],[Name]])))&amp;"")</f>
        <v/>
      </c>
      <c r="B13" s="24" t="str">
        <f aca="false">IF(IFERROR(INDEX(res_Name,(ROW()-ROW(MSPResources[[#Headers],[Name]])))="",TRUE()),"",INDEX(res_Initials,(ROW()-ROW(MSPResources[[#Headers],[Name]])))&amp;"")</f>
        <v/>
      </c>
      <c r="C13" s="24" t="str">
        <f aca="false">IF(IFERROR(INDEX(res_Name,(ROW()-ROW(MSPResources[[#Headers],[Name]])))="",TRUE()),"",INDEX(res_Group,(ROW()-ROW(MSPResources[[#Headers],[Name]])))&amp;"")</f>
        <v/>
      </c>
      <c r="D13" s="24" t="str">
        <f aca="false">IF(IFERROR(INDEX(res_Name,(ROW()-ROW(MSPResources[[#Headers],[Name]])))="",TRUE()),"",INDEX(res_Type,(ROW()-ROW(MSPResources[[#Headers],[Name]])))&amp;"")</f>
        <v/>
      </c>
      <c r="E13" s="24" t="str">
        <f aca="false">IF(IFERROR(INDEX(res_Name,(ROW()-ROW(MSPResources[[#Headers],[Name]])))="",TRUE()),"",ROUND(INDEX(res_MaxUnits,(ROW()-ROW(MSPResources[[#Headers],[Name]])))*100,0)&amp;"%")</f>
        <v/>
      </c>
      <c r="F13" s="24" t="str">
        <f aca="false">IF(IFERROR(INDEX(res_Name,(ROW()-ROW(MSPResources[[#Headers],[Name]])))="",TRUE()),"",INDEX(res_Rate,(ROW()-ROW(MSPResources[[#Headers],[Name]])))&amp;"/h")</f>
        <v/>
      </c>
      <c r="G13" s="24" t="str">
        <f aca="false">IF(IFERROR(INDEX(res_Name,(ROW()-ROW(MSPResources[[#Headers],[Name]])))="",TRUE()),"",INDEX(res_Email,(ROW()-ROW(MSPResources[[#Headers],[Name]])))&amp;"")</f>
        <v/>
      </c>
    </row>
    <row r="14" customFormat="false" ht="15" hidden="false" customHeight="false" outlineLevel="0" collapsed="false">
      <c r="A14" s="24" t="str">
        <f aca="false">IF(IFERROR(INDEX(res_Name,(ROW()-ROW(MSPResources[[#Headers],[Name]])))="",TRUE()),"",INDEX(res_Name,(ROW()-ROW(MSPResources[[#Headers],[Name]])))&amp;"")</f>
        <v/>
      </c>
      <c r="B14" s="24" t="str">
        <f aca="false">IF(IFERROR(INDEX(res_Name,(ROW()-ROW(MSPResources[[#Headers],[Name]])))="",TRUE()),"",INDEX(res_Initials,(ROW()-ROW(MSPResources[[#Headers],[Name]])))&amp;"")</f>
        <v/>
      </c>
      <c r="C14" s="24" t="str">
        <f aca="false">IF(IFERROR(INDEX(res_Name,(ROW()-ROW(MSPResources[[#Headers],[Name]])))="",TRUE()),"",INDEX(res_Group,(ROW()-ROW(MSPResources[[#Headers],[Name]])))&amp;"")</f>
        <v/>
      </c>
      <c r="D14" s="24" t="str">
        <f aca="false">IF(IFERROR(INDEX(res_Name,(ROW()-ROW(MSPResources[[#Headers],[Name]])))="",TRUE()),"",INDEX(res_Type,(ROW()-ROW(MSPResources[[#Headers],[Name]])))&amp;"")</f>
        <v/>
      </c>
      <c r="E14" s="24" t="str">
        <f aca="false">IF(IFERROR(INDEX(res_Name,(ROW()-ROW(MSPResources[[#Headers],[Name]])))="",TRUE()),"",ROUND(INDEX(res_MaxUnits,(ROW()-ROW(MSPResources[[#Headers],[Name]])))*100,0)&amp;"%")</f>
        <v/>
      </c>
      <c r="F14" s="24" t="str">
        <f aca="false">IF(IFERROR(INDEX(res_Name,(ROW()-ROW(MSPResources[[#Headers],[Name]])))="",TRUE()),"",INDEX(res_Rate,(ROW()-ROW(MSPResources[[#Headers],[Name]])))&amp;"/h")</f>
        <v/>
      </c>
      <c r="G14" s="24" t="str">
        <f aca="false">IF(IFERROR(INDEX(res_Name,(ROW()-ROW(MSPResources[[#Headers],[Name]])))="",TRUE()),"",INDEX(res_Email,(ROW()-ROW(MSPResources[[#Headers],[Name]])))&amp;"")</f>
        <v/>
      </c>
    </row>
    <row r="15" customFormat="false" ht="15" hidden="false" customHeight="false" outlineLevel="0" collapsed="false">
      <c r="A15" s="24" t="str">
        <f aca="false">IF(IFERROR(INDEX(res_Name,(ROW()-ROW(MSPResources[[#Headers],[Name]])))="",TRUE()),"",INDEX(res_Name,(ROW()-ROW(MSPResources[[#Headers],[Name]])))&amp;"")</f>
        <v/>
      </c>
      <c r="B15" s="24" t="str">
        <f aca="false">IF(IFERROR(INDEX(res_Name,(ROW()-ROW(MSPResources[[#Headers],[Name]])))="",TRUE()),"",INDEX(res_Initials,(ROW()-ROW(MSPResources[[#Headers],[Name]])))&amp;"")</f>
        <v/>
      </c>
      <c r="C15" s="24" t="str">
        <f aca="false">IF(IFERROR(INDEX(res_Name,(ROW()-ROW(MSPResources[[#Headers],[Name]])))="",TRUE()),"",INDEX(res_Group,(ROW()-ROW(MSPResources[[#Headers],[Name]])))&amp;"")</f>
        <v/>
      </c>
      <c r="D15" s="24" t="str">
        <f aca="false">IF(IFERROR(INDEX(res_Name,(ROW()-ROW(MSPResources[[#Headers],[Name]])))="",TRUE()),"",INDEX(res_Type,(ROW()-ROW(MSPResources[[#Headers],[Name]])))&amp;"")</f>
        <v/>
      </c>
      <c r="E15" s="24" t="str">
        <f aca="false">IF(IFERROR(INDEX(res_Name,(ROW()-ROW(MSPResources[[#Headers],[Name]])))="",TRUE()),"",ROUND(INDEX(res_MaxUnits,(ROW()-ROW(MSPResources[[#Headers],[Name]])))*100,0)&amp;"%")</f>
        <v/>
      </c>
      <c r="F15" s="24" t="str">
        <f aca="false">IF(IFERROR(INDEX(res_Name,(ROW()-ROW(MSPResources[[#Headers],[Name]])))="",TRUE()),"",INDEX(res_Rate,(ROW()-ROW(MSPResources[[#Headers],[Name]])))&amp;"/h")</f>
        <v/>
      </c>
      <c r="G15" s="24" t="str">
        <f aca="false">IF(IFERROR(INDEX(res_Name,(ROW()-ROW(MSPResources[[#Headers],[Name]])))="",TRUE()),"",INDEX(res_Email,(ROW()-ROW(MSPResources[[#Headers],[Name]])))&amp;"")</f>
        <v/>
      </c>
    </row>
    <row r="16" customFormat="false" ht="15" hidden="false" customHeight="false" outlineLevel="0" collapsed="false">
      <c r="A16" s="24" t="str">
        <f aca="false">IF(IFERROR(INDEX(res_Name,(ROW()-ROW(MSPResources[[#Headers],[Name]])))="",TRUE()),"",INDEX(res_Name,(ROW()-ROW(MSPResources[[#Headers],[Name]])))&amp;"")</f>
        <v/>
      </c>
      <c r="B16" s="24" t="str">
        <f aca="false">IF(IFERROR(INDEX(res_Name,(ROW()-ROW(MSPResources[[#Headers],[Name]])))="",TRUE()),"",INDEX(res_Initials,(ROW()-ROW(MSPResources[[#Headers],[Name]])))&amp;"")</f>
        <v/>
      </c>
      <c r="C16" s="24" t="str">
        <f aca="false">IF(IFERROR(INDEX(res_Name,(ROW()-ROW(MSPResources[[#Headers],[Name]])))="",TRUE()),"",INDEX(res_Group,(ROW()-ROW(MSPResources[[#Headers],[Name]])))&amp;"")</f>
        <v/>
      </c>
      <c r="D16" s="24" t="str">
        <f aca="false">IF(IFERROR(INDEX(res_Name,(ROW()-ROW(MSPResources[[#Headers],[Name]])))="",TRUE()),"",INDEX(res_Type,(ROW()-ROW(MSPResources[[#Headers],[Name]])))&amp;"")</f>
        <v/>
      </c>
      <c r="E16" s="24" t="str">
        <f aca="false">IF(IFERROR(INDEX(res_Name,(ROW()-ROW(MSPResources[[#Headers],[Name]])))="",TRUE()),"",ROUND(INDEX(res_MaxUnits,(ROW()-ROW(MSPResources[[#Headers],[Name]])))*100,0)&amp;"%")</f>
        <v/>
      </c>
      <c r="F16" s="24" t="str">
        <f aca="false">IF(IFERROR(INDEX(res_Name,(ROW()-ROW(MSPResources[[#Headers],[Name]])))="",TRUE()),"",INDEX(res_Rate,(ROW()-ROW(MSPResources[[#Headers],[Name]])))&amp;"/h")</f>
        <v/>
      </c>
      <c r="G16" s="24" t="str">
        <f aca="false">IF(IFERROR(INDEX(res_Name,(ROW()-ROW(MSPResources[[#Headers],[Name]])))="",TRUE()),"",INDEX(res_Email,(ROW()-ROW(MSPResources[[#Headers],[Name]])))&amp;"")</f>
        <v/>
      </c>
    </row>
    <row r="17" customFormat="false" ht="15" hidden="false" customHeight="false" outlineLevel="0" collapsed="false">
      <c r="A17" s="24" t="str">
        <f aca="false">IF(IFERROR(INDEX(res_Name,(ROW()-ROW(MSPResources[[#Headers],[Name]])))="",TRUE()),"",INDEX(res_Name,(ROW()-ROW(MSPResources[[#Headers],[Name]])))&amp;"")</f>
        <v/>
      </c>
      <c r="B17" s="24" t="str">
        <f aca="false">IF(IFERROR(INDEX(res_Name,(ROW()-ROW(MSPResources[[#Headers],[Name]])))="",TRUE()),"",INDEX(res_Initials,(ROW()-ROW(MSPResources[[#Headers],[Name]])))&amp;"")</f>
        <v/>
      </c>
      <c r="C17" s="24" t="str">
        <f aca="false">IF(IFERROR(INDEX(res_Name,(ROW()-ROW(MSPResources[[#Headers],[Name]])))="",TRUE()),"",INDEX(res_Group,(ROW()-ROW(MSPResources[[#Headers],[Name]])))&amp;"")</f>
        <v/>
      </c>
      <c r="D17" s="24" t="str">
        <f aca="false">IF(IFERROR(INDEX(res_Name,(ROW()-ROW(MSPResources[[#Headers],[Name]])))="",TRUE()),"",INDEX(res_Type,(ROW()-ROW(MSPResources[[#Headers],[Name]])))&amp;"")</f>
        <v/>
      </c>
      <c r="E17" s="24" t="str">
        <f aca="false">IF(IFERROR(INDEX(res_Name,(ROW()-ROW(MSPResources[[#Headers],[Name]])))="",TRUE()),"",ROUND(INDEX(res_MaxUnits,(ROW()-ROW(MSPResources[[#Headers],[Name]])))*100,0)&amp;"%")</f>
        <v/>
      </c>
      <c r="F17" s="24" t="str">
        <f aca="false">IF(IFERROR(INDEX(res_Name,(ROW()-ROW(MSPResources[[#Headers],[Name]])))="",TRUE()),"",INDEX(res_Rate,(ROW()-ROW(MSPResources[[#Headers],[Name]])))&amp;"/h")</f>
        <v/>
      </c>
      <c r="G17" s="24" t="str">
        <f aca="false">IF(IFERROR(INDEX(res_Name,(ROW()-ROW(MSPResources[[#Headers],[Name]])))="",TRUE()),"",INDEX(res_Email,(ROW()-ROW(MSPResources[[#Headers],[Name]])))&amp;"")</f>
        <v/>
      </c>
    </row>
    <row r="18" customFormat="false" ht="15" hidden="false" customHeight="false" outlineLevel="0" collapsed="false">
      <c r="A18" s="24" t="str">
        <f aca="false">IF(IFERROR(INDEX(res_Name,(ROW()-ROW(MSPResources[[#Headers],[Name]])))="",TRUE()),"",INDEX(res_Name,(ROW()-ROW(MSPResources[[#Headers],[Name]])))&amp;"")</f>
        <v/>
      </c>
      <c r="B18" s="24" t="str">
        <f aca="false">IF(IFERROR(INDEX(res_Name,(ROW()-ROW(MSPResources[[#Headers],[Name]])))="",TRUE()),"",INDEX(res_Initials,(ROW()-ROW(MSPResources[[#Headers],[Name]])))&amp;"")</f>
        <v/>
      </c>
      <c r="C18" s="24" t="str">
        <f aca="false">IF(IFERROR(INDEX(res_Name,(ROW()-ROW(MSPResources[[#Headers],[Name]])))="",TRUE()),"",INDEX(res_Group,(ROW()-ROW(MSPResources[[#Headers],[Name]])))&amp;"")</f>
        <v/>
      </c>
      <c r="D18" s="24" t="str">
        <f aca="false">IF(IFERROR(INDEX(res_Name,(ROW()-ROW(MSPResources[[#Headers],[Name]])))="",TRUE()),"",INDEX(res_Type,(ROW()-ROW(MSPResources[[#Headers],[Name]])))&amp;"")</f>
        <v/>
      </c>
      <c r="E18" s="24" t="str">
        <f aca="false">IF(IFERROR(INDEX(res_Name,(ROW()-ROW(MSPResources[[#Headers],[Name]])))="",TRUE()),"",ROUND(INDEX(res_MaxUnits,(ROW()-ROW(MSPResources[[#Headers],[Name]])))*100,0)&amp;"%")</f>
        <v/>
      </c>
      <c r="F18" s="24" t="str">
        <f aca="false">IF(IFERROR(INDEX(res_Name,(ROW()-ROW(MSPResources[[#Headers],[Name]])))="",TRUE()),"",INDEX(res_Rate,(ROW()-ROW(MSPResources[[#Headers],[Name]])))&amp;"/h")</f>
        <v/>
      </c>
      <c r="G18" s="24" t="str">
        <f aca="false">IF(IFERROR(INDEX(res_Name,(ROW()-ROW(MSPResources[[#Headers],[Name]])))="",TRUE()),"",INDEX(res_Email,(ROW()-ROW(MSPResources[[#Headers],[Name]])))&amp;"")</f>
        <v/>
      </c>
    </row>
    <row r="19" customFormat="false" ht="15" hidden="false" customHeight="false" outlineLevel="0" collapsed="false">
      <c r="A19" s="24" t="str">
        <f aca="false">IF(IFERROR(INDEX(res_Name,(ROW()-ROW(MSPResources[[#Headers],[Name]])))="",TRUE()),"",INDEX(res_Name,(ROW()-ROW(MSPResources[[#Headers],[Name]])))&amp;"")</f>
        <v/>
      </c>
      <c r="B19" s="24" t="str">
        <f aca="false">IF(IFERROR(INDEX(res_Name,(ROW()-ROW(MSPResources[[#Headers],[Name]])))="",TRUE()),"",INDEX(res_Initials,(ROW()-ROW(MSPResources[[#Headers],[Name]])))&amp;"")</f>
        <v/>
      </c>
      <c r="C19" s="24" t="str">
        <f aca="false">IF(IFERROR(INDEX(res_Name,(ROW()-ROW(MSPResources[[#Headers],[Name]])))="",TRUE()),"",INDEX(res_Group,(ROW()-ROW(MSPResources[[#Headers],[Name]])))&amp;"")</f>
        <v/>
      </c>
      <c r="D19" s="24" t="str">
        <f aca="false">IF(IFERROR(INDEX(res_Name,(ROW()-ROW(MSPResources[[#Headers],[Name]])))="",TRUE()),"",INDEX(res_Type,(ROW()-ROW(MSPResources[[#Headers],[Name]])))&amp;"")</f>
        <v/>
      </c>
      <c r="E19" s="24" t="str">
        <f aca="false">IF(IFERROR(INDEX(res_Name,(ROW()-ROW(MSPResources[[#Headers],[Name]])))="",TRUE()),"",ROUND(INDEX(res_MaxUnits,(ROW()-ROW(MSPResources[[#Headers],[Name]])))*100,0)&amp;"%")</f>
        <v/>
      </c>
      <c r="F19" s="24" t="str">
        <f aca="false">IF(IFERROR(INDEX(res_Name,(ROW()-ROW(MSPResources[[#Headers],[Name]])))="",TRUE()),"",INDEX(res_Rate,(ROW()-ROW(MSPResources[[#Headers],[Name]])))&amp;"/h")</f>
        <v/>
      </c>
      <c r="G19" s="24" t="str">
        <f aca="false">IF(IFERROR(INDEX(res_Name,(ROW()-ROW(MSPResources[[#Headers],[Name]])))="",TRUE()),"",INDEX(res_Email,(ROW()-ROW(MSPResources[[#Headers],[Name]])))&amp;"")</f>
        <v/>
      </c>
    </row>
    <row r="20" customFormat="false" ht="15" hidden="false" customHeight="false" outlineLevel="0" collapsed="false">
      <c r="A20" s="24" t="str">
        <f aca="false">IF(IFERROR(INDEX(res_Name,(ROW()-ROW(MSPResources[[#Headers],[Name]])))="",TRUE()),"",INDEX(res_Name,(ROW()-ROW(MSPResources[[#Headers],[Name]])))&amp;"")</f>
        <v/>
      </c>
      <c r="B20" s="24" t="str">
        <f aca="false">IF(IFERROR(INDEX(res_Name,(ROW()-ROW(MSPResources[[#Headers],[Name]])))="",TRUE()),"",INDEX(res_Initials,(ROW()-ROW(MSPResources[[#Headers],[Name]])))&amp;"")</f>
        <v/>
      </c>
      <c r="C20" s="24" t="str">
        <f aca="false">IF(IFERROR(INDEX(res_Name,(ROW()-ROW(MSPResources[[#Headers],[Name]])))="",TRUE()),"",INDEX(res_Group,(ROW()-ROW(MSPResources[[#Headers],[Name]])))&amp;"")</f>
        <v/>
      </c>
      <c r="D20" s="24" t="str">
        <f aca="false">IF(IFERROR(INDEX(res_Name,(ROW()-ROW(MSPResources[[#Headers],[Name]])))="",TRUE()),"",INDEX(res_Type,(ROW()-ROW(MSPResources[[#Headers],[Name]])))&amp;"")</f>
        <v/>
      </c>
      <c r="E20" s="24" t="str">
        <f aca="false">IF(IFERROR(INDEX(res_Name,(ROW()-ROW(MSPResources[[#Headers],[Name]])))="",TRUE()),"",ROUND(INDEX(res_MaxUnits,(ROW()-ROW(MSPResources[[#Headers],[Name]])))*100,0)&amp;"%")</f>
        <v/>
      </c>
      <c r="F20" s="24" t="str">
        <f aca="false">IF(IFERROR(INDEX(res_Name,(ROW()-ROW(MSPResources[[#Headers],[Name]])))="",TRUE()),"",INDEX(res_Rate,(ROW()-ROW(MSPResources[[#Headers],[Name]])))&amp;"/h")</f>
        <v/>
      </c>
      <c r="G20" s="24" t="str">
        <f aca="false">IF(IFERROR(INDEX(res_Name,(ROW()-ROW(MSPResources[[#Headers],[Name]])))="",TRUE()),"",INDEX(res_Email,(ROW()-ROW(MSPResources[[#Headers],[Name]])))&amp;"")</f>
        <v/>
      </c>
    </row>
    <row r="21" customFormat="false" ht="15" hidden="false" customHeight="false" outlineLevel="0" collapsed="false">
      <c r="A21" s="24" t="str">
        <f aca="false">IF(IFERROR(INDEX(res_Name,(ROW()-ROW(MSPResources[[#Headers],[Name]])))="",TRUE()),"",INDEX(res_Name,(ROW()-ROW(MSPResources[[#Headers],[Name]])))&amp;"")</f>
        <v/>
      </c>
      <c r="B21" s="24" t="str">
        <f aca="false">IF(IFERROR(INDEX(res_Name,(ROW()-ROW(MSPResources[[#Headers],[Name]])))="",TRUE()),"",INDEX(res_Initials,(ROW()-ROW(MSPResources[[#Headers],[Name]])))&amp;"")</f>
        <v/>
      </c>
      <c r="C21" s="24" t="str">
        <f aca="false">IF(IFERROR(INDEX(res_Name,(ROW()-ROW(MSPResources[[#Headers],[Name]])))="",TRUE()),"",INDEX(res_Group,(ROW()-ROW(MSPResources[[#Headers],[Name]])))&amp;"")</f>
        <v/>
      </c>
      <c r="D21" s="24" t="str">
        <f aca="false">IF(IFERROR(INDEX(res_Name,(ROW()-ROW(MSPResources[[#Headers],[Name]])))="",TRUE()),"",INDEX(res_Type,(ROW()-ROW(MSPResources[[#Headers],[Name]])))&amp;"")</f>
        <v/>
      </c>
      <c r="E21" s="24" t="str">
        <f aca="false">IF(IFERROR(INDEX(res_Name,(ROW()-ROW(MSPResources[[#Headers],[Name]])))="",TRUE()),"",ROUND(INDEX(res_MaxUnits,(ROW()-ROW(MSPResources[[#Headers],[Name]])))*100,0)&amp;"%")</f>
        <v/>
      </c>
      <c r="F21" s="24" t="str">
        <f aca="false">IF(IFERROR(INDEX(res_Name,(ROW()-ROW(MSPResources[[#Headers],[Name]])))="",TRUE()),"",INDEX(res_Rate,(ROW()-ROW(MSPResources[[#Headers],[Name]])))&amp;"/h")</f>
        <v/>
      </c>
      <c r="G21" s="24" t="str">
        <f aca="false">IF(IFERROR(INDEX(res_Name,(ROW()-ROW(MSPResources[[#Headers],[Name]])))="",TRUE()),"",INDEX(res_Email,(ROW()-ROW(MSPResources[[#Headers],[Name]])))&amp;"")</f>
        <v/>
      </c>
    </row>
    <row r="22" customFormat="false" ht="15" hidden="false" customHeight="false" outlineLevel="0" collapsed="false">
      <c r="A22" s="24" t="str">
        <f aca="false">IF(IFERROR(INDEX(res_Name,(ROW()-ROW(MSPResources[[#Headers],[Name]])))="",TRUE()),"",INDEX(res_Name,(ROW()-ROW(MSPResources[[#Headers],[Name]])))&amp;"")</f>
        <v/>
      </c>
      <c r="B22" s="24" t="str">
        <f aca="false">IF(IFERROR(INDEX(res_Name,(ROW()-ROW(MSPResources[[#Headers],[Name]])))="",TRUE()),"",INDEX(res_Initials,(ROW()-ROW(MSPResources[[#Headers],[Name]])))&amp;"")</f>
        <v/>
      </c>
      <c r="C22" s="24" t="str">
        <f aca="false">IF(IFERROR(INDEX(res_Name,(ROW()-ROW(MSPResources[[#Headers],[Name]])))="",TRUE()),"",INDEX(res_Group,(ROW()-ROW(MSPResources[[#Headers],[Name]])))&amp;"")</f>
        <v/>
      </c>
      <c r="D22" s="24" t="str">
        <f aca="false">IF(IFERROR(INDEX(res_Name,(ROW()-ROW(MSPResources[[#Headers],[Name]])))="",TRUE()),"",INDEX(res_Type,(ROW()-ROW(MSPResources[[#Headers],[Name]])))&amp;"")</f>
        <v/>
      </c>
      <c r="E22" s="24" t="str">
        <f aca="false">IF(IFERROR(INDEX(res_Name,(ROW()-ROW(MSPResources[[#Headers],[Name]])))="",TRUE()),"",ROUND(INDEX(res_MaxUnits,(ROW()-ROW(MSPResources[[#Headers],[Name]])))*100,0)&amp;"%")</f>
        <v/>
      </c>
      <c r="F22" s="24" t="str">
        <f aca="false">IF(IFERROR(INDEX(res_Name,(ROW()-ROW(MSPResources[[#Headers],[Name]])))="",TRUE()),"",INDEX(res_Rate,(ROW()-ROW(MSPResources[[#Headers],[Name]])))&amp;"/h")</f>
        <v/>
      </c>
      <c r="G22" s="24" t="str">
        <f aca="false">IF(IFERROR(INDEX(res_Name,(ROW()-ROW(MSPResources[[#Headers],[Name]])))="",TRUE()),"",INDEX(res_Email,(ROW()-ROW(MSPResources[[#Headers],[Name]])))&amp;"")</f>
        <v/>
      </c>
    </row>
    <row r="23" customFormat="false" ht="15" hidden="false" customHeight="false" outlineLevel="0" collapsed="false">
      <c r="A23" s="24" t="str">
        <f aca="false">IF(IFERROR(INDEX(res_Name,(ROW()-ROW(MSPResources[[#Headers],[Name]])))="",TRUE()),"",INDEX(res_Name,(ROW()-ROW(MSPResources[[#Headers],[Name]])))&amp;"")</f>
        <v/>
      </c>
      <c r="B23" s="24" t="str">
        <f aca="false">IF(IFERROR(INDEX(res_Name,(ROW()-ROW(MSPResources[[#Headers],[Name]])))="",TRUE()),"",INDEX(res_Initials,(ROW()-ROW(MSPResources[[#Headers],[Name]])))&amp;"")</f>
        <v/>
      </c>
      <c r="C23" s="24" t="str">
        <f aca="false">IF(IFERROR(INDEX(res_Name,(ROW()-ROW(MSPResources[[#Headers],[Name]])))="",TRUE()),"",INDEX(res_Group,(ROW()-ROW(MSPResources[[#Headers],[Name]])))&amp;"")</f>
        <v/>
      </c>
      <c r="D23" s="24" t="str">
        <f aca="false">IF(IFERROR(INDEX(res_Name,(ROW()-ROW(MSPResources[[#Headers],[Name]])))="",TRUE()),"",INDEX(res_Type,(ROW()-ROW(MSPResources[[#Headers],[Name]])))&amp;"")</f>
        <v/>
      </c>
      <c r="E23" s="24" t="str">
        <f aca="false">IF(IFERROR(INDEX(res_Name,(ROW()-ROW(MSPResources[[#Headers],[Name]])))="",TRUE()),"",ROUND(INDEX(res_MaxUnits,(ROW()-ROW(MSPResources[[#Headers],[Name]])))*100,0)&amp;"%")</f>
        <v/>
      </c>
      <c r="F23" s="24" t="str">
        <f aca="false">IF(IFERROR(INDEX(res_Name,(ROW()-ROW(MSPResources[[#Headers],[Name]])))="",TRUE()),"",INDEX(res_Rate,(ROW()-ROW(MSPResources[[#Headers],[Name]])))&amp;"/h")</f>
        <v/>
      </c>
      <c r="G23" s="24" t="str">
        <f aca="false">IF(IFERROR(INDEX(res_Name,(ROW()-ROW(MSPResources[[#Headers],[Name]])))="",TRUE()),"",INDEX(res_Email,(ROW()-ROW(MSPResources[[#Headers],[Name]])))&amp;"")</f>
        <v/>
      </c>
    </row>
    <row r="24" customFormat="false" ht="15" hidden="false" customHeight="false" outlineLevel="0" collapsed="false">
      <c r="A24" s="24" t="str">
        <f aca="false">IF(IFERROR(INDEX(res_Name,(ROW()-ROW(MSPResources[[#Headers],[Name]])))="",TRUE()),"",INDEX(res_Name,(ROW()-ROW(MSPResources[[#Headers],[Name]])))&amp;"")</f>
        <v/>
      </c>
      <c r="B24" s="24" t="str">
        <f aca="false">IF(IFERROR(INDEX(res_Name,(ROW()-ROW(MSPResources[[#Headers],[Name]])))="",TRUE()),"",INDEX(res_Initials,(ROW()-ROW(MSPResources[[#Headers],[Name]])))&amp;"")</f>
        <v/>
      </c>
      <c r="C24" s="24" t="str">
        <f aca="false">IF(IFERROR(INDEX(res_Name,(ROW()-ROW(MSPResources[[#Headers],[Name]])))="",TRUE()),"",INDEX(res_Group,(ROW()-ROW(MSPResources[[#Headers],[Name]])))&amp;"")</f>
        <v/>
      </c>
      <c r="D24" s="24" t="str">
        <f aca="false">IF(IFERROR(INDEX(res_Name,(ROW()-ROW(MSPResources[[#Headers],[Name]])))="",TRUE()),"",INDEX(res_Type,(ROW()-ROW(MSPResources[[#Headers],[Name]])))&amp;"")</f>
        <v/>
      </c>
      <c r="E24" s="24" t="str">
        <f aca="false">IF(IFERROR(INDEX(res_Name,(ROW()-ROW(MSPResources[[#Headers],[Name]])))="",TRUE()),"",ROUND(INDEX(res_MaxUnits,(ROW()-ROW(MSPResources[[#Headers],[Name]])))*100,0)&amp;"%")</f>
        <v/>
      </c>
      <c r="F24" s="24" t="str">
        <f aca="false">IF(IFERROR(INDEX(res_Name,(ROW()-ROW(MSPResources[[#Headers],[Name]])))="",TRUE()),"",INDEX(res_Rate,(ROW()-ROW(MSPResources[[#Headers],[Name]])))&amp;"/h")</f>
        <v/>
      </c>
      <c r="G24" s="24" t="str">
        <f aca="false">IF(IFERROR(INDEX(res_Name,(ROW()-ROW(MSPResources[[#Headers],[Name]])))="",TRUE()),"",INDEX(res_Email,(ROW()-ROW(MSPResources[[#Headers],[Name]])))&amp;"")</f>
        <v/>
      </c>
    </row>
    <row r="25" customFormat="false" ht="15" hidden="false" customHeight="false" outlineLevel="0" collapsed="false">
      <c r="A25" s="24" t="str">
        <f aca="false">IF(IFERROR(INDEX(res_Name,(ROW()-ROW(MSPResources[[#Headers],[Name]])))="",TRUE()),"",INDEX(res_Name,(ROW()-ROW(MSPResources[[#Headers],[Name]])))&amp;"")</f>
        <v/>
      </c>
      <c r="B25" s="24" t="str">
        <f aca="false">IF(IFERROR(INDEX(res_Name,(ROW()-ROW(MSPResources[[#Headers],[Name]])))="",TRUE()),"",INDEX(res_Initials,(ROW()-ROW(MSPResources[[#Headers],[Name]])))&amp;"")</f>
        <v/>
      </c>
      <c r="C25" s="24" t="str">
        <f aca="false">IF(IFERROR(INDEX(res_Name,(ROW()-ROW(MSPResources[[#Headers],[Name]])))="",TRUE()),"",INDEX(res_Group,(ROW()-ROW(MSPResources[[#Headers],[Name]])))&amp;"")</f>
        <v/>
      </c>
      <c r="D25" s="24" t="str">
        <f aca="false">IF(IFERROR(INDEX(res_Name,(ROW()-ROW(MSPResources[[#Headers],[Name]])))="",TRUE()),"",INDEX(res_Type,(ROW()-ROW(MSPResources[[#Headers],[Name]])))&amp;"")</f>
        <v/>
      </c>
      <c r="E25" s="24" t="str">
        <f aca="false">IF(IFERROR(INDEX(res_Name,(ROW()-ROW(MSPResources[[#Headers],[Name]])))="",TRUE()),"",ROUND(INDEX(res_MaxUnits,(ROW()-ROW(MSPResources[[#Headers],[Name]])))*100,0)&amp;"%")</f>
        <v/>
      </c>
      <c r="F25" s="24" t="str">
        <f aca="false">IF(IFERROR(INDEX(res_Name,(ROW()-ROW(MSPResources[[#Headers],[Name]])))="",TRUE()),"",INDEX(res_Rate,(ROW()-ROW(MSPResources[[#Headers],[Name]])))&amp;"/h")</f>
        <v/>
      </c>
      <c r="G25" s="24" t="str">
        <f aca="false">IF(IFERROR(INDEX(res_Name,(ROW()-ROW(MSPResources[[#Headers],[Name]])))="",TRUE()),"",INDEX(res_Email,(ROW()-ROW(MSPResources[[#Headers],[Name]])))&amp;"")</f>
        <v/>
      </c>
    </row>
    <row r="26" customFormat="false" ht="15" hidden="false" customHeight="false" outlineLevel="0" collapsed="false">
      <c r="A26" s="24" t="str">
        <f aca="false">IF(IFERROR(INDEX(res_Name,(ROW()-ROW(MSPResources[[#Headers],[Name]])))="",TRUE()),"",INDEX(res_Name,(ROW()-ROW(MSPResources[[#Headers],[Name]])))&amp;"")</f>
        <v/>
      </c>
      <c r="B26" s="24" t="str">
        <f aca="false">IF(IFERROR(INDEX(res_Name,(ROW()-ROW(MSPResources[[#Headers],[Name]])))="",TRUE()),"",INDEX(res_Initials,(ROW()-ROW(MSPResources[[#Headers],[Name]])))&amp;"")</f>
        <v/>
      </c>
      <c r="C26" s="24" t="str">
        <f aca="false">IF(IFERROR(INDEX(res_Name,(ROW()-ROW(MSPResources[[#Headers],[Name]])))="",TRUE()),"",INDEX(res_Group,(ROW()-ROW(MSPResources[[#Headers],[Name]])))&amp;"")</f>
        <v/>
      </c>
      <c r="D26" s="24" t="str">
        <f aca="false">IF(IFERROR(INDEX(res_Name,(ROW()-ROW(MSPResources[[#Headers],[Name]])))="",TRUE()),"",INDEX(res_Type,(ROW()-ROW(MSPResources[[#Headers],[Name]])))&amp;"")</f>
        <v/>
      </c>
      <c r="E26" s="24" t="str">
        <f aca="false">IF(IFERROR(INDEX(res_Name,(ROW()-ROW(MSPResources[[#Headers],[Name]])))="",TRUE()),"",ROUND(INDEX(res_MaxUnits,(ROW()-ROW(MSPResources[[#Headers],[Name]])))*100,0)&amp;"%")</f>
        <v/>
      </c>
      <c r="F26" s="24" t="str">
        <f aca="false">IF(IFERROR(INDEX(res_Name,(ROW()-ROW(MSPResources[[#Headers],[Name]])))="",TRUE()),"",INDEX(res_Rate,(ROW()-ROW(MSPResources[[#Headers],[Name]])))&amp;"/h")</f>
        <v/>
      </c>
      <c r="G26" s="24" t="str">
        <f aca="false">IF(IFERROR(INDEX(res_Name,(ROW()-ROW(MSPResources[[#Headers],[Name]])))="",TRUE()),"",INDEX(res_Email,(ROW()-ROW(MSPResources[[#Headers],[Name]])))&amp;"")</f>
        <v/>
      </c>
    </row>
    <row r="27" customFormat="false" ht="15" hidden="false" customHeight="false" outlineLevel="0" collapsed="false">
      <c r="A27" s="24" t="str">
        <f aca="false">IF(IFERROR(INDEX(res_Name,(ROW()-ROW(MSPResources[[#Headers],[Name]])))="",TRUE()),"",INDEX(res_Name,(ROW()-ROW(MSPResources[[#Headers],[Name]])))&amp;"")</f>
        <v/>
      </c>
      <c r="B27" s="24" t="str">
        <f aca="false">IF(IFERROR(INDEX(res_Name,(ROW()-ROW(MSPResources[[#Headers],[Name]])))="",TRUE()),"",INDEX(res_Initials,(ROW()-ROW(MSPResources[[#Headers],[Name]])))&amp;"")</f>
        <v/>
      </c>
      <c r="C27" s="24" t="str">
        <f aca="false">IF(IFERROR(INDEX(res_Name,(ROW()-ROW(MSPResources[[#Headers],[Name]])))="",TRUE()),"",INDEX(res_Group,(ROW()-ROW(MSPResources[[#Headers],[Name]])))&amp;"")</f>
        <v/>
      </c>
      <c r="D27" s="24" t="str">
        <f aca="false">IF(IFERROR(INDEX(res_Name,(ROW()-ROW(MSPResources[[#Headers],[Name]])))="",TRUE()),"",INDEX(res_Type,(ROW()-ROW(MSPResources[[#Headers],[Name]])))&amp;"")</f>
        <v/>
      </c>
      <c r="E27" s="24" t="str">
        <f aca="false">IF(IFERROR(INDEX(res_Name,(ROW()-ROW(MSPResources[[#Headers],[Name]])))="",TRUE()),"",ROUND(INDEX(res_MaxUnits,(ROW()-ROW(MSPResources[[#Headers],[Name]])))*100,0)&amp;"%")</f>
        <v/>
      </c>
      <c r="F27" s="24" t="str">
        <f aca="false">IF(IFERROR(INDEX(res_Name,(ROW()-ROW(MSPResources[[#Headers],[Name]])))="",TRUE()),"",INDEX(res_Rate,(ROW()-ROW(MSPResources[[#Headers],[Name]])))&amp;"/h")</f>
        <v/>
      </c>
      <c r="G27" s="24" t="str">
        <f aca="false">IF(IFERROR(INDEX(res_Name,(ROW()-ROW(MSPResources[[#Headers],[Name]])))="",TRUE()),"",INDEX(res_Email,(ROW()-ROW(MSPResources[[#Headers],[Name]])))&amp;"")</f>
        <v/>
      </c>
    </row>
    <row r="28" customFormat="false" ht="15" hidden="false" customHeight="false" outlineLevel="0" collapsed="false">
      <c r="A28" s="24" t="str">
        <f aca="false">IF(IFERROR(INDEX(res_Name,(ROW()-ROW(MSPResources[[#Headers],[Name]])))="",TRUE()),"",INDEX(res_Name,(ROW()-ROW(MSPResources[[#Headers],[Name]])))&amp;"")</f>
        <v/>
      </c>
      <c r="B28" s="24" t="str">
        <f aca="false">IF(IFERROR(INDEX(res_Name,(ROW()-ROW(MSPResources[[#Headers],[Name]])))="",TRUE()),"",INDEX(res_Initials,(ROW()-ROW(MSPResources[[#Headers],[Name]])))&amp;"")</f>
        <v/>
      </c>
      <c r="C28" s="24" t="str">
        <f aca="false">IF(IFERROR(INDEX(res_Name,(ROW()-ROW(MSPResources[[#Headers],[Name]])))="",TRUE()),"",INDEX(res_Group,(ROW()-ROW(MSPResources[[#Headers],[Name]])))&amp;"")</f>
        <v/>
      </c>
      <c r="D28" s="24" t="str">
        <f aca="false">IF(IFERROR(INDEX(res_Name,(ROW()-ROW(MSPResources[[#Headers],[Name]])))="",TRUE()),"",INDEX(res_Type,(ROW()-ROW(MSPResources[[#Headers],[Name]])))&amp;"")</f>
        <v/>
      </c>
      <c r="E28" s="24" t="str">
        <f aca="false">IF(IFERROR(INDEX(res_Name,(ROW()-ROW(MSPResources[[#Headers],[Name]])))="",TRUE()),"",ROUND(INDEX(res_MaxUnits,(ROW()-ROW(MSPResources[[#Headers],[Name]])))*100,0)&amp;"%")</f>
        <v/>
      </c>
      <c r="F28" s="24" t="str">
        <f aca="false">IF(IFERROR(INDEX(res_Name,(ROW()-ROW(MSPResources[[#Headers],[Name]])))="",TRUE()),"",INDEX(res_Rate,(ROW()-ROW(MSPResources[[#Headers],[Name]])))&amp;"/h")</f>
        <v/>
      </c>
      <c r="G28" s="24" t="str">
        <f aca="false">IF(IFERROR(INDEX(res_Name,(ROW()-ROW(MSPResources[[#Headers],[Name]])))="",TRUE()),"",INDEX(res_Email,(ROW()-ROW(MSPResources[[#Headers],[Name]])))&amp;"")</f>
        <v/>
      </c>
    </row>
    <row r="29" customFormat="false" ht="15" hidden="false" customHeight="false" outlineLevel="0" collapsed="false">
      <c r="A29" s="24" t="str">
        <f aca="false">IF(IFERROR(INDEX(res_Name,(ROW()-ROW(MSPResources[[#Headers],[Name]])))="",TRUE()),"",INDEX(res_Name,(ROW()-ROW(MSPResources[[#Headers],[Name]])))&amp;"")</f>
        <v/>
      </c>
      <c r="B29" s="24" t="str">
        <f aca="false">IF(IFERROR(INDEX(res_Name,(ROW()-ROW(MSPResources[[#Headers],[Name]])))="",TRUE()),"",INDEX(res_Initials,(ROW()-ROW(MSPResources[[#Headers],[Name]])))&amp;"")</f>
        <v/>
      </c>
      <c r="C29" s="24" t="str">
        <f aca="false">IF(IFERROR(INDEX(res_Name,(ROW()-ROW(MSPResources[[#Headers],[Name]])))="",TRUE()),"",INDEX(res_Group,(ROW()-ROW(MSPResources[[#Headers],[Name]])))&amp;"")</f>
        <v/>
      </c>
      <c r="D29" s="24" t="str">
        <f aca="false">IF(IFERROR(INDEX(res_Name,(ROW()-ROW(MSPResources[[#Headers],[Name]])))="",TRUE()),"",INDEX(res_Type,(ROW()-ROW(MSPResources[[#Headers],[Name]])))&amp;"")</f>
        <v/>
      </c>
      <c r="E29" s="24" t="str">
        <f aca="false">IF(IFERROR(INDEX(res_Name,(ROW()-ROW(MSPResources[[#Headers],[Name]])))="",TRUE()),"",ROUND(INDEX(res_MaxUnits,(ROW()-ROW(MSPResources[[#Headers],[Name]])))*100,0)&amp;"%")</f>
        <v/>
      </c>
      <c r="F29" s="24" t="str">
        <f aca="false">IF(IFERROR(INDEX(res_Name,(ROW()-ROW(MSPResources[[#Headers],[Name]])))="",TRUE()),"",INDEX(res_Rate,(ROW()-ROW(MSPResources[[#Headers],[Name]])))&amp;"/h")</f>
        <v/>
      </c>
      <c r="G29" s="24" t="str">
        <f aca="false">IF(IFERROR(INDEX(res_Name,(ROW()-ROW(MSPResources[[#Headers],[Name]])))="",TRUE()),"",INDEX(res_Email,(ROW()-ROW(MSPResources[[#Headers],[Name]])))&amp;"")</f>
        <v/>
      </c>
    </row>
    <row r="30" customFormat="false" ht="15" hidden="false" customHeight="false" outlineLevel="0" collapsed="false">
      <c r="A30" s="24" t="str">
        <f aca="false">IF(IFERROR(INDEX(res_Name,(ROW()-ROW(MSPResources[[#Headers],[Name]])))="",TRUE()),"",INDEX(res_Name,(ROW()-ROW(MSPResources[[#Headers],[Name]])))&amp;"")</f>
        <v/>
      </c>
      <c r="B30" s="24" t="str">
        <f aca="false">IF(IFERROR(INDEX(res_Name,(ROW()-ROW(MSPResources[[#Headers],[Name]])))="",TRUE()),"",INDEX(res_Initials,(ROW()-ROW(MSPResources[[#Headers],[Name]])))&amp;"")</f>
        <v/>
      </c>
      <c r="C30" s="24" t="str">
        <f aca="false">IF(IFERROR(INDEX(res_Name,(ROW()-ROW(MSPResources[[#Headers],[Name]])))="",TRUE()),"",INDEX(res_Group,(ROW()-ROW(MSPResources[[#Headers],[Name]])))&amp;"")</f>
        <v/>
      </c>
      <c r="D30" s="24" t="str">
        <f aca="false">IF(IFERROR(INDEX(res_Name,(ROW()-ROW(MSPResources[[#Headers],[Name]])))="",TRUE()),"",INDEX(res_Type,(ROW()-ROW(MSPResources[[#Headers],[Name]])))&amp;"")</f>
        <v/>
      </c>
      <c r="E30" s="24" t="str">
        <f aca="false">IF(IFERROR(INDEX(res_Name,(ROW()-ROW(MSPResources[[#Headers],[Name]])))="",TRUE()),"",ROUND(INDEX(res_MaxUnits,(ROW()-ROW(MSPResources[[#Headers],[Name]])))*100,0)&amp;"%")</f>
        <v/>
      </c>
      <c r="F30" s="24" t="str">
        <f aca="false">IF(IFERROR(INDEX(res_Name,(ROW()-ROW(MSPResources[[#Headers],[Name]])))="",TRUE()),"",INDEX(res_Rate,(ROW()-ROW(MSPResources[[#Headers],[Name]])))&amp;"/h")</f>
        <v/>
      </c>
      <c r="G30" s="24" t="str">
        <f aca="false">IF(IFERROR(INDEX(res_Name,(ROW()-ROW(MSPResources[[#Headers],[Name]])))="",TRUE()),"",INDEX(res_Email,(ROW()-ROW(MSPResources[[#Headers],[Name]])))&amp;"")</f>
        <v/>
      </c>
    </row>
    <row r="31" customFormat="false" ht="15" hidden="false" customHeight="false" outlineLevel="0" collapsed="false">
      <c r="A31" s="24" t="str">
        <f aca="false">IF(IFERROR(INDEX(res_Name,(ROW()-ROW(MSPResources[[#Headers],[Name]])))="",TRUE()),"",INDEX(res_Name,(ROW()-ROW(MSPResources[[#Headers],[Name]])))&amp;"")</f>
        <v/>
      </c>
      <c r="B31" s="24" t="str">
        <f aca="false">IF(IFERROR(INDEX(res_Name,(ROW()-ROW(MSPResources[[#Headers],[Name]])))="",TRUE()),"",INDEX(res_Initials,(ROW()-ROW(MSPResources[[#Headers],[Name]])))&amp;"")</f>
        <v/>
      </c>
      <c r="C31" s="24" t="str">
        <f aca="false">IF(IFERROR(INDEX(res_Name,(ROW()-ROW(MSPResources[[#Headers],[Name]])))="",TRUE()),"",INDEX(res_Group,(ROW()-ROW(MSPResources[[#Headers],[Name]])))&amp;"")</f>
        <v/>
      </c>
      <c r="D31" s="24" t="str">
        <f aca="false">IF(IFERROR(INDEX(res_Name,(ROW()-ROW(MSPResources[[#Headers],[Name]])))="",TRUE()),"",INDEX(res_Type,(ROW()-ROW(MSPResources[[#Headers],[Name]])))&amp;"")</f>
        <v/>
      </c>
      <c r="E31" s="24" t="str">
        <f aca="false">IF(IFERROR(INDEX(res_Name,(ROW()-ROW(MSPResources[[#Headers],[Name]])))="",TRUE()),"",ROUND(INDEX(res_MaxUnits,(ROW()-ROW(MSPResources[[#Headers],[Name]])))*100,0)&amp;"%")</f>
        <v/>
      </c>
      <c r="F31" s="24" t="str">
        <f aca="false">IF(IFERROR(INDEX(res_Name,(ROW()-ROW(MSPResources[[#Headers],[Name]])))="",TRUE()),"",INDEX(res_Rate,(ROW()-ROW(MSPResources[[#Headers],[Name]])))&amp;"/h")</f>
        <v/>
      </c>
      <c r="G31" s="24" t="str">
        <f aca="false">IF(IFERROR(INDEX(res_Name,(ROW()-ROW(MSPResources[[#Headers],[Name]])))="",TRUE()),"",INDEX(res_Email,(ROW()-ROW(MSPResources[[#Headers],[Name]])))&amp;"")</f>
        <v/>
      </c>
    </row>
    <row r="32" customFormat="false" ht="15" hidden="false" customHeight="false" outlineLevel="0" collapsed="false">
      <c r="A32" s="24" t="str">
        <f aca="false">IF(IFERROR(INDEX(res_Name,(ROW()-ROW(MSPResources[[#Headers],[Name]])))="",TRUE()),"",INDEX(res_Name,(ROW()-ROW(MSPResources[[#Headers],[Name]])))&amp;"")</f>
        <v/>
      </c>
      <c r="B32" s="24" t="str">
        <f aca="false">IF(IFERROR(INDEX(res_Name,(ROW()-ROW(MSPResources[[#Headers],[Name]])))="",TRUE()),"",INDEX(res_Initials,(ROW()-ROW(MSPResources[[#Headers],[Name]])))&amp;"")</f>
        <v/>
      </c>
      <c r="C32" s="24" t="str">
        <f aca="false">IF(IFERROR(INDEX(res_Name,(ROW()-ROW(MSPResources[[#Headers],[Name]])))="",TRUE()),"",INDEX(res_Group,(ROW()-ROW(MSPResources[[#Headers],[Name]])))&amp;"")</f>
        <v/>
      </c>
      <c r="D32" s="24" t="str">
        <f aca="false">IF(IFERROR(INDEX(res_Name,(ROW()-ROW(MSPResources[[#Headers],[Name]])))="",TRUE()),"",INDEX(res_Type,(ROW()-ROW(MSPResources[[#Headers],[Name]])))&amp;"")</f>
        <v/>
      </c>
      <c r="E32" s="24" t="str">
        <f aca="false">IF(IFERROR(INDEX(res_Name,(ROW()-ROW(MSPResources[[#Headers],[Name]])))="",TRUE()),"",ROUND(INDEX(res_MaxUnits,(ROW()-ROW(MSPResources[[#Headers],[Name]])))*100,0)&amp;"%")</f>
        <v/>
      </c>
      <c r="F32" s="24" t="str">
        <f aca="false">IF(IFERROR(INDEX(res_Name,(ROW()-ROW(MSPResources[[#Headers],[Name]])))="",TRUE()),"",INDEX(res_Rate,(ROW()-ROW(MSPResources[[#Headers],[Name]])))&amp;"/h")</f>
        <v/>
      </c>
      <c r="G32" s="24" t="str">
        <f aca="false">IF(IFERROR(INDEX(res_Name,(ROW()-ROW(MSPResources[[#Headers],[Name]])))="",TRUE()),"",INDEX(res_Email,(ROW()-ROW(MSPResources[[#Headers],[Name]])))&amp;"")</f>
        <v/>
      </c>
    </row>
    <row r="33" customFormat="false" ht="15" hidden="false" customHeight="false" outlineLevel="0" collapsed="false">
      <c r="A33" s="24" t="str">
        <f aca="false">IF(IFERROR(INDEX(res_Name,(ROW()-ROW(MSPResources[[#Headers],[Name]])))="",TRUE()),"",INDEX(res_Name,(ROW()-ROW(MSPResources[[#Headers],[Name]])))&amp;"")</f>
        <v/>
      </c>
      <c r="B33" s="24" t="str">
        <f aca="false">IF(IFERROR(INDEX(res_Name,(ROW()-ROW(MSPResources[[#Headers],[Name]])))="",TRUE()),"",INDEX(res_Initials,(ROW()-ROW(MSPResources[[#Headers],[Name]])))&amp;"")</f>
        <v/>
      </c>
      <c r="C33" s="24" t="str">
        <f aca="false">IF(IFERROR(INDEX(res_Name,(ROW()-ROW(MSPResources[[#Headers],[Name]])))="",TRUE()),"",INDEX(res_Group,(ROW()-ROW(MSPResources[[#Headers],[Name]])))&amp;"")</f>
        <v/>
      </c>
      <c r="D33" s="24" t="str">
        <f aca="false">IF(IFERROR(INDEX(res_Name,(ROW()-ROW(MSPResources[[#Headers],[Name]])))="",TRUE()),"",INDEX(res_Type,(ROW()-ROW(MSPResources[[#Headers],[Name]])))&amp;"")</f>
        <v/>
      </c>
      <c r="E33" s="24" t="str">
        <f aca="false">IF(IFERROR(INDEX(res_Name,(ROW()-ROW(MSPResources[[#Headers],[Name]])))="",TRUE()),"",ROUND(INDEX(res_MaxUnits,(ROW()-ROW(MSPResources[[#Headers],[Name]])))*100,0)&amp;"%")</f>
        <v/>
      </c>
      <c r="F33" s="24" t="str">
        <f aca="false">IF(IFERROR(INDEX(res_Name,(ROW()-ROW(MSPResources[[#Headers],[Name]])))="",TRUE()),"",INDEX(res_Rate,(ROW()-ROW(MSPResources[[#Headers],[Name]])))&amp;"/h")</f>
        <v/>
      </c>
      <c r="G33" s="24" t="str">
        <f aca="false">IF(IFERROR(INDEX(res_Name,(ROW()-ROW(MSPResources[[#Headers],[Name]])))="",TRUE()),"",INDEX(res_Email,(ROW()-ROW(MSPResources[[#Headers],[Name]])))&amp;"")</f>
        <v/>
      </c>
    </row>
    <row r="34" customFormat="false" ht="15" hidden="false" customHeight="false" outlineLevel="0" collapsed="false">
      <c r="A34" s="24" t="str">
        <f aca="false">IF(IFERROR(INDEX(res_Name,(ROW()-ROW(MSPResources[[#Headers],[Name]])))="",TRUE()),"",INDEX(res_Name,(ROW()-ROW(MSPResources[[#Headers],[Name]])))&amp;"")</f>
        <v/>
      </c>
      <c r="B34" s="24" t="str">
        <f aca="false">IF(IFERROR(INDEX(res_Name,(ROW()-ROW(MSPResources[[#Headers],[Name]])))="",TRUE()),"",INDEX(res_Initials,(ROW()-ROW(MSPResources[[#Headers],[Name]])))&amp;"")</f>
        <v/>
      </c>
      <c r="C34" s="24" t="str">
        <f aca="false">IF(IFERROR(INDEX(res_Name,(ROW()-ROW(MSPResources[[#Headers],[Name]])))="",TRUE()),"",INDEX(res_Group,(ROW()-ROW(MSPResources[[#Headers],[Name]])))&amp;"")</f>
        <v/>
      </c>
      <c r="D34" s="24" t="str">
        <f aca="false">IF(IFERROR(INDEX(res_Name,(ROW()-ROW(MSPResources[[#Headers],[Name]])))="",TRUE()),"",INDEX(res_Type,(ROW()-ROW(MSPResources[[#Headers],[Name]])))&amp;"")</f>
        <v/>
      </c>
      <c r="E34" s="24" t="str">
        <f aca="false">IF(IFERROR(INDEX(res_Name,(ROW()-ROW(MSPResources[[#Headers],[Name]])))="",TRUE()),"",ROUND(INDEX(res_MaxUnits,(ROW()-ROW(MSPResources[[#Headers],[Name]])))*100,0)&amp;"%")</f>
        <v/>
      </c>
      <c r="F34" s="24" t="str">
        <f aca="false">IF(IFERROR(INDEX(res_Name,(ROW()-ROW(MSPResources[[#Headers],[Name]])))="",TRUE()),"",INDEX(res_Rate,(ROW()-ROW(MSPResources[[#Headers],[Name]])))&amp;"/h")</f>
        <v/>
      </c>
      <c r="G34" s="24" t="str">
        <f aca="false">IF(IFERROR(INDEX(res_Name,(ROW()-ROW(MSPResources[[#Headers],[Name]])))="",TRUE()),"",INDEX(res_Email,(ROW()-ROW(MSPResources[[#Headers],[Name]])))&amp;"")</f>
        <v/>
      </c>
    </row>
    <row r="35" customFormat="false" ht="15" hidden="false" customHeight="false" outlineLevel="0" collapsed="false">
      <c r="A35" s="24" t="str">
        <f aca="false">IF(IFERROR(INDEX(res_Name,(ROW()-ROW(MSPResources[[#Headers],[Name]])))="",TRUE()),"",INDEX(res_Name,(ROW()-ROW(MSPResources[[#Headers],[Name]])))&amp;"")</f>
        <v/>
      </c>
      <c r="B35" s="24" t="str">
        <f aca="false">IF(IFERROR(INDEX(res_Name,(ROW()-ROW(MSPResources[[#Headers],[Name]])))="",TRUE()),"",INDEX(res_Initials,(ROW()-ROW(MSPResources[[#Headers],[Name]])))&amp;"")</f>
        <v/>
      </c>
      <c r="C35" s="24" t="str">
        <f aca="false">IF(IFERROR(INDEX(res_Name,(ROW()-ROW(MSPResources[[#Headers],[Name]])))="",TRUE()),"",INDEX(res_Group,(ROW()-ROW(MSPResources[[#Headers],[Name]])))&amp;"")</f>
        <v/>
      </c>
      <c r="D35" s="24" t="str">
        <f aca="false">IF(IFERROR(INDEX(res_Name,(ROW()-ROW(MSPResources[[#Headers],[Name]])))="",TRUE()),"",INDEX(res_Type,(ROW()-ROW(MSPResources[[#Headers],[Name]])))&amp;"")</f>
        <v/>
      </c>
      <c r="E35" s="24" t="str">
        <f aca="false">IF(IFERROR(INDEX(res_Name,(ROW()-ROW(MSPResources[[#Headers],[Name]])))="",TRUE()),"",ROUND(INDEX(res_MaxUnits,(ROW()-ROW(MSPResources[[#Headers],[Name]])))*100,0)&amp;"%")</f>
        <v/>
      </c>
      <c r="F35" s="24" t="str">
        <f aca="false">IF(IFERROR(INDEX(res_Name,(ROW()-ROW(MSPResources[[#Headers],[Name]])))="",TRUE()),"",INDEX(res_Rate,(ROW()-ROW(MSPResources[[#Headers],[Name]])))&amp;"/h")</f>
        <v/>
      </c>
      <c r="G35" s="24" t="str">
        <f aca="false">IF(IFERROR(INDEX(res_Name,(ROW()-ROW(MSPResources[[#Headers],[Name]])))="",TRUE()),"",INDEX(res_Email,(ROW()-ROW(MSPResources[[#Headers],[Name]])))&amp;"")</f>
        <v/>
      </c>
    </row>
    <row r="36" customFormat="false" ht="15" hidden="false" customHeight="false" outlineLevel="0" collapsed="false">
      <c r="A36" s="24" t="str">
        <f aca="false">IF(IFERROR(INDEX(res_Name,(ROW()-ROW(MSPResources[[#Headers],[Name]])))="",TRUE()),"",INDEX(res_Name,(ROW()-ROW(MSPResources[[#Headers],[Name]])))&amp;"")</f>
        <v/>
      </c>
      <c r="B36" s="24" t="str">
        <f aca="false">IF(IFERROR(INDEX(res_Name,(ROW()-ROW(MSPResources[[#Headers],[Name]])))="",TRUE()),"",INDEX(res_Initials,(ROW()-ROW(MSPResources[[#Headers],[Name]])))&amp;"")</f>
        <v/>
      </c>
      <c r="C36" s="24" t="str">
        <f aca="false">IF(IFERROR(INDEX(res_Name,(ROW()-ROW(MSPResources[[#Headers],[Name]])))="",TRUE()),"",INDEX(res_Group,(ROW()-ROW(MSPResources[[#Headers],[Name]])))&amp;"")</f>
        <v/>
      </c>
      <c r="D36" s="24" t="str">
        <f aca="false">IF(IFERROR(INDEX(res_Name,(ROW()-ROW(MSPResources[[#Headers],[Name]])))="",TRUE()),"",INDEX(res_Type,(ROW()-ROW(MSPResources[[#Headers],[Name]])))&amp;"")</f>
        <v/>
      </c>
      <c r="E36" s="24" t="str">
        <f aca="false">IF(IFERROR(INDEX(res_Name,(ROW()-ROW(MSPResources[[#Headers],[Name]])))="",TRUE()),"",ROUND(INDEX(res_MaxUnits,(ROW()-ROW(MSPResources[[#Headers],[Name]])))*100,0)&amp;"%")</f>
        <v/>
      </c>
      <c r="F36" s="24" t="str">
        <f aca="false">IF(IFERROR(INDEX(res_Name,(ROW()-ROW(MSPResources[[#Headers],[Name]])))="",TRUE()),"",INDEX(res_Rate,(ROW()-ROW(MSPResources[[#Headers],[Name]])))&amp;"/h")</f>
        <v/>
      </c>
      <c r="G36" s="24" t="str">
        <f aca="false">IF(IFERROR(INDEX(res_Name,(ROW()-ROW(MSPResources[[#Headers],[Name]])))="",TRUE()),"",INDEX(res_Email,(ROW()-ROW(MSPResources[[#Headers],[Name]])))&amp;"")</f>
        <v/>
      </c>
    </row>
    <row r="37" customFormat="false" ht="15" hidden="false" customHeight="false" outlineLevel="0" collapsed="false">
      <c r="A37" s="24" t="str">
        <f aca="false">IF(IFERROR(INDEX(res_Name,(ROW()-ROW(MSPResources[[#Headers],[Name]])))="",TRUE()),"",INDEX(res_Name,(ROW()-ROW(MSPResources[[#Headers],[Name]])))&amp;"")</f>
        <v/>
      </c>
      <c r="B37" s="24" t="str">
        <f aca="false">IF(IFERROR(INDEX(res_Name,(ROW()-ROW(MSPResources[[#Headers],[Name]])))="",TRUE()),"",INDEX(res_Initials,(ROW()-ROW(MSPResources[[#Headers],[Name]])))&amp;"")</f>
        <v/>
      </c>
      <c r="C37" s="24" t="str">
        <f aca="false">IF(IFERROR(INDEX(res_Name,(ROW()-ROW(MSPResources[[#Headers],[Name]])))="",TRUE()),"",INDEX(res_Group,(ROW()-ROW(MSPResources[[#Headers],[Name]])))&amp;"")</f>
        <v/>
      </c>
      <c r="D37" s="24" t="str">
        <f aca="false">IF(IFERROR(INDEX(res_Name,(ROW()-ROW(MSPResources[[#Headers],[Name]])))="",TRUE()),"",INDEX(res_Type,(ROW()-ROW(MSPResources[[#Headers],[Name]])))&amp;"")</f>
        <v/>
      </c>
      <c r="E37" s="24" t="str">
        <f aca="false">IF(IFERROR(INDEX(res_Name,(ROW()-ROW(MSPResources[[#Headers],[Name]])))="",TRUE()),"",ROUND(INDEX(res_MaxUnits,(ROW()-ROW(MSPResources[[#Headers],[Name]])))*100,0)&amp;"%")</f>
        <v/>
      </c>
      <c r="F37" s="24" t="str">
        <f aca="false">IF(IFERROR(INDEX(res_Name,(ROW()-ROW(MSPResources[[#Headers],[Name]])))="",TRUE()),"",INDEX(res_Rate,(ROW()-ROW(MSPResources[[#Headers],[Name]])))&amp;"/h")</f>
        <v/>
      </c>
      <c r="G37" s="24" t="str">
        <f aca="false">IF(IFERROR(INDEX(res_Name,(ROW()-ROW(MSPResources[[#Headers],[Name]])))="",TRUE()),"",INDEX(res_Email,(ROW()-ROW(MSPResources[[#Headers],[Name]])))&amp;"")</f>
        <v/>
      </c>
    </row>
    <row r="38" customFormat="false" ht="15" hidden="false" customHeight="false" outlineLevel="0" collapsed="false">
      <c r="A38" s="24" t="str">
        <f aca="false">IF(IFERROR(INDEX(res_Name,(ROW()-ROW(MSPResources[[#Headers],[Name]])))="",TRUE()),"",INDEX(res_Name,(ROW()-ROW(MSPResources[[#Headers],[Name]])))&amp;"")</f>
        <v/>
      </c>
      <c r="B38" s="24" t="str">
        <f aca="false">IF(IFERROR(INDEX(res_Name,(ROW()-ROW(MSPResources[[#Headers],[Name]])))="",TRUE()),"",INDEX(res_Initials,(ROW()-ROW(MSPResources[[#Headers],[Name]])))&amp;"")</f>
        <v/>
      </c>
      <c r="C38" s="24" t="str">
        <f aca="false">IF(IFERROR(INDEX(res_Name,(ROW()-ROW(MSPResources[[#Headers],[Name]])))="",TRUE()),"",INDEX(res_Group,(ROW()-ROW(MSPResources[[#Headers],[Name]])))&amp;"")</f>
        <v/>
      </c>
      <c r="D38" s="24" t="str">
        <f aca="false">IF(IFERROR(INDEX(res_Name,(ROW()-ROW(MSPResources[[#Headers],[Name]])))="",TRUE()),"",INDEX(res_Type,(ROW()-ROW(MSPResources[[#Headers],[Name]])))&amp;"")</f>
        <v/>
      </c>
      <c r="E38" s="24" t="str">
        <f aca="false">IF(IFERROR(INDEX(res_Name,(ROW()-ROW(MSPResources[[#Headers],[Name]])))="",TRUE()),"",ROUND(INDEX(res_MaxUnits,(ROW()-ROW(MSPResources[[#Headers],[Name]])))*100,0)&amp;"%")</f>
        <v/>
      </c>
      <c r="F38" s="24" t="str">
        <f aca="false">IF(IFERROR(INDEX(res_Name,(ROW()-ROW(MSPResources[[#Headers],[Name]])))="",TRUE()),"",INDEX(res_Rate,(ROW()-ROW(MSPResources[[#Headers],[Name]])))&amp;"/h")</f>
        <v/>
      </c>
      <c r="G38" s="24" t="str">
        <f aca="false">IF(IFERROR(INDEX(res_Name,(ROW()-ROW(MSPResources[[#Headers],[Name]])))="",TRUE()),"",INDEX(res_Email,(ROW()-ROW(MSPResources[[#Headers],[Name]])))&amp;"")</f>
        <v/>
      </c>
    </row>
    <row r="39" customFormat="false" ht="15" hidden="false" customHeight="false" outlineLevel="0" collapsed="false">
      <c r="A39" s="24" t="str">
        <f aca="false">IF(IFERROR(INDEX(res_Name,(ROW()-ROW(MSPResources[[#Headers],[Name]])))="",TRUE()),"",INDEX(res_Name,(ROW()-ROW(MSPResources[[#Headers],[Name]])))&amp;"")</f>
        <v/>
      </c>
      <c r="B39" s="24" t="str">
        <f aca="false">IF(IFERROR(INDEX(res_Name,(ROW()-ROW(MSPResources[[#Headers],[Name]])))="",TRUE()),"",INDEX(res_Initials,(ROW()-ROW(MSPResources[[#Headers],[Name]])))&amp;"")</f>
        <v/>
      </c>
      <c r="C39" s="24" t="str">
        <f aca="false">IF(IFERROR(INDEX(res_Name,(ROW()-ROW(MSPResources[[#Headers],[Name]])))="",TRUE()),"",INDEX(res_Group,(ROW()-ROW(MSPResources[[#Headers],[Name]])))&amp;"")</f>
        <v/>
      </c>
      <c r="D39" s="24" t="str">
        <f aca="false">IF(IFERROR(INDEX(res_Name,(ROW()-ROW(MSPResources[[#Headers],[Name]])))="",TRUE()),"",INDEX(res_Type,(ROW()-ROW(MSPResources[[#Headers],[Name]])))&amp;"")</f>
        <v/>
      </c>
      <c r="E39" s="24" t="str">
        <f aca="false">IF(IFERROR(INDEX(res_Name,(ROW()-ROW(MSPResources[[#Headers],[Name]])))="",TRUE()),"",ROUND(INDEX(res_MaxUnits,(ROW()-ROW(MSPResources[[#Headers],[Name]])))*100,0)&amp;"%")</f>
        <v/>
      </c>
      <c r="F39" s="24" t="str">
        <f aca="false">IF(IFERROR(INDEX(res_Name,(ROW()-ROW(MSPResources[[#Headers],[Name]])))="",TRUE()),"",INDEX(res_Rate,(ROW()-ROW(MSPResources[[#Headers],[Name]])))&amp;"/h")</f>
        <v/>
      </c>
      <c r="G39" s="24" t="str">
        <f aca="false">IF(IFERROR(INDEX(res_Name,(ROW()-ROW(MSPResources[[#Headers],[Name]])))="",TRUE()),"",INDEX(res_Email,(ROW()-ROW(MSPResources[[#Headers],[Name]])))&amp;"")</f>
        <v/>
      </c>
    </row>
    <row r="40" customFormat="false" ht="15" hidden="false" customHeight="false" outlineLevel="0" collapsed="false">
      <c r="A40" s="24" t="str">
        <f aca="false">IF(IFERROR(INDEX(res_Name,(ROW()-ROW(MSPResources[[#Headers],[Name]])))="",TRUE()),"",INDEX(res_Name,(ROW()-ROW(MSPResources[[#Headers],[Name]])))&amp;"")</f>
        <v/>
      </c>
      <c r="B40" s="24" t="str">
        <f aca="false">IF(IFERROR(INDEX(res_Name,(ROW()-ROW(MSPResources[[#Headers],[Name]])))="",TRUE()),"",INDEX(res_Initials,(ROW()-ROW(MSPResources[[#Headers],[Name]])))&amp;"")</f>
        <v/>
      </c>
      <c r="C40" s="24" t="str">
        <f aca="false">IF(IFERROR(INDEX(res_Name,(ROW()-ROW(MSPResources[[#Headers],[Name]])))="",TRUE()),"",INDEX(res_Group,(ROW()-ROW(MSPResources[[#Headers],[Name]])))&amp;"")</f>
        <v/>
      </c>
      <c r="D40" s="24" t="str">
        <f aca="false">IF(IFERROR(INDEX(res_Name,(ROW()-ROW(MSPResources[[#Headers],[Name]])))="",TRUE()),"",INDEX(res_Type,(ROW()-ROW(MSPResources[[#Headers],[Name]])))&amp;"")</f>
        <v/>
      </c>
      <c r="E40" s="24" t="str">
        <f aca="false">IF(IFERROR(INDEX(res_Name,(ROW()-ROW(MSPResources[[#Headers],[Name]])))="",TRUE()),"",ROUND(INDEX(res_MaxUnits,(ROW()-ROW(MSPResources[[#Headers],[Name]])))*100,0)&amp;"%")</f>
        <v/>
      </c>
      <c r="F40" s="24" t="str">
        <f aca="false">IF(IFERROR(INDEX(res_Name,(ROW()-ROW(MSPResources[[#Headers],[Name]])))="",TRUE()),"",INDEX(res_Rate,(ROW()-ROW(MSPResources[[#Headers],[Name]])))&amp;"/h")</f>
        <v/>
      </c>
      <c r="G40" s="24" t="str">
        <f aca="false">IF(IFERROR(INDEX(res_Name,(ROW()-ROW(MSPResources[[#Headers],[Name]])))="",TRUE()),"",INDEX(res_Email,(ROW()-ROW(MSPResources[[#Headers],[Name]])))&amp;"")</f>
        <v/>
      </c>
    </row>
    <row r="41" customFormat="false" ht="15" hidden="false" customHeight="false" outlineLevel="0" collapsed="false">
      <c r="A41" s="24" t="str">
        <f aca="false">IF(IFERROR(INDEX(res_Name,(ROW()-ROW(MSPResources[[#Headers],[Name]])))="",TRUE()),"",INDEX(res_Name,(ROW()-ROW(MSPResources[[#Headers],[Name]])))&amp;"")</f>
        <v/>
      </c>
      <c r="B41" s="24" t="str">
        <f aca="false">IF(IFERROR(INDEX(res_Name,(ROW()-ROW(MSPResources[[#Headers],[Name]])))="",TRUE()),"",INDEX(res_Initials,(ROW()-ROW(MSPResources[[#Headers],[Name]])))&amp;"")</f>
        <v/>
      </c>
      <c r="C41" s="24" t="str">
        <f aca="false">IF(IFERROR(INDEX(res_Name,(ROW()-ROW(MSPResources[[#Headers],[Name]])))="",TRUE()),"",INDEX(res_Group,(ROW()-ROW(MSPResources[[#Headers],[Name]])))&amp;"")</f>
        <v/>
      </c>
      <c r="D41" s="24" t="str">
        <f aca="false">IF(IFERROR(INDEX(res_Name,(ROW()-ROW(MSPResources[[#Headers],[Name]])))="",TRUE()),"",INDEX(res_Type,(ROW()-ROW(MSPResources[[#Headers],[Name]])))&amp;"")</f>
        <v/>
      </c>
      <c r="E41" s="24" t="str">
        <f aca="false">IF(IFERROR(INDEX(res_Name,(ROW()-ROW(MSPResources[[#Headers],[Name]])))="",TRUE()),"",ROUND(INDEX(res_MaxUnits,(ROW()-ROW(MSPResources[[#Headers],[Name]])))*100,0)&amp;"%")</f>
        <v/>
      </c>
      <c r="F41" s="24" t="str">
        <f aca="false">IF(IFERROR(INDEX(res_Name,(ROW()-ROW(MSPResources[[#Headers],[Name]])))="",TRUE()),"",INDEX(res_Rate,(ROW()-ROW(MSPResources[[#Headers],[Name]])))&amp;"/h")</f>
        <v/>
      </c>
      <c r="G41" s="24" t="str">
        <f aca="false">IF(IFERROR(INDEX(res_Name,(ROW()-ROW(MSPResources[[#Headers],[Name]])))="",TRUE()),"",INDEX(res_Email,(ROW()-ROW(MSPResources[[#Headers],[Name]])))&amp;"")</f>
        <v/>
      </c>
    </row>
    <row r="42" customFormat="false" ht="15" hidden="false" customHeight="false" outlineLevel="0" collapsed="false">
      <c r="A42" s="24" t="str">
        <f aca="false">IF(IFERROR(INDEX(res_Name,(ROW()-ROW(MSPResources[[#Headers],[Name]])))="",TRUE()),"",INDEX(res_Name,(ROW()-ROW(MSPResources[[#Headers],[Name]])))&amp;"")</f>
        <v/>
      </c>
      <c r="B42" s="24" t="str">
        <f aca="false">IF(IFERROR(INDEX(res_Name,(ROW()-ROW(MSPResources[[#Headers],[Name]])))="",TRUE()),"",INDEX(res_Initials,(ROW()-ROW(MSPResources[[#Headers],[Name]])))&amp;"")</f>
        <v/>
      </c>
      <c r="C42" s="24" t="str">
        <f aca="false">IF(IFERROR(INDEX(res_Name,(ROW()-ROW(MSPResources[[#Headers],[Name]])))="",TRUE()),"",INDEX(res_Group,(ROW()-ROW(MSPResources[[#Headers],[Name]])))&amp;"")</f>
        <v/>
      </c>
      <c r="D42" s="24" t="str">
        <f aca="false">IF(IFERROR(INDEX(res_Name,(ROW()-ROW(MSPResources[[#Headers],[Name]])))="",TRUE()),"",INDEX(res_Type,(ROW()-ROW(MSPResources[[#Headers],[Name]])))&amp;"")</f>
        <v/>
      </c>
      <c r="E42" s="24" t="str">
        <f aca="false">IF(IFERROR(INDEX(res_Name,(ROW()-ROW(MSPResources[[#Headers],[Name]])))="",TRUE()),"",ROUND(INDEX(res_MaxUnits,(ROW()-ROW(MSPResources[[#Headers],[Name]])))*100,0)&amp;"%")</f>
        <v/>
      </c>
      <c r="F42" s="24" t="str">
        <f aca="false">IF(IFERROR(INDEX(res_Name,(ROW()-ROW(MSPResources[[#Headers],[Name]])))="",TRUE()),"",INDEX(res_Rate,(ROW()-ROW(MSPResources[[#Headers],[Name]])))&amp;"/h")</f>
        <v/>
      </c>
      <c r="G42" s="24" t="str">
        <f aca="false">IF(IFERROR(INDEX(res_Name,(ROW()-ROW(MSPResources[[#Headers],[Name]])))="",TRUE()),"",INDEX(res_Email,(ROW()-ROW(MSPResources[[#Headers],[Name]])))&amp;"")</f>
        <v/>
      </c>
    </row>
    <row r="43" customFormat="false" ht="15" hidden="false" customHeight="false" outlineLevel="0" collapsed="false">
      <c r="A43" s="24" t="str">
        <f aca="false">IF(IFERROR(INDEX(res_Name,(ROW()-ROW(MSPResources[[#Headers],[Name]])))="",TRUE()),"",INDEX(res_Name,(ROW()-ROW(MSPResources[[#Headers],[Name]])))&amp;"")</f>
        <v/>
      </c>
      <c r="B43" s="24" t="str">
        <f aca="false">IF(IFERROR(INDEX(res_Name,(ROW()-ROW(MSPResources[[#Headers],[Name]])))="",TRUE()),"",INDEX(res_Initials,(ROW()-ROW(MSPResources[[#Headers],[Name]])))&amp;"")</f>
        <v/>
      </c>
      <c r="C43" s="24" t="str">
        <f aca="false">IF(IFERROR(INDEX(res_Name,(ROW()-ROW(MSPResources[[#Headers],[Name]])))="",TRUE()),"",INDEX(res_Group,(ROW()-ROW(MSPResources[[#Headers],[Name]])))&amp;"")</f>
        <v/>
      </c>
      <c r="D43" s="24" t="str">
        <f aca="false">IF(IFERROR(INDEX(res_Name,(ROW()-ROW(MSPResources[[#Headers],[Name]])))="",TRUE()),"",INDEX(res_Type,(ROW()-ROW(MSPResources[[#Headers],[Name]])))&amp;"")</f>
        <v/>
      </c>
      <c r="E43" s="24" t="str">
        <f aca="false">IF(IFERROR(INDEX(res_Name,(ROW()-ROW(MSPResources[[#Headers],[Name]])))="",TRUE()),"",ROUND(INDEX(res_MaxUnits,(ROW()-ROW(MSPResources[[#Headers],[Name]])))*100,0)&amp;"%")</f>
        <v/>
      </c>
      <c r="F43" s="24" t="str">
        <f aca="false">IF(IFERROR(INDEX(res_Name,(ROW()-ROW(MSPResources[[#Headers],[Name]])))="",TRUE()),"",INDEX(res_Rate,(ROW()-ROW(MSPResources[[#Headers],[Name]])))&amp;"/h")</f>
        <v/>
      </c>
      <c r="G43" s="24" t="str">
        <f aca="false">IF(IFERROR(INDEX(res_Name,(ROW()-ROW(MSPResources[[#Headers],[Name]])))="",TRUE()),"",INDEX(res_Email,(ROW()-ROW(MSPResources[[#Headers],[Name]])))&amp;"")</f>
        <v/>
      </c>
    </row>
    <row r="44" customFormat="false" ht="15" hidden="false" customHeight="false" outlineLevel="0" collapsed="false">
      <c r="A44" s="24" t="str">
        <f aca="false">IF(IFERROR(INDEX(res_Name,(ROW()-ROW(MSPResources[[#Headers],[Name]])))="",TRUE()),"",INDEX(res_Name,(ROW()-ROW(MSPResources[[#Headers],[Name]])))&amp;"")</f>
        <v/>
      </c>
      <c r="B44" s="24" t="str">
        <f aca="false">IF(IFERROR(INDEX(res_Name,(ROW()-ROW(MSPResources[[#Headers],[Name]])))="",TRUE()),"",INDEX(res_Initials,(ROW()-ROW(MSPResources[[#Headers],[Name]])))&amp;"")</f>
        <v/>
      </c>
      <c r="C44" s="24" t="str">
        <f aca="false">IF(IFERROR(INDEX(res_Name,(ROW()-ROW(MSPResources[[#Headers],[Name]])))="",TRUE()),"",INDEX(res_Group,(ROW()-ROW(MSPResources[[#Headers],[Name]])))&amp;"")</f>
        <v/>
      </c>
      <c r="D44" s="24" t="str">
        <f aca="false">IF(IFERROR(INDEX(res_Name,(ROW()-ROW(MSPResources[[#Headers],[Name]])))="",TRUE()),"",INDEX(res_Type,(ROW()-ROW(MSPResources[[#Headers],[Name]])))&amp;"")</f>
        <v/>
      </c>
      <c r="E44" s="24" t="str">
        <f aca="false">IF(IFERROR(INDEX(res_Name,(ROW()-ROW(MSPResources[[#Headers],[Name]])))="",TRUE()),"",ROUND(INDEX(res_MaxUnits,(ROW()-ROW(MSPResources[[#Headers],[Name]])))*100,0)&amp;"%")</f>
        <v/>
      </c>
      <c r="F44" s="24" t="str">
        <f aca="false">IF(IFERROR(INDEX(res_Name,(ROW()-ROW(MSPResources[[#Headers],[Name]])))="",TRUE()),"",INDEX(res_Rate,(ROW()-ROW(MSPResources[[#Headers],[Name]])))&amp;"/h")</f>
        <v/>
      </c>
      <c r="G44" s="24" t="str">
        <f aca="false">IF(IFERROR(INDEX(res_Name,(ROW()-ROW(MSPResources[[#Headers],[Name]])))="",TRUE()),"",INDEX(res_Email,(ROW()-ROW(MSPResources[[#Headers],[Name]])))&amp;"")</f>
        <v/>
      </c>
    </row>
    <row r="45" customFormat="false" ht="15" hidden="false" customHeight="false" outlineLevel="0" collapsed="false">
      <c r="A45" s="24" t="str">
        <f aca="false">IF(IFERROR(INDEX(res_Name,(ROW()-ROW(MSPResources[[#Headers],[Name]])))="",TRUE()),"",INDEX(res_Name,(ROW()-ROW(MSPResources[[#Headers],[Name]])))&amp;"")</f>
        <v/>
      </c>
      <c r="B45" s="24" t="str">
        <f aca="false">IF(IFERROR(INDEX(res_Name,(ROW()-ROW(MSPResources[[#Headers],[Name]])))="",TRUE()),"",INDEX(res_Initials,(ROW()-ROW(MSPResources[[#Headers],[Name]])))&amp;"")</f>
        <v/>
      </c>
      <c r="C45" s="24" t="str">
        <f aca="false">IF(IFERROR(INDEX(res_Name,(ROW()-ROW(MSPResources[[#Headers],[Name]])))="",TRUE()),"",INDEX(res_Group,(ROW()-ROW(MSPResources[[#Headers],[Name]])))&amp;"")</f>
        <v/>
      </c>
      <c r="D45" s="24" t="str">
        <f aca="false">IF(IFERROR(INDEX(res_Name,(ROW()-ROW(MSPResources[[#Headers],[Name]])))="",TRUE()),"",INDEX(res_Type,(ROW()-ROW(MSPResources[[#Headers],[Name]])))&amp;"")</f>
        <v/>
      </c>
      <c r="E45" s="24" t="str">
        <f aca="false">IF(IFERROR(INDEX(res_Name,(ROW()-ROW(MSPResources[[#Headers],[Name]])))="",TRUE()),"",ROUND(INDEX(res_MaxUnits,(ROW()-ROW(MSPResources[[#Headers],[Name]])))*100,0)&amp;"%")</f>
        <v/>
      </c>
      <c r="F45" s="24" t="str">
        <f aca="false">IF(IFERROR(INDEX(res_Name,(ROW()-ROW(MSPResources[[#Headers],[Name]])))="",TRUE()),"",INDEX(res_Rate,(ROW()-ROW(MSPResources[[#Headers],[Name]])))&amp;"/h")</f>
        <v/>
      </c>
      <c r="G45" s="24" t="str">
        <f aca="false">IF(IFERROR(INDEX(res_Name,(ROW()-ROW(MSPResources[[#Headers],[Name]])))="",TRUE()),"",INDEX(res_Email,(ROW()-ROW(MSPResources[[#Headers],[Name]])))&amp;"")</f>
        <v/>
      </c>
    </row>
    <row r="46" customFormat="false" ht="15" hidden="false" customHeight="false" outlineLevel="0" collapsed="false">
      <c r="A46" s="24" t="str">
        <f aca="false">IF(IFERROR(INDEX(res_Name,(ROW()-ROW(MSPResources[[#Headers],[Name]])))="",TRUE()),"",INDEX(res_Name,(ROW()-ROW(MSPResources[[#Headers],[Name]])))&amp;"")</f>
        <v/>
      </c>
      <c r="B46" s="24" t="str">
        <f aca="false">IF(IFERROR(INDEX(res_Name,(ROW()-ROW(MSPResources[[#Headers],[Name]])))="",TRUE()),"",INDEX(res_Initials,(ROW()-ROW(MSPResources[[#Headers],[Name]])))&amp;"")</f>
        <v/>
      </c>
      <c r="C46" s="24" t="str">
        <f aca="false">IF(IFERROR(INDEX(res_Name,(ROW()-ROW(MSPResources[[#Headers],[Name]])))="",TRUE()),"",INDEX(res_Group,(ROW()-ROW(MSPResources[[#Headers],[Name]])))&amp;"")</f>
        <v/>
      </c>
      <c r="D46" s="24" t="str">
        <f aca="false">IF(IFERROR(INDEX(res_Name,(ROW()-ROW(MSPResources[[#Headers],[Name]])))="",TRUE()),"",INDEX(res_Type,(ROW()-ROW(MSPResources[[#Headers],[Name]])))&amp;"")</f>
        <v/>
      </c>
      <c r="E46" s="24" t="str">
        <f aca="false">IF(IFERROR(INDEX(res_Name,(ROW()-ROW(MSPResources[[#Headers],[Name]])))="",TRUE()),"",ROUND(INDEX(res_MaxUnits,(ROW()-ROW(MSPResources[[#Headers],[Name]])))*100,0)&amp;"%")</f>
        <v/>
      </c>
      <c r="F46" s="24" t="str">
        <f aca="false">IF(IFERROR(INDEX(res_Name,(ROW()-ROW(MSPResources[[#Headers],[Name]])))="",TRUE()),"",INDEX(res_Rate,(ROW()-ROW(MSPResources[[#Headers],[Name]])))&amp;"/h")</f>
        <v/>
      </c>
      <c r="G46" s="24" t="str">
        <f aca="false">IF(IFERROR(INDEX(res_Name,(ROW()-ROW(MSPResources[[#Headers],[Name]])))="",TRUE()),"",INDEX(res_Email,(ROW()-ROW(MSPResources[[#Headers],[Name]])))&amp;"")</f>
        <v/>
      </c>
    </row>
    <row r="47" customFormat="false" ht="15" hidden="false" customHeight="false" outlineLevel="0" collapsed="false">
      <c r="A47" s="24" t="str">
        <f aca="false">IF(IFERROR(INDEX(res_Name,(ROW()-ROW(MSPResources[[#Headers],[Name]])))="",TRUE()),"",INDEX(res_Name,(ROW()-ROW(MSPResources[[#Headers],[Name]])))&amp;"")</f>
        <v/>
      </c>
      <c r="B47" s="24" t="str">
        <f aca="false">IF(IFERROR(INDEX(res_Name,(ROW()-ROW(MSPResources[[#Headers],[Name]])))="",TRUE()),"",INDEX(res_Initials,(ROW()-ROW(MSPResources[[#Headers],[Name]])))&amp;"")</f>
        <v/>
      </c>
      <c r="C47" s="24" t="str">
        <f aca="false">IF(IFERROR(INDEX(res_Name,(ROW()-ROW(MSPResources[[#Headers],[Name]])))="",TRUE()),"",INDEX(res_Group,(ROW()-ROW(MSPResources[[#Headers],[Name]])))&amp;"")</f>
        <v/>
      </c>
      <c r="D47" s="24" t="str">
        <f aca="false">IF(IFERROR(INDEX(res_Name,(ROW()-ROW(MSPResources[[#Headers],[Name]])))="",TRUE()),"",INDEX(res_Type,(ROW()-ROW(MSPResources[[#Headers],[Name]])))&amp;"")</f>
        <v/>
      </c>
      <c r="E47" s="24" t="str">
        <f aca="false">IF(IFERROR(INDEX(res_Name,(ROW()-ROW(MSPResources[[#Headers],[Name]])))="",TRUE()),"",ROUND(INDEX(res_MaxUnits,(ROW()-ROW(MSPResources[[#Headers],[Name]])))*100,0)&amp;"%")</f>
        <v/>
      </c>
      <c r="F47" s="24" t="str">
        <f aca="false">IF(IFERROR(INDEX(res_Name,(ROW()-ROW(MSPResources[[#Headers],[Name]])))="",TRUE()),"",INDEX(res_Rate,(ROW()-ROW(MSPResources[[#Headers],[Name]])))&amp;"/h")</f>
        <v/>
      </c>
      <c r="G47" s="24" t="str">
        <f aca="false">IF(IFERROR(INDEX(res_Name,(ROW()-ROW(MSPResources[[#Headers],[Name]])))="",TRUE()),"",INDEX(res_Email,(ROW()-ROW(MSPResources[[#Headers],[Name]])))&amp;"")</f>
        <v/>
      </c>
    </row>
    <row r="48" customFormat="false" ht="15" hidden="false" customHeight="false" outlineLevel="0" collapsed="false">
      <c r="A48" s="24" t="str">
        <f aca="false">IF(IFERROR(INDEX(res_Name,(ROW()-ROW(MSPResources[[#Headers],[Name]])))="",TRUE()),"",INDEX(res_Name,(ROW()-ROW(MSPResources[[#Headers],[Name]])))&amp;"")</f>
        <v/>
      </c>
      <c r="B48" s="24" t="str">
        <f aca="false">IF(IFERROR(INDEX(res_Name,(ROW()-ROW(MSPResources[[#Headers],[Name]])))="",TRUE()),"",INDEX(res_Initials,(ROW()-ROW(MSPResources[[#Headers],[Name]])))&amp;"")</f>
        <v/>
      </c>
      <c r="C48" s="24" t="str">
        <f aca="false">IF(IFERROR(INDEX(res_Name,(ROW()-ROW(MSPResources[[#Headers],[Name]])))="",TRUE()),"",INDEX(res_Group,(ROW()-ROW(MSPResources[[#Headers],[Name]])))&amp;"")</f>
        <v/>
      </c>
      <c r="D48" s="24" t="str">
        <f aca="false">IF(IFERROR(INDEX(res_Name,(ROW()-ROW(MSPResources[[#Headers],[Name]])))="",TRUE()),"",INDEX(res_Type,(ROW()-ROW(MSPResources[[#Headers],[Name]])))&amp;"")</f>
        <v/>
      </c>
      <c r="E48" s="24" t="str">
        <f aca="false">IF(IFERROR(INDEX(res_Name,(ROW()-ROW(MSPResources[[#Headers],[Name]])))="",TRUE()),"",ROUND(INDEX(res_MaxUnits,(ROW()-ROW(MSPResources[[#Headers],[Name]])))*100,0)&amp;"%")</f>
        <v/>
      </c>
      <c r="F48" s="24" t="str">
        <f aca="false">IF(IFERROR(INDEX(res_Name,(ROW()-ROW(MSPResources[[#Headers],[Name]])))="",TRUE()),"",INDEX(res_Rate,(ROW()-ROW(MSPResources[[#Headers],[Name]])))&amp;"/h")</f>
        <v/>
      </c>
      <c r="G48" s="24" t="str">
        <f aca="false">IF(IFERROR(INDEX(res_Name,(ROW()-ROW(MSPResources[[#Headers],[Name]])))="",TRUE()),"",INDEX(res_Email,(ROW()-ROW(MSPResources[[#Headers],[Name]])))&amp;"")</f>
        <v/>
      </c>
    </row>
    <row r="49" customFormat="false" ht="15" hidden="false" customHeight="false" outlineLevel="0" collapsed="false">
      <c r="A49" s="24" t="str">
        <f aca="false">IF(IFERROR(INDEX(res_Name,(ROW()-ROW(MSPResources[[#Headers],[Name]])))="",TRUE()),"",INDEX(res_Name,(ROW()-ROW(MSPResources[[#Headers],[Name]])))&amp;"")</f>
        <v/>
      </c>
      <c r="B49" s="24" t="str">
        <f aca="false">IF(IFERROR(INDEX(res_Name,(ROW()-ROW(MSPResources[[#Headers],[Name]])))="",TRUE()),"",INDEX(res_Initials,(ROW()-ROW(MSPResources[[#Headers],[Name]])))&amp;"")</f>
        <v/>
      </c>
      <c r="C49" s="24" t="str">
        <f aca="false">IF(IFERROR(INDEX(res_Name,(ROW()-ROW(MSPResources[[#Headers],[Name]])))="",TRUE()),"",INDEX(res_Group,(ROW()-ROW(MSPResources[[#Headers],[Name]])))&amp;"")</f>
        <v/>
      </c>
      <c r="D49" s="24" t="str">
        <f aca="false">IF(IFERROR(INDEX(res_Name,(ROW()-ROW(MSPResources[[#Headers],[Name]])))="",TRUE()),"",INDEX(res_Type,(ROW()-ROW(MSPResources[[#Headers],[Name]])))&amp;"")</f>
        <v/>
      </c>
      <c r="E49" s="24" t="str">
        <f aca="false">IF(IFERROR(INDEX(res_Name,(ROW()-ROW(MSPResources[[#Headers],[Name]])))="",TRUE()),"",ROUND(INDEX(res_MaxUnits,(ROW()-ROW(MSPResources[[#Headers],[Name]])))*100,0)&amp;"%")</f>
        <v/>
      </c>
      <c r="F49" s="24" t="str">
        <f aca="false">IF(IFERROR(INDEX(res_Name,(ROW()-ROW(MSPResources[[#Headers],[Name]])))="",TRUE()),"",INDEX(res_Rate,(ROW()-ROW(MSPResources[[#Headers],[Name]])))&amp;"/h")</f>
        <v/>
      </c>
      <c r="G49" s="24" t="str">
        <f aca="false">IF(IFERROR(INDEX(res_Name,(ROW()-ROW(MSPResources[[#Headers],[Name]])))="",TRUE()),"",INDEX(res_Email,(ROW()-ROW(MSPResources[[#Headers],[Name]])))&amp;"")</f>
        <v/>
      </c>
    </row>
    <row r="50" customFormat="false" ht="15" hidden="false" customHeight="false" outlineLevel="0" collapsed="false">
      <c r="A50" s="24" t="str">
        <f aca="false">IF(IFERROR(INDEX(res_Name,(ROW()-ROW(MSPResources[[#Headers],[Name]])))="",TRUE()),"",INDEX(res_Name,(ROW()-ROW(MSPResources[[#Headers],[Name]])))&amp;"")</f>
        <v/>
      </c>
      <c r="B50" s="24" t="str">
        <f aca="false">IF(IFERROR(INDEX(res_Name,(ROW()-ROW(MSPResources[[#Headers],[Name]])))="",TRUE()),"",INDEX(res_Initials,(ROW()-ROW(MSPResources[[#Headers],[Name]])))&amp;"")</f>
        <v/>
      </c>
      <c r="C50" s="24" t="str">
        <f aca="false">IF(IFERROR(INDEX(res_Name,(ROW()-ROW(MSPResources[[#Headers],[Name]])))="",TRUE()),"",INDEX(res_Group,(ROW()-ROW(MSPResources[[#Headers],[Name]])))&amp;"")</f>
        <v/>
      </c>
      <c r="D50" s="24" t="str">
        <f aca="false">IF(IFERROR(INDEX(res_Name,(ROW()-ROW(MSPResources[[#Headers],[Name]])))="",TRUE()),"",INDEX(res_Type,(ROW()-ROW(MSPResources[[#Headers],[Name]])))&amp;"")</f>
        <v/>
      </c>
      <c r="E50" s="24" t="str">
        <f aca="false">IF(IFERROR(INDEX(res_Name,(ROW()-ROW(MSPResources[[#Headers],[Name]])))="",TRUE()),"",ROUND(INDEX(res_MaxUnits,(ROW()-ROW(MSPResources[[#Headers],[Name]])))*100,0)&amp;"%")</f>
        <v/>
      </c>
      <c r="F50" s="24" t="str">
        <f aca="false">IF(IFERROR(INDEX(res_Name,(ROW()-ROW(MSPResources[[#Headers],[Name]])))="",TRUE()),"",INDEX(res_Rate,(ROW()-ROW(MSPResources[[#Headers],[Name]])))&amp;"/h")</f>
        <v/>
      </c>
      <c r="G50" s="24" t="str">
        <f aca="false">IF(IFERROR(INDEX(res_Name,(ROW()-ROW(MSPResources[[#Headers],[Name]])))="",TRUE()),"",INDEX(res_Email,(ROW()-ROW(MSPResources[[#Headers],[Name]])))&amp;"")</f>
        <v/>
      </c>
    </row>
    <row r="51" customFormat="false" ht="15" hidden="false" customHeight="false" outlineLevel="0" collapsed="false">
      <c r="A51" s="24" t="str">
        <f aca="false">IF(IFERROR(INDEX(res_Name,(ROW()-ROW(MSPResources[[#Headers],[Name]])))="",TRUE()),"",INDEX(res_Name,(ROW()-ROW(MSPResources[[#Headers],[Name]])))&amp;"")</f>
        <v/>
      </c>
      <c r="B51" s="24" t="str">
        <f aca="false">IF(IFERROR(INDEX(res_Name,(ROW()-ROW(MSPResources[[#Headers],[Name]])))="",TRUE()),"",INDEX(res_Initials,(ROW()-ROW(MSPResources[[#Headers],[Name]])))&amp;"")</f>
        <v/>
      </c>
      <c r="C51" s="24" t="str">
        <f aca="false">IF(IFERROR(INDEX(res_Name,(ROW()-ROW(MSPResources[[#Headers],[Name]])))="",TRUE()),"",INDEX(res_Group,(ROW()-ROW(MSPResources[[#Headers],[Name]])))&amp;"")</f>
        <v/>
      </c>
      <c r="D51" s="24" t="str">
        <f aca="false">IF(IFERROR(INDEX(res_Name,(ROW()-ROW(MSPResources[[#Headers],[Name]])))="",TRUE()),"",INDEX(res_Type,(ROW()-ROW(MSPResources[[#Headers],[Name]])))&amp;"")</f>
        <v/>
      </c>
      <c r="E51" s="24" t="str">
        <f aca="false">IF(IFERROR(INDEX(res_Name,(ROW()-ROW(MSPResources[[#Headers],[Name]])))="",TRUE()),"",ROUND(INDEX(res_MaxUnits,(ROW()-ROW(MSPResources[[#Headers],[Name]])))*100,0)&amp;"%")</f>
        <v/>
      </c>
      <c r="F51" s="24" t="str">
        <f aca="false">IF(IFERROR(INDEX(res_Name,(ROW()-ROW(MSPResources[[#Headers],[Name]])))="",TRUE()),"",INDEX(res_Rate,(ROW()-ROW(MSPResources[[#Headers],[Name]])))&amp;"/h")</f>
        <v/>
      </c>
      <c r="G51" s="24" t="str">
        <f aca="false">IF(IFERROR(INDEX(res_Name,(ROW()-ROW(MSPResources[[#Headers],[Name]])))="",TRUE()),"",INDEX(res_Email,(ROW()-ROW(MSPResources[[#Headers],[Name]])))&amp;"")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3" style="0" width="16"/>
    <col collapsed="false" customWidth="true" hidden="false" outlineLevel="0" max="5" min="5" style="0" width="16"/>
    <col collapsed="false" customWidth="true" hidden="false" outlineLevel="0" max="7" min="7" style="0" width="16"/>
    <col collapsed="false" customWidth="true" hidden="false" outlineLevel="0" max="9" min="9" style="0" width="16"/>
    <col collapsed="false" customWidth="true" hidden="false" outlineLevel="0" max="11" min="11" style="0" width="16"/>
  </cols>
  <sheetData>
    <row r="1" customFormat="false" ht="23.85" hidden="false" customHeight="false" outlineLevel="0" collapsed="false">
      <c r="A1" s="27" t="s">
        <v>609</v>
      </c>
      <c r="C1" s="27" t="s">
        <v>599</v>
      </c>
      <c r="E1" s="27" t="s">
        <v>610</v>
      </c>
      <c r="G1" s="27" t="s">
        <v>611</v>
      </c>
      <c r="I1" s="27" t="s">
        <v>612</v>
      </c>
      <c r="K1" s="27" t="s">
        <v>114</v>
      </c>
    </row>
    <row r="2" customFormat="false" ht="15" hidden="false" customHeight="false" outlineLevel="0" collapsed="false">
      <c r="A2" s="30" t="s">
        <v>464</v>
      </c>
      <c r="C2" s="30" t="s">
        <v>459</v>
      </c>
      <c r="E2" s="30" t="s">
        <v>256</v>
      </c>
      <c r="G2" s="30" t="s">
        <v>196</v>
      </c>
      <c r="I2" s="30" t="n">
        <v>1</v>
      </c>
      <c r="K2" s="30" t="s">
        <v>613</v>
      </c>
    </row>
    <row r="3" customFormat="false" ht="15" hidden="false" customHeight="false" outlineLevel="0" collapsed="false">
      <c r="A3" s="30" t="s">
        <v>471</v>
      </c>
      <c r="C3" s="30" t="s">
        <v>507</v>
      </c>
      <c r="E3" s="30" t="s">
        <v>277</v>
      </c>
      <c r="G3" s="30" t="s">
        <v>614</v>
      </c>
      <c r="I3" s="30" t="n">
        <v>7</v>
      </c>
      <c r="K3" s="30" t="s">
        <v>615</v>
      </c>
    </row>
    <row r="4" customFormat="false" ht="15" hidden="false" customHeight="false" outlineLevel="0" collapsed="false">
      <c r="A4" s="30" t="s">
        <v>491</v>
      </c>
      <c r="G4" s="30" t="s">
        <v>199</v>
      </c>
      <c r="K4" s="30" t="s">
        <v>616</v>
      </c>
    </row>
    <row r="5" customFormat="false" ht="15" hidden="false" customHeight="false" outlineLevel="0" collapsed="false">
      <c r="A5" s="30" t="s">
        <v>617</v>
      </c>
    </row>
    <row r="7" customFormat="false" ht="15" hidden="false" customHeight="false" outlineLevel="0" collapsed="false">
      <c r="A7" s="8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2026-10-26T15:03:44Z</dcterms:created>
  <dc:creator>openpyxl</dc:creator>
  <dc:description/>
  <dc:language>en-US</dc:language>
  <cp:lastModifiedBy/>
  <dcterms:modified xsi:type="dcterms:W3CDTF">2026-10-26T15:03:45Z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